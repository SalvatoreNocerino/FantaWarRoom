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_rels/workbook.xml.rels" ContentType="application/vnd.openxmlformats-package.relationships+xml"/>
  <Override PartName="/xl/comments4.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Guida" sheetId="1" state="visible" r:id="rId3"/>
    <sheet name="Stato Asta" sheetId="2" state="visible" r:id="rId4"/>
    <sheet name="Info Lega" sheetId="3" state="visible" r:id="rId5"/>
    <sheet name="Info Strategia" sheetId="4" state="visible" r:id="rId6"/>
    <sheet name="Input Giocatori 2026_27" sheetId="5" state="visible" r:id="rId7"/>
    <sheet name="Output Utente" sheetId="6" state="visible" r:id="rId8"/>
    <sheet name="Validazione Dati" sheetId="7" state="visible" r:id="rId9"/>
    <sheet name="Parametri Modello" sheetId="8" state="visible" r:id="rId10"/>
    <sheet name="Giocatori Liberi" sheetId="9" state="visible" r:id="rId11"/>
    <sheet name="La Mia Rosa" sheetId="10" state="visible" r:id="rId12"/>
    <sheet name="Input Statistiche 2025_26" sheetId="11" state="visible" r:id="rId13"/>
  </sheets>
  <definedNames>
    <definedName function="false" hidden="true" localSheetId="8" name="_xlnm._FilterDatabase" vbProcedure="false">'Giocatori Liberi'!$A$3:$N$494</definedName>
    <definedName function="false" hidden="true" localSheetId="9" name="_xlnm._FilterDatabase" vbProcedure="false">'La Mia Rosa'!$A$3:$L$494</definedName>
    <definedName function="false" hidden="true" localSheetId="5" name="_xlnm._FilterDatabase" vbProcedure="false">'Output Utente'!$A$1:$R$492</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Quanto e‘ aggressivo sui giocatori preferiti</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G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FantaValoreMercato</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F1" authorId="0">
      <text>
        <r>
          <rPr>
            <sz val="10"/>
            <rFont val="Arial"/>
            <family val="2"/>
          </rPr>
          <t xml:space="preserve">Offerta Max ora tiene conto di: quotazione di mercato (Qt.A), budget/rosa della lega, modificatori difesa/centrocampo, aggressivita', whichlist E fantamedia reale 2025/26 rispetto alla media del ruolo (peso in Parametri Modello!B9).</t>
        </r>
      </text>
    </comment>
    <comment ref="G1" authorId="0">
      <text>
        <r>
          <rPr>
            <sz val="10"/>
            <rFont val="Arial"/>
            <family val="2"/>
          </rPr>
          <t xml:space="preserve">Prezzo base ora a due livelli: se il giocatore e' tra i migliori N per FVM nel ruolo (N = squadre x titolari da modulo preferito) prende la sua quota della fetta 'titolari' del budget di ruolo (85-96%, calibrato su aste reali); altrimenti prende la sua quota della piccola fetta 'riserve'. Sopra si applicano modificatori ruolo, performance storica e scarsita' live.</t>
        </r>
      </text>
    </comment>
    <comment ref="I1" authorId="0">
      <text>
        <r>
          <rPr>
            <sz val="10"/>
            <rFont val="Arial"/>
            <family val="2"/>
          </rPr>
          <t xml:space="preserve">Presenze (partite a voto) stagione 2025/26. Vuoto = nessuno storico disponibile (giocatore nuovo in Serie A o senza voti l'anno scorso).</t>
        </r>
      </text>
    </comment>
    <comment ref="M1" authorId="0">
      <text>
        <r>
          <rPr>
            <sz val="10"/>
            <rFont val="Arial"/>
            <family val="2"/>
          </rPr>
          <t xml:space="preserve">Inserisci qui il prezzo REALE pagato all'asta quando assegni un giocatore in colonna D. Serve per il tracking budget nel foglio 'La Mia Rosa'.</t>
        </r>
      </text>
    </comment>
    <comment ref="P1" authorId="0">
      <text>
        <r>
          <rPr>
            <sz val="10"/>
            <rFont val="Arial"/>
            <family val="2"/>
          </rPr>
          <t xml:space="preserve">Fascia calcolata sul posizionamento del FVM all'interno del ruolo (percentile). Non e' una previsione di rendimento: e' una lettura di quanto il mercato valuta gia' oggi quel giocatore rispetto ai suoi colleghi di ruolo.</t>
        </r>
      </text>
    </comment>
    <comment ref="AE1" authorId="0">
      <text>
        <r>
          <rPr>
            <sz val="10"/>
            <rFont val="Arial"/>
            <family val="2"/>
          </rPr>
          <t xml:space="preserve">Segnale informativo (Stato Asta): quanti giocatori Top/Buono restano nel tuo ruolo rispetto agli slot ancora da riempire in tutta la lega. NON influenza il prezzo consigliato (F/G/H) — e' solo per aiutarti a decidere se aspettare o no.</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O12" authorId="0">
      <text>
        <r>
          <rPr>
            <sz val="10"/>
            <rFont val="Arial"/>
            <family val="2"/>
          </rPr>
          <t xml:space="preserve">Budget Rimanente diviso per gli slot che ti mancano ancora (di tutti i ruoli). E' la base per il segnale di Sostenibilita' Budget nei fogli Output Utente e Giocatori Liberi.</t>
        </r>
      </text>
    </comment>
  </commentList>
</comments>
</file>

<file path=xl/sharedStrings.xml><?xml version="1.0" encoding="utf-8"?>
<sst xmlns="http://schemas.openxmlformats.org/spreadsheetml/2006/main" count="5418" uniqueCount="1057">
  <si>
    <t xml:space="preserve">Guida — Motore Prezzi Asta Fantacalcio</t>
  </si>
  <si>
    <t xml:space="preserve">Questo file calcola automaticamente un prezzo massimo consigliato e un range di valutazione per ciascun giocatore, in base al budget, alla rosa, alle regole della lega e ai dati FVM/statistici. Il motore si aggiorna modificando i parametri e gli assegnamenti dell'asta.</t>
  </si>
  <si>
    <t xml:space="preserve">Come e' organizzato il file</t>
  </si>
  <si>
    <t xml:space="preserve">• Info Lega: dati della tua lega (budget, rosa, regole, nomi squadre). 'La Mia Squadra' (B28) identifica la tua squadra.</t>
  </si>
  <si>
    <t xml:space="preserve">• Info Strategia: modulo preferito, aggressivita' e lista 'Giocatori Preferiti' (colonna D).</t>
  </si>
  <si>
    <t xml:space="preserve">• Parametri Modello: tutte le leve del motore prezzi, incluse soglia minima di presenze storiche e gestione della scarsita'.</t>
  </si>
  <si>
    <t xml:space="preserve">• Input Giocatori 2026_27: il listone originale, invariato — e' la fonte dati.</t>
  </si>
  <si>
    <t xml:space="preserve">• Output Utente: tabella madre con un giocatore per riga, prezzo consigliato, range, statistiche e stato dell'asta.</t>
  </si>
  <si>
    <t xml:space="preserve">• Giocatori Liberi: elenco ordinato dei giocatori non ancora assegnati; il calcolo della scarsita' puo' escludere i giocatori con Qt.A=1.</t>
  </si>
  <si>
    <t xml:space="preserve">• La Mia Rosa: la tua rosa attuale + budget speso/rimanente + slot per ruolo, live durante l'asta.</t>
  </si>
  <si>
    <t xml:space="preserve">Come si calcola il prezzo (Output Utente)</t>
  </si>
  <si>
    <t xml:space="preserve">1. Prezzo Base FVM = (FVM del giocatore / Somma FVM Pool Totale) × Budget Totale Lega. Il pool comprende, per ciascun ruolo, i migliori N giocatori per FVM, dove N e' il numero totale di slot di quel ruolo nella lega. Il denominatore e' la somma dei pool di tutti i ruoli.</t>
  </si>
  <si>
    <t xml:space="preserve">2. Se il Modificatore Difesa o Centrocampo della tua lega e' attivo, il Prezzo Base del ruolo interessato viene aumentato del Boost Modificatore Ruolo (default +15%).</t>
  </si>
  <si>
    <t xml:space="preserve">3. Performance storica: il prezzo viene corretto in base alla Fantamedia 2025/26 rispetto alla media del proprio ruolo. Il peso e' in Parametri Modello &gt; Peso Performance Storica. Se le presenze sono inferiori alla soglia minima impostata, il giocatore non influenza la media del ruolo e il suo fattore storico resta neutro.</t>
  </si>
  <si>
    <t xml:space="preserve">4. Scarsita' di ruolo: il motore confronta giocatori disponibili e slot ancora da riempire. Se il rapporto scende sotto 1, il prezzo sale; se e' sopra 1, il prezzo scende. I giocatori con Qt.A=1 possono essere esclusi dal conteggio per evitare di considerare riserve/panchinari difficilmente utilizzabili.</t>
  </si>
  <si>
    <t xml:space="preserve">5. Valutazione Min / Max: il Prezzo Base corretto viene trasformato in un range tramite lo Spread % specifico del ruolo. 6. Offerta Max = Valutazione Min + (Valutazione Max − Valutazione Min) × Aggressivita'. 7. Se il giocatore e' nei Preferiti, l'Offerta Max riceve il boost previsto dal parametro Whichlist/Preferiti.</t>
  </si>
  <si>
    <t xml:space="preserve">Statistiche stagione precedente — filtro minimo presenze</t>
  </si>
  <si>
    <t xml:space="preserve">Le colonne Presenze / Gol / Assist / Media Voto / Fantamedia 2025/26 sono collegate al foglio 'Input Statistiche 2025_26'.</t>
  </si>
  <si>
    <t xml:space="preserve">La media di Fantamedia per ruolo e il fattore di performance usano solo i giocatori che raggiungono la soglia 'Presenze minime per storico (media/performance)' in Parametri Modello. Questo evita che 1-2 partite eccezionali o casuali spostino la media del ruolo e il prezzo di tutti gli altri giocatori.</t>
  </si>
  <si>
    <t xml:space="preserve">I giocatori senza storico o sotto la soglia minima non ricevono bonus/malus dalla performance storica: il loro prezzo resta determinato dagli altri componenti del motore.</t>
  </si>
  <si>
    <t xml:space="preserve">Fascia Aspettativa</t>
  </si>
  <si>
    <t xml:space="preserve">Il posizionamento del FVM nel ruolo (Top / Buono / Nella Media / Scommessa) misura quanto il mercato valuta oggi il giocatore. E' complementare alla Fantamedia storica.</t>
  </si>
  <si>
    <t xml:space="preserve">Come usare il motore durante l'asta</t>
  </si>
  <si>
    <t xml:space="preserve">• Quando un giocatore viene acquistato, inserisci Squadra Assegnata e Prezzo Pagato: la scarsita' e i dati della rosa si aggiornano.</t>
  </si>
  <si>
    <t xml:space="preserve">• L'Offerta Max rappresenta il tetto consigliato dalla strategia. Per una versione live piu' avanzata, il prossimo passo e' confrontare questo tetto con budget residuo, slot residui e alternative ancora disponibili.</t>
  </si>
  <si>
    <t xml:space="preserve">• La logica puo' essere portata in una web app mantenendo Excel come ambiente di validazione e test del motore.</t>
  </si>
  <si>
    <t xml:space="preserve">Validazione del motore tramite simulazione</t>
  </si>
  <si>
    <t xml:space="preserve">Un passaggio importante prima della web app e' simulare molte aste virtuali (es. 100-1.000). In ogni simulazione il motore deve decidere quanto spendere, contro avversari con strategie diverse, e alla fine confrontare qualita' della rosa, valore FVM acquistato, distribuzione del budget e risultati attesi.</t>
  </si>
  <si>
    <t xml:space="preserve">Confidence Storico: indicatore informativo della solidita' del dato storico, basato sulle presenze. Non modifica il prezzo. Serve a distinguere una Fantamedia ottenuta su molte partite da una ottenuta su un campione molto piccolo.</t>
  </si>
  <si>
    <t xml:space="preserve">Aggressivita': e' una preferenza dell'utente, non un parametro che il motore deve ottimizzare. Rappresenta quanto l'utente vuole spingersi verso il limite alto del range, soprattutto sui giocatori preferiti. Il motore non deve interpretare un'aggressivita' alta come una maggiore disponibilita' economica: il Max Bid dinamico resta comunque vincolato dal budget e dalla riserva minima.</t>
  </si>
  <si>
    <t xml:space="preserve">STATO ASTA — Auction State (si aggiorna da solo mentre assegni giocatori)</t>
  </si>
  <si>
    <t xml:space="preserve">Giocatori chiamati / Totale listone</t>
  </si>
  <si>
    <t xml:space="preserve">% Asta completata</t>
  </si>
  <si>
    <t xml:space="preserve">Budget medio residuo squadre attive</t>
  </si>
  <si>
    <t xml:space="preserve">Prezzo medio pagato finora (tutti i ruoli)</t>
  </si>
  <si>
    <t xml:space="preserve">Ruolo</t>
  </si>
  <si>
    <t xml:space="preserve">Top Rimasti</t>
  </si>
  <si>
    <t xml:space="preserve">Buoni Rimasti</t>
  </si>
  <si>
    <t xml:space="preserve">Top+Buoni Rimasti</t>
  </si>
  <si>
    <t xml:space="preserve">Slot Ancora da Riempire (Lega)</t>
  </si>
  <si>
    <t xml:space="preserve">Rapporto Qualità/Slot</t>
  </si>
  <si>
    <t xml:space="preserve">Pressione Asta</t>
  </si>
  <si>
    <t xml:space="preserve">Prezzo Medio Pagato</t>
  </si>
  <si>
    <t xml:space="preserve">P</t>
  </si>
  <si>
    <t xml:space="preserve">D</t>
  </si>
  <si>
    <t xml:space="preserve">C</t>
  </si>
  <si>
    <t xml:space="preserve">A</t>
  </si>
  <si>
    <t xml:space="preserve">Nota: Top/Buoni sono la Fascia Aspettativa di Output Utente (posizione nel FVM di ruolo), non una previsione — quindi "Top rimasti" scende man mano che chiami giocatori di quella fascia, indipendentemente da chi li compra.</t>
  </si>
  <si>
    <t xml:space="preserve">Nome Lega</t>
  </si>
  <si>
    <t xml:space="preserve">Lega Amici</t>
  </si>
  <si>
    <t xml:space="preserve">Opzionale</t>
  </si>
  <si>
    <t xml:space="preserve">Numero di Partecipanti</t>
  </si>
  <si>
    <t xml:space="preserve">Budget Iniziale</t>
  </si>
  <si>
    <t xml:space="preserve">Portieri Rosa</t>
  </si>
  <si>
    <t xml:space="preserve">Difensori Rosa</t>
  </si>
  <si>
    <t xml:space="preserve">Centrocampisti Rosa</t>
  </si>
  <si>
    <t xml:space="preserve">Attaccanti Rosa</t>
  </si>
  <si>
    <t xml:space="preserve">Attiva</t>
  </si>
  <si>
    <t xml:space="preserve">Nome Squadra 1</t>
  </si>
  <si>
    <t xml:space="preserve">xxx1</t>
  </si>
  <si>
    <t xml:space="preserve">Nome Squadra 2</t>
  </si>
  <si>
    <t xml:space="preserve">xxx2</t>
  </si>
  <si>
    <t xml:space="preserve">Nome Squadra 3</t>
  </si>
  <si>
    <t xml:space="preserve">xxx3</t>
  </si>
  <si>
    <t xml:space="preserve">Nome Squadra 4</t>
  </si>
  <si>
    <t xml:space="preserve">xxx4</t>
  </si>
  <si>
    <t xml:space="preserve">Nome Squadra 5</t>
  </si>
  <si>
    <t xml:space="preserve">xxx5</t>
  </si>
  <si>
    <t xml:space="preserve">Nome Squadra 6</t>
  </si>
  <si>
    <t xml:space="preserve">xxx6</t>
  </si>
  <si>
    <t xml:space="preserve">Nome Squadra 7</t>
  </si>
  <si>
    <t xml:space="preserve">xxx7</t>
  </si>
  <si>
    <t xml:space="preserve">Nome Squadra 8</t>
  </si>
  <si>
    <t xml:space="preserve">xxx8</t>
  </si>
  <si>
    <t xml:space="preserve">Nome Squadra 9</t>
  </si>
  <si>
    <t xml:space="preserve">xxx9</t>
  </si>
  <si>
    <t xml:space="preserve">Nome Squadra 10</t>
  </si>
  <si>
    <t xml:space="preserve">xxx10</t>
  </si>
  <si>
    <t xml:space="preserve">Nome Squadra 11</t>
  </si>
  <si>
    <t xml:space="preserve">xxx11</t>
  </si>
  <si>
    <t xml:space="preserve">Nome Squadra 12</t>
  </si>
  <si>
    <t xml:space="preserve">xxx12</t>
  </si>
  <si>
    <t xml:space="preserve">Nome Squadra 13</t>
  </si>
  <si>
    <t xml:space="preserve">xxx13</t>
  </si>
  <si>
    <t xml:space="preserve">Nome Squadra 14</t>
  </si>
  <si>
    <t xml:space="preserve">xxx14</t>
  </si>
  <si>
    <t xml:space="preserve">Nome Squadra 15</t>
  </si>
  <si>
    <t xml:space="preserve">xxx15</t>
  </si>
  <si>
    <t xml:space="preserve">Nome Squadra 16</t>
  </si>
  <si>
    <t xml:space="preserve">xxx16</t>
  </si>
  <si>
    <t xml:space="preserve">Modificatore Difesa</t>
  </si>
  <si>
    <t xml:space="preserve">Si</t>
  </si>
  <si>
    <t xml:space="preserve">Modificatore Centrocampo</t>
  </si>
  <si>
    <t xml:space="preserve">No</t>
  </si>
  <si>
    <t xml:space="preserve">Regole chiamata giocatori</t>
  </si>
  <si>
    <t xml:space="preserve">A Chiamata Libera</t>
  </si>
  <si>
    <t xml:space="preserve">La Mia Squadra</t>
  </si>
  <si>
    <t xml:space="preserve">Seleziona il tuo nome squadra dalla lista sopra (B9:B24)</t>
  </si>
  <si>
    <t xml:space="preserve">Modulo Preferito</t>
  </si>
  <si>
    <t xml:space="preserve">3-4-3</t>
  </si>
  <si>
    <t xml:space="preserve">Lista Giocatori Preferiti (nome esatto come in Input Giocatori)</t>
  </si>
  <si>
    <t xml:space="preserve">Giocatori Preferiti</t>
  </si>
  <si>
    <t xml:space="preserve">Aggressivita</t>
  </si>
  <si>
    <t xml:space="preserve"> </t>
  </si>
  <si>
    <t xml:space="preserve">Quotazioni Fantacalcio Stagione 2026 27</t>
  </si>
  <si>
    <t xml:space="preserve">Id</t>
  </si>
  <si>
    <t xml:space="preserve">R</t>
  </si>
  <si>
    <t xml:space="preserve">Nome</t>
  </si>
  <si>
    <t xml:space="preserve">Squadra</t>
  </si>
  <si>
    <t xml:space="preserve">Qt.A</t>
  </si>
  <si>
    <t xml:space="preserve">Qt.I</t>
  </si>
  <si>
    <t xml:space="preserve">FVM/1000</t>
  </si>
  <si>
    <t xml:space="preserve">Svilar</t>
  </si>
  <si>
    <t xml:space="preserve">Roma</t>
  </si>
  <si>
    <t xml:space="preserve">Martinez Jo.</t>
  </si>
  <si>
    <t xml:space="preserve">Inter</t>
  </si>
  <si>
    <t xml:space="preserve">Carnesecchi</t>
  </si>
  <si>
    <t xml:space="preserve">Atalanta</t>
  </si>
  <si>
    <t xml:space="preserve">Butez</t>
  </si>
  <si>
    <t xml:space="preserve">Como</t>
  </si>
  <si>
    <t xml:space="preserve">Maignan</t>
  </si>
  <si>
    <t xml:space="preserve">Milan</t>
  </si>
  <si>
    <t xml:space="preserve">De Gea</t>
  </si>
  <si>
    <t xml:space="preserve">Fiorentina</t>
  </si>
  <si>
    <t xml:space="preserve">Meret</t>
  </si>
  <si>
    <t xml:space="preserve">Napoli</t>
  </si>
  <si>
    <t xml:space="preserve">Skorupski</t>
  </si>
  <si>
    <t xml:space="preserve">Bologna</t>
  </si>
  <si>
    <t xml:space="preserve">Caprile</t>
  </si>
  <si>
    <t xml:space="preserve">Cagliari</t>
  </si>
  <si>
    <t xml:space="preserve">Di Gregorio</t>
  </si>
  <si>
    <t xml:space="preserve">Juventus</t>
  </si>
  <si>
    <t xml:space="preserve">Mandas</t>
  </si>
  <si>
    <t xml:space="preserve">Lazio</t>
  </si>
  <si>
    <t xml:space="preserve">Okoye</t>
  </si>
  <si>
    <t xml:space="preserve">Udinese</t>
  </si>
  <si>
    <t xml:space="preserve">Bijlow</t>
  </si>
  <si>
    <t xml:space="preserve">Genoa</t>
  </si>
  <si>
    <t xml:space="preserve">Falcone</t>
  </si>
  <si>
    <t xml:space="preserve">Lecce</t>
  </si>
  <si>
    <t xml:space="preserve">Daffara</t>
  </si>
  <si>
    <t xml:space="preserve">Parma</t>
  </si>
  <si>
    <t xml:space="preserve">Suzuki</t>
  </si>
  <si>
    <t xml:space="preserve">Muric</t>
  </si>
  <si>
    <t xml:space="preserve">Sassuolo</t>
  </si>
  <si>
    <t xml:space="preserve">Perin</t>
  </si>
  <si>
    <t xml:space="preserve">Stankovic F.</t>
  </si>
  <si>
    <t xml:space="preserve">Venezia</t>
  </si>
  <si>
    <t xml:space="preserve">Thiam</t>
  </si>
  <si>
    <t xml:space="preserve">Monza</t>
  </si>
  <si>
    <t xml:space="preserve">Milinkovic-Savic V.</t>
  </si>
  <si>
    <t xml:space="preserve">Palmisani</t>
  </si>
  <si>
    <t xml:space="preserve">Frosinone</t>
  </si>
  <si>
    <t xml:space="preserve">Desplanches</t>
  </si>
  <si>
    <t xml:space="preserve">Provedel</t>
  </si>
  <si>
    <t xml:space="preserve">Rossi F.</t>
  </si>
  <si>
    <t xml:space="preserve">Sportiello</t>
  </si>
  <si>
    <t xml:space="preserve">Happonen</t>
  </si>
  <si>
    <t xml:space="preserve">Pessina Mas.</t>
  </si>
  <si>
    <t xml:space="preserve">Ciocci</t>
  </si>
  <si>
    <t xml:space="preserve">Sherri</t>
  </si>
  <si>
    <t xml:space="preserve">Tornqvist</t>
  </si>
  <si>
    <t xml:space="preserve">Vigorito</t>
  </si>
  <si>
    <t xml:space="preserve">Christensen O.</t>
  </si>
  <si>
    <t xml:space="preserve">Lezzerini</t>
  </si>
  <si>
    <t xml:space="preserve">Lolic</t>
  </si>
  <si>
    <t xml:space="preserve">Sommariva</t>
  </si>
  <si>
    <t xml:space="preserve">Stolz</t>
  </si>
  <si>
    <t xml:space="preserve">Di Gennaro</t>
  </si>
  <si>
    <t xml:space="preserve">Pinsoglio</t>
  </si>
  <si>
    <t xml:space="preserve">Motta</t>
  </si>
  <si>
    <t xml:space="preserve">Renzetti</t>
  </si>
  <si>
    <t xml:space="preserve">Samooja</t>
  </si>
  <si>
    <t xml:space="preserve">Terracciano</t>
  </si>
  <si>
    <t xml:space="preserve">Torriani</t>
  </si>
  <si>
    <t xml:space="preserve">Pizzignacco</t>
  </si>
  <si>
    <t xml:space="preserve">Strajnar</t>
  </si>
  <si>
    <t xml:space="preserve">Contini</t>
  </si>
  <si>
    <t xml:space="preserve">Corvi</t>
  </si>
  <si>
    <t xml:space="preserve">De Marzi</t>
  </si>
  <si>
    <t xml:space="preserve">Gollini</t>
  </si>
  <si>
    <t xml:space="preserve">Russo A.</t>
  </si>
  <si>
    <t xml:space="preserve">Turati</t>
  </si>
  <si>
    <t xml:space="preserve">Mascardi</t>
  </si>
  <si>
    <t xml:space="preserve">Torino</t>
  </si>
  <si>
    <t xml:space="preserve">Paleari</t>
  </si>
  <si>
    <t xml:space="preserve">Siviero</t>
  </si>
  <si>
    <t xml:space="preserve">Padelli</t>
  </si>
  <si>
    <t xml:space="preserve">Piana</t>
  </si>
  <si>
    <t xml:space="preserve">Grandi</t>
  </si>
  <si>
    <t xml:space="preserve">Pozzi</t>
  </si>
  <si>
    <t xml:space="preserve">Dimarco</t>
  </si>
  <si>
    <t xml:space="preserve">Wesley</t>
  </si>
  <si>
    <t xml:space="preserve">Akanji</t>
  </si>
  <si>
    <t xml:space="preserve">Bremer</t>
  </si>
  <si>
    <t xml:space="preserve">Mancini</t>
  </si>
  <si>
    <t xml:space="preserve">Bastoni</t>
  </si>
  <si>
    <t xml:space="preserve">Pavlovic</t>
  </si>
  <si>
    <t xml:space="preserve">Rrahmani</t>
  </si>
  <si>
    <t xml:space="preserve">Kalulu</t>
  </si>
  <si>
    <t xml:space="preserve">N'Dicka</t>
  </si>
  <si>
    <t xml:space="preserve">Solet</t>
  </si>
  <si>
    <t xml:space="preserve">Stones</t>
  </si>
  <si>
    <t xml:space="preserve">Gila</t>
  </si>
  <si>
    <t xml:space="preserve">Di Lorenzo</t>
  </si>
  <si>
    <t xml:space="preserve">Ostigard</t>
  </si>
  <si>
    <t xml:space="preserve">Bisseck</t>
  </si>
  <si>
    <t xml:space="preserve">Scalvini</t>
  </si>
  <si>
    <t xml:space="preserve">Ramon</t>
  </si>
  <si>
    <t xml:space="preserve">Dodò</t>
  </si>
  <si>
    <t xml:space="preserve">Hermoso</t>
  </si>
  <si>
    <t xml:space="preserve">Vasquez</t>
  </si>
  <si>
    <t xml:space="preserve">Cambiaso</t>
  </si>
  <si>
    <t xml:space="preserve">Hien</t>
  </si>
  <si>
    <t xml:space="preserve">Zappacosta</t>
  </si>
  <si>
    <t xml:space="preserve">Lucumì</t>
  </si>
  <si>
    <t xml:space="preserve">Miranda J.</t>
  </si>
  <si>
    <t xml:space="preserve">Mina</t>
  </si>
  <si>
    <t xml:space="preserve">Dragusin</t>
  </si>
  <si>
    <t xml:space="preserve">Jimenez A.</t>
  </si>
  <si>
    <t xml:space="preserve">Norton-Cuffy</t>
  </si>
  <si>
    <t xml:space="preserve">Celik</t>
  </si>
  <si>
    <t xml:space="preserve">Bartesaghi</t>
  </si>
  <si>
    <t xml:space="preserve">Spinazzola</t>
  </si>
  <si>
    <t xml:space="preserve">Delprato</t>
  </si>
  <si>
    <t xml:space="preserve">Valeri</t>
  </si>
  <si>
    <t xml:space="preserve">Koulierakis</t>
  </si>
  <si>
    <t xml:space="preserve">Vojvoda</t>
  </si>
  <si>
    <t xml:space="preserve">Djimsiti</t>
  </si>
  <si>
    <t xml:space="preserve">Obert</t>
  </si>
  <si>
    <t xml:space="preserve">Kaiki</t>
  </si>
  <si>
    <t xml:space="preserve">Carlos Augusto</t>
  </si>
  <si>
    <t xml:space="preserve">Doekhi</t>
  </si>
  <si>
    <t xml:space="preserve">Romagnoli</t>
  </si>
  <si>
    <t xml:space="preserve">Tiago Gabriel</t>
  </si>
  <si>
    <t xml:space="preserve">Gabbia</t>
  </si>
  <si>
    <t xml:space="preserve">Tomori</t>
  </si>
  <si>
    <t xml:space="preserve">Buongiorno</t>
  </si>
  <si>
    <t xml:space="preserve">Idzes</t>
  </si>
  <si>
    <t xml:space="preserve">Coco</t>
  </si>
  <si>
    <t xml:space="preserve">Ismajli</t>
  </si>
  <si>
    <t xml:space="preserve">Kristensen T.</t>
  </si>
  <si>
    <t xml:space="preserve">Ahanor</t>
  </si>
  <si>
    <t xml:space="preserve">Bellanova</t>
  </si>
  <si>
    <t xml:space="preserve">Bernasconi</t>
  </si>
  <si>
    <t xml:space="preserve">Heggem</t>
  </si>
  <si>
    <t xml:space="preserve">Zortea</t>
  </si>
  <si>
    <t xml:space="preserve">Valle</t>
  </si>
  <si>
    <t xml:space="preserve">Valdepenas</t>
  </si>
  <si>
    <t xml:space="preserve">Viery</t>
  </si>
  <si>
    <t xml:space="preserve">Monterisi</t>
  </si>
  <si>
    <t xml:space="preserve">Marcandalli</t>
  </si>
  <si>
    <t xml:space="preserve">Pavard</t>
  </si>
  <si>
    <t xml:space="preserve">Tavares N.</t>
  </si>
  <si>
    <t xml:space="preserve">Marusic</t>
  </si>
  <si>
    <t xml:space="preserve">Gallo</t>
  </si>
  <si>
    <t xml:space="preserve">Mangas</t>
  </si>
  <si>
    <t xml:space="preserve">Beukema</t>
  </si>
  <si>
    <t xml:space="preserve">Circati</t>
  </si>
  <si>
    <t xml:space="preserve">Comuzzo</t>
  </si>
  <si>
    <t xml:space="preserve">Kamara H.</t>
  </si>
  <si>
    <t xml:space="preserve">Bella-Kotchap</t>
  </si>
  <si>
    <t xml:space="preserve">Kolasinac</t>
  </si>
  <si>
    <t xml:space="preserve">Vitik</t>
  </si>
  <si>
    <t xml:space="preserve">Holm</t>
  </si>
  <si>
    <t xml:space="preserve">Kofler</t>
  </si>
  <si>
    <t xml:space="preserve">Zè Pedro</t>
  </si>
  <si>
    <t xml:space="preserve">Kempf</t>
  </si>
  <si>
    <t xml:space="preserve">Parisi</t>
  </si>
  <si>
    <t xml:space="preserve">Bracaglia</t>
  </si>
  <si>
    <t xml:space="preserve">Oyono A.</t>
  </si>
  <si>
    <t xml:space="preserve">Martin</t>
  </si>
  <si>
    <t xml:space="preserve">Kelly L.</t>
  </si>
  <si>
    <t xml:space="preserve">Pedraza</t>
  </si>
  <si>
    <t xml:space="preserve">Gaspar K.</t>
  </si>
  <si>
    <t xml:space="preserve">Veiga D.</t>
  </si>
  <si>
    <t xml:space="preserve">Olivera</t>
  </si>
  <si>
    <t xml:space="preserve">Rensch</t>
  </si>
  <si>
    <t xml:space="preserve">Pedersen</t>
  </si>
  <si>
    <t xml:space="preserve">Moreno M.</t>
  </si>
  <si>
    <t xml:space="preserve">Haps</t>
  </si>
  <si>
    <t xml:space="preserve">Zappa</t>
  </si>
  <si>
    <t xml:space="preserve">Smolcic I.</t>
  </si>
  <si>
    <t xml:space="preserve">Pongracic</t>
  </si>
  <si>
    <t xml:space="preserve">Calvani</t>
  </si>
  <si>
    <t xml:space="preserve">Mitaj</t>
  </si>
  <si>
    <t xml:space="preserve">Gatti</t>
  </si>
  <si>
    <t xml:space="preserve">Siebert</t>
  </si>
  <si>
    <t xml:space="preserve">Delli Carri</t>
  </si>
  <si>
    <t xml:space="preserve">Lucchesi</t>
  </si>
  <si>
    <t xml:space="preserve">Birindelli</t>
  </si>
  <si>
    <t xml:space="preserve">Valenti</t>
  </si>
  <si>
    <t xml:space="preserve">Ghilardi</t>
  </si>
  <si>
    <t xml:space="preserve">Walukiewicz</t>
  </si>
  <si>
    <t xml:space="preserve">Doig</t>
  </si>
  <si>
    <t xml:space="preserve">Comert</t>
  </si>
  <si>
    <t xml:space="preserve">Kabasele</t>
  </si>
  <si>
    <t xml:space="preserve">Bertola</t>
  </si>
  <si>
    <t xml:space="preserve">Zanoli</t>
  </si>
  <si>
    <t xml:space="preserve">Arizala</t>
  </si>
  <si>
    <t xml:space="preserve">Halhal</t>
  </si>
  <si>
    <t xml:space="preserve">Correia T.</t>
  </si>
  <si>
    <t xml:space="preserve">Kossounou</t>
  </si>
  <si>
    <t xml:space="preserve">Casale</t>
  </si>
  <si>
    <t xml:space="preserve">Rodriguez Ju.</t>
  </si>
  <si>
    <t xml:space="preserve">Idrissi R.</t>
  </si>
  <si>
    <t xml:space="preserve">Ranieri L.</t>
  </si>
  <si>
    <t xml:space="preserve">Joao Mario</t>
  </si>
  <si>
    <t xml:space="preserve">Akpoguma</t>
  </si>
  <si>
    <t xml:space="preserve">Cittadini</t>
  </si>
  <si>
    <t xml:space="preserve">Provstgaard</t>
  </si>
  <si>
    <t xml:space="preserve">Floriani Mussolini</t>
  </si>
  <si>
    <t xml:space="preserve">De Winter</t>
  </si>
  <si>
    <t xml:space="preserve">Athekame</t>
  </si>
  <si>
    <t xml:space="preserve">Estupinan</t>
  </si>
  <si>
    <t xml:space="preserve">Kouadio</t>
  </si>
  <si>
    <t xml:space="preserve">Carboni A.</t>
  </si>
  <si>
    <t xml:space="preserve">Troilo</t>
  </si>
  <si>
    <t xml:space="preserve">Britschgi</t>
  </si>
  <si>
    <t xml:space="preserve">Candè</t>
  </si>
  <si>
    <t xml:space="preserve">Schingtienne</t>
  </si>
  <si>
    <t xml:space="preserve">Sverko</t>
  </si>
  <si>
    <t xml:space="preserve">Hainaut</t>
  </si>
  <si>
    <t xml:space="preserve">Helland</t>
  </si>
  <si>
    <t xml:space="preserve">Alhassane</t>
  </si>
  <si>
    <t xml:space="preserve">Van Der Brempt</t>
  </si>
  <si>
    <t xml:space="preserve">Otoa</t>
  </si>
  <si>
    <t xml:space="preserve">Puczka</t>
  </si>
  <si>
    <t xml:space="preserve">Sabelli</t>
  </si>
  <si>
    <t xml:space="preserve">Lazzari</t>
  </si>
  <si>
    <t xml:space="preserve">Pellegrini Lu.</t>
  </si>
  <si>
    <t xml:space="preserve">Jean</t>
  </si>
  <si>
    <t xml:space="preserve">Diawara S.</t>
  </si>
  <si>
    <t xml:space="preserve">Marin R.</t>
  </si>
  <si>
    <t xml:space="preserve">Biraghi</t>
  </si>
  <si>
    <t xml:space="preserve">Palma</t>
  </si>
  <si>
    <t xml:space="preserve">Ebosse</t>
  </si>
  <si>
    <t xml:space="preserve">Franjic</t>
  </si>
  <si>
    <t xml:space="preserve">Sagrado</t>
  </si>
  <si>
    <t xml:space="preserve">De Silvestri</t>
  </si>
  <si>
    <t xml:space="preserve">Raterink</t>
  </si>
  <si>
    <t xml:space="preserve">Goldaniga</t>
  </si>
  <si>
    <t xml:space="preserve">Cuenca A.</t>
  </si>
  <si>
    <t xml:space="preserve">Amey</t>
  </si>
  <si>
    <t xml:space="preserve">Gelli J.</t>
  </si>
  <si>
    <t xml:space="preserve">Oyono J.</t>
  </si>
  <si>
    <t xml:space="preserve">Corrado</t>
  </si>
  <si>
    <t xml:space="preserve">Vogliacco</t>
  </si>
  <si>
    <t xml:space="preserve">Matturro</t>
  </si>
  <si>
    <t xml:space="preserve">Rugani</t>
  </si>
  <si>
    <t xml:space="preserve">Cabal</t>
  </si>
  <si>
    <t xml:space="preserve">Patric</t>
  </si>
  <si>
    <t xml:space="preserve">Perez M.</t>
  </si>
  <si>
    <t xml:space="preserve">Ndaba</t>
  </si>
  <si>
    <t xml:space="preserve">Antov</t>
  </si>
  <si>
    <t xml:space="preserve">Bakoune</t>
  </si>
  <si>
    <t xml:space="preserve">Marianucci</t>
  </si>
  <si>
    <t xml:space="preserve">Mazzocchi</t>
  </si>
  <si>
    <t xml:space="preserve">Ndiaye</t>
  </si>
  <si>
    <t xml:space="preserve">Carboni F.</t>
  </si>
  <si>
    <t xml:space="preserve">Ziolkowski</t>
  </si>
  <si>
    <t xml:space="preserve">Missori</t>
  </si>
  <si>
    <t xml:space="preserve">Pieragnolo</t>
  </si>
  <si>
    <t xml:space="preserve">Mlacic</t>
  </si>
  <si>
    <t xml:space="preserve">Abankwah</t>
  </si>
  <si>
    <t xml:space="preserve">Gomes</t>
  </si>
  <si>
    <t xml:space="preserve">Paz N.</t>
  </si>
  <si>
    <t xml:space="preserve">McTominay</t>
  </si>
  <si>
    <t xml:space="preserve">Calhanoglu</t>
  </si>
  <si>
    <t xml:space="preserve">Orsolini</t>
  </si>
  <si>
    <t xml:space="preserve">Pulisic</t>
  </si>
  <si>
    <t xml:space="preserve">Rabiot</t>
  </si>
  <si>
    <t xml:space="preserve">Baturina</t>
  </si>
  <si>
    <t xml:space="preserve">Da Cunha</t>
  </si>
  <si>
    <t xml:space="preserve">Zaniolo</t>
  </si>
  <si>
    <t xml:space="preserve">Atta</t>
  </si>
  <si>
    <t xml:space="preserve">Barella</t>
  </si>
  <si>
    <t xml:space="preserve">McKennie</t>
  </si>
  <si>
    <t xml:space="preserve">Zaccagni</t>
  </si>
  <si>
    <t xml:space="preserve">De Bruyne</t>
  </si>
  <si>
    <t xml:space="preserve">Vlasic</t>
  </si>
  <si>
    <t xml:space="preserve">Gudmundsson A.</t>
  </si>
  <si>
    <t xml:space="preserve">Taylor K.</t>
  </si>
  <si>
    <t xml:space="preserve">Ederson D.S.</t>
  </si>
  <si>
    <t xml:space="preserve">Samardzic</t>
  </si>
  <si>
    <t xml:space="preserve">Rodriguez Je.</t>
  </si>
  <si>
    <t xml:space="preserve">Alajbegovic</t>
  </si>
  <si>
    <t xml:space="preserve">Conceicao</t>
  </si>
  <si>
    <t xml:space="preserve">Modric</t>
  </si>
  <si>
    <t xml:space="preserve">Rowe</t>
  </si>
  <si>
    <t xml:space="preserve">Baldanzi</t>
  </si>
  <si>
    <t xml:space="preserve">Zambo Anguissa</t>
  </si>
  <si>
    <t xml:space="preserve">Perrone</t>
  </si>
  <si>
    <t xml:space="preserve">Zielinski</t>
  </si>
  <si>
    <t xml:space="preserve">Thuram K.</t>
  </si>
  <si>
    <t xml:space="preserve">Saelemaekers</t>
  </si>
  <si>
    <t xml:space="preserve">Politano</t>
  </si>
  <si>
    <t xml:space="preserve">Konè M.</t>
  </si>
  <si>
    <t xml:space="preserve">Thorstvedt</t>
  </si>
  <si>
    <t xml:space="preserve">Casadei</t>
  </si>
  <si>
    <t xml:space="preserve">Ekkelenkamp</t>
  </si>
  <si>
    <t xml:space="preserve">Pasalic</t>
  </si>
  <si>
    <t xml:space="preserve">Bernardeschi</t>
  </si>
  <si>
    <t xml:space="preserve">Mandragora</t>
  </si>
  <si>
    <t xml:space="preserve">Cancellieri</t>
  </si>
  <si>
    <t xml:space="preserve">Isaksen</t>
  </si>
  <si>
    <t xml:space="preserve">Konè I.</t>
  </si>
  <si>
    <t xml:space="preserve">Odgaard</t>
  </si>
  <si>
    <t xml:space="preserve">Cambiaghi</t>
  </si>
  <si>
    <t xml:space="preserve">Fagioli</t>
  </si>
  <si>
    <t xml:space="preserve">Ndour</t>
  </si>
  <si>
    <t xml:space="preserve">Diouf</t>
  </si>
  <si>
    <t xml:space="preserve">Sucic P.</t>
  </si>
  <si>
    <t xml:space="preserve">Locatelli</t>
  </si>
  <si>
    <t xml:space="preserve">Colpani</t>
  </si>
  <si>
    <t xml:space="preserve">Vergara</t>
  </si>
  <si>
    <t xml:space="preserve">Cristante</t>
  </si>
  <si>
    <t xml:space="preserve">Gaetano</t>
  </si>
  <si>
    <t xml:space="preserve">Ferguson</t>
  </si>
  <si>
    <t xml:space="preserve">Fazzini</t>
  </si>
  <si>
    <t xml:space="preserve">Calò</t>
  </si>
  <si>
    <t xml:space="preserve">Frendrup</t>
  </si>
  <si>
    <t xml:space="preserve">Frattesi</t>
  </si>
  <si>
    <t xml:space="preserve">Pessina</t>
  </si>
  <si>
    <t xml:space="preserve">Lobotka</t>
  </si>
  <si>
    <t xml:space="preserve">Bernabè</t>
  </si>
  <si>
    <t xml:space="preserve">Volpato</t>
  </si>
  <si>
    <t xml:space="preserve">Oristanio</t>
  </si>
  <si>
    <t xml:space="preserve">Unai Gomez</t>
  </si>
  <si>
    <t xml:space="preserve">Zalewski</t>
  </si>
  <si>
    <t xml:space="preserve">Pobega</t>
  </si>
  <si>
    <t xml:space="preserve">Adopo</t>
  </si>
  <si>
    <t xml:space="preserve">Winks</t>
  </si>
  <si>
    <t xml:space="preserve">Caqueret</t>
  </si>
  <si>
    <t xml:space="preserve">Liberali</t>
  </si>
  <si>
    <t xml:space="preserve">Oulai</t>
  </si>
  <si>
    <t xml:space="preserve">Ellertsson</t>
  </si>
  <si>
    <t xml:space="preserve">Zhegrova</t>
  </si>
  <si>
    <t xml:space="preserve">Rovella</t>
  </si>
  <si>
    <t xml:space="preserve">Coulibaly L.</t>
  </si>
  <si>
    <t xml:space="preserve">Pierotti</t>
  </si>
  <si>
    <t xml:space="preserve">Chukwueze</t>
  </si>
  <si>
    <t xml:space="preserve">Akinsanmiro</t>
  </si>
  <si>
    <t xml:space="preserve">Nicolussi Caviglia</t>
  </si>
  <si>
    <t xml:space="preserve">Karlstrom</t>
  </si>
  <si>
    <t xml:space="preserve">Basic</t>
  </si>
  <si>
    <t xml:space="preserve">Amondarain</t>
  </si>
  <si>
    <t xml:space="preserve">Romano</t>
  </si>
  <si>
    <t xml:space="preserve">Felici</t>
  </si>
  <si>
    <t xml:space="preserve">Milla</t>
  </si>
  <si>
    <t xml:space="preserve">Addai</t>
  </si>
  <si>
    <t xml:space="preserve">Zerbin</t>
  </si>
  <si>
    <t xml:space="preserve">Meichtry</t>
  </si>
  <si>
    <t xml:space="preserve">Traorè Hj.</t>
  </si>
  <si>
    <t xml:space="preserve">Mkhitaryan</t>
  </si>
  <si>
    <t xml:space="preserve">Koopmeiners</t>
  </si>
  <si>
    <t xml:space="preserve">Dele-Bashiru</t>
  </si>
  <si>
    <t xml:space="preserve">Berisha M.</t>
  </si>
  <si>
    <t xml:space="preserve">Gandelman</t>
  </si>
  <si>
    <t xml:space="preserve">Fofana Y.</t>
  </si>
  <si>
    <t xml:space="preserve">Keita M.</t>
  </si>
  <si>
    <t xml:space="preserve">Ondrejka</t>
  </si>
  <si>
    <t xml:space="preserve">Pisilli</t>
  </si>
  <si>
    <t xml:space="preserve">Matic</t>
  </si>
  <si>
    <t xml:space="preserve">Adzic</t>
  </si>
  <si>
    <t xml:space="preserve">Bakola</t>
  </si>
  <si>
    <t xml:space="preserve">Cacciamani</t>
  </si>
  <si>
    <t xml:space="preserve">Gineitis</t>
  </si>
  <si>
    <t xml:space="preserve">Piotrowski</t>
  </si>
  <si>
    <t xml:space="preserve">Busio</t>
  </si>
  <si>
    <t xml:space="preserve">Sohm</t>
  </si>
  <si>
    <t xml:space="preserve">Perez K.</t>
  </si>
  <si>
    <t xml:space="preserve">De Roon</t>
  </si>
  <si>
    <t xml:space="preserve">Moro N.</t>
  </si>
  <si>
    <t xml:space="preserve">Prati</t>
  </si>
  <si>
    <t xml:space="preserve">Fabbian</t>
  </si>
  <si>
    <t xml:space="preserve">Cichella</t>
  </si>
  <si>
    <t xml:space="preserve">Koutsoupias</t>
  </si>
  <si>
    <t xml:space="preserve">Amorim</t>
  </si>
  <si>
    <t xml:space="preserve">Luis Henrique</t>
  </si>
  <si>
    <t xml:space="preserve">Douglas Luiz</t>
  </si>
  <si>
    <t xml:space="preserve">Cataldi</t>
  </si>
  <si>
    <t xml:space="preserve">Ngom</t>
  </si>
  <si>
    <t xml:space="preserve">Ricci S.</t>
  </si>
  <si>
    <t xml:space="preserve">Jashari</t>
  </si>
  <si>
    <t xml:space="preserve">Loftus-Cheek</t>
  </si>
  <si>
    <t xml:space="preserve">Folorunsho</t>
  </si>
  <si>
    <t xml:space="preserve">Almqvist</t>
  </si>
  <si>
    <t xml:space="preserve">El Aynaoui</t>
  </si>
  <si>
    <t xml:space="preserve">Fitz-Jim</t>
  </si>
  <si>
    <t xml:space="preserve">Ilkhan</t>
  </si>
  <si>
    <t xml:space="preserve">Njie</t>
  </si>
  <si>
    <t xml:space="preserve">Sulemana I.</t>
  </si>
  <si>
    <t xml:space="preserve">Dominguez B.</t>
  </si>
  <si>
    <t xml:space="preserve">Deiola</t>
  </si>
  <si>
    <t xml:space="preserve">Brescianini</t>
  </si>
  <si>
    <t xml:space="preserve">Gelli F.</t>
  </si>
  <si>
    <t xml:space="preserve">Fini </t>
  </si>
  <si>
    <t xml:space="preserve">Messias</t>
  </si>
  <si>
    <t xml:space="preserve">Stankovic A.</t>
  </si>
  <si>
    <t xml:space="preserve">Miretti</t>
  </si>
  <si>
    <t xml:space="preserve">Colombo L.</t>
  </si>
  <si>
    <t xml:space="preserve">Gilmour</t>
  </si>
  <si>
    <t xml:space="preserve">Sorensen O.</t>
  </si>
  <si>
    <t xml:space="preserve">Diallo O.</t>
  </si>
  <si>
    <t xml:space="preserve">Aboukhlal</t>
  </si>
  <si>
    <t xml:space="preserve">Miller L.</t>
  </si>
  <si>
    <t xml:space="preserve">Helgason</t>
  </si>
  <si>
    <t xml:space="preserve">El Azzouzi O.</t>
  </si>
  <si>
    <t xml:space="preserve">Fadera</t>
  </si>
  <si>
    <t xml:space="preserve">Hasa</t>
  </si>
  <si>
    <t xml:space="preserve">Masini</t>
  </si>
  <si>
    <t xml:space="preserve">Venturino</t>
  </si>
  <si>
    <t xml:space="preserve">Maleh</t>
  </si>
  <si>
    <t xml:space="preserve">Musah</t>
  </si>
  <si>
    <t xml:space="preserve">Ciurria</t>
  </si>
  <si>
    <t xml:space="preserve">Ordonez C.</t>
  </si>
  <si>
    <t xml:space="preserve">Boloca</t>
  </si>
  <si>
    <t xml:space="preserve">Lipani</t>
  </si>
  <si>
    <t xml:space="preserve">Chakvetadze</t>
  </si>
  <si>
    <t xml:space="preserve">Duncan</t>
  </si>
  <si>
    <t xml:space="preserve">Liteta</t>
  </si>
  <si>
    <t xml:space="preserve">Lahdo</t>
  </si>
  <si>
    <t xml:space="preserve">El Azzouzi A.</t>
  </si>
  <si>
    <t xml:space="preserve">Kone B.</t>
  </si>
  <si>
    <t xml:space="preserve">Belahyane</t>
  </si>
  <si>
    <t xml:space="preserve">Przyborek</t>
  </si>
  <si>
    <t xml:space="preserve">Gorter</t>
  </si>
  <si>
    <t xml:space="preserve">Kaba</t>
  </si>
  <si>
    <t xml:space="preserve">Fofana Sa.</t>
  </si>
  <si>
    <t xml:space="preserve">Cremaschi</t>
  </si>
  <si>
    <t xml:space="preserve">Iannoni</t>
  </si>
  <si>
    <t xml:space="preserve">Ilic</t>
  </si>
  <si>
    <t xml:space="preserve">Anjorin</t>
  </si>
  <si>
    <t xml:space="preserve">Camara A.</t>
  </si>
  <si>
    <t xml:space="preserve">Zarraga</t>
  </si>
  <si>
    <t xml:space="preserve">Bjarkason</t>
  </si>
  <si>
    <t xml:space="preserve">Dagasso</t>
  </si>
  <si>
    <t xml:space="preserve">Martinez L.</t>
  </si>
  <si>
    <t xml:space="preserve">Malen</t>
  </si>
  <si>
    <t xml:space="preserve">Thuram</t>
  </si>
  <si>
    <t xml:space="preserve">Hojlund</t>
  </si>
  <si>
    <t xml:space="preserve">Ramos G.</t>
  </si>
  <si>
    <t xml:space="preserve">Kolo Muani</t>
  </si>
  <si>
    <t xml:space="preserve">Kean</t>
  </si>
  <si>
    <t xml:space="preserve">Yildiz</t>
  </si>
  <si>
    <t xml:space="preserve">Douvikas</t>
  </si>
  <si>
    <t xml:space="preserve">Scamacca</t>
  </si>
  <si>
    <t xml:space="preserve">Davis K.</t>
  </si>
  <si>
    <t xml:space="preserve">Krstovic</t>
  </si>
  <si>
    <t xml:space="preserve">Leao</t>
  </si>
  <si>
    <t xml:space="preserve">Berardi</t>
  </si>
  <si>
    <t xml:space="preserve">De Ketelaere</t>
  </si>
  <si>
    <t xml:space="preserve">Dovbyk</t>
  </si>
  <si>
    <t xml:space="preserve">Esposito F.P.</t>
  </si>
  <si>
    <t xml:space="preserve">Pellegrino M.</t>
  </si>
  <si>
    <t xml:space="preserve">Laurientè</t>
  </si>
  <si>
    <t xml:space="preserve">Simeone</t>
  </si>
  <si>
    <t xml:space="preserve">Santos A.</t>
  </si>
  <si>
    <t xml:space="preserve">Dybala</t>
  </si>
  <si>
    <t xml:space="preserve">Castro S.</t>
  </si>
  <si>
    <t xml:space="preserve">Raspadori</t>
  </si>
  <si>
    <t xml:space="preserve">Esposito Se.</t>
  </si>
  <si>
    <t xml:space="preserve">Nkunku</t>
  </si>
  <si>
    <t xml:space="preserve">Pinamonti</t>
  </si>
  <si>
    <t xml:space="preserve">Soulè</t>
  </si>
  <si>
    <t xml:space="preserve">Adams A.</t>
  </si>
  <si>
    <t xml:space="preserve">Diao</t>
  </si>
  <si>
    <t xml:space="preserve">Colombo</t>
  </si>
  <si>
    <t xml:space="preserve">Dia</t>
  </si>
  <si>
    <t xml:space="preserve">Ratkov</t>
  </si>
  <si>
    <t xml:space="preserve">Lukaku</t>
  </si>
  <si>
    <t xml:space="preserve">Bowie</t>
  </si>
  <si>
    <t xml:space="preserve">Ghedjemis</t>
  </si>
  <si>
    <t xml:space="preserve">David</t>
  </si>
  <si>
    <t xml:space="preserve">Geubbels</t>
  </si>
  <si>
    <t xml:space="preserve">Cutrone</t>
  </si>
  <si>
    <t xml:space="preserve">Adams C.</t>
  </si>
  <si>
    <t xml:space="preserve">Dallinga</t>
  </si>
  <si>
    <t xml:space="preserve">Piccoli</t>
  </si>
  <si>
    <t xml:space="preserve">Vitinha O.</t>
  </si>
  <si>
    <t xml:space="preserve">Yeboah J.</t>
  </si>
  <si>
    <t xml:space="preserve">Rrahmani Al.</t>
  </si>
  <si>
    <t xml:space="preserve">Raimondo</t>
  </si>
  <si>
    <t xml:space="preserve">Bonny</t>
  </si>
  <si>
    <t xml:space="preserve">Stulic</t>
  </si>
  <si>
    <t xml:space="preserve">Zapata D.</t>
  </si>
  <si>
    <t xml:space="preserve">Sulemana K.</t>
  </si>
  <si>
    <t xml:space="preserve">Mutandwa</t>
  </si>
  <si>
    <t xml:space="preserve">Boga</t>
  </si>
  <si>
    <t xml:space="preserve">Noslin</t>
  </si>
  <si>
    <t xml:space="preserve">Gimenez</t>
  </si>
  <si>
    <t xml:space="preserve">Neres</t>
  </si>
  <si>
    <t xml:space="preserve">Maldini</t>
  </si>
  <si>
    <t xml:space="preserve">Camarda</t>
  </si>
  <si>
    <t xml:space="preserve">Mota</t>
  </si>
  <si>
    <t xml:space="preserve">Frigan</t>
  </si>
  <si>
    <t xml:space="preserve">Adorante</t>
  </si>
  <si>
    <t xml:space="preserve">Borrelli</t>
  </si>
  <si>
    <t xml:space="preserve">Mendy P.</t>
  </si>
  <si>
    <t xml:space="preserve">Morata</t>
  </si>
  <si>
    <t xml:space="preserve">Kvernadze</t>
  </si>
  <si>
    <t xml:space="preserve">Havel</t>
  </si>
  <si>
    <t xml:space="preserve">Giovane</t>
  </si>
  <si>
    <t xml:space="preserve">Kulenovic</t>
  </si>
  <si>
    <t xml:space="preserve">Gueye</t>
  </si>
  <si>
    <t xml:space="preserve">Kuhn</t>
  </si>
  <si>
    <t xml:space="preserve">Ekhator</t>
  </si>
  <si>
    <t xml:space="preserve">N'Dri</t>
  </si>
  <si>
    <t xml:space="preserve">Varela G.</t>
  </si>
  <si>
    <t xml:space="preserve">Lang</t>
  </si>
  <si>
    <t xml:space="preserve">Lucca</t>
  </si>
  <si>
    <t xml:space="preserve">Elphege</t>
  </si>
  <si>
    <t xml:space="preserve">Petagna</t>
  </si>
  <si>
    <t xml:space="preserve">Buksa </t>
  </si>
  <si>
    <t xml:space="preserve">Albarracin</t>
  </si>
  <si>
    <t xml:space="preserve">Trepy</t>
  </si>
  <si>
    <t xml:space="preserve">Azon</t>
  </si>
  <si>
    <t xml:space="preserve">Vaz</t>
  </si>
  <si>
    <t xml:space="preserve">Moro L.</t>
  </si>
  <si>
    <t xml:space="preserve">Bayo V.</t>
  </si>
  <si>
    <t xml:space="preserve">Lisman</t>
  </si>
  <si>
    <t xml:space="preserve">Lauberbach</t>
  </si>
  <si>
    <t xml:space="preserve">Squadra Assegnata</t>
  </si>
  <si>
    <t xml:space="preserve">Whichlist</t>
  </si>
  <si>
    <t xml:space="preserve">Offerta Max</t>
  </si>
  <si>
    <t xml:space="preserve">Valutazione Min</t>
  </si>
  <si>
    <t xml:space="preserve">Valutazione Max</t>
  </si>
  <si>
    <t xml:space="preserve">Presenze 25/26 (Pv)</t>
  </si>
  <si>
    <t xml:space="preserve">Assenze 25/26 (stim.)</t>
  </si>
  <si>
    <t xml:space="preserve">Gol 25/26</t>
  </si>
  <si>
    <t xml:space="preserve">Assist 25/26</t>
  </si>
  <si>
    <t xml:space="preserve">Prezzo Pagato</t>
  </si>
  <si>
    <t xml:space="preserve">_OrdineLiberi</t>
  </si>
  <si>
    <t xml:space="preserve">_OrdineMiaRosa</t>
  </si>
  <si>
    <t xml:space="preserve">Mv 25/26</t>
  </si>
  <si>
    <t xml:space="preserve">Fm 25/26</t>
  </si>
  <si>
    <t xml:space="preserve">Sostenibilità Budget</t>
  </si>
  <si>
    <t xml:space="preserve">Rank FVM nel Ruolo</t>
  </si>
  <si>
    <t xml:space="preserve">Budget Residuo</t>
  </si>
  <si>
    <t xml:space="preserve">Slot Residui</t>
  </si>
  <si>
    <t xml:space="preserve">Budget Minimo Riserva</t>
  </si>
  <si>
    <t xml:space="preserve">Budget Spendibile</t>
  </si>
  <si>
    <t xml:space="preserve">Offerta Max Dinamica</t>
  </si>
  <si>
    <t xml:space="preserve">Prezzo Corrente</t>
  </si>
  <si>
    <t xml:space="preserve">Decisione Live</t>
  </si>
  <si>
    <t xml:space="preserve">Confidence Storico</t>
  </si>
  <si>
    <t xml:space="preserve">Pressione Ruolo</t>
  </si>
  <si>
    <t xml:space="preserve">Ordine Alfabetico</t>
  </si>
  <si>
    <t xml:space="preserve">3-5-2</t>
  </si>
  <si>
    <t xml:space="preserve">Ruolo &amp; Quotazione</t>
  </si>
  <si>
    <t xml:space="preserve">3-6-1</t>
  </si>
  <si>
    <t xml:space="preserve">Busta Chiusa</t>
  </si>
  <si>
    <t xml:space="preserve">4-3-3</t>
  </si>
  <si>
    <t xml:space="preserve">4-4-2</t>
  </si>
  <si>
    <t xml:space="preserve">4-5-1</t>
  </si>
  <si>
    <t xml:space="preserve">5-4-1</t>
  </si>
  <si>
    <t xml:space="preserve">5-3-2</t>
  </si>
  <si>
    <t xml:space="preserve">6-3-1</t>
  </si>
  <si>
    <t xml:space="preserve">PARAMETRI MOTORE DI PRICING</t>
  </si>
  <si>
    <t xml:space="preserve">Budget Base Listone (standard Fantacalcio.it)</t>
  </si>
  <si>
    <t xml:space="preserve">Le quotazioni Qt.A del listone sono tarate su un budget standard di 500 crediti e una rosa 3P-8D-8C-6A. I prezzi vengono riscalati sul tuo Budget Iniziale (Info Lega!B4).</t>
  </si>
  <si>
    <t xml:space="preserve">Boost Modificatore Ruolo (%)</t>
  </si>
  <si>
    <t xml:space="preserve">Se attivo il Modificatore Difesa o Centrocampo (Info Lega), il prezzo base del ruolo interessato viene aumentato di questa percentuale.</t>
  </si>
  <si>
    <t xml:space="preserve">Boost Whichlist / Preferiti (%)</t>
  </si>
  <si>
    <t xml:space="preserve">Boost MASSIMO applicato all'Offerta Max se il giocatore e' whichlist. Ora scala con l'Aggressivita' (Info Strategia!B6): aggressivita'=0 -&gt; nessun sovrapprezzo, aggressivita'=1 -&gt; boost pieno.</t>
  </si>
  <si>
    <t xml:space="preserve">Peso Performance Storica (Fantamedia vs media ruolo, %)</t>
  </si>
  <si>
    <t xml:space="preserve">Quanto la Fantamedia reale 2025/26 (rispetto alla media di ruolo) sposta il prezzo in piu' o in meno. 0% = ignora la storia, guarda solo il mercato. Il fattore e' limitato a +/-25% per non far esplodere i prezzi su piccoli campioni.</t>
  </si>
  <si>
    <t xml:space="preserve">Ampiezza range di valutazione per ruolo (Spread %)</t>
  </si>
  <si>
    <t xml:space="preserve">Spread %</t>
  </si>
  <si>
    <t xml:space="preserve">Spread = quanto Valutazione Min/Max si allontanano dal prezzo base scalato. Ruoli piu' cari (A, C) hanno piu' varianza di mercato.</t>
  </si>
  <si>
    <t xml:space="preserve">Fantamedia media per ruolo (calcolata sui giocatori con dati storici)</t>
  </si>
  <si>
    <t xml:space="preserve">Media della Fantamedia per ruolo, calcolata solo sui giocatori che raggiungono la soglia minima di presenze.</t>
  </si>
  <si>
    <t xml:space="preserve">Fantamedia Media</t>
  </si>
  <si>
    <t xml:space="preserve">Presenze minime per storico (media/performance)</t>
  </si>
  <si>
    <t xml:space="preserve">Un giocatore con meno di questa soglia di presenze non influenza la Fantamedia media del ruolo e non riceve bonus/malus dalla performance storica. La soglia e' modificabile.</t>
  </si>
  <si>
    <t xml:space="preserve">Soglia 'OK' (x credito medio per slot rimanente)</t>
  </si>
  <si>
    <t xml:space="preserve">Sotto la soglia OK: offerta compatibile col ritmo di spesa che ti puoi permettere. Tra OK e Attenzione: fattibile ma ti restringe le prossime chiamate. Sopra: rischi di restare senza budget per gli slot che mancano.</t>
  </si>
  <si>
    <t xml:space="preserve">Soglia 'Attenzione' (x credito medio per slot rimanente)</t>
  </si>
  <si>
    <t xml:space="preserve">Fattore Scarsità di Ruolo attivo (Si/No)</t>
  </si>
  <si>
    <t xml:space="preserve">Confronta, per ogni ruolo, quanti giocatori disponibili restano rispetto agli slot ancora da riempire in tutta la lega. I giocatori con Qt.A=1 possono essere esclusi dal conteggio tramite il parametro dedicato. Il rapporto si aggiorna quando assegni giocatori in Output Utente.</t>
  </si>
  <si>
    <t xml:space="preserve">Peso massimo Scarsità (premio/sconto max, %)</t>
  </si>
  <si>
    <t xml:space="preserve">Escludi Qt.A=1 dalla scarsita' (Si/No)</t>
  </si>
  <si>
    <t xml:space="preserve">Se attivo, i giocatori con Qt.A=1 e ancora non assegnati non vengono conteggiati tra i giocatori disponibili per il calcolo della scarsita'. Restano comunque visibili nel listone.</t>
  </si>
  <si>
    <t xml:space="preserve">Riserva minima per slot (crediti)</t>
  </si>
  <si>
    <t xml:space="preserve">Crediti minimi da conservare per ogni slot ancora da riempire. Con base d'asta a 1, il minimo teorico è 1 credito per slot.</t>
  </si>
  <si>
    <t xml:space="preserve">Max Bid dinamico</t>
  </si>
  <si>
    <t xml:space="preserve">ATTIVO</t>
  </si>
  <si>
    <t xml:space="preserve">Il Max Bid dinamico viene limitato dal budget realmente spendibile: Budget residuo meno la riserva minima necessaria per tutti gli slot ancora vuoti.</t>
  </si>
  <si>
    <t xml:space="preserve">Slot Ancora da Riempire</t>
  </si>
  <si>
    <t xml:space="preserve">Giocatori Liberi nel Listone</t>
  </si>
  <si>
    <t xml:space="preserve">Rapporto Off./Dom.</t>
  </si>
  <si>
    <t xml:space="preserve">Base di prezzo: pool FVM proporzionale al budget di lega</t>
  </si>
  <si>
    <t xml:space="preserve">Pool FVM: per ogni ruolo prende tutti i giocatori fino alla soglia del N-esimo FVM (N = slot totali di quel ruolo nella lega). In caso di pari FVM sulla soglia, tutti i giocatori a pari FVM entrano nel pool. Questo evita un tie-break arbitrario.</t>
  </si>
  <si>
    <t xml:space="preserve">Slot Totali Lega</t>
  </si>
  <si>
    <t xml:space="preserve">Somma FVM Pool</t>
  </si>
  <si>
    <t xml:space="preserve">Somma FVM Pool TOTALE (tutti i ruoli, denominatore comune)</t>
  </si>
  <si>
    <t xml:space="preserve">Correzione: ogni ruolo deve condividere lo stesso budget di lega, non riceverne uno intero a testa. Questa e' la somma di TUTTI i pool per ruolo, usata come denominatore comune.</t>
  </si>
  <si>
    <t xml:space="preserve">Budget Totale Lega (Numero Partecipanti x Budget Iniziale)</t>
  </si>
  <si>
    <t xml:space="preserve">Soglia Pressione VERDE (Top+Buoni rimasti / slot residui lega, &gt;=)</t>
  </si>
  <si>
    <t xml:space="preserve">Sotto la soglia gialla: Pressione ROSSA (non aspettare). Esempio ChatGPT: 7 Top/Buoni per 3 slot=2.33 (verde), 4 per 3=1.33 (giallo), 2 per 3=0.67 (rosso).</t>
  </si>
  <si>
    <t xml:space="preserve">Soglia Pressione GIALLA (&gt;=)</t>
  </si>
  <si>
    <t xml:space="preserve">Target storico % budget per ruolo (calibrato su aste reali)</t>
  </si>
  <si>
    <t xml:space="preserve">Fonte: Rose_fantalba 2023 e 2025 (dati reali, 8 squadre, 16 aste-ruolo). Sostituisce la distribuzione derivata dal solo FVM, che sovrastimava i difensori (18%-&gt;reale 11.6%) e sottostimava portieri e attaccanti.</t>
  </si>
  <si>
    <t xml:space="preserve">% Budget Target (storico)</t>
  </si>
  <si>
    <t xml:space="preserve">Modello a due livelli: Titolari vs Riserve (calibrato su aste reali 2023+2025)</t>
  </si>
  <si>
    <t xml:space="preserve">Nelle aste reali l'85-96% del budget di ruolo va ai 'titolari' (i migliori N per FVM, N = squadre x titolari-per-ruolo dal modulo preferito). Le riserve costano quasi niente indipendentemente dal loro FVM. Sostituisce la distribuzione proporzionale unica.</t>
  </si>
  <si>
    <t xml:space="preserve">Titolari per Squadra</t>
  </si>
  <si>
    <t xml:space="preserve">N Titolari Lega</t>
  </si>
  <si>
    <t xml:space="preserve">% Budget Ruolo ai Titolari</t>
  </si>
  <si>
    <t xml:space="preserve">Somma FVM Titolari</t>
  </si>
  <si>
    <t xml:space="preserve">Somma FVM Riserve</t>
  </si>
  <si>
    <t xml:space="preserve">GIOCATORI ANCORA DISPONIBILI (non ancora chiamati all'asta)</t>
  </si>
  <si>
    <t xml:space="preserve">#</t>
  </si>
  <si>
    <t xml:space="preserve">Squadra Serie A</t>
  </si>
  <si>
    <t xml:space="preserve">Sostenibilità</t>
  </si>
  <si>
    <t xml:space="preserve">LA MIA ROSA</t>
  </si>
  <si>
    <t xml:space="preserve">RIEPILOGO</t>
  </si>
  <si>
    <t xml:space="preserve">LIVE AUCTION</t>
  </si>
  <si>
    <t xml:space="preserve">Budget residuo</t>
  </si>
  <si>
    <t xml:space="preserve">Slot residui</t>
  </si>
  <si>
    <t xml:space="preserve">Budget Totale</t>
  </si>
  <si>
    <t xml:space="preserve">Budget Speso</t>
  </si>
  <si>
    <t xml:space="preserve">Nota</t>
  </si>
  <si>
    <t xml:space="preserve">Budget Rimanente</t>
  </si>
  <si>
    <t xml:space="preserve">Per ogni giocatore, Offerta Max Dinamica = MIN(Offerta Max strategica, Budget Spendibile). Il Budget Spendibile conserva 1 credito per ogni slot ancora vuoto.</t>
  </si>
  <si>
    <t xml:space="preserve">Portieri (presi/tot)</t>
  </si>
  <si>
    <t xml:space="preserve">Difensori (presi/tot)</t>
  </si>
  <si>
    <t xml:space="preserve">Centrocampisti (presi/tot)</t>
  </si>
  <si>
    <t xml:space="preserve">Attaccanti (presi/tot)</t>
  </si>
  <si>
    <t xml:space="preserve">Slot Totali Rimanenti</t>
  </si>
  <si>
    <t xml:space="preserve">Credito Medio per Slot Rimanente</t>
  </si>
  <si>
    <t xml:space="preserve">Statistiche reali Fantacalcio.it — Stagione 2025/26 (fonte: fantacalcio.it/statistiche-serie-a)</t>
  </si>
  <si>
    <t xml:space="preserve">Rm</t>
  </si>
  <si>
    <t xml:space="preserve">Pv</t>
  </si>
  <si>
    <t xml:space="preserve">Mv</t>
  </si>
  <si>
    <t xml:space="preserve">Fm</t>
  </si>
  <si>
    <t xml:space="preserve">Gf</t>
  </si>
  <si>
    <t xml:space="preserve">Gs</t>
  </si>
  <si>
    <t xml:space="preserve">Rp</t>
  </si>
  <si>
    <t xml:space="preserve">Rc</t>
  </si>
  <si>
    <t xml:space="preserve">R+</t>
  </si>
  <si>
    <t xml:space="preserve">R-</t>
  </si>
  <si>
    <t xml:space="preserve">Ass</t>
  </si>
  <si>
    <t xml:space="preserve">Amm</t>
  </si>
  <si>
    <t xml:space="preserve">Esp</t>
  </si>
  <si>
    <t xml:space="preserve">Au</t>
  </si>
  <si>
    <t xml:space="preserve">Por</t>
  </si>
  <si>
    <t xml:space="preserve">Sommer</t>
  </si>
  <si>
    <t xml:space="preserve">Audero</t>
  </si>
  <si>
    <t xml:space="preserve">Cremonese</t>
  </si>
  <si>
    <t xml:space="preserve">Montipò</t>
  </si>
  <si>
    <t xml:space="preserve">Verona</t>
  </si>
  <si>
    <t xml:space="preserve">Leali</t>
  </si>
  <si>
    <t xml:space="preserve">Semper</t>
  </si>
  <si>
    <t xml:space="preserve">Pisa</t>
  </si>
  <si>
    <t xml:space="preserve">Ravaglia F.</t>
  </si>
  <si>
    <t xml:space="preserve">Furlanetto</t>
  </si>
  <si>
    <t xml:space="preserve">Guaita</t>
  </si>
  <si>
    <t xml:space="preserve">Radunovic</t>
  </si>
  <si>
    <t xml:space="preserve">Nava</t>
  </si>
  <si>
    <t xml:space="preserve">Martinelli T.</t>
  </si>
  <si>
    <t xml:space="preserve">Siegrist</t>
  </si>
  <si>
    <t xml:space="preserve">Fruchtl</t>
  </si>
  <si>
    <t xml:space="preserve">Rinaldi</t>
  </si>
  <si>
    <t xml:space="preserve">Nicolas</t>
  </si>
  <si>
    <t xml:space="preserve">Scuffet</t>
  </si>
  <si>
    <t xml:space="preserve">Zelezny</t>
  </si>
  <si>
    <t xml:space="preserve">Satalino</t>
  </si>
  <si>
    <t xml:space="preserve">Donnarumma An.</t>
  </si>
  <si>
    <t xml:space="preserve">Israel</t>
  </si>
  <si>
    <t xml:space="preserve">Popa</t>
  </si>
  <si>
    <t xml:space="preserve">Sava</t>
  </si>
  <si>
    <t xml:space="preserve">Perilli</t>
  </si>
  <si>
    <t xml:space="preserve">Vasquez D.</t>
  </si>
  <si>
    <t xml:space="preserve">Nunziante</t>
  </si>
  <si>
    <t xml:space="preserve">Silvestri</t>
  </si>
  <si>
    <t xml:space="preserve">Toniolo</t>
  </si>
  <si>
    <t xml:space="preserve">Cavlina</t>
  </si>
  <si>
    <t xml:space="preserve">Ferrante</t>
  </si>
  <si>
    <t xml:space="preserve">Calligaris</t>
  </si>
  <si>
    <t xml:space="preserve">Pannozzo</t>
  </si>
  <si>
    <t xml:space="preserve">Giacomone</t>
  </si>
  <si>
    <t xml:space="preserve">E</t>
  </si>
  <si>
    <t xml:space="preserve">Dc</t>
  </si>
  <si>
    <t xml:space="preserve">Palestra</t>
  </si>
  <si>
    <t xml:space="preserve">Ds;E</t>
  </si>
  <si>
    <t xml:space="preserve">Dd;Dc</t>
  </si>
  <si>
    <t xml:space="preserve">B;Dd;E</t>
  </si>
  <si>
    <t xml:space="preserve">Dumfries</t>
  </si>
  <si>
    <t xml:space="preserve">Gosens</t>
  </si>
  <si>
    <t xml:space="preserve">Ds;Dc</t>
  </si>
  <si>
    <t xml:space="preserve">Dd;E</t>
  </si>
  <si>
    <t xml:space="preserve">B;Ds;E</t>
  </si>
  <si>
    <t xml:space="preserve">Belghali</t>
  </si>
  <si>
    <t xml:space="preserve">Gutierrez</t>
  </si>
  <si>
    <t xml:space="preserve">Obrador</t>
  </si>
  <si>
    <t xml:space="preserve">Posch</t>
  </si>
  <si>
    <t xml:space="preserve">Moreno Alb.</t>
  </si>
  <si>
    <t xml:space="preserve">Baschirotto</t>
  </si>
  <si>
    <t xml:space="preserve">Angori</t>
  </si>
  <si>
    <t xml:space="preserve">Luperto</t>
  </si>
  <si>
    <t xml:space="preserve">Dd;Ds;E</t>
  </si>
  <si>
    <t xml:space="preserve">Muharemovic</t>
  </si>
  <si>
    <t xml:space="preserve">Maripan</t>
  </si>
  <si>
    <t xml:space="preserve">Tchatchoua</t>
  </si>
  <si>
    <t xml:space="preserve">Diego Carlos</t>
  </si>
  <si>
    <t xml:space="preserve">Garcia U.</t>
  </si>
  <si>
    <t xml:space="preserve">Terracciano F.</t>
  </si>
  <si>
    <t xml:space="preserve">Leoni</t>
  </si>
  <si>
    <t xml:space="preserve">Angelino</t>
  </si>
  <si>
    <t xml:space="preserve">Ehizibue</t>
  </si>
  <si>
    <t xml:space="preserve">Frese</t>
  </si>
  <si>
    <t xml:space="preserve">Barbieri</t>
  </si>
  <si>
    <t xml:space="preserve">Caracciolo A.</t>
  </si>
  <si>
    <t xml:space="preserve">Bradaric</t>
  </si>
  <si>
    <t xml:space="preserve">Edmundsson</t>
  </si>
  <si>
    <t xml:space="preserve">Dossena</t>
  </si>
  <si>
    <t xml:space="preserve">Acerbi</t>
  </si>
  <si>
    <t xml:space="preserve">Canestrelli</t>
  </si>
  <si>
    <t xml:space="preserve">Cuadrado</t>
  </si>
  <si>
    <t xml:space="preserve">Nelsson</t>
  </si>
  <si>
    <t xml:space="preserve">Bianchetti</t>
  </si>
  <si>
    <t xml:space="preserve">Folino</t>
  </si>
  <si>
    <t xml:space="preserve">Pezzella Giu.</t>
  </si>
  <si>
    <t xml:space="preserve">Thiaw</t>
  </si>
  <si>
    <t xml:space="preserve">Juan Jesus</t>
  </si>
  <si>
    <t xml:space="preserve">Salah-Eddine</t>
  </si>
  <si>
    <t xml:space="preserve">Lazaro</t>
  </si>
  <si>
    <t xml:space="preserve">Unai Nunez</t>
  </si>
  <si>
    <t xml:space="preserve">Oyegoke</t>
  </si>
  <si>
    <t xml:space="preserve">Coulibaly W.</t>
  </si>
  <si>
    <t xml:space="preserve">Erlic</t>
  </si>
  <si>
    <t xml:space="preserve">Azzi</t>
  </si>
  <si>
    <t xml:space="preserve">De Vrij</t>
  </si>
  <si>
    <t xml:space="preserve">Darmian</t>
  </si>
  <si>
    <t xml:space="preserve">Savona</t>
  </si>
  <si>
    <t xml:space="preserve">Balogh</t>
  </si>
  <si>
    <t xml:space="preserve">Calabresi</t>
  </si>
  <si>
    <t xml:space="preserve">Giannetti L.</t>
  </si>
  <si>
    <t xml:space="preserve">Zemura</t>
  </si>
  <si>
    <t xml:space="preserve">Valentini N.</t>
  </si>
  <si>
    <t xml:space="preserve">Tsimikas</t>
  </si>
  <si>
    <t xml:space="preserve">Zatterstrom</t>
  </si>
  <si>
    <t xml:space="preserve">Pedro Felipe</t>
  </si>
  <si>
    <t xml:space="preserve">Bonfanti</t>
  </si>
  <si>
    <t xml:space="preserve">Lykogiannis</t>
  </si>
  <si>
    <t xml:space="preserve">Di Pardo</t>
  </si>
  <si>
    <t xml:space="preserve">Jack</t>
  </si>
  <si>
    <t xml:space="preserve">Ravanelli</t>
  </si>
  <si>
    <t xml:space="preserve">Marì</t>
  </si>
  <si>
    <t xml:space="preserve">Viti</t>
  </si>
  <si>
    <t xml:space="preserve">Fortini</t>
  </si>
  <si>
    <t xml:space="preserve">Lovik</t>
  </si>
  <si>
    <t xml:space="preserve">Mateus Lusuardi</t>
  </si>
  <si>
    <t xml:space="preserve">Rus</t>
  </si>
  <si>
    <t xml:space="preserve">Kumbulla</t>
  </si>
  <si>
    <t xml:space="preserve">Masina</t>
  </si>
  <si>
    <t xml:space="preserve">Slotsager</t>
  </si>
  <si>
    <t xml:space="preserve">Goglichidze</t>
  </si>
  <si>
    <t xml:space="preserve">Cham</t>
  </si>
  <si>
    <t xml:space="preserve">Nkounkou</t>
  </si>
  <si>
    <t xml:space="preserve">Lirola</t>
  </si>
  <si>
    <t xml:space="preserve">Tchoca</t>
  </si>
  <si>
    <t xml:space="preserve">Balbo</t>
  </si>
  <si>
    <t xml:space="preserve">Ilic M.</t>
  </si>
  <si>
    <t xml:space="preserve">Wieteska</t>
  </si>
  <si>
    <t xml:space="preserve">Veroli</t>
  </si>
  <si>
    <t xml:space="preserve">Ceccherini</t>
  </si>
  <si>
    <t xml:space="preserve">Quagliata</t>
  </si>
  <si>
    <t xml:space="preserve">Sernicola</t>
  </si>
  <si>
    <t xml:space="preserve">Rouhi</t>
  </si>
  <si>
    <t xml:space="preserve">Gigot</t>
  </si>
  <si>
    <t xml:space="preserve">Hysaj</t>
  </si>
  <si>
    <t xml:space="preserve">Kouassi</t>
  </si>
  <si>
    <t xml:space="preserve">Coppola F.</t>
  </si>
  <si>
    <t xml:space="preserve">Mbambi</t>
  </si>
  <si>
    <t xml:space="preserve">Esteves T.</t>
  </si>
  <si>
    <t xml:space="preserve">Abdulhamid</t>
  </si>
  <si>
    <t xml:space="preserve">Odenthal</t>
  </si>
  <si>
    <t xml:space="preserve">Romagna</t>
  </si>
  <si>
    <t xml:space="preserve">Paz Y.</t>
  </si>
  <si>
    <t xml:space="preserve">Schuurs</t>
  </si>
  <si>
    <t xml:space="preserve">Dembelè A.</t>
  </si>
  <si>
    <t xml:space="preserve">Rui Modesto</t>
  </si>
  <si>
    <t xml:space="preserve">Denoon</t>
  </si>
  <si>
    <t xml:space="preserve">B;Dd;Ds</t>
  </si>
  <si>
    <t xml:space="preserve">Godfrey</t>
  </si>
  <si>
    <t xml:space="preserve">Lamptey</t>
  </si>
  <si>
    <t xml:space="preserve">Faye</t>
  </si>
  <si>
    <t xml:space="preserve">Odogu</t>
  </si>
  <si>
    <t xml:space="preserve">Albiol</t>
  </si>
  <si>
    <t xml:space="preserve">Palacios T.</t>
  </si>
  <si>
    <t xml:space="preserve">Bozhinov</t>
  </si>
  <si>
    <t xml:space="preserve">T;A</t>
  </si>
  <si>
    <t xml:space="preserve">C;T</t>
  </si>
  <si>
    <t xml:space="preserve">T</t>
  </si>
  <si>
    <t xml:space="preserve">M;C</t>
  </si>
  <si>
    <t xml:space="preserve">C;W;T</t>
  </si>
  <si>
    <t xml:space="preserve">W</t>
  </si>
  <si>
    <t xml:space="preserve">Ndoye</t>
  </si>
  <si>
    <t xml:space="preserve">W;A</t>
  </si>
  <si>
    <t xml:space="preserve">C;W</t>
  </si>
  <si>
    <t xml:space="preserve">Malinovskyi</t>
  </si>
  <si>
    <t xml:space="preserve">E;W</t>
  </si>
  <si>
    <t xml:space="preserve">W;T</t>
  </si>
  <si>
    <t xml:space="preserve">Strefezza</t>
  </si>
  <si>
    <t xml:space="preserve">Vazquez</t>
  </si>
  <si>
    <t xml:space="preserve">Guendouzi</t>
  </si>
  <si>
    <t xml:space="preserve">Pellegrini Lo.</t>
  </si>
  <si>
    <t xml:space="preserve">Thorsby</t>
  </si>
  <si>
    <t xml:space="preserve">Vandeputte</t>
  </si>
  <si>
    <t xml:space="preserve">Man</t>
  </si>
  <si>
    <t xml:space="preserve">Harrison</t>
  </si>
  <si>
    <t xml:space="preserve">Leris</t>
  </si>
  <si>
    <t xml:space="preserve">Mazzitelli</t>
  </si>
  <si>
    <t xml:space="preserve">Kostic</t>
  </si>
  <si>
    <t xml:space="preserve">El Shaarawy</t>
  </si>
  <si>
    <t xml:space="preserve">Freuler</t>
  </si>
  <si>
    <t xml:space="preserve">Ramadani</t>
  </si>
  <si>
    <t xml:space="preserve">Sottil</t>
  </si>
  <si>
    <t xml:space="preserve">Bailey</t>
  </si>
  <si>
    <t xml:space="preserve">Weah</t>
  </si>
  <si>
    <t xml:space="preserve">Bernede</t>
  </si>
  <si>
    <t xml:space="preserve">Elmas</t>
  </si>
  <si>
    <t xml:space="preserve">Gagliardini</t>
  </si>
  <si>
    <t xml:space="preserve">Aebischer</t>
  </si>
  <si>
    <t xml:space="preserve">Vecino</t>
  </si>
  <si>
    <t xml:space="preserve">Tramoni M.</t>
  </si>
  <si>
    <t xml:space="preserve">Serdar</t>
  </si>
  <si>
    <t xml:space="preserve">Grassi</t>
  </si>
  <si>
    <t xml:space="preserve">Zanimacchia</t>
  </si>
  <si>
    <t xml:space="preserve">Bondo</t>
  </si>
  <si>
    <t xml:space="preserve">Estevez</t>
  </si>
  <si>
    <t xml:space="preserve">E;M</t>
  </si>
  <si>
    <t xml:space="preserve">Tourè I.</t>
  </si>
  <si>
    <t xml:space="preserve">Payero</t>
  </si>
  <si>
    <t xml:space="preserve">Akpa Akpro</t>
  </si>
  <si>
    <t xml:space="preserve">Loyola</t>
  </si>
  <si>
    <t xml:space="preserve">Carboni V.</t>
  </si>
  <si>
    <t xml:space="preserve">Piccinini G.</t>
  </si>
  <si>
    <t xml:space="preserve">Ghion</t>
  </si>
  <si>
    <t xml:space="preserve">Harroui</t>
  </si>
  <si>
    <t xml:space="preserve">Suslov</t>
  </si>
  <si>
    <t xml:space="preserve">W;T;A</t>
  </si>
  <si>
    <t xml:space="preserve">Zaragoza</t>
  </si>
  <si>
    <t xml:space="preserve">El Azzouzi</t>
  </si>
  <si>
    <t xml:space="preserve">Sergi Roberto</t>
  </si>
  <si>
    <t xml:space="preserve">Castagnetti</t>
  </si>
  <si>
    <t xml:space="preserve">Tete Morente</t>
  </si>
  <si>
    <t xml:space="preserve">Hojholt</t>
  </si>
  <si>
    <t xml:space="preserve">Vural</t>
  </si>
  <si>
    <t xml:space="preserve">Lovric</t>
  </si>
  <si>
    <t xml:space="preserve">Lorran</t>
  </si>
  <si>
    <t xml:space="preserve">Sarmiento J.</t>
  </si>
  <si>
    <t xml:space="preserve">Iling Junior</t>
  </si>
  <si>
    <t xml:space="preserve">Engelhardt</t>
  </si>
  <si>
    <t xml:space="preserve">Collocolo</t>
  </si>
  <si>
    <t xml:space="preserve">Pickel</t>
  </si>
  <si>
    <t xml:space="preserve">Richardson</t>
  </si>
  <si>
    <t xml:space="preserve">Sabiri</t>
  </si>
  <si>
    <t xml:space="preserve">Gronbaek</t>
  </si>
  <si>
    <t xml:space="preserve">Asllani</t>
  </si>
  <si>
    <t xml:space="preserve">Hernani</t>
  </si>
  <si>
    <t xml:space="preserve">Marin M.</t>
  </si>
  <si>
    <t xml:space="preserve">Niasse</t>
  </si>
  <si>
    <t xml:space="preserve">Fini</t>
  </si>
  <si>
    <t xml:space="preserve">Al-Musrati</t>
  </si>
  <si>
    <t xml:space="preserve">Cornet</t>
  </si>
  <si>
    <t xml:space="preserve">Braunoder</t>
  </si>
  <si>
    <t xml:space="preserve">Alli</t>
  </si>
  <si>
    <t xml:space="preserve">Valoti</t>
  </si>
  <si>
    <t xml:space="preserve">Bianco</t>
  </si>
  <si>
    <t xml:space="preserve">Stanciu</t>
  </si>
  <si>
    <t xml:space="preserve">Pierret</t>
  </si>
  <si>
    <t xml:space="preserve">Rafia</t>
  </si>
  <si>
    <t xml:space="preserve">Marchwinski</t>
  </si>
  <si>
    <t xml:space="preserve">Arena</t>
  </si>
  <si>
    <t xml:space="preserve">Tameze</t>
  </si>
  <si>
    <t xml:space="preserve">Pafundi</t>
  </si>
  <si>
    <t xml:space="preserve">Santiago</t>
  </si>
  <si>
    <t xml:space="preserve">Kastanos</t>
  </si>
  <si>
    <t xml:space="preserve">Cissè A.</t>
  </si>
  <si>
    <t xml:space="preserve">Rog</t>
  </si>
  <si>
    <t xml:space="preserve">Cuenca H.</t>
  </si>
  <si>
    <t xml:space="preserve">Vranckx</t>
  </si>
  <si>
    <t xml:space="preserve">Sala A.</t>
  </si>
  <si>
    <t xml:space="preserve">Stengs</t>
  </si>
  <si>
    <t xml:space="preserve">Onana J.</t>
  </si>
  <si>
    <t xml:space="preserve">Pc</t>
  </si>
  <si>
    <t xml:space="preserve">Bonazzoli</t>
  </si>
  <si>
    <t xml:space="preserve">Castellanos</t>
  </si>
  <si>
    <t xml:space="preserve">Vlahovic</t>
  </si>
  <si>
    <t xml:space="preserve">Pedro</t>
  </si>
  <si>
    <t xml:space="preserve">Moreo</t>
  </si>
  <si>
    <t xml:space="preserve">Thauvin</t>
  </si>
  <si>
    <t xml:space="preserve">Vardy</t>
  </si>
  <si>
    <t xml:space="preserve">Banda</t>
  </si>
  <si>
    <t xml:space="preserve">Lookman</t>
  </si>
  <si>
    <t xml:space="preserve">Orban G.</t>
  </si>
  <si>
    <t xml:space="preserve">Kilicsoy</t>
  </si>
  <si>
    <t xml:space="preserve">Ekuban</t>
  </si>
  <si>
    <t xml:space="preserve">Gonzalez N.</t>
  </si>
  <si>
    <t xml:space="preserve">Cheddira</t>
  </si>
  <si>
    <t xml:space="preserve">Okereke</t>
  </si>
  <si>
    <t xml:space="preserve">Ferguson E.</t>
  </si>
  <si>
    <t xml:space="preserve">Nzola</t>
  </si>
  <si>
    <t xml:space="preserve">Fullkrug</t>
  </si>
  <si>
    <t xml:space="preserve">Durosinmi</t>
  </si>
  <si>
    <t xml:space="preserve">Ngonge</t>
  </si>
  <si>
    <t xml:space="preserve">Benedyczak</t>
  </si>
  <si>
    <t xml:space="preserve">Solomon</t>
  </si>
  <si>
    <t xml:space="preserve">Tourè E.</t>
  </si>
  <si>
    <t xml:space="preserve">Johnsen</t>
  </si>
  <si>
    <t xml:space="preserve">Buksa</t>
  </si>
  <si>
    <t xml:space="preserve">Beltran L.</t>
  </si>
  <si>
    <t xml:space="preserve">Sanchez</t>
  </si>
  <si>
    <t xml:space="preserve">Djuric</t>
  </si>
  <si>
    <t xml:space="preserve">Meister</t>
  </si>
  <si>
    <t xml:space="preserve">Mulattieri</t>
  </si>
  <si>
    <t xml:space="preserve">Belotti</t>
  </si>
  <si>
    <t xml:space="preserve">Immobile</t>
  </si>
  <si>
    <t xml:space="preserve">Taremi</t>
  </si>
  <si>
    <t xml:space="preserve">Okafor</t>
  </si>
  <si>
    <t xml:space="preserve">Lind</t>
  </si>
  <si>
    <t xml:space="preserve">Sanabria</t>
  </si>
  <si>
    <t xml:space="preserve">Bravo</t>
  </si>
  <si>
    <t xml:space="preserve">Sarr A.</t>
  </si>
  <si>
    <t xml:space="preserve">Mosquera</t>
  </si>
  <si>
    <t xml:space="preserve">Openda</t>
  </si>
  <si>
    <t xml:space="preserve">Stojilkovic</t>
  </si>
  <si>
    <t xml:space="preserve">Karlsson</t>
  </si>
  <si>
    <t xml:space="preserve">Luvumbo</t>
  </si>
  <si>
    <t xml:space="preserve">Pavoletti</t>
  </si>
  <si>
    <t xml:space="preserve">De Luca</t>
  </si>
  <si>
    <t xml:space="preserve">Dzeko</t>
  </si>
  <si>
    <t xml:space="preserve">Brenner</t>
  </si>
  <si>
    <t xml:space="preserve">Rocha Livramento</t>
  </si>
  <si>
    <t xml:space="preserve">Pierini</t>
  </si>
  <si>
    <t xml:space="preserve">Alvarez A.</t>
  </si>
  <si>
    <t xml:space="preserve">Braschi</t>
  </si>
  <si>
    <t xml:space="preserve">Ambrosino</t>
  </si>
  <si>
    <t xml:space="preserve">Moumbagna</t>
  </si>
  <si>
    <t xml:space="preserve">Mikolajewski</t>
  </si>
  <si>
    <t xml:space="preserve">Gabrielloni</t>
  </si>
  <si>
    <t xml:space="preserve">Nasti</t>
  </si>
  <si>
    <t xml:space="preserve">Milik</t>
  </si>
  <si>
    <t xml:space="preserve">Buffon L.</t>
  </si>
  <si>
    <t xml:space="preserve">Bonfanti N.</t>
  </si>
  <si>
    <t xml:space="preserve">Skjellerup</t>
  </si>
  <si>
    <t xml:space="preserve">Pizarro</t>
  </si>
  <si>
    <t xml:space="preserve">Kouamè</t>
  </si>
  <si>
    <t xml:space="preserve">Balentien</t>
  </si>
  <si>
    <t xml:space="preserve">Arena A.</t>
  </si>
  <si>
    <t xml:space="preserve">Isaac</t>
  </si>
  <si>
    <t xml:space="preserve">Vermesan</t>
  </si>
  <si>
    <t xml:space="preserve">Mosconi</t>
  </si>
</sst>
</file>

<file path=xl/styles.xml><?xml version="1.0" encoding="utf-8"?>
<styleSheet xmlns="http://schemas.openxmlformats.org/spreadsheetml/2006/main">
  <numFmts count="8">
    <numFmt numFmtId="164" formatCode="General"/>
    <numFmt numFmtId="165" formatCode="0.0%"/>
    <numFmt numFmtId="166" formatCode="0"/>
    <numFmt numFmtId="167" formatCode="0.0"/>
    <numFmt numFmtId="168" formatCode="0.00"/>
    <numFmt numFmtId="169" formatCode="General"/>
    <numFmt numFmtId="170" formatCode="0\%"/>
    <numFmt numFmtId="171" formatCode="@"/>
  </numFmts>
  <fonts count="20">
    <font>
      <sz val="11"/>
      <color theme="1"/>
      <name val="Calibri"/>
      <family val="2"/>
      <charset val="1"/>
    </font>
    <font>
      <sz val="10"/>
      <name val="Arial"/>
      <family val="0"/>
    </font>
    <font>
      <sz val="10"/>
      <name val="Arial"/>
      <family val="0"/>
    </font>
    <font>
      <sz val="10"/>
      <name val="Arial"/>
      <family val="0"/>
    </font>
    <font>
      <b val="true"/>
      <sz val="16"/>
      <color rgb="FF203864"/>
      <name val="Cambria"/>
      <family val="0"/>
      <charset val="1"/>
    </font>
    <font>
      <sz val="11"/>
      <name val="Cambria"/>
      <family val="0"/>
      <charset val="1"/>
    </font>
    <font>
      <b val="true"/>
      <sz val="12"/>
      <color rgb="FF203864"/>
      <name val="Cambria"/>
      <family val="0"/>
      <charset val="1"/>
    </font>
    <font>
      <i val="true"/>
      <sz val="11"/>
      <color rgb="FF375623"/>
      <name val="Cambria"/>
      <family val="0"/>
      <charset val="1"/>
    </font>
    <font>
      <b val="true"/>
      <sz val="13"/>
      <color rgb="FFFFFFFF"/>
      <name val="Cambria"/>
      <family val="0"/>
      <charset val="1"/>
    </font>
    <font>
      <sz val="11"/>
      <color rgb="FF000000"/>
      <name val="Calibri"/>
      <family val="0"/>
      <charset val="1"/>
    </font>
    <font>
      <b val="true"/>
      <sz val="11"/>
      <name val="Calibri"/>
      <family val="0"/>
      <charset val="1"/>
    </font>
    <font>
      <i val="true"/>
      <sz val="9"/>
      <color rgb="FF808080"/>
      <name val="Cambria"/>
      <family val="0"/>
      <charset val="1"/>
    </font>
    <font>
      <sz val="11"/>
      <color rgb="FFFF0000"/>
      <name val="Calibri"/>
      <family val="2"/>
      <charset val="1"/>
    </font>
    <font>
      <sz val="11"/>
      <color rgb="FFFF0000"/>
      <name val="Calibri"/>
      <family val="0"/>
      <charset val="1"/>
    </font>
    <font>
      <sz val="10"/>
      <name val="Arial"/>
      <family val="2"/>
    </font>
    <font>
      <b val="true"/>
      <sz val="11"/>
      <name val="Calibri"/>
      <family val="2"/>
      <charset val="1"/>
    </font>
    <font>
      <sz val="9"/>
      <color rgb="FFBFBFBF"/>
      <name val="Cambria"/>
      <family val="0"/>
      <charset val="1"/>
    </font>
    <font>
      <b val="true"/>
      <sz val="11"/>
      <color theme="1"/>
      <name val="Calibri"/>
      <family val="2"/>
      <charset val="1"/>
    </font>
    <font>
      <b val="true"/>
      <sz val="13"/>
      <name val="Cambria"/>
      <family val="0"/>
      <charset val="1"/>
    </font>
    <font>
      <i val="true"/>
      <sz val="9"/>
      <color rgb="FFC00000"/>
      <name val="Cambria"/>
      <family val="0"/>
      <charset val="1"/>
    </font>
  </fonts>
  <fills count="8">
    <fill>
      <patternFill patternType="none"/>
    </fill>
    <fill>
      <patternFill patternType="gray125"/>
    </fill>
    <fill>
      <patternFill patternType="solid">
        <fgColor rgb="FF7030A0"/>
        <bgColor rgb="FF993366"/>
      </patternFill>
    </fill>
    <fill>
      <patternFill patternType="solid">
        <fgColor rgb="FFD9E1F2"/>
        <bgColor rgb="FFD9D9D9"/>
      </patternFill>
    </fill>
    <fill>
      <patternFill patternType="solid">
        <fgColor rgb="FFD3D3D3"/>
        <bgColor rgb="FFD9D9D9"/>
      </patternFill>
    </fill>
    <fill>
      <patternFill patternType="solid">
        <fgColor rgb="FFFFF2CC"/>
        <bgColor rgb="FFFFFFFF"/>
      </patternFill>
    </fill>
    <fill>
      <patternFill patternType="solid">
        <fgColor rgb="FF375623"/>
        <bgColor rgb="FF333300"/>
      </patternFill>
    </fill>
    <fill>
      <patternFill patternType="solid">
        <fgColor rgb="FF203864"/>
        <bgColor rgb="FF333399"/>
      </patternFill>
    </fill>
  </fills>
  <borders count="3">
    <border diagonalUp="false" diagonalDown="false">
      <left/>
      <right/>
      <top/>
      <bottom/>
      <diagonal/>
    </border>
    <border diagonalUp="false" diagonalDown="false">
      <left/>
      <right/>
      <top/>
      <bottom style="thin"/>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bottom" textRotation="0" wrapText="false" indent="0" shrinkToFit="false"/>
      <protection locked="true" hidden="false"/>
    </xf>
    <xf numFmtId="168" fontId="9" fillId="0"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right"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5" fillId="4" borderId="1" xfId="0" applyFont="true" applyBorder="true" applyAlignment="true" applyProtection="false">
      <alignment horizontal="center" vertical="bottom" textRotation="0" wrapText="false" indent="0" shrinkToFit="false"/>
      <protection locked="true" hidden="false"/>
    </xf>
    <xf numFmtId="164" fontId="0" fillId="0" borderId="2" xfId="0" applyFont="true" applyBorder="true" applyAlignment="true" applyProtection="false">
      <alignment horizontal="general" vertical="bottom" textRotation="0" wrapText="false" indent="0" shrinkToFit="false"/>
      <protection locked="true" hidden="false"/>
    </xf>
    <xf numFmtId="164" fontId="0" fillId="3" borderId="2" xfId="0" applyFont="true" applyBorder="true" applyAlignment="true" applyProtection="false">
      <alignment horizontal="general" vertical="bottom" textRotation="0" wrapText="false" indent="0" shrinkToFit="false"/>
      <protection locked="true" hidden="false"/>
    </xf>
    <xf numFmtId="164" fontId="0" fillId="5" borderId="2" xfId="0" applyFont="true" applyBorder="true" applyAlignment="true" applyProtection="false">
      <alignment horizontal="general" vertical="bottom" textRotation="0" wrapText="false" indent="0" shrinkToFit="false"/>
      <protection locked="true" hidden="false"/>
    </xf>
    <xf numFmtId="164" fontId="10" fillId="5" borderId="2" xfId="0" applyFont="true" applyBorder="true" applyAlignment="true" applyProtection="false">
      <alignment horizontal="general" vertical="bottom" textRotation="0" wrapText="false" indent="0" shrinkToFit="false"/>
      <protection locked="true" hidden="false"/>
    </xf>
    <xf numFmtId="164" fontId="10" fillId="3" borderId="2" xfId="0" applyFont="true" applyBorder="true" applyAlignment="tru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general" vertical="bottom" textRotation="0" wrapText="false" indent="0" shrinkToFit="false"/>
      <protection locked="true" hidden="false"/>
    </xf>
    <xf numFmtId="166" fontId="9" fillId="0" borderId="2" xfId="0" applyFont="true" applyBorder="true" applyAlignment="true" applyProtection="false">
      <alignment horizontal="general" vertical="bottom" textRotation="0" wrapText="false" indent="0" shrinkToFit="false"/>
      <protection locked="true" hidden="false"/>
    </xf>
    <xf numFmtId="166" fontId="13" fillId="0" borderId="0" xfId="0" applyFont="true" applyBorder="false" applyAlignment="true" applyProtection="false">
      <alignment horizontal="general" vertical="bottom" textRotation="0" wrapText="false" indent="0" shrinkToFit="false"/>
      <protection locked="true" hidden="false"/>
    </xf>
    <xf numFmtId="169" fontId="16" fillId="0" borderId="2" xfId="0" applyFont="true" applyBorder="true" applyAlignment="true" applyProtection="false">
      <alignment horizontal="general" vertical="bottom" textRotation="0" wrapText="false" indent="0" shrinkToFit="false"/>
      <protection locked="true" hidden="false"/>
    </xf>
    <xf numFmtId="168" fontId="9" fillId="0" borderId="2" xfId="0" applyFont="true" applyBorder="true" applyAlignment="true" applyProtection="false">
      <alignment horizontal="general" vertical="bottom" textRotation="0" wrapText="false" indent="0" shrinkToFit="false"/>
      <protection locked="true" hidden="false"/>
    </xf>
    <xf numFmtId="170" fontId="0" fillId="0" borderId="2" xfId="0" applyFont="fals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71" fontId="0" fillId="0" borderId="0" xfId="0" applyFont="true" applyBorder="false" applyAlignment="true" applyProtection="false">
      <alignment horizontal="general" vertical="bottom" textRotation="0" wrapText="false" indent="0" shrinkToFit="false"/>
      <protection locked="true" hidden="false"/>
    </xf>
    <xf numFmtId="164" fontId="18" fillId="0" borderId="2" xfId="0" applyFont="true" applyBorder="true" applyAlignment="true" applyProtection="false">
      <alignment horizontal="general" vertical="bottom" textRotation="0" wrapText="false" indent="0" shrinkToFit="false"/>
      <protection locked="true" hidden="false"/>
    </xf>
    <xf numFmtId="164" fontId="13" fillId="0" borderId="2" xfId="0" applyFont="true" applyBorder="true" applyAlignment="true" applyProtection="false">
      <alignment horizontal="general" vertical="bottom" textRotation="0" wrapText="false" indent="0" shrinkToFit="false"/>
      <protection locked="true" hidden="false"/>
    </xf>
    <xf numFmtId="164" fontId="11" fillId="0" borderId="2" xfId="0" applyFont="true" applyBorder="true" applyAlignment="true" applyProtection="false">
      <alignment horizontal="general" vertical="bottom" textRotation="0" wrapText="true" indent="0" shrinkToFit="false"/>
      <protection locked="true" hidden="false"/>
    </xf>
    <xf numFmtId="165" fontId="13" fillId="0" borderId="2" xfId="0" applyFont="true" applyBorder="true" applyAlignment="true" applyProtection="false">
      <alignment horizontal="general" vertical="bottom" textRotation="0" wrapText="false" indent="0" shrinkToFit="false"/>
      <protection locked="true" hidden="false"/>
    </xf>
    <xf numFmtId="164" fontId="10" fillId="0" borderId="2" xfId="0" applyFont="true" applyBorder="true" applyAlignment="true" applyProtection="false">
      <alignment horizontal="general" vertical="bottom" textRotation="0" wrapText="false" indent="0" shrinkToFit="false"/>
      <protection locked="true" hidden="false"/>
    </xf>
    <xf numFmtId="164" fontId="11" fillId="0" borderId="2" xfId="0" applyFont="true" applyBorder="true" applyAlignment="true" applyProtection="false">
      <alignment horizontal="general" vertical="bottom" textRotation="0" wrapText="false" indent="0" shrinkToFit="false"/>
      <protection locked="true" hidden="false"/>
    </xf>
    <xf numFmtId="167" fontId="13" fillId="0" borderId="2" xfId="0" applyFont="true" applyBorder="true" applyAlignment="true" applyProtection="false">
      <alignment horizontal="general" vertical="bottom" textRotation="0" wrapText="false" indent="0" shrinkToFit="false"/>
      <protection locked="true" hidden="false"/>
    </xf>
    <xf numFmtId="164" fontId="19" fillId="0" borderId="2" xfId="0" applyFont="true" applyBorder="true" applyAlignment="true" applyProtection="false">
      <alignment horizontal="general" vertical="bottom" textRotation="0" wrapText="true" indent="0" shrinkToFit="false"/>
      <protection locked="true" hidden="false"/>
    </xf>
    <xf numFmtId="167" fontId="13"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5" fontId="13" fillId="0" borderId="0" xfId="0" applyFont="true" applyBorder="false" applyAlignment="true" applyProtection="false">
      <alignment horizontal="general" vertical="bottom" textRotation="0" wrapText="false" indent="0" shrinkToFit="false"/>
      <protection locked="true" hidden="false"/>
    </xf>
    <xf numFmtId="164" fontId="8" fillId="6" borderId="0" xfId="0" applyFont="true" applyBorder="tru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4" fontId="8" fillId="7" borderId="2" xfId="0" applyFont="true" applyBorder="true" applyAlignment="true" applyProtection="false">
      <alignment horizontal="left" vertical="center" textRotation="0" wrapText="false" indent="0" shrinkToFit="false"/>
      <protection locked="true" hidden="false"/>
    </xf>
    <xf numFmtId="164" fontId="8" fillId="7" borderId="2" xfId="0" applyFont="true" applyBorder="true" applyAlignment="true" applyProtection="false">
      <alignment horizontal="general" vertical="bottom" textRotation="0" wrapText="false" indent="0" shrinkToFit="false"/>
      <protection locked="true" hidden="false"/>
    </xf>
    <xf numFmtId="166" fontId="10" fillId="0" borderId="2"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8" fillId="6" borderId="0"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bgColor rgb="FF000000"/>
        </patternFill>
      </fill>
    </dxf>
    <dxf>
      <fill>
        <patternFill patternType="solid">
          <fgColor rgb="FF000000"/>
          <bgColor rgb="FF000000"/>
        </patternFill>
      </fill>
    </dxf>
    <dxf>
      <fill>
        <patternFill patternType="solid">
          <fgColor rgb="FFD9E1F2"/>
          <bgColor rgb="FF000000"/>
        </patternFill>
      </fill>
    </dxf>
    <dxf>
      <fill>
        <patternFill patternType="solid">
          <fgColor rgb="FFFFF2CC"/>
          <bgColor rgb="FF000000"/>
        </patternFill>
      </fill>
    </dxf>
    <dxf>
      <fill>
        <patternFill patternType="solid">
          <fgColor rgb="FFFF0000"/>
          <bgColor rgb="FF000000"/>
        </patternFill>
      </fill>
    </dxf>
    <dxf>
      <fill>
        <patternFill patternType="solid">
          <fgColor rgb="FFBFBFBF"/>
          <bgColor rgb="FF000000"/>
        </patternFill>
      </fill>
    </dxf>
    <dxf>
      <fill>
        <patternFill patternType="solid">
          <fgColor rgb="FF375623"/>
          <bgColor rgb="FF000000"/>
        </patternFill>
      </fill>
    </dxf>
    <dxf>
      <fill>
        <patternFill patternType="solid">
          <fgColor rgb="FFBF8F00"/>
          <bgColor rgb="FF000000"/>
        </patternFill>
      </fill>
    </dxf>
    <dxf>
      <fill>
        <patternFill patternType="solid">
          <fgColor rgb="FFC00000"/>
          <bgColor rgb="FF000000"/>
        </patternFill>
      </fill>
    </dxf>
    <dxf>
      <font>
        <b val="1"/>
        <color rgb="FFC00000"/>
      </font>
    </dxf>
    <dxf>
      <font>
        <b val="1"/>
        <color rgb="FFBF8F00"/>
      </font>
    </dxf>
    <dxf>
      <font>
        <b val="1"/>
        <color rgb="FF375623"/>
      </font>
    </dxf>
  </dxf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9999FF"/>
      <rgbColor rgb="FF7030A0"/>
      <rgbColor rgb="FFFFF2CC"/>
      <rgbColor rgb="FFD9E1F2"/>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FCC00"/>
      <rgbColor rgb="FFBF8F00"/>
      <rgbColor rgb="FFFF6600"/>
      <rgbColor rgb="FF666699"/>
      <rgbColor rgb="FF969696"/>
      <rgbColor rgb="FF203864"/>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xml"/><Relationship Id="rId3" Type="http://schemas.openxmlformats.org/officeDocument/2006/relationships/vmlDrawing" Target="../drawings/vmlDrawing3.v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3.xml"/><Relationship Id="rId3"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3"/>
  <sheetViews>
    <sheetView showFormulas="false" showGridLines="false" showRowColHeaders="true" showZeros="true" rightToLeft="false" tabSelected="false" showOutlineSymbols="true" defaultGridColor="true" view="normal" topLeftCell="A17"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1" width="100"/>
  </cols>
  <sheetData>
    <row r="1" customFormat="false" ht="25.5" hidden="false" customHeight="true" outlineLevel="0" collapsed="false">
      <c r="A1" s="2" t="s">
        <v>0</v>
      </c>
    </row>
    <row r="2" customFormat="false" ht="31.5" hidden="false" customHeight="true" outlineLevel="0" collapsed="false">
      <c r="A2" s="3" t="s">
        <v>1</v>
      </c>
    </row>
    <row r="3" customFormat="false" ht="19.5" hidden="false" customHeight="true" outlineLevel="0" collapsed="false">
      <c r="A3" s="4" t="s">
        <v>2</v>
      </c>
    </row>
    <row r="5" customFormat="false" ht="31.5" hidden="false" customHeight="true" outlineLevel="0" collapsed="false">
      <c r="A5" s="3" t="s">
        <v>3</v>
      </c>
    </row>
    <row r="6" customFormat="false" ht="31.5" hidden="false" customHeight="true" outlineLevel="0" collapsed="false">
      <c r="A6" s="3" t="s">
        <v>4</v>
      </c>
    </row>
    <row r="7" customFormat="false" ht="31.5" hidden="false" customHeight="true" outlineLevel="0" collapsed="false">
      <c r="A7" s="3" t="s">
        <v>5</v>
      </c>
    </row>
    <row r="8" customFormat="false" ht="31.5" hidden="false" customHeight="true" outlineLevel="0" collapsed="false">
      <c r="A8" s="3" t="s">
        <v>6</v>
      </c>
    </row>
    <row r="9" customFormat="false" ht="31.5" hidden="false" customHeight="true" outlineLevel="0" collapsed="false">
      <c r="A9" s="3" t="s">
        <v>7</v>
      </c>
    </row>
    <row r="10" customFormat="false" ht="31.5" hidden="false" customHeight="true" outlineLevel="0" collapsed="false">
      <c r="A10" s="3" t="s">
        <v>8</v>
      </c>
    </row>
    <row r="11" customFormat="false" ht="31.5" hidden="false" customHeight="true" outlineLevel="0" collapsed="false">
      <c r="A11" s="3" t="s">
        <v>9</v>
      </c>
    </row>
    <row r="12" customFormat="false" ht="19.5" hidden="false" customHeight="true" outlineLevel="0" collapsed="false">
      <c r="A12" s="4" t="s">
        <v>10</v>
      </c>
    </row>
    <row r="14" customFormat="false" ht="31.5" hidden="false" customHeight="true" outlineLevel="0" collapsed="false">
      <c r="A14" s="3" t="s">
        <v>11</v>
      </c>
    </row>
    <row r="15" customFormat="false" ht="31.5" hidden="false" customHeight="true" outlineLevel="0" collapsed="false">
      <c r="A15" s="3" t="s">
        <v>12</v>
      </c>
    </row>
    <row r="16" customFormat="false" ht="31.5" hidden="false" customHeight="true" outlineLevel="0" collapsed="false">
      <c r="A16" s="3" t="s">
        <v>13</v>
      </c>
    </row>
    <row r="17" customFormat="false" ht="31.5" hidden="false" customHeight="true" outlineLevel="0" collapsed="false">
      <c r="A17" s="3" t="s">
        <v>14</v>
      </c>
    </row>
    <row r="18" customFormat="false" ht="31.5" hidden="false" customHeight="true" outlineLevel="0" collapsed="false">
      <c r="A18" s="3" t="s">
        <v>15</v>
      </c>
    </row>
    <row r="19" customFormat="false" ht="19.5" hidden="false" customHeight="true" outlineLevel="0" collapsed="false">
      <c r="A19" s="4" t="s">
        <v>16</v>
      </c>
    </row>
    <row r="20" customFormat="false" ht="42" hidden="false" customHeight="true" outlineLevel="0" collapsed="false">
      <c r="A20" s="5" t="s">
        <v>17</v>
      </c>
    </row>
    <row r="21" customFormat="false" ht="42" hidden="false" customHeight="true" outlineLevel="0" collapsed="false">
      <c r="A21" s="5" t="s">
        <v>18</v>
      </c>
    </row>
    <row r="22" customFormat="false" ht="31.5" hidden="false" customHeight="true" outlineLevel="0" collapsed="false">
      <c r="A22" s="3" t="s">
        <v>19</v>
      </c>
    </row>
    <row r="23" customFormat="false" ht="19.5" hidden="false" customHeight="true" outlineLevel="0" collapsed="false">
      <c r="A23" s="4" t="s">
        <v>20</v>
      </c>
    </row>
    <row r="24" customFormat="false" ht="31.5" hidden="false" customHeight="true" outlineLevel="0" collapsed="false">
      <c r="A24" s="3" t="s">
        <v>21</v>
      </c>
    </row>
    <row r="25" customFormat="false" ht="19.5" hidden="false" customHeight="true" outlineLevel="0" collapsed="false">
      <c r="A25" s="4" t="s">
        <v>22</v>
      </c>
    </row>
    <row r="26" customFormat="false" ht="31.5" hidden="false" customHeight="true" outlineLevel="0" collapsed="false">
      <c r="A26" s="3" t="s">
        <v>23</v>
      </c>
    </row>
    <row r="27" customFormat="false" ht="31.5" hidden="false" customHeight="true" outlineLevel="0" collapsed="false">
      <c r="A27" s="3" t="s">
        <v>24</v>
      </c>
    </row>
    <row r="28" customFormat="false" ht="31.5" hidden="false" customHeight="true" outlineLevel="0" collapsed="false">
      <c r="A28" s="3" t="s">
        <v>25</v>
      </c>
    </row>
    <row r="30" customFormat="false" ht="14.25" hidden="false" customHeight="true" outlineLevel="0" collapsed="false">
      <c r="A30" s="1" t="s">
        <v>26</v>
      </c>
    </row>
    <row r="31" customFormat="false" ht="14.25" hidden="false" customHeight="true" outlineLevel="0" collapsed="false">
      <c r="A31" s="1" t="s">
        <v>27</v>
      </c>
    </row>
    <row r="32" customFormat="false" ht="14.25" hidden="false" customHeight="true" outlineLevel="0" collapsed="false">
      <c r="A32" s="1" t="s">
        <v>28</v>
      </c>
    </row>
    <row r="33" customFormat="false" ht="14.25" hidden="false" customHeight="true" outlineLevel="0" collapsed="false">
      <c r="A33" s="1"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1"/>
    <col collapsed="false" customWidth="true" hidden="false" outlineLevel="0" max="3" min="3" style="1" width="12"/>
    <col collapsed="false" customWidth="true" hidden="false" outlineLevel="0" max="4" min="4" style="1" width="14"/>
    <col collapsed="false" customWidth="true" hidden="false" outlineLevel="0" max="5" min="5" style="1" width="20"/>
    <col collapsed="false" customWidth="true" hidden="false" outlineLevel="0" max="6" min="6" style="1" width="14"/>
    <col collapsed="false" customWidth="true" hidden="false" outlineLevel="0" max="7" min="7" style="1" width="20"/>
    <col collapsed="false" customWidth="true" hidden="false" outlineLevel="0" max="8" min="8" style="1" width="16"/>
  </cols>
  <sheetData>
    <row r="1" customFormat="false" ht="24" hidden="false" customHeight="true" outlineLevel="0" collapsed="false">
      <c r="A1" s="6" t="s">
        <v>30</v>
      </c>
      <c r="B1" s="6"/>
      <c r="C1" s="6"/>
      <c r="D1" s="6"/>
      <c r="E1" s="6"/>
      <c r="F1" s="6"/>
      <c r="G1" s="6"/>
      <c r="H1" s="6"/>
    </row>
    <row r="3" customFormat="false" ht="15" hidden="false" customHeight="true" outlineLevel="0" collapsed="false">
      <c r="A3" s="7" t="s">
        <v>31</v>
      </c>
      <c r="C3" s="8" t="str">
        <f aca="false">COUNTIFS('Output Utente'!$D$2:$D$492,"&lt;&gt;")&amp;" / "&amp;COUNTA('Output Utente'!$A$2:$A$492)</f>
        <v>0 / 491</v>
      </c>
    </row>
    <row r="4" customFormat="false" ht="15" hidden="false" customHeight="true" outlineLevel="0" collapsed="false">
      <c r="A4" s="7" t="s">
        <v>32</v>
      </c>
      <c r="C4" s="9" t="n">
        <f aca="false">COUNTIFS('Output Utente'!$D$2:$D$492,"&lt;&gt;")/COUNTA('Output Utente'!$A$2:$A$492)</f>
        <v>0</v>
      </c>
    </row>
    <row r="5" customFormat="false" ht="15" hidden="false" customHeight="true" outlineLevel="0" collapsed="false">
      <c r="A5" s="7" t="s">
        <v>33</v>
      </c>
      <c r="C5" s="10" t="n">
        <f aca="false" t="array" ref="C5:C5">AVERAGE(IF('Info Lega'!$D$9:$D$24="Si",'Info Lega'!$B$4-SUMIF('Output Utente'!$D$2:$D$492,'Info Lega'!$B$9:$B$24,'Output Utente'!$M$2:$M$492)))</f>
        <v>1000</v>
      </c>
    </row>
    <row r="6" customFormat="false" ht="15" hidden="false" customHeight="true" outlineLevel="0" collapsed="false">
      <c r="A6" s="7" t="s">
        <v>34</v>
      </c>
      <c r="C6" s="11" t="str">
        <f aca="false">IFERROR(AVERAGEIF('Output Utente'!$D$2:$D$492,"&lt;&gt;",'Output Utente'!$M$2:$M$492),"")</f>
        <v/>
      </c>
    </row>
    <row r="8" customFormat="false" ht="30" hidden="false" customHeight="true" outlineLevel="0" collapsed="false">
      <c r="A8" s="12" t="s">
        <v>35</v>
      </c>
      <c r="B8" s="12" t="s">
        <v>36</v>
      </c>
      <c r="C8" s="12" t="s">
        <v>37</v>
      </c>
      <c r="D8" s="12" t="s">
        <v>38</v>
      </c>
      <c r="E8" s="12" t="s">
        <v>39</v>
      </c>
      <c r="F8" s="12" t="s">
        <v>40</v>
      </c>
      <c r="G8" s="12" t="s">
        <v>41</v>
      </c>
      <c r="H8" s="12" t="s">
        <v>42</v>
      </c>
    </row>
    <row r="9" customFormat="false" ht="15" hidden="false" customHeight="true" outlineLevel="0" collapsed="false">
      <c r="A9" s="7" t="s">
        <v>43</v>
      </c>
      <c r="B9" s="7" t="n">
        <f aca="false">COUNTIFS('Output Utente'!$B$2:$B$492,"P",'Output Utente'!$P$2:$P$492,"Top",'Output Utente'!$D$2:$D$492,"")</f>
        <v>9</v>
      </c>
      <c r="C9" s="7" t="n">
        <f aca="false">COUNTIFS('Output Utente'!$B$2:$B$492,"P",'Output Utente'!$P$2:$P$492,"Buono",'Output Utente'!$D$2:$D$492,"")</f>
        <v>15</v>
      </c>
      <c r="D9" s="7" t="n">
        <f aca="false">$B9+$C9</f>
        <v>24</v>
      </c>
      <c r="E9" s="7" t="n">
        <f aca="false">'Parametri Modello'!$D$32</f>
        <v>24</v>
      </c>
      <c r="F9" s="13" t="n">
        <f aca="false">IFERROR($D9/$E9,"")</f>
        <v>1</v>
      </c>
      <c r="G9" s="8" t="str">
        <f aca="false">IF($E9=0,"— (ruolo esaurito)",IF($F9&gt;='Parametri Modello'!$B$46,"🟢 Puoi aspettare",IF($F9&gt;='Parametri Modello'!$B$47,"🟡 Attesa rischiosa","🔴 Non aspettare")))</f>
        <v>🟡 Attesa rischiosa</v>
      </c>
      <c r="H9" s="14" t="str">
        <f aca="false">IFERROR(AVERAGEIFS('Output Utente'!$M$2:$M$492,'Output Utente'!$B$2:$B$492,"P",'Output Utente'!$D$2:$D$492,"&lt;&gt;"),"")</f>
        <v/>
      </c>
    </row>
    <row r="10" customFormat="false" ht="15" hidden="false" customHeight="true" outlineLevel="0" collapsed="false">
      <c r="A10" s="7" t="s">
        <v>44</v>
      </c>
      <c r="B10" s="7" t="n">
        <f aca="false">COUNTIFS('Output Utente'!$B$2:$B$492,"D",'Output Utente'!$P$2:$P$492,"Top",'Output Utente'!$D$2:$D$492,"")</f>
        <v>30</v>
      </c>
      <c r="C10" s="7" t="n">
        <f aca="false">COUNTIFS('Output Utente'!$B$2:$B$492,"D",'Output Utente'!$P$2:$P$492,"Buono",'Output Utente'!$D$2:$D$492,"")</f>
        <v>47</v>
      </c>
      <c r="D10" s="7" t="n">
        <f aca="false">$B10+$C10</f>
        <v>77</v>
      </c>
      <c r="E10" s="7" t="n">
        <f aca="false">'Parametri Modello'!$D$33</f>
        <v>64</v>
      </c>
      <c r="F10" s="13" t="n">
        <f aca="false">IFERROR($D10/$E10,"")</f>
        <v>1.203125</v>
      </c>
      <c r="G10" s="8" t="str">
        <f aca="false">IF($E10=0,"— (ruolo esaurito)",IF($F10&gt;='Parametri Modello'!$B$46,"🟢 Puoi aspettare",IF($F10&gt;='Parametri Modello'!$B$47,"🟡 Attesa rischiosa","🔴 Non aspettare")))</f>
        <v>🟡 Attesa rischiosa</v>
      </c>
      <c r="H10" s="14" t="str">
        <f aca="false">IFERROR(AVERAGEIFS('Output Utente'!$M$2:$M$492,'Output Utente'!$B$2:$B$492,"D",'Output Utente'!$D$2:$D$492,"&lt;&gt;"),"")</f>
        <v/>
      </c>
    </row>
    <row r="11" customFormat="false" ht="15" hidden="false" customHeight="true" outlineLevel="0" collapsed="false">
      <c r="A11" s="7" t="s">
        <v>45</v>
      </c>
      <c r="B11" s="7" t="n">
        <f aca="false">COUNTIFS('Output Utente'!$B$2:$B$492,"C",'Output Utente'!$P$2:$P$492,"Top",'Output Utente'!$D$2:$D$492,"")</f>
        <v>26</v>
      </c>
      <c r="C11" s="7" t="n">
        <f aca="false">COUNTIFS('Output Utente'!$B$2:$B$492,"C",'Output Utente'!$P$2:$P$492,"Buono",'Output Utente'!$D$2:$D$492,"")</f>
        <v>44</v>
      </c>
      <c r="D11" s="7" t="n">
        <f aca="false">$B11+$C11</f>
        <v>70</v>
      </c>
      <c r="E11" s="7" t="n">
        <f aca="false">'Parametri Modello'!$D$34</f>
        <v>64</v>
      </c>
      <c r="F11" s="13" t="n">
        <f aca="false">IFERROR($D11/$E11,"")</f>
        <v>1.09375</v>
      </c>
      <c r="G11" s="8" t="str">
        <f aca="false">IF($E11=0,"— (ruolo esaurito)",IF($F11&gt;='Parametri Modello'!$B$46,"🟢 Puoi aspettare",IF($F11&gt;='Parametri Modello'!$B$47,"🟡 Attesa rischiosa","🔴 Non aspettare")))</f>
        <v>🟡 Attesa rischiosa</v>
      </c>
      <c r="H11" s="14" t="str">
        <f aca="false">IFERROR(AVERAGEIFS('Output Utente'!$M$2:$M$492,'Output Utente'!$B$2:$B$492,"C",'Output Utente'!$D$2:$D$492,"&lt;&gt;"),"")</f>
        <v/>
      </c>
    </row>
    <row r="12" customFormat="false" ht="15" hidden="false" customHeight="true" outlineLevel="0" collapsed="false">
      <c r="A12" s="7" t="s">
        <v>46</v>
      </c>
      <c r="B12" s="7" t="n">
        <f aca="false">COUNTIFS('Output Utente'!$B$2:$B$492,"A",'Output Utente'!$P$2:$P$492,"Top",'Output Utente'!$D$2:$D$492,"")</f>
        <v>13</v>
      </c>
      <c r="C12" s="7" t="n">
        <f aca="false">COUNTIFS('Output Utente'!$B$2:$B$492,"A",'Output Utente'!$P$2:$P$492,"Buono",'Output Utente'!$D$2:$D$492,"")</f>
        <v>22</v>
      </c>
      <c r="D12" s="7" t="n">
        <f aca="false">$B12+$C12</f>
        <v>35</v>
      </c>
      <c r="E12" s="7" t="n">
        <f aca="false">'Parametri Modello'!$D$35</f>
        <v>48</v>
      </c>
      <c r="F12" s="13" t="n">
        <f aca="false">IFERROR($D12/$E12,"")</f>
        <v>0.729166666666667</v>
      </c>
      <c r="G12" s="8" t="str">
        <f aca="false">IF($E12=0,"— (ruolo esaurito)",IF($F12&gt;='Parametri Modello'!$B$46,"🟢 Puoi aspettare",IF($F12&gt;='Parametri Modello'!$B$47,"🟡 Attesa rischiosa","🔴 Non aspettare")))</f>
        <v>🔴 Non aspettare</v>
      </c>
      <c r="H12" s="14" t="str">
        <f aca="false">IFERROR(AVERAGEIFS('Output Utente'!$M$2:$M$492,'Output Utente'!$B$2:$B$492,"A",'Output Utente'!$D$2:$D$492,"&lt;&gt;"),"")</f>
        <v/>
      </c>
    </row>
    <row r="15" customFormat="false" ht="21.75" hidden="false" customHeight="true" outlineLevel="0" collapsed="false">
      <c r="A15" s="15" t="s">
        <v>47</v>
      </c>
      <c r="B15" s="15"/>
      <c r="C15" s="15"/>
      <c r="D15" s="15"/>
      <c r="E15" s="15"/>
      <c r="F15" s="15"/>
      <c r="G15" s="15"/>
      <c r="H15" s="15"/>
    </row>
  </sheetData>
  <mergeCells count="2">
    <mergeCell ref="A1:H1"/>
    <mergeCell ref="A15:H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9" activeCellId="0" sqref="B9"/>
    </sheetView>
  </sheetViews>
  <sheetFormatPr defaultColWidth="8.6328125" defaultRowHeight="14.25" zeroHeight="false" outlineLevelRow="0" outlineLevelCol="0"/>
  <cols>
    <col collapsed="false" customWidth="true" hidden="false" outlineLevel="0" max="1" min="1" style="1" width="23.54"/>
    <col collapsed="false" customWidth="true" hidden="false" outlineLevel="0" max="2" min="2" style="16" width="16"/>
  </cols>
  <sheetData>
    <row r="2" customFormat="false" ht="14.25" hidden="false" customHeight="true" outlineLevel="0" collapsed="false">
      <c r="A2" s="1" t="s">
        <v>48</v>
      </c>
      <c r="B2" s="16" t="s">
        <v>49</v>
      </c>
      <c r="C2" s="1" t="s">
        <v>50</v>
      </c>
    </row>
    <row r="3" customFormat="false" ht="14.25" hidden="false" customHeight="true" outlineLevel="0" collapsed="false">
      <c r="A3" s="1" t="s">
        <v>51</v>
      </c>
      <c r="B3" s="16" t="n">
        <v>8</v>
      </c>
    </row>
    <row r="4" customFormat="false" ht="14.25" hidden="false" customHeight="true" outlineLevel="0" collapsed="false">
      <c r="A4" s="1" t="s">
        <v>52</v>
      </c>
      <c r="B4" s="16" t="n">
        <v>1000</v>
      </c>
    </row>
    <row r="5" customFormat="false" ht="14.25" hidden="false" customHeight="true" outlineLevel="0" collapsed="false">
      <c r="A5" s="1" t="s">
        <v>53</v>
      </c>
      <c r="B5" s="16" t="n">
        <v>3</v>
      </c>
    </row>
    <row r="6" customFormat="false" ht="14.25" hidden="false" customHeight="true" outlineLevel="0" collapsed="false">
      <c r="A6" s="1" t="s">
        <v>54</v>
      </c>
      <c r="B6" s="16" t="n">
        <v>8</v>
      </c>
    </row>
    <row r="7" customFormat="false" ht="14.25" hidden="false" customHeight="true" outlineLevel="0" collapsed="false">
      <c r="A7" s="1" t="s">
        <v>55</v>
      </c>
      <c r="B7" s="16" t="n">
        <v>8</v>
      </c>
    </row>
    <row r="8" customFormat="false" ht="14.25" hidden="false" customHeight="true" outlineLevel="0" collapsed="false">
      <c r="A8" s="1" t="s">
        <v>56</v>
      </c>
      <c r="B8" s="16" t="n">
        <v>6</v>
      </c>
      <c r="D8" s="8" t="s">
        <v>57</v>
      </c>
    </row>
    <row r="9" customFormat="false" ht="14.25" hidden="false" customHeight="true" outlineLevel="0" collapsed="false">
      <c r="A9" s="1" t="s">
        <v>58</v>
      </c>
      <c r="B9" s="16" t="s">
        <v>59</v>
      </c>
      <c r="D9" s="7" t="str">
        <f aca="false">IF(ROW()-8&lt;=$B$3,"Si","No")</f>
        <v>Si</v>
      </c>
    </row>
    <row r="10" customFormat="false" ht="14.25" hidden="false" customHeight="true" outlineLevel="0" collapsed="false">
      <c r="A10" s="1" t="s">
        <v>60</v>
      </c>
      <c r="B10" s="16" t="s">
        <v>61</v>
      </c>
      <c r="D10" s="7" t="str">
        <f aca="false">IF(ROW()-8&lt;=$B$3,"Si","No")</f>
        <v>Si</v>
      </c>
    </row>
    <row r="11" customFormat="false" ht="14.25" hidden="false" customHeight="true" outlineLevel="0" collapsed="false">
      <c r="A11" s="1" t="s">
        <v>62</v>
      </c>
      <c r="B11" s="16" t="s">
        <v>63</v>
      </c>
      <c r="D11" s="7" t="str">
        <f aca="false">IF(ROW()-8&lt;=$B$3,"Si","No")</f>
        <v>Si</v>
      </c>
    </row>
    <row r="12" customFormat="false" ht="14.25" hidden="false" customHeight="true" outlineLevel="0" collapsed="false">
      <c r="A12" s="1" t="s">
        <v>64</v>
      </c>
      <c r="B12" s="16" t="s">
        <v>65</v>
      </c>
      <c r="D12" s="7" t="str">
        <f aca="false">IF(ROW()-8&lt;=$B$3,"Si","No")</f>
        <v>Si</v>
      </c>
    </row>
    <row r="13" customFormat="false" ht="14.25" hidden="false" customHeight="true" outlineLevel="0" collapsed="false">
      <c r="A13" s="1" t="s">
        <v>66</v>
      </c>
      <c r="B13" s="16" t="s">
        <v>67</v>
      </c>
      <c r="D13" s="7" t="str">
        <f aca="false">IF(ROW()-8&lt;=$B$3,"Si","No")</f>
        <v>Si</v>
      </c>
    </row>
    <row r="14" customFormat="false" ht="14.25" hidden="false" customHeight="true" outlineLevel="0" collapsed="false">
      <c r="A14" s="1" t="s">
        <v>68</v>
      </c>
      <c r="B14" s="16" t="s">
        <v>69</v>
      </c>
      <c r="D14" s="7" t="str">
        <f aca="false">IF(ROW()-8&lt;=$B$3,"Si","No")</f>
        <v>Si</v>
      </c>
    </row>
    <row r="15" customFormat="false" ht="14.25" hidden="false" customHeight="true" outlineLevel="0" collapsed="false">
      <c r="A15" s="1" t="s">
        <v>70</v>
      </c>
      <c r="B15" s="16" t="s">
        <v>71</v>
      </c>
      <c r="D15" s="7" t="str">
        <f aca="false">IF(ROW()-8&lt;=$B$3,"Si","No")</f>
        <v>Si</v>
      </c>
    </row>
    <row r="16" customFormat="false" ht="14.25" hidden="false" customHeight="true" outlineLevel="0" collapsed="false">
      <c r="A16" s="1" t="s">
        <v>72</v>
      </c>
      <c r="B16" s="16" t="s">
        <v>73</v>
      </c>
      <c r="D16" s="7" t="str">
        <f aca="false">IF(ROW()-8&lt;=$B$3,"Si","No")</f>
        <v>Si</v>
      </c>
    </row>
    <row r="17" customFormat="false" ht="14.25" hidden="false" customHeight="true" outlineLevel="0" collapsed="false">
      <c r="A17" s="1" t="s">
        <v>74</v>
      </c>
      <c r="B17" s="16" t="s">
        <v>75</v>
      </c>
      <c r="D17" s="7" t="str">
        <f aca="false">IF(ROW()-8&lt;=$B$3,"Si","No")</f>
        <v>No</v>
      </c>
    </row>
    <row r="18" customFormat="false" ht="14.25" hidden="false" customHeight="true" outlineLevel="0" collapsed="false">
      <c r="A18" s="1" t="s">
        <v>76</v>
      </c>
      <c r="B18" s="16" t="s">
        <v>77</v>
      </c>
      <c r="D18" s="7" t="str">
        <f aca="false">IF(ROW()-8&lt;=$B$3,"Si","No")</f>
        <v>No</v>
      </c>
    </row>
    <row r="19" customFormat="false" ht="14.25" hidden="false" customHeight="true" outlineLevel="0" collapsed="false">
      <c r="A19" s="1" t="s">
        <v>78</v>
      </c>
      <c r="B19" s="16" t="s">
        <v>79</v>
      </c>
      <c r="D19" s="7" t="str">
        <f aca="false">IF(ROW()-8&lt;=$B$3,"Si","No")</f>
        <v>No</v>
      </c>
    </row>
    <row r="20" customFormat="false" ht="14.25" hidden="false" customHeight="true" outlineLevel="0" collapsed="false">
      <c r="A20" s="1" t="s">
        <v>80</v>
      </c>
      <c r="B20" s="16" t="s">
        <v>81</v>
      </c>
      <c r="D20" s="7" t="str">
        <f aca="false">IF(ROW()-8&lt;=$B$3,"Si","No")</f>
        <v>No</v>
      </c>
    </row>
    <row r="21" customFormat="false" ht="14.25" hidden="false" customHeight="true" outlineLevel="0" collapsed="false">
      <c r="A21" s="1" t="s">
        <v>82</v>
      </c>
      <c r="B21" s="16" t="s">
        <v>83</v>
      </c>
      <c r="D21" s="7" t="str">
        <f aca="false">IF(ROW()-8&lt;=$B$3,"Si","No")</f>
        <v>No</v>
      </c>
    </row>
    <row r="22" customFormat="false" ht="14.25" hidden="false" customHeight="true" outlineLevel="0" collapsed="false">
      <c r="A22" s="1" t="s">
        <v>84</v>
      </c>
      <c r="B22" s="16" t="s">
        <v>85</v>
      </c>
      <c r="D22" s="7" t="str">
        <f aca="false">IF(ROW()-8&lt;=$B$3,"Si","No")</f>
        <v>No</v>
      </c>
    </row>
    <row r="23" customFormat="false" ht="14.25" hidden="false" customHeight="true" outlineLevel="0" collapsed="false">
      <c r="A23" s="1" t="s">
        <v>86</v>
      </c>
      <c r="B23" s="16" t="s">
        <v>87</v>
      </c>
      <c r="D23" s="7" t="str">
        <f aca="false">IF(ROW()-8&lt;=$B$3,"Si","No")</f>
        <v>No</v>
      </c>
    </row>
    <row r="24" customFormat="false" ht="14.25" hidden="false" customHeight="true" outlineLevel="0" collapsed="false">
      <c r="A24" s="1" t="s">
        <v>88</v>
      </c>
      <c r="B24" s="16" t="s">
        <v>89</v>
      </c>
      <c r="D24" s="7" t="str">
        <f aca="false">IF(ROW()-8&lt;=$B$3,"Si","No")</f>
        <v>No</v>
      </c>
    </row>
    <row r="25" customFormat="false" ht="14.25" hidden="false" customHeight="true" outlineLevel="0" collapsed="false">
      <c r="A25" s="1" t="s">
        <v>90</v>
      </c>
      <c r="B25" s="16" t="s">
        <v>91</v>
      </c>
    </row>
    <row r="26" customFormat="false" ht="14.25" hidden="false" customHeight="true" outlineLevel="0" collapsed="false">
      <c r="A26" s="1" t="s">
        <v>92</v>
      </c>
      <c r="B26" s="16" t="s">
        <v>93</v>
      </c>
    </row>
    <row r="27" customFormat="false" ht="14.25" hidden="false" customHeight="true" outlineLevel="0" collapsed="false">
      <c r="A27" s="1" t="s">
        <v>94</v>
      </c>
      <c r="B27" s="16" t="s">
        <v>95</v>
      </c>
    </row>
    <row r="28" customFormat="false" ht="14.25" hidden="false" customHeight="true" outlineLevel="0" collapsed="false">
      <c r="A28" s="1" t="s">
        <v>96</v>
      </c>
      <c r="B28" s="17" t="s">
        <v>59</v>
      </c>
      <c r="C28" s="1" t="s">
        <v>97</v>
      </c>
    </row>
  </sheetData>
  <dataValidations count="1">
    <dataValidation allowBlank="true" errorStyle="stop" operator="between" showDropDown="false" showErrorMessage="false" showInputMessage="false" sqref="B28" type="list">
      <formula1>$B$9:$B$24</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 activeCellId="0" sqref="D2"/>
    </sheetView>
  </sheetViews>
  <sheetFormatPr defaultColWidth="8.6328125" defaultRowHeight="14.25" zeroHeight="false" outlineLevelRow="0" outlineLevelCol="0"/>
  <cols>
    <col collapsed="false" customWidth="true" hidden="false" outlineLevel="0" max="1" min="1" style="1" width="15.54"/>
    <col collapsed="false" customWidth="true" hidden="false" outlineLevel="0" max="2" min="2" style="18" width="8.73"/>
    <col collapsed="false" customWidth="true" hidden="false" outlineLevel="0" max="4" min="4" style="1" width="28"/>
  </cols>
  <sheetData>
    <row r="1" customFormat="false" ht="27.75" hidden="false" customHeight="true" outlineLevel="0" collapsed="false">
      <c r="A1" s="1" t="s">
        <v>98</v>
      </c>
      <c r="B1" s="18" t="s">
        <v>99</v>
      </c>
      <c r="D1" s="19" t="s">
        <v>100</v>
      </c>
    </row>
    <row r="2" customFormat="false" ht="14.25" hidden="false" customHeight="true" outlineLevel="0" collapsed="false">
      <c r="A2" s="1" t="s">
        <v>44</v>
      </c>
      <c r="B2" s="18" t="str">
        <f aca="false">MID(B1,1,1)</f>
        <v>3</v>
      </c>
      <c r="D2" s="17"/>
    </row>
    <row r="3" customFormat="false" ht="14.25" hidden="false" customHeight="true" outlineLevel="0" collapsed="false">
      <c r="A3" s="1" t="s">
        <v>45</v>
      </c>
      <c r="B3" s="18" t="str">
        <f aca="false">MID(B1,3,1)</f>
        <v>4</v>
      </c>
      <c r="D3" s="17"/>
    </row>
    <row r="4" customFormat="false" ht="14.25" hidden="false" customHeight="true" outlineLevel="0" collapsed="false">
      <c r="A4" s="1" t="s">
        <v>46</v>
      </c>
      <c r="B4" s="18" t="str">
        <f aca="false">MID(B1,5,1)</f>
        <v>3</v>
      </c>
      <c r="D4" s="17"/>
    </row>
    <row r="5" customFormat="false" ht="14.25" hidden="false" customHeight="true" outlineLevel="0" collapsed="false">
      <c r="A5" s="1" t="s">
        <v>101</v>
      </c>
      <c r="D5" s="17"/>
    </row>
    <row r="6" customFormat="false" ht="14.25" hidden="false" customHeight="true" outlineLevel="0" collapsed="false">
      <c r="A6" s="1" t="s">
        <v>102</v>
      </c>
      <c r="B6" s="18" t="n">
        <v>0.7</v>
      </c>
      <c r="D6" s="17"/>
    </row>
    <row r="7" customFormat="false" ht="14.25" hidden="false" customHeight="true" outlineLevel="0" collapsed="false">
      <c r="D7" s="17"/>
    </row>
    <row r="8" customFormat="false" ht="14.25" hidden="false" customHeight="true" outlineLevel="0" collapsed="false">
      <c r="D8" s="17"/>
    </row>
    <row r="9" customFormat="false" ht="14.25" hidden="false" customHeight="true" outlineLevel="0" collapsed="false">
      <c r="D9" s="17"/>
    </row>
    <row r="10" customFormat="false" ht="14.25" hidden="false" customHeight="true" outlineLevel="0" collapsed="false">
      <c r="D10" s="17"/>
    </row>
    <row r="11" customFormat="false" ht="14.25" hidden="false" customHeight="true" outlineLevel="0" collapsed="false">
      <c r="D11" s="17"/>
    </row>
    <row r="12" customFormat="false" ht="14.25" hidden="false" customHeight="true" outlineLevel="0" collapsed="false">
      <c r="D12" s="17"/>
      <c r="G12" s="1" t="s">
        <v>103</v>
      </c>
    </row>
    <row r="13" customFormat="false" ht="14.25" hidden="false" customHeight="true" outlineLevel="0" collapsed="false">
      <c r="D13" s="17"/>
    </row>
    <row r="14" customFormat="false" ht="14.25" hidden="false" customHeight="true" outlineLevel="0" collapsed="false">
      <c r="D14" s="17"/>
    </row>
    <row r="15" customFormat="false" ht="14.25" hidden="false" customHeight="true" outlineLevel="0" collapsed="false">
      <c r="D15" s="17"/>
    </row>
    <row r="16" customFormat="false" ht="14.25" hidden="false" customHeight="true" outlineLevel="0" collapsed="false">
      <c r="D16" s="17"/>
    </row>
    <row r="17" customFormat="false" ht="14.25" hidden="false" customHeight="true" outlineLevel="0" collapsed="false">
      <c r="D17" s="17"/>
    </row>
    <row r="18" customFormat="false" ht="14.25" hidden="false" customHeight="true" outlineLevel="0" collapsed="false">
      <c r="D18" s="17"/>
    </row>
    <row r="19" customFormat="false" ht="14.25" hidden="false" customHeight="true" outlineLevel="0" collapsed="false">
      <c r="D19" s="17"/>
    </row>
    <row r="20" customFormat="false" ht="14.25" hidden="false" customHeight="true" outlineLevel="0" collapsed="false">
      <c r="D20" s="17"/>
    </row>
    <row r="21" customFormat="false" ht="14.25" hidden="false" customHeight="true" outlineLevel="0" collapsed="false">
      <c r="D21" s="17"/>
    </row>
    <row r="22" customFormat="false" ht="14.25" hidden="false" customHeight="true" outlineLevel="0" collapsed="false">
      <c r="D22" s="17"/>
    </row>
    <row r="23" customFormat="false" ht="14.25" hidden="false" customHeight="true" outlineLevel="0" collapsed="false">
      <c r="D23" s="17"/>
    </row>
    <row r="24" customFormat="false" ht="14.25" hidden="false" customHeight="true" outlineLevel="0" collapsed="false">
      <c r="D24" s="17"/>
    </row>
    <row r="25" customFormat="false" ht="14.25" hidden="false" customHeight="true" outlineLevel="0" collapsed="false">
      <c r="D25" s="17"/>
    </row>
    <row r="26" customFormat="false" ht="14.25" hidden="false" customHeight="true" outlineLevel="0" collapsed="false">
      <c r="D26" s="17"/>
    </row>
    <row r="27" customFormat="false" ht="14.25" hidden="false" customHeight="true" outlineLevel="0" collapsed="false">
      <c r="D27" s="17"/>
    </row>
    <row r="28" customFormat="false" ht="14.25" hidden="false" customHeight="true" outlineLevel="0" collapsed="false">
      <c r="D28" s="17"/>
    </row>
    <row r="29" customFormat="false" ht="14.25" hidden="false" customHeight="true" outlineLevel="0" collapsed="false">
      <c r="D29" s="17"/>
    </row>
    <row r="30" customFormat="false" ht="14.25" hidden="false" customHeight="true" outlineLevel="0" collapsed="false">
      <c r="D30" s="17"/>
    </row>
    <row r="31" customFormat="false" ht="14.25" hidden="false" customHeight="true" outlineLevel="0" collapsed="false">
      <c r="D31" s="17"/>
    </row>
    <row r="32" customFormat="false" ht="14.25" hidden="false" customHeight="true" outlineLevel="0" collapsed="false">
      <c r="D32" s="17"/>
    </row>
    <row r="33" customFormat="false" ht="14.25" hidden="false" customHeight="true" outlineLevel="0" collapsed="false">
      <c r="D33" s="17"/>
    </row>
    <row r="34" customFormat="false" ht="14.25" hidden="false" customHeight="true" outlineLevel="0" collapsed="false">
      <c r="D34" s="17"/>
    </row>
    <row r="35" customFormat="false" ht="14.25" hidden="false" customHeight="true" outlineLevel="0" collapsed="false">
      <c r="D35" s="17"/>
    </row>
    <row r="36" customFormat="false" ht="14.25" hidden="false" customHeight="true" outlineLevel="0" collapsed="false">
      <c r="D36" s="17"/>
    </row>
    <row r="37" customFormat="false" ht="14.25" hidden="false" customHeight="true" outlineLevel="0" collapsed="false">
      <c r="D37" s="17"/>
    </row>
    <row r="38" customFormat="false" ht="14.25" hidden="false" customHeight="true" outlineLevel="0" collapsed="false">
      <c r="D38" s="17"/>
    </row>
    <row r="39" customFormat="false" ht="14.25" hidden="false" customHeight="true" outlineLevel="0" collapsed="false">
      <c r="D39" s="17"/>
    </row>
    <row r="40" customFormat="false" ht="14.25" hidden="false" customHeight="true" outlineLevel="0" collapsed="false">
      <c r="D40" s="17"/>
    </row>
    <row r="41" customFormat="false" ht="14.25" hidden="false" customHeight="true" outlineLevel="0" collapsed="false">
      <c r="D41" s="17"/>
    </row>
    <row r="42" customFormat="false" ht="14.25" hidden="false" customHeight="true" outlineLevel="0" collapsed="false">
      <c r="D42" s="17"/>
    </row>
    <row r="43" customFormat="false" ht="14.25" hidden="false" customHeight="true" outlineLevel="0" collapsed="false">
      <c r="D43" s="17"/>
    </row>
    <row r="44" customFormat="false" ht="14.25" hidden="false" customHeight="true" outlineLevel="0" collapsed="false">
      <c r="D44" s="17"/>
    </row>
    <row r="45" customFormat="false" ht="14.25" hidden="false" customHeight="true" outlineLevel="0" collapsed="false">
      <c r="D45" s="17"/>
    </row>
    <row r="46" customFormat="false" ht="14.25" hidden="false" customHeight="true" outlineLevel="0" collapsed="false">
      <c r="D46" s="17"/>
    </row>
    <row r="47" customFormat="false" ht="14.25" hidden="false" customHeight="true" outlineLevel="0" collapsed="false">
      <c r="D47" s="17"/>
    </row>
    <row r="48" customFormat="false" ht="14.25" hidden="false" customHeight="true" outlineLevel="0" collapsed="false">
      <c r="D48" s="17"/>
    </row>
    <row r="49" customFormat="false" ht="14.25" hidden="false" customHeight="true" outlineLevel="0" collapsed="false">
      <c r="D49" s="17"/>
    </row>
    <row r="50" customFormat="false" ht="14.25" hidden="false" customHeight="true" outlineLevel="0" collapsed="false">
      <c r="D50" s="17"/>
    </row>
    <row r="51" customFormat="false" ht="14.25" hidden="false" customHeight="true" outlineLevel="0" collapsed="false">
      <c r="D51" s="1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9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8.6328125" defaultRowHeight="14.25" zeroHeight="false" outlineLevelRow="0" outlineLevelCol="0"/>
  <cols>
    <col collapsed="false" customWidth="true" hidden="false" outlineLevel="0" max="1" min="1" style="1" width="6"/>
    <col collapsed="false" customWidth="true" hidden="false" outlineLevel="0" max="2" min="2" style="1" width="3"/>
    <col collapsed="false" customWidth="true" hidden="false" outlineLevel="0" max="3" min="3" style="1" width="21"/>
    <col collapsed="false" customWidth="true" hidden="false" outlineLevel="0" max="4" min="4" style="1" width="12"/>
    <col collapsed="false" customWidth="true" hidden="false" outlineLevel="0" max="6" min="5" style="1" width="6"/>
    <col collapsed="false" customWidth="true" hidden="false" outlineLevel="0" max="7" min="7" style="1" width="7"/>
  </cols>
  <sheetData>
    <row r="1" customFormat="false" ht="14.25" hidden="false" customHeight="true" outlineLevel="0" collapsed="false">
      <c r="A1" s="20" t="s">
        <v>104</v>
      </c>
      <c r="B1" s="20"/>
      <c r="C1" s="20"/>
      <c r="D1" s="20"/>
      <c r="E1" s="20"/>
      <c r="F1" s="20"/>
      <c r="G1" s="20"/>
    </row>
    <row r="2" customFormat="false" ht="14.25" hidden="false" customHeight="true" outlineLevel="0" collapsed="false">
      <c r="A2" s="1" t="s">
        <v>105</v>
      </c>
      <c r="B2" s="1" t="s">
        <v>106</v>
      </c>
      <c r="C2" s="1" t="s">
        <v>107</v>
      </c>
      <c r="D2" s="1" t="s">
        <v>108</v>
      </c>
      <c r="E2" s="1" t="s">
        <v>109</v>
      </c>
      <c r="F2" s="1" t="s">
        <v>110</v>
      </c>
      <c r="G2" s="1" t="s">
        <v>111</v>
      </c>
    </row>
    <row r="3" customFormat="false" ht="14.25" hidden="false" customHeight="true" outlineLevel="0" collapsed="false">
      <c r="A3" s="1" t="n">
        <v>5841</v>
      </c>
      <c r="B3" s="1" t="s">
        <v>43</v>
      </c>
      <c r="C3" s="1" t="s">
        <v>112</v>
      </c>
      <c r="D3" s="1" t="s">
        <v>113</v>
      </c>
      <c r="E3" s="1" t="n">
        <v>18</v>
      </c>
      <c r="F3" s="1" t="n">
        <v>18</v>
      </c>
      <c r="G3" s="1" t="n">
        <v>65</v>
      </c>
    </row>
    <row r="4" customFormat="false" ht="14.25" hidden="false" customHeight="true" outlineLevel="0" collapsed="false">
      <c r="A4" s="1" t="n">
        <v>5116</v>
      </c>
      <c r="B4" s="1" t="s">
        <v>43</v>
      </c>
      <c r="C4" s="1" t="s">
        <v>114</v>
      </c>
      <c r="D4" s="1" t="s">
        <v>115</v>
      </c>
      <c r="E4" s="1" t="n">
        <v>17</v>
      </c>
      <c r="F4" s="1" t="n">
        <v>17</v>
      </c>
      <c r="G4" s="1" t="n">
        <v>63</v>
      </c>
    </row>
    <row r="5" customFormat="false" ht="14.25" hidden="false" customHeight="true" outlineLevel="0" collapsed="false">
      <c r="A5" s="1" t="n">
        <v>4431</v>
      </c>
      <c r="B5" s="1" t="s">
        <v>43</v>
      </c>
      <c r="C5" s="1" t="s">
        <v>116</v>
      </c>
      <c r="D5" s="1" t="s">
        <v>117</v>
      </c>
      <c r="E5" s="1" t="n">
        <v>16</v>
      </c>
      <c r="F5" s="1" t="n">
        <v>16</v>
      </c>
      <c r="G5" s="1" t="n">
        <v>52</v>
      </c>
    </row>
    <row r="6" customFormat="false" ht="14.25" hidden="false" customHeight="true" outlineLevel="0" collapsed="false">
      <c r="A6" s="1" t="n">
        <v>6966</v>
      </c>
      <c r="B6" s="1" t="s">
        <v>43</v>
      </c>
      <c r="C6" s="1" t="s">
        <v>118</v>
      </c>
      <c r="D6" s="1" t="s">
        <v>119</v>
      </c>
      <c r="E6" s="1" t="n">
        <v>16</v>
      </c>
      <c r="F6" s="1" t="n">
        <v>16</v>
      </c>
      <c r="G6" s="1" t="n">
        <v>56</v>
      </c>
    </row>
    <row r="7" customFormat="false" ht="14.25" hidden="false" customHeight="true" outlineLevel="0" collapsed="false">
      <c r="A7" s="1" t="n">
        <v>4312</v>
      </c>
      <c r="B7" s="1" t="s">
        <v>43</v>
      </c>
      <c r="C7" s="1" t="s">
        <v>120</v>
      </c>
      <c r="D7" s="1" t="s">
        <v>121</v>
      </c>
      <c r="E7" s="1" t="n">
        <v>15</v>
      </c>
      <c r="F7" s="1" t="n">
        <v>15</v>
      </c>
      <c r="G7" s="1" t="n">
        <v>50</v>
      </c>
    </row>
    <row r="8" customFormat="false" ht="14.25" hidden="false" customHeight="true" outlineLevel="0" collapsed="false">
      <c r="A8" s="1" t="n">
        <v>2521</v>
      </c>
      <c r="B8" s="1" t="s">
        <v>43</v>
      </c>
      <c r="C8" s="1" t="s">
        <v>122</v>
      </c>
      <c r="D8" s="1" t="s">
        <v>123</v>
      </c>
      <c r="E8" s="1" t="n">
        <v>13</v>
      </c>
      <c r="F8" s="1" t="n">
        <v>13</v>
      </c>
      <c r="G8" s="1" t="n">
        <v>45</v>
      </c>
    </row>
    <row r="9" customFormat="false" ht="14.25" hidden="false" customHeight="true" outlineLevel="0" collapsed="false">
      <c r="A9" s="1" t="n">
        <v>572</v>
      </c>
      <c r="B9" s="1" t="s">
        <v>43</v>
      </c>
      <c r="C9" s="1" t="s">
        <v>124</v>
      </c>
      <c r="D9" s="1" t="s">
        <v>125</v>
      </c>
      <c r="E9" s="1" t="n">
        <v>11</v>
      </c>
      <c r="F9" s="1" t="n">
        <v>11</v>
      </c>
      <c r="G9" s="1" t="n">
        <v>45</v>
      </c>
    </row>
    <row r="10" customFormat="false" ht="14.25" hidden="false" customHeight="true" outlineLevel="0" collapsed="false">
      <c r="A10" s="1" t="n">
        <v>133</v>
      </c>
      <c r="B10" s="1" t="s">
        <v>43</v>
      </c>
      <c r="C10" s="1" t="s">
        <v>126</v>
      </c>
      <c r="D10" s="1" t="s">
        <v>127</v>
      </c>
      <c r="E10" s="1" t="n">
        <v>10</v>
      </c>
      <c r="F10" s="1" t="n">
        <v>10</v>
      </c>
      <c r="G10" s="1" t="n">
        <v>37</v>
      </c>
    </row>
    <row r="11" customFormat="false" ht="14.25" hidden="false" customHeight="true" outlineLevel="0" collapsed="false">
      <c r="A11" s="1" t="n">
        <v>4360</v>
      </c>
      <c r="B11" s="1" t="s">
        <v>43</v>
      </c>
      <c r="C11" s="1" t="s">
        <v>128</v>
      </c>
      <c r="D11" s="1" t="s">
        <v>129</v>
      </c>
      <c r="E11" s="1" t="n">
        <v>9</v>
      </c>
      <c r="F11" s="1" t="n">
        <v>9</v>
      </c>
      <c r="G11" s="1" t="n">
        <v>27</v>
      </c>
    </row>
    <row r="12" customFormat="false" ht="14.25" hidden="false" customHeight="true" outlineLevel="0" collapsed="false">
      <c r="A12" s="1" t="n">
        <v>5876</v>
      </c>
      <c r="B12" s="1" t="s">
        <v>43</v>
      </c>
      <c r="C12" s="1" t="s">
        <v>130</v>
      </c>
      <c r="D12" s="1" t="s">
        <v>131</v>
      </c>
      <c r="E12" s="1" t="n">
        <v>9</v>
      </c>
      <c r="F12" s="1" t="n">
        <v>9</v>
      </c>
      <c r="G12" s="1" t="n">
        <v>40</v>
      </c>
    </row>
    <row r="13" customFormat="false" ht="14.25" hidden="false" customHeight="true" outlineLevel="0" collapsed="false">
      <c r="A13" s="1" t="n">
        <v>6482</v>
      </c>
      <c r="B13" s="1" t="s">
        <v>43</v>
      </c>
      <c r="C13" s="1" t="s">
        <v>132</v>
      </c>
      <c r="D13" s="1" t="s">
        <v>133</v>
      </c>
      <c r="E13" s="1" t="n">
        <v>9</v>
      </c>
      <c r="F13" s="1" t="n">
        <v>9</v>
      </c>
      <c r="G13" s="1" t="n">
        <v>30</v>
      </c>
    </row>
    <row r="14" customFormat="false" ht="14.25" hidden="false" customHeight="true" outlineLevel="0" collapsed="false">
      <c r="A14" s="1" t="n">
        <v>6462</v>
      </c>
      <c r="B14" s="1" t="s">
        <v>43</v>
      </c>
      <c r="C14" s="1" t="s">
        <v>134</v>
      </c>
      <c r="D14" s="1" t="s">
        <v>135</v>
      </c>
      <c r="E14" s="1" t="n">
        <v>9</v>
      </c>
      <c r="F14" s="1" t="n">
        <v>9</v>
      </c>
      <c r="G14" s="1" t="n">
        <v>29</v>
      </c>
    </row>
    <row r="15" customFormat="false" ht="14.25" hidden="false" customHeight="true" outlineLevel="0" collapsed="false">
      <c r="A15" s="1" t="n">
        <v>7332</v>
      </c>
      <c r="B15" s="1" t="s">
        <v>43</v>
      </c>
      <c r="C15" s="1" t="s">
        <v>136</v>
      </c>
      <c r="D15" s="1" t="s">
        <v>137</v>
      </c>
      <c r="E15" s="1" t="n">
        <v>8</v>
      </c>
      <c r="F15" s="1" t="n">
        <v>8</v>
      </c>
      <c r="G15" s="1" t="n">
        <v>18</v>
      </c>
    </row>
    <row r="16" customFormat="false" ht="14.25" hidden="false" customHeight="true" outlineLevel="0" collapsed="false">
      <c r="A16" s="1" t="n">
        <v>2134</v>
      </c>
      <c r="B16" s="1" t="s">
        <v>43</v>
      </c>
      <c r="C16" s="1" t="s">
        <v>138</v>
      </c>
      <c r="D16" s="1" t="s">
        <v>139</v>
      </c>
      <c r="E16" s="1" t="n">
        <v>8</v>
      </c>
      <c r="F16" s="1" t="n">
        <v>8</v>
      </c>
      <c r="G16" s="1" t="n">
        <v>25</v>
      </c>
    </row>
    <row r="17" customFormat="false" ht="14.25" hidden="false" customHeight="true" outlineLevel="0" collapsed="false">
      <c r="A17" s="1" t="n">
        <v>7411</v>
      </c>
      <c r="B17" s="1" t="s">
        <v>43</v>
      </c>
      <c r="C17" s="1" t="s">
        <v>140</v>
      </c>
      <c r="D17" s="1" t="s">
        <v>141</v>
      </c>
      <c r="E17" s="1" t="n">
        <v>7</v>
      </c>
      <c r="F17" s="1" t="n">
        <v>7</v>
      </c>
      <c r="G17" s="1" t="n">
        <v>5</v>
      </c>
    </row>
    <row r="18" customFormat="false" ht="14.25" hidden="false" customHeight="true" outlineLevel="0" collapsed="false">
      <c r="A18" s="1" t="n">
        <v>6641</v>
      </c>
      <c r="B18" s="1" t="s">
        <v>43</v>
      </c>
      <c r="C18" s="1" t="s">
        <v>142</v>
      </c>
      <c r="D18" s="1" t="s">
        <v>141</v>
      </c>
      <c r="E18" s="1" t="n">
        <v>7</v>
      </c>
      <c r="F18" s="1" t="n">
        <v>7</v>
      </c>
      <c r="G18" s="1" t="n">
        <v>20</v>
      </c>
    </row>
    <row r="19" customFormat="false" ht="14.25" hidden="false" customHeight="true" outlineLevel="0" collapsed="false">
      <c r="A19" s="1" t="n">
        <v>4236</v>
      </c>
      <c r="B19" s="1" t="s">
        <v>43</v>
      </c>
      <c r="C19" s="1" t="s">
        <v>143</v>
      </c>
      <c r="D19" s="1" t="s">
        <v>144</v>
      </c>
      <c r="E19" s="1" t="n">
        <v>7</v>
      </c>
      <c r="F19" s="1" t="n">
        <v>7</v>
      </c>
      <c r="G19" s="1" t="n">
        <v>15</v>
      </c>
    </row>
    <row r="20" customFormat="false" ht="14.25" hidden="false" customHeight="true" outlineLevel="0" collapsed="false">
      <c r="A20" s="1" t="n">
        <v>218</v>
      </c>
      <c r="B20" s="1" t="s">
        <v>43</v>
      </c>
      <c r="C20" s="1" t="s">
        <v>145</v>
      </c>
      <c r="D20" s="1" t="s">
        <v>131</v>
      </c>
      <c r="E20" s="1" t="n">
        <v>6</v>
      </c>
      <c r="F20" s="1" t="n">
        <v>6</v>
      </c>
      <c r="G20" s="1" t="n">
        <v>10</v>
      </c>
    </row>
    <row r="21" customFormat="false" ht="14.25" hidden="false" customHeight="true" outlineLevel="0" collapsed="false">
      <c r="A21" s="1" t="n">
        <v>6248</v>
      </c>
      <c r="B21" s="1" t="s">
        <v>43</v>
      </c>
      <c r="C21" s="1" t="s">
        <v>146</v>
      </c>
      <c r="D21" s="1" t="s">
        <v>147</v>
      </c>
      <c r="E21" s="1" t="n">
        <v>6</v>
      </c>
      <c r="F21" s="1" t="n">
        <v>6</v>
      </c>
      <c r="G21" s="1" t="n">
        <v>14</v>
      </c>
    </row>
    <row r="22" customFormat="false" ht="14.25" hidden="false" customHeight="true" outlineLevel="0" collapsed="false">
      <c r="A22" s="1" t="n">
        <v>4485</v>
      </c>
      <c r="B22" s="1" t="s">
        <v>43</v>
      </c>
      <c r="C22" s="1" t="s">
        <v>148</v>
      </c>
      <c r="D22" s="1" t="s">
        <v>149</v>
      </c>
      <c r="E22" s="1" t="n">
        <v>5</v>
      </c>
      <c r="F22" s="1" t="n">
        <v>5</v>
      </c>
      <c r="G22" s="1" t="n">
        <v>12</v>
      </c>
    </row>
    <row r="23" customFormat="false" ht="14.25" hidden="false" customHeight="true" outlineLevel="0" collapsed="false">
      <c r="A23" s="1" t="n">
        <v>2170</v>
      </c>
      <c r="B23" s="1" t="s">
        <v>43</v>
      </c>
      <c r="C23" s="1" t="s">
        <v>150</v>
      </c>
      <c r="D23" s="1" t="s">
        <v>125</v>
      </c>
      <c r="E23" s="1" t="n">
        <v>5</v>
      </c>
      <c r="F23" s="1" t="n">
        <v>5</v>
      </c>
      <c r="G23" s="1" t="n">
        <v>10</v>
      </c>
    </row>
    <row r="24" customFormat="false" ht="14.25" hidden="false" customHeight="true" outlineLevel="0" collapsed="false">
      <c r="A24" s="1" t="n">
        <v>6415</v>
      </c>
      <c r="B24" s="1" t="s">
        <v>43</v>
      </c>
      <c r="C24" s="1" t="s">
        <v>151</v>
      </c>
      <c r="D24" s="1" t="s">
        <v>152</v>
      </c>
      <c r="E24" s="1" t="n">
        <v>4</v>
      </c>
      <c r="F24" s="1" t="n">
        <v>4</v>
      </c>
      <c r="G24" s="1" t="n">
        <v>8</v>
      </c>
    </row>
    <row r="25" customFormat="false" ht="14.25" hidden="false" customHeight="true" outlineLevel="0" collapsed="false">
      <c r="A25" s="1" t="n">
        <v>7463</v>
      </c>
      <c r="B25" s="1" t="s">
        <v>43</v>
      </c>
      <c r="C25" s="1" t="s">
        <v>153</v>
      </c>
      <c r="D25" s="1" t="s">
        <v>152</v>
      </c>
      <c r="E25" s="1" t="n">
        <v>2</v>
      </c>
      <c r="F25" s="1" t="n">
        <v>2</v>
      </c>
      <c r="G25" s="1" t="n">
        <v>8</v>
      </c>
    </row>
    <row r="26" customFormat="false" ht="14.25" hidden="false" customHeight="true" outlineLevel="0" collapsed="false">
      <c r="A26" s="1" t="n">
        <v>2814</v>
      </c>
      <c r="B26" s="1" t="s">
        <v>43</v>
      </c>
      <c r="C26" s="1" t="s">
        <v>154</v>
      </c>
      <c r="D26" s="1" t="s">
        <v>115</v>
      </c>
      <c r="E26" s="1" t="n">
        <v>2</v>
      </c>
      <c r="F26" s="1" t="n">
        <v>2</v>
      </c>
      <c r="G26" s="1" t="n">
        <v>5</v>
      </c>
    </row>
    <row r="27" customFormat="false" ht="14.25" hidden="false" customHeight="true" outlineLevel="0" collapsed="false">
      <c r="A27" s="1" t="n">
        <v>2297</v>
      </c>
      <c r="B27" s="1" t="s">
        <v>43</v>
      </c>
      <c r="C27" s="1" t="s">
        <v>155</v>
      </c>
      <c r="D27" s="1" t="s">
        <v>117</v>
      </c>
      <c r="E27" s="1" t="n">
        <v>1</v>
      </c>
      <c r="F27" s="1" t="n">
        <v>1</v>
      </c>
      <c r="G27" s="1" t="n">
        <v>1</v>
      </c>
    </row>
    <row r="28" customFormat="false" ht="14.25" hidden="false" customHeight="true" outlineLevel="0" collapsed="false">
      <c r="A28" s="1" t="n">
        <v>4</v>
      </c>
      <c r="B28" s="1" t="s">
        <v>43</v>
      </c>
      <c r="C28" s="1" t="s">
        <v>156</v>
      </c>
      <c r="D28" s="1" t="s">
        <v>117</v>
      </c>
      <c r="E28" s="1" t="n">
        <v>1</v>
      </c>
      <c r="F28" s="1" t="n">
        <v>1</v>
      </c>
      <c r="G28" s="1" t="n">
        <v>1</v>
      </c>
    </row>
    <row r="29" customFormat="false" ht="14.25" hidden="false" customHeight="true" outlineLevel="0" collapsed="false">
      <c r="A29" s="1" t="n">
        <v>7533</v>
      </c>
      <c r="B29" s="1" t="s">
        <v>43</v>
      </c>
      <c r="C29" s="1" t="s">
        <v>157</v>
      </c>
      <c r="D29" s="1" t="s">
        <v>127</v>
      </c>
      <c r="E29" s="1" t="n">
        <v>1</v>
      </c>
      <c r="F29" s="1" t="n">
        <v>1</v>
      </c>
      <c r="G29" s="1" t="n">
        <v>1</v>
      </c>
    </row>
    <row r="30" customFormat="false" ht="14.25" hidden="false" customHeight="true" outlineLevel="0" collapsed="false">
      <c r="A30" s="1" t="n">
        <v>7172</v>
      </c>
      <c r="B30" s="1" t="s">
        <v>43</v>
      </c>
      <c r="C30" s="1" t="s">
        <v>158</v>
      </c>
      <c r="D30" s="1" t="s">
        <v>127</v>
      </c>
      <c r="E30" s="1" t="n">
        <v>1</v>
      </c>
      <c r="F30" s="1" t="n">
        <v>1</v>
      </c>
      <c r="G30" s="1" t="n">
        <v>1</v>
      </c>
    </row>
    <row r="31" customFormat="false" ht="14.25" hidden="false" customHeight="true" outlineLevel="0" collapsed="false">
      <c r="A31" s="1" t="n">
        <v>4929</v>
      </c>
      <c r="B31" s="1" t="s">
        <v>43</v>
      </c>
      <c r="C31" s="1" t="s">
        <v>159</v>
      </c>
      <c r="D31" s="1" t="s">
        <v>129</v>
      </c>
      <c r="E31" s="1" t="n">
        <v>1</v>
      </c>
      <c r="F31" s="1" t="n">
        <v>1</v>
      </c>
      <c r="G31" s="1" t="n">
        <v>1</v>
      </c>
    </row>
    <row r="32" customFormat="false" ht="14.25" hidden="false" customHeight="true" outlineLevel="0" collapsed="false">
      <c r="A32" s="1" t="n">
        <v>6650</v>
      </c>
      <c r="B32" s="1" t="s">
        <v>43</v>
      </c>
      <c r="C32" s="1" t="s">
        <v>160</v>
      </c>
      <c r="D32" s="1" t="s">
        <v>129</v>
      </c>
      <c r="E32" s="1" t="n">
        <v>1</v>
      </c>
      <c r="F32" s="1" t="n">
        <v>1</v>
      </c>
      <c r="G32" s="1" t="n">
        <v>1</v>
      </c>
    </row>
    <row r="33" customFormat="false" ht="14.25" hidden="false" customHeight="true" outlineLevel="0" collapsed="false">
      <c r="A33" s="1" t="n">
        <v>7301</v>
      </c>
      <c r="B33" s="1" t="s">
        <v>43</v>
      </c>
      <c r="C33" s="1" t="s">
        <v>161</v>
      </c>
      <c r="D33" s="1" t="s">
        <v>119</v>
      </c>
      <c r="E33" s="1" t="n">
        <v>1</v>
      </c>
      <c r="F33" s="1" t="n">
        <v>1</v>
      </c>
      <c r="G33" s="1" t="n">
        <v>1</v>
      </c>
    </row>
    <row r="34" customFormat="false" ht="14.25" hidden="false" customHeight="true" outlineLevel="0" collapsed="false">
      <c r="A34" s="1" t="n">
        <v>2809</v>
      </c>
      <c r="B34" s="1" t="s">
        <v>43</v>
      </c>
      <c r="C34" s="1" t="s">
        <v>162</v>
      </c>
      <c r="D34" s="1" t="s">
        <v>119</v>
      </c>
      <c r="E34" s="1" t="n">
        <v>1</v>
      </c>
      <c r="F34" s="1" t="n">
        <v>1</v>
      </c>
      <c r="G34" s="1" t="n">
        <v>1</v>
      </c>
    </row>
    <row r="35" customFormat="false" ht="14.25" hidden="false" customHeight="true" outlineLevel="0" collapsed="false">
      <c r="A35" s="1" t="n">
        <v>6403</v>
      </c>
      <c r="B35" s="1" t="s">
        <v>43</v>
      </c>
      <c r="C35" s="1" t="s">
        <v>163</v>
      </c>
      <c r="D35" s="1" t="s">
        <v>123</v>
      </c>
      <c r="E35" s="1" t="n">
        <v>1</v>
      </c>
      <c r="F35" s="1" t="n">
        <v>1</v>
      </c>
      <c r="G35" s="1" t="n">
        <v>1</v>
      </c>
    </row>
    <row r="36" customFormat="false" ht="14.25" hidden="false" customHeight="true" outlineLevel="0" collapsed="false">
      <c r="A36" s="1" t="n">
        <v>158</v>
      </c>
      <c r="B36" s="1" t="s">
        <v>43</v>
      </c>
      <c r="C36" s="1" t="s">
        <v>164</v>
      </c>
      <c r="D36" s="1" t="s">
        <v>123</v>
      </c>
      <c r="E36" s="1" t="n">
        <v>1</v>
      </c>
      <c r="F36" s="1" t="n">
        <v>1</v>
      </c>
      <c r="G36" s="1" t="n">
        <v>1</v>
      </c>
    </row>
    <row r="37" customFormat="false" ht="14.25" hidden="false" customHeight="true" outlineLevel="0" collapsed="false">
      <c r="A37" s="1" t="n">
        <v>7466</v>
      </c>
      <c r="B37" s="1" t="s">
        <v>43</v>
      </c>
      <c r="C37" s="1" t="s">
        <v>165</v>
      </c>
      <c r="D37" s="1" t="s">
        <v>152</v>
      </c>
      <c r="E37" s="1" t="n">
        <v>1</v>
      </c>
      <c r="F37" s="1" t="n">
        <v>1</v>
      </c>
      <c r="G37" s="1" t="n">
        <v>1</v>
      </c>
    </row>
    <row r="38" customFormat="false" ht="14.25" hidden="false" customHeight="true" outlineLevel="0" collapsed="false">
      <c r="A38" s="1" t="n">
        <v>219</v>
      </c>
      <c r="B38" s="1" t="s">
        <v>43</v>
      </c>
      <c r="C38" s="1" t="s">
        <v>166</v>
      </c>
      <c r="D38" s="1" t="s">
        <v>137</v>
      </c>
      <c r="E38" s="1" t="n">
        <v>1</v>
      </c>
      <c r="F38" s="1" t="n">
        <v>1</v>
      </c>
      <c r="G38" s="1" t="n">
        <v>1</v>
      </c>
    </row>
    <row r="39" customFormat="false" ht="14.25" hidden="false" customHeight="true" outlineLevel="0" collapsed="false">
      <c r="A39" s="1" t="n">
        <v>6569</v>
      </c>
      <c r="B39" s="1" t="s">
        <v>43</v>
      </c>
      <c r="C39" s="1" t="s">
        <v>167</v>
      </c>
      <c r="D39" s="1" t="s">
        <v>137</v>
      </c>
      <c r="E39" s="1" t="n">
        <v>1</v>
      </c>
      <c r="F39" s="1" t="n">
        <v>1</v>
      </c>
      <c r="G39" s="1" t="n">
        <v>1</v>
      </c>
    </row>
    <row r="40" customFormat="false" ht="14.25" hidden="false" customHeight="true" outlineLevel="0" collapsed="false">
      <c r="A40" s="1" t="n">
        <v>1926</v>
      </c>
      <c r="B40" s="1" t="s">
        <v>43</v>
      </c>
      <c r="C40" s="1" t="s">
        <v>168</v>
      </c>
      <c r="D40" s="1" t="s">
        <v>115</v>
      </c>
      <c r="E40" s="1" t="n">
        <v>1</v>
      </c>
      <c r="F40" s="1" t="n">
        <v>1</v>
      </c>
      <c r="G40" s="1" t="n">
        <v>1</v>
      </c>
    </row>
    <row r="41" customFormat="false" ht="14.25" hidden="false" customHeight="true" outlineLevel="0" collapsed="false">
      <c r="A41" s="1" t="n">
        <v>1930</v>
      </c>
      <c r="B41" s="1" t="s">
        <v>43</v>
      </c>
      <c r="C41" s="1" t="s">
        <v>169</v>
      </c>
      <c r="D41" s="1" t="s">
        <v>131</v>
      </c>
      <c r="E41" s="1" t="n">
        <v>1</v>
      </c>
      <c r="F41" s="1" t="n">
        <v>1</v>
      </c>
      <c r="G41" s="1" t="n">
        <v>1</v>
      </c>
    </row>
    <row r="42" customFormat="false" ht="14.25" hidden="false" customHeight="true" outlineLevel="0" collapsed="false">
      <c r="A42" s="1" t="n">
        <v>7337</v>
      </c>
      <c r="B42" s="1" t="s">
        <v>43</v>
      </c>
      <c r="C42" s="1" t="s">
        <v>170</v>
      </c>
      <c r="D42" s="1" t="s">
        <v>133</v>
      </c>
      <c r="E42" s="1" t="n">
        <v>1</v>
      </c>
      <c r="F42" s="1" t="n">
        <v>1</v>
      </c>
      <c r="G42" s="1" t="n">
        <v>1</v>
      </c>
    </row>
    <row r="43" customFormat="false" ht="14.25" hidden="false" customHeight="true" outlineLevel="0" collapsed="false">
      <c r="A43" s="1" t="n">
        <v>7534</v>
      </c>
      <c r="B43" s="1" t="s">
        <v>43</v>
      </c>
      <c r="C43" s="1" t="s">
        <v>171</v>
      </c>
      <c r="D43" s="1" t="s">
        <v>133</v>
      </c>
      <c r="E43" s="1" t="n">
        <v>1</v>
      </c>
      <c r="F43" s="1" t="n">
        <v>1</v>
      </c>
      <c r="G43" s="1" t="n">
        <v>1</v>
      </c>
    </row>
    <row r="44" customFormat="false" ht="14.25" hidden="false" customHeight="true" outlineLevel="0" collapsed="false">
      <c r="A44" s="1" t="n">
        <v>6523</v>
      </c>
      <c r="B44" s="1" t="s">
        <v>43</v>
      </c>
      <c r="C44" s="1" t="s">
        <v>172</v>
      </c>
      <c r="D44" s="1" t="s">
        <v>139</v>
      </c>
      <c r="E44" s="1" t="n">
        <v>1</v>
      </c>
      <c r="F44" s="1" t="n">
        <v>1</v>
      </c>
      <c r="G44" s="1" t="n">
        <v>1</v>
      </c>
    </row>
    <row r="45" customFormat="false" ht="14.25" hidden="false" customHeight="true" outlineLevel="0" collapsed="false">
      <c r="A45" s="1" t="n">
        <v>2815</v>
      </c>
      <c r="B45" s="1" t="s">
        <v>43</v>
      </c>
      <c r="C45" s="1" t="s">
        <v>173</v>
      </c>
      <c r="D45" s="1" t="s">
        <v>121</v>
      </c>
      <c r="E45" s="1" t="n">
        <v>1</v>
      </c>
      <c r="F45" s="1" t="n">
        <v>1</v>
      </c>
      <c r="G45" s="1" t="n">
        <v>1</v>
      </c>
    </row>
    <row r="46" customFormat="false" ht="14.25" hidden="false" customHeight="true" outlineLevel="0" collapsed="false">
      <c r="A46" s="1" t="n">
        <v>6813</v>
      </c>
      <c r="B46" s="1" t="s">
        <v>43</v>
      </c>
      <c r="C46" s="1" t="s">
        <v>174</v>
      </c>
      <c r="D46" s="1" t="s">
        <v>121</v>
      </c>
      <c r="E46" s="1" t="n">
        <v>1</v>
      </c>
      <c r="F46" s="1" t="n">
        <v>1</v>
      </c>
      <c r="G46" s="1" t="n">
        <v>1</v>
      </c>
    </row>
    <row r="47" customFormat="false" ht="14.25" hidden="false" customHeight="true" outlineLevel="0" collapsed="false">
      <c r="A47" s="1" t="n">
        <v>6682</v>
      </c>
      <c r="B47" s="1" t="s">
        <v>43</v>
      </c>
      <c r="C47" s="1" t="s">
        <v>175</v>
      </c>
      <c r="D47" s="1" t="s">
        <v>149</v>
      </c>
      <c r="E47" s="1" t="n">
        <v>1</v>
      </c>
      <c r="F47" s="1" t="n">
        <v>1</v>
      </c>
      <c r="G47" s="1" t="n">
        <v>1</v>
      </c>
    </row>
    <row r="48" customFormat="false" ht="14.25" hidden="false" customHeight="true" outlineLevel="0" collapsed="false">
      <c r="A48" s="1" t="n">
        <v>7475</v>
      </c>
      <c r="B48" s="1" t="s">
        <v>43</v>
      </c>
      <c r="C48" s="1" t="s">
        <v>176</v>
      </c>
      <c r="D48" s="1" t="s">
        <v>149</v>
      </c>
      <c r="E48" s="1" t="n">
        <v>1</v>
      </c>
      <c r="F48" s="1" t="n">
        <v>1</v>
      </c>
      <c r="G48" s="1" t="n">
        <v>1</v>
      </c>
    </row>
    <row r="49" customFormat="false" ht="14.25" hidden="false" customHeight="true" outlineLevel="0" collapsed="false">
      <c r="A49" s="1" t="n">
        <v>2845</v>
      </c>
      <c r="B49" s="1" t="s">
        <v>43</v>
      </c>
      <c r="C49" s="1" t="s">
        <v>177</v>
      </c>
      <c r="D49" s="1" t="s">
        <v>125</v>
      </c>
      <c r="E49" s="1" t="n">
        <v>1</v>
      </c>
      <c r="F49" s="1" t="n">
        <v>1</v>
      </c>
      <c r="G49" s="1" t="n">
        <v>1</v>
      </c>
    </row>
    <row r="50" customFormat="false" ht="14.25" hidden="false" customHeight="true" outlineLevel="0" collapsed="false">
      <c r="A50" s="1" t="n">
        <v>6662</v>
      </c>
      <c r="B50" s="1" t="s">
        <v>43</v>
      </c>
      <c r="C50" s="1" t="s">
        <v>178</v>
      </c>
      <c r="D50" s="1" t="s">
        <v>141</v>
      </c>
      <c r="E50" s="1" t="n">
        <v>1</v>
      </c>
      <c r="F50" s="1" t="n">
        <v>1</v>
      </c>
      <c r="G50" s="1" t="n">
        <v>1</v>
      </c>
    </row>
    <row r="51" customFormat="false" ht="14.25" hidden="false" customHeight="true" outlineLevel="0" collapsed="false">
      <c r="A51" s="1" t="n">
        <v>7048</v>
      </c>
      <c r="B51" s="1" t="s">
        <v>43</v>
      </c>
      <c r="C51" s="1" t="s">
        <v>179</v>
      </c>
      <c r="D51" s="1" t="s">
        <v>113</v>
      </c>
      <c r="E51" s="1" t="n">
        <v>1</v>
      </c>
      <c r="F51" s="1" t="n">
        <v>1</v>
      </c>
      <c r="G51" s="1" t="n">
        <v>1</v>
      </c>
    </row>
    <row r="52" customFormat="false" ht="14.25" hidden="false" customHeight="true" outlineLevel="0" collapsed="false">
      <c r="A52" s="1" t="n">
        <v>610</v>
      </c>
      <c r="B52" s="1" t="s">
        <v>43</v>
      </c>
      <c r="C52" s="1" t="s">
        <v>180</v>
      </c>
      <c r="D52" s="1" t="s">
        <v>113</v>
      </c>
      <c r="E52" s="1" t="n">
        <v>1</v>
      </c>
      <c r="F52" s="1" t="n">
        <v>1</v>
      </c>
      <c r="G52" s="1" t="n">
        <v>1</v>
      </c>
    </row>
    <row r="53" customFormat="false" ht="14.25" hidden="false" customHeight="true" outlineLevel="0" collapsed="false">
      <c r="A53" s="1" t="n">
        <v>4518</v>
      </c>
      <c r="B53" s="1" t="s">
        <v>43</v>
      </c>
      <c r="C53" s="1" t="s">
        <v>181</v>
      </c>
      <c r="D53" s="1" t="s">
        <v>144</v>
      </c>
      <c r="E53" s="1" t="n">
        <v>1</v>
      </c>
      <c r="F53" s="1" t="n">
        <v>1</v>
      </c>
      <c r="G53" s="1" t="n">
        <v>1</v>
      </c>
    </row>
    <row r="54" customFormat="false" ht="14.25" hidden="false" customHeight="true" outlineLevel="0" collapsed="false">
      <c r="A54" s="1" t="n">
        <v>4867</v>
      </c>
      <c r="B54" s="1" t="s">
        <v>43</v>
      </c>
      <c r="C54" s="1" t="s">
        <v>182</v>
      </c>
      <c r="D54" s="1" t="s">
        <v>144</v>
      </c>
      <c r="E54" s="1" t="n">
        <v>1</v>
      </c>
      <c r="F54" s="1" t="n">
        <v>1</v>
      </c>
      <c r="G54" s="1" t="n">
        <v>3</v>
      </c>
    </row>
    <row r="55" customFormat="false" ht="14.25" hidden="false" customHeight="true" outlineLevel="0" collapsed="false">
      <c r="A55" s="1" t="n">
        <v>7457</v>
      </c>
      <c r="B55" s="1" t="s">
        <v>43</v>
      </c>
      <c r="C55" s="1" t="s">
        <v>183</v>
      </c>
      <c r="D55" s="1" t="s">
        <v>184</v>
      </c>
      <c r="E55" s="1" t="n">
        <v>1</v>
      </c>
      <c r="F55" s="1" t="n">
        <v>1</v>
      </c>
      <c r="G55" s="1" t="n">
        <v>1</v>
      </c>
    </row>
    <row r="56" customFormat="false" ht="14.25" hidden="false" customHeight="true" outlineLevel="0" collapsed="false">
      <c r="A56" s="1" t="n">
        <v>5320</v>
      </c>
      <c r="B56" s="1" t="s">
        <v>43</v>
      </c>
      <c r="C56" s="1" t="s">
        <v>185</v>
      </c>
      <c r="D56" s="1" t="s">
        <v>184</v>
      </c>
      <c r="E56" s="1" t="n">
        <v>1</v>
      </c>
      <c r="F56" s="1" t="n">
        <v>1</v>
      </c>
      <c r="G56" s="1" t="n">
        <v>1</v>
      </c>
    </row>
    <row r="57" customFormat="false" ht="14.25" hidden="false" customHeight="true" outlineLevel="0" collapsed="false">
      <c r="A57" s="1" t="n">
        <v>7363</v>
      </c>
      <c r="B57" s="1" t="s">
        <v>43</v>
      </c>
      <c r="C57" s="1" t="s">
        <v>186</v>
      </c>
      <c r="D57" s="1" t="s">
        <v>184</v>
      </c>
      <c r="E57" s="1" t="n">
        <v>1</v>
      </c>
      <c r="F57" s="1" t="n">
        <v>1</v>
      </c>
      <c r="G57" s="1" t="n">
        <v>1</v>
      </c>
    </row>
    <row r="58" customFormat="false" ht="14.25" hidden="false" customHeight="true" outlineLevel="0" collapsed="false">
      <c r="A58" s="1" t="n">
        <v>543</v>
      </c>
      <c r="B58" s="1" t="s">
        <v>43</v>
      </c>
      <c r="C58" s="1" t="s">
        <v>187</v>
      </c>
      <c r="D58" s="1" t="s">
        <v>135</v>
      </c>
      <c r="E58" s="1" t="n">
        <v>1</v>
      </c>
      <c r="F58" s="1" t="n">
        <v>1</v>
      </c>
      <c r="G58" s="1" t="n">
        <v>1</v>
      </c>
    </row>
    <row r="59" customFormat="false" ht="14.25" hidden="false" customHeight="true" outlineLevel="0" collapsed="false">
      <c r="A59" s="1" t="n">
        <v>5707</v>
      </c>
      <c r="B59" s="1" t="s">
        <v>43</v>
      </c>
      <c r="C59" s="1" t="s">
        <v>188</v>
      </c>
      <c r="D59" s="1" t="s">
        <v>135</v>
      </c>
      <c r="E59" s="1" t="n">
        <v>1</v>
      </c>
      <c r="F59" s="1" t="n">
        <v>1</v>
      </c>
      <c r="G59" s="1" t="n">
        <v>1</v>
      </c>
    </row>
    <row r="60" customFormat="false" ht="14.25" hidden="false" customHeight="true" outlineLevel="0" collapsed="false">
      <c r="A60" s="1" t="n">
        <v>6671</v>
      </c>
      <c r="B60" s="1" t="s">
        <v>43</v>
      </c>
      <c r="C60" s="1" t="s">
        <v>189</v>
      </c>
      <c r="D60" s="1" t="s">
        <v>147</v>
      </c>
      <c r="E60" s="1" t="n">
        <v>1</v>
      </c>
      <c r="F60" s="1" t="n">
        <v>1</v>
      </c>
      <c r="G60" s="1" t="n">
        <v>1</v>
      </c>
    </row>
    <row r="61" customFormat="false" ht="14.25" hidden="false" customHeight="true" outlineLevel="0" collapsed="false">
      <c r="A61" s="1" t="n">
        <v>7531</v>
      </c>
      <c r="B61" s="1" t="s">
        <v>43</v>
      </c>
      <c r="C61" s="1" t="s">
        <v>190</v>
      </c>
      <c r="D61" s="1" t="s">
        <v>147</v>
      </c>
      <c r="E61" s="1" t="n">
        <v>1</v>
      </c>
      <c r="F61" s="1" t="n">
        <v>1</v>
      </c>
      <c r="G61" s="1" t="n">
        <v>1</v>
      </c>
    </row>
    <row r="62" customFormat="false" ht="14.25" hidden="false" customHeight="true" outlineLevel="0" collapsed="false">
      <c r="A62" s="1" t="n">
        <v>254</v>
      </c>
      <c r="B62" s="1" t="s">
        <v>44</v>
      </c>
      <c r="C62" s="1" t="s">
        <v>191</v>
      </c>
      <c r="D62" s="1" t="s">
        <v>115</v>
      </c>
      <c r="E62" s="1" t="n">
        <v>32</v>
      </c>
      <c r="F62" s="1" t="n">
        <v>32</v>
      </c>
      <c r="G62" s="1" t="n">
        <v>265</v>
      </c>
    </row>
    <row r="63" customFormat="false" ht="14.25" hidden="false" customHeight="true" outlineLevel="0" collapsed="false">
      <c r="A63" s="1" t="n">
        <v>7181</v>
      </c>
      <c r="B63" s="1" t="s">
        <v>44</v>
      </c>
      <c r="C63" s="1" t="s">
        <v>192</v>
      </c>
      <c r="D63" s="1" t="s">
        <v>113</v>
      </c>
      <c r="E63" s="1" t="n">
        <v>17</v>
      </c>
      <c r="F63" s="1" t="n">
        <v>17</v>
      </c>
      <c r="G63" s="1" t="n">
        <v>90</v>
      </c>
    </row>
    <row r="64" customFormat="false" ht="14.25" hidden="false" customHeight="true" outlineLevel="0" collapsed="false">
      <c r="A64" s="1" t="n">
        <v>4159</v>
      </c>
      <c r="B64" s="1" t="s">
        <v>44</v>
      </c>
      <c r="C64" s="1" t="s">
        <v>193</v>
      </c>
      <c r="D64" s="1" t="s">
        <v>115</v>
      </c>
      <c r="E64" s="1" t="n">
        <v>16</v>
      </c>
      <c r="F64" s="1" t="n">
        <v>16</v>
      </c>
      <c r="G64" s="1" t="n">
        <v>55</v>
      </c>
    </row>
    <row r="65" customFormat="false" ht="14.25" hidden="false" customHeight="true" outlineLevel="0" collapsed="false">
      <c r="A65" s="1" t="n">
        <v>2788</v>
      </c>
      <c r="B65" s="1" t="s">
        <v>44</v>
      </c>
      <c r="C65" s="1" t="s">
        <v>194</v>
      </c>
      <c r="D65" s="1" t="s">
        <v>131</v>
      </c>
      <c r="E65" s="1" t="n">
        <v>15</v>
      </c>
      <c r="F65" s="1" t="n">
        <v>15</v>
      </c>
      <c r="G65" s="1" t="n">
        <v>50</v>
      </c>
    </row>
    <row r="66" customFormat="false" ht="14.25" hidden="false" customHeight="true" outlineLevel="0" collapsed="false">
      <c r="A66" s="1" t="n">
        <v>2296</v>
      </c>
      <c r="B66" s="1" t="s">
        <v>44</v>
      </c>
      <c r="C66" s="1" t="s">
        <v>195</v>
      </c>
      <c r="D66" s="1" t="s">
        <v>113</v>
      </c>
      <c r="E66" s="1" t="n">
        <v>15</v>
      </c>
      <c r="F66" s="1" t="n">
        <v>15</v>
      </c>
      <c r="G66" s="1" t="n">
        <v>49</v>
      </c>
    </row>
    <row r="67" customFormat="false" ht="14.25" hidden="false" customHeight="true" outlineLevel="0" collapsed="false">
      <c r="A67" s="1" t="n">
        <v>2120</v>
      </c>
      <c r="B67" s="1" t="s">
        <v>44</v>
      </c>
      <c r="C67" s="1" t="s">
        <v>196</v>
      </c>
      <c r="D67" s="1" t="s">
        <v>115</v>
      </c>
      <c r="E67" s="1" t="n">
        <v>14</v>
      </c>
      <c r="F67" s="1" t="n">
        <v>14</v>
      </c>
      <c r="G67" s="1" t="n">
        <v>44</v>
      </c>
    </row>
    <row r="68" customFormat="false" ht="14.25" hidden="false" customHeight="true" outlineLevel="0" collapsed="false">
      <c r="A68" s="1" t="n">
        <v>5022</v>
      </c>
      <c r="B68" s="1" t="s">
        <v>44</v>
      </c>
      <c r="C68" s="1" t="s">
        <v>197</v>
      </c>
      <c r="D68" s="1" t="s">
        <v>121</v>
      </c>
      <c r="E68" s="1" t="n">
        <v>14</v>
      </c>
      <c r="F68" s="1" t="n">
        <v>14</v>
      </c>
      <c r="G68" s="1" t="n">
        <v>48</v>
      </c>
    </row>
    <row r="69" customFormat="false" ht="14.25" hidden="false" customHeight="true" outlineLevel="0" collapsed="false">
      <c r="A69" s="1" t="n">
        <v>4409</v>
      </c>
      <c r="B69" s="1" t="s">
        <v>44</v>
      </c>
      <c r="C69" s="1" t="s">
        <v>198</v>
      </c>
      <c r="D69" s="1" t="s">
        <v>125</v>
      </c>
      <c r="E69" s="1" t="n">
        <v>14</v>
      </c>
      <c r="F69" s="1" t="n">
        <v>14</v>
      </c>
      <c r="G69" s="1" t="n">
        <v>47</v>
      </c>
    </row>
    <row r="70" customFormat="false" ht="14.25" hidden="false" customHeight="true" outlineLevel="0" collapsed="false">
      <c r="A70" s="1" t="n">
        <v>4976</v>
      </c>
      <c r="B70" s="1" t="s">
        <v>44</v>
      </c>
      <c r="C70" s="1" t="s">
        <v>199</v>
      </c>
      <c r="D70" s="1" t="s">
        <v>131</v>
      </c>
      <c r="E70" s="1" t="n">
        <v>13</v>
      </c>
      <c r="F70" s="1" t="n">
        <v>13</v>
      </c>
      <c r="G70" s="1" t="n">
        <v>46</v>
      </c>
    </row>
    <row r="71" customFormat="false" ht="14.25" hidden="false" customHeight="true" outlineLevel="0" collapsed="false">
      <c r="A71" s="1" t="n">
        <v>4317</v>
      </c>
      <c r="B71" s="1" t="s">
        <v>44</v>
      </c>
      <c r="C71" s="1" t="s">
        <v>200</v>
      </c>
      <c r="D71" s="1" t="s">
        <v>113</v>
      </c>
      <c r="E71" s="1" t="n">
        <v>13</v>
      </c>
      <c r="F71" s="1" t="n">
        <v>13</v>
      </c>
      <c r="G71" s="1" t="n">
        <v>44</v>
      </c>
    </row>
    <row r="72" customFormat="false" ht="14.25" hidden="false" customHeight="true" outlineLevel="0" collapsed="false">
      <c r="A72" s="1" t="n">
        <v>6956</v>
      </c>
      <c r="B72" s="1" t="s">
        <v>44</v>
      </c>
      <c r="C72" s="1" t="s">
        <v>201</v>
      </c>
      <c r="D72" s="1" t="s">
        <v>135</v>
      </c>
      <c r="E72" s="1" t="n">
        <v>13</v>
      </c>
      <c r="F72" s="1" t="n">
        <v>13</v>
      </c>
      <c r="G72" s="1" t="n">
        <v>46</v>
      </c>
    </row>
    <row r="73" customFormat="false" ht="14.25" hidden="false" customHeight="true" outlineLevel="0" collapsed="false">
      <c r="A73" s="1" t="n">
        <v>2514</v>
      </c>
      <c r="B73" s="1" t="s">
        <v>44</v>
      </c>
      <c r="C73" s="1" t="s">
        <v>202</v>
      </c>
      <c r="D73" s="1" t="s">
        <v>115</v>
      </c>
      <c r="E73" s="1" t="n">
        <v>12</v>
      </c>
      <c r="F73" s="1" t="n">
        <v>12</v>
      </c>
      <c r="G73" s="1" t="n">
        <v>38</v>
      </c>
    </row>
    <row r="74" customFormat="false" ht="14.25" hidden="false" customHeight="true" outlineLevel="0" collapsed="false">
      <c r="A74" s="1" t="n">
        <v>5833</v>
      </c>
      <c r="B74" s="1" t="s">
        <v>44</v>
      </c>
      <c r="C74" s="1" t="s">
        <v>203</v>
      </c>
      <c r="D74" s="1" t="s">
        <v>121</v>
      </c>
      <c r="E74" s="1" t="n">
        <v>12</v>
      </c>
      <c r="F74" s="1" t="n">
        <v>12</v>
      </c>
      <c r="G74" s="1" t="n">
        <v>31</v>
      </c>
    </row>
    <row r="75" customFormat="false" ht="14.25" hidden="false" customHeight="true" outlineLevel="0" collapsed="false">
      <c r="A75" s="1" t="n">
        <v>2816</v>
      </c>
      <c r="B75" s="1" t="s">
        <v>44</v>
      </c>
      <c r="C75" s="1" t="s">
        <v>204</v>
      </c>
      <c r="D75" s="1" t="s">
        <v>125</v>
      </c>
      <c r="E75" s="1" t="n">
        <v>12</v>
      </c>
      <c r="F75" s="1" t="n">
        <v>12</v>
      </c>
      <c r="G75" s="1" t="n">
        <v>40</v>
      </c>
    </row>
    <row r="76" customFormat="false" ht="14.25" hidden="false" customHeight="true" outlineLevel="0" collapsed="false">
      <c r="A76" s="1" t="n">
        <v>5750</v>
      </c>
      <c r="B76" s="1" t="s">
        <v>44</v>
      </c>
      <c r="C76" s="1" t="s">
        <v>205</v>
      </c>
      <c r="D76" s="1" t="s">
        <v>137</v>
      </c>
      <c r="E76" s="1" t="n">
        <v>11</v>
      </c>
      <c r="F76" s="1" t="n">
        <v>11</v>
      </c>
      <c r="G76" s="1" t="n">
        <v>40</v>
      </c>
    </row>
    <row r="77" customFormat="false" ht="14.25" hidden="false" customHeight="true" outlineLevel="0" collapsed="false">
      <c r="A77" s="1" t="n">
        <v>6217</v>
      </c>
      <c r="B77" s="1" t="s">
        <v>44</v>
      </c>
      <c r="C77" s="1" t="s">
        <v>206</v>
      </c>
      <c r="D77" s="1" t="s">
        <v>115</v>
      </c>
      <c r="E77" s="1" t="n">
        <v>11</v>
      </c>
      <c r="F77" s="1" t="n">
        <v>11</v>
      </c>
      <c r="G77" s="1" t="n">
        <v>33</v>
      </c>
    </row>
    <row r="78" customFormat="false" ht="14.25" hidden="false" customHeight="true" outlineLevel="0" collapsed="false">
      <c r="A78" s="1" t="n">
        <v>5526</v>
      </c>
      <c r="B78" s="1" t="s">
        <v>44</v>
      </c>
      <c r="C78" s="1" t="s">
        <v>207</v>
      </c>
      <c r="D78" s="1" t="s">
        <v>117</v>
      </c>
      <c r="E78" s="1" t="n">
        <v>10</v>
      </c>
      <c r="F78" s="1" t="n">
        <v>10</v>
      </c>
      <c r="G78" s="1" t="n">
        <v>28</v>
      </c>
    </row>
    <row r="79" customFormat="false" ht="14.25" hidden="false" customHeight="true" outlineLevel="0" collapsed="false">
      <c r="A79" s="1" t="n">
        <v>6869</v>
      </c>
      <c r="B79" s="1" t="s">
        <v>44</v>
      </c>
      <c r="C79" s="1" t="s">
        <v>208</v>
      </c>
      <c r="D79" s="1" t="s">
        <v>119</v>
      </c>
      <c r="E79" s="1" t="n">
        <v>10</v>
      </c>
      <c r="F79" s="1" t="n">
        <v>10</v>
      </c>
      <c r="G79" s="1" t="n">
        <v>32</v>
      </c>
    </row>
    <row r="80" customFormat="false" ht="14.25" hidden="false" customHeight="true" outlineLevel="0" collapsed="false">
      <c r="A80" s="1" t="n">
        <v>5885</v>
      </c>
      <c r="B80" s="1" t="s">
        <v>44</v>
      </c>
      <c r="C80" s="1" t="s">
        <v>209</v>
      </c>
      <c r="D80" s="1" t="s">
        <v>123</v>
      </c>
      <c r="E80" s="1" t="n">
        <v>10</v>
      </c>
      <c r="F80" s="1" t="n">
        <v>10</v>
      </c>
      <c r="G80" s="1" t="n">
        <v>30</v>
      </c>
    </row>
    <row r="81" customFormat="false" ht="14.25" hidden="false" customHeight="true" outlineLevel="0" collapsed="false">
      <c r="A81" s="1" t="n">
        <v>4807</v>
      </c>
      <c r="B81" s="1" t="s">
        <v>44</v>
      </c>
      <c r="C81" s="1" t="s">
        <v>210</v>
      </c>
      <c r="D81" s="1" t="s">
        <v>113</v>
      </c>
      <c r="E81" s="1" t="n">
        <v>10</v>
      </c>
      <c r="F81" s="1" t="n">
        <v>10</v>
      </c>
      <c r="G81" s="1" t="n">
        <v>26</v>
      </c>
    </row>
    <row r="82" customFormat="false" ht="14.25" hidden="false" customHeight="true" outlineLevel="0" collapsed="false">
      <c r="A82" s="1" t="n">
        <v>5514</v>
      </c>
      <c r="B82" s="1" t="s">
        <v>44</v>
      </c>
      <c r="C82" s="1" t="s">
        <v>211</v>
      </c>
      <c r="D82" s="1" t="s">
        <v>137</v>
      </c>
      <c r="E82" s="1" t="n">
        <v>9</v>
      </c>
      <c r="F82" s="1" t="n">
        <v>9</v>
      </c>
      <c r="G82" s="1" t="n">
        <v>33</v>
      </c>
    </row>
    <row r="83" customFormat="false" ht="14.25" hidden="false" customHeight="true" outlineLevel="0" collapsed="false">
      <c r="A83" s="1" t="n">
        <v>5520</v>
      </c>
      <c r="B83" s="1" t="s">
        <v>44</v>
      </c>
      <c r="C83" s="1" t="s">
        <v>212</v>
      </c>
      <c r="D83" s="1" t="s">
        <v>131</v>
      </c>
      <c r="E83" s="1" t="n">
        <v>9</v>
      </c>
      <c r="F83" s="1" t="n">
        <v>9</v>
      </c>
      <c r="G83" s="1" t="n">
        <v>27</v>
      </c>
    </row>
    <row r="84" customFormat="false" ht="14.25" hidden="false" customHeight="true" outlineLevel="0" collapsed="false">
      <c r="A84" s="1" t="n">
        <v>6046</v>
      </c>
      <c r="B84" s="1" t="s">
        <v>44</v>
      </c>
      <c r="C84" s="1" t="s">
        <v>213</v>
      </c>
      <c r="D84" s="1" t="s">
        <v>117</v>
      </c>
      <c r="E84" s="1" t="n">
        <v>8</v>
      </c>
      <c r="F84" s="1" t="n">
        <v>8</v>
      </c>
      <c r="G84" s="1" t="n">
        <v>16</v>
      </c>
    </row>
    <row r="85" customFormat="false" ht="14.25" hidden="false" customHeight="true" outlineLevel="0" collapsed="false">
      <c r="A85" s="1" t="n">
        <v>554</v>
      </c>
      <c r="B85" s="1" t="s">
        <v>44</v>
      </c>
      <c r="C85" s="1" t="s">
        <v>214</v>
      </c>
      <c r="D85" s="1" t="s">
        <v>117</v>
      </c>
      <c r="E85" s="1" t="n">
        <v>8</v>
      </c>
      <c r="F85" s="1" t="n">
        <v>8</v>
      </c>
      <c r="G85" s="1" t="n">
        <v>24</v>
      </c>
    </row>
    <row r="86" customFormat="false" ht="14.25" hidden="false" customHeight="true" outlineLevel="0" collapsed="false">
      <c r="A86" s="1" t="n">
        <v>6042</v>
      </c>
      <c r="B86" s="1" t="s">
        <v>44</v>
      </c>
      <c r="C86" s="1" t="s">
        <v>215</v>
      </c>
      <c r="D86" s="1" t="s">
        <v>127</v>
      </c>
      <c r="E86" s="1" t="n">
        <v>8</v>
      </c>
      <c r="F86" s="1" t="n">
        <v>8</v>
      </c>
      <c r="G86" s="1" t="n">
        <v>18</v>
      </c>
    </row>
    <row r="87" customFormat="false" ht="14.25" hidden="false" customHeight="true" outlineLevel="0" collapsed="false">
      <c r="A87" s="1" t="n">
        <v>4734</v>
      </c>
      <c r="B87" s="1" t="s">
        <v>44</v>
      </c>
      <c r="C87" s="1" t="s">
        <v>216</v>
      </c>
      <c r="D87" s="1" t="s">
        <v>127</v>
      </c>
      <c r="E87" s="1" t="n">
        <v>8</v>
      </c>
      <c r="F87" s="1" t="n">
        <v>8</v>
      </c>
      <c r="G87" s="1" t="n">
        <v>24</v>
      </c>
    </row>
    <row r="88" customFormat="false" ht="14.25" hidden="false" customHeight="true" outlineLevel="0" collapsed="false">
      <c r="A88" s="1" t="n">
        <v>4210</v>
      </c>
      <c r="B88" s="1" t="s">
        <v>44</v>
      </c>
      <c r="C88" s="1" t="s">
        <v>217</v>
      </c>
      <c r="D88" s="1" t="s">
        <v>129</v>
      </c>
      <c r="E88" s="1" t="n">
        <v>8</v>
      </c>
      <c r="F88" s="1" t="n">
        <v>8</v>
      </c>
      <c r="G88" s="1" t="n">
        <v>20</v>
      </c>
    </row>
    <row r="89" customFormat="false" ht="14.25" hidden="false" customHeight="true" outlineLevel="0" collapsed="false">
      <c r="A89" s="1" t="n">
        <v>5365</v>
      </c>
      <c r="B89" s="1" t="s">
        <v>44</v>
      </c>
      <c r="C89" s="1" t="s">
        <v>218</v>
      </c>
      <c r="D89" s="1" t="s">
        <v>123</v>
      </c>
      <c r="E89" s="1" t="n">
        <v>8</v>
      </c>
      <c r="F89" s="1" t="n">
        <v>8</v>
      </c>
      <c r="G89" s="1" t="n">
        <v>27</v>
      </c>
    </row>
    <row r="90" customFormat="false" ht="14.25" hidden="false" customHeight="true" outlineLevel="0" collapsed="false">
      <c r="A90" s="1" t="n">
        <v>6531</v>
      </c>
      <c r="B90" s="1" t="s">
        <v>44</v>
      </c>
      <c r="C90" s="1" t="s">
        <v>219</v>
      </c>
      <c r="D90" s="1" t="s">
        <v>123</v>
      </c>
      <c r="E90" s="1" t="n">
        <v>8</v>
      </c>
      <c r="F90" s="1" t="n">
        <v>8</v>
      </c>
      <c r="G90" s="1" t="n">
        <v>23</v>
      </c>
    </row>
    <row r="91" customFormat="false" ht="14.25" hidden="false" customHeight="true" outlineLevel="0" collapsed="false">
      <c r="A91" s="1" t="n">
        <v>6814</v>
      </c>
      <c r="B91" s="1" t="s">
        <v>44</v>
      </c>
      <c r="C91" s="1" t="s">
        <v>220</v>
      </c>
      <c r="D91" s="1" t="s">
        <v>137</v>
      </c>
      <c r="E91" s="1" t="n">
        <v>8</v>
      </c>
      <c r="F91" s="1" t="n">
        <v>8</v>
      </c>
      <c r="G91" s="1" t="n">
        <v>22</v>
      </c>
    </row>
    <row r="92" customFormat="false" ht="14.25" hidden="false" customHeight="true" outlineLevel="0" collapsed="false">
      <c r="A92" s="1" t="n">
        <v>4657</v>
      </c>
      <c r="B92" s="1" t="s">
        <v>44</v>
      </c>
      <c r="C92" s="1" t="s">
        <v>221</v>
      </c>
      <c r="D92" s="1" t="s">
        <v>131</v>
      </c>
      <c r="E92" s="1" t="n">
        <v>8</v>
      </c>
      <c r="F92" s="1" t="n">
        <v>8</v>
      </c>
      <c r="G92" s="1" t="n">
        <v>21</v>
      </c>
    </row>
    <row r="93" customFormat="false" ht="14.25" hidden="false" customHeight="true" outlineLevel="0" collapsed="false">
      <c r="A93" s="1" t="n">
        <v>6496</v>
      </c>
      <c r="B93" s="1" t="s">
        <v>44</v>
      </c>
      <c r="C93" s="1" t="s">
        <v>222</v>
      </c>
      <c r="D93" s="1" t="s">
        <v>121</v>
      </c>
      <c r="E93" s="1" t="n">
        <v>8</v>
      </c>
      <c r="F93" s="1" t="n">
        <v>8</v>
      </c>
      <c r="G93" s="1" t="n">
        <v>25</v>
      </c>
    </row>
    <row r="94" customFormat="false" ht="14.25" hidden="false" customHeight="true" outlineLevel="0" collapsed="false">
      <c r="A94" s="1" t="n">
        <v>1852</v>
      </c>
      <c r="B94" s="1" t="s">
        <v>44</v>
      </c>
      <c r="C94" s="1" t="s">
        <v>223</v>
      </c>
      <c r="D94" s="1" t="s">
        <v>125</v>
      </c>
      <c r="E94" s="1" t="n">
        <v>8</v>
      </c>
      <c r="F94" s="1" t="n">
        <v>8</v>
      </c>
      <c r="G94" s="1" t="n">
        <v>24</v>
      </c>
    </row>
    <row r="95" customFormat="false" ht="14.25" hidden="false" customHeight="true" outlineLevel="0" collapsed="false">
      <c r="A95" s="1" t="n">
        <v>6664</v>
      </c>
      <c r="B95" s="1" t="s">
        <v>44</v>
      </c>
      <c r="C95" s="1" t="s">
        <v>224</v>
      </c>
      <c r="D95" s="1" t="s">
        <v>141</v>
      </c>
      <c r="E95" s="1" t="n">
        <v>8</v>
      </c>
      <c r="F95" s="1" t="n">
        <v>8</v>
      </c>
      <c r="G95" s="1" t="n">
        <v>21</v>
      </c>
    </row>
    <row r="96" customFormat="false" ht="14.25" hidden="false" customHeight="true" outlineLevel="0" collapsed="false">
      <c r="A96" s="1" t="n">
        <v>5862</v>
      </c>
      <c r="B96" s="1" t="s">
        <v>44</v>
      </c>
      <c r="C96" s="1" t="s">
        <v>225</v>
      </c>
      <c r="D96" s="1" t="s">
        <v>141</v>
      </c>
      <c r="E96" s="1" t="n">
        <v>8</v>
      </c>
      <c r="F96" s="1" t="n">
        <v>8</v>
      </c>
      <c r="G96" s="1" t="n">
        <v>24</v>
      </c>
    </row>
    <row r="97" customFormat="false" ht="14.25" hidden="false" customHeight="true" outlineLevel="0" collapsed="false">
      <c r="A97" s="1" t="n">
        <v>7529</v>
      </c>
      <c r="B97" s="1" t="s">
        <v>44</v>
      </c>
      <c r="C97" s="1" t="s">
        <v>226</v>
      </c>
      <c r="D97" s="1" t="s">
        <v>113</v>
      </c>
      <c r="E97" s="1" t="n">
        <v>8</v>
      </c>
      <c r="F97" s="1" t="n">
        <v>8</v>
      </c>
      <c r="G97" s="1" t="n">
        <v>20</v>
      </c>
    </row>
    <row r="98" customFormat="false" ht="14.25" hidden="false" customHeight="true" outlineLevel="0" collapsed="false">
      <c r="A98" s="1" t="n">
        <v>4994</v>
      </c>
      <c r="B98" s="1" t="s">
        <v>44</v>
      </c>
      <c r="C98" s="1" t="s">
        <v>227</v>
      </c>
      <c r="D98" s="1" t="s">
        <v>135</v>
      </c>
      <c r="E98" s="1" t="n">
        <v>8</v>
      </c>
      <c r="F98" s="1" t="n">
        <v>8</v>
      </c>
      <c r="G98" s="1" t="n">
        <v>19</v>
      </c>
    </row>
    <row r="99" customFormat="false" ht="14.25" hidden="false" customHeight="true" outlineLevel="0" collapsed="false">
      <c r="A99" s="1" t="n">
        <v>787</v>
      </c>
      <c r="B99" s="1" t="s">
        <v>44</v>
      </c>
      <c r="C99" s="1" t="s">
        <v>228</v>
      </c>
      <c r="D99" s="1" t="s">
        <v>117</v>
      </c>
      <c r="E99" s="1" t="n">
        <v>7</v>
      </c>
      <c r="F99" s="1" t="n">
        <v>7</v>
      </c>
      <c r="G99" s="1" t="n">
        <v>16</v>
      </c>
    </row>
    <row r="100" customFormat="false" ht="14.25" hidden="false" customHeight="true" outlineLevel="0" collapsed="false">
      <c r="A100" s="1" t="n">
        <v>5701</v>
      </c>
      <c r="B100" s="1" t="s">
        <v>44</v>
      </c>
      <c r="C100" s="1" t="s">
        <v>229</v>
      </c>
      <c r="D100" s="1" t="s">
        <v>129</v>
      </c>
      <c r="E100" s="1" t="n">
        <v>7</v>
      </c>
      <c r="F100" s="1" t="n">
        <v>7</v>
      </c>
      <c r="G100" s="1" t="n">
        <v>14</v>
      </c>
    </row>
    <row r="101" customFormat="false" ht="14.25" hidden="false" customHeight="true" outlineLevel="0" collapsed="false">
      <c r="A101" s="1" t="n">
        <v>7414</v>
      </c>
      <c r="B101" s="1" t="s">
        <v>44</v>
      </c>
      <c r="C101" s="1" t="s">
        <v>230</v>
      </c>
      <c r="D101" s="1" t="s">
        <v>119</v>
      </c>
      <c r="E101" s="1" t="n">
        <v>7</v>
      </c>
      <c r="F101" s="1" t="n">
        <v>7</v>
      </c>
      <c r="G101" s="1" t="n">
        <v>23</v>
      </c>
    </row>
    <row r="102" customFormat="false" ht="14.25" hidden="false" customHeight="true" outlineLevel="0" collapsed="false">
      <c r="A102" s="1" t="n">
        <v>5877</v>
      </c>
      <c r="B102" s="1" t="s">
        <v>44</v>
      </c>
      <c r="C102" s="1" t="s">
        <v>231</v>
      </c>
      <c r="D102" s="1" t="s">
        <v>115</v>
      </c>
      <c r="E102" s="1" t="n">
        <v>7</v>
      </c>
      <c r="F102" s="1" t="n">
        <v>7</v>
      </c>
      <c r="G102" s="1" t="n">
        <v>27</v>
      </c>
    </row>
    <row r="103" customFormat="false" ht="14.25" hidden="false" customHeight="true" outlineLevel="0" collapsed="false">
      <c r="A103" s="1" t="n">
        <v>6320</v>
      </c>
      <c r="B103" s="1" t="s">
        <v>44</v>
      </c>
      <c r="C103" s="1" t="s">
        <v>232</v>
      </c>
      <c r="D103" s="1" t="s">
        <v>133</v>
      </c>
      <c r="E103" s="1" t="n">
        <v>7</v>
      </c>
      <c r="F103" s="1" t="n">
        <v>7</v>
      </c>
      <c r="G103" s="1" t="n">
        <v>22</v>
      </c>
    </row>
    <row r="104" customFormat="false" ht="14.25" hidden="false" customHeight="true" outlineLevel="0" collapsed="false">
      <c r="A104" s="1" t="n">
        <v>460</v>
      </c>
      <c r="B104" s="1" t="s">
        <v>44</v>
      </c>
      <c r="C104" s="1" t="s">
        <v>233</v>
      </c>
      <c r="D104" s="1" t="s">
        <v>133</v>
      </c>
      <c r="E104" s="1" t="n">
        <v>7</v>
      </c>
      <c r="F104" s="1" t="n">
        <v>7</v>
      </c>
      <c r="G104" s="1" t="n">
        <v>24</v>
      </c>
    </row>
    <row r="105" customFormat="false" ht="14.25" hidden="false" customHeight="true" outlineLevel="0" collapsed="false">
      <c r="A105" s="1" t="n">
        <v>6989</v>
      </c>
      <c r="B105" s="1" t="s">
        <v>44</v>
      </c>
      <c r="C105" s="1" t="s">
        <v>234</v>
      </c>
      <c r="D105" s="1" t="s">
        <v>139</v>
      </c>
      <c r="E105" s="1" t="n">
        <v>7</v>
      </c>
      <c r="F105" s="1" t="n">
        <v>7</v>
      </c>
      <c r="G105" s="1" t="n">
        <v>17</v>
      </c>
    </row>
    <row r="106" customFormat="false" ht="14.25" hidden="false" customHeight="true" outlineLevel="0" collapsed="false">
      <c r="A106" s="1" t="n">
        <v>4401</v>
      </c>
      <c r="B106" s="1" t="s">
        <v>44</v>
      </c>
      <c r="C106" s="1" t="s">
        <v>235</v>
      </c>
      <c r="D106" s="1" t="s">
        <v>121</v>
      </c>
      <c r="E106" s="1" t="n">
        <v>7</v>
      </c>
      <c r="F106" s="1" t="n">
        <v>7</v>
      </c>
      <c r="G106" s="1" t="n">
        <v>23</v>
      </c>
    </row>
    <row r="107" customFormat="false" ht="14.25" hidden="false" customHeight="true" outlineLevel="0" collapsed="false">
      <c r="A107" s="1" t="n">
        <v>4751</v>
      </c>
      <c r="B107" s="1" t="s">
        <v>44</v>
      </c>
      <c r="C107" s="1" t="s">
        <v>236</v>
      </c>
      <c r="D107" s="1" t="s">
        <v>121</v>
      </c>
      <c r="E107" s="1" t="n">
        <v>7</v>
      </c>
      <c r="F107" s="1" t="n">
        <v>7</v>
      </c>
      <c r="G107" s="1" t="n">
        <v>20</v>
      </c>
    </row>
    <row r="108" customFormat="false" ht="14.25" hidden="false" customHeight="true" outlineLevel="0" collapsed="false">
      <c r="A108" s="1" t="n">
        <v>2724</v>
      </c>
      <c r="B108" s="1" t="s">
        <v>44</v>
      </c>
      <c r="C108" s="1" t="s">
        <v>237</v>
      </c>
      <c r="D108" s="1" t="s">
        <v>125</v>
      </c>
      <c r="E108" s="1" t="n">
        <v>7</v>
      </c>
      <c r="F108" s="1" t="n">
        <v>7</v>
      </c>
      <c r="G108" s="1" t="n">
        <v>18</v>
      </c>
    </row>
    <row r="109" customFormat="false" ht="14.25" hidden="false" customHeight="true" outlineLevel="0" collapsed="false">
      <c r="A109" s="1" t="n">
        <v>6672</v>
      </c>
      <c r="B109" s="1" t="s">
        <v>44</v>
      </c>
      <c r="C109" s="1" t="s">
        <v>238</v>
      </c>
      <c r="D109" s="1" t="s">
        <v>144</v>
      </c>
      <c r="E109" s="1" t="n">
        <v>7</v>
      </c>
      <c r="F109" s="1" t="n">
        <v>7</v>
      </c>
      <c r="G109" s="1" t="n">
        <v>1</v>
      </c>
    </row>
    <row r="110" customFormat="false" ht="14.25" hidden="false" customHeight="true" outlineLevel="0" collapsed="false">
      <c r="A110" s="1" t="n">
        <v>6642</v>
      </c>
      <c r="B110" s="1" t="s">
        <v>44</v>
      </c>
      <c r="C110" s="1" t="s">
        <v>239</v>
      </c>
      <c r="D110" s="1" t="s">
        <v>184</v>
      </c>
      <c r="E110" s="1" t="n">
        <v>7</v>
      </c>
      <c r="F110" s="1" t="n">
        <v>7</v>
      </c>
      <c r="G110" s="1" t="n">
        <v>18</v>
      </c>
    </row>
    <row r="111" customFormat="false" ht="14.25" hidden="false" customHeight="true" outlineLevel="0" collapsed="false">
      <c r="A111" s="1" t="n">
        <v>5010</v>
      </c>
      <c r="B111" s="1" t="s">
        <v>44</v>
      </c>
      <c r="C111" s="1" t="s">
        <v>240</v>
      </c>
      <c r="D111" s="1" t="s">
        <v>184</v>
      </c>
      <c r="E111" s="1" t="n">
        <v>7</v>
      </c>
      <c r="F111" s="1" t="n">
        <v>7</v>
      </c>
      <c r="G111" s="1" t="n">
        <v>18</v>
      </c>
    </row>
    <row r="112" customFormat="false" ht="14.25" hidden="false" customHeight="true" outlineLevel="0" collapsed="false">
      <c r="A112" s="1" t="n">
        <v>6485</v>
      </c>
      <c r="B112" s="1" t="s">
        <v>44</v>
      </c>
      <c r="C112" s="1" t="s">
        <v>241</v>
      </c>
      <c r="D112" s="1" t="s">
        <v>135</v>
      </c>
      <c r="E112" s="1" t="n">
        <v>7</v>
      </c>
      <c r="F112" s="1" t="n">
        <v>7</v>
      </c>
      <c r="G112" s="1" t="n">
        <v>15</v>
      </c>
    </row>
    <row r="113" customFormat="false" ht="14.25" hidden="false" customHeight="true" outlineLevel="0" collapsed="false">
      <c r="A113" s="1" t="n">
        <v>6916</v>
      </c>
      <c r="B113" s="1" t="s">
        <v>44</v>
      </c>
      <c r="C113" s="1" t="s">
        <v>242</v>
      </c>
      <c r="D113" s="1" t="s">
        <v>117</v>
      </c>
      <c r="E113" s="1" t="n">
        <v>6</v>
      </c>
      <c r="F113" s="1" t="n">
        <v>6</v>
      </c>
      <c r="G113" s="1" t="n">
        <v>16</v>
      </c>
    </row>
    <row r="114" customFormat="false" ht="14.25" hidden="false" customHeight="true" outlineLevel="0" collapsed="false">
      <c r="A114" s="1" t="n">
        <v>4887</v>
      </c>
      <c r="B114" s="1" t="s">
        <v>44</v>
      </c>
      <c r="C114" s="1" t="s">
        <v>243</v>
      </c>
      <c r="D114" s="1" t="s">
        <v>117</v>
      </c>
      <c r="E114" s="1" t="n">
        <v>6</v>
      </c>
      <c r="F114" s="1" t="n">
        <v>6</v>
      </c>
      <c r="G114" s="1" t="n">
        <v>15</v>
      </c>
    </row>
    <row r="115" customFormat="false" ht="14.25" hidden="false" customHeight="true" outlineLevel="0" collapsed="false">
      <c r="A115" s="1" t="n">
        <v>7219</v>
      </c>
      <c r="B115" s="1" t="s">
        <v>44</v>
      </c>
      <c r="C115" s="1" t="s">
        <v>244</v>
      </c>
      <c r="D115" s="1" t="s">
        <v>117</v>
      </c>
      <c r="E115" s="1" t="n">
        <v>6</v>
      </c>
      <c r="F115" s="1" t="n">
        <v>6</v>
      </c>
      <c r="G115" s="1" t="n">
        <v>17</v>
      </c>
    </row>
    <row r="116" customFormat="false" ht="14.25" hidden="false" customHeight="true" outlineLevel="0" collapsed="false">
      <c r="A116" s="1" t="n">
        <v>7212</v>
      </c>
      <c r="B116" s="1" t="s">
        <v>44</v>
      </c>
      <c r="C116" s="1" t="s">
        <v>245</v>
      </c>
      <c r="D116" s="1" t="s">
        <v>127</v>
      </c>
      <c r="E116" s="1" t="n">
        <v>6</v>
      </c>
      <c r="F116" s="1" t="n">
        <v>6</v>
      </c>
      <c r="G116" s="1" t="n">
        <v>15</v>
      </c>
    </row>
    <row r="117" customFormat="false" ht="14.25" hidden="false" customHeight="true" outlineLevel="0" collapsed="false">
      <c r="A117" s="1" t="n">
        <v>4433</v>
      </c>
      <c r="B117" s="1" t="s">
        <v>44</v>
      </c>
      <c r="C117" s="1" t="s">
        <v>246</v>
      </c>
      <c r="D117" s="1" t="s">
        <v>127</v>
      </c>
      <c r="E117" s="1" t="n">
        <v>6</v>
      </c>
      <c r="F117" s="1" t="n">
        <v>6</v>
      </c>
      <c r="G117" s="1" t="n">
        <v>19</v>
      </c>
    </row>
    <row r="118" customFormat="false" ht="14.25" hidden="false" customHeight="true" outlineLevel="0" collapsed="false">
      <c r="A118" s="1" t="n">
        <v>6867</v>
      </c>
      <c r="B118" s="1" t="s">
        <v>44</v>
      </c>
      <c r="C118" s="1" t="s">
        <v>247</v>
      </c>
      <c r="D118" s="1" t="s">
        <v>119</v>
      </c>
      <c r="E118" s="1" t="n">
        <v>6</v>
      </c>
      <c r="F118" s="1" t="n">
        <v>6</v>
      </c>
      <c r="G118" s="1" t="n">
        <v>18</v>
      </c>
    </row>
    <row r="119" customFormat="false" ht="14.25" hidden="false" customHeight="true" outlineLevel="0" collapsed="false">
      <c r="A119" s="1" t="n">
        <v>7294</v>
      </c>
      <c r="B119" s="1" t="s">
        <v>44</v>
      </c>
      <c r="C119" s="1" t="s">
        <v>248</v>
      </c>
      <c r="D119" s="1" t="s">
        <v>123</v>
      </c>
      <c r="E119" s="1" t="n">
        <v>6</v>
      </c>
      <c r="F119" s="1" t="n">
        <v>6</v>
      </c>
      <c r="G119" s="1" t="n">
        <v>18</v>
      </c>
    </row>
    <row r="120" customFormat="false" ht="14.25" hidden="false" customHeight="true" outlineLevel="0" collapsed="false">
      <c r="A120" s="1" t="n">
        <v>7410</v>
      </c>
      <c r="B120" s="1" t="s">
        <v>44</v>
      </c>
      <c r="C120" s="1" t="s">
        <v>249</v>
      </c>
      <c r="D120" s="1" t="s">
        <v>123</v>
      </c>
      <c r="E120" s="1" t="n">
        <v>6</v>
      </c>
      <c r="F120" s="1" t="n">
        <v>6</v>
      </c>
      <c r="G120" s="1" t="n">
        <v>19</v>
      </c>
    </row>
    <row r="121" customFormat="false" ht="14.25" hidden="false" customHeight="true" outlineLevel="0" collapsed="false">
      <c r="A121" s="1" t="n">
        <v>4952</v>
      </c>
      <c r="B121" s="1" t="s">
        <v>44</v>
      </c>
      <c r="C121" s="1" t="s">
        <v>250</v>
      </c>
      <c r="D121" s="1" t="s">
        <v>152</v>
      </c>
      <c r="E121" s="1" t="n">
        <v>6</v>
      </c>
      <c r="F121" s="1" t="n">
        <v>6</v>
      </c>
      <c r="G121" s="1" t="n">
        <v>14</v>
      </c>
    </row>
    <row r="122" customFormat="false" ht="14.25" hidden="false" customHeight="true" outlineLevel="0" collapsed="false">
      <c r="A122" s="1" t="n">
        <v>6660</v>
      </c>
      <c r="B122" s="1" t="s">
        <v>44</v>
      </c>
      <c r="C122" s="1" t="s">
        <v>251</v>
      </c>
      <c r="D122" s="1" t="s">
        <v>137</v>
      </c>
      <c r="E122" s="1" t="n">
        <v>6</v>
      </c>
      <c r="F122" s="1" t="n">
        <v>6</v>
      </c>
      <c r="G122" s="1" t="n">
        <v>13</v>
      </c>
    </row>
    <row r="123" customFormat="false" ht="14.25" hidden="false" customHeight="true" outlineLevel="0" collapsed="false">
      <c r="A123" s="1" t="n">
        <v>4177</v>
      </c>
      <c r="B123" s="1" t="s">
        <v>44</v>
      </c>
      <c r="C123" s="1" t="s">
        <v>252</v>
      </c>
      <c r="D123" s="1" t="s">
        <v>115</v>
      </c>
      <c r="E123" s="1" t="n">
        <v>6</v>
      </c>
      <c r="F123" s="1" t="n">
        <v>6</v>
      </c>
      <c r="G123" s="1" t="n">
        <v>18</v>
      </c>
    </row>
    <row r="124" customFormat="false" ht="14.25" hidden="false" customHeight="true" outlineLevel="0" collapsed="false">
      <c r="A124" s="1" t="n">
        <v>5620</v>
      </c>
      <c r="B124" s="1" t="s">
        <v>44</v>
      </c>
      <c r="C124" s="1" t="s">
        <v>253</v>
      </c>
      <c r="D124" s="1" t="s">
        <v>133</v>
      </c>
      <c r="E124" s="1" t="n">
        <v>6</v>
      </c>
      <c r="F124" s="1" t="n">
        <v>6</v>
      </c>
      <c r="G124" s="1" t="n">
        <v>17</v>
      </c>
    </row>
    <row r="125" customFormat="false" ht="14.25" hidden="false" customHeight="true" outlineLevel="0" collapsed="false">
      <c r="A125" s="1" t="n">
        <v>2188</v>
      </c>
      <c r="B125" s="1" t="s">
        <v>44</v>
      </c>
      <c r="C125" s="1" t="s">
        <v>254</v>
      </c>
      <c r="D125" s="1" t="s">
        <v>133</v>
      </c>
      <c r="E125" s="1" t="n">
        <v>6</v>
      </c>
      <c r="F125" s="1" t="n">
        <v>6</v>
      </c>
      <c r="G125" s="1" t="n">
        <v>20</v>
      </c>
    </row>
    <row r="126" customFormat="false" ht="14.25" hidden="false" customHeight="true" outlineLevel="0" collapsed="false">
      <c r="A126" s="1" t="n">
        <v>4502</v>
      </c>
      <c r="B126" s="1" t="s">
        <v>44</v>
      </c>
      <c r="C126" s="1" t="s">
        <v>255</v>
      </c>
      <c r="D126" s="1" t="s">
        <v>139</v>
      </c>
      <c r="E126" s="1" t="n">
        <v>6</v>
      </c>
      <c r="F126" s="1" t="n">
        <v>6</v>
      </c>
      <c r="G126" s="1" t="n">
        <v>13</v>
      </c>
    </row>
    <row r="127" customFormat="false" ht="14.25" hidden="false" customHeight="true" outlineLevel="0" collapsed="false">
      <c r="A127" s="1" t="n">
        <v>7485</v>
      </c>
      <c r="B127" s="1" t="s">
        <v>44</v>
      </c>
      <c r="C127" s="1" t="s">
        <v>256</v>
      </c>
      <c r="D127" s="1" t="s">
        <v>149</v>
      </c>
      <c r="E127" s="1" t="n">
        <v>6</v>
      </c>
      <c r="F127" s="1" t="n">
        <v>6</v>
      </c>
      <c r="G127" s="1" t="n">
        <v>15</v>
      </c>
    </row>
    <row r="128" customFormat="false" ht="14.25" hidden="false" customHeight="true" outlineLevel="0" collapsed="false">
      <c r="A128" s="1" t="n">
        <v>6202</v>
      </c>
      <c r="B128" s="1" t="s">
        <v>44</v>
      </c>
      <c r="C128" s="1" t="s">
        <v>257</v>
      </c>
      <c r="D128" s="1" t="s">
        <v>125</v>
      </c>
      <c r="E128" s="1" t="n">
        <v>6</v>
      </c>
      <c r="F128" s="1" t="n">
        <v>6</v>
      </c>
      <c r="G128" s="1" t="n">
        <v>16</v>
      </c>
    </row>
    <row r="129" customFormat="false" ht="14.25" hidden="false" customHeight="true" outlineLevel="0" collapsed="false">
      <c r="A129" s="1" t="n">
        <v>6663</v>
      </c>
      <c r="B129" s="1" t="s">
        <v>44</v>
      </c>
      <c r="C129" s="1" t="s">
        <v>258</v>
      </c>
      <c r="D129" s="1" t="s">
        <v>141</v>
      </c>
      <c r="E129" s="1" t="n">
        <v>6</v>
      </c>
      <c r="F129" s="1" t="n">
        <v>6</v>
      </c>
      <c r="G129" s="1" t="n">
        <v>18</v>
      </c>
    </row>
    <row r="130" customFormat="false" ht="14.25" hidden="false" customHeight="true" outlineLevel="0" collapsed="false">
      <c r="A130" s="1" t="n">
        <v>6495</v>
      </c>
      <c r="B130" s="1" t="s">
        <v>44</v>
      </c>
      <c r="C130" s="1" t="s">
        <v>259</v>
      </c>
      <c r="D130" s="1" t="s">
        <v>184</v>
      </c>
      <c r="E130" s="1" t="n">
        <v>6</v>
      </c>
      <c r="F130" s="1" t="n">
        <v>6</v>
      </c>
      <c r="G130" s="1" t="n">
        <v>11</v>
      </c>
    </row>
    <row r="131" customFormat="false" ht="14.25" hidden="false" customHeight="true" outlineLevel="0" collapsed="false">
      <c r="A131" s="1" t="n">
        <v>5555</v>
      </c>
      <c r="B131" s="1" t="s">
        <v>44</v>
      </c>
      <c r="C131" s="1" t="s">
        <v>260</v>
      </c>
      <c r="D131" s="1" t="s">
        <v>135</v>
      </c>
      <c r="E131" s="1" t="n">
        <v>6</v>
      </c>
      <c r="F131" s="1" t="n">
        <v>6</v>
      </c>
      <c r="G131" s="1" t="n">
        <v>12</v>
      </c>
    </row>
    <row r="132" customFormat="false" ht="14.25" hidden="false" customHeight="true" outlineLevel="0" collapsed="false">
      <c r="A132" s="1" t="n">
        <v>7253</v>
      </c>
      <c r="B132" s="1" t="s">
        <v>44</v>
      </c>
      <c r="C132" s="1" t="s">
        <v>261</v>
      </c>
      <c r="D132" s="1" t="s">
        <v>147</v>
      </c>
      <c r="E132" s="1" t="n">
        <v>6</v>
      </c>
      <c r="F132" s="1" t="n">
        <v>6</v>
      </c>
      <c r="G132" s="1" t="n">
        <v>13</v>
      </c>
    </row>
    <row r="133" customFormat="false" ht="14.25" hidden="false" customHeight="true" outlineLevel="0" collapsed="false">
      <c r="A133" s="1" t="n">
        <v>2640</v>
      </c>
      <c r="B133" s="1" t="s">
        <v>44</v>
      </c>
      <c r="C133" s="1" t="s">
        <v>262</v>
      </c>
      <c r="D133" s="1" t="s">
        <v>117</v>
      </c>
      <c r="E133" s="1" t="n">
        <v>5</v>
      </c>
      <c r="F133" s="1" t="n">
        <v>5</v>
      </c>
      <c r="G133" s="1" t="n">
        <v>12</v>
      </c>
    </row>
    <row r="134" customFormat="false" ht="14.25" hidden="false" customHeight="true" outlineLevel="0" collapsed="false">
      <c r="A134" s="1" t="n">
        <v>7068</v>
      </c>
      <c r="B134" s="1" t="s">
        <v>44</v>
      </c>
      <c r="C134" s="1" t="s">
        <v>263</v>
      </c>
      <c r="D134" s="1" t="s">
        <v>127</v>
      </c>
      <c r="E134" s="1" t="n">
        <v>5</v>
      </c>
      <c r="F134" s="1" t="n">
        <v>5</v>
      </c>
      <c r="G134" s="1" t="n">
        <v>11</v>
      </c>
    </row>
    <row r="135" customFormat="false" ht="14.25" hidden="false" customHeight="true" outlineLevel="0" collapsed="false">
      <c r="A135" s="1" t="n">
        <v>5678</v>
      </c>
      <c r="B135" s="1" t="s">
        <v>44</v>
      </c>
      <c r="C135" s="1" t="s">
        <v>264</v>
      </c>
      <c r="D135" s="1" t="s">
        <v>127</v>
      </c>
      <c r="E135" s="1" t="n">
        <v>5</v>
      </c>
      <c r="F135" s="1" t="n">
        <v>5</v>
      </c>
      <c r="G135" s="1" t="n">
        <v>13</v>
      </c>
    </row>
    <row r="136" customFormat="false" ht="14.25" hidden="false" customHeight="true" outlineLevel="0" collapsed="false">
      <c r="A136" s="1" t="n">
        <v>7532</v>
      </c>
      <c r="B136" s="1" t="s">
        <v>44</v>
      </c>
      <c r="C136" s="1" t="s">
        <v>265</v>
      </c>
      <c r="D136" s="1" t="s">
        <v>129</v>
      </c>
      <c r="E136" s="1" t="n">
        <v>5</v>
      </c>
      <c r="F136" s="1" t="n">
        <v>5</v>
      </c>
      <c r="G136" s="1" t="n">
        <v>11</v>
      </c>
    </row>
    <row r="137" customFormat="false" ht="14.25" hidden="false" customHeight="true" outlineLevel="0" collapsed="false">
      <c r="A137" s="1" t="n">
        <v>7274</v>
      </c>
      <c r="B137" s="1" t="s">
        <v>44</v>
      </c>
      <c r="C137" s="1" t="s">
        <v>266</v>
      </c>
      <c r="D137" s="1" t="s">
        <v>129</v>
      </c>
      <c r="E137" s="1" t="n">
        <v>5</v>
      </c>
      <c r="F137" s="1" t="n">
        <v>5</v>
      </c>
      <c r="G137" s="1" t="n">
        <v>11</v>
      </c>
    </row>
    <row r="138" customFormat="false" ht="14.25" hidden="false" customHeight="true" outlineLevel="0" collapsed="false">
      <c r="A138" s="1" t="n">
        <v>6893</v>
      </c>
      <c r="B138" s="1" t="s">
        <v>44</v>
      </c>
      <c r="C138" s="1" t="s">
        <v>267</v>
      </c>
      <c r="D138" s="1" t="s">
        <v>119</v>
      </c>
      <c r="E138" s="1" t="n">
        <v>5</v>
      </c>
      <c r="F138" s="1" t="n">
        <v>5</v>
      </c>
      <c r="G138" s="1" t="n">
        <v>13</v>
      </c>
    </row>
    <row r="139" customFormat="false" ht="14.25" hidden="false" customHeight="true" outlineLevel="0" collapsed="false">
      <c r="A139" s="1" t="n">
        <v>5449</v>
      </c>
      <c r="B139" s="1" t="s">
        <v>44</v>
      </c>
      <c r="C139" s="1" t="s">
        <v>268</v>
      </c>
      <c r="D139" s="1" t="s">
        <v>123</v>
      </c>
      <c r="E139" s="1" t="n">
        <v>5</v>
      </c>
      <c r="F139" s="1" t="n">
        <v>5</v>
      </c>
      <c r="G139" s="1" t="n">
        <v>12</v>
      </c>
    </row>
    <row r="140" customFormat="false" ht="14.25" hidden="false" customHeight="true" outlineLevel="0" collapsed="false">
      <c r="A140" s="1" t="n">
        <v>7469</v>
      </c>
      <c r="B140" s="1" t="s">
        <v>44</v>
      </c>
      <c r="C140" s="1" t="s">
        <v>269</v>
      </c>
      <c r="D140" s="1" t="s">
        <v>152</v>
      </c>
      <c r="E140" s="1" t="n">
        <v>5</v>
      </c>
      <c r="F140" s="1" t="n">
        <v>5</v>
      </c>
      <c r="G140" s="1" t="n">
        <v>11</v>
      </c>
    </row>
    <row r="141" customFormat="false" ht="14.25" hidden="false" customHeight="true" outlineLevel="0" collapsed="false">
      <c r="A141" s="1" t="n">
        <v>6238</v>
      </c>
      <c r="B141" s="1" t="s">
        <v>44</v>
      </c>
      <c r="C141" s="1" t="s">
        <v>270</v>
      </c>
      <c r="D141" s="1" t="s">
        <v>152</v>
      </c>
      <c r="E141" s="1" t="n">
        <v>5</v>
      </c>
      <c r="F141" s="1" t="n">
        <v>5</v>
      </c>
      <c r="G141" s="1" t="n">
        <v>12</v>
      </c>
    </row>
    <row r="142" customFormat="false" ht="14.25" hidden="false" customHeight="true" outlineLevel="0" collapsed="false">
      <c r="A142" s="1" t="n">
        <v>2593</v>
      </c>
      <c r="B142" s="1" t="s">
        <v>44</v>
      </c>
      <c r="C142" s="1" t="s">
        <v>271</v>
      </c>
      <c r="D142" s="1" t="s">
        <v>137</v>
      </c>
      <c r="E142" s="1" t="n">
        <v>5</v>
      </c>
      <c r="F142" s="1" t="n">
        <v>5</v>
      </c>
      <c r="G142" s="1" t="n">
        <v>15</v>
      </c>
    </row>
    <row r="143" customFormat="false" ht="14.25" hidden="false" customHeight="true" outlineLevel="0" collapsed="false">
      <c r="A143" s="1" t="n">
        <v>6766</v>
      </c>
      <c r="B143" s="1" t="s">
        <v>44</v>
      </c>
      <c r="C143" s="1" t="s">
        <v>272</v>
      </c>
      <c r="D143" s="1" t="s">
        <v>131</v>
      </c>
      <c r="E143" s="1" t="n">
        <v>5</v>
      </c>
      <c r="F143" s="1" t="n">
        <v>5</v>
      </c>
      <c r="G143" s="1" t="n">
        <v>13</v>
      </c>
    </row>
    <row r="144" customFormat="false" ht="14.25" hidden="false" customHeight="true" outlineLevel="0" collapsed="false">
      <c r="A144" s="1" t="n">
        <v>4817</v>
      </c>
      <c r="B144" s="1" t="s">
        <v>44</v>
      </c>
      <c r="C144" s="1" t="s">
        <v>273</v>
      </c>
      <c r="D144" s="1" t="s">
        <v>133</v>
      </c>
      <c r="E144" s="1" t="n">
        <v>5</v>
      </c>
      <c r="F144" s="1" t="n">
        <v>5</v>
      </c>
      <c r="G144" s="1" t="n">
        <v>15</v>
      </c>
    </row>
    <row r="145" customFormat="false" ht="14.25" hidden="false" customHeight="true" outlineLevel="0" collapsed="false">
      <c r="A145" s="1" t="n">
        <v>6632</v>
      </c>
      <c r="B145" s="1" t="s">
        <v>44</v>
      </c>
      <c r="C145" s="1" t="s">
        <v>274</v>
      </c>
      <c r="D145" s="1" t="s">
        <v>139</v>
      </c>
      <c r="E145" s="1" t="n">
        <v>5</v>
      </c>
      <c r="F145" s="1" t="n">
        <v>5</v>
      </c>
      <c r="G145" s="1" t="n">
        <v>12</v>
      </c>
    </row>
    <row r="146" customFormat="false" ht="14.25" hidden="false" customHeight="true" outlineLevel="0" collapsed="false">
      <c r="A146" s="1" t="n">
        <v>6990</v>
      </c>
      <c r="B146" s="1" t="s">
        <v>44</v>
      </c>
      <c r="C146" s="1" t="s">
        <v>275</v>
      </c>
      <c r="D146" s="1" t="s">
        <v>139</v>
      </c>
      <c r="E146" s="1" t="n">
        <v>5</v>
      </c>
      <c r="F146" s="1" t="n">
        <v>5</v>
      </c>
      <c r="G146" s="1" t="n">
        <v>11</v>
      </c>
    </row>
    <row r="147" customFormat="false" ht="14.25" hidden="false" customHeight="true" outlineLevel="0" collapsed="false">
      <c r="A147" s="1" t="n">
        <v>5840</v>
      </c>
      <c r="B147" s="1" t="s">
        <v>44</v>
      </c>
      <c r="C147" s="1" t="s">
        <v>276</v>
      </c>
      <c r="D147" s="1" t="s">
        <v>125</v>
      </c>
      <c r="E147" s="1" t="n">
        <v>5</v>
      </c>
      <c r="F147" s="1" t="n">
        <v>5</v>
      </c>
      <c r="G147" s="1" t="n">
        <v>13</v>
      </c>
    </row>
    <row r="148" customFormat="false" ht="14.25" hidden="false" customHeight="true" outlineLevel="0" collapsed="false">
      <c r="A148" s="1" t="n">
        <v>6986</v>
      </c>
      <c r="B148" s="1" t="s">
        <v>44</v>
      </c>
      <c r="C148" s="1" t="s">
        <v>277</v>
      </c>
      <c r="D148" s="1" t="s">
        <v>113</v>
      </c>
      <c r="E148" s="1" t="n">
        <v>5</v>
      </c>
      <c r="F148" s="1" t="n">
        <v>5</v>
      </c>
      <c r="G148" s="1" t="n">
        <v>16</v>
      </c>
    </row>
    <row r="149" customFormat="false" ht="14.25" hidden="false" customHeight="true" outlineLevel="0" collapsed="false">
      <c r="A149" s="1" t="n">
        <v>6426</v>
      </c>
      <c r="B149" s="1" t="s">
        <v>44</v>
      </c>
      <c r="C149" s="1" t="s">
        <v>278</v>
      </c>
      <c r="D149" s="1" t="s">
        <v>184</v>
      </c>
      <c r="E149" s="1" t="n">
        <v>5</v>
      </c>
      <c r="F149" s="1" t="n">
        <v>5</v>
      </c>
      <c r="G149" s="1" t="n">
        <v>13</v>
      </c>
    </row>
    <row r="150" customFormat="false" ht="14.25" hidden="false" customHeight="true" outlineLevel="0" collapsed="false">
      <c r="A150" s="1" t="n">
        <v>6890</v>
      </c>
      <c r="B150" s="1" t="s">
        <v>44</v>
      </c>
      <c r="C150" s="1" t="s">
        <v>279</v>
      </c>
      <c r="D150" s="1" t="s">
        <v>147</v>
      </c>
      <c r="E150" s="1" t="n">
        <v>5</v>
      </c>
      <c r="F150" s="1" t="n">
        <v>5</v>
      </c>
      <c r="G150" s="1" t="n">
        <v>11</v>
      </c>
    </row>
    <row r="151" customFormat="false" ht="14.25" hidden="false" customHeight="true" outlineLevel="0" collapsed="false">
      <c r="A151" s="1" t="n">
        <v>5695</v>
      </c>
      <c r="B151" s="1" t="s">
        <v>44</v>
      </c>
      <c r="C151" s="1" t="s">
        <v>280</v>
      </c>
      <c r="D151" s="1" t="s">
        <v>147</v>
      </c>
      <c r="E151" s="1" t="n">
        <v>5</v>
      </c>
      <c r="F151" s="1" t="n">
        <v>5</v>
      </c>
      <c r="G151" s="1" t="n">
        <v>11</v>
      </c>
    </row>
    <row r="152" customFormat="false" ht="14.25" hidden="false" customHeight="true" outlineLevel="0" collapsed="false">
      <c r="A152" s="1" t="n">
        <v>4461</v>
      </c>
      <c r="B152" s="1" t="s">
        <v>44</v>
      </c>
      <c r="C152" s="1" t="s">
        <v>281</v>
      </c>
      <c r="D152" s="1" t="s">
        <v>129</v>
      </c>
      <c r="E152" s="1" t="n">
        <v>4</v>
      </c>
      <c r="F152" s="1" t="n">
        <v>4</v>
      </c>
      <c r="G152" s="1" t="n">
        <v>9</v>
      </c>
    </row>
    <row r="153" customFormat="false" ht="14.25" hidden="false" customHeight="true" outlineLevel="0" collapsed="false">
      <c r="A153" s="1" t="n">
        <v>7014</v>
      </c>
      <c r="B153" s="1" t="s">
        <v>44</v>
      </c>
      <c r="C153" s="1" t="s">
        <v>282</v>
      </c>
      <c r="D153" s="1" t="s">
        <v>119</v>
      </c>
      <c r="E153" s="1" t="n">
        <v>4</v>
      </c>
      <c r="F153" s="1" t="n">
        <v>4</v>
      </c>
      <c r="G153" s="1" t="n">
        <v>10</v>
      </c>
    </row>
    <row r="154" customFormat="false" ht="14.25" hidden="false" customHeight="true" outlineLevel="0" collapsed="false">
      <c r="A154" s="1" t="n">
        <v>5603</v>
      </c>
      <c r="B154" s="1" t="s">
        <v>44</v>
      </c>
      <c r="C154" s="1" t="s">
        <v>283</v>
      </c>
      <c r="D154" s="1" t="s">
        <v>123</v>
      </c>
      <c r="E154" s="1" t="n">
        <v>4</v>
      </c>
      <c r="F154" s="1" t="n">
        <v>4</v>
      </c>
      <c r="G154" s="1" t="n">
        <v>8</v>
      </c>
    </row>
    <row r="155" customFormat="false" ht="14.25" hidden="false" customHeight="true" outlineLevel="0" collapsed="false">
      <c r="A155" s="1" t="n">
        <v>7467</v>
      </c>
      <c r="B155" s="1" t="s">
        <v>44</v>
      </c>
      <c r="C155" s="1" t="s">
        <v>284</v>
      </c>
      <c r="D155" s="1" t="s">
        <v>152</v>
      </c>
      <c r="E155" s="1" t="n">
        <v>4</v>
      </c>
      <c r="F155" s="1" t="n">
        <v>4</v>
      </c>
      <c r="G155" s="1" t="n">
        <v>10</v>
      </c>
    </row>
    <row r="156" customFormat="false" ht="14.25" hidden="false" customHeight="true" outlineLevel="0" collapsed="false">
      <c r="A156" s="1" t="n">
        <v>7537</v>
      </c>
      <c r="B156" s="1" t="s">
        <v>44</v>
      </c>
      <c r="C156" s="1" t="s">
        <v>285</v>
      </c>
      <c r="D156" s="1" t="s">
        <v>137</v>
      </c>
      <c r="E156" s="1" t="n">
        <v>4</v>
      </c>
      <c r="F156" s="1" t="n">
        <v>4</v>
      </c>
      <c r="G156" s="1" t="n">
        <v>9</v>
      </c>
    </row>
    <row r="157" customFormat="false" ht="14.25" hidden="false" customHeight="true" outlineLevel="0" collapsed="false">
      <c r="A157" s="1" t="n">
        <v>5831</v>
      </c>
      <c r="B157" s="1" t="s">
        <v>44</v>
      </c>
      <c r="C157" s="1" t="s">
        <v>286</v>
      </c>
      <c r="D157" s="1" t="s">
        <v>131</v>
      </c>
      <c r="E157" s="1" t="n">
        <v>4</v>
      </c>
      <c r="F157" s="1" t="n">
        <v>4</v>
      </c>
      <c r="G157" s="1" t="n">
        <v>10</v>
      </c>
    </row>
    <row r="158" customFormat="false" ht="14.25" hidden="false" customHeight="true" outlineLevel="0" collapsed="false">
      <c r="A158" s="1" t="n">
        <v>7240</v>
      </c>
      <c r="B158" s="1" t="s">
        <v>44</v>
      </c>
      <c r="C158" s="1" t="s">
        <v>287</v>
      </c>
      <c r="D158" s="1" t="s">
        <v>139</v>
      </c>
      <c r="E158" s="1" t="n">
        <v>4</v>
      </c>
      <c r="F158" s="1" t="n">
        <v>4</v>
      </c>
      <c r="G158" s="1" t="n">
        <v>12</v>
      </c>
    </row>
    <row r="159" customFormat="false" ht="14.25" hidden="false" customHeight="true" outlineLevel="0" collapsed="false">
      <c r="A159" s="1" t="n">
        <v>2115</v>
      </c>
      <c r="B159" s="1" t="s">
        <v>44</v>
      </c>
      <c r="C159" s="1" t="s">
        <v>288</v>
      </c>
      <c r="D159" s="1" t="s">
        <v>149</v>
      </c>
      <c r="E159" s="1" t="n">
        <v>4</v>
      </c>
      <c r="F159" s="1" t="n">
        <v>4</v>
      </c>
      <c r="G159" s="1" t="n">
        <v>11</v>
      </c>
    </row>
    <row r="160" customFormat="false" ht="14.25" hidden="false" customHeight="true" outlineLevel="0" collapsed="false">
      <c r="A160" s="1" t="n">
        <v>6659</v>
      </c>
      <c r="B160" s="1" t="s">
        <v>44</v>
      </c>
      <c r="C160" s="1" t="s">
        <v>289</v>
      </c>
      <c r="D160" s="1" t="s">
        <v>149</v>
      </c>
      <c r="E160" s="1" t="n">
        <v>4</v>
      </c>
      <c r="F160" s="1" t="n">
        <v>4</v>
      </c>
      <c r="G160" s="1" t="n">
        <v>12</v>
      </c>
    </row>
    <row r="161" customFormat="false" ht="14.25" hidden="false" customHeight="true" outlineLevel="0" collapsed="false">
      <c r="A161" s="1" t="n">
        <v>5838</v>
      </c>
      <c r="B161" s="1" t="s">
        <v>44</v>
      </c>
      <c r="C161" s="1" t="s">
        <v>290</v>
      </c>
      <c r="D161" s="1" t="s">
        <v>149</v>
      </c>
      <c r="E161" s="1" t="n">
        <v>4</v>
      </c>
      <c r="F161" s="1" t="n">
        <v>4</v>
      </c>
      <c r="G161" s="1" t="n">
        <v>12</v>
      </c>
    </row>
    <row r="162" customFormat="false" ht="14.25" hidden="false" customHeight="true" outlineLevel="0" collapsed="false">
      <c r="A162" s="1" t="n">
        <v>5307</v>
      </c>
      <c r="B162" s="1" t="s">
        <v>44</v>
      </c>
      <c r="C162" s="1" t="s">
        <v>291</v>
      </c>
      <c r="D162" s="1" t="s">
        <v>141</v>
      </c>
      <c r="E162" s="1" t="n">
        <v>4</v>
      </c>
      <c r="F162" s="1" t="n">
        <v>4</v>
      </c>
      <c r="G162" s="1" t="n">
        <v>10</v>
      </c>
    </row>
    <row r="163" customFormat="false" ht="14.25" hidden="false" customHeight="true" outlineLevel="0" collapsed="false">
      <c r="A163" s="1" t="n">
        <v>6631</v>
      </c>
      <c r="B163" s="1" t="s">
        <v>44</v>
      </c>
      <c r="C163" s="1" t="s">
        <v>292</v>
      </c>
      <c r="D163" s="1" t="s">
        <v>113</v>
      </c>
      <c r="E163" s="1" t="n">
        <v>4</v>
      </c>
      <c r="F163" s="1" t="n">
        <v>4</v>
      </c>
      <c r="G163" s="1" t="n">
        <v>10</v>
      </c>
    </row>
    <row r="164" customFormat="false" ht="14.25" hidden="false" customHeight="true" outlineLevel="0" collapsed="false">
      <c r="A164" s="1" t="n">
        <v>4374</v>
      </c>
      <c r="B164" s="1" t="s">
        <v>44</v>
      </c>
      <c r="C164" s="1" t="s">
        <v>293</v>
      </c>
      <c r="D164" s="1" t="s">
        <v>144</v>
      </c>
      <c r="E164" s="1" t="n">
        <v>4</v>
      </c>
      <c r="F164" s="1" t="n">
        <v>4</v>
      </c>
      <c r="G164" s="1" t="n">
        <v>10</v>
      </c>
    </row>
    <row r="165" customFormat="false" ht="14.25" hidden="false" customHeight="true" outlineLevel="0" collapsed="false">
      <c r="A165" s="1" t="n">
        <v>5851</v>
      </c>
      <c r="B165" s="1" t="s">
        <v>44</v>
      </c>
      <c r="C165" s="1" t="s">
        <v>294</v>
      </c>
      <c r="D165" s="1" t="s">
        <v>144</v>
      </c>
      <c r="E165" s="1" t="n">
        <v>4</v>
      </c>
      <c r="F165" s="1" t="n">
        <v>4</v>
      </c>
      <c r="G165" s="1" t="n">
        <v>13</v>
      </c>
    </row>
    <row r="166" customFormat="false" ht="14.25" hidden="false" customHeight="true" outlineLevel="0" collapsed="false">
      <c r="A166" s="1" t="n">
        <v>7526</v>
      </c>
      <c r="B166" s="1" t="s">
        <v>44</v>
      </c>
      <c r="C166" s="1" t="s">
        <v>295</v>
      </c>
      <c r="D166" s="1" t="s">
        <v>184</v>
      </c>
      <c r="E166" s="1" t="n">
        <v>4</v>
      </c>
      <c r="F166" s="1" t="n">
        <v>4</v>
      </c>
      <c r="G166" s="1" t="n">
        <v>10</v>
      </c>
    </row>
    <row r="167" customFormat="false" ht="14.25" hidden="false" customHeight="true" outlineLevel="0" collapsed="false">
      <c r="A167" s="1" t="n">
        <v>4263</v>
      </c>
      <c r="B167" s="1" t="s">
        <v>44</v>
      </c>
      <c r="C167" s="1" t="s">
        <v>296</v>
      </c>
      <c r="D167" s="1" t="s">
        <v>135</v>
      </c>
      <c r="E167" s="1" t="n">
        <v>4</v>
      </c>
      <c r="F167" s="1" t="n">
        <v>4</v>
      </c>
      <c r="G167" s="1" t="n">
        <v>9</v>
      </c>
    </row>
    <row r="168" customFormat="false" ht="14.25" hidden="false" customHeight="true" outlineLevel="0" collapsed="false">
      <c r="A168" s="1" t="n">
        <v>5820</v>
      </c>
      <c r="B168" s="1" t="s">
        <v>44</v>
      </c>
      <c r="C168" s="1" t="s">
        <v>297</v>
      </c>
      <c r="D168" s="1" t="s">
        <v>135</v>
      </c>
      <c r="E168" s="1" t="n">
        <v>4</v>
      </c>
      <c r="F168" s="1" t="n">
        <v>4</v>
      </c>
      <c r="G168" s="1" t="n">
        <v>10</v>
      </c>
    </row>
    <row r="169" customFormat="false" ht="14.25" hidden="false" customHeight="true" outlineLevel="0" collapsed="false">
      <c r="A169" s="1" t="n">
        <v>5527</v>
      </c>
      <c r="B169" s="1" t="s">
        <v>44</v>
      </c>
      <c r="C169" s="1" t="s">
        <v>298</v>
      </c>
      <c r="D169" s="1" t="s">
        <v>135</v>
      </c>
      <c r="E169" s="1" t="n">
        <v>4</v>
      </c>
      <c r="F169" s="1" t="n">
        <v>4</v>
      </c>
      <c r="G169" s="1" t="n">
        <v>10</v>
      </c>
    </row>
    <row r="170" customFormat="false" ht="14.25" hidden="false" customHeight="true" outlineLevel="0" collapsed="false">
      <c r="A170" s="1" t="n">
        <v>7312</v>
      </c>
      <c r="B170" s="1" t="s">
        <v>44</v>
      </c>
      <c r="C170" s="1" t="s">
        <v>299</v>
      </c>
      <c r="D170" s="1" t="s">
        <v>135</v>
      </c>
      <c r="E170" s="1" t="n">
        <v>4</v>
      </c>
      <c r="F170" s="1" t="n">
        <v>4</v>
      </c>
      <c r="G170" s="1" t="n">
        <v>8</v>
      </c>
    </row>
    <row r="171" customFormat="false" ht="14.25" hidden="false" customHeight="true" outlineLevel="0" collapsed="false">
      <c r="A171" s="1" t="n">
        <v>7538</v>
      </c>
      <c r="B171" s="1" t="s">
        <v>44</v>
      </c>
      <c r="C171" s="1" t="s">
        <v>300</v>
      </c>
      <c r="D171" s="1" t="s">
        <v>147</v>
      </c>
      <c r="E171" s="1" t="n">
        <v>4</v>
      </c>
      <c r="F171" s="1" t="n">
        <v>4</v>
      </c>
      <c r="G171" s="1" t="n">
        <v>10</v>
      </c>
    </row>
    <row r="172" customFormat="false" ht="14.25" hidden="false" customHeight="true" outlineLevel="0" collapsed="false">
      <c r="A172" s="1" t="n">
        <v>4845</v>
      </c>
      <c r="B172" s="1" t="s">
        <v>44</v>
      </c>
      <c r="C172" s="1" t="s">
        <v>301</v>
      </c>
      <c r="D172" s="1" t="s">
        <v>147</v>
      </c>
      <c r="E172" s="1" t="n">
        <v>4</v>
      </c>
      <c r="F172" s="1" t="n">
        <v>4</v>
      </c>
      <c r="G172" s="1" t="n">
        <v>12</v>
      </c>
    </row>
    <row r="173" customFormat="false" ht="14.25" hidden="false" customHeight="true" outlineLevel="0" collapsed="false">
      <c r="A173" s="1" t="n">
        <v>5578</v>
      </c>
      <c r="B173" s="1" t="s">
        <v>44</v>
      </c>
      <c r="C173" s="1" t="s">
        <v>302</v>
      </c>
      <c r="D173" s="1" t="s">
        <v>117</v>
      </c>
      <c r="E173" s="1" t="n">
        <v>3</v>
      </c>
      <c r="F173" s="1" t="n">
        <v>3</v>
      </c>
      <c r="G173" s="1" t="n">
        <v>7</v>
      </c>
    </row>
    <row r="174" customFormat="false" ht="14.25" hidden="false" customHeight="true" outlineLevel="0" collapsed="false">
      <c r="A174" s="1" t="n">
        <v>5498</v>
      </c>
      <c r="B174" s="1" t="s">
        <v>44</v>
      </c>
      <c r="C174" s="1" t="s">
        <v>303</v>
      </c>
      <c r="D174" s="1" t="s">
        <v>127</v>
      </c>
      <c r="E174" s="1" t="n">
        <v>3</v>
      </c>
      <c r="F174" s="1" t="n">
        <v>3</v>
      </c>
      <c r="G174" s="1" t="n">
        <v>6</v>
      </c>
    </row>
    <row r="175" customFormat="false" ht="14.25" hidden="false" customHeight="true" outlineLevel="0" collapsed="false">
      <c r="A175" s="1" t="n">
        <v>7268</v>
      </c>
      <c r="B175" s="1" t="s">
        <v>44</v>
      </c>
      <c r="C175" s="1" t="s">
        <v>304</v>
      </c>
      <c r="D175" s="1" t="s">
        <v>129</v>
      </c>
      <c r="E175" s="1" t="n">
        <v>3</v>
      </c>
      <c r="F175" s="1" t="n">
        <v>3</v>
      </c>
      <c r="G175" s="1" t="n">
        <v>10</v>
      </c>
    </row>
    <row r="176" customFormat="false" ht="14.25" hidden="false" customHeight="true" outlineLevel="0" collapsed="false">
      <c r="A176" s="1" t="n">
        <v>7125</v>
      </c>
      <c r="B176" s="1" t="s">
        <v>44</v>
      </c>
      <c r="C176" s="1" t="s">
        <v>305</v>
      </c>
      <c r="D176" s="1" t="s">
        <v>129</v>
      </c>
      <c r="E176" s="1" t="n">
        <v>3</v>
      </c>
      <c r="F176" s="1" t="n">
        <v>3</v>
      </c>
      <c r="G176" s="1" t="n">
        <v>7</v>
      </c>
    </row>
    <row r="177" customFormat="false" ht="14.25" hidden="false" customHeight="true" outlineLevel="0" collapsed="false">
      <c r="A177" s="1" t="n">
        <v>4378</v>
      </c>
      <c r="B177" s="1" t="s">
        <v>44</v>
      </c>
      <c r="C177" s="1" t="s">
        <v>306</v>
      </c>
      <c r="D177" s="1" t="s">
        <v>123</v>
      </c>
      <c r="E177" s="1" t="n">
        <v>3</v>
      </c>
      <c r="F177" s="1" t="n">
        <v>3</v>
      </c>
      <c r="G177" s="1" t="n">
        <v>7</v>
      </c>
    </row>
    <row r="178" customFormat="false" ht="14.25" hidden="false" customHeight="true" outlineLevel="0" collapsed="false">
      <c r="A178" s="1" t="n">
        <v>7175</v>
      </c>
      <c r="B178" s="1" t="s">
        <v>44</v>
      </c>
      <c r="C178" s="1" t="s">
        <v>307</v>
      </c>
      <c r="D178" s="1" t="s">
        <v>123</v>
      </c>
      <c r="E178" s="1" t="n">
        <v>3</v>
      </c>
      <c r="F178" s="1" t="n">
        <v>3</v>
      </c>
      <c r="G178" s="1" t="n">
        <v>7</v>
      </c>
    </row>
    <row r="179" customFormat="false" ht="14.25" hidden="false" customHeight="true" outlineLevel="0" collapsed="false">
      <c r="A179" s="1" t="n">
        <v>7540</v>
      </c>
      <c r="B179" s="1" t="s">
        <v>44</v>
      </c>
      <c r="C179" s="1" t="s">
        <v>308</v>
      </c>
      <c r="D179" s="1" t="s">
        <v>152</v>
      </c>
      <c r="E179" s="1" t="n">
        <v>3</v>
      </c>
      <c r="F179" s="1" t="n">
        <v>3</v>
      </c>
      <c r="G179" s="1" t="n">
        <v>7</v>
      </c>
    </row>
    <row r="180" customFormat="false" ht="14.25" hidden="false" customHeight="true" outlineLevel="0" collapsed="false">
      <c r="A180" s="1" t="n">
        <v>5757</v>
      </c>
      <c r="B180" s="1" t="s">
        <v>44</v>
      </c>
      <c r="C180" s="1" t="s">
        <v>309</v>
      </c>
      <c r="D180" s="1" t="s">
        <v>152</v>
      </c>
      <c r="E180" s="1" t="n">
        <v>3</v>
      </c>
      <c r="F180" s="1" t="n">
        <v>3</v>
      </c>
      <c r="G180" s="1" t="n">
        <v>8</v>
      </c>
    </row>
    <row r="181" customFormat="false" ht="14.25" hidden="false" customHeight="true" outlineLevel="0" collapsed="false">
      <c r="A181" s="1" t="n">
        <v>7012</v>
      </c>
      <c r="B181" s="1" t="s">
        <v>44</v>
      </c>
      <c r="C181" s="1" t="s">
        <v>310</v>
      </c>
      <c r="D181" s="1" t="s">
        <v>133</v>
      </c>
      <c r="E181" s="1" t="n">
        <v>3</v>
      </c>
      <c r="F181" s="1" t="n">
        <v>3</v>
      </c>
      <c r="G181" s="1" t="n">
        <v>10</v>
      </c>
    </row>
    <row r="182" customFormat="false" ht="14.25" hidden="false" customHeight="true" outlineLevel="0" collapsed="false">
      <c r="A182" s="1" t="n">
        <v>7131</v>
      </c>
      <c r="B182" s="1" t="s">
        <v>44</v>
      </c>
      <c r="C182" s="1" t="s">
        <v>311</v>
      </c>
      <c r="D182" s="1" t="s">
        <v>133</v>
      </c>
      <c r="E182" s="1" t="n">
        <v>3</v>
      </c>
      <c r="F182" s="1" t="n">
        <v>3</v>
      </c>
      <c r="G182" s="1" t="n">
        <v>12</v>
      </c>
    </row>
    <row r="183" customFormat="false" ht="14.25" hidden="false" customHeight="true" outlineLevel="0" collapsed="false">
      <c r="A183" s="1" t="n">
        <v>5739</v>
      </c>
      <c r="B183" s="1" t="s">
        <v>44</v>
      </c>
      <c r="C183" s="1" t="s">
        <v>312</v>
      </c>
      <c r="D183" s="1" t="s">
        <v>121</v>
      </c>
      <c r="E183" s="1" t="n">
        <v>3</v>
      </c>
      <c r="F183" s="1" t="n">
        <v>3</v>
      </c>
      <c r="G183" s="1" t="n">
        <v>12</v>
      </c>
    </row>
    <row r="184" customFormat="false" ht="14.25" hidden="false" customHeight="true" outlineLevel="0" collapsed="false">
      <c r="A184" s="1" t="n">
        <v>7211</v>
      </c>
      <c r="B184" s="1" t="s">
        <v>44</v>
      </c>
      <c r="C184" s="1" t="s">
        <v>313</v>
      </c>
      <c r="D184" s="1" t="s">
        <v>121</v>
      </c>
      <c r="E184" s="1" t="n">
        <v>3</v>
      </c>
      <c r="F184" s="1" t="n">
        <v>3</v>
      </c>
      <c r="G184" s="1" t="n">
        <v>8</v>
      </c>
    </row>
    <row r="185" customFormat="false" ht="14.25" hidden="false" customHeight="true" outlineLevel="0" collapsed="false">
      <c r="A185" s="1" t="n">
        <v>5273</v>
      </c>
      <c r="B185" s="1" t="s">
        <v>44</v>
      </c>
      <c r="C185" s="1" t="s">
        <v>314</v>
      </c>
      <c r="D185" s="1" t="s">
        <v>121</v>
      </c>
      <c r="E185" s="1" t="n">
        <v>3</v>
      </c>
      <c r="F185" s="1" t="n">
        <v>3</v>
      </c>
      <c r="G185" s="1" t="n">
        <v>9</v>
      </c>
    </row>
    <row r="186" customFormat="false" ht="14.25" hidden="false" customHeight="true" outlineLevel="0" collapsed="false">
      <c r="A186" s="1" t="n">
        <v>7238</v>
      </c>
      <c r="B186" s="1" t="s">
        <v>44</v>
      </c>
      <c r="C186" s="1" t="s">
        <v>315</v>
      </c>
      <c r="D186" s="1" t="s">
        <v>149</v>
      </c>
      <c r="E186" s="1" t="n">
        <v>3</v>
      </c>
      <c r="F186" s="1" t="n">
        <v>3</v>
      </c>
      <c r="G186" s="1" t="n">
        <v>9</v>
      </c>
    </row>
    <row r="187" customFormat="false" ht="14.25" hidden="false" customHeight="true" outlineLevel="0" collapsed="false">
      <c r="A187" s="1" t="n">
        <v>4925</v>
      </c>
      <c r="B187" s="1" t="s">
        <v>44</v>
      </c>
      <c r="C187" s="1" t="s">
        <v>316</v>
      </c>
      <c r="D187" s="1" t="s">
        <v>149</v>
      </c>
      <c r="E187" s="1" t="n">
        <v>3</v>
      </c>
      <c r="F187" s="1" t="n">
        <v>3</v>
      </c>
      <c r="G187" s="1" t="n">
        <v>9</v>
      </c>
    </row>
    <row r="188" customFormat="false" ht="14.25" hidden="false" customHeight="true" outlineLevel="0" collapsed="false">
      <c r="A188" s="1" t="n">
        <v>7235</v>
      </c>
      <c r="B188" s="1" t="s">
        <v>44</v>
      </c>
      <c r="C188" s="1" t="s">
        <v>317</v>
      </c>
      <c r="D188" s="1" t="s">
        <v>141</v>
      </c>
      <c r="E188" s="1" t="n">
        <v>3</v>
      </c>
      <c r="F188" s="1" t="n">
        <v>3</v>
      </c>
      <c r="G188" s="1" t="n">
        <v>8</v>
      </c>
    </row>
    <row r="189" customFormat="false" ht="14.25" hidden="false" customHeight="true" outlineLevel="0" collapsed="false">
      <c r="A189" s="1" t="n">
        <v>7255</v>
      </c>
      <c r="B189" s="1" t="s">
        <v>44</v>
      </c>
      <c r="C189" s="1" t="s">
        <v>318</v>
      </c>
      <c r="D189" s="1" t="s">
        <v>141</v>
      </c>
      <c r="E189" s="1" t="n">
        <v>3</v>
      </c>
      <c r="F189" s="1" t="n">
        <v>3</v>
      </c>
      <c r="G189" s="1" t="n">
        <v>10</v>
      </c>
    </row>
    <row r="190" customFormat="false" ht="14.25" hidden="false" customHeight="true" outlineLevel="0" collapsed="false">
      <c r="A190" s="1" t="n">
        <v>6985</v>
      </c>
      <c r="B190" s="1" t="s">
        <v>44</v>
      </c>
      <c r="C190" s="1" t="s">
        <v>319</v>
      </c>
      <c r="D190" s="1" t="s">
        <v>144</v>
      </c>
      <c r="E190" s="1" t="n">
        <v>3</v>
      </c>
      <c r="F190" s="1" t="n">
        <v>3</v>
      </c>
      <c r="G190" s="1" t="n">
        <v>12</v>
      </c>
    </row>
    <row r="191" customFormat="false" ht="14.25" hidden="false" customHeight="true" outlineLevel="0" collapsed="false">
      <c r="A191" s="1" t="n">
        <v>6892</v>
      </c>
      <c r="B191" s="1" t="s">
        <v>44</v>
      </c>
      <c r="C191" s="1" t="s">
        <v>320</v>
      </c>
      <c r="D191" s="1" t="s">
        <v>147</v>
      </c>
      <c r="E191" s="1" t="n">
        <v>3</v>
      </c>
      <c r="F191" s="1" t="n">
        <v>3</v>
      </c>
      <c r="G191" s="1" t="n">
        <v>7</v>
      </c>
    </row>
    <row r="192" customFormat="false" ht="14.25" hidden="false" customHeight="true" outlineLevel="0" collapsed="false">
      <c r="A192" s="1" t="n">
        <v>6673</v>
      </c>
      <c r="B192" s="1" t="s">
        <v>44</v>
      </c>
      <c r="C192" s="1" t="s">
        <v>321</v>
      </c>
      <c r="D192" s="1" t="s">
        <v>147</v>
      </c>
      <c r="E192" s="1" t="n">
        <v>3</v>
      </c>
      <c r="F192" s="1" t="n">
        <v>3</v>
      </c>
      <c r="G192" s="1" t="n">
        <v>7</v>
      </c>
    </row>
    <row r="193" customFormat="false" ht="14.25" hidden="false" customHeight="true" outlineLevel="0" collapsed="false">
      <c r="A193" s="1" t="n">
        <v>6821</v>
      </c>
      <c r="B193" s="1" t="s">
        <v>44</v>
      </c>
      <c r="C193" s="1" t="s">
        <v>322</v>
      </c>
      <c r="D193" s="1" t="s">
        <v>147</v>
      </c>
      <c r="E193" s="1" t="n">
        <v>3</v>
      </c>
      <c r="F193" s="1" t="n">
        <v>3</v>
      </c>
      <c r="G193" s="1" t="n">
        <v>7</v>
      </c>
    </row>
    <row r="194" customFormat="false" ht="14.25" hidden="false" customHeight="true" outlineLevel="0" collapsed="false">
      <c r="A194" s="1" t="n">
        <v>7326</v>
      </c>
      <c r="B194" s="1" t="s">
        <v>44</v>
      </c>
      <c r="C194" s="1" t="s">
        <v>323</v>
      </c>
      <c r="D194" s="1" t="s">
        <v>127</v>
      </c>
      <c r="E194" s="1" t="n">
        <v>2</v>
      </c>
      <c r="F194" s="1" t="n">
        <v>2</v>
      </c>
      <c r="G194" s="1" t="n">
        <v>5</v>
      </c>
    </row>
    <row r="195" customFormat="false" ht="14.25" hidden="false" customHeight="true" outlineLevel="0" collapsed="false">
      <c r="A195" s="1" t="n">
        <v>7483</v>
      </c>
      <c r="B195" s="1" t="s">
        <v>44</v>
      </c>
      <c r="C195" s="1" t="s">
        <v>324</v>
      </c>
      <c r="D195" s="1" t="s">
        <v>127</v>
      </c>
      <c r="E195" s="1" t="n">
        <v>2</v>
      </c>
      <c r="F195" s="1" t="n">
        <v>2</v>
      </c>
      <c r="G195" s="1" t="n">
        <v>6</v>
      </c>
    </row>
    <row r="196" customFormat="false" ht="14.25" hidden="false" customHeight="true" outlineLevel="0" collapsed="false">
      <c r="A196" s="1" t="n">
        <v>6896</v>
      </c>
      <c r="B196" s="1" t="s">
        <v>44</v>
      </c>
      <c r="C196" s="1" t="s">
        <v>325</v>
      </c>
      <c r="D196" s="1" t="s">
        <v>119</v>
      </c>
      <c r="E196" s="1" t="n">
        <v>2</v>
      </c>
      <c r="F196" s="1" t="n">
        <v>2</v>
      </c>
      <c r="G196" s="1" t="n">
        <v>5</v>
      </c>
    </row>
    <row r="197" customFormat="false" ht="14.25" hidden="false" customHeight="true" outlineLevel="0" collapsed="false">
      <c r="A197" s="1" t="n">
        <v>6977</v>
      </c>
      <c r="B197" s="1" t="s">
        <v>44</v>
      </c>
      <c r="C197" s="1" t="s">
        <v>326</v>
      </c>
      <c r="D197" s="1" t="s">
        <v>137</v>
      </c>
      <c r="E197" s="1" t="n">
        <v>2</v>
      </c>
      <c r="F197" s="1" t="n">
        <v>2</v>
      </c>
      <c r="G197" s="1" t="n">
        <v>5</v>
      </c>
    </row>
    <row r="198" customFormat="false" ht="14.25" hidden="false" customHeight="true" outlineLevel="0" collapsed="false">
      <c r="A198" s="1" t="n">
        <v>7413</v>
      </c>
      <c r="B198" s="1" t="s">
        <v>44</v>
      </c>
      <c r="C198" s="1" t="s">
        <v>327</v>
      </c>
      <c r="D198" s="1" t="s">
        <v>137</v>
      </c>
      <c r="E198" s="1" t="n">
        <v>2</v>
      </c>
      <c r="F198" s="1" t="n">
        <v>2</v>
      </c>
      <c r="G198" s="1" t="n">
        <v>7</v>
      </c>
    </row>
    <row r="199" customFormat="false" ht="14.25" hidden="false" customHeight="true" outlineLevel="0" collapsed="false">
      <c r="A199" s="1" t="n">
        <v>791</v>
      </c>
      <c r="B199" s="1" t="s">
        <v>44</v>
      </c>
      <c r="C199" s="1" t="s">
        <v>328</v>
      </c>
      <c r="D199" s="1" t="s">
        <v>137</v>
      </c>
      <c r="E199" s="1" t="n">
        <v>2</v>
      </c>
      <c r="F199" s="1" t="n">
        <v>2</v>
      </c>
      <c r="G199" s="1" t="n">
        <v>5</v>
      </c>
    </row>
    <row r="200" customFormat="false" ht="14.25" hidden="false" customHeight="true" outlineLevel="0" collapsed="false">
      <c r="A200" s="1" t="n">
        <v>2263</v>
      </c>
      <c r="B200" s="1" t="s">
        <v>44</v>
      </c>
      <c r="C200" s="1" t="s">
        <v>329</v>
      </c>
      <c r="D200" s="1" t="s">
        <v>133</v>
      </c>
      <c r="E200" s="1" t="n">
        <v>2</v>
      </c>
      <c r="F200" s="1" t="n">
        <v>2</v>
      </c>
      <c r="G200" s="1" t="n">
        <v>8</v>
      </c>
    </row>
    <row r="201" customFormat="false" ht="14.25" hidden="false" customHeight="true" outlineLevel="0" collapsed="false">
      <c r="A201" s="1" t="n">
        <v>2728</v>
      </c>
      <c r="B201" s="1" t="s">
        <v>44</v>
      </c>
      <c r="C201" s="1" t="s">
        <v>330</v>
      </c>
      <c r="D201" s="1" t="s">
        <v>133</v>
      </c>
      <c r="E201" s="1" t="n">
        <v>2</v>
      </c>
      <c r="F201" s="1" t="n">
        <v>2</v>
      </c>
      <c r="G201" s="1" t="n">
        <v>5</v>
      </c>
    </row>
    <row r="202" customFormat="false" ht="14.25" hidden="false" customHeight="true" outlineLevel="0" collapsed="false">
      <c r="A202" s="1" t="n">
        <v>6883</v>
      </c>
      <c r="B202" s="1" t="s">
        <v>44</v>
      </c>
      <c r="C202" s="1" t="s">
        <v>331</v>
      </c>
      <c r="D202" s="1" t="s">
        <v>139</v>
      </c>
      <c r="E202" s="1" t="n">
        <v>2</v>
      </c>
      <c r="F202" s="1" t="n">
        <v>2</v>
      </c>
      <c r="G202" s="1" t="n">
        <v>4</v>
      </c>
    </row>
    <row r="203" customFormat="false" ht="14.25" hidden="false" customHeight="true" outlineLevel="0" collapsed="false">
      <c r="A203" s="1" t="n">
        <v>7525</v>
      </c>
      <c r="B203" s="1" t="s">
        <v>44</v>
      </c>
      <c r="C203" s="1" t="s">
        <v>332</v>
      </c>
      <c r="D203" s="1" t="s">
        <v>121</v>
      </c>
      <c r="E203" s="1" t="n">
        <v>2</v>
      </c>
      <c r="F203" s="1" t="n">
        <v>2</v>
      </c>
      <c r="G203" s="1" t="n">
        <v>4</v>
      </c>
    </row>
    <row r="204" customFormat="false" ht="14.25" hidden="false" customHeight="true" outlineLevel="0" collapsed="false">
      <c r="A204" s="1" t="n">
        <v>6638</v>
      </c>
      <c r="B204" s="1" t="s">
        <v>44</v>
      </c>
      <c r="C204" s="1" t="s">
        <v>333</v>
      </c>
      <c r="D204" s="1" t="s">
        <v>125</v>
      </c>
      <c r="E204" s="1" t="n">
        <v>2</v>
      </c>
      <c r="F204" s="1" t="n">
        <v>2</v>
      </c>
      <c r="G204" s="1" t="n">
        <v>6</v>
      </c>
    </row>
    <row r="205" customFormat="false" ht="14.25" hidden="false" customHeight="true" outlineLevel="0" collapsed="false">
      <c r="A205" s="1" t="n">
        <v>252</v>
      </c>
      <c r="B205" s="1" t="s">
        <v>44</v>
      </c>
      <c r="C205" s="1" t="s">
        <v>334</v>
      </c>
      <c r="D205" s="1" t="s">
        <v>184</v>
      </c>
      <c r="E205" s="1" t="n">
        <v>2</v>
      </c>
      <c r="F205" s="1" t="n">
        <v>2</v>
      </c>
      <c r="G205" s="1" t="n">
        <v>5</v>
      </c>
    </row>
    <row r="206" customFormat="false" ht="14.25" hidden="false" customHeight="true" outlineLevel="0" collapsed="false">
      <c r="A206" s="1" t="n">
        <v>6925</v>
      </c>
      <c r="B206" s="1" t="s">
        <v>44</v>
      </c>
      <c r="C206" s="1" t="s">
        <v>335</v>
      </c>
      <c r="D206" s="1" t="s">
        <v>135</v>
      </c>
      <c r="E206" s="1" t="n">
        <v>2</v>
      </c>
      <c r="F206" s="1" t="n">
        <v>2</v>
      </c>
      <c r="G206" s="1" t="n">
        <v>5</v>
      </c>
    </row>
    <row r="207" customFormat="false" ht="14.25" hidden="false" customHeight="true" outlineLevel="0" collapsed="false">
      <c r="A207" s="1" t="n">
        <v>5994</v>
      </c>
      <c r="B207" s="1" t="s">
        <v>44</v>
      </c>
      <c r="C207" s="1" t="s">
        <v>336</v>
      </c>
      <c r="D207" s="1" t="s">
        <v>135</v>
      </c>
      <c r="E207" s="1" t="n">
        <v>2</v>
      </c>
      <c r="F207" s="1" t="n">
        <v>2</v>
      </c>
      <c r="G207" s="1" t="n">
        <v>4</v>
      </c>
    </row>
    <row r="208" customFormat="false" ht="14.25" hidden="false" customHeight="true" outlineLevel="0" collapsed="false">
      <c r="A208" s="1" t="n">
        <v>7478</v>
      </c>
      <c r="B208" s="1" t="s">
        <v>44</v>
      </c>
      <c r="C208" s="1" t="s">
        <v>337</v>
      </c>
      <c r="D208" s="1" t="s">
        <v>147</v>
      </c>
      <c r="E208" s="1" t="n">
        <v>2</v>
      </c>
      <c r="F208" s="1" t="n">
        <v>2</v>
      </c>
      <c r="G208" s="1" t="n">
        <v>4</v>
      </c>
    </row>
    <row r="209" customFormat="false" ht="14.25" hidden="false" customHeight="true" outlineLevel="0" collapsed="false">
      <c r="A209" s="1" t="n">
        <v>6681</v>
      </c>
      <c r="B209" s="1" t="s">
        <v>44</v>
      </c>
      <c r="C209" s="1" t="s">
        <v>338</v>
      </c>
      <c r="D209" s="1" t="s">
        <v>147</v>
      </c>
      <c r="E209" s="1" t="n">
        <v>2</v>
      </c>
      <c r="F209" s="1" t="n">
        <v>2</v>
      </c>
      <c r="G209" s="1" t="n">
        <v>4</v>
      </c>
    </row>
    <row r="210" customFormat="false" ht="14.25" hidden="false" customHeight="true" outlineLevel="0" collapsed="false">
      <c r="A210" s="1" t="n">
        <v>487</v>
      </c>
      <c r="B210" s="1" t="s">
        <v>44</v>
      </c>
      <c r="C210" s="1" t="s">
        <v>339</v>
      </c>
      <c r="D210" s="1" t="s">
        <v>127</v>
      </c>
      <c r="E210" s="1" t="n">
        <v>1</v>
      </c>
      <c r="F210" s="1" t="n">
        <v>1</v>
      </c>
      <c r="G210" s="1" t="n">
        <v>4</v>
      </c>
    </row>
    <row r="211" customFormat="false" ht="14.25" hidden="false" customHeight="true" outlineLevel="0" collapsed="false">
      <c r="A211" s="1" t="n">
        <v>7346</v>
      </c>
      <c r="B211" s="1" t="s">
        <v>44</v>
      </c>
      <c r="C211" s="1" t="s">
        <v>340</v>
      </c>
      <c r="D211" s="1" t="s">
        <v>129</v>
      </c>
      <c r="E211" s="1" t="n">
        <v>1</v>
      </c>
      <c r="F211" s="1" t="n">
        <v>1</v>
      </c>
      <c r="G211" s="1" t="n">
        <v>1</v>
      </c>
    </row>
    <row r="212" customFormat="false" ht="14.25" hidden="false" customHeight="true" outlineLevel="0" collapsed="false">
      <c r="A212" s="1" t="n">
        <v>418</v>
      </c>
      <c r="B212" s="1" t="s">
        <v>44</v>
      </c>
      <c r="C212" s="1" t="s">
        <v>341</v>
      </c>
      <c r="D212" s="1" t="s">
        <v>119</v>
      </c>
      <c r="E212" s="1" t="n">
        <v>1</v>
      </c>
      <c r="F212" s="1" t="n">
        <v>1</v>
      </c>
      <c r="G212" s="1" t="n">
        <v>1</v>
      </c>
    </row>
    <row r="213" customFormat="false" ht="14.25" hidden="false" customHeight="true" outlineLevel="0" collapsed="false">
      <c r="A213" s="1" t="n">
        <v>7407</v>
      </c>
      <c r="B213" s="1" t="s">
        <v>44</v>
      </c>
      <c r="C213" s="1" t="s">
        <v>342</v>
      </c>
      <c r="D213" s="1" t="s">
        <v>119</v>
      </c>
      <c r="E213" s="1" t="n">
        <v>1</v>
      </c>
      <c r="F213" s="1" t="n">
        <v>1</v>
      </c>
      <c r="G213" s="1" t="n">
        <v>8</v>
      </c>
    </row>
    <row r="214" customFormat="false" ht="14.25" hidden="false" customHeight="true" outlineLevel="0" collapsed="false">
      <c r="A214" s="1" t="n">
        <v>5424</v>
      </c>
      <c r="B214" s="1" t="s">
        <v>44</v>
      </c>
      <c r="C214" s="1" t="s">
        <v>343</v>
      </c>
      <c r="D214" s="1" t="s">
        <v>152</v>
      </c>
      <c r="E214" s="1" t="n">
        <v>1</v>
      </c>
      <c r="F214" s="1" t="n">
        <v>1</v>
      </c>
      <c r="G214" s="1" t="n">
        <v>1</v>
      </c>
    </row>
    <row r="215" customFormat="false" ht="14.25" hidden="false" customHeight="true" outlineLevel="0" collapsed="false">
      <c r="A215" s="1" t="n">
        <v>7468</v>
      </c>
      <c r="B215" s="1" t="s">
        <v>44</v>
      </c>
      <c r="C215" s="1" t="s">
        <v>344</v>
      </c>
      <c r="D215" s="1" t="s">
        <v>152</v>
      </c>
      <c r="E215" s="1" t="n">
        <v>1</v>
      </c>
      <c r="F215" s="1" t="n">
        <v>1</v>
      </c>
      <c r="G215" s="1" t="n">
        <v>1</v>
      </c>
    </row>
    <row r="216" customFormat="false" ht="14.25" hidden="false" customHeight="true" outlineLevel="0" collapsed="false">
      <c r="A216" s="1" t="n">
        <v>7470</v>
      </c>
      <c r="B216" s="1" t="s">
        <v>44</v>
      </c>
      <c r="C216" s="1" t="s">
        <v>345</v>
      </c>
      <c r="D216" s="1" t="s">
        <v>152</v>
      </c>
      <c r="E216" s="1" t="n">
        <v>1</v>
      </c>
      <c r="F216" s="1" t="n">
        <v>1</v>
      </c>
      <c r="G216" s="1" t="n">
        <v>3</v>
      </c>
    </row>
    <row r="217" customFormat="false" ht="14.25" hidden="false" customHeight="true" outlineLevel="0" collapsed="false">
      <c r="A217" s="1" t="n">
        <v>7471</v>
      </c>
      <c r="B217" s="1" t="s">
        <v>44</v>
      </c>
      <c r="C217" s="1" t="s">
        <v>346</v>
      </c>
      <c r="D217" s="1" t="s">
        <v>152</v>
      </c>
      <c r="E217" s="1" t="n">
        <v>1</v>
      </c>
      <c r="F217" s="1" t="n">
        <v>1</v>
      </c>
      <c r="G217" s="1" t="n">
        <v>3</v>
      </c>
    </row>
    <row r="218" customFormat="false" ht="14.25" hidden="false" customHeight="true" outlineLevel="0" collapsed="false">
      <c r="A218" s="1" t="n">
        <v>6245</v>
      </c>
      <c r="B218" s="1" t="s">
        <v>44</v>
      </c>
      <c r="C218" s="1" t="s">
        <v>347</v>
      </c>
      <c r="D218" s="1" t="s">
        <v>137</v>
      </c>
      <c r="E218" s="1" t="n">
        <v>1</v>
      </c>
      <c r="F218" s="1" t="n">
        <v>1</v>
      </c>
      <c r="G218" s="1" t="n">
        <v>2</v>
      </c>
    </row>
    <row r="219" customFormat="false" ht="14.25" hidden="false" customHeight="true" outlineLevel="0" collapsed="false">
      <c r="A219" s="1" t="n">
        <v>6244</v>
      </c>
      <c r="B219" s="1" t="s">
        <v>44</v>
      </c>
      <c r="C219" s="1" t="s">
        <v>348</v>
      </c>
      <c r="D219" s="1" t="s">
        <v>137</v>
      </c>
      <c r="E219" s="1" t="n">
        <v>1</v>
      </c>
      <c r="F219" s="1" t="n">
        <v>1</v>
      </c>
      <c r="G219" s="1" t="n">
        <v>2</v>
      </c>
    </row>
    <row r="220" customFormat="false" ht="14.25" hidden="false" customHeight="true" outlineLevel="0" collapsed="false">
      <c r="A220" s="1" t="n">
        <v>294</v>
      </c>
      <c r="B220" s="1" t="s">
        <v>44</v>
      </c>
      <c r="C220" s="1" t="s">
        <v>349</v>
      </c>
      <c r="D220" s="1" t="s">
        <v>131</v>
      </c>
      <c r="E220" s="1" t="n">
        <v>1</v>
      </c>
      <c r="F220" s="1" t="n">
        <v>1</v>
      </c>
      <c r="G220" s="1" t="n">
        <v>3</v>
      </c>
    </row>
    <row r="221" customFormat="false" ht="14.25" hidden="false" customHeight="true" outlineLevel="0" collapsed="false">
      <c r="A221" s="1" t="n">
        <v>6039</v>
      </c>
      <c r="B221" s="1" t="s">
        <v>44</v>
      </c>
      <c r="C221" s="1" t="s">
        <v>350</v>
      </c>
      <c r="D221" s="1" t="s">
        <v>131</v>
      </c>
      <c r="E221" s="1" t="n">
        <v>1</v>
      </c>
      <c r="F221" s="1" t="n">
        <v>1</v>
      </c>
      <c r="G221" s="1" t="n">
        <v>4</v>
      </c>
    </row>
    <row r="222" customFormat="false" ht="14.25" hidden="false" customHeight="true" outlineLevel="0" collapsed="false">
      <c r="A222" s="1" t="n">
        <v>327</v>
      </c>
      <c r="B222" s="1" t="s">
        <v>44</v>
      </c>
      <c r="C222" s="1" t="s">
        <v>351</v>
      </c>
      <c r="D222" s="1" t="s">
        <v>133</v>
      </c>
      <c r="E222" s="1" t="n">
        <v>1</v>
      </c>
      <c r="F222" s="1" t="n">
        <v>1</v>
      </c>
      <c r="G222" s="1" t="n">
        <v>4</v>
      </c>
    </row>
    <row r="223" customFormat="false" ht="14.25" hidden="false" customHeight="true" outlineLevel="0" collapsed="false">
      <c r="A223" s="1" t="n">
        <v>7164</v>
      </c>
      <c r="B223" s="1" t="s">
        <v>44</v>
      </c>
      <c r="C223" s="1" t="s">
        <v>352</v>
      </c>
      <c r="D223" s="1" t="s">
        <v>139</v>
      </c>
      <c r="E223" s="1" t="n">
        <v>1</v>
      </c>
      <c r="F223" s="1" t="n">
        <v>1</v>
      </c>
      <c r="G223" s="1" t="n">
        <v>1</v>
      </c>
    </row>
    <row r="224" customFormat="false" ht="14.25" hidden="false" customHeight="true" outlineLevel="0" collapsed="false">
      <c r="A224" s="1" t="n">
        <v>7182</v>
      </c>
      <c r="B224" s="1" t="s">
        <v>44</v>
      </c>
      <c r="C224" s="1" t="s">
        <v>353</v>
      </c>
      <c r="D224" s="1" t="s">
        <v>139</v>
      </c>
      <c r="E224" s="1" t="n">
        <v>1</v>
      </c>
      <c r="F224" s="1" t="n">
        <v>1</v>
      </c>
      <c r="G224" s="1" t="n">
        <v>4</v>
      </c>
    </row>
    <row r="225" customFormat="false" ht="14.25" hidden="false" customHeight="true" outlineLevel="0" collapsed="false">
      <c r="A225" s="1" t="n">
        <v>5399</v>
      </c>
      <c r="B225" s="1" t="s">
        <v>44</v>
      </c>
      <c r="C225" s="1" t="s">
        <v>354</v>
      </c>
      <c r="D225" s="1" t="s">
        <v>149</v>
      </c>
      <c r="E225" s="1" t="n">
        <v>1</v>
      </c>
      <c r="F225" s="1" t="n">
        <v>1</v>
      </c>
      <c r="G225" s="1" t="n">
        <v>2</v>
      </c>
    </row>
    <row r="226" customFormat="false" ht="14.25" hidden="false" customHeight="true" outlineLevel="0" collapsed="false">
      <c r="A226" s="1" t="n">
        <v>7476</v>
      </c>
      <c r="B226" s="1" t="s">
        <v>44</v>
      </c>
      <c r="C226" s="1" t="s">
        <v>355</v>
      </c>
      <c r="D226" s="1" t="s">
        <v>149</v>
      </c>
      <c r="E226" s="1" t="n">
        <v>1</v>
      </c>
      <c r="F226" s="1" t="n">
        <v>1</v>
      </c>
      <c r="G226" s="1" t="n">
        <v>4</v>
      </c>
    </row>
    <row r="227" customFormat="false" ht="14.25" hidden="false" customHeight="true" outlineLevel="0" collapsed="false">
      <c r="A227" s="1" t="n">
        <v>6809</v>
      </c>
      <c r="B227" s="1" t="s">
        <v>44</v>
      </c>
      <c r="C227" s="1" t="s">
        <v>356</v>
      </c>
      <c r="D227" s="1" t="s">
        <v>125</v>
      </c>
      <c r="E227" s="1" t="n">
        <v>1</v>
      </c>
      <c r="F227" s="1" t="n">
        <v>1</v>
      </c>
      <c r="G227" s="1" t="n">
        <v>5</v>
      </c>
    </row>
    <row r="228" customFormat="false" ht="14.25" hidden="false" customHeight="true" outlineLevel="0" collapsed="false">
      <c r="A228" s="1" t="n">
        <v>5481</v>
      </c>
      <c r="B228" s="1" t="s">
        <v>44</v>
      </c>
      <c r="C228" s="1" t="s">
        <v>357</v>
      </c>
      <c r="D228" s="1" t="s">
        <v>125</v>
      </c>
      <c r="E228" s="1" t="n">
        <v>1</v>
      </c>
      <c r="F228" s="1" t="n">
        <v>1</v>
      </c>
      <c r="G228" s="1" t="n">
        <v>3</v>
      </c>
    </row>
    <row r="229" customFormat="false" ht="14.25" hidden="false" customHeight="true" outlineLevel="0" collapsed="false">
      <c r="A229" s="1" t="n">
        <v>7202</v>
      </c>
      <c r="B229" s="1" t="s">
        <v>44</v>
      </c>
      <c r="C229" s="1" t="s">
        <v>358</v>
      </c>
      <c r="D229" s="1" t="s">
        <v>141</v>
      </c>
      <c r="E229" s="1" t="n">
        <v>1</v>
      </c>
      <c r="F229" s="1" t="n">
        <v>1</v>
      </c>
      <c r="G229" s="1" t="n">
        <v>4</v>
      </c>
    </row>
    <row r="230" customFormat="false" ht="14.25" hidden="false" customHeight="true" outlineLevel="0" collapsed="false">
      <c r="A230" s="1" t="n">
        <v>6149</v>
      </c>
      <c r="B230" s="1" t="s">
        <v>44</v>
      </c>
      <c r="C230" s="1" t="s">
        <v>359</v>
      </c>
      <c r="D230" s="1" t="s">
        <v>141</v>
      </c>
      <c r="E230" s="1" t="n">
        <v>1</v>
      </c>
      <c r="F230" s="1" t="n">
        <v>1</v>
      </c>
      <c r="G230" s="1" t="n">
        <v>3</v>
      </c>
    </row>
    <row r="231" customFormat="false" ht="14.25" hidden="false" customHeight="true" outlineLevel="0" collapsed="false">
      <c r="A231" s="1" t="n">
        <v>7260</v>
      </c>
      <c r="B231" s="1" t="s">
        <v>44</v>
      </c>
      <c r="C231" s="1" t="s">
        <v>360</v>
      </c>
      <c r="D231" s="1" t="s">
        <v>113</v>
      </c>
      <c r="E231" s="1" t="n">
        <v>1</v>
      </c>
      <c r="F231" s="1" t="n">
        <v>1</v>
      </c>
      <c r="G231" s="1" t="n">
        <v>2</v>
      </c>
    </row>
    <row r="232" customFormat="false" ht="14.25" hidden="false" customHeight="true" outlineLevel="0" collapsed="false">
      <c r="A232" s="1" t="n">
        <v>6189</v>
      </c>
      <c r="B232" s="1" t="s">
        <v>44</v>
      </c>
      <c r="C232" s="1" t="s">
        <v>361</v>
      </c>
      <c r="D232" s="1" t="s">
        <v>144</v>
      </c>
      <c r="E232" s="1" t="n">
        <v>1</v>
      </c>
      <c r="F232" s="1" t="n">
        <v>1</v>
      </c>
      <c r="G232" s="1" t="n">
        <v>2</v>
      </c>
    </row>
    <row r="233" customFormat="false" ht="14.25" hidden="false" customHeight="true" outlineLevel="0" collapsed="false">
      <c r="A233" s="1" t="n">
        <v>7156</v>
      </c>
      <c r="B233" s="1" t="s">
        <v>44</v>
      </c>
      <c r="C233" s="1" t="s">
        <v>362</v>
      </c>
      <c r="D233" s="1" t="s">
        <v>144</v>
      </c>
      <c r="E233" s="1" t="n">
        <v>1</v>
      </c>
      <c r="F233" s="1" t="n">
        <v>1</v>
      </c>
      <c r="G233" s="1" t="n">
        <v>1</v>
      </c>
    </row>
    <row r="234" customFormat="false" ht="14.25" hidden="false" customHeight="true" outlineLevel="0" collapsed="false">
      <c r="A234" s="1" t="n">
        <v>7356</v>
      </c>
      <c r="B234" s="1" t="s">
        <v>44</v>
      </c>
      <c r="C234" s="1" t="s">
        <v>363</v>
      </c>
      <c r="D234" s="1" t="s">
        <v>135</v>
      </c>
      <c r="E234" s="1" t="n">
        <v>1</v>
      </c>
      <c r="F234" s="1" t="n">
        <v>1</v>
      </c>
      <c r="G234" s="1" t="n">
        <v>3</v>
      </c>
    </row>
    <row r="235" customFormat="false" ht="14.25" hidden="false" customHeight="true" outlineLevel="0" collapsed="false">
      <c r="A235" s="1" t="n">
        <v>6021</v>
      </c>
      <c r="B235" s="1" t="s">
        <v>44</v>
      </c>
      <c r="C235" s="1" t="s">
        <v>364</v>
      </c>
      <c r="D235" s="1" t="s">
        <v>135</v>
      </c>
      <c r="E235" s="1" t="n">
        <v>1</v>
      </c>
      <c r="F235" s="1" t="n">
        <v>1</v>
      </c>
      <c r="G235" s="1" t="n">
        <v>3</v>
      </c>
    </row>
    <row r="236" customFormat="false" ht="14.25" hidden="false" customHeight="true" outlineLevel="0" collapsed="false">
      <c r="A236" s="1" t="n">
        <v>7454</v>
      </c>
      <c r="B236" s="1" t="s">
        <v>44</v>
      </c>
      <c r="C236" s="1" t="s">
        <v>365</v>
      </c>
      <c r="D236" s="1" t="s">
        <v>147</v>
      </c>
      <c r="E236" s="1" t="n">
        <v>1</v>
      </c>
      <c r="F236" s="1" t="n">
        <v>1</v>
      </c>
      <c r="G236" s="1" t="n">
        <v>1</v>
      </c>
    </row>
    <row r="237" customFormat="false" ht="14.25" hidden="false" customHeight="true" outlineLevel="0" collapsed="false">
      <c r="A237" s="1" t="n">
        <v>6875</v>
      </c>
      <c r="B237" s="1" t="s">
        <v>45</v>
      </c>
      <c r="C237" s="1" t="s">
        <v>366</v>
      </c>
      <c r="D237" s="1" t="s">
        <v>119</v>
      </c>
      <c r="E237" s="1" t="n">
        <v>30</v>
      </c>
      <c r="F237" s="1" t="n">
        <v>30</v>
      </c>
      <c r="G237" s="1" t="n">
        <v>250</v>
      </c>
    </row>
    <row r="238" customFormat="false" ht="14.25" hidden="false" customHeight="true" outlineLevel="0" collapsed="false">
      <c r="A238" s="1" t="n">
        <v>4777</v>
      </c>
      <c r="B238" s="1" t="s">
        <v>45</v>
      </c>
      <c r="C238" s="1" t="s">
        <v>367</v>
      </c>
      <c r="D238" s="1" t="s">
        <v>125</v>
      </c>
      <c r="E238" s="1" t="n">
        <v>28</v>
      </c>
      <c r="F238" s="1" t="n">
        <v>28</v>
      </c>
      <c r="G238" s="1" t="n">
        <v>240</v>
      </c>
    </row>
    <row r="239" customFormat="false" ht="14.25" hidden="false" customHeight="true" outlineLevel="0" collapsed="false">
      <c r="A239" s="1" t="n">
        <v>2194</v>
      </c>
      <c r="B239" s="1" t="s">
        <v>45</v>
      </c>
      <c r="C239" s="1" t="s">
        <v>368</v>
      </c>
      <c r="D239" s="1" t="s">
        <v>115</v>
      </c>
      <c r="E239" s="1" t="n">
        <v>27</v>
      </c>
      <c r="F239" s="1" t="n">
        <v>27</v>
      </c>
      <c r="G239" s="1" t="n">
        <v>230</v>
      </c>
    </row>
    <row r="240" customFormat="false" ht="14.25" hidden="false" customHeight="true" outlineLevel="0" collapsed="false">
      <c r="A240" s="1" t="n">
        <v>2167</v>
      </c>
      <c r="B240" s="1" t="s">
        <v>45</v>
      </c>
      <c r="C240" s="1" t="s">
        <v>369</v>
      </c>
      <c r="D240" s="1" t="s">
        <v>127</v>
      </c>
      <c r="E240" s="1" t="n">
        <v>26</v>
      </c>
      <c r="F240" s="1" t="n">
        <v>26</v>
      </c>
      <c r="G240" s="1" t="n">
        <v>200</v>
      </c>
    </row>
    <row r="241" customFormat="false" ht="14.25" hidden="false" customHeight="true" outlineLevel="0" collapsed="false">
      <c r="A241" s="1" t="n">
        <v>2423</v>
      </c>
      <c r="B241" s="1" t="s">
        <v>45</v>
      </c>
      <c r="C241" s="1" t="s">
        <v>370</v>
      </c>
      <c r="D241" s="1" t="s">
        <v>121</v>
      </c>
      <c r="E241" s="1" t="n">
        <v>25</v>
      </c>
      <c r="F241" s="1" t="n">
        <v>25</v>
      </c>
      <c r="G241" s="1" t="n">
        <v>180</v>
      </c>
    </row>
    <row r="242" customFormat="false" ht="14.25" hidden="false" customHeight="true" outlineLevel="0" collapsed="false">
      <c r="A242" s="1" t="n">
        <v>2379</v>
      </c>
      <c r="B242" s="1" t="s">
        <v>45</v>
      </c>
      <c r="C242" s="1" t="s">
        <v>371</v>
      </c>
      <c r="D242" s="1" t="s">
        <v>121</v>
      </c>
      <c r="E242" s="1" t="n">
        <v>22</v>
      </c>
      <c r="F242" s="1" t="n">
        <v>22</v>
      </c>
      <c r="G242" s="1" t="n">
        <v>128</v>
      </c>
    </row>
    <row r="243" customFormat="false" ht="14.25" hidden="false" customHeight="true" outlineLevel="0" collapsed="false">
      <c r="A243" s="1" t="n">
        <v>7126</v>
      </c>
      <c r="B243" s="1" t="s">
        <v>45</v>
      </c>
      <c r="C243" s="1" t="s">
        <v>372</v>
      </c>
      <c r="D243" s="1" t="s">
        <v>119</v>
      </c>
      <c r="E243" s="1" t="n">
        <v>19</v>
      </c>
      <c r="F243" s="1" t="n">
        <v>19</v>
      </c>
      <c r="G243" s="1" t="n">
        <v>102</v>
      </c>
    </row>
    <row r="244" customFormat="false" ht="14.25" hidden="false" customHeight="true" outlineLevel="0" collapsed="false">
      <c r="A244" s="1" t="n">
        <v>5559</v>
      </c>
      <c r="B244" s="1" t="s">
        <v>45</v>
      </c>
      <c r="C244" s="1" t="s">
        <v>373</v>
      </c>
      <c r="D244" s="1" t="s">
        <v>119</v>
      </c>
      <c r="E244" s="1" t="n">
        <v>18</v>
      </c>
      <c r="F244" s="1" t="n">
        <v>18</v>
      </c>
      <c r="G244" s="1" t="n">
        <v>90</v>
      </c>
    </row>
    <row r="245" customFormat="false" ht="14.25" hidden="false" customHeight="true" outlineLevel="0" collapsed="false">
      <c r="A245" s="1" t="n">
        <v>2766</v>
      </c>
      <c r="B245" s="1" t="s">
        <v>45</v>
      </c>
      <c r="C245" s="1" t="s">
        <v>374</v>
      </c>
      <c r="D245" s="1" t="s">
        <v>135</v>
      </c>
      <c r="E245" s="1" t="n">
        <v>18</v>
      </c>
      <c r="F245" s="1" t="n">
        <v>18</v>
      </c>
      <c r="G245" s="1" t="n">
        <v>90</v>
      </c>
    </row>
    <row r="246" customFormat="false" ht="14.25" hidden="false" customHeight="true" outlineLevel="0" collapsed="false">
      <c r="A246" s="1" t="n">
        <v>6908</v>
      </c>
      <c r="B246" s="1" t="s">
        <v>45</v>
      </c>
      <c r="C246" s="1" t="s">
        <v>375</v>
      </c>
      <c r="D246" s="1" t="s">
        <v>123</v>
      </c>
      <c r="E246" s="1" t="n">
        <v>17</v>
      </c>
      <c r="F246" s="1" t="n">
        <v>17</v>
      </c>
      <c r="G246" s="1" t="n">
        <v>87</v>
      </c>
    </row>
    <row r="247" customFormat="false" ht="14.25" hidden="false" customHeight="true" outlineLevel="0" collapsed="false">
      <c r="A247" s="1" t="n">
        <v>1870</v>
      </c>
      <c r="B247" s="1" t="s">
        <v>45</v>
      </c>
      <c r="C247" s="1" t="s">
        <v>376</v>
      </c>
      <c r="D247" s="1" t="s">
        <v>115</v>
      </c>
      <c r="E247" s="1" t="n">
        <v>17</v>
      </c>
      <c r="F247" s="1" t="n">
        <v>17</v>
      </c>
      <c r="G247" s="1" t="n">
        <v>82</v>
      </c>
    </row>
    <row r="248" customFormat="false" ht="14.25" hidden="false" customHeight="true" outlineLevel="0" collapsed="false">
      <c r="A248" s="1" t="n">
        <v>4973</v>
      </c>
      <c r="B248" s="1" t="s">
        <v>45</v>
      </c>
      <c r="C248" s="1" t="s">
        <v>377</v>
      </c>
      <c r="D248" s="1" t="s">
        <v>131</v>
      </c>
      <c r="E248" s="1" t="n">
        <v>17</v>
      </c>
      <c r="F248" s="1" t="n">
        <v>17</v>
      </c>
      <c r="G248" s="1" t="n">
        <v>68</v>
      </c>
    </row>
    <row r="249" customFormat="false" ht="14.25" hidden="false" customHeight="true" outlineLevel="0" collapsed="false">
      <c r="A249" s="1" t="n">
        <v>632</v>
      </c>
      <c r="B249" s="1" t="s">
        <v>45</v>
      </c>
      <c r="C249" s="1" t="s">
        <v>378</v>
      </c>
      <c r="D249" s="1" t="s">
        <v>133</v>
      </c>
      <c r="E249" s="1" t="n">
        <v>16</v>
      </c>
      <c r="F249" s="1" t="n">
        <v>16</v>
      </c>
      <c r="G249" s="1" t="n">
        <v>91</v>
      </c>
    </row>
    <row r="250" customFormat="false" ht="14.25" hidden="false" customHeight="true" outlineLevel="0" collapsed="false">
      <c r="A250" s="1" t="n">
        <v>2517</v>
      </c>
      <c r="B250" s="1" t="s">
        <v>45</v>
      </c>
      <c r="C250" s="1" t="s">
        <v>379</v>
      </c>
      <c r="D250" s="1" t="s">
        <v>125</v>
      </c>
      <c r="E250" s="1" t="n">
        <v>15</v>
      </c>
      <c r="F250" s="1" t="n">
        <v>15</v>
      </c>
      <c r="G250" s="1" t="n">
        <v>100</v>
      </c>
    </row>
    <row r="251" customFormat="false" ht="14.25" hidden="false" customHeight="true" outlineLevel="0" collapsed="false">
      <c r="A251" s="1" t="n">
        <v>5687</v>
      </c>
      <c r="B251" s="1" t="s">
        <v>45</v>
      </c>
      <c r="C251" s="1" t="s">
        <v>380</v>
      </c>
      <c r="D251" s="1" t="s">
        <v>184</v>
      </c>
      <c r="E251" s="1" t="n">
        <v>14</v>
      </c>
      <c r="F251" s="1" t="n">
        <v>14</v>
      </c>
      <c r="G251" s="1" t="n">
        <v>80</v>
      </c>
    </row>
    <row r="252" customFormat="false" ht="14.25" hidden="false" customHeight="true" outlineLevel="0" collapsed="false">
      <c r="A252" s="1" t="n">
        <v>5800</v>
      </c>
      <c r="B252" s="1" t="s">
        <v>45</v>
      </c>
      <c r="C252" s="1" t="s">
        <v>381</v>
      </c>
      <c r="D252" s="1" t="s">
        <v>123</v>
      </c>
      <c r="E252" s="1" t="n">
        <v>13</v>
      </c>
      <c r="F252" s="1" t="n">
        <v>13</v>
      </c>
      <c r="G252" s="1" t="n">
        <v>61</v>
      </c>
    </row>
    <row r="253" customFormat="false" ht="14.25" hidden="false" customHeight="true" outlineLevel="0" collapsed="false">
      <c r="A253" s="1" t="n">
        <v>7314</v>
      </c>
      <c r="B253" s="1" t="s">
        <v>45</v>
      </c>
      <c r="C253" s="1" t="s">
        <v>382</v>
      </c>
      <c r="D253" s="1" t="s">
        <v>133</v>
      </c>
      <c r="E253" s="1" t="n">
        <v>13</v>
      </c>
      <c r="F253" s="1" t="n">
        <v>13</v>
      </c>
      <c r="G253" s="1" t="n">
        <v>64</v>
      </c>
    </row>
    <row r="254" customFormat="false" ht="14.25" hidden="false" customHeight="true" outlineLevel="0" collapsed="false">
      <c r="A254" s="1" t="n">
        <v>5792</v>
      </c>
      <c r="B254" s="1" t="s">
        <v>45</v>
      </c>
      <c r="C254" s="1" t="s">
        <v>383</v>
      </c>
      <c r="D254" s="1" t="s">
        <v>117</v>
      </c>
      <c r="E254" s="1" t="n">
        <v>12</v>
      </c>
      <c r="F254" s="1" t="n">
        <v>12</v>
      </c>
      <c r="G254" s="1" t="n">
        <v>45</v>
      </c>
    </row>
    <row r="255" customFormat="false" ht="14.25" hidden="false" customHeight="true" outlineLevel="0" collapsed="false">
      <c r="A255" s="1" t="n">
        <v>5119</v>
      </c>
      <c r="B255" s="1" t="s">
        <v>45</v>
      </c>
      <c r="C255" s="1" t="s">
        <v>384</v>
      </c>
      <c r="D255" s="1" t="s">
        <v>117</v>
      </c>
      <c r="E255" s="1" t="n">
        <v>12</v>
      </c>
      <c r="F255" s="1" t="n">
        <v>12</v>
      </c>
      <c r="G255" s="1" t="n">
        <v>42</v>
      </c>
    </row>
    <row r="256" customFormat="false" ht="14.25" hidden="false" customHeight="true" outlineLevel="0" collapsed="false">
      <c r="A256" s="1" t="n">
        <v>7129</v>
      </c>
      <c r="B256" s="1" t="s">
        <v>45</v>
      </c>
      <c r="C256" s="1" t="s">
        <v>385</v>
      </c>
      <c r="D256" s="1" t="s">
        <v>119</v>
      </c>
      <c r="E256" s="1" t="n">
        <v>12</v>
      </c>
      <c r="F256" s="1" t="n">
        <v>12</v>
      </c>
      <c r="G256" s="1" t="n">
        <v>32</v>
      </c>
    </row>
    <row r="257" customFormat="false" ht="14.25" hidden="false" customHeight="true" outlineLevel="0" collapsed="false">
      <c r="A257" s="1" t="n">
        <v>7436</v>
      </c>
      <c r="B257" s="1" t="s">
        <v>45</v>
      </c>
      <c r="C257" s="1" t="s">
        <v>386</v>
      </c>
      <c r="D257" s="1" t="s">
        <v>131</v>
      </c>
      <c r="E257" s="1" t="n">
        <v>12</v>
      </c>
      <c r="F257" s="1" t="n">
        <v>12</v>
      </c>
      <c r="G257" s="1" t="n">
        <v>57</v>
      </c>
    </row>
    <row r="258" customFormat="false" ht="14.25" hidden="false" customHeight="true" outlineLevel="0" collapsed="false">
      <c r="A258" s="1" t="n">
        <v>6884</v>
      </c>
      <c r="B258" s="1" t="s">
        <v>45</v>
      </c>
      <c r="C258" s="1" t="s">
        <v>387</v>
      </c>
      <c r="D258" s="1" t="s">
        <v>131</v>
      </c>
      <c r="E258" s="1" t="n">
        <v>12</v>
      </c>
      <c r="F258" s="1" t="n">
        <v>12</v>
      </c>
      <c r="G258" s="1" t="n">
        <v>60</v>
      </c>
    </row>
    <row r="259" customFormat="false" ht="14.25" hidden="false" customHeight="true" outlineLevel="0" collapsed="false">
      <c r="A259" s="1" t="n">
        <v>2606</v>
      </c>
      <c r="B259" s="1" t="s">
        <v>45</v>
      </c>
      <c r="C259" s="1" t="s">
        <v>388</v>
      </c>
      <c r="D259" s="1" t="s">
        <v>121</v>
      </c>
      <c r="E259" s="1" t="n">
        <v>12</v>
      </c>
      <c r="F259" s="1" t="n">
        <v>12</v>
      </c>
      <c r="G259" s="1" t="n">
        <v>50</v>
      </c>
    </row>
    <row r="260" customFormat="false" ht="14.25" hidden="false" customHeight="true" outlineLevel="0" collapsed="false">
      <c r="A260" s="1" t="n">
        <v>6844</v>
      </c>
      <c r="B260" s="1" t="s">
        <v>45</v>
      </c>
      <c r="C260" s="1" t="s">
        <v>389</v>
      </c>
      <c r="D260" s="1" t="s">
        <v>127</v>
      </c>
      <c r="E260" s="1" t="n">
        <v>11</v>
      </c>
      <c r="F260" s="1" t="n">
        <v>11</v>
      </c>
      <c r="G260" s="1" t="n">
        <v>37</v>
      </c>
    </row>
    <row r="261" customFormat="false" ht="14.25" hidden="false" customHeight="true" outlineLevel="0" collapsed="false">
      <c r="A261" s="1" t="n">
        <v>5823</v>
      </c>
      <c r="B261" s="1" t="s">
        <v>45</v>
      </c>
      <c r="C261" s="1" t="s">
        <v>390</v>
      </c>
      <c r="D261" s="1" t="s">
        <v>137</v>
      </c>
      <c r="E261" s="1" t="n">
        <v>11</v>
      </c>
      <c r="F261" s="1" t="n">
        <v>11</v>
      </c>
      <c r="G261" s="1" t="n">
        <v>30</v>
      </c>
    </row>
    <row r="262" customFormat="false" ht="14.25" hidden="false" customHeight="true" outlineLevel="0" collapsed="false">
      <c r="A262" s="1" t="n">
        <v>4220</v>
      </c>
      <c r="B262" s="1" t="s">
        <v>45</v>
      </c>
      <c r="C262" s="1" t="s">
        <v>391</v>
      </c>
      <c r="D262" s="1" t="s">
        <v>125</v>
      </c>
      <c r="E262" s="1" t="n">
        <v>11</v>
      </c>
      <c r="F262" s="1" t="n">
        <v>11</v>
      </c>
      <c r="G262" s="1" t="n">
        <v>55</v>
      </c>
    </row>
    <row r="263" customFormat="false" ht="14.25" hidden="false" customHeight="true" outlineLevel="0" collapsed="false">
      <c r="A263" s="1" t="n">
        <v>6151</v>
      </c>
      <c r="B263" s="1" t="s">
        <v>45</v>
      </c>
      <c r="C263" s="1" t="s">
        <v>392</v>
      </c>
      <c r="D263" s="1" t="s">
        <v>119</v>
      </c>
      <c r="E263" s="1" t="n">
        <v>10</v>
      </c>
      <c r="F263" s="1" t="n">
        <v>10</v>
      </c>
      <c r="G263" s="1" t="n">
        <v>38</v>
      </c>
    </row>
    <row r="264" customFormat="false" ht="14.25" hidden="false" customHeight="true" outlineLevel="0" collapsed="false">
      <c r="A264" s="1" t="n">
        <v>152</v>
      </c>
      <c r="B264" s="1" t="s">
        <v>45</v>
      </c>
      <c r="C264" s="1" t="s">
        <v>393</v>
      </c>
      <c r="D264" s="1" t="s">
        <v>115</v>
      </c>
      <c r="E264" s="1" t="n">
        <v>10</v>
      </c>
      <c r="F264" s="1" t="n">
        <v>10</v>
      </c>
      <c r="G264" s="1" t="n">
        <v>41</v>
      </c>
    </row>
    <row r="265" customFormat="false" ht="14.25" hidden="false" customHeight="true" outlineLevel="0" collapsed="false">
      <c r="A265" s="1" t="n">
        <v>5562</v>
      </c>
      <c r="B265" s="1" t="s">
        <v>45</v>
      </c>
      <c r="C265" s="1" t="s">
        <v>394</v>
      </c>
      <c r="D265" s="1" t="s">
        <v>131</v>
      </c>
      <c r="E265" s="1" t="n">
        <v>10</v>
      </c>
      <c r="F265" s="1" t="n">
        <v>10</v>
      </c>
      <c r="G265" s="1" t="n">
        <v>41</v>
      </c>
    </row>
    <row r="266" customFormat="false" ht="14.25" hidden="false" customHeight="true" outlineLevel="0" collapsed="false">
      <c r="A266" s="1" t="n">
        <v>4892</v>
      </c>
      <c r="B266" s="1" t="s">
        <v>45</v>
      </c>
      <c r="C266" s="1" t="s">
        <v>395</v>
      </c>
      <c r="D266" s="1" t="s">
        <v>121</v>
      </c>
      <c r="E266" s="1" t="n">
        <v>10</v>
      </c>
      <c r="F266" s="1" t="n">
        <v>10</v>
      </c>
      <c r="G266" s="1" t="n">
        <v>43</v>
      </c>
    </row>
    <row r="267" customFormat="false" ht="14.25" hidden="false" customHeight="true" outlineLevel="0" collapsed="false">
      <c r="A267" s="1" t="n">
        <v>536</v>
      </c>
      <c r="B267" s="1" t="s">
        <v>45</v>
      </c>
      <c r="C267" s="1" t="s">
        <v>396</v>
      </c>
      <c r="D267" s="1" t="s">
        <v>125</v>
      </c>
      <c r="E267" s="1" t="n">
        <v>10</v>
      </c>
      <c r="F267" s="1" t="n">
        <v>10</v>
      </c>
      <c r="G267" s="1" t="n">
        <v>47</v>
      </c>
    </row>
    <row r="268" customFormat="false" ht="14.25" hidden="false" customHeight="true" outlineLevel="0" collapsed="false">
      <c r="A268" s="1" t="n">
        <v>5589</v>
      </c>
      <c r="B268" s="1" t="s">
        <v>45</v>
      </c>
      <c r="C268" s="1" t="s">
        <v>397</v>
      </c>
      <c r="D268" s="1" t="s">
        <v>113</v>
      </c>
      <c r="E268" s="1" t="n">
        <v>10</v>
      </c>
      <c r="F268" s="1" t="n">
        <v>10</v>
      </c>
      <c r="G268" s="1" t="n">
        <v>42</v>
      </c>
    </row>
    <row r="269" customFormat="false" ht="14.25" hidden="false" customHeight="true" outlineLevel="0" collapsed="false">
      <c r="A269" s="1" t="n">
        <v>5844</v>
      </c>
      <c r="B269" s="1" t="s">
        <v>45</v>
      </c>
      <c r="C269" s="1" t="s">
        <v>398</v>
      </c>
      <c r="D269" s="1" t="s">
        <v>144</v>
      </c>
      <c r="E269" s="1" t="n">
        <v>10</v>
      </c>
      <c r="F269" s="1" t="n">
        <v>10</v>
      </c>
      <c r="G269" s="1" t="n">
        <v>41</v>
      </c>
    </row>
    <row r="270" customFormat="false" ht="14.25" hidden="false" customHeight="true" outlineLevel="0" collapsed="false">
      <c r="A270" s="1" t="n">
        <v>5888</v>
      </c>
      <c r="B270" s="1" t="s">
        <v>45</v>
      </c>
      <c r="C270" s="1" t="s">
        <v>399</v>
      </c>
      <c r="D270" s="1" t="s">
        <v>184</v>
      </c>
      <c r="E270" s="1" t="n">
        <v>10</v>
      </c>
      <c r="F270" s="1" t="n">
        <v>10</v>
      </c>
      <c r="G270" s="1" t="n">
        <v>37</v>
      </c>
    </row>
    <row r="271" customFormat="false" ht="14.25" hidden="false" customHeight="true" outlineLevel="0" collapsed="false">
      <c r="A271" s="1" t="n">
        <v>6684</v>
      </c>
      <c r="B271" s="1" t="s">
        <v>45</v>
      </c>
      <c r="C271" s="1" t="s">
        <v>400</v>
      </c>
      <c r="D271" s="1" t="s">
        <v>135</v>
      </c>
      <c r="E271" s="1" t="n">
        <v>10</v>
      </c>
      <c r="F271" s="1" t="n">
        <v>10</v>
      </c>
      <c r="G271" s="1" t="n">
        <v>41</v>
      </c>
    </row>
    <row r="272" customFormat="false" ht="14.25" hidden="false" customHeight="true" outlineLevel="0" collapsed="false">
      <c r="A272" s="1" t="n">
        <v>2077</v>
      </c>
      <c r="B272" s="1" t="s">
        <v>45</v>
      </c>
      <c r="C272" s="1" t="s">
        <v>401</v>
      </c>
      <c r="D272" s="1" t="s">
        <v>117</v>
      </c>
      <c r="E272" s="1" t="n">
        <v>9</v>
      </c>
      <c r="F272" s="1" t="n">
        <v>9</v>
      </c>
      <c r="G272" s="1" t="n">
        <v>32</v>
      </c>
    </row>
    <row r="273" customFormat="false" ht="14.25" hidden="false" customHeight="true" outlineLevel="0" collapsed="false">
      <c r="A273" s="1" t="n">
        <v>184</v>
      </c>
      <c r="B273" s="1" t="s">
        <v>45</v>
      </c>
      <c r="C273" s="1" t="s">
        <v>402</v>
      </c>
      <c r="D273" s="1" t="s">
        <v>127</v>
      </c>
      <c r="E273" s="1" t="n">
        <v>9</v>
      </c>
      <c r="F273" s="1" t="n">
        <v>9</v>
      </c>
      <c r="G273" s="1" t="n">
        <v>21</v>
      </c>
    </row>
    <row r="274" customFormat="false" ht="14.25" hidden="false" customHeight="true" outlineLevel="0" collapsed="false">
      <c r="A274" s="1" t="n">
        <v>1933</v>
      </c>
      <c r="B274" s="1" t="s">
        <v>45</v>
      </c>
      <c r="C274" s="1" t="s">
        <v>403</v>
      </c>
      <c r="D274" s="1" t="s">
        <v>123</v>
      </c>
      <c r="E274" s="1" t="n">
        <v>9</v>
      </c>
      <c r="F274" s="1" t="n">
        <v>9</v>
      </c>
      <c r="G274" s="1" t="n">
        <v>28</v>
      </c>
    </row>
    <row r="275" customFormat="false" ht="14.25" hidden="false" customHeight="true" outlineLevel="0" collapsed="false">
      <c r="A275" s="1" t="n">
        <v>5500</v>
      </c>
      <c r="B275" s="1" t="s">
        <v>45</v>
      </c>
      <c r="C275" s="1" t="s">
        <v>404</v>
      </c>
      <c r="D275" s="1" t="s">
        <v>133</v>
      </c>
      <c r="E275" s="1" t="n">
        <v>9</v>
      </c>
      <c r="F275" s="1" t="n">
        <v>9</v>
      </c>
      <c r="G275" s="1" t="n">
        <v>28</v>
      </c>
    </row>
    <row r="276" customFormat="false" ht="14.25" hidden="false" customHeight="true" outlineLevel="0" collapsed="false">
      <c r="A276" s="1" t="n">
        <v>6398</v>
      </c>
      <c r="B276" s="1" t="s">
        <v>45</v>
      </c>
      <c r="C276" s="1" t="s">
        <v>405</v>
      </c>
      <c r="D276" s="1" t="s">
        <v>133</v>
      </c>
      <c r="E276" s="1" t="n">
        <v>9</v>
      </c>
      <c r="F276" s="1" t="n">
        <v>9</v>
      </c>
      <c r="G276" s="1" t="n">
        <v>25</v>
      </c>
    </row>
    <row r="277" customFormat="false" ht="14.25" hidden="false" customHeight="true" outlineLevel="0" collapsed="false">
      <c r="A277" s="1" t="n">
        <v>6717</v>
      </c>
      <c r="B277" s="1" t="s">
        <v>45</v>
      </c>
      <c r="C277" s="1" t="s">
        <v>406</v>
      </c>
      <c r="D277" s="1" t="s">
        <v>144</v>
      </c>
      <c r="E277" s="1" t="n">
        <v>9</v>
      </c>
      <c r="F277" s="1" t="n">
        <v>9</v>
      </c>
      <c r="G277" s="1" t="n">
        <v>20</v>
      </c>
    </row>
    <row r="278" customFormat="false" ht="14.25" hidden="false" customHeight="true" outlineLevel="0" collapsed="false">
      <c r="A278" s="1" t="n">
        <v>2765</v>
      </c>
      <c r="B278" s="1" t="s">
        <v>45</v>
      </c>
      <c r="C278" s="1" t="s">
        <v>407</v>
      </c>
      <c r="D278" s="1" t="s">
        <v>127</v>
      </c>
      <c r="E278" s="1" t="n">
        <v>8</v>
      </c>
      <c r="F278" s="1" t="n">
        <v>8</v>
      </c>
      <c r="G278" s="1" t="n">
        <v>22</v>
      </c>
    </row>
    <row r="279" customFormat="false" ht="14.25" hidden="false" customHeight="true" outlineLevel="0" collapsed="false">
      <c r="A279" s="1" t="n">
        <v>4436</v>
      </c>
      <c r="B279" s="1" t="s">
        <v>45</v>
      </c>
      <c r="C279" s="1" t="s">
        <v>408</v>
      </c>
      <c r="D279" s="1" t="s">
        <v>127</v>
      </c>
      <c r="E279" s="1" t="n">
        <v>8</v>
      </c>
      <c r="F279" s="1" t="n">
        <v>8</v>
      </c>
      <c r="G279" s="1" t="n">
        <v>25</v>
      </c>
    </row>
    <row r="280" customFormat="false" ht="14.25" hidden="false" customHeight="true" outlineLevel="0" collapsed="false">
      <c r="A280" s="1" t="n">
        <v>4465</v>
      </c>
      <c r="B280" s="1" t="s">
        <v>45</v>
      </c>
      <c r="C280" s="1" t="s">
        <v>409</v>
      </c>
      <c r="D280" s="1" t="s">
        <v>123</v>
      </c>
      <c r="E280" s="1" t="n">
        <v>8</v>
      </c>
      <c r="F280" s="1" t="n">
        <v>8</v>
      </c>
      <c r="G280" s="1" t="n">
        <v>23</v>
      </c>
    </row>
    <row r="281" customFormat="false" ht="14.25" hidden="false" customHeight="true" outlineLevel="0" collapsed="false">
      <c r="A281" s="1" t="n">
        <v>6294</v>
      </c>
      <c r="B281" s="1" t="s">
        <v>45</v>
      </c>
      <c r="C281" s="1" t="s">
        <v>410</v>
      </c>
      <c r="D281" s="1" t="s">
        <v>123</v>
      </c>
      <c r="E281" s="1" t="n">
        <v>8</v>
      </c>
      <c r="F281" s="1" t="n">
        <v>8</v>
      </c>
      <c r="G281" s="1" t="n">
        <v>25</v>
      </c>
    </row>
    <row r="282" customFormat="false" ht="14.25" hidden="false" customHeight="true" outlineLevel="0" collapsed="false">
      <c r="A282" s="1" t="n">
        <v>6274</v>
      </c>
      <c r="B282" s="1" t="s">
        <v>45</v>
      </c>
      <c r="C282" s="1" t="s">
        <v>411</v>
      </c>
      <c r="D282" s="1" t="s">
        <v>115</v>
      </c>
      <c r="E282" s="1" t="n">
        <v>8</v>
      </c>
      <c r="F282" s="1" t="n">
        <v>8</v>
      </c>
      <c r="G282" s="1" t="n">
        <v>37</v>
      </c>
    </row>
    <row r="283" customFormat="false" ht="14.25" hidden="false" customHeight="true" outlineLevel="0" collapsed="false">
      <c r="A283" s="1" t="n">
        <v>7070</v>
      </c>
      <c r="B283" s="1" t="s">
        <v>45</v>
      </c>
      <c r="C283" s="1" t="s">
        <v>412</v>
      </c>
      <c r="D283" s="1" t="s">
        <v>115</v>
      </c>
      <c r="E283" s="1" t="n">
        <v>8</v>
      </c>
      <c r="F283" s="1" t="n">
        <v>8</v>
      </c>
      <c r="G283" s="1" t="n">
        <v>26</v>
      </c>
    </row>
    <row r="284" customFormat="false" ht="14.25" hidden="false" customHeight="true" outlineLevel="0" collapsed="false">
      <c r="A284" s="1" t="n">
        <v>827</v>
      </c>
      <c r="B284" s="1" t="s">
        <v>45</v>
      </c>
      <c r="C284" s="1" t="s">
        <v>413</v>
      </c>
      <c r="D284" s="1" t="s">
        <v>131</v>
      </c>
      <c r="E284" s="1" t="n">
        <v>8</v>
      </c>
      <c r="F284" s="1" t="n">
        <v>8</v>
      </c>
      <c r="G284" s="1" t="n">
        <v>32</v>
      </c>
    </row>
    <row r="285" customFormat="false" ht="14.25" hidden="false" customHeight="true" outlineLevel="0" collapsed="false">
      <c r="A285" s="1" t="n">
        <v>5878</v>
      </c>
      <c r="B285" s="1" t="s">
        <v>45</v>
      </c>
      <c r="C285" s="1" t="s">
        <v>414</v>
      </c>
      <c r="D285" s="1" t="s">
        <v>149</v>
      </c>
      <c r="E285" s="1" t="n">
        <v>8</v>
      </c>
      <c r="F285" s="1" t="n">
        <v>8</v>
      </c>
      <c r="G285" s="1" t="n">
        <v>25</v>
      </c>
    </row>
    <row r="286" customFormat="false" ht="14.25" hidden="false" customHeight="true" outlineLevel="0" collapsed="false">
      <c r="A286" s="1" t="n">
        <v>7223</v>
      </c>
      <c r="B286" s="1" t="s">
        <v>45</v>
      </c>
      <c r="C286" s="1" t="s">
        <v>415</v>
      </c>
      <c r="D286" s="1" t="s">
        <v>125</v>
      </c>
      <c r="E286" s="1" t="n">
        <v>8</v>
      </c>
      <c r="F286" s="1" t="n">
        <v>8</v>
      </c>
      <c r="G286" s="1" t="n">
        <v>34</v>
      </c>
    </row>
    <row r="287" customFormat="false" ht="14.25" hidden="false" customHeight="true" outlineLevel="0" collapsed="false">
      <c r="A287" s="1" t="n">
        <v>779</v>
      </c>
      <c r="B287" s="1" t="s">
        <v>45</v>
      </c>
      <c r="C287" s="1" t="s">
        <v>416</v>
      </c>
      <c r="D287" s="1" t="s">
        <v>113</v>
      </c>
      <c r="E287" s="1" t="n">
        <v>8</v>
      </c>
      <c r="F287" s="1" t="n">
        <v>8</v>
      </c>
      <c r="G287" s="1" t="n">
        <v>29</v>
      </c>
    </row>
    <row r="288" customFormat="false" ht="14.25" hidden="false" customHeight="true" outlineLevel="0" collapsed="false">
      <c r="A288" s="1" t="n">
        <v>4364</v>
      </c>
      <c r="B288" s="1" t="s">
        <v>45</v>
      </c>
      <c r="C288" s="1" t="s">
        <v>417</v>
      </c>
      <c r="D288" s="1" t="s">
        <v>117</v>
      </c>
      <c r="E288" s="1" t="n">
        <v>7</v>
      </c>
      <c r="F288" s="1" t="n">
        <v>7</v>
      </c>
      <c r="G288" s="1" t="n">
        <v>24</v>
      </c>
    </row>
    <row r="289" customFormat="false" ht="14.25" hidden="false" customHeight="true" outlineLevel="0" collapsed="false">
      <c r="A289" s="1" t="n">
        <v>5858</v>
      </c>
      <c r="B289" s="1" t="s">
        <v>45</v>
      </c>
      <c r="C289" s="1" t="s">
        <v>418</v>
      </c>
      <c r="D289" s="1" t="s">
        <v>127</v>
      </c>
      <c r="E289" s="1" t="n">
        <v>7</v>
      </c>
      <c r="F289" s="1" t="n">
        <v>7</v>
      </c>
      <c r="G289" s="1" t="n">
        <v>18</v>
      </c>
    </row>
    <row r="290" customFormat="false" ht="14.25" hidden="false" customHeight="true" outlineLevel="0" collapsed="false">
      <c r="A290" s="1" t="n">
        <v>6010</v>
      </c>
      <c r="B290" s="1" t="s">
        <v>45</v>
      </c>
      <c r="C290" s="1" t="s">
        <v>419</v>
      </c>
      <c r="D290" s="1" t="s">
        <v>129</v>
      </c>
      <c r="E290" s="1" t="n">
        <v>7</v>
      </c>
      <c r="F290" s="1" t="n">
        <v>7</v>
      </c>
      <c r="G290" s="1" t="n">
        <v>19</v>
      </c>
    </row>
    <row r="291" customFormat="false" ht="14.25" hidden="false" customHeight="true" outlineLevel="0" collapsed="false">
      <c r="A291" s="1" t="n">
        <v>7472</v>
      </c>
      <c r="B291" s="1" t="s">
        <v>45</v>
      </c>
      <c r="C291" s="1" t="s">
        <v>420</v>
      </c>
      <c r="D291" s="1" t="s">
        <v>152</v>
      </c>
      <c r="E291" s="1" t="n">
        <v>7</v>
      </c>
      <c r="F291" s="1" t="n">
        <v>7</v>
      </c>
      <c r="G291" s="1" t="n">
        <v>25</v>
      </c>
    </row>
    <row r="292" customFormat="false" ht="14.25" hidden="false" customHeight="true" outlineLevel="0" collapsed="false">
      <c r="A292" s="1" t="n">
        <v>5791</v>
      </c>
      <c r="B292" s="1" t="s">
        <v>45</v>
      </c>
      <c r="C292" s="1" t="s">
        <v>421</v>
      </c>
      <c r="D292" s="1" t="s">
        <v>137</v>
      </c>
      <c r="E292" s="1" t="n">
        <v>7</v>
      </c>
      <c r="F292" s="1" t="n">
        <v>7</v>
      </c>
      <c r="G292" s="1" t="n">
        <v>19</v>
      </c>
    </row>
    <row r="293" customFormat="false" ht="14.25" hidden="false" customHeight="true" outlineLevel="0" collapsed="false">
      <c r="A293" s="1" t="n">
        <v>2848</v>
      </c>
      <c r="B293" s="1" t="s">
        <v>45</v>
      </c>
      <c r="C293" s="1" t="s">
        <v>422</v>
      </c>
      <c r="D293" s="1" t="s">
        <v>115</v>
      </c>
      <c r="E293" s="1" t="n">
        <v>7</v>
      </c>
      <c r="F293" s="1" t="n">
        <v>7</v>
      </c>
      <c r="G293" s="1" t="n">
        <v>13</v>
      </c>
    </row>
    <row r="294" customFormat="false" ht="14.25" hidden="false" customHeight="true" outlineLevel="0" collapsed="false">
      <c r="A294" s="1" t="n">
        <v>2741</v>
      </c>
      <c r="B294" s="1" t="s">
        <v>45</v>
      </c>
      <c r="C294" s="1" t="s">
        <v>423</v>
      </c>
      <c r="D294" s="1" t="s">
        <v>149</v>
      </c>
      <c r="E294" s="1" t="n">
        <v>7</v>
      </c>
      <c r="F294" s="1" t="n">
        <v>7</v>
      </c>
      <c r="G294" s="1" t="n">
        <v>20</v>
      </c>
    </row>
    <row r="295" customFormat="false" ht="14.25" hidden="false" customHeight="true" outlineLevel="0" collapsed="false">
      <c r="A295" s="1" t="n">
        <v>4287</v>
      </c>
      <c r="B295" s="1" t="s">
        <v>45</v>
      </c>
      <c r="C295" s="1" t="s">
        <v>424</v>
      </c>
      <c r="D295" s="1" t="s">
        <v>125</v>
      </c>
      <c r="E295" s="1" t="n">
        <v>7</v>
      </c>
      <c r="F295" s="1" t="n">
        <v>7</v>
      </c>
      <c r="G295" s="1" t="n">
        <v>20</v>
      </c>
    </row>
    <row r="296" customFormat="false" ht="14.25" hidden="false" customHeight="true" outlineLevel="0" collapsed="false">
      <c r="A296" s="1" t="n">
        <v>6666</v>
      </c>
      <c r="B296" s="1" t="s">
        <v>45</v>
      </c>
      <c r="C296" s="1" t="s">
        <v>425</v>
      </c>
      <c r="D296" s="1" t="s">
        <v>141</v>
      </c>
      <c r="E296" s="1" t="n">
        <v>7</v>
      </c>
      <c r="F296" s="1" t="n">
        <v>7</v>
      </c>
      <c r="G296" s="1" t="n">
        <v>36</v>
      </c>
    </row>
    <row r="297" customFormat="false" ht="14.25" hidden="false" customHeight="true" outlineLevel="0" collapsed="false">
      <c r="A297" s="1" t="n">
        <v>5735</v>
      </c>
      <c r="B297" s="1" t="s">
        <v>45</v>
      </c>
      <c r="C297" s="1" t="s">
        <v>426</v>
      </c>
      <c r="D297" s="1" t="s">
        <v>144</v>
      </c>
      <c r="E297" s="1" t="n">
        <v>7</v>
      </c>
      <c r="F297" s="1" t="n">
        <v>7</v>
      </c>
      <c r="G297" s="1" t="n">
        <v>23</v>
      </c>
    </row>
    <row r="298" customFormat="false" ht="14.25" hidden="false" customHeight="true" outlineLevel="0" collapsed="false">
      <c r="A298" s="1" t="n">
        <v>6218</v>
      </c>
      <c r="B298" s="1" t="s">
        <v>45</v>
      </c>
      <c r="C298" s="1" t="s">
        <v>427</v>
      </c>
      <c r="D298" s="1" t="s">
        <v>184</v>
      </c>
      <c r="E298" s="1" t="n">
        <v>7</v>
      </c>
      <c r="F298" s="1" t="n">
        <v>7</v>
      </c>
      <c r="G298" s="1" t="n">
        <v>27</v>
      </c>
    </row>
    <row r="299" customFormat="false" ht="14.25" hidden="false" customHeight="true" outlineLevel="0" collapsed="false">
      <c r="A299" s="1" t="n">
        <v>6783</v>
      </c>
      <c r="B299" s="1" t="s">
        <v>45</v>
      </c>
      <c r="C299" s="1" t="s">
        <v>428</v>
      </c>
      <c r="D299" s="1" t="s">
        <v>135</v>
      </c>
      <c r="E299" s="1" t="n">
        <v>7</v>
      </c>
      <c r="F299" s="1" t="n">
        <v>7</v>
      </c>
      <c r="G299" s="1" t="n">
        <v>23</v>
      </c>
    </row>
    <row r="300" customFormat="false" ht="14.25" hidden="false" customHeight="true" outlineLevel="0" collapsed="false">
      <c r="A300" s="1" t="n">
        <v>5422</v>
      </c>
      <c r="B300" s="1" t="s">
        <v>45</v>
      </c>
      <c r="C300" s="1" t="s">
        <v>429</v>
      </c>
      <c r="D300" s="1" t="s">
        <v>117</v>
      </c>
      <c r="E300" s="1" t="n">
        <v>6</v>
      </c>
      <c r="F300" s="1" t="n">
        <v>6</v>
      </c>
      <c r="G300" s="1" t="n">
        <v>21</v>
      </c>
    </row>
    <row r="301" customFormat="false" ht="14.25" hidden="false" customHeight="true" outlineLevel="0" collapsed="false">
      <c r="A301" s="1" t="n">
        <v>5298</v>
      </c>
      <c r="B301" s="1" t="s">
        <v>45</v>
      </c>
      <c r="C301" s="1" t="s">
        <v>430</v>
      </c>
      <c r="D301" s="1" t="s">
        <v>127</v>
      </c>
      <c r="E301" s="1" t="n">
        <v>6</v>
      </c>
      <c r="F301" s="1" t="n">
        <v>6</v>
      </c>
      <c r="G301" s="1" t="n">
        <v>14</v>
      </c>
    </row>
    <row r="302" customFormat="false" ht="14.25" hidden="false" customHeight="true" outlineLevel="0" collapsed="false">
      <c r="A302" s="1" t="n">
        <v>4870</v>
      </c>
      <c r="B302" s="1" t="s">
        <v>45</v>
      </c>
      <c r="C302" s="1" t="s">
        <v>431</v>
      </c>
      <c r="D302" s="1" t="s">
        <v>129</v>
      </c>
      <c r="E302" s="1" t="n">
        <v>6</v>
      </c>
      <c r="F302" s="1" t="n">
        <v>6</v>
      </c>
      <c r="G302" s="1" t="n">
        <v>13</v>
      </c>
    </row>
    <row r="303" customFormat="false" ht="14.25" hidden="false" customHeight="true" outlineLevel="0" collapsed="false">
      <c r="A303" s="1" t="n">
        <v>4260</v>
      </c>
      <c r="B303" s="1" t="s">
        <v>45</v>
      </c>
      <c r="C303" s="1" t="s">
        <v>432</v>
      </c>
      <c r="D303" s="1" t="s">
        <v>129</v>
      </c>
      <c r="E303" s="1" t="n">
        <v>6</v>
      </c>
      <c r="F303" s="1" t="n">
        <v>6</v>
      </c>
      <c r="G303" s="1" t="n">
        <v>14</v>
      </c>
    </row>
    <row r="304" customFormat="false" ht="14.25" hidden="false" customHeight="true" outlineLevel="0" collapsed="false">
      <c r="A304" s="1" t="n">
        <v>5036</v>
      </c>
      <c r="B304" s="1" t="s">
        <v>45</v>
      </c>
      <c r="C304" s="1" t="s">
        <v>433</v>
      </c>
      <c r="D304" s="1" t="s">
        <v>119</v>
      </c>
      <c r="E304" s="1" t="n">
        <v>6</v>
      </c>
      <c r="F304" s="1" t="n">
        <v>6</v>
      </c>
      <c r="G304" s="1" t="n">
        <v>20</v>
      </c>
    </row>
    <row r="305" customFormat="false" ht="14.25" hidden="false" customHeight="true" outlineLevel="0" collapsed="false">
      <c r="A305" s="1" t="n">
        <v>6678</v>
      </c>
      <c r="B305" s="1" t="s">
        <v>45</v>
      </c>
      <c r="C305" s="1" t="s">
        <v>434</v>
      </c>
      <c r="D305" s="1" t="s">
        <v>119</v>
      </c>
      <c r="E305" s="1" t="n">
        <v>6</v>
      </c>
      <c r="F305" s="1" t="n">
        <v>6</v>
      </c>
      <c r="G305" s="1" t="n">
        <v>22</v>
      </c>
    </row>
    <row r="306" customFormat="false" ht="14.25" hidden="false" customHeight="true" outlineLevel="0" collapsed="false">
      <c r="A306" s="1" t="n">
        <v>7464</v>
      </c>
      <c r="B306" s="1" t="s">
        <v>45</v>
      </c>
      <c r="C306" s="1" t="s">
        <v>435</v>
      </c>
      <c r="D306" s="1" t="s">
        <v>123</v>
      </c>
      <c r="E306" s="1" t="n">
        <v>6</v>
      </c>
      <c r="F306" s="1" t="n">
        <v>6</v>
      </c>
      <c r="G306" s="1" t="n">
        <v>20</v>
      </c>
    </row>
    <row r="307" customFormat="false" ht="14.25" hidden="false" customHeight="true" outlineLevel="0" collapsed="false">
      <c r="A307" s="1" t="n">
        <v>6020</v>
      </c>
      <c r="B307" s="1" t="s">
        <v>45</v>
      </c>
      <c r="C307" s="1" t="s">
        <v>436</v>
      </c>
      <c r="D307" s="1" t="s">
        <v>137</v>
      </c>
      <c r="E307" s="1" t="n">
        <v>6</v>
      </c>
      <c r="F307" s="1" t="n">
        <v>6</v>
      </c>
      <c r="G307" s="1" t="n">
        <v>18</v>
      </c>
    </row>
    <row r="308" customFormat="false" ht="14.25" hidden="false" customHeight="true" outlineLevel="0" collapsed="false">
      <c r="A308" s="1" t="n">
        <v>5761</v>
      </c>
      <c r="B308" s="1" t="s">
        <v>45</v>
      </c>
      <c r="C308" s="1" t="s">
        <v>437</v>
      </c>
      <c r="D308" s="1" t="s">
        <v>131</v>
      </c>
      <c r="E308" s="1" t="n">
        <v>6</v>
      </c>
      <c r="F308" s="1" t="n">
        <v>6</v>
      </c>
      <c r="G308" s="1" t="n">
        <v>18</v>
      </c>
    </row>
    <row r="309" customFormat="false" ht="14.25" hidden="false" customHeight="true" outlineLevel="0" collapsed="false">
      <c r="A309" s="1" t="n">
        <v>4459</v>
      </c>
      <c r="B309" s="1" t="s">
        <v>45</v>
      </c>
      <c r="C309" s="1" t="s">
        <v>438</v>
      </c>
      <c r="D309" s="1" t="s">
        <v>133</v>
      </c>
      <c r="E309" s="1" t="n">
        <v>6</v>
      </c>
      <c r="F309" s="1" t="n">
        <v>6</v>
      </c>
      <c r="G309" s="1" t="n">
        <v>16</v>
      </c>
    </row>
    <row r="310" customFormat="false" ht="14.25" hidden="false" customHeight="true" outlineLevel="0" collapsed="false">
      <c r="A310" s="1" t="n">
        <v>5504</v>
      </c>
      <c r="B310" s="1" t="s">
        <v>45</v>
      </c>
      <c r="C310" s="1" t="s">
        <v>439</v>
      </c>
      <c r="D310" s="1" t="s">
        <v>139</v>
      </c>
      <c r="E310" s="1" t="n">
        <v>6</v>
      </c>
      <c r="F310" s="1" t="n">
        <v>6</v>
      </c>
      <c r="G310" s="1" t="n">
        <v>14</v>
      </c>
    </row>
    <row r="311" customFormat="false" ht="14.25" hidden="false" customHeight="true" outlineLevel="0" collapsed="false">
      <c r="A311" s="1" t="n">
        <v>6549</v>
      </c>
      <c r="B311" s="1" t="s">
        <v>45</v>
      </c>
      <c r="C311" s="1" t="s">
        <v>440</v>
      </c>
      <c r="D311" s="1" t="s">
        <v>139</v>
      </c>
      <c r="E311" s="1" t="n">
        <v>6</v>
      </c>
      <c r="F311" s="1" t="n">
        <v>6</v>
      </c>
      <c r="G311" s="1" t="n">
        <v>19</v>
      </c>
    </row>
    <row r="312" customFormat="false" ht="14.25" hidden="false" customHeight="true" outlineLevel="0" collapsed="false">
      <c r="A312" s="1" t="n">
        <v>4856</v>
      </c>
      <c r="B312" s="1" t="s">
        <v>45</v>
      </c>
      <c r="C312" s="1" t="s">
        <v>441</v>
      </c>
      <c r="D312" s="1" t="s">
        <v>121</v>
      </c>
      <c r="E312" s="1" t="n">
        <v>6</v>
      </c>
      <c r="F312" s="1" t="n">
        <v>6</v>
      </c>
      <c r="G312" s="1" t="n">
        <v>11</v>
      </c>
    </row>
    <row r="313" customFormat="false" ht="14.25" hidden="false" customHeight="true" outlineLevel="0" collapsed="false">
      <c r="A313" s="1" t="n">
        <v>6593</v>
      </c>
      <c r="B313" s="1" t="s">
        <v>45</v>
      </c>
      <c r="C313" s="1" t="s">
        <v>442</v>
      </c>
      <c r="D313" s="1" t="s">
        <v>149</v>
      </c>
      <c r="E313" s="1" t="n">
        <v>6</v>
      </c>
      <c r="F313" s="1" t="n">
        <v>6</v>
      </c>
      <c r="G313" s="1" t="n">
        <v>16</v>
      </c>
    </row>
    <row r="314" customFormat="false" ht="14.25" hidden="false" customHeight="true" outlineLevel="0" collapsed="false">
      <c r="A314" s="1" t="n">
        <v>4349</v>
      </c>
      <c r="B314" s="1" t="s">
        <v>45</v>
      </c>
      <c r="C314" s="1" t="s">
        <v>443</v>
      </c>
      <c r="D314" s="1" t="s">
        <v>141</v>
      </c>
      <c r="E314" s="1" t="n">
        <v>6</v>
      </c>
      <c r="F314" s="1" t="n">
        <v>6</v>
      </c>
      <c r="G314" s="1" t="n">
        <v>18</v>
      </c>
    </row>
    <row r="315" customFormat="false" ht="14.25" hidden="false" customHeight="true" outlineLevel="0" collapsed="false">
      <c r="A315" s="1" t="n">
        <v>6680</v>
      </c>
      <c r="B315" s="1" t="s">
        <v>45</v>
      </c>
      <c r="C315" s="1" t="s">
        <v>444</v>
      </c>
      <c r="D315" s="1" t="s">
        <v>135</v>
      </c>
      <c r="E315" s="1" t="n">
        <v>6</v>
      </c>
      <c r="F315" s="1" t="n">
        <v>6</v>
      </c>
      <c r="G315" s="1" t="n">
        <v>20</v>
      </c>
    </row>
    <row r="316" customFormat="false" ht="14.25" hidden="false" customHeight="true" outlineLevel="0" collapsed="false">
      <c r="A316" s="1" t="n">
        <v>5674</v>
      </c>
      <c r="B316" s="1" t="s">
        <v>45</v>
      </c>
      <c r="C316" s="1" t="s">
        <v>445</v>
      </c>
      <c r="D316" s="1" t="s">
        <v>147</v>
      </c>
      <c r="E316" s="1" t="n">
        <v>6</v>
      </c>
      <c r="F316" s="1" t="n">
        <v>6</v>
      </c>
      <c r="G316" s="1" t="n">
        <v>19</v>
      </c>
    </row>
    <row r="317" customFormat="false" ht="14.25" hidden="false" customHeight="true" outlineLevel="0" collapsed="false">
      <c r="A317" s="1" t="n">
        <v>7528</v>
      </c>
      <c r="B317" s="1" t="s">
        <v>45</v>
      </c>
      <c r="C317" s="1" t="s">
        <v>446</v>
      </c>
      <c r="D317" s="1" t="s">
        <v>127</v>
      </c>
      <c r="E317" s="1" t="n">
        <v>5</v>
      </c>
      <c r="F317" s="1" t="n">
        <v>5</v>
      </c>
      <c r="G317" s="1" t="n">
        <v>12</v>
      </c>
    </row>
    <row r="318" customFormat="false" ht="14.25" hidden="false" customHeight="true" outlineLevel="0" collapsed="false">
      <c r="A318" s="1" t="n">
        <v>7311</v>
      </c>
      <c r="B318" s="1" t="s">
        <v>45</v>
      </c>
      <c r="C318" s="1" t="s">
        <v>447</v>
      </c>
      <c r="D318" s="1" t="s">
        <v>129</v>
      </c>
      <c r="E318" s="1" t="n">
        <v>5</v>
      </c>
      <c r="F318" s="1" t="n">
        <v>5</v>
      </c>
      <c r="G318" s="1" t="n">
        <v>12</v>
      </c>
    </row>
    <row r="319" customFormat="false" ht="14.25" hidden="false" customHeight="true" outlineLevel="0" collapsed="false">
      <c r="A319" s="1" t="n">
        <v>6640</v>
      </c>
      <c r="B319" s="1" t="s">
        <v>45</v>
      </c>
      <c r="C319" s="1" t="s">
        <v>448</v>
      </c>
      <c r="D319" s="1" t="s">
        <v>129</v>
      </c>
      <c r="E319" s="1" t="n">
        <v>5</v>
      </c>
      <c r="F319" s="1" t="n">
        <v>5</v>
      </c>
      <c r="G319" s="1" t="n">
        <v>10</v>
      </c>
    </row>
    <row r="320" customFormat="false" ht="14.25" hidden="false" customHeight="true" outlineLevel="0" collapsed="false">
      <c r="A320" s="1" t="n">
        <v>7412</v>
      </c>
      <c r="B320" s="1" t="s">
        <v>45</v>
      </c>
      <c r="C320" s="1" t="s">
        <v>449</v>
      </c>
      <c r="D320" s="1" t="s">
        <v>119</v>
      </c>
      <c r="E320" s="1" t="n">
        <v>5</v>
      </c>
      <c r="F320" s="1" t="n">
        <v>5</v>
      </c>
      <c r="G320" s="1" t="n">
        <v>14</v>
      </c>
    </row>
    <row r="321" customFormat="false" ht="14.25" hidden="false" customHeight="true" outlineLevel="0" collapsed="false">
      <c r="A321" s="1" t="n">
        <v>7127</v>
      </c>
      <c r="B321" s="1" t="s">
        <v>45</v>
      </c>
      <c r="C321" s="1" t="s">
        <v>450</v>
      </c>
      <c r="D321" s="1" t="s">
        <v>119</v>
      </c>
      <c r="E321" s="1" t="n">
        <v>5</v>
      </c>
      <c r="F321" s="1" t="n">
        <v>5</v>
      </c>
      <c r="G321" s="1" t="n">
        <v>10</v>
      </c>
    </row>
    <row r="322" customFormat="false" ht="14.25" hidden="false" customHeight="true" outlineLevel="0" collapsed="false">
      <c r="A322" s="1" t="n">
        <v>5998</v>
      </c>
      <c r="B322" s="1" t="s">
        <v>45</v>
      </c>
      <c r="C322" s="1" t="s">
        <v>451</v>
      </c>
      <c r="D322" s="1" t="s">
        <v>152</v>
      </c>
      <c r="E322" s="1" t="n">
        <v>5</v>
      </c>
      <c r="F322" s="1" t="n">
        <v>5</v>
      </c>
      <c r="G322" s="1" t="n">
        <v>13</v>
      </c>
    </row>
    <row r="323" customFormat="false" ht="14.25" hidden="false" customHeight="true" outlineLevel="0" collapsed="false">
      <c r="A323" s="1" t="n">
        <v>7409</v>
      </c>
      <c r="B323" s="1" t="s">
        <v>45</v>
      </c>
      <c r="C323" s="1" t="s">
        <v>452</v>
      </c>
      <c r="D323" s="1" t="s">
        <v>137</v>
      </c>
      <c r="E323" s="1" t="n">
        <v>5</v>
      </c>
      <c r="F323" s="1" t="n">
        <v>5</v>
      </c>
      <c r="G323" s="1" t="n">
        <v>14</v>
      </c>
    </row>
    <row r="324" customFormat="false" ht="14.25" hidden="false" customHeight="true" outlineLevel="0" collapsed="false">
      <c r="A324" s="1" t="n">
        <v>2857</v>
      </c>
      <c r="B324" s="1" t="s">
        <v>45</v>
      </c>
      <c r="C324" s="1" t="s">
        <v>453</v>
      </c>
      <c r="D324" s="1" t="s">
        <v>137</v>
      </c>
      <c r="E324" s="1" t="n">
        <v>5</v>
      </c>
      <c r="F324" s="1" t="n">
        <v>5</v>
      </c>
      <c r="G324" s="1" t="n">
        <v>11</v>
      </c>
    </row>
    <row r="325" customFormat="false" ht="14.25" hidden="false" customHeight="true" outlineLevel="0" collapsed="false">
      <c r="A325" s="1" t="n">
        <v>2529</v>
      </c>
      <c r="B325" s="1" t="s">
        <v>45</v>
      </c>
      <c r="C325" s="1" t="s">
        <v>454</v>
      </c>
      <c r="D325" s="1" t="s">
        <v>115</v>
      </c>
      <c r="E325" s="1" t="n">
        <v>5</v>
      </c>
      <c r="F325" s="1" t="n">
        <v>5</v>
      </c>
      <c r="G325" s="1" t="n">
        <v>19</v>
      </c>
    </row>
    <row r="326" customFormat="false" ht="14.25" hidden="false" customHeight="true" outlineLevel="0" collapsed="false">
      <c r="A326" s="1" t="n">
        <v>5685</v>
      </c>
      <c r="B326" s="1" t="s">
        <v>45</v>
      </c>
      <c r="C326" s="1" t="s">
        <v>455</v>
      </c>
      <c r="D326" s="1" t="s">
        <v>131</v>
      </c>
      <c r="E326" s="1" t="n">
        <v>5</v>
      </c>
      <c r="F326" s="1" t="n">
        <v>5</v>
      </c>
      <c r="G326" s="1" t="n">
        <v>14</v>
      </c>
    </row>
    <row r="327" customFormat="false" ht="14.25" hidden="false" customHeight="true" outlineLevel="0" collapsed="false">
      <c r="A327" s="1" t="n">
        <v>6629</v>
      </c>
      <c r="B327" s="1" t="s">
        <v>45</v>
      </c>
      <c r="C327" s="1" t="s">
        <v>456</v>
      </c>
      <c r="D327" s="1" t="s">
        <v>133</v>
      </c>
      <c r="E327" s="1" t="n">
        <v>5</v>
      </c>
      <c r="F327" s="1" t="n">
        <v>5</v>
      </c>
      <c r="G327" s="1" t="n">
        <v>13</v>
      </c>
    </row>
    <row r="328" customFormat="false" ht="14.25" hidden="false" customHeight="true" outlineLevel="0" collapsed="false">
      <c r="A328" s="1" t="n">
        <v>6015</v>
      </c>
      <c r="B328" s="1" t="s">
        <v>45</v>
      </c>
      <c r="C328" s="1" t="s">
        <v>457</v>
      </c>
      <c r="D328" s="1" t="s">
        <v>139</v>
      </c>
      <c r="E328" s="1" t="n">
        <v>5</v>
      </c>
      <c r="F328" s="1" t="n">
        <v>5</v>
      </c>
      <c r="G328" s="1" t="n">
        <v>16</v>
      </c>
    </row>
    <row r="329" customFormat="false" ht="14.25" hidden="false" customHeight="true" outlineLevel="0" collapsed="false">
      <c r="A329" s="1" t="n">
        <v>7318</v>
      </c>
      <c r="B329" s="1" t="s">
        <v>45</v>
      </c>
      <c r="C329" s="1" t="s">
        <v>458</v>
      </c>
      <c r="D329" s="1" t="s">
        <v>139</v>
      </c>
      <c r="E329" s="1" t="n">
        <v>5</v>
      </c>
      <c r="F329" s="1" t="n">
        <v>5</v>
      </c>
      <c r="G329" s="1" t="n">
        <v>14</v>
      </c>
    </row>
    <row r="330" customFormat="false" ht="14.25" hidden="false" customHeight="true" outlineLevel="0" collapsed="false">
      <c r="A330" s="1" t="n">
        <v>4686</v>
      </c>
      <c r="B330" s="1" t="s">
        <v>45</v>
      </c>
      <c r="C330" s="1" t="s">
        <v>459</v>
      </c>
      <c r="D330" s="1" t="s">
        <v>121</v>
      </c>
      <c r="E330" s="1" t="n">
        <v>5</v>
      </c>
      <c r="F330" s="1" t="n">
        <v>5</v>
      </c>
      <c r="G330" s="1" t="n">
        <v>23</v>
      </c>
    </row>
    <row r="331" customFormat="false" ht="14.25" hidden="false" customHeight="true" outlineLevel="0" collapsed="false">
      <c r="A331" s="1" t="n">
        <v>6898</v>
      </c>
      <c r="B331" s="1" t="s">
        <v>45</v>
      </c>
      <c r="C331" s="1" t="s">
        <v>460</v>
      </c>
      <c r="D331" s="1" t="s">
        <v>141</v>
      </c>
      <c r="E331" s="1" t="n">
        <v>5</v>
      </c>
      <c r="F331" s="1" t="n">
        <v>5</v>
      </c>
      <c r="G331" s="1" t="n">
        <v>15</v>
      </c>
    </row>
    <row r="332" customFormat="false" ht="14.25" hidden="false" customHeight="true" outlineLevel="0" collapsed="false">
      <c r="A332" s="1" t="n">
        <v>6984</v>
      </c>
      <c r="B332" s="1" t="s">
        <v>45</v>
      </c>
      <c r="C332" s="1" t="s">
        <v>461</v>
      </c>
      <c r="D332" s="1" t="s">
        <v>141</v>
      </c>
      <c r="E332" s="1" t="n">
        <v>5</v>
      </c>
      <c r="F332" s="1" t="n">
        <v>5</v>
      </c>
      <c r="G332" s="1" t="n">
        <v>18</v>
      </c>
    </row>
    <row r="333" customFormat="false" ht="14.25" hidden="false" customHeight="true" outlineLevel="0" collapsed="false">
      <c r="A333" s="1" t="n">
        <v>6190</v>
      </c>
      <c r="B333" s="1" t="s">
        <v>45</v>
      </c>
      <c r="C333" s="1" t="s">
        <v>462</v>
      </c>
      <c r="D333" s="1" t="s">
        <v>113</v>
      </c>
      <c r="E333" s="1" t="n">
        <v>5</v>
      </c>
      <c r="F333" s="1" t="n">
        <v>5</v>
      </c>
      <c r="G333" s="1" t="n">
        <v>17</v>
      </c>
    </row>
    <row r="334" customFormat="false" ht="14.25" hidden="false" customHeight="true" outlineLevel="0" collapsed="false">
      <c r="A334" s="1" t="n">
        <v>2528</v>
      </c>
      <c r="B334" s="1" t="s">
        <v>45</v>
      </c>
      <c r="C334" s="1" t="s">
        <v>463</v>
      </c>
      <c r="D334" s="1" t="s">
        <v>144</v>
      </c>
      <c r="E334" s="1" t="n">
        <v>5</v>
      </c>
      <c r="F334" s="1" t="n">
        <v>5</v>
      </c>
      <c r="G334" s="1" t="n">
        <v>15</v>
      </c>
    </row>
    <row r="335" customFormat="false" ht="14.25" hidden="false" customHeight="true" outlineLevel="0" collapsed="false">
      <c r="A335" s="1" t="n">
        <v>6677</v>
      </c>
      <c r="B335" s="1" t="s">
        <v>45</v>
      </c>
      <c r="C335" s="1" t="s">
        <v>464</v>
      </c>
      <c r="D335" s="1" t="s">
        <v>144</v>
      </c>
      <c r="E335" s="1" t="n">
        <v>5</v>
      </c>
      <c r="F335" s="1" t="n">
        <v>5</v>
      </c>
      <c r="G335" s="1" t="n">
        <v>14</v>
      </c>
    </row>
    <row r="336" customFormat="false" ht="14.25" hidden="false" customHeight="true" outlineLevel="0" collapsed="false">
      <c r="A336" s="1" t="n">
        <v>7036</v>
      </c>
      <c r="B336" s="1" t="s">
        <v>45</v>
      </c>
      <c r="C336" s="1" t="s">
        <v>465</v>
      </c>
      <c r="D336" s="1" t="s">
        <v>144</v>
      </c>
      <c r="E336" s="1" t="n">
        <v>5</v>
      </c>
      <c r="F336" s="1" t="n">
        <v>5</v>
      </c>
      <c r="G336" s="1" t="n">
        <v>16</v>
      </c>
    </row>
    <row r="337" customFormat="false" ht="14.25" hidden="false" customHeight="true" outlineLevel="0" collapsed="false">
      <c r="A337" s="1" t="n">
        <v>7060</v>
      </c>
      <c r="B337" s="1" t="s">
        <v>45</v>
      </c>
      <c r="C337" s="1" t="s">
        <v>466</v>
      </c>
      <c r="D337" s="1" t="s">
        <v>184</v>
      </c>
      <c r="E337" s="1" t="n">
        <v>5</v>
      </c>
      <c r="F337" s="1" t="n">
        <v>5</v>
      </c>
      <c r="G337" s="1" t="n">
        <v>18</v>
      </c>
    </row>
    <row r="338" customFormat="false" ht="14.25" hidden="false" customHeight="true" outlineLevel="0" collapsed="false">
      <c r="A338" s="1" t="n">
        <v>6170</v>
      </c>
      <c r="B338" s="1" t="s">
        <v>45</v>
      </c>
      <c r="C338" s="1" t="s">
        <v>467</v>
      </c>
      <c r="D338" s="1" t="s">
        <v>184</v>
      </c>
      <c r="E338" s="1" t="n">
        <v>5</v>
      </c>
      <c r="F338" s="1" t="n">
        <v>5</v>
      </c>
      <c r="G338" s="1" t="n">
        <v>13</v>
      </c>
    </row>
    <row r="339" customFormat="false" ht="14.25" hidden="false" customHeight="true" outlineLevel="0" collapsed="false">
      <c r="A339" s="1" t="n">
        <v>7198</v>
      </c>
      <c r="B339" s="1" t="s">
        <v>45</v>
      </c>
      <c r="C339" s="1" t="s">
        <v>468</v>
      </c>
      <c r="D339" s="1" t="s">
        <v>135</v>
      </c>
      <c r="E339" s="1" t="n">
        <v>5</v>
      </c>
      <c r="F339" s="1" t="n">
        <v>5</v>
      </c>
      <c r="G339" s="1" t="n">
        <v>15</v>
      </c>
    </row>
    <row r="340" customFormat="false" ht="14.25" hidden="false" customHeight="true" outlineLevel="0" collapsed="false">
      <c r="A340" s="1" t="n">
        <v>5507</v>
      </c>
      <c r="B340" s="1" t="s">
        <v>45</v>
      </c>
      <c r="C340" s="1" t="s">
        <v>469</v>
      </c>
      <c r="D340" s="1" t="s">
        <v>147</v>
      </c>
      <c r="E340" s="1" t="n">
        <v>5</v>
      </c>
      <c r="F340" s="1" t="n">
        <v>5</v>
      </c>
      <c r="G340" s="1" t="n">
        <v>14</v>
      </c>
    </row>
    <row r="341" customFormat="false" ht="14.25" hidden="false" customHeight="true" outlineLevel="0" collapsed="false">
      <c r="A341" s="1" t="n">
        <v>5319</v>
      </c>
      <c r="B341" s="1" t="s">
        <v>45</v>
      </c>
      <c r="C341" s="1" t="s">
        <v>470</v>
      </c>
      <c r="D341" s="1" t="s">
        <v>147</v>
      </c>
      <c r="E341" s="1" t="n">
        <v>5</v>
      </c>
      <c r="F341" s="1" t="n">
        <v>5</v>
      </c>
      <c r="G341" s="1" t="n">
        <v>14</v>
      </c>
    </row>
    <row r="342" customFormat="false" ht="14.25" hidden="false" customHeight="true" outlineLevel="0" collapsed="false">
      <c r="A342" s="1" t="n">
        <v>6994</v>
      </c>
      <c r="B342" s="1" t="s">
        <v>45</v>
      </c>
      <c r="C342" s="1" t="s">
        <v>471</v>
      </c>
      <c r="D342" s="1" t="s">
        <v>147</v>
      </c>
      <c r="E342" s="1" t="n">
        <v>5</v>
      </c>
      <c r="F342" s="1" t="n">
        <v>5</v>
      </c>
      <c r="G342" s="1" t="n">
        <v>14</v>
      </c>
    </row>
    <row r="343" customFormat="false" ht="14.25" hidden="false" customHeight="true" outlineLevel="0" collapsed="false">
      <c r="A343" s="1" t="n">
        <v>22</v>
      </c>
      <c r="B343" s="1" t="s">
        <v>45</v>
      </c>
      <c r="C343" s="1" t="s">
        <v>472</v>
      </c>
      <c r="D343" s="1" t="s">
        <v>117</v>
      </c>
      <c r="E343" s="1" t="n">
        <v>4</v>
      </c>
      <c r="F343" s="1" t="n">
        <v>4</v>
      </c>
      <c r="G343" s="1" t="n">
        <v>12</v>
      </c>
    </row>
    <row r="344" customFormat="false" ht="14.25" hidden="false" customHeight="true" outlineLevel="0" collapsed="false">
      <c r="A344" s="1" t="n">
        <v>6054</v>
      </c>
      <c r="B344" s="1" t="s">
        <v>45</v>
      </c>
      <c r="C344" s="1" t="s">
        <v>473</v>
      </c>
      <c r="D344" s="1" t="s">
        <v>127</v>
      </c>
      <c r="E344" s="1" t="n">
        <v>4</v>
      </c>
      <c r="F344" s="1" t="n">
        <v>4</v>
      </c>
      <c r="G344" s="1" t="n">
        <v>10</v>
      </c>
    </row>
    <row r="345" customFormat="false" ht="14.25" hidden="false" customHeight="true" outlineLevel="0" collapsed="false">
      <c r="A345" s="1" t="n">
        <v>6424</v>
      </c>
      <c r="B345" s="1" t="s">
        <v>45</v>
      </c>
      <c r="C345" s="1" t="s">
        <v>474</v>
      </c>
      <c r="D345" s="1" t="s">
        <v>129</v>
      </c>
      <c r="E345" s="1" t="n">
        <v>4</v>
      </c>
      <c r="F345" s="1" t="n">
        <v>4</v>
      </c>
      <c r="G345" s="1" t="n">
        <v>7</v>
      </c>
    </row>
    <row r="346" customFormat="false" ht="14.25" hidden="false" customHeight="true" outlineLevel="0" collapsed="false">
      <c r="A346" s="1" t="n">
        <v>6206</v>
      </c>
      <c r="B346" s="1" t="s">
        <v>45</v>
      </c>
      <c r="C346" s="1" t="s">
        <v>475</v>
      </c>
      <c r="D346" s="1" t="s">
        <v>123</v>
      </c>
      <c r="E346" s="1" t="n">
        <v>4</v>
      </c>
      <c r="F346" s="1" t="n">
        <v>4</v>
      </c>
      <c r="G346" s="1" t="n">
        <v>8</v>
      </c>
    </row>
    <row r="347" customFormat="false" ht="14.25" hidden="false" customHeight="true" outlineLevel="0" collapsed="false">
      <c r="A347" s="1" t="n">
        <v>7473</v>
      </c>
      <c r="B347" s="1" t="s">
        <v>45</v>
      </c>
      <c r="C347" s="1" t="s">
        <v>476</v>
      </c>
      <c r="D347" s="1" t="s">
        <v>152</v>
      </c>
      <c r="E347" s="1" t="n">
        <v>4</v>
      </c>
      <c r="F347" s="1" t="n">
        <v>4</v>
      </c>
      <c r="G347" s="1" t="n">
        <v>11</v>
      </c>
    </row>
    <row r="348" customFormat="false" ht="14.25" hidden="false" customHeight="true" outlineLevel="0" collapsed="false">
      <c r="A348" s="1" t="n">
        <v>7474</v>
      </c>
      <c r="B348" s="1" t="s">
        <v>45</v>
      </c>
      <c r="C348" s="1" t="s">
        <v>477</v>
      </c>
      <c r="D348" s="1" t="s">
        <v>152</v>
      </c>
      <c r="E348" s="1" t="n">
        <v>4</v>
      </c>
      <c r="F348" s="1" t="n">
        <v>4</v>
      </c>
      <c r="G348" s="1" t="n">
        <v>12</v>
      </c>
    </row>
    <row r="349" customFormat="false" ht="14.25" hidden="false" customHeight="true" outlineLevel="0" collapsed="false">
      <c r="A349" s="1" t="n">
        <v>7341</v>
      </c>
      <c r="B349" s="1" t="s">
        <v>45</v>
      </c>
      <c r="C349" s="1" t="s">
        <v>478</v>
      </c>
      <c r="D349" s="1" t="s">
        <v>137</v>
      </c>
      <c r="E349" s="1" t="n">
        <v>4</v>
      </c>
      <c r="F349" s="1" t="n">
        <v>4</v>
      </c>
      <c r="G349" s="1" t="n">
        <v>11</v>
      </c>
    </row>
    <row r="350" customFormat="false" ht="14.25" hidden="false" customHeight="true" outlineLevel="0" collapsed="false">
      <c r="A350" s="1" t="n">
        <v>5301</v>
      </c>
      <c r="B350" s="1" t="s">
        <v>45</v>
      </c>
      <c r="C350" s="1" t="s">
        <v>479</v>
      </c>
      <c r="D350" s="1" t="s">
        <v>115</v>
      </c>
      <c r="E350" s="1" t="n">
        <v>4</v>
      </c>
      <c r="F350" s="1" t="n">
        <v>4</v>
      </c>
      <c r="G350" s="1" t="n">
        <v>13</v>
      </c>
    </row>
    <row r="351" customFormat="false" ht="14.25" hidden="false" customHeight="true" outlineLevel="0" collapsed="false">
      <c r="A351" s="1" t="n">
        <v>4911</v>
      </c>
      <c r="B351" s="1" t="s">
        <v>45</v>
      </c>
      <c r="C351" s="1" t="s">
        <v>480</v>
      </c>
      <c r="D351" s="1" t="s">
        <v>131</v>
      </c>
      <c r="E351" s="1" t="n">
        <v>4</v>
      </c>
      <c r="F351" s="1" t="n">
        <v>4</v>
      </c>
      <c r="G351" s="1" t="n">
        <v>12</v>
      </c>
    </row>
    <row r="352" customFormat="false" ht="14.25" hidden="false" customHeight="true" outlineLevel="0" collapsed="false">
      <c r="A352" s="1" t="n">
        <v>333</v>
      </c>
      <c r="B352" s="1" t="s">
        <v>45</v>
      </c>
      <c r="C352" s="1" t="s">
        <v>481</v>
      </c>
      <c r="D352" s="1" t="s">
        <v>133</v>
      </c>
      <c r="E352" s="1" t="n">
        <v>4</v>
      </c>
      <c r="F352" s="1" t="n">
        <v>4</v>
      </c>
      <c r="G352" s="1" t="n">
        <v>12</v>
      </c>
    </row>
    <row r="353" customFormat="false" ht="14.25" hidden="false" customHeight="true" outlineLevel="0" collapsed="false">
      <c r="A353" s="1" t="n">
        <v>7322</v>
      </c>
      <c r="B353" s="1" t="s">
        <v>45</v>
      </c>
      <c r="C353" s="1" t="s">
        <v>482</v>
      </c>
      <c r="D353" s="1" t="s">
        <v>139</v>
      </c>
      <c r="E353" s="1" t="n">
        <v>4</v>
      </c>
      <c r="F353" s="1" t="n">
        <v>4</v>
      </c>
      <c r="G353" s="1" t="n">
        <v>11</v>
      </c>
    </row>
    <row r="354" customFormat="false" ht="14.25" hidden="false" customHeight="true" outlineLevel="0" collapsed="false">
      <c r="A354" s="1" t="n">
        <v>5453</v>
      </c>
      <c r="B354" s="1" t="s">
        <v>45</v>
      </c>
      <c r="C354" s="1" t="s">
        <v>483</v>
      </c>
      <c r="D354" s="1" t="s">
        <v>121</v>
      </c>
      <c r="E354" s="1" t="n">
        <v>4</v>
      </c>
      <c r="F354" s="1" t="n">
        <v>4</v>
      </c>
      <c r="G354" s="1" t="n">
        <v>11</v>
      </c>
    </row>
    <row r="355" customFormat="false" ht="14.25" hidden="false" customHeight="true" outlineLevel="0" collapsed="false">
      <c r="A355" s="1" t="n">
        <v>7203</v>
      </c>
      <c r="B355" s="1" t="s">
        <v>45</v>
      </c>
      <c r="C355" s="1" t="s">
        <v>484</v>
      </c>
      <c r="D355" s="1" t="s">
        <v>121</v>
      </c>
      <c r="E355" s="1" t="n">
        <v>4</v>
      </c>
      <c r="F355" s="1" t="n">
        <v>4</v>
      </c>
      <c r="G355" s="1" t="n">
        <v>11</v>
      </c>
    </row>
    <row r="356" customFormat="false" ht="14.25" hidden="false" customHeight="true" outlineLevel="0" collapsed="false">
      <c r="A356" s="1" t="n">
        <v>4199</v>
      </c>
      <c r="B356" s="1" t="s">
        <v>45</v>
      </c>
      <c r="C356" s="1" t="s">
        <v>485</v>
      </c>
      <c r="D356" s="1" t="s">
        <v>121</v>
      </c>
      <c r="E356" s="1" t="n">
        <v>4</v>
      </c>
      <c r="F356" s="1" t="n">
        <v>4</v>
      </c>
      <c r="G356" s="1" t="n">
        <v>11</v>
      </c>
    </row>
    <row r="357" customFormat="false" ht="14.25" hidden="false" customHeight="true" outlineLevel="0" collapsed="false">
      <c r="A357" s="1" t="n">
        <v>6252</v>
      </c>
      <c r="B357" s="1" t="s">
        <v>45</v>
      </c>
      <c r="C357" s="1" t="s">
        <v>486</v>
      </c>
      <c r="D357" s="1" t="s">
        <v>125</v>
      </c>
      <c r="E357" s="1" t="n">
        <v>4</v>
      </c>
      <c r="F357" s="1" t="n">
        <v>4</v>
      </c>
      <c r="G357" s="1" t="n">
        <v>10</v>
      </c>
    </row>
    <row r="358" customFormat="false" ht="14.25" hidden="false" customHeight="true" outlineLevel="0" collapsed="false">
      <c r="A358" s="1" t="n">
        <v>6207</v>
      </c>
      <c r="B358" s="1" t="s">
        <v>45</v>
      </c>
      <c r="C358" s="1" t="s">
        <v>487</v>
      </c>
      <c r="D358" s="1" t="s">
        <v>141</v>
      </c>
      <c r="E358" s="1" t="n">
        <v>4</v>
      </c>
      <c r="F358" s="1" t="n">
        <v>4</v>
      </c>
      <c r="G358" s="1" t="n">
        <v>14</v>
      </c>
    </row>
    <row r="359" customFormat="false" ht="14.25" hidden="false" customHeight="true" outlineLevel="0" collapsed="false">
      <c r="A359" s="1" t="n">
        <v>6271</v>
      </c>
      <c r="B359" s="1" t="s">
        <v>45</v>
      </c>
      <c r="C359" s="1" t="s">
        <v>488</v>
      </c>
      <c r="D359" s="1" t="s">
        <v>113</v>
      </c>
      <c r="E359" s="1" t="n">
        <v>4</v>
      </c>
      <c r="F359" s="1" t="n">
        <v>4</v>
      </c>
      <c r="G359" s="1" t="n">
        <v>18</v>
      </c>
    </row>
    <row r="360" customFormat="false" ht="14.25" hidden="false" customHeight="true" outlineLevel="0" collapsed="false">
      <c r="A360" s="1" t="n">
        <v>7535</v>
      </c>
      <c r="B360" s="1" t="s">
        <v>45</v>
      </c>
      <c r="C360" s="1" t="s">
        <v>489</v>
      </c>
      <c r="D360" s="1" t="s">
        <v>184</v>
      </c>
      <c r="E360" s="1" t="n">
        <v>4</v>
      </c>
      <c r="F360" s="1" t="n">
        <v>4</v>
      </c>
      <c r="G360" s="1" t="n">
        <v>13</v>
      </c>
    </row>
    <row r="361" customFormat="false" ht="14.25" hidden="false" customHeight="true" outlineLevel="0" collapsed="false">
      <c r="A361" s="1" t="n">
        <v>6005</v>
      </c>
      <c r="B361" s="1" t="s">
        <v>45</v>
      </c>
      <c r="C361" s="1" t="s">
        <v>490</v>
      </c>
      <c r="D361" s="1" t="s">
        <v>184</v>
      </c>
      <c r="E361" s="1" t="n">
        <v>4</v>
      </c>
      <c r="F361" s="1" t="n">
        <v>4</v>
      </c>
      <c r="G361" s="1" t="n">
        <v>10</v>
      </c>
    </row>
    <row r="362" customFormat="false" ht="14.25" hidden="false" customHeight="true" outlineLevel="0" collapsed="false">
      <c r="A362" s="1" t="n">
        <v>6827</v>
      </c>
      <c r="B362" s="1" t="s">
        <v>45</v>
      </c>
      <c r="C362" s="1" t="s">
        <v>491</v>
      </c>
      <c r="D362" s="1" t="s">
        <v>184</v>
      </c>
      <c r="E362" s="1" t="n">
        <v>4</v>
      </c>
      <c r="F362" s="1" t="n">
        <v>4</v>
      </c>
      <c r="G362" s="1" t="n">
        <v>12</v>
      </c>
    </row>
    <row r="363" customFormat="false" ht="14.25" hidden="false" customHeight="true" outlineLevel="0" collapsed="false">
      <c r="A363" s="1" t="n">
        <v>6024</v>
      </c>
      <c r="B363" s="1" t="s">
        <v>45</v>
      </c>
      <c r="C363" s="1" t="s">
        <v>492</v>
      </c>
      <c r="D363" s="1" t="s">
        <v>117</v>
      </c>
      <c r="E363" s="1" t="n">
        <v>3</v>
      </c>
      <c r="F363" s="1" t="n">
        <v>3</v>
      </c>
      <c r="G363" s="1" t="n">
        <v>7</v>
      </c>
    </row>
    <row r="364" customFormat="false" ht="14.25" hidden="false" customHeight="true" outlineLevel="0" collapsed="false">
      <c r="A364" s="1" t="n">
        <v>6895</v>
      </c>
      <c r="B364" s="1" t="s">
        <v>45</v>
      </c>
      <c r="C364" s="1" t="s">
        <v>493</v>
      </c>
      <c r="D364" s="1" t="s">
        <v>127</v>
      </c>
      <c r="E364" s="1" t="n">
        <v>3</v>
      </c>
      <c r="F364" s="1" t="n">
        <v>3</v>
      </c>
      <c r="G364" s="1" t="n">
        <v>8</v>
      </c>
    </row>
    <row r="365" customFormat="false" ht="14.25" hidden="false" customHeight="true" outlineLevel="0" collapsed="false">
      <c r="A365" s="1" t="n">
        <v>1871</v>
      </c>
      <c r="B365" s="1" t="s">
        <v>45</v>
      </c>
      <c r="C365" s="1" t="s">
        <v>494</v>
      </c>
      <c r="D365" s="1" t="s">
        <v>129</v>
      </c>
      <c r="E365" s="1" t="n">
        <v>3</v>
      </c>
      <c r="F365" s="1" t="n">
        <v>3</v>
      </c>
      <c r="G365" s="1" t="n">
        <v>8</v>
      </c>
    </row>
    <row r="366" customFormat="false" ht="14.25" hidden="false" customHeight="true" outlineLevel="0" collapsed="false">
      <c r="A366" s="1" t="n">
        <v>4947</v>
      </c>
      <c r="B366" s="1" t="s">
        <v>45</v>
      </c>
      <c r="C366" s="1" t="s">
        <v>495</v>
      </c>
      <c r="D366" s="1" t="s">
        <v>123</v>
      </c>
      <c r="E366" s="1" t="n">
        <v>3</v>
      </c>
      <c r="F366" s="1" t="n">
        <v>3</v>
      </c>
      <c r="G366" s="1" t="n">
        <v>7</v>
      </c>
    </row>
    <row r="367" customFormat="false" ht="14.25" hidden="false" customHeight="true" outlineLevel="0" collapsed="false">
      <c r="A367" s="1" t="n">
        <v>6241</v>
      </c>
      <c r="B367" s="1" t="s">
        <v>45</v>
      </c>
      <c r="C367" s="1" t="s">
        <v>496</v>
      </c>
      <c r="D367" s="1" t="s">
        <v>152</v>
      </c>
      <c r="E367" s="1" t="n">
        <v>3</v>
      </c>
      <c r="F367" s="1" t="n">
        <v>3</v>
      </c>
      <c r="G367" s="1" t="n">
        <v>8</v>
      </c>
    </row>
    <row r="368" customFormat="false" ht="14.25" hidden="false" customHeight="true" outlineLevel="0" collapsed="false">
      <c r="A368" s="1" t="n">
        <v>6506</v>
      </c>
      <c r="B368" s="1" t="s">
        <v>45</v>
      </c>
      <c r="C368" s="1" t="s">
        <v>497</v>
      </c>
      <c r="D368" s="1" t="s">
        <v>152</v>
      </c>
      <c r="E368" s="1" t="n">
        <v>3</v>
      </c>
      <c r="F368" s="1" t="n">
        <v>3</v>
      </c>
      <c r="G368" s="1" t="n">
        <v>9</v>
      </c>
    </row>
    <row r="369" customFormat="false" ht="14.25" hidden="false" customHeight="true" outlineLevel="0" collapsed="false">
      <c r="A369" s="1" t="n">
        <v>4970</v>
      </c>
      <c r="B369" s="1" t="s">
        <v>45</v>
      </c>
      <c r="C369" s="1" t="s">
        <v>498</v>
      </c>
      <c r="D369" s="1" t="s">
        <v>137</v>
      </c>
      <c r="E369" s="1" t="n">
        <v>3</v>
      </c>
      <c r="F369" s="1" t="n">
        <v>3</v>
      </c>
      <c r="G369" s="1" t="n">
        <v>8</v>
      </c>
    </row>
    <row r="370" customFormat="false" ht="14.25" hidden="false" customHeight="true" outlineLevel="0" collapsed="false">
      <c r="A370" s="1" t="n">
        <v>6503</v>
      </c>
      <c r="B370" s="1" t="s">
        <v>45</v>
      </c>
      <c r="C370" s="1" t="s">
        <v>499</v>
      </c>
      <c r="D370" s="1" t="s">
        <v>115</v>
      </c>
      <c r="E370" s="1" t="n">
        <v>3</v>
      </c>
      <c r="F370" s="1" t="n">
        <v>3</v>
      </c>
      <c r="G370" s="1" t="n">
        <v>10</v>
      </c>
    </row>
    <row r="371" customFormat="false" ht="14.25" hidden="false" customHeight="true" outlineLevel="0" collapsed="false">
      <c r="A371" s="1" t="n">
        <v>5813</v>
      </c>
      <c r="B371" s="1" t="s">
        <v>45</v>
      </c>
      <c r="C371" s="1" t="s">
        <v>500</v>
      </c>
      <c r="D371" s="1" t="s">
        <v>131</v>
      </c>
      <c r="E371" s="1" t="n">
        <v>3</v>
      </c>
      <c r="F371" s="1" t="n">
        <v>3</v>
      </c>
      <c r="G371" s="1" t="n">
        <v>11</v>
      </c>
    </row>
    <row r="372" customFormat="false" ht="14.25" hidden="false" customHeight="true" outlineLevel="0" collapsed="false">
      <c r="A372" s="1" t="n">
        <v>7477</v>
      </c>
      <c r="B372" s="1" t="s">
        <v>45</v>
      </c>
      <c r="C372" s="1" t="s">
        <v>501</v>
      </c>
      <c r="D372" s="1" t="s">
        <v>149</v>
      </c>
      <c r="E372" s="1" t="n">
        <v>3</v>
      </c>
      <c r="F372" s="1" t="n">
        <v>3</v>
      </c>
      <c r="G372" s="1" t="n">
        <v>7</v>
      </c>
    </row>
    <row r="373" customFormat="false" ht="14.25" hidden="false" customHeight="true" outlineLevel="0" collapsed="false">
      <c r="A373" s="1" t="n">
        <v>5131</v>
      </c>
      <c r="B373" s="1" t="s">
        <v>45</v>
      </c>
      <c r="C373" s="1" t="s">
        <v>502</v>
      </c>
      <c r="D373" s="1" t="s">
        <v>125</v>
      </c>
      <c r="E373" s="1" t="n">
        <v>3</v>
      </c>
      <c r="F373" s="1" t="n">
        <v>3</v>
      </c>
      <c r="G373" s="1" t="n">
        <v>9</v>
      </c>
    </row>
    <row r="374" customFormat="false" ht="14.25" hidden="false" customHeight="true" outlineLevel="0" collapsed="false">
      <c r="A374" s="1" t="n">
        <v>7209</v>
      </c>
      <c r="B374" s="1" t="s">
        <v>45</v>
      </c>
      <c r="C374" s="1" t="s">
        <v>503</v>
      </c>
      <c r="D374" s="1" t="s">
        <v>141</v>
      </c>
      <c r="E374" s="1" t="n">
        <v>3</v>
      </c>
      <c r="F374" s="1" t="n">
        <v>3</v>
      </c>
      <c r="G374" s="1" t="n">
        <v>12</v>
      </c>
    </row>
    <row r="375" customFormat="false" ht="14.25" hidden="false" customHeight="true" outlineLevel="0" collapsed="false">
      <c r="A375" s="1" t="n">
        <v>7536</v>
      </c>
      <c r="B375" s="1" t="s">
        <v>45</v>
      </c>
      <c r="C375" s="1" t="s">
        <v>504</v>
      </c>
      <c r="D375" s="1" t="s">
        <v>141</v>
      </c>
      <c r="E375" s="1" t="n">
        <v>3</v>
      </c>
      <c r="F375" s="1" t="n">
        <v>3</v>
      </c>
      <c r="G375" s="1" t="n">
        <v>12</v>
      </c>
    </row>
    <row r="376" customFormat="false" ht="14.25" hidden="false" customHeight="true" outlineLevel="0" collapsed="false">
      <c r="A376" s="1" t="n">
        <v>7183</v>
      </c>
      <c r="B376" s="1" t="s">
        <v>45</v>
      </c>
      <c r="C376" s="1" t="s">
        <v>505</v>
      </c>
      <c r="D376" s="1" t="s">
        <v>184</v>
      </c>
      <c r="E376" s="1" t="n">
        <v>3</v>
      </c>
      <c r="F376" s="1" t="n">
        <v>3</v>
      </c>
      <c r="G376" s="1" t="n">
        <v>5</v>
      </c>
    </row>
    <row r="377" customFormat="false" ht="14.25" hidden="false" customHeight="true" outlineLevel="0" collapsed="false">
      <c r="A377" s="1" t="n">
        <v>7208</v>
      </c>
      <c r="B377" s="1" t="s">
        <v>45</v>
      </c>
      <c r="C377" s="1" t="s">
        <v>506</v>
      </c>
      <c r="D377" s="1" t="s">
        <v>135</v>
      </c>
      <c r="E377" s="1" t="n">
        <v>3</v>
      </c>
      <c r="F377" s="1" t="n">
        <v>3</v>
      </c>
      <c r="G377" s="1" t="n">
        <v>12</v>
      </c>
    </row>
    <row r="378" customFormat="false" ht="14.25" hidden="false" customHeight="true" outlineLevel="0" collapsed="false">
      <c r="A378" s="1" t="n">
        <v>5872</v>
      </c>
      <c r="B378" s="1" t="s">
        <v>45</v>
      </c>
      <c r="C378" s="1" t="s">
        <v>507</v>
      </c>
      <c r="D378" s="1" t="s">
        <v>147</v>
      </c>
      <c r="E378" s="1" t="n">
        <v>3</v>
      </c>
      <c r="F378" s="1" t="n">
        <v>3</v>
      </c>
      <c r="G378" s="1" t="n">
        <v>7</v>
      </c>
    </row>
    <row r="379" customFormat="false" ht="14.25" hidden="false" customHeight="true" outlineLevel="0" collapsed="false">
      <c r="A379" s="1" t="n">
        <v>6225</v>
      </c>
      <c r="B379" s="1" t="s">
        <v>45</v>
      </c>
      <c r="C379" s="1" t="s">
        <v>508</v>
      </c>
      <c r="D379" s="1" t="s">
        <v>127</v>
      </c>
      <c r="E379" s="1" t="n">
        <v>2</v>
      </c>
      <c r="F379" s="1" t="n">
        <v>2</v>
      </c>
      <c r="G379" s="1" t="n">
        <v>4</v>
      </c>
    </row>
    <row r="380" customFormat="false" ht="14.25" hidden="false" customHeight="true" outlineLevel="0" collapsed="false">
      <c r="A380" s="1" t="n">
        <v>6815</v>
      </c>
      <c r="B380" s="1" t="s">
        <v>45</v>
      </c>
      <c r="C380" s="1" t="s">
        <v>509</v>
      </c>
      <c r="D380" s="1" t="s">
        <v>119</v>
      </c>
      <c r="E380" s="1" t="n">
        <v>2</v>
      </c>
      <c r="F380" s="1" t="n">
        <v>2</v>
      </c>
      <c r="G380" s="1" t="n">
        <v>3</v>
      </c>
    </row>
    <row r="381" customFormat="false" ht="14.25" hidden="false" customHeight="true" outlineLevel="0" collapsed="false">
      <c r="A381" s="1" t="n">
        <v>6903</v>
      </c>
      <c r="B381" s="1" t="s">
        <v>45</v>
      </c>
      <c r="C381" s="1" t="s">
        <v>510</v>
      </c>
      <c r="D381" s="1" t="s">
        <v>152</v>
      </c>
      <c r="E381" s="1" t="n">
        <v>2</v>
      </c>
      <c r="F381" s="1" t="n">
        <v>2</v>
      </c>
      <c r="G381" s="1" t="n">
        <v>5</v>
      </c>
    </row>
    <row r="382" customFormat="false" ht="14.25" hidden="false" customHeight="true" outlineLevel="0" collapsed="false">
      <c r="A382" s="1" t="n">
        <v>6917</v>
      </c>
      <c r="B382" s="1" t="s">
        <v>45</v>
      </c>
      <c r="C382" s="1" t="s">
        <v>511</v>
      </c>
      <c r="D382" s="1" t="s">
        <v>137</v>
      </c>
      <c r="E382" s="1" t="n">
        <v>2</v>
      </c>
      <c r="F382" s="1" t="n">
        <v>2</v>
      </c>
      <c r="G382" s="1" t="n">
        <v>4</v>
      </c>
    </row>
    <row r="383" customFormat="false" ht="14.25" hidden="false" customHeight="true" outlineLevel="0" collapsed="false">
      <c r="A383" s="1" t="n">
        <v>6980</v>
      </c>
      <c r="B383" s="1" t="s">
        <v>45</v>
      </c>
      <c r="C383" s="1" t="s">
        <v>512</v>
      </c>
      <c r="D383" s="1" t="s">
        <v>137</v>
      </c>
      <c r="E383" s="1" t="n">
        <v>2</v>
      </c>
      <c r="F383" s="1" t="n">
        <v>2</v>
      </c>
      <c r="G383" s="1" t="n">
        <v>6</v>
      </c>
    </row>
    <row r="384" customFormat="false" ht="14.25" hidden="false" customHeight="true" outlineLevel="0" collapsed="false">
      <c r="A384" s="1" t="n">
        <v>5457</v>
      </c>
      <c r="B384" s="1" t="s">
        <v>45</v>
      </c>
      <c r="C384" s="1" t="s">
        <v>513</v>
      </c>
      <c r="D384" s="1" t="s">
        <v>139</v>
      </c>
      <c r="E384" s="1" t="n">
        <v>2</v>
      </c>
      <c r="F384" s="1" t="n">
        <v>2</v>
      </c>
      <c r="G384" s="1" t="n">
        <v>5</v>
      </c>
    </row>
    <row r="385" customFormat="false" ht="14.25" hidden="false" customHeight="true" outlineLevel="0" collapsed="false">
      <c r="A385" s="1" t="n">
        <v>5295</v>
      </c>
      <c r="B385" s="1" t="s">
        <v>45</v>
      </c>
      <c r="C385" s="1" t="s">
        <v>514</v>
      </c>
      <c r="D385" s="1" t="s">
        <v>121</v>
      </c>
      <c r="E385" s="1" t="n">
        <v>2</v>
      </c>
      <c r="F385" s="1" t="n">
        <v>2</v>
      </c>
      <c r="G385" s="1" t="n">
        <v>6</v>
      </c>
    </row>
    <row r="386" customFormat="false" ht="14.25" hidden="false" customHeight="true" outlineLevel="0" collapsed="false">
      <c r="A386" s="1" t="n">
        <v>5880</v>
      </c>
      <c r="B386" s="1" t="s">
        <v>45</v>
      </c>
      <c r="C386" s="1" t="s">
        <v>515</v>
      </c>
      <c r="D386" s="1" t="s">
        <v>149</v>
      </c>
      <c r="E386" s="1" t="n">
        <v>2</v>
      </c>
      <c r="F386" s="1" t="n">
        <v>2</v>
      </c>
      <c r="G386" s="1" t="n">
        <v>6</v>
      </c>
    </row>
    <row r="387" customFormat="false" ht="14.25" hidden="false" customHeight="true" outlineLevel="0" collapsed="false">
      <c r="A387" s="1" t="n">
        <v>7138</v>
      </c>
      <c r="B387" s="1" t="s">
        <v>45</v>
      </c>
      <c r="C387" s="1" t="s">
        <v>516</v>
      </c>
      <c r="D387" s="1" t="s">
        <v>141</v>
      </c>
      <c r="E387" s="1" t="n">
        <v>2</v>
      </c>
      <c r="F387" s="1" t="n">
        <v>2</v>
      </c>
      <c r="G387" s="1" t="n">
        <v>5</v>
      </c>
    </row>
    <row r="388" customFormat="false" ht="14.25" hidden="false" customHeight="true" outlineLevel="0" collapsed="false">
      <c r="A388" s="1" t="n">
        <v>6219</v>
      </c>
      <c r="B388" s="1" t="s">
        <v>45</v>
      </c>
      <c r="C388" s="1" t="s">
        <v>517</v>
      </c>
      <c r="D388" s="1" t="s">
        <v>144</v>
      </c>
      <c r="E388" s="1" t="n">
        <v>2</v>
      </c>
      <c r="F388" s="1" t="n">
        <v>2</v>
      </c>
      <c r="G388" s="1" t="n">
        <v>5</v>
      </c>
    </row>
    <row r="389" customFormat="false" ht="14.25" hidden="false" customHeight="true" outlineLevel="0" collapsed="false">
      <c r="A389" s="1" t="n">
        <v>6246</v>
      </c>
      <c r="B389" s="1" t="s">
        <v>45</v>
      </c>
      <c r="C389" s="1" t="s">
        <v>518</v>
      </c>
      <c r="D389" s="1" t="s">
        <v>144</v>
      </c>
      <c r="E389" s="1" t="n">
        <v>2</v>
      </c>
      <c r="F389" s="1" t="n">
        <v>2</v>
      </c>
      <c r="G389" s="1" t="n">
        <v>5</v>
      </c>
    </row>
    <row r="390" customFormat="false" ht="14.25" hidden="false" customHeight="true" outlineLevel="0" collapsed="false">
      <c r="A390" s="1" t="n">
        <v>7418</v>
      </c>
      <c r="B390" s="1" t="s">
        <v>45</v>
      </c>
      <c r="C390" s="1" t="s">
        <v>519</v>
      </c>
      <c r="D390" s="1" t="s">
        <v>135</v>
      </c>
      <c r="E390" s="1" t="n">
        <v>2</v>
      </c>
      <c r="F390" s="1" t="n">
        <v>2</v>
      </c>
      <c r="G390" s="1" t="n">
        <v>6</v>
      </c>
    </row>
    <row r="391" customFormat="false" ht="14.25" hidden="false" customHeight="true" outlineLevel="0" collapsed="false">
      <c r="A391" s="1" t="n">
        <v>526</v>
      </c>
      <c r="B391" s="1" t="s">
        <v>45</v>
      </c>
      <c r="C391" s="1" t="s">
        <v>520</v>
      </c>
      <c r="D391" s="1" t="s">
        <v>147</v>
      </c>
      <c r="E391" s="1" t="n">
        <v>2</v>
      </c>
      <c r="F391" s="1" t="n">
        <v>2</v>
      </c>
      <c r="G391" s="1" t="n">
        <v>4</v>
      </c>
    </row>
    <row r="392" customFormat="false" ht="14.25" hidden="false" customHeight="true" outlineLevel="0" collapsed="false">
      <c r="A392" s="1" t="n">
        <v>7165</v>
      </c>
      <c r="B392" s="1" t="s">
        <v>45</v>
      </c>
      <c r="C392" s="1" t="s">
        <v>521</v>
      </c>
      <c r="D392" s="1" t="s">
        <v>129</v>
      </c>
      <c r="E392" s="1" t="n">
        <v>1</v>
      </c>
      <c r="F392" s="1" t="n">
        <v>1</v>
      </c>
      <c r="G392" s="1" t="n">
        <v>1</v>
      </c>
    </row>
    <row r="393" customFormat="false" ht="14.25" hidden="false" customHeight="true" outlineLevel="0" collapsed="false">
      <c r="A393" s="1" t="n">
        <v>7357</v>
      </c>
      <c r="B393" s="1" t="s">
        <v>45</v>
      </c>
      <c r="C393" s="1" t="s">
        <v>522</v>
      </c>
      <c r="D393" s="1" t="s">
        <v>119</v>
      </c>
      <c r="E393" s="1" t="n">
        <v>1</v>
      </c>
      <c r="F393" s="1" t="n">
        <v>1</v>
      </c>
      <c r="G393" s="1" t="n">
        <v>1</v>
      </c>
    </row>
    <row r="394" customFormat="false" ht="14.25" hidden="false" customHeight="true" outlineLevel="0" collapsed="false">
      <c r="A394" s="1" t="n">
        <v>7456</v>
      </c>
      <c r="B394" s="1" t="s">
        <v>45</v>
      </c>
      <c r="C394" s="1" t="s">
        <v>523</v>
      </c>
      <c r="D394" s="1" t="s">
        <v>152</v>
      </c>
      <c r="E394" s="1" t="n">
        <v>1</v>
      </c>
      <c r="F394" s="1" t="n">
        <v>1</v>
      </c>
      <c r="G394" s="1" t="n">
        <v>3</v>
      </c>
    </row>
    <row r="395" customFormat="false" ht="14.25" hidden="false" customHeight="true" outlineLevel="0" collapsed="false">
      <c r="A395" s="1" t="n">
        <v>5725</v>
      </c>
      <c r="B395" s="1" t="s">
        <v>45</v>
      </c>
      <c r="C395" s="1" t="s">
        <v>524</v>
      </c>
      <c r="D395" s="1" t="s">
        <v>152</v>
      </c>
      <c r="E395" s="1" t="n">
        <v>1</v>
      </c>
      <c r="F395" s="1" t="n">
        <v>1</v>
      </c>
      <c r="G395" s="1" t="n">
        <v>3</v>
      </c>
    </row>
    <row r="396" customFormat="false" ht="14.25" hidden="false" customHeight="true" outlineLevel="0" collapsed="false">
      <c r="A396" s="1" t="n">
        <v>6191</v>
      </c>
      <c r="B396" s="1" t="s">
        <v>45</v>
      </c>
      <c r="C396" s="1" t="s">
        <v>525</v>
      </c>
      <c r="D396" s="1" t="s">
        <v>133</v>
      </c>
      <c r="E396" s="1" t="n">
        <v>1</v>
      </c>
      <c r="F396" s="1" t="n">
        <v>1</v>
      </c>
      <c r="G396" s="1" t="n">
        <v>5</v>
      </c>
    </row>
    <row r="397" customFormat="false" ht="14.25" hidden="false" customHeight="true" outlineLevel="0" collapsed="false">
      <c r="A397" s="1" t="n">
        <v>7345</v>
      </c>
      <c r="B397" s="1" t="s">
        <v>45</v>
      </c>
      <c r="C397" s="1" t="s">
        <v>526</v>
      </c>
      <c r="D397" s="1" t="s">
        <v>133</v>
      </c>
      <c r="E397" s="1" t="n">
        <v>1</v>
      </c>
      <c r="F397" s="1" t="n">
        <v>1</v>
      </c>
      <c r="G397" s="1" t="n">
        <v>5</v>
      </c>
    </row>
    <row r="398" customFormat="false" ht="14.25" hidden="false" customHeight="true" outlineLevel="0" collapsed="false">
      <c r="A398" s="1" t="n">
        <v>7248</v>
      </c>
      <c r="B398" s="1" t="s">
        <v>45</v>
      </c>
      <c r="C398" s="1" t="s">
        <v>527</v>
      </c>
      <c r="D398" s="1" t="s">
        <v>139</v>
      </c>
      <c r="E398" s="1" t="n">
        <v>1</v>
      </c>
      <c r="F398" s="1" t="n">
        <v>1</v>
      </c>
      <c r="G398" s="1" t="n">
        <v>3</v>
      </c>
    </row>
    <row r="399" customFormat="false" ht="14.25" hidden="false" customHeight="true" outlineLevel="0" collapsed="false">
      <c r="A399" s="1" t="n">
        <v>6410</v>
      </c>
      <c r="B399" s="1" t="s">
        <v>45</v>
      </c>
      <c r="C399" s="1" t="s">
        <v>528</v>
      </c>
      <c r="D399" s="1" t="s">
        <v>139</v>
      </c>
      <c r="E399" s="1" t="n">
        <v>1</v>
      </c>
      <c r="F399" s="1" t="n">
        <v>1</v>
      </c>
      <c r="G399" s="1" t="n">
        <v>2</v>
      </c>
    </row>
    <row r="400" customFormat="false" ht="14.25" hidden="false" customHeight="true" outlineLevel="0" collapsed="false">
      <c r="A400" s="1" t="n">
        <v>7319</v>
      </c>
      <c r="B400" s="1" t="s">
        <v>45</v>
      </c>
      <c r="C400" s="1" t="s">
        <v>529</v>
      </c>
      <c r="D400" s="1" t="s">
        <v>139</v>
      </c>
      <c r="E400" s="1" t="n">
        <v>1</v>
      </c>
      <c r="F400" s="1" t="n">
        <v>1</v>
      </c>
      <c r="G400" s="1" t="n">
        <v>1</v>
      </c>
    </row>
    <row r="401" customFormat="false" ht="14.25" hidden="false" customHeight="true" outlineLevel="0" collapsed="false">
      <c r="A401" s="1" t="n">
        <v>7276</v>
      </c>
      <c r="B401" s="1" t="s">
        <v>45</v>
      </c>
      <c r="C401" s="1" t="s">
        <v>530</v>
      </c>
      <c r="D401" s="1" t="s">
        <v>141</v>
      </c>
      <c r="E401" s="1" t="n">
        <v>1</v>
      </c>
      <c r="F401" s="1" t="n">
        <v>1</v>
      </c>
      <c r="G401" s="1" t="n">
        <v>3</v>
      </c>
    </row>
    <row r="402" customFormat="false" ht="14.25" hidden="false" customHeight="true" outlineLevel="0" collapsed="false">
      <c r="A402" s="1" t="n">
        <v>7157</v>
      </c>
      <c r="B402" s="1" t="s">
        <v>45</v>
      </c>
      <c r="C402" s="1" t="s">
        <v>531</v>
      </c>
      <c r="D402" s="1" t="s">
        <v>144</v>
      </c>
      <c r="E402" s="1" t="n">
        <v>1</v>
      </c>
      <c r="F402" s="1" t="n">
        <v>1</v>
      </c>
      <c r="G402" s="1" t="n">
        <v>1</v>
      </c>
    </row>
    <row r="403" customFormat="false" ht="14.25" hidden="false" customHeight="true" outlineLevel="0" collapsed="false">
      <c r="A403" s="1" t="n">
        <v>5007</v>
      </c>
      <c r="B403" s="1" t="s">
        <v>45</v>
      </c>
      <c r="C403" s="1" t="s">
        <v>532</v>
      </c>
      <c r="D403" s="1" t="s">
        <v>184</v>
      </c>
      <c r="E403" s="1" t="n">
        <v>1</v>
      </c>
      <c r="F403" s="1" t="n">
        <v>1</v>
      </c>
      <c r="G403" s="1" t="n">
        <v>4</v>
      </c>
    </row>
    <row r="404" customFormat="false" ht="14.25" hidden="false" customHeight="true" outlineLevel="0" collapsed="false">
      <c r="A404" s="1" t="n">
        <v>6889</v>
      </c>
      <c r="B404" s="1" t="s">
        <v>45</v>
      </c>
      <c r="C404" s="1" t="s">
        <v>533</v>
      </c>
      <c r="D404" s="1" t="s">
        <v>184</v>
      </c>
      <c r="E404" s="1" t="n">
        <v>1</v>
      </c>
      <c r="F404" s="1" t="n">
        <v>1</v>
      </c>
      <c r="G404" s="1" t="n">
        <v>4</v>
      </c>
    </row>
    <row r="405" customFormat="false" ht="14.25" hidden="false" customHeight="true" outlineLevel="0" collapsed="false">
      <c r="A405" s="1" t="n">
        <v>7392</v>
      </c>
      <c r="B405" s="1" t="s">
        <v>45</v>
      </c>
      <c r="C405" s="1" t="s">
        <v>534</v>
      </c>
      <c r="D405" s="1" t="s">
        <v>135</v>
      </c>
      <c r="E405" s="1" t="n">
        <v>1</v>
      </c>
      <c r="F405" s="1" t="n">
        <v>1</v>
      </c>
      <c r="G405" s="1" t="n">
        <v>3</v>
      </c>
    </row>
    <row r="406" customFormat="false" ht="14.25" hidden="false" customHeight="true" outlineLevel="0" collapsed="false">
      <c r="A406" s="1" t="n">
        <v>6212</v>
      </c>
      <c r="B406" s="1" t="s">
        <v>45</v>
      </c>
      <c r="C406" s="1" t="s">
        <v>535</v>
      </c>
      <c r="D406" s="1" t="s">
        <v>135</v>
      </c>
      <c r="E406" s="1" t="n">
        <v>1</v>
      </c>
      <c r="F406" s="1" t="n">
        <v>1</v>
      </c>
      <c r="G406" s="1" t="n">
        <v>4</v>
      </c>
    </row>
    <row r="407" customFormat="false" ht="14.25" hidden="false" customHeight="true" outlineLevel="0" collapsed="false">
      <c r="A407" s="1" t="n">
        <v>5485</v>
      </c>
      <c r="B407" s="1" t="s">
        <v>45</v>
      </c>
      <c r="C407" s="1" t="s">
        <v>536</v>
      </c>
      <c r="D407" s="1" t="s">
        <v>147</v>
      </c>
      <c r="E407" s="1" t="n">
        <v>1</v>
      </c>
      <c r="F407" s="1" t="n">
        <v>1</v>
      </c>
      <c r="G407" s="1" t="n">
        <v>3</v>
      </c>
    </row>
    <row r="408" customFormat="false" ht="14.25" hidden="false" customHeight="true" outlineLevel="0" collapsed="false">
      <c r="A408" s="1" t="n">
        <v>7481</v>
      </c>
      <c r="B408" s="1" t="s">
        <v>45</v>
      </c>
      <c r="C408" s="1" t="s">
        <v>537</v>
      </c>
      <c r="D408" s="1" t="s">
        <v>147</v>
      </c>
      <c r="E408" s="1" t="n">
        <v>1</v>
      </c>
      <c r="F408" s="1" t="n">
        <v>1</v>
      </c>
      <c r="G408" s="1" t="n">
        <v>1</v>
      </c>
    </row>
    <row r="409" customFormat="false" ht="14.25" hidden="false" customHeight="true" outlineLevel="0" collapsed="false">
      <c r="A409" s="1" t="n">
        <v>2764</v>
      </c>
      <c r="B409" s="1" t="s">
        <v>46</v>
      </c>
      <c r="C409" s="1" t="s">
        <v>538</v>
      </c>
      <c r="D409" s="1" t="s">
        <v>115</v>
      </c>
      <c r="E409" s="1" t="n">
        <v>35</v>
      </c>
      <c r="F409" s="1" t="n">
        <v>35</v>
      </c>
      <c r="G409" s="1" t="n">
        <v>370</v>
      </c>
    </row>
    <row r="410" customFormat="false" ht="14.25" hidden="false" customHeight="true" outlineLevel="0" collapsed="false">
      <c r="A410" s="1" t="n">
        <v>5585</v>
      </c>
      <c r="B410" s="1" t="s">
        <v>46</v>
      </c>
      <c r="C410" s="1" t="s">
        <v>539</v>
      </c>
      <c r="D410" s="1" t="s">
        <v>113</v>
      </c>
      <c r="E410" s="1" t="n">
        <v>34</v>
      </c>
      <c r="F410" s="1" t="n">
        <v>34</v>
      </c>
      <c r="G410" s="1" t="n">
        <v>365</v>
      </c>
    </row>
    <row r="411" customFormat="false" ht="14.25" hidden="false" customHeight="true" outlineLevel="0" collapsed="false">
      <c r="A411" s="1" t="n">
        <v>4871</v>
      </c>
      <c r="B411" s="1" t="s">
        <v>46</v>
      </c>
      <c r="C411" s="1" t="s">
        <v>540</v>
      </c>
      <c r="D411" s="1" t="s">
        <v>115</v>
      </c>
      <c r="E411" s="1" t="n">
        <v>29</v>
      </c>
      <c r="F411" s="1" t="n">
        <v>29</v>
      </c>
      <c r="G411" s="1" t="n">
        <v>280</v>
      </c>
    </row>
    <row r="412" customFormat="false" ht="14.25" hidden="false" customHeight="true" outlineLevel="0" collapsed="false">
      <c r="A412" s="1" t="n">
        <v>6052</v>
      </c>
      <c r="B412" s="1" t="s">
        <v>46</v>
      </c>
      <c r="C412" s="1" t="s">
        <v>541</v>
      </c>
      <c r="D412" s="1" t="s">
        <v>125</v>
      </c>
      <c r="E412" s="1" t="n">
        <v>28</v>
      </c>
      <c r="F412" s="1" t="n">
        <v>28</v>
      </c>
      <c r="G412" s="1" t="n">
        <v>271</v>
      </c>
    </row>
    <row r="413" customFormat="false" ht="14.25" hidden="false" customHeight="true" outlineLevel="0" collapsed="false">
      <c r="A413" s="1" t="n">
        <v>6397</v>
      </c>
      <c r="B413" s="1" t="s">
        <v>46</v>
      </c>
      <c r="C413" s="1" t="s">
        <v>542</v>
      </c>
      <c r="D413" s="1" t="s">
        <v>121</v>
      </c>
      <c r="E413" s="1" t="n">
        <v>27</v>
      </c>
      <c r="F413" s="1" t="n">
        <v>27</v>
      </c>
      <c r="G413" s="1" t="n">
        <v>240</v>
      </c>
    </row>
    <row r="414" customFormat="false" ht="14.25" hidden="false" customHeight="true" outlineLevel="0" collapsed="false">
      <c r="A414" s="1" t="n">
        <v>5951</v>
      </c>
      <c r="B414" s="1" t="s">
        <v>46</v>
      </c>
      <c r="C414" s="1" t="s">
        <v>543</v>
      </c>
      <c r="D414" s="1" t="s">
        <v>131</v>
      </c>
      <c r="E414" s="1" t="n">
        <v>26</v>
      </c>
      <c r="F414" s="1" t="n">
        <v>26</v>
      </c>
      <c r="G414" s="1" t="n">
        <v>225</v>
      </c>
    </row>
    <row r="415" customFormat="false" ht="14.25" hidden="false" customHeight="true" outlineLevel="0" collapsed="false">
      <c r="A415" s="1" t="n">
        <v>2097</v>
      </c>
      <c r="B415" s="1" t="s">
        <v>46</v>
      </c>
      <c r="C415" s="1" t="s">
        <v>544</v>
      </c>
      <c r="D415" s="1" t="s">
        <v>123</v>
      </c>
      <c r="E415" s="1" t="n">
        <v>25</v>
      </c>
      <c r="F415" s="1" t="n">
        <v>25</v>
      </c>
      <c r="G415" s="1" t="n">
        <v>212</v>
      </c>
    </row>
    <row r="416" customFormat="false" ht="14.25" hidden="false" customHeight="true" outlineLevel="0" collapsed="false">
      <c r="A416" s="1" t="n">
        <v>6434</v>
      </c>
      <c r="B416" s="1" t="s">
        <v>46</v>
      </c>
      <c r="C416" s="1" t="s">
        <v>545</v>
      </c>
      <c r="D416" s="1" t="s">
        <v>131</v>
      </c>
      <c r="E416" s="1" t="n">
        <v>23</v>
      </c>
      <c r="F416" s="1" t="n">
        <v>23</v>
      </c>
      <c r="G416" s="1" t="n">
        <v>200</v>
      </c>
    </row>
    <row r="417" customFormat="false" ht="14.25" hidden="false" customHeight="true" outlineLevel="0" collapsed="false">
      <c r="A417" s="1" t="n">
        <v>7017</v>
      </c>
      <c r="B417" s="1" t="s">
        <v>46</v>
      </c>
      <c r="C417" s="1" t="s">
        <v>546</v>
      </c>
      <c r="D417" s="1" t="s">
        <v>119</v>
      </c>
      <c r="E417" s="1" t="n">
        <v>20</v>
      </c>
      <c r="F417" s="1" t="n">
        <v>20</v>
      </c>
      <c r="G417" s="1" t="n">
        <v>157</v>
      </c>
    </row>
    <row r="418" customFormat="false" ht="14.25" hidden="false" customHeight="true" outlineLevel="0" collapsed="false">
      <c r="A418" s="1" t="n">
        <v>2137</v>
      </c>
      <c r="B418" s="1" t="s">
        <v>46</v>
      </c>
      <c r="C418" s="1" t="s">
        <v>547</v>
      </c>
      <c r="D418" s="1" t="s">
        <v>117</v>
      </c>
      <c r="E418" s="1" t="n">
        <v>19</v>
      </c>
      <c r="F418" s="1" t="n">
        <v>19</v>
      </c>
      <c r="G418" s="1" t="n">
        <v>128</v>
      </c>
    </row>
    <row r="419" customFormat="false" ht="14.25" hidden="false" customHeight="true" outlineLevel="0" collapsed="false">
      <c r="A419" s="1" t="n">
        <v>5637</v>
      </c>
      <c r="B419" s="1" t="s">
        <v>46</v>
      </c>
      <c r="C419" s="1" t="s">
        <v>548</v>
      </c>
      <c r="D419" s="1" t="s">
        <v>135</v>
      </c>
      <c r="E419" s="1" t="n">
        <v>19</v>
      </c>
      <c r="F419" s="1" t="n">
        <v>19</v>
      </c>
      <c r="G419" s="1" t="n">
        <v>121</v>
      </c>
    </row>
    <row r="420" customFormat="false" ht="14.25" hidden="false" customHeight="true" outlineLevel="0" collapsed="false">
      <c r="A420" s="1" t="n">
        <v>6435</v>
      </c>
      <c r="B420" s="1" t="s">
        <v>46</v>
      </c>
      <c r="C420" s="1" t="s">
        <v>549</v>
      </c>
      <c r="D420" s="1" t="s">
        <v>117</v>
      </c>
      <c r="E420" s="1" t="n">
        <v>18</v>
      </c>
      <c r="F420" s="1" t="n">
        <v>18</v>
      </c>
      <c r="G420" s="1" t="n">
        <v>100</v>
      </c>
    </row>
    <row r="421" customFormat="false" ht="14.25" hidden="false" customHeight="true" outlineLevel="0" collapsed="false">
      <c r="A421" s="1" t="n">
        <v>4510</v>
      </c>
      <c r="B421" s="1" t="s">
        <v>46</v>
      </c>
      <c r="C421" s="1" t="s">
        <v>550</v>
      </c>
      <c r="D421" s="1" t="s">
        <v>121</v>
      </c>
      <c r="E421" s="1" t="n">
        <v>18</v>
      </c>
      <c r="F421" s="1" t="n">
        <v>18</v>
      </c>
      <c r="G421" s="1" t="n">
        <v>120</v>
      </c>
    </row>
    <row r="422" customFormat="false" ht="14.25" hidden="false" customHeight="true" outlineLevel="0" collapsed="false">
      <c r="A422" s="1" t="n">
        <v>531</v>
      </c>
      <c r="B422" s="1" t="s">
        <v>46</v>
      </c>
      <c r="C422" s="1" t="s">
        <v>551</v>
      </c>
      <c r="D422" s="1" t="s">
        <v>144</v>
      </c>
      <c r="E422" s="1" t="n">
        <v>18</v>
      </c>
      <c r="F422" s="1" t="n">
        <v>18</v>
      </c>
      <c r="G422" s="1" t="n">
        <v>115</v>
      </c>
    </row>
    <row r="423" customFormat="false" ht="14.25" hidden="false" customHeight="true" outlineLevel="0" collapsed="false">
      <c r="A423" s="1" t="n">
        <v>5995</v>
      </c>
      <c r="B423" s="1" t="s">
        <v>46</v>
      </c>
      <c r="C423" s="1" t="s">
        <v>552</v>
      </c>
      <c r="D423" s="1" t="s">
        <v>117</v>
      </c>
      <c r="E423" s="1" t="n">
        <v>17</v>
      </c>
      <c r="F423" s="1" t="n">
        <v>17</v>
      </c>
      <c r="G423" s="1" t="n">
        <v>106</v>
      </c>
    </row>
    <row r="424" customFormat="false" ht="14.25" hidden="false" customHeight="true" outlineLevel="0" collapsed="false">
      <c r="A424" s="1" t="n">
        <v>6675</v>
      </c>
      <c r="B424" s="1" t="s">
        <v>46</v>
      </c>
      <c r="C424" s="1" t="s">
        <v>553</v>
      </c>
      <c r="D424" s="1" t="s">
        <v>127</v>
      </c>
      <c r="E424" s="1" t="n">
        <v>16</v>
      </c>
      <c r="F424" s="1" t="n">
        <v>16</v>
      </c>
      <c r="G424" s="1" t="n">
        <v>84</v>
      </c>
    </row>
    <row r="425" customFormat="false" ht="14.25" hidden="false" customHeight="true" outlineLevel="0" collapsed="false">
      <c r="A425" s="1" t="n">
        <v>7071</v>
      </c>
      <c r="B425" s="1" t="s">
        <v>46</v>
      </c>
      <c r="C425" s="1" t="s">
        <v>554</v>
      </c>
      <c r="D425" s="1" t="s">
        <v>115</v>
      </c>
      <c r="E425" s="1" t="n">
        <v>16</v>
      </c>
      <c r="F425" s="1" t="n">
        <v>16</v>
      </c>
      <c r="G425" s="1" t="n">
        <v>93</v>
      </c>
    </row>
    <row r="426" customFormat="false" ht="14.25" hidden="false" customHeight="true" outlineLevel="0" collapsed="false">
      <c r="A426" s="1" t="n">
        <v>7023</v>
      </c>
      <c r="B426" s="1" t="s">
        <v>46</v>
      </c>
      <c r="C426" s="1" t="s">
        <v>555</v>
      </c>
      <c r="D426" s="1" t="s">
        <v>141</v>
      </c>
      <c r="E426" s="1" t="n">
        <v>15</v>
      </c>
      <c r="F426" s="1" t="n">
        <v>15</v>
      </c>
      <c r="G426" s="1" t="n">
        <v>81</v>
      </c>
    </row>
    <row r="427" customFormat="false" ht="14.25" hidden="false" customHeight="true" outlineLevel="0" collapsed="false">
      <c r="A427" s="1" t="n">
        <v>6060</v>
      </c>
      <c r="B427" s="1" t="s">
        <v>46</v>
      </c>
      <c r="C427" s="1" t="s">
        <v>556</v>
      </c>
      <c r="D427" s="1" t="s">
        <v>144</v>
      </c>
      <c r="E427" s="1" t="n">
        <v>15</v>
      </c>
      <c r="F427" s="1" t="n">
        <v>15</v>
      </c>
      <c r="G427" s="1" t="n">
        <v>88</v>
      </c>
    </row>
    <row r="428" customFormat="false" ht="14.25" hidden="false" customHeight="true" outlineLevel="0" collapsed="false">
      <c r="A428" s="1" t="n">
        <v>2061</v>
      </c>
      <c r="B428" s="1" t="s">
        <v>46</v>
      </c>
      <c r="C428" s="1" t="s">
        <v>557</v>
      </c>
      <c r="D428" s="1" t="s">
        <v>184</v>
      </c>
      <c r="E428" s="1" t="n">
        <v>15</v>
      </c>
      <c r="F428" s="1" t="n">
        <v>15</v>
      </c>
      <c r="G428" s="1" t="n">
        <v>82</v>
      </c>
    </row>
    <row r="429" customFormat="false" ht="14.25" hidden="false" customHeight="true" outlineLevel="0" collapsed="false">
      <c r="A429" s="1" t="n">
        <v>7351</v>
      </c>
      <c r="B429" s="1" t="s">
        <v>46</v>
      </c>
      <c r="C429" s="1" t="s">
        <v>558</v>
      </c>
      <c r="D429" s="1" t="s">
        <v>125</v>
      </c>
      <c r="E429" s="1" t="n">
        <v>14</v>
      </c>
      <c r="F429" s="1" t="n">
        <v>14</v>
      </c>
      <c r="G429" s="1" t="n">
        <v>60</v>
      </c>
    </row>
    <row r="430" customFormat="false" ht="14.25" hidden="false" customHeight="true" outlineLevel="0" collapsed="false">
      <c r="A430" s="1" t="n">
        <v>309</v>
      </c>
      <c r="B430" s="1" t="s">
        <v>46</v>
      </c>
      <c r="C430" s="1" t="s">
        <v>559</v>
      </c>
      <c r="D430" s="1" t="s">
        <v>113</v>
      </c>
      <c r="E430" s="1" t="n">
        <v>14</v>
      </c>
      <c r="F430" s="1" t="n">
        <v>14</v>
      </c>
      <c r="G430" s="1" t="n">
        <v>67</v>
      </c>
    </row>
    <row r="431" customFormat="false" ht="14.25" hidden="false" customHeight="true" outlineLevel="0" collapsed="false">
      <c r="A431" s="1" t="n">
        <v>6572</v>
      </c>
      <c r="B431" s="1" t="s">
        <v>46</v>
      </c>
      <c r="C431" s="1" t="s">
        <v>560</v>
      </c>
      <c r="D431" s="1" t="s">
        <v>113</v>
      </c>
      <c r="E431" s="1" t="n">
        <v>14</v>
      </c>
      <c r="F431" s="1" t="n">
        <v>14</v>
      </c>
      <c r="G431" s="1" t="n">
        <v>83</v>
      </c>
    </row>
    <row r="432" customFormat="false" ht="14.25" hidden="false" customHeight="true" outlineLevel="0" collapsed="false">
      <c r="A432" s="1" t="n">
        <v>4371</v>
      </c>
      <c r="B432" s="1" t="s">
        <v>46</v>
      </c>
      <c r="C432" s="1" t="s">
        <v>561</v>
      </c>
      <c r="D432" s="1" t="s">
        <v>117</v>
      </c>
      <c r="E432" s="1" t="n">
        <v>13</v>
      </c>
      <c r="F432" s="1" t="n">
        <v>13</v>
      </c>
      <c r="G432" s="1" t="n">
        <v>62</v>
      </c>
    </row>
    <row r="433" customFormat="false" ht="14.25" hidden="false" customHeight="true" outlineLevel="0" collapsed="false">
      <c r="A433" s="1" t="n">
        <v>4463</v>
      </c>
      <c r="B433" s="1" t="s">
        <v>46</v>
      </c>
      <c r="C433" s="1" t="s">
        <v>562</v>
      </c>
      <c r="D433" s="1" t="s">
        <v>129</v>
      </c>
      <c r="E433" s="1" t="n">
        <v>13</v>
      </c>
      <c r="F433" s="1" t="n">
        <v>13</v>
      </c>
      <c r="G433" s="1" t="n">
        <v>50</v>
      </c>
    </row>
    <row r="434" customFormat="false" ht="14.25" hidden="false" customHeight="true" outlineLevel="0" collapsed="false">
      <c r="A434" s="1" t="n">
        <v>4728</v>
      </c>
      <c r="B434" s="1" t="s">
        <v>46</v>
      </c>
      <c r="C434" s="1" t="s">
        <v>563</v>
      </c>
      <c r="D434" s="1" t="s">
        <v>121</v>
      </c>
      <c r="E434" s="1" t="n">
        <v>13</v>
      </c>
      <c r="F434" s="1" t="n">
        <v>13</v>
      </c>
      <c r="G434" s="1" t="n">
        <v>52</v>
      </c>
    </row>
    <row r="435" customFormat="false" ht="14.25" hidden="false" customHeight="true" outlineLevel="0" collapsed="false">
      <c r="A435" s="1" t="n">
        <v>2038</v>
      </c>
      <c r="B435" s="1" t="s">
        <v>46</v>
      </c>
      <c r="C435" s="1" t="s">
        <v>564</v>
      </c>
      <c r="D435" s="1" t="s">
        <v>144</v>
      </c>
      <c r="E435" s="1" t="n">
        <v>13</v>
      </c>
      <c r="F435" s="1" t="n">
        <v>13</v>
      </c>
      <c r="G435" s="1" t="n">
        <v>58</v>
      </c>
    </row>
    <row r="436" customFormat="false" ht="14.25" hidden="false" customHeight="true" outlineLevel="0" collapsed="false">
      <c r="A436" s="1" t="n">
        <v>5734</v>
      </c>
      <c r="B436" s="1" t="s">
        <v>46</v>
      </c>
      <c r="C436" s="1" t="s">
        <v>565</v>
      </c>
      <c r="D436" s="1" t="s">
        <v>113</v>
      </c>
      <c r="E436" s="1" t="n">
        <v>12</v>
      </c>
      <c r="F436" s="1" t="n">
        <v>12</v>
      </c>
      <c r="G436" s="1" t="n">
        <v>55</v>
      </c>
    </row>
    <row r="437" customFormat="false" ht="14.25" hidden="false" customHeight="true" outlineLevel="0" collapsed="false">
      <c r="A437" s="1" t="n">
        <v>7484</v>
      </c>
      <c r="B437" s="1" t="s">
        <v>46</v>
      </c>
      <c r="C437" s="1" t="s">
        <v>566</v>
      </c>
      <c r="D437" s="1" t="s">
        <v>147</v>
      </c>
      <c r="E437" s="1" t="n">
        <v>12</v>
      </c>
      <c r="F437" s="1" t="n">
        <v>12</v>
      </c>
      <c r="G437" s="1" t="n">
        <v>52</v>
      </c>
    </row>
    <row r="438" customFormat="false" ht="14.25" hidden="false" customHeight="true" outlineLevel="0" collapsed="false">
      <c r="A438" s="1" t="n">
        <v>6967</v>
      </c>
      <c r="B438" s="1" t="s">
        <v>46</v>
      </c>
      <c r="C438" s="1" t="s">
        <v>567</v>
      </c>
      <c r="D438" s="1" t="s">
        <v>119</v>
      </c>
      <c r="E438" s="1" t="n">
        <v>11</v>
      </c>
      <c r="F438" s="1" t="n">
        <v>11</v>
      </c>
      <c r="G438" s="1" t="n">
        <v>50</v>
      </c>
    </row>
    <row r="439" customFormat="false" ht="14.25" hidden="false" customHeight="true" outlineLevel="0" collapsed="false">
      <c r="A439" s="1" t="n">
        <v>4923</v>
      </c>
      <c r="B439" s="1" t="s">
        <v>46</v>
      </c>
      <c r="C439" s="1" t="s">
        <v>568</v>
      </c>
      <c r="D439" s="1" t="s">
        <v>137</v>
      </c>
      <c r="E439" s="1" t="n">
        <v>11</v>
      </c>
      <c r="F439" s="1" t="n">
        <v>11</v>
      </c>
      <c r="G439" s="1" t="n">
        <v>63</v>
      </c>
    </row>
    <row r="440" customFormat="false" ht="14.25" hidden="false" customHeight="true" outlineLevel="0" collapsed="false">
      <c r="A440" s="1" t="n">
        <v>5672</v>
      </c>
      <c r="B440" s="1" t="s">
        <v>46</v>
      </c>
      <c r="C440" s="1" t="s">
        <v>569</v>
      </c>
      <c r="D440" s="1" t="s">
        <v>133</v>
      </c>
      <c r="E440" s="1" t="n">
        <v>10</v>
      </c>
      <c r="F440" s="1" t="n">
        <v>10</v>
      </c>
      <c r="G440" s="1" t="n">
        <v>31</v>
      </c>
    </row>
    <row r="441" customFormat="false" ht="14.25" hidden="false" customHeight="true" outlineLevel="0" collapsed="false">
      <c r="A441" s="1" t="n">
        <v>7313</v>
      </c>
      <c r="B441" s="1" t="s">
        <v>46</v>
      </c>
      <c r="C441" s="1" t="s">
        <v>570</v>
      </c>
      <c r="D441" s="1" t="s">
        <v>133</v>
      </c>
      <c r="E441" s="1" t="n">
        <v>10</v>
      </c>
      <c r="F441" s="1" t="n">
        <v>10</v>
      </c>
      <c r="G441" s="1" t="n">
        <v>32</v>
      </c>
    </row>
    <row r="442" customFormat="false" ht="14.25" hidden="false" customHeight="true" outlineLevel="0" collapsed="false">
      <c r="A442" s="1" t="n">
        <v>2531</v>
      </c>
      <c r="B442" s="1" t="s">
        <v>46</v>
      </c>
      <c r="C442" s="1" t="s">
        <v>571</v>
      </c>
      <c r="D442" s="1" t="s">
        <v>125</v>
      </c>
      <c r="E442" s="1" t="n">
        <v>10</v>
      </c>
      <c r="F442" s="1" t="n">
        <v>10</v>
      </c>
      <c r="G442" s="1" t="n">
        <v>45</v>
      </c>
    </row>
    <row r="443" customFormat="false" ht="14.25" hidden="false" customHeight="true" outlineLevel="0" collapsed="false">
      <c r="A443" s="1" t="n">
        <v>7347</v>
      </c>
      <c r="B443" s="1" t="s">
        <v>46</v>
      </c>
      <c r="C443" s="1" t="s">
        <v>572</v>
      </c>
      <c r="D443" s="1" t="s">
        <v>144</v>
      </c>
      <c r="E443" s="1" t="n">
        <v>10</v>
      </c>
      <c r="F443" s="1" t="n">
        <v>10</v>
      </c>
      <c r="G443" s="1" t="n">
        <v>39</v>
      </c>
    </row>
    <row r="444" customFormat="false" ht="14.25" hidden="false" customHeight="true" outlineLevel="0" collapsed="false">
      <c r="A444" s="1" t="n">
        <v>6530</v>
      </c>
      <c r="B444" s="1" t="s">
        <v>46</v>
      </c>
      <c r="C444" s="1" t="s">
        <v>573</v>
      </c>
      <c r="D444" s="1" t="s">
        <v>152</v>
      </c>
      <c r="E444" s="1" t="n">
        <v>9</v>
      </c>
      <c r="F444" s="1" t="n">
        <v>9</v>
      </c>
      <c r="G444" s="1" t="n">
        <v>30</v>
      </c>
    </row>
    <row r="445" customFormat="false" ht="14.25" hidden="false" customHeight="true" outlineLevel="0" collapsed="false">
      <c r="A445" s="1" t="n">
        <v>5544</v>
      </c>
      <c r="B445" s="1" t="s">
        <v>46</v>
      </c>
      <c r="C445" s="1" t="s">
        <v>574</v>
      </c>
      <c r="D445" s="1" t="s">
        <v>131</v>
      </c>
      <c r="E445" s="1" t="n">
        <v>9</v>
      </c>
      <c r="F445" s="1" t="n">
        <v>9</v>
      </c>
      <c r="G445" s="1" t="n">
        <v>40</v>
      </c>
    </row>
    <row r="446" customFormat="false" ht="14.25" hidden="false" customHeight="true" outlineLevel="0" collapsed="false">
      <c r="A446" s="1" t="n">
        <v>5029</v>
      </c>
      <c r="B446" s="1" t="s">
        <v>46</v>
      </c>
      <c r="C446" s="1" t="s">
        <v>575</v>
      </c>
      <c r="D446" s="1" t="s">
        <v>139</v>
      </c>
      <c r="E446" s="1" t="n">
        <v>9</v>
      </c>
      <c r="F446" s="1" t="n">
        <v>9</v>
      </c>
      <c r="G446" s="1" t="n">
        <v>25</v>
      </c>
    </row>
    <row r="447" customFormat="false" ht="14.25" hidden="false" customHeight="true" outlineLevel="0" collapsed="false">
      <c r="A447" s="1" t="n">
        <v>2155</v>
      </c>
      <c r="B447" s="1" t="s">
        <v>46</v>
      </c>
      <c r="C447" s="1" t="s">
        <v>576</v>
      </c>
      <c r="D447" s="1" t="s">
        <v>149</v>
      </c>
      <c r="E447" s="1" t="n">
        <v>9</v>
      </c>
      <c r="F447" s="1" t="n">
        <v>9</v>
      </c>
      <c r="G447" s="1" t="n">
        <v>33</v>
      </c>
    </row>
    <row r="448" customFormat="false" ht="14.25" hidden="false" customHeight="true" outlineLevel="0" collapsed="false">
      <c r="A448" s="1" t="n">
        <v>6646</v>
      </c>
      <c r="B448" s="1" t="s">
        <v>46</v>
      </c>
      <c r="C448" s="1" t="s">
        <v>577</v>
      </c>
      <c r="D448" s="1" t="s">
        <v>184</v>
      </c>
      <c r="E448" s="1" t="n">
        <v>9</v>
      </c>
      <c r="F448" s="1" t="n">
        <v>9</v>
      </c>
      <c r="G448" s="1" t="n">
        <v>32</v>
      </c>
    </row>
    <row r="449" customFormat="false" ht="14.25" hidden="false" customHeight="true" outlineLevel="0" collapsed="false">
      <c r="A449" s="1" t="n">
        <v>6643</v>
      </c>
      <c r="B449" s="1" t="s">
        <v>46</v>
      </c>
      <c r="C449" s="1" t="s">
        <v>578</v>
      </c>
      <c r="D449" s="1" t="s">
        <v>127</v>
      </c>
      <c r="E449" s="1" t="n">
        <v>8</v>
      </c>
      <c r="F449" s="1" t="n">
        <v>8</v>
      </c>
      <c r="G449" s="1" t="n">
        <v>23</v>
      </c>
    </row>
    <row r="450" customFormat="false" ht="14.25" hidden="false" customHeight="true" outlineLevel="0" collapsed="false">
      <c r="A450" s="1" t="n">
        <v>4359</v>
      </c>
      <c r="B450" s="1" t="s">
        <v>46</v>
      </c>
      <c r="C450" s="1" t="s">
        <v>579</v>
      </c>
      <c r="D450" s="1" t="s">
        <v>123</v>
      </c>
      <c r="E450" s="1" t="n">
        <v>8</v>
      </c>
      <c r="F450" s="1" t="n">
        <v>8</v>
      </c>
      <c r="G450" s="1" t="n">
        <v>24</v>
      </c>
    </row>
    <row r="451" customFormat="false" ht="14.25" hidden="false" customHeight="true" outlineLevel="0" collapsed="false">
      <c r="A451" s="1" t="n">
        <v>6164</v>
      </c>
      <c r="B451" s="1" t="s">
        <v>46</v>
      </c>
      <c r="C451" s="1" t="s">
        <v>580</v>
      </c>
      <c r="D451" s="1" t="s">
        <v>137</v>
      </c>
      <c r="E451" s="1" t="n">
        <v>8</v>
      </c>
      <c r="F451" s="1" t="n">
        <v>8</v>
      </c>
      <c r="G451" s="1" t="n">
        <v>20</v>
      </c>
    </row>
    <row r="452" customFormat="false" ht="14.25" hidden="false" customHeight="true" outlineLevel="0" collapsed="false">
      <c r="A452" s="1" t="n">
        <v>6904</v>
      </c>
      <c r="B452" s="1" t="s">
        <v>46</v>
      </c>
      <c r="C452" s="1" t="s">
        <v>581</v>
      </c>
      <c r="D452" s="1" t="s">
        <v>147</v>
      </c>
      <c r="E452" s="1" t="n">
        <v>8</v>
      </c>
      <c r="F452" s="1" t="n">
        <v>8</v>
      </c>
      <c r="G452" s="1" t="n">
        <v>28</v>
      </c>
    </row>
    <row r="453" customFormat="false" ht="14.25" hidden="false" customHeight="true" outlineLevel="0" collapsed="false">
      <c r="A453" s="1" t="n">
        <v>7449</v>
      </c>
      <c r="B453" s="1" t="s">
        <v>46</v>
      </c>
      <c r="C453" s="1" t="s">
        <v>582</v>
      </c>
      <c r="D453" s="1" t="s">
        <v>147</v>
      </c>
      <c r="E453" s="1" t="n">
        <v>8</v>
      </c>
      <c r="F453" s="1" t="n">
        <v>8</v>
      </c>
      <c r="G453" s="1" t="n">
        <v>20</v>
      </c>
    </row>
    <row r="454" customFormat="false" ht="14.25" hidden="false" customHeight="true" outlineLevel="0" collapsed="false">
      <c r="A454" s="1" t="n">
        <v>5436</v>
      </c>
      <c r="B454" s="1" t="s">
        <v>46</v>
      </c>
      <c r="C454" s="1" t="s">
        <v>583</v>
      </c>
      <c r="D454" s="1" t="s">
        <v>152</v>
      </c>
      <c r="E454" s="1" t="n">
        <v>7</v>
      </c>
      <c r="F454" s="1" t="n">
        <v>7</v>
      </c>
      <c r="G454" s="1" t="n">
        <v>24</v>
      </c>
    </row>
    <row r="455" customFormat="false" ht="14.25" hidden="false" customHeight="true" outlineLevel="0" collapsed="false">
      <c r="A455" s="1" t="n">
        <v>6669</v>
      </c>
      <c r="B455" s="1" t="s">
        <v>46</v>
      </c>
      <c r="C455" s="1" t="s">
        <v>584</v>
      </c>
      <c r="D455" s="1" t="s">
        <v>115</v>
      </c>
      <c r="E455" s="1" t="n">
        <v>7</v>
      </c>
      <c r="F455" s="1" t="n">
        <v>7</v>
      </c>
      <c r="G455" s="1" t="n">
        <v>21</v>
      </c>
    </row>
    <row r="456" customFormat="false" ht="14.25" hidden="false" customHeight="true" outlineLevel="0" collapsed="false">
      <c r="A456" s="1" t="n">
        <v>7252</v>
      </c>
      <c r="B456" s="1" t="s">
        <v>46</v>
      </c>
      <c r="C456" s="1" t="s">
        <v>585</v>
      </c>
      <c r="D456" s="1" t="s">
        <v>139</v>
      </c>
      <c r="E456" s="1" t="n">
        <v>7</v>
      </c>
      <c r="F456" s="1" t="n">
        <v>7</v>
      </c>
      <c r="G456" s="1" t="n">
        <v>18</v>
      </c>
    </row>
    <row r="457" customFormat="false" ht="14.25" hidden="false" customHeight="true" outlineLevel="0" collapsed="false">
      <c r="A457" s="1" t="n">
        <v>608</v>
      </c>
      <c r="B457" s="1" t="s">
        <v>46</v>
      </c>
      <c r="C457" s="1" t="s">
        <v>586</v>
      </c>
      <c r="D457" s="1" t="s">
        <v>184</v>
      </c>
      <c r="E457" s="1" t="n">
        <v>7</v>
      </c>
      <c r="F457" s="1" t="n">
        <v>7</v>
      </c>
      <c r="G457" s="1" t="n">
        <v>18</v>
      </c>
    </row>
    <row r="458" customFormat="false" ht="14.25" hidden="false" customHeight="true" outlineLevel="0" collapsed="false">
      <c r="A458" s="1" t="n">
        <v>5918</v>
      </c>
      <c r="B458" s="1" t="s">
        <v>46</v>
      </c>
      <c r="C458" s="1" t="s">
        <v>587</v>
      </c>
      <c r="D458" s="1" t="s">
        <v>117</v>
      </c>
      <c r="E458" s="1" t="n">
        <v>6</v>
      </c>
      <c r="F458" s="1" t="n">
        <v>6</v>
      </c>
      <c r="G458" s="1" t="n">
        <v>16</v>
      </c>
    </row>
    <row r="459" customFormat="false" ht="14.25" hidden="false" customHeight="true" outlineLevel="0" collapsed="false">
      <c r="A459" s="1" t="n">
        <v>6598</v>
      </c>
      <c r="B459" s="1" t="s">
        <v>46</v>
      </c>
      <c r="C459" s="1" t="s">
        <v>588</v>
      </c>
      <c r="D459" s="1" t="s">
        <v>129</v>
      </c>
      <c r="E459" s="1" t="n">
        <v>6</v>
      </c>
      <c r="F459" s="1" t="n">
        <v>6</v>
      </c>
      <c r="G459" s="1" t="n">
        <v>19</v>
      </c>
    </row>
    <row r="460" customFormat="false" ht="14.25" hidden="false" customHeight="true" outlineLevel="0" collapsed="false">
      <c r="A460" s="1" t="n">
        <v>2832</v>
      </c>
      <c r="B460" s="1" t="s">
        <v>46</v>
      </c>
      <c r="C460" s="1" t="s">
        <v>589</v>
      </c>
      <c r="D460" s="1" t="s">
        <v>131</v>
      </c>
      <c r="E460" s="1" t="n">
        <v>6</v>
      </c>
      <c r="F460" s="1" t="n">
        <v>6</v>
      </c>
      <c r="G460" s="1" t="n">
        <v>25</v>
      </c>
    </row>
    <row r="461" customFormat="false" ht="14.25" hidden="false" customHeight="true" outlineLevel="0" collapsed="false">
      <c r="A461" s="1" t="n">
        <v>6556</v>
      </c>
      <c r="B461" s="1" t="s">
        <v>46</v>
      </c>
      <c r="C461" s="1" t="s">
        <v>590</v>
      </c>
      <c r="D461" s="1" t="s">
        <v>133</v>
      </c>
      <c r="E461" s="1" t="n">
        <v>6</v>
      </c>
      <c r="F461" s="1" t="n">
        <v>6</v>
      </c>
      <c r="G461" s="1" t="n">
        <v>17</v>
      </c>
    </row>
    <row r="462" customFormat="false" ht="14.25" hidden="false" customHeight="true" outlineLevel="0" collapsed="false">
      <c r="A462" s="1" t="n">
        <v>7008</v>
      </c>
      <c r="B462" s="1" t="s">
        <v>46</v>
      </c>
      <c r="C462" s="1" t="s">
        <v>591</v>
      </c>
      <c r="D462" s="1" t="s">
        <v>121</v>
      </c>
      <c r="E462" s="1" t="n">
        <v>6</v>
      </c>
      <c r="F462" s="1" t="n">
        <v>6</v>
      </c>
      <c r="G462" s="1" t="n">
        <v>14</v>
      </c>
    </row>
    <row r="463" customFormat="false" ht="14.25" hidden="false" customHeight="true" outlineLevel="0" collapsed="false">
      <c r="A463" s="1" t="n">
        <v>6831</v>
      </c>
      <c r="B463" s="1" t="s">
        <v>46</v>
      </c>
      <c r="C463" s="1" t="s">
        <v>592</v>
      </c>
      <c r="D463" s="1" t="s">
        <v>125</v>
      </c>
      <c r="E463" s="1" t="n">
        <v>6</v>
      </c>
      <c r="F463" s="1" t="n">
        <v>6</v>
      </c>
      <c r="G463" s="1" t="n">
        <v>22</v>
      </c>
    </row>
    <row r="464" customFormat="false" ht="14.25" hidden="false" customHeight="true" outlineLevel="0" collapsed="false">
      <c r="A464" s="1" t="n">
        <v>4896</v>
      </c>
      <c r="B464" s="1" t="s">
        <v>46</v>
      </c>
      <c r="C464" s="1" t="s">
        <v>593</v>
      </c>
      <c r="D464" s="1" t="s">
        <v>117</v>
      </c>
      <c r="E464" s="1" t="n">
        <v>5</v>
      </c>
      <c r="F464" s="1" t="n">
        <v>5</v>
      </c>
      <c r="G464" s="1" t="n">
        <v>14</v>
      </c>
    </row>
    <row r="465" customFormat="false" ht="14.25" hidden="false" customHeight="true" outlineLevel="0" collapsed="false">
      <c r="A465" s="1" t="n">
        <v>6519</v>
      </c>
      <c r="B465" s="1" t="s">
        <v>46</v>
      </c>
      <c r="C465" s="1" t="s">
        <v>594</v>
      </c>
      <c r="D465" s="1" t="s">
        <v>121</v>
      </c>
      <c r="E465" s="1" t="n">
        <v>5</v>
      </c>
      <c r="F465" s="1" t="n">
        <v>5</v>
      </c>
      <c r="G465" s="1" t="n">
        <v>18</v>
      </c>
    </row>
    <row r="466" customFormat="false" ht="14.25" hidden="false" customHeight="true" outlineLevel="0" collapsed="false">
      <c r="A466" s="1" t="n">
        <v>5882</v>
      </c>
      <c r="B466" s="1" t="s">
        <v>46</v>
      </c>
      <c r="C466" s="1" t="s">
        <v>595</v>
      </c>
      <c r="D466" s="1" t="s">
        <v>149</v>
      </c>
      <c r="E466" s="1" t="n">
        <v>5</v>
      </c>
      <c r="F466" s="1" t="n">
        <v>5</v>
      </c>
      <c r="G466" s="1" t="n">
        <v>18</v>
      </c>
    </row>
    <row r="467" customFormat="false" ht="14.25" hidden="false" customHeight="true" outlineLevel="0" collapsed="false">
      <c r="A467" s="1" t="n">
        <v>7213</v>
      </c>
      <c r="B467" s="1" t="s">
        <v>46</v>
      </c>
      <c r="C467" s="1" t="s">
        <v>596</v>
      </c>
      <c r="D467" s="1" t="s">
        <v>141</v>
      </c>
      <c r="E467" s="1" t="n">
        <v>5</v>
      </c>
      <c r="F467" s="1" t="n">
        <v>5</v>
      </c>
      <c r="G467" s="1" t="n">
        <v>13</v>
      </c>
    </row>
    <row r="468" customFormat="false" ht="14.25" hidden="false" customHeight="true" outlineLevel="0" collapsed="false">
      <c r="A468" s="1" t="n">
        <v>4387</v>
      </c>
      <c r="B468" s="1" t="s">
        <v>46</v>
      </c>
      <c r="C468" s="1" t="s">
        <v>597</v>
      </c>
      <c r="D468" s="1" t="s">
        <v>147</v>
      </c>
      <c r="E468" s="1" t="n">
        <v>5</v>
      </c>
      <c r="F468" s="1" t="n">
        <v>5</v>
      </c>
      <c r="G468" s="1" t="n">
        <v>14</v>
      </c>
    </row>
    <row r="469" customFormat="false" ht="14.25" hidden="false" customHeight="true" outlineLevel="0" collapsed="false">
      <c r="A469" s="1" t="n">
        <v>6243</v>
      </c>
      <c r="B469" s="1" t="s">
        <v>46</v>
      </c>
      <c r="C469" s="1" t="s">
        <v>598</v>
      </c>
      <c r="D469" s="1" t="s">
        <v>129</v>
      </c>
      <c r="E469" s="1" t="n">
        <v>4</v>
      </c>
      <c r="F469" s="1" t="n">
        <v>4</v>
      </c>
      <c r="G469" s="1" t="n">
        <v>9</v>
      </c>
    </row>
    <row r="470" customFormat="false" ht="14.25" hidden="false" customHeight="true" outlineLevel="0" collapsed="false">
      <c r="A470" s="1" t="n">
        <v>7374</v>
      </c>
      <c r="B470" s="1" t="s">
        <v>46</v>
      </c>
      <c r="C470" s="1" t="s">
        <v>599</v>
      </c>
      <c r="D470" s="1" t="s">
        <v>129</v>
      </c>
      <c r="E470" s="1" t="n">
        <v>4</v>
      </c>
      <c r="F470" s="1" t="n">
        <v>4</v>
      </c>
      <c r="G470" s="1" t="n">
        <v>9</v>
      </c>
    </row>
    <row r="471" customFormat="false" ht="14.25" hidden="false" customHeight="true" outlineLevel="0" collapsed="false">
      <c r="A471" s="1" t="n">
        <v>313</v>
      </c>
      <c r="B471" s="1" t="s">
        <v>46</v>
      </c>
      <c r="C471" s="1" t="s">
        <v>600</v>
      </c>
      <c r="D471" s="1" t="s">
        <v>119</v>
      </c>
      <c r="E471" s="1" t="n">
        <v>4</v>
      </c>
      <c r="F471" s="1" t="n">
        <v>4</v>
      </c>
      <c r="G471" s="1" t="n">
        <v>10</v>
      </c>
    </row>
    <row r="472" customFormat="false" ht="14.25" hidden="false" customHeight="true" outlineLevel="0" collapsed="false">
      <c r="A472" s="1" t="n">
        <v>6204</v>
      </c>
      <c r="B472" s="1" t="s">
        <v>46</v>
      </c>
      <c r="C472" s="1" t="s">
        <v>601</v>
      </c>
      <c r="D472" s="1" t="s">
        <v>152</v>
      </c>
      <c r="E472" s="1" t="n">
        <v>4</v>
      </c>
      <c r="F472" s="1" t="n">
        <v>4</v>
      </c>
      <c r="G472" s="1" t="n">
        <v>15</v>
      </c>
    </row>
    <row r="473" customFormat="false" ht="14.25" hidden="false" customHeight="true" outlineLevel="0" collapsed="false">
      <c r="A473" s="1" t="n">
        <v>7453</v>
      </c>
      <c r="B473" s="1" t="s">
        <v>46</v>
      </c>
      <c r="C473" s="1" t="s">
        <v>602</v>
      </c>
      <c r="D473" s="1" t="s">
        <v>137</v>
      </c>
      <c r="E473" s="1" t="n">
        <v>4</v>
      </c>
      <c r="F473" s="1" t="n">
        <v>4</v>
      </c>
      <c r="G473" s="1" t="n">
        <v>9</v>
      </c>
    </row>
    <row r="474" customFormat="false" ht="14.25" hidden="false" customHeight="true" outlineLevel="0" collapsed="false">
      <c r="A474" s="1" t="n">
        <v>7162</v>
      </c>
      <c r="B474" s="1" t="s">
        <v>46</v>
      </c>
      <c r="C474" s="1" t="s">
        <v>603</v>
      </c>
      <c r="D474" s="1" t="s">
        <v>125</v>
      </c>
      <c r="E474" s="1" t="n">
        <v>4</v>
      </c>
      <c r="F474" s="1" t="n">
        <v>4</v>
      </c>
      <c r="G474" s="1" t="n">
        <v>10</v>
      </c>
    </row>
    <row r="475" customFormat="false" ht="14.25" hidden="false" customHeight="true" outlineLevel="0" collapsed="false">
      <c r="A475" s="1" t="n">
        <v>7349</v>
      </c>
      <c r="B475" s="1" t="s">
        <v>46</v>
      </c>
      <c r="C475" s="1" t="s">
        <v>604</v>
      </c>
      <c r="D475" s="1" t="s">
        <v>184</v>
      </c>
      <c r="E475" s="1" t="n">
        <v>4</v>
      </c>
      <c r="F475" s="1" t="n">
        <v>4</v>
      </c>
      <c r="G475" s="1" t="n">
        <v>9</v>
      </c>
    </row>
    <row r="476" customFormat="false" ht="14.25" hidden="false" customHeight="true" outlineLevel="0" collapsed="false">
      <c r="A476" s="1" t="n">
        <v>7272</v>
      </c>
      <c r="B476" s="1" t="s">
        <v>46</v>
      </c>
      <c r="C476" s="1" t="s">
        <v>605</v>
      </c>
      <c r="D476" s="1" t="s">
        <v>135</v>
      </c>
      <c r="E476" s="1" t="n">
        <v>4</v>
      </c>
      <c r="F476" s="1" t="n">
        <v>4</v>
      </c>
      <c r="G476" s="1" t="n">
        <v>7</v>
      </c>
    </row>
    <row r="477" customFormat="false" ht="14.25" hidden="false" customHeight="true" outlineLevel="0" collapsed="false">
      <c r="A477" s="1" t="n">
        <v>7128</v>
      </c>
      <c r="B477" s="1" t="s">
        <v>46</v>
      </c>
      <c r="C477" s="1" t="s">
        <v>606</v>
      </c>
      <c r="D477" s="1" t="s">
        <v>119</v>
      </c>
      <c r="E477" s="1" t="n">
        <v>3</v>
      </c>
      <c r="F477" s="1" t="n">
        <v>3</v>
      </c>
      <c r="G477" s="1" t="n">
        <v>5</v>
      </c>
    </row>
    <row r="478" customFormat="false" ht="14.25" hidden="false" customHeight="true" outlineLevel="0" collapsed="false">
      <c r="A478" s="1" t="n">
        <v>6822</v>
      </c>
      <c r="B478" s="1" t="s">
        <v>46</v>
      </c>
      <c r="C478" s="1" t="s">
        <v>607</v>
      </c>
      <c r="D478" s="1" t="s">
        <v>131</v>
      </c>
      <c r="E478" s="1" t="n">
        <v>3</v>
      </c>
      <c r="F478" s="1" t="n">
        <v>3</v>
      </c>
      <c r="G478" s="1" t="n">
        <v>10</v>
      </c>
    </row>
    <row r="479" customFormat="false" ht="14.25" hidden="false" customHeight="true" outlineLevel="0" collapsed="false">
      <c r="A479" s="1" t="n">
        <v>7001</v>
      </c>
      <c r="B479" s="1" t="s">
        <v>46</v>
      </c>
      <c r="C479" s="1" t="s">
        <v>608</v>
      </c>
      <c r="D479" s="1" t="s">
        <v>139</v>
      </c>
      <c r="E479" s="1" t="n">
        <v>3</v>
      </c>
      <c r="F479" s="1" t="n">
        <v>3</v>
      </c>
      <c r="G479" s="1" t="n">
        <v>9</v>
      </c>
    </row>
    <row r="480" customFormat="false" ht="14.25" hidden="false" customHeight="true" outlineLevel="0" collapsed="false">
      <c r="A480" s="1" t="n">
        <v>7523</v>
      </c>
      <c r="B480" s="1" t="s">
        <v>46</v>
      </c>
      <c r="C480" s="1" t="s">
        <v>609</v>
      </c>
      <c r="D480" s="1" t="s">
        <v>149</v>
      </c>
      <c r="E480" s="1" t="n">
        <v>3</v>
      </c>
      <c r="F480" s="1" t="n">
        <v>3</v>
      </c>
      <c r="G480" s="1" t="n">
        <v>7</v>
      </c>
    </row>
    <row r="481" customFormat="false" ht="14.25" hidden="false" customHeight="true" outlineLevel="0" collapsed="false">
      <c r="A481" s="1" t="n">
        <v>7120</v>
      </c>
      <c r="B481" s="1" t="s">
        <v>46</v>
      </c>
      <c r="C481" s="1" t="s">
        <v>610</v>
      </c>
      <c r="D481" s="1" t="s">
        <v>125</v>
      </c>
      <c r="E481" s="1" t="n">
        <v>3</v>
      </c>
      <c r="F481" s="1" t="n">
        <v>3</v>
      </c>
      <c r="G481" s="1" t="n">
        <v>10</v>
      </c>
    </row>
    <row r="482" customFormat="false" ht="14.25" hidden="false" customHeight="true" outlineLevel="0" collapsed="false">
      <c r="A482" s="1" t="n">
        <v>6215</v>
      </c>
      <c r="B482" s="1" t="s">
        <v>46</v>
      </c>
      <c r="C482" s="1" t="s">
        <v>611</v>
      </c>
      <c r="D482" s="1" t="s">
        <v>125</v>
      </c>
      <c r="E482" s="1" t="n">
        <v>3</v>
      </c>
      <c r="F482" s="1" t="n">
        <v>3</v>
      </c>
      <c r="G482" s="1" t="n">
        <v>10</v>
      </c>
    </row>
    <row r="483" customFormat="false" ht="14.25" hidden="false" customHeight="true" outlineLevel="0" collapsed="false">
      <c r="A483" s="1" t="n">
        <v>7342</v>
      </c>
      <c r="B483" s="1" t="s">
        <v>46</v>
      </c>
      <c r="C483" s="1" t="s">
        <v>612</v>
      </c>
      <c r="D483" s="1" t="s">
        <v>141</v>
      </c>
      <c r="E483" s="1" t="n">
        <v>3</v>
      </c>
      <c r="F483" s="1" t="n">
        <v>3</v>
      </c>
      <c r="G483" s="1" t="n">
        <v>11</v>
      </c>
    </row>
    <row r="484" customFormat="false" ht="14.25" hidden="false" customHeight="true" outlineLevel="0" collapsed="false">
      <c r="A484" s="1" t="n">
        <v>383</v>
      </c>
      <c r="B484" s="1" t="s">
        <v>46</v>
      </c>
      <c r="C484" s="1" t="s">
        <v>613</v>
      </c>
      <c r="D484" s="1" t="s">
        <v>149</v>
      </c>
      <c r="E484" s="1" t="n">
        <v>2</v>
      </c>
      <c r="F484" s="1" t="n">
        <v>2</v>
      </c>
      <c r="G484" s="1" t="n">
        <v>5</v>
      </c>
    </row>
    <row r="485" customFormat="false" ht="14.25" hidden="false" customHeight="true" outlineLevel="0" collapsed="false">
      <c r="A485" s="1" t="n">
        <v>7249</v>
      </c>
      <c r="B485" s="1" t="s">
        <v>46</v>
      </c>
      <c r="C485" s="1" t="s">
        <v>614</v>
      </c>
      <c r="D485" s="1" t="s">
        <v>135</v>
      </c>
      <c r="E485" s="1" t="n">
        <v>2</v>
      </c>
      <c r="F485" s="1" t="n">
        <v>2</v>
      </c>
      <c r="G485" s="1" t="n">
        <v>4</v>
      </c>
    </row>
    <row r="486" customFormat="false" ht="14.25" hidden="false" customHeight="true" outlineLevel="0" collapsed="false">
      <c r="A486" s="1" t="n">
        <v>7338</v>
      </c>
      <c r="B486" s="1" t="s">
        <v>46</v>
      </c>
      <c r="C486" s="1" t="s">
        <v>615</v>
      </c>
      <c r="D486" s="1" t="s">
        <v>129</v>
      </c>
      <c r="E486" s="1" t="n">
        <v>1</v>
      </c>
      <c r="F486" s="1" t="n">
        <v>1</v>
      </c>
      <c r="G486" s="1" t="n">
        <v>1</v>
      </c>
    </row>
    <row r="487" customFormat="false" ht="14.25" hidden="false" customHeight="true" outlineLevel="0" collapsed="false">
      <c r="A487" s="1" t="n">
        <v>7317</v>
      </c>
      <c r="B487" s="1" t="s">
        <v>46</v>
      </c>
      <c r="C487" s="1" t="s">
        <v>616</v>
      </c>
      <c r="D487" s="1" t="s">
        <v>129</v>
      </c>
      <c r="E487" s="1" t="n">
        <v>1</v>
      </c>
      <c r="F487" s="1" t="n">
        <v>1</v>
      </c>
      <c r="G487" s="1" t="n">
        <v>2</v>
      </c>
    </row>
    <row r="488" customFormat="false" ht="14.25" hidden="false" customHeight="true" outlineLevel="0" collapsed="false">
      <c r="A488" s="1" t="n">
        <v>7027</v>
      </c>
      <c r="B488" s="1" t="s">
        <v>46</v>
      </c>
      <c r="C488" s="1" t="s">
        <v>617</v>
      </c>
      <c r="D488" s="1" t="s">
        <v>119</v>
      </c>
      <c r="E488" s="1" t="n">
        <v>1</v>
      </c>
      <c r="F488" s="1" t="n">
        <v>1</v>
      </c>
      <c r="G488" s="1" t="n">
        <v>1</v>
      </c>
    </row>
    <row r="489" customFormat="false" ht="14.25" hidden="false" customHeight="true" outlineLevel="0" collapsed="false">
      <c r="A489" s="1" t="n">
        <v>6981</v>
      </c>
      <c r="B489" s="1" t="s">
        <v>46</v>
      </c>
      <c r="C489" s="1" t="s">
        <v>618</v>
      </c>
      <c r="D489" s="1" t="s">
        <v>113</v>
      </c>
      <c r="E489" s="1" t="n">
        <v>1</v>
      </c>
      <c r="F489" s="1" t="n">
        <v>1</v>
      </c>
      <c r="G489" s="1" t="n">
        <v>4</v>
      </c>
    </row>
    <row r="490" customFormat="false" ht="14.25" hidden="false" customHeight="true" outlineLevel="0" collapsed="false">
      <c r="A490" s="1" t="n">
        <v>7158</v>
      </c>
      <c r="B490" s="1" t="s">
        <v>46</v>
      </c>
      <c r="C490" s="1" t="s">
        <v>619</v>
      </c>
      <c r="D490" s="1" t="s">
        <v>144</v>
      </c>
      <c r="E490" s="1" t="n">
        <v>1</v>
      </c>
      <c r="F490" s="1" t="n">
        <v>1</v>
      </c>
      <c r="G490" s="1" t="n">
        <v>1</v>
      </c>
    </row>
    <row r="491" customFormat="false" ht="14.25" hidden="false" customHeight="true" outlineLevel="0" collapsed="false">
      <c r="A491" s="1" t="n">
        <v>7161</v>
      </c>
      <c r="B491" s="1" t="s">
        <v>46</v>
      </c>
      <c r="C491" s="1" t="s">
        <v>620</v>
      </c>
      <c r="D491" s="1" t="s">
        <v>135</v>
      </c>
      <c r="E491" s="1" t="n">
        <v>1</v>
      </c>
      <c r="F491" s="1" t="n">
        <v>1</v>
      </c>
      <c r="G491" s="1" t="n">
        <v>3</v>
      </c>
    </row>
    <row r="492" customFormat="false" ht="14.25" hidden="false" customHeight="true" outlineLevel="0" collapsed="false">
      <c r="A492" s="1" t="n">
        <v>7408</v>
      </c>
      <c r="B492" s="1" t="s">
        <v>46</v>
      </c>
      <c r="C492" s="1" t="s">
        <v>621</v>
      </c>
      <c r="D492" s="1" t="s">
        <v>147</v>
      </c>
      <c r="E492" s="1" t="n">
        <v>1</v>
      </c>
      <c r="F492" s="1" t="n">
        <v>1</v>
      </c>
      <c r="G492" s="1" t="n">
        <v>1</v>
      </c>
    </row>
    <row r="493" customFormat="false" ht="14.25" hidden="false" customHeight="true" outlineLevel="0" collapsed="false">
      <c r="A493" s="1" t="n">
        <v>7482</v>
      </c>
      <c r="B493" s="1" t="s">
        <v>46</v>
      </c>
      <c r="C493" s="1" t="s">
        <v>622</v>
      </c>
      <c r="D493" s="1" t="s">
        <v>147</v>
      </c>
      <c r="E493" s="1" t="n">
        <v>1</v>
      </c>
      <c r="F493" s="1" t="n">
        <v>1</v>
      </c>
      <c r="G493" s="1" t="n">
        <v>1</v>
      </c>
    </row>
  </sheetData>
  <mergeCells count="1">
    <mergeCell ref="A1:G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49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O5" activeCellId="0" sqref="O5"/>
    </sheetView>
  </sheetViews>
  <sheetFormatPr defaultColWidth="8.6328125" defaultRowHeight="14.25" zeroHeight="false" outlineLevelRow="0" outlineLevelCol="0"/>
  <cols>
    <col collapsed="false" customWidth="true" hidden="false" outlineLevel="0" max="1" min="1" style="1" width="4.82"/>
    <col collapsed="false" customWidth="true" hidden="false" outlineLevel="0" max="2" min="2" style="1" width="2.09"/>
    <col collapsed="false" customWidth="true" hidden="false" outlineLevel="0" max="3" min="3" style="1" width="16.09"/>
    <col collapsed="false" customWidth="true" hidden="false" outlineLevel="0" max="4" min="4" style="1" width="16.73"/>
    <col collapsed="false" customWidth="true" hidden="false" outlineLevel="0" max="5" min="5" style="1" width="8.45"/>
    <col collapsed="false" customWidth="true" hidden="false" outlineLevel="0" max="6" min="6" style="1" width="10.91"/>
    <col collapsed="false" customWidth="true" hidden="false" outlineLevel="0" max="7" min="7" style="1" width="14.36"/>
    <col collapsed="false" customWidth="true" hidden="false" outlineLevel="0" max="8" min="8" style="1" width="14.73"/>
    <col collapsed="false" customWidth="true" hidden="false" outlineLevel="0" max="9" min="9" style="1" width="12.45"/>
    <col collapsed="false" customWidth="true" hidden="false" outlineLevel="0" max="11" min="11" style="1" width="7.36"/>
    <col collapsed="false" customWidth="true" hidden="false" outlineLevel="0" max="12" min="12" style="1" width="7.27"/>
    <col collapsed="false" customWidth="true" hidden="false" outlineLevel="0" max="13" min="13" style="1" width="12"/>
    <col collapsed="false" customWidth="true" hidden="false" outlineLevel="0" max="14" min="14" style="1" width="8"/>
    <col collapsed="false" customWidth="true" hidden="false" outlineLevel="0" max="15" min="15" style="1" width="10"/>
    <col collapsed="false" customWidth="true" hidden="false" outlineLevel="0" max="16" min="16" style="1" width="16"/>
    <col collapsed="false" customWidth="true" hidden="true" outlineLevel="0" max="18" min="17" style="1" width="13"/>
    <col collapsed="false" customWidth="true" hidden="false" outlineLevel="0" max="20" min="19" style="1" width="9"/>
    <col collapsed="false" customWidth="true" hidden="false" outlineLevel="0" max="21" min="21" style="1" width="16"/>
    <col collapsed="false" customWidth="true" hidden="false" outlineLevel="0" max="22" min="22" style="1" width="14"/>
    <col collapsed="false" customWidth="true" hidden="false" outlineLevel="0" max="30" min="23" style="1" width="20"/>
    <col collapsed="false" customWidth="true" hidden="false" outlineLevel="0" max="31" min="31" style="1" width="18"/>
  </cols>
  <sheetData>
    <row r="1" customFormat="false" ht="14.25" hidden="false" customHeight="true" outlineLevel="0" collapsed="false">
      <c r="A1" s="21" t="s">
        <v>105</v>
      </c>
      <c r="B1" s="21" t="s">
        <v>106</v>
      </c>
      <c r="C1" s="21" t="s">
        <v>107</v>
      </c>
      <c r="D1" s="21" t="s">
        <v>623</v>
      </c>
      <c r="E1" s="22" t="s">
        <v>624</v>
      </c>
      <c r="F1" s="22" t="s">
        <v>625</v>
      </c>
      <c r="G1" s="22" t="s">
        <v>626</v>
      </c>
      <c r="H1" s="22" t="s">
        <v>627</v>
      </c>
      <c r="I1" s="23" t="s">
        <v>628</v>
      </c>
      <c r="J1" s="23" t="s">
        <v>629</v>
      </c>
      <c r="K1" s="23" t="s">
        <v>630</v>
      </c>
      <c r="L1" s="23" t="s">
        <v>631</v>
      </c>
      <c r="M1" s="24" t="s">
        <v>632</v>
      </c>
      <c r="N1" s="25" t="s">
        <v>109</v>
      </c>
      <c r="O1" s="25" t="s">
        <v>111</v>
      </c>
      <c r="P1" s="25" t="s">
        <v>20</v>
      </c>
      <c r="Q1" s="25" t="s">
        <v>633</v>
      </c>
      <c r="R1" s="25" t="s">
        <v>634</v>
      </c>
      <c r="S1" s="25" t="s">
        <v>635</v>
      </c>
      <c r="T1" s="25" t="s">
        <v>636</v>
      </c>
      <c r="U1" s="25" t="s">
        <v>637</v>
      </c>
      <c r="V1" s="25" t="s">
        <v>638</v>
      </c>
      <c r="W1" s="21" t="s">
        <v>639</v>
      </c>
      <c r="X1" s="21" t="s">
        <v>640</v>
      </c>
      <c r="Y1" s="21" t="s">
        <v>641</v>
      </c>
      <c r="Z1" s="21" t="s">
        <v>642</v>
      </c>
      <c r="AA1" s="21" t="s">
        <v>643</v>
      </c>
      <c r="AB1" s="21" t="s">
        <v>644</v>
      </c>
      <c r="AC1" s="21" t="s">
        <v>645</v>
      </c>
      <c r="AD1" s="21" t="s">
        <v>646</v>
      </c>
      <c r="AE1" s="12" t="s">
        <v>647</v>
      </c>
    </row>
    <row r="2" customFormat="false" ht="14.25" hidden="false" customHeight="true" outlineLevel="0" collapsed="false">
      <c r="A2" s="21" t="n">
        <v>2764</v>
      </c>
      <c r="B2" s="21" t="s">
        <v>46</v>
      </c>
      <c r="C2" s="21" t="s">
        <v>538</v>
      </c>
      <c r="E2" s="26" t="str">
        <f aca="false">IF(COUNTIF('Info Strategia'!$D$2:$D$51,$C2)&gt;0,"SI","NO")</f>
        <v>NO</v>
      </c>
      <c r="F2" s="27" t="n">
        <f aca="false">IFERROR(ROUND(($G2+($H2-$G2)*'Info Strategia'!$B$6)*(1+IF($E2="SI",'Parametri Modello'!$B$7*'Info Strategia'!$B$6,0)),0),"")</f>
        <v>397</v>
      </c>
      <c r="G2" s="27" t="n">
        <f aca="false">IFERROR(ROUND(MAX(1,(IF($V2&lt;=INDEX('Parametri Modello'!$C$57:$C$60,MATCH($B2,'Parametri Modello'!$A$57:$A$60,0)),IF(INDEX('Parametri Modello'!$E$57:$E$60,MATCH($B2,'Parametri Modello'!$A$57:$A$60,0))=0,0,($O2/INDEX('Parametri Modello'!$E$57:$E$60,MATCH($B2,'Parametri Modello'!$A$57:$A$60,0)))*(INDEX('Parametri Modello'!$D$57:$D$60,MATCH($B2,'Parametri Modello'!$A$57:$A$60,0))*(INDEX('Parametri Modello'!$B$50:$B$53,MATCH($B2,'Parametri Modello'!$A$50:$A$53,0))*'Parametri Modello'!$B$44))),IF(INDEX('Parametri Modello'!$F$57:$F$60,MATCH($B2,'Parametri Modello'!$A$57:$A$60,0))=0,0,($O2/INDEX('Parametri Modello'!$F$57:$F$60,MATCH($B2,'Parametri Modello'!$A$57:$A$60,0)))*((1-INDEX('Parametri Modello'!$D$57:$D$60,MATCH($B2,'Parametri Modello'!$A$57:$A$60,0)))*(INDEX('Parametri Modello'!$B$50:$B$53,MATCH($B2,'Parametri Modello'!$A$50:$A$53,0))*'Parametri Modello'!$B$44))))*(1+IF(IF($B2="D",'Info Lega'!$B$25,IF($B2="C",'Info Lega'!$B$26,"No"))="Si",'Parametri Modello'!$B$5,0))*(1+MAX(-0.25,MIN(0.25,IF(OR($T2="",$I2="",$I2=0,INDEX('Parametri Modello'!$B$19:$B$22,MATCH($B2,'Parametri Modello'!$A$19:$A$22,0))="",INDEX('Parametri Modello'!$B$19:$B$22,MATCH($B2,'Parametri Modello'!$A$19:$A$22,0))=0),0,(($T2-INDEX('Parametri Modello'!$B$19:$B$22,MATCH($B2,'Parametri Modello'!$A$19:$A$22,0)))/INDEX('Parametri Modello'!$B$19:$B$22,MATCH($B2,'Parametri Modello'!$A$19:$A$22,0)))*'Parametri Modello'!$B$9))))*(1+IF('Parametri Modello'!$B$27="Si",MAX(-'Parametri Modello'!$B$28,MIN('Parametri Modello'!$B$28*1.5,IF(OR(INDEX('Parametri Modello'!$F$32:$F$35,MATCH($B2,'Parametri Modello'!$A$32:$A$35,0))="",INDEX('Parametri Modello'!$F$32:$F$35,MATCH($B2,'Parametri Modello'!$A$32:$A$35,0))=0),0,(1/INDEX('Parametri Modello'!$F$32:$F$35,MATCH($B2,'Parametri Modello'!$A$32:$A$35,0))-1)*'Parametri Modello'!$B$28))),0)))*(1-INDEX('Parametri Modello'!$B$12:$B$15,MATCH($B2,'Parametri Modello'!$A$12:$A$15,0)))),0),"")</f>
        <v>248</v>
      </c>
      <c r="H2" s="27" t="n">
        <f aca="false">IFERROR(ROUND((IF($V2&lt;=INDEX('Parametri Modello'!$C$57:$C$60,MATCH($B2,'Parametri Modello'!$A$57:$A$60,0)),IF(INDEX('Parametri Modello'!$E$57:$E$60,MATCH($B2,'Parametri Modello'!$A$57:$A$60,0))=0,0,($O2/INDEX('Parametri Modello'!$E$57:$E$60,MATCH($B2,'Parametri Modello'!$A$57:$A$60,0)))*(INDEX('Parametri Modello'!$D$57:$D$60,MATCH($B2,'Parametri Modello'!$A$57:$A$60,0))*(INDEX('Parametri Modello'!$B$50:$B$53,MATCH($B2,'Parametri Modello'!$A$50:$A$53,0))*'Parametri Modello'!$B$44))),IF(INDEX('Parametri Modello'!$F$57:$F$60,MATCH($B2,'Parametri Modello'!$A$57:$A$60,0))=0,0,($O2/INDEX('Parametri Modello'!$F$57:$F$60,MATCH($B2,'Parametri Modello'!$A$57:$A$60,0)))*((1-INDEX('Parametri Modello'!$D$57:$D$60,MATCH($B2,'Parametri Modello'!$A$57:$A$60,0)))*(INDEX('Parametri Modello'!$B$50:$B$53,MATCH($B2,'Parametri Modello'!$A$50:$A$53,0))*'Parametri Modello'!$B$44))))*(1+IF(IF($B2="D",'Info Lega'!$B$25,IF($B2="C",'Info Lega'!$B$26,"No"))="Si",'Parametri Modello'!$B$5,0))*(1+MAX(-0.25,MIN(0.25,IF(OR($T2="",$I2="",$I2=0,INDEX('Parametri Modello'!$B$19:$B$22,MATCH($B2,'Parametri Modello'!$A$19:$A$22,0))="",INDEX('Parametri Modello'!$B$19:$B$22,MATCH($B2,'Parametri Modello'!$A$19:$A$22,0))=0),0,(($T2-INDEX('Parametri Modello'!$B$19:$B$22,MATCH($B2,'Parametri Modello'!$A$19:$A$22,0)))/INDEX('Parametri Modello'!$B$19:$B$22,MATCH($B2,'Parametri Modello'!$A$19:$A$22,0)))*'Parametri Modello'!$B$9))))*(1+IF('Parametri Modello'!$B$27="Si",MAX(-'Parametri Modello'!$B$28,MIN('Parametri Modello'!$B$28*1.5,IF(OR(INDEX('Parametri Modello'!$F$32:$F$35,MATCH($B2,'Parametri Modello'!$A$32:$A$35,0))="",INDEX('Parametri Modello'!$F$32:$F$35,MATCH($B2,'Parametri Modello'!$A$32:$A$35,0))=0),0,(1/INDEX('Parametri Modello'!$F$32:$F$35,MATCH($B2,'Parametri Modello'!$A$32:$A$35,0))-1)*'Parametri Modello'!$B$28))),0)))*(1+INDEX('Parametri Modello'!$B$12:$B$15,MATCH($B2,'Parametri Modello'!$A$12:$A$15,0))),0),"")</f>
        <v>461</v>
      </c>
      <c r="I2" s="26" t="n">
        <f aca="false">IFERROR(INDEX('Input Statistiche 2025_26'!$F$3:$F$665,MATCH($A2,'Input Statistiche 2025_26'!$A$3:$A$665,0)),"")</f>
        <v>30</v>
      </c>
      <c r="J2" s="26" t="n">
        <f aca="false">IFERROR(IF($I2="","",MAX(0,38-$I2)),"")</f>
        <v>8</v>
      </c>
      <c r="K2" s="26" t="n">
        <f aca="false">IFERROR(INDEX('Input Statistiche 2025_26'!$I$3:$I$665,MATCH($A2,'Input Statistiche 2025_26'!$A$3:$A$665,0)),"")</f>
        <v>17</v>
      </c>
      <c r="L2" s="26" t="n">
        <f aca="false">IFERROR(INDEX('Input Statistiche 2025_26'!$O$3:$O$665,MATCH($A2,'Input Statistiche 2025_26'!$A$3:$A$665,0)),"")</f>
        <v>6</v>
      </c>
      <c r="M2" s="28"/>
      <c r="N2" s="27" t="n">
        <f aca="false">IFERROR(INDEX('Input Giocatori 2026_27'!$E$3:$E$493,MATCH($A2,'Input Giocatori 2026_27'!$A$3:$A$493,0)),"")</f>
        <v>35</v>
      </c>
      <c r="O2" s="27" t="n">
        <f aca="false">IFERROR(INDEX('Input Giocatori 2026_27'!$G$3:$G$493,MATCH($A2,'Input Giocatori 2026_27'!$A$3:$A$493,0)),"")</f>
        <v>370</v>
      </c>
      <c r="P2" s="26" t="str">
        <f aca="false">IFERROR(IF($O2="","",IF((1-(COUNTIFS($B$2:$B$492,$B2,$O$2:$O$492,"&gt;"&amp;$O2)+1-1)/COUNTIF($B$2:$B$492,$B2))&gt;=0.85,"Top",IF((1-(COUNTIFS($B$2:$B$492,$B2,$O$2:$O$492,"&gt;"&amp;$O2)+1-1)/COUNTIF($B$2:$B$492,$B2))&gt;=0.6,"Buono",IF((1-(COUNTIFS($B$2:$B$492,$B2,$O$2:$O$492,"&gt;"&amp;$O2)+1-1)/COUNTIF($B$2:$B$492,$B2))&gt;=0.3,"Nella Media","Scommessa/Riserva")))),"")</f>
        <v>Top</v>
      </c>
      <c r="Q2" s="29" t="n">
        <f aca="false">IF($D2="",COUNTIF($D$2:$D2,""),"")</f>
        <v>1</v>
      </c>
      <c r="R2" s="29" t="str">
        <f aca="false">IF($D2='Info Lega'!$B$28,COUNTIFS($D$2:$D2,'Info Lega'!$B$28),"")</f>
        <v/>
      </c>
      <c r="S2" s="30" t="n">
        <f aca="false">IFERROR(INDEX('Input Statistiche 2025_26'!$G$3:$G$665,MATCH($A2,'Input Statistiche 2025_26'!$A$3:$A$665,0)),"")</f>
        <v>6.42</v>
      </c>
      <c r="T2" s="30" t="n">
        <f aca="false">IFERROR(INDEX('Input Statistiche 2025_26'!$H$3:$H$665,MATCH($A2,'Input Statistiche 2025_26'!$A$3:$A$665,0)),"")</f>
        <v>8.25</v>
      </c>
      <c r="U2" s="26" t="str">
        <f aca="false">IF(OR('La Mia Rosa'!$O$12="",$D2&lt;&gt;""),"",IF($F2&lt;='La Mia Rosa'!$O$12*'Parametri Modello'!$B$24,"OK",IF($F2&lt;='La Mia Rosa'!$O$12*'Parametri Modello'!$B$25,"Attenzione","Rischio Alto")))</f>
        <v>Rischio Alto</v>
      </c>
      <c r="V2" s="26" t="n">
        <f aca="false">IFERROR(COUNTIFS($B$2:$B$492,$B2,$O$2:$O$492,"&gt;"&amp;$O2)+1,"")</f>
        <v>1</v>
      </c>
      <c r="W2" s="21" t="n">
        <f aca="false">'Info Lega'!$B$4-SUMIFS($M$2:$M$492,$D$2:$D$492,'Info Lega'!$B$28)</f>
        <v>1000</v>
      </c>
      <c r="X2" s="21" t="n">
        <f aca="false">('Info Lega'!$B$5-COUNTIFS($D$2:$D$492,'Info Lega'!$B$28,$B$2:$B$492,"P"))+('Info Lega'!$B$6-COUNTIFS($D$2:$D$492,'Info Lega'!$B$28,$B$2:$B$492,"D"))+('Info Lega'!$B$7-COUNTIFS($D$2:$D$492,'Info Lega'!$B$28,$B$2:$B$492,"C"))+('Info Lega'!$B$8-COUNTIFS($D$2:$D$492,'Info Lega'!$B$28,$B$2:$B$492,"A"))</f>
        <v>25</v>
      </c>
      <c r="Y2" s="21" t="n">
        <f aca="false">X2*'Parametri Modello'!$B$30</f>
        <v>25</v>
      </c>
      <c r="Z2" s="21" t="n">
        <f aca="false">MAX(0,W2-Y2)</f>
        <v>975</v>
      </c>
      <c r="AA2" s="21" t="n">
        <f aca="false">MIN(F2,Z2)</f>
        <v>397</v>
      </c>
      <c r="AB2" s="21"/>
      <c r="AC2" s="21" t="str">
        <f aca="false">IF(AB2="","",IF(AB2&gt;AA2,"PASS",IF(AB2&lt;=AA2*0.85,"BID","ATTENZIONE")))</f>
        <v/>
      </c>
      <c r="AD2" s="31" t="n">
        <f aca="false">IF(I2="","",ROUND(100*(1-EXP(-I2/30)),0))</f>
        <v>63</v>
      </c>
      <c r="AE2" s="7" t="str">
        <f aca="false">IFERROR(INDEX('Stato Asta'!$G$9:$G$12,MATCH($B2,'Stato Asta'!$A$9:$A$12,0)),"")</f>
        <v>🔴 Non aspettare</v>
      </c>
    </row>
    <row r="3" customFormat="false" ht="14.25" hidden="false" customHeight="true" outlineLevel="0" collapsed="false">
      <c r="A3" s="21" t="n">
        <v>5585</v>
      </c>
      <c r="B3" s="21" t="s">
        <v>46</v>
      </c>
      <c r="C3" s="21" t="s">
        <v>539</v>
      </c>
      <c r="E3" s="26" t="str">
        <f aca="false">IF(COUNTIF('Info Strategia'!$D$2:$D$51,$C3)&gt;0,"SI","NO")</f>
        <v>NO</v>
      </c>
      <c r="F3" s="27" t="n">
        <f aca="false">IFERROR(ROUND(($G3+($H3-$G3)*'Info Strategia'!$B$6)*(1+IF($E3="SI",'Parametri Modello'!$B$7*'Info Strategia'!$B$6,0)),0),"")</f>
        <v>400</v>
      </c>
      <c r="G3" s="27" t="n">
        <f aca="false">IFERROR(ROUND(MAX(1,(IF($V3&lt;=INDEX('Parametri Modello'!$C$57:$C$60,MATCH($B3,'Parametri Modello'!$A$57:$A$60,0)),IF(INDEX('Parametri Modello'!$E$57:$E$60,MATCH($B3,'Parametri Modello'!$A$57:$A$60,0))=0,0,($O3/INDEX('Parametri Modello'!$E$57:$E$60,MATCH($B3,'Parametri Modello'!$A$57:$A$60,0)))*(INDEX('Parametri Modello'!$D$57:$D$60,MATCH($B3,'Parametri Modello'!$A$57:$A$60,0))*(INDEX('Parametri Modello'!$B$50:$B$53,MATCH($B3,'Parametri Modello'!$A$50:$A$53,0))*'Parametri Modello'!$B$44))),IF(INDEX('Parametri Modello'!$F$57:$F$60,MATCH($B3,'Parametri Modello'!$A$57:$A$60,0))=0,0,($O3/INDEX('Parametri Modello'!$F$57:$F$60,MATCH($B3,'Parametri Modello'!$A$57:$A$60,0)))*((1-INDEX('Parametri Modello'!$D$57:$D$60,MATCH($B3,'Parametri Modello'!$A$57:$A$60,0)))*(INDEX('Parametri Modello'!$B$50:$B$53,MATCH($B3,'Parametri Modello'!$A$50:$A$53,0))*'Parametri Modello'!$B$44))))*(1+IF(IF($B3="D",'Info Lega'!$B$25,IF($B3="C",'Info Lega'!$B$26,"No"))="Si",'Parametri Modello'!$B$5,0))*(1+MAX(-0.25,MIN(0.25,IF(OR($T3="",$I3="",$I3=0,INDEX('Parametri Modello'!$B$19:$B$22,MATCH($B3,'Parametri Modello'!$A$19:$A$22,0))="",INDEX('Parametri Modello'!$B$19:$B$22,MATCH($B3,'Parametri Modello'!$A$19:$A$22,0))=0),0,(($T3-INDEX('Parametri Modello'!$B$19:$B$22,MATCH($B3,'Parametri Modello'!$A$19:$A$22,0)))/INDEX('Parametri Modello'!$B$19:$B$22,MATCH($B3,'Parametri Modello'!$A$19:$A$22,0)))*'Parametri Modello'!$B$9))))*(1+IF('Parametri Modello'!$B$27="Si",MAX(-'Parametri Modello'!$B$28,MIN('Parametri Modello'!$B$28*1.5,IF(OR(INDEX('Parametri Modello'!$F$32:$F$35,MATCH($B3,'Parametri Modello'!$A$32:$A$35,0))="",INDEX('Parametri Modello'!$F$32:$F$35,MATCH($B3,'Parametri Modello'!$A$32:$A$35,0))=0),0,(1/INDEX('Parametri Modello'!$F$32:$F$35,MATCH($B3,'Parametri Modello'!$A$32:$A$35,0))-1)*'Parametri Modello'!$B$28))),0)))*(1-INDEX('Parametri Modello'!$B$12:$B$15,MATCH($B3,'Parametri Modello'!$A$12:$A$15,0)))),0),"")</f>
        <v>250</v>
      </c>
      <c r="H3" s="27" t="n">
        <f aca="false">IFERROR(ROUND((IF($V3&lt;=INDEX('Parametri Modello'!$C$57:$C$60,MATCH($B3,'Parametri Modello'!$A$57:$A$60,0)),IF(INDEX('Parametri Modello'!$E$57:$E$60,MATCH($B3,'Parametri Modello'!$A$57:$A$60,0))=0,0,($O3/INDEX('Parametri Modello'!$E$57:$E$60,MATCH($B3,'Parametri Modello'!$A$57:$A$60,0)))*(INDEX('Parametri Modello'!$D$57:$D$60,MATCH($B3,'Parametri Modello'!$A$57:$A$60,0))*(INDEX('Parametri Modello'!$B$50:$B$53,MATCH($B3,'Parametri Modello'!$A$50:$A$53,0))*'Parametri Modello'!$B$44))),IF(INDEX('Parametri Modello'!$F$57:$F$60,MATCH($B3,'Parametri Modello'!$A$57:$A$60,0))=0,0,($O3/INDEX('Parametri Modello'!$F$57:$F$60,MATCH($B3,'Parametri Modello'!$A$57:$A$60,0)))*((1-INDEX('Parametri Modello'!$D$57:$D$60,MATCH($B3,'Parametri Modello'!$A$57:$A$60,0)))*(INDEX('Parametri Modello'!$B$50:$B$53,MATCH($B3,'Parametri Modello'!$A$50:$A$53,0))*'Parametri Modello'!$B$44))))*(1+IF(IF($B3="D",'Info Lega'!$B$25,IF($B3="C",'Info Lega'!$B$26,"No"))="Si",'Parametri Modello'!$B$5,0))*(1+MAX(-0.25,MIN(0.25,IF(OR($T3="",$I3="",$I3=0,INDEX('Parametri Modello'!$B$19:$B$22,MATCH($B3,'Parametri Modello'!$A$19:$A$22,0))="",INDEX('Parametri Modello'!$B$19:$B$22,MATCH($B3,'Parametri Modello'!$A$19:$A$22,0))=0),0,(($T3-INDEX('Parametri Modello'!$B$19:$B$22,MATCH($B3,'Parametri Modello'!$A$19:$A$22,0)))/INDEX('Parametri Modello'!$B$19:$B$22,MATCH($B3,'Parametri Modello'!$A$19:$A$22,0)))*'Parametri Modello'!$B$9))))*(1+IF('Parametri Modello'!$B$27="Si",MAX(-'Parametri Modello'!$B$28,MIN('Parametri Modello'!$B$28*1.5,IF(OR(INDEX('Parametri Modello'!$F$32:$F$35,MATCH($B3,'Parametri Modello'!$A$32:$A$35,0))="",INDEX('Parametri Modello'!$F$32:$F$35,MATCH($B3,'Parametri Modello'!$A$32:$A$35,0))=0),0,(1/INDEX('Parametri Modello'!$F$32:$F$35,MATCH($B3,'Parametri Modello'!$A$32:$A$35,0))-1)*'Parametri Modello'!$B$28))),0)))*(1+INDEX('Parametri Modello'!$B$12:$B$15,MATCH($B3,'Parametri Modello'!$A$12:$A$15,0))),0),"")</f>
        <v>464</v>
      </c>
      <c r="I3" s="26" t="n">
        <f aca="false">IFERROR(INDEX('Input Statistiche 2025_26'!$F$3:$F$665,MATCH($A3,'Input Statistiche 2025_26'!$A$3:$A$665,0)),"")</f>
        <v>18</v>
      </c>
      <c r="J3" s="26" t="n">
        <f aca="false">IFERROR(IF($I3="","",MAX(0,38-$I3)),"")</f>
        <v>20</v>
      </c>
      <c r="K3" s="26" t="n">
        <f aca="false">IFERROR(INDEX('Input Statistiche 2025_26'!$I$3:$I$665,MATCH($A3,'Input Statistiche 2025_26'!$A$3:$A$665,0)),"")</f>
        <v>14</v>
      </c>
      <c r="L3" s="26" t="n">
        <f aca="false">IFERROR(INDEX('Input Statistiche 2025_26'!$O$3:$O$665,MATCH($A3,'Input Statistiche 2025_26'!$A$3:$A$665,0)),"")</f>
        <v>2</v>
      </c>
      <c r="M3" s="28"/>
      <c r="N3" s="27" t="n">
        <f aca="false">IFERROR(INDEX('Input Giocatori 2026_27'!$E$3:$E$493,MATCH($A3,'Input Giocatori 2026_27'!$A$3:$A$493,0)),"")</f>
        <v>34</v>
      </c>
      <c r="O3" s="27" t="n">
        <f aca="false">IFERROR(INDEX('Input Giocatori 2026_27'!$G$3:$G$493,MATCH($A3,'Input Giocatori 2026_27'!$A$3:$A$493,0)),"")</f>
        <v>365</v>
      </c>
      <c r="P3" s="26" t="str">
        <f aca="false">IFERROR(IF($O3="","",IF((1-(COUNTIFS($B$2:$B$492,$B3,$O$2:$O$492,"&gt;"&amp;$O3)+1-1)/COUNTIF($B$2:$B$492,$B3))&gt;=0.85,"Top",IF((1-(COUNTIFS($B$2:$B$492,$B3,$O$2:$O$492,"&gt;"&amp;$O3)+1-1)/COUNTIF($B$2:$B$492,$B3))&gt;=0.6,"Buono",IF((1-(COUNTIFS($B$2:$B$492,$B3,$O$2:$O$492,"&gt;"&amp;$O3)+1-1)/COUNTIF($B$2:$B$492,$B3))&gt;=0.3,"Nella Media","Scommessa/Riserva")))),"")</f>
        <v>Top</v>
      </c>
      <c r="Q3" s="29" t="n">
        <f aca="false">IF($D3="",COUNTIF($D$2:$D3,""),"")</f>
        <v>2</v>
      </c>
      <c r="R3" s="29" t="str">
        <f aca="false">IF($D3='Info Lega'!$B$28,COUNTIFS($D$2:$D3,'Info Lega'!$B$28),"")</f>
        <v/>
      </c>
      <c r="S3" s="30" t="n">
        <f aca="false">IFERROR(INDEX('Input Statistiche 2025_26'!$G$3:$G$665,MATCH($A3,'Input Statistiche 2025_26'!$A$3:$A$665,0)),"")</f>
        <v>6.72</v>
      </c>
      <c r="T3" s="30" t="n">
        <f aca="false">IFERROR(INDEX('Input Statistiche 2025_26'!$H$3:$H$665,MATCH($A3,'Input Statistiche 2025_26'!$A$3:$A$665,0)),"")</f>
        <v>8.97</v>
      </c>
      <c r="U3" s="26" t="str">
        <f aca="false">IF(OR('La Mia Rosa'!$O$12="",$D3&lt;&gt;""),"",IF($F3&lt;='La Mia Rosa'!$O$12*'Parametri Modello'!$B$24,"OK",IF($F3&lt;='La Mia Rosa'!$O$12*'Parametri Modello'!$B$25,"Attenzione","Rischio Alto")))</f>
        <v>Rischio Alto</v>
      </c>
      <c r="V3" s="26" t="n">
        <f aca="false">IFERROR(COUNTIFS($B$2:$B$492,$B3,$O$2:$O$492,"&gt;"&amp;$O3)+1,"")</f>
        <v>2</v>
      </c>
      <c r="W3" s="21" t="n">
        <f aca="false">'Info Lega'!$B$4-SUMIFS($M$2:$M$492,$D$2:$D$492,'Info Lega'!$B$28)</f>
        <v>1000</v>
      </c>
      <c r="X3" s="21" t="n">
        <f aca="false">('Info Lega'!$B$5-COUNTIFS($D$2:$D$492,'Info Lega'!$B$28,$B$2:$B$492,"P"))+('Info Lega'!$B$6-COUNTIFS($D$2:$D$492,'Info Lega'!$B$28,$B$2:$B$492,"D"))+('Info Lega'!$B$7-COUNTIFS($D$2:$D$492,'Info Lega'!$B$28,$B$2:$B$492,"C"))+('Info Lega'!$B$8-COUNTIFS($D$2:$D$492,'Info Lega'!$B$28,$B$2:$B$492,"A"))</f>
        <v>25</v>
      </c>
      <c r="Y3" s="21" t="n">
        <f aca="false">X3*'Parametri Modello'!$B$30</f>
        <v>25</v>
      </c>
      <c r="Z3" s="21" t="n">
        <f aca="false">MAX(0,W3-Y3)</f>
        <v>975</v>
      </c>
      <c r="AA3" s="21" t="n">
        <f aca="false">MIN(F3,Z3)</f>
        <v>400</v>
      </c>
      <c r="AB3" s="21"/>
      <c r="AC3" s="21" t="str">
        <f aca="false">IF(AB3="","",IF(AB3&gt;AA3,"PASS",IF(AB3&lt;=AA3*0.85,"BID","ATTENZIONE")))</f>
        <v/>
      </c>
      <c r="AD3" s="31" t="n">
        <f aca="false">IF(I3="","",ROUND(100*(1-EXP(-I3/30)),0))</f>
        <v>45</v>
      </c>
      <c r="AE3" s="7" t="str">
        <f aca="false">IFERROR(INDEX('Stato Asta'!$G$9:$G$12,MATCH($B3,'Stato Asta'!$A$9:$A$12,0)),"")</f>
        <v>🔴 Non aspettare</v>
      </c>
    </row>
    <row r="4" customFormat="false" ht="14.25" hidden="false" customHeight="true" outlineLevel="0" collapsed="false">
      <c r="A4" s="21" t="n">
        <v>4871</v>
      </c>
      <c r="B4" s="21" t="s">
        <v>46</v>
      </c>
      <c r="C4" s="21" t="s">
        <v>540</v>
      </c>
      <c r="E4" s="26" t="str">
        <f aca="false">IF(COUNTIF('Info Strategia'!$D$2:$D$51,$C4)&gt;0,"SI","NO")</f>
        <v>NO</v>
      </c>
      <c r="F4" s="27" t="n">
        <f aca="false">IFERROR(ROUND(($G4+($H4-$G4)*'Info Strategia'!$B$6)*(1+IF($E4="SI",'Parametri Modello'!$B$7*'Info Strategia'!$B$6,0)),0),"")</f>
        <v>298</v>
      </c>
      <c r="G4" s="27" t="n">
        <f aca="false">IFERROR(ROUND(MAX(1,(IF($V4&lt;=INDEX('Parametri Modello'!$C$57:$C$60,MATCH($B4,'Parametri Modello'!$A$57:$A$60,0)),IF(INDEX('Parametri Modello'!$E$57:$E$60,MATCH($B4,'Parametri Modello'!$A$57:$A$60,0))=0,0,($O4/INDEX('Parametri Modello'!$E$57:$E$60,MATCH($B4,'Parametri Modello'!$A$57:$A$60,0)))*(INDEX('Parametri Modello'!$D$57:$D$60,MATCH($B4,'Parametri Modello'!$A$57:$A$60,0))*(INDEX('Parametri Modello'!$B$50:$B$53,MATCH($B4,'Parametri Modello'!$A$50:$A$53,0))*'Parametri Modello'!$B$44))),IF(INDEX('Parametri Modello'!$F$57:$F$60,MATCH($B4,'Parametri Modello'!$A$57:$A$60,0))=0,0,($O4/INDEX('Parametri Modello'!$F$57:$F$60,MATCH($B4,'Parametri Modello'!$A$57:$A$60,0)))*((1-INDEX('Parametri Modello'!$D$57:$D$60,MATCH($B4,'Parametri Modello'!$A$57:$A$60,0)))*(INDEX('Parametri Modello'!$B$50:$B$53,MATCH($B4,'Parametri Modello'!$A$50:$A$53,0))*'Parametri Modello'!$B$44))))*(1+IF(IF($B4="D",'Info Lega'!$B$25,IF($B4="C",'Info Lega'!$B$26,"No"))="Si",'Parametri Modello'!$B$5,0))*(1+MAX(-0.25,MIN(0.25,IF(OR($T4="",$I4="",$I4=0,INDEX('Parametri Modello'!$B$19:$B$22,MATCH($B4,'Parametri Modello'!$A$19:$A$22,0))="",INDEX('Parametri Modello'!$B$19:$B$22,MATCH($B4,'Parametri Modello'!$A$19:$A$22,0))=0),0,(($T4-INDEX('Parametri Modello'!$B$19:$B$22,MATCH($B4,'Parametri Modello'!$A$19:$A$22,0)))/INDEX('Parametri Modello'!$B$19:$B$22,MATCH($B4,'Parametri Modello'!$A$19:$A$22,0)))*'Parametri Modello'!$B$9))))*(1+IF('Parametri Modello'!$B$27="Si",MAX(-'Parametri Modello'!$B$28,MIN('Parametri Modello'!$B$28*1.5,IF(OR(INDEX('Parametri Modello'!$F$32:$F$35,MATCH($B4,'Parametri Modello'!$A$32:$A$35,0))="",INDEX('Parametri Modello'!$F$32:$F$35,MATCH($B4,'Parametri Modello'!$A$32:$A$35,0))=0),0,(1/INDEX('Parametri Modello'!$F$32:$F$35,MATCH($B4,'Parametri Modello'!$A$32:$A$35,0))-1)*'Parametri Modello'!$B$28))),0)))*(1-INDEX('Parametri Modello'!$B$12:$B$15,MATCH($B4,'Parametri Modello'!$A$12:$A$15,0)))),0),"")</f>
        <v>186</v>
      </c>
      <c r="H4" s="27" t="n">
        <f aca="false">IFERROR(ROUND((IF($V4&lt;=INDEX('Parametri Modello'!$C$57:$C$60,MATCH($B4,'Parametri Modello'!$A$57:$A$60,0)),IF(INDEX('Parametri Modello'!$E$57:$E$60,MATCH($B4,'Parametri Modello'!$A$57:$A$60,0))=0,0,($O4/INDEX('Parametri Modello'!$E$57:$E$60,MATCH($B4,'Parametri Modello'!$A$57:$A$60,0)))*(INDEX('Parametri Modello'!$D$57:$D$60,MATCH($B4,'Parametri Modello'!$A$57:$A$60,0))*(INDEX('Parametri Modello'!$B$50:$B$53,MATCH($B4,'Parametri Modello'!$A$50:$A$53,0))*'Parametri Modello'!$B$44))),IF(INDEX('Parametri Modello'!$F$57:$F$60,MATCH($B4,'Parametri Modello'!$A$57:$A$60,0))=0,0,($O4/INDEX('Parametri Modello'!$F$57:$F$60,MATCH($B4,'Parametri Modello'!$A$57:$A$60,0)))*((1-INDEX('Parametri Modello'!$D$57:$D$60,MATCH($B4,'Parametri Modello'!$A$57:$A$60,0)))*(INDEX('Parametri Modello'!$B$50:$B$53,MATCH($B4,'Parametri Modello'!$A$50:$A$53,0))*'Parametri Modello'!$B$44))))*(1+IF(IF($B4="D",'Info Lega'!$B$25,IF($B4="C",'Info Lega'!$B$26,"No"))="Si",'Parametri Modello'!$B$5,0))*(1+MAX(-0.25,MIN(0.25,IF(OR($T4="",$I4="",$I4=0,INDEX('Parametri Modello'!$B$19:$B$22,MATCH($B4,'Parametri Modello'!$A$19:$A$22,0))="",INDEX('Parametri Modello'!$B$19:$B$22,MATCH($B4,'Parametri Modello'!$A$19:$A$22,0))=0),0,(($T4-INDEX('Parametri Modello'!$B$19:$B$22,MATCH($B4,'Parametri Modello'!$A$19:$A$22,0)))/INDEX('Parametri Modello'!$B$19:$B$22,MATCH($B4,'Parametri Modello'!$A$19:$A$22,0)))*'Parametri Modello'!$B$9))))*(1+IF('Parametri Modello'!$B$27="Si",MAX(-'Parametri Modello'!$B$28,MIN('Parametri Modello'!$B$28*1.5,IF(OR(INDEX('Parametri Modello'!$F$32:$F$35,MATCH($B4,'Parametri Modello'!$A$32:$A$35,0))="",INDEX('Parametri Modello'!$F$32:$F$35,MATCH($B4,'Parametri Modello'!$A$32:$A$35,0))=0),0,(1/INDEX('Parametri Modello'!$F$32:$F$35,MATCH($B4,'Parametri Modello'!$A$32:$A$35,0))-1)*'Parametri Modello'!$B$28))),0)))*(1+INDEX('Parametri Modello'!$B$12:$B$15,MATCH($B4,'Parametri Modello'!$A$12:$A$15,0))),0),"")</f>
        <v>346</v>
      </c>
      <c r="I4" s="26" t="n">
        <f aca="false">IFERROR(INDEX('Input Statistiche 2025_26'!$F$3:$F$665,MATCH($A4,'Input Statistiche 2025_26'!$A$3:$A$665,0)),"")</f>
        <v>29</v>
      </c>
      <c r="J4" s="26" t="n">
        <f aca="false">IFERROR(IF($I4="","",MAX(0,38-$I4)),"")</f>
        <v>9</v>
      </c>
      <c r="K4" s="26" t="n">
        <f aca="false">IFERROR(INDEX('Input Statistiche 2025_26'!$I$3:$I$665,MATCH($A4,'Input Statistiche 2025_26'!$A$3:$A$665,0)),"")</f>
        <v>13</v>
      </c>
      <c r="L4" s="26" t="n">
        <f aca="false">IFERROR(INDEX('Input Statistiche 2025_26'!$O$3:$O$665,MATCH($A4,'Input Statistiche 2025_26'!$A$3:$A$665,0)),"")</f>
        <v>6</v>
      </c>
      <c r="M4" s="28"/>
      <c r="N4" s="27" t="n">
        <f aca="false">IFERROR(INDEX('Input Giocatori 2026_27'!$E$3:$E$493,MATCH($A4,'Input Giocatori 2026_27'!$A$3:$A$493,0)),"")</f>
        <v>29</v>
      </c>
      <c r="O4" s="27" t="n">
        <f aca="false">IFERROR(INDEX('Input Giocatori 2026_27'!$G$3:$G$493,MATCH($A4,'Input Giocatori 2026_27'!$A$3:$A$493,0)),"")</f>
        <v>280</v>
      </c>
      <c r="P4" s="26" t="str">
        <f aca="false">IFERROR(IF($O4="","",IF((1-(COUNTIFS($B$2:$B$492,$B4,$O$2:$O$492,"&gt;"&amp;$O4)+1-1)/COUNTIF($B$2:$B$492,$B4))&gt;=0.85,"Top",IF((1-(COUNTIFS($B$2:$B$492,$B4,$O$2:$O$492,"&gt;"&amp;$O4)+1-1)/COUNTIF($B$2:$B$492,$B4))&gt;=0.6,"Buono",IF((1-(COUNTIFS($B$2:$B$492,$B4,$O$2:$O$492,"&gt;"&amp;$O4)+1-1)/COUNTIF($B$2:$B$492,$B4))&gt;=0.3,"Nella Media","Scommessa/Riserva")))),"")</f>
        <v>Top</v>
      </c>
      <c r="Q4" s="29" t="n">
        <f aca="false">IF($D4="",COUNTIF($D$2:$D4,""),"")</f>
        <v>3</v>
      </c>
      <c r="R4" s="29" t="str">
        <f aca="false">IF($D4='Info Lega'!$B$28,COUNTIFS($D$2:$D4,'Info Lega'!$B$28),"")</f>
        <v/>
      </c>
      <c r="S4" s="30" t="n">
        <f aca="false">IFERROR(INDEX('Input Statistiche 2025_26'!$G$3:$G$665,MATCH($A4,'Input Statistiche 2025_26'!$A$3:$A$665,0)),"")</f>
        <v>6.43</v>
      </c>
      <c r="T4" s="30" t="n">
        <f aca="false">IFERROR(INDEX('Input Statistiche 2025_26'!$H$3:$H$665,MATCH($A4,'Input Statistiche 2025_26'!$A$3:$A$665,0)),"")</f>
        <v>7.95</v>
      </c>
      <c r="U4" s="26" t="str">
        <f aca="false">IF(OR('La Mia Rosa'!$O$12="",$D4&lt;&gt;""),"",IF($F4&lt;='La Mia Rosa'!$O$12*'Parametri Modello'!$B$24,"OK",IF($F4&lt;='La Mia Rosa'!$O$12*'Parametri Modello'!$B$25,"Attenzione","Rischio Alto")))</f>
        <v>Rischio Alto</v>
      </c>
      <c r="V4" s="26" t="n">
        <f aca="false">IFERROR(COUNTIFS($B$2:$B$492,$B4,$O$2:$O$492,"&gt;"&amp;$O4)+1,"")</f>
        <v>3</v>
      </c>
      <c r="W4" s="21" t="n">
        <f aca="false">'Info Lega'!$B$4-SUMIFS($M$2:$M$492,$D$2:$D$492,'Info Lega'!$B$28)</f>
        <v>1000</v>
      </c>
      <c r="X4" s="21" t="n">
        <f aca="false">('Info Lega'!$B$5-COUNTIFS($D$2:$D$492,'Info Lega'!$B$28,$B$2:$B$492,"P"))+('Info Lega'!$B$6-COUNTIFS($D$2:$D$492,'Info Lega'!$B$28,$B$2:$B$492,"D"))+('Info Lega'!$B$7-COUNTIFS($D$2:$D$492,'Info Lega'!$B$28,$B$2:$B$492,"C"))+('Info Lega'!$B$8-COUNTIFS($D$2:$D$492,'Info Lega'!$B$28,$B$2:$B$492,"A"))</f>
        <v>25</v>
      </c>
      <c r="Y4" s="21" t="n">
        <f aca="false">X4*'Parametri Modello'!$B$30</f>
        <v>25</v>
      </c>
      <c r="Z4" s="21" t="n">
        <f aca="false">MAX(0,W4-Y4)</f>
        <v>975</v>
      </c>
      <c r="AA4" s="21" t="n">
        <f aca="false">MIN(F4,Z4)</f>
        <v>298</v>
      </c>
      <c r="AB4" s="21"/>
      <c r="AC4" s="21" t="str">
        <f aca="false">IF(AB4="","",IF(AB4&gt;AA4,"PASS",IF(AB4&lt;=AA4*0.85,"BID","ATTENZIONE")))</f>
        <v/>
      </c>
      <c r="AD4" s="31" t="n">
        <f aca="false">IF(I4="","",ROUND(100*(1-EXP(-I4/30)),0))</f>
        <v>62</v>
      </c>
      <c r="AE4" s="7" t="str">
        <f aca="false">IFERROR(INDEX('Stato Asta'!$G$9:$G$12,MATCH($B4,'Stato Asta'!$A$9:$A$12,0)),"")</f>
        <v>🔴 Non aspettare</v>
      </c>
    </row>
    <row r="5" customFormat="false" ht="14.25" hidden="false" customHeight="true" outlineLevel="0" collapsed="false">
      <c r="A5" s="21" t="n">
        <v>6052</v>
      </c>
      <c r="B5" s="21" t="s">
        <v>46</v>
      </c>
      <c r="C5" s="21" t="s">
        <v>541</v>
      </c>
      <c r="E5" s="26" t="str">
        <f aca="false">IF(COUNTIF('Info Strategia'!$D$2:$D$51,$C5)&gt;0,"SI","NO")</f>
        <v>NO</v>
      </c>
      <c r="F5" s="27" t="n">
        <f aca="false">IFERROR(ROUND(($G5+($H5-$G5)*'Info Strategia'!$B$6)*(1+IF($E5="SI",'Parametri Modello'!$B$7*'Info Strategia'!$B$6,0)),0),"")</f>
        <v>284</v>
      </c>
      <c r="G5" s="27" t="n">
        <f aca="false">IFERROR(ROUND(MAX(1,(IF($V5&lt;=INDEX('Parametri Modello'!$C$57:$C$60,MATCH($B5,'Parametri Modello'!$A$57:$A$60,0)),IF(INDEX('Parametri Modello'!$E$57:$E$60,MATCH($B5,'Parametri Modello'!$A$57:$A$60,0))=0,0,($O5/INDEX('Parametri Modello'!$E$57:$E$60,MATCH($B5,'Parametri Modello'!$A$57:$A$60,0)))*(INDEX('Parametri Modello'!$D$57:$D$60,MATCH($B5,'Parametri Modello'!$A$57:$A$60,0))*(INDEX('Parametri Modello'!$B$50:$B$53,MATCH($B5,'Parametri Modello'!$A$50:$A$53,0))*'Parametri Modello'!$B$44))),IF(INDEX('Parametri Modello'!$F$57:$F$60,MATCH($B5,'Parametri Modello'!$A$57:$A$60,0))=0,0,($O5/INDEX('Parametri Modello'!$F$57:$F$60,MATCH($B5,'Parametri Modello'!$A$57:$A$60,0)))*((1-INDEX('Parametri Modello'!$D$57:$D$60,MATCH($B5,'Parametri Modello'!$A$57:$A$60,0)))*(INDEX('Parametri Modello'!$B$50:$B$53,MATCH($B5,'Parametri Modello'!$A$50:$A$53,0))*'Parametri Modello'!$B$44))))*(1+IF(IF($B5="D",'Info Lega'!$B$25,IF($B5="C",'Info Lega'!$B$26,"No"))="Si",'Parametri Modello'!$B$5,0))*(1+MAX(-0.25,MIN(0.25,IF(OR($T5="",$I5="",$I5=0,INDEX('Parametri Modello'!$B$19:$B$22,MATCH($B5,'Parametri Modello'!$A$19:$A$22,0))="",INDEX('Parametri Modello'!$B$19:$B$22,MATCH($B5,'Parametri Modello'!$A$19:$A$22,0))=0),0,(($T5-INDEX('Parametri Modello'!$B$19:$B$22,MATCH($B5,'Parametri Modello'!$A$19:$A$22,0)))/INDEX('Parametri Modello'!$B$19:$B$22,MATCH($B5,'Parametri Modello'!$A$19:$A$22,0)))*'Parametri Modello'!$B$9))))*(1+IF('Parametri Modello'!$B$27="Si",MAX(-'Parametri Modello'!$B$28,MIN('Parametri Modello'!$B$28*1.5,IF(OR(INDEX('Parametri Modello'!$F$32:$F$35,MATCH($B5,'Parametri Modello'!$A$32:$A$35,0))="",INDEX('Parametri Modello'!$F$32:$F$35,MATCH($B5,'Parametri Modello'!$A$32:$A$35,0))=0),0,(1/INDEX('Parametri Modello'!$F$32:$F$35,MATCH($B5,'Parametri Modello'!$A$32:$A$35,0))-1)*'Parametri Modello'!$B$28))),0)))*(1-INDEX('Parametri Modello'!$B$12:$B$15,MATCH($B5,'Parametri Modello'!$A$12:$A$15,0)))),0),"")</f>
        <v>178</v>
      </c>
      <c r="H5" s="27" t="n">
        <f aca="false">IFERROR(ROUND((IF($V5&lt;=INDEX('Parametri Modello'!$C$57:$C$60,MATCH($B5,'Parametri Modello'!$A$57:$A$60,0)),IF(INDEX('Parametri Modello'!$E$57:$E$60,MATCH($B5,'Parametri Modello'!$A$57:$A$60,0))=0,0,($O5/INDEX('Parametri Modello'!$E$57:$E$60,MATCH($B5,'Parametri Modello'!$A$57:$A$60,0)))*(INDEX('Parametri Modello'!$D$57:$D$60,MATCH($B5,'Parametri Modello'!$A$57:$A$60,0))*(INDEX('Parametri Modello'!$B$50:$B$53,MATCH($B5,'Parametri Modello'!$A$50:$A$53,0))*'Parametri Modello'!$B$44))),IF(INDEX('Parametri Modello'!$F$57:$F$60,MATCH($B5,'Parametri Modello'!$A$57:$A$60,0))=0,0,($O5/INDEX('Parametri Modello'!$F$57:$F$60,MATCH($B5,'Parametri Modello'!$A$57:$A$60,0)))*((1-INDEX('Parametri Modello'!$D$57:$D$60,MATCH($B5,'Parametri Modello'!$A$57:$A$60,0)))*(INDEX('Parametri Modello'!$B$50:$B$53,MATCH($B5,'Parametri Modello'!$A$50:$A$53,0))*'Parametri Modello'!$B$44))))*(1+IF(IF($B5="D",'Info Lega'!$B$25,IF($B5="C",'Info Lega'!$B$26,"No"))="Si",'Parametri Modello'!$B$5,0))*(1+MAX(-0.25,MIN(0.25,IF(OR($T5="",$I5="",$I5=0,INDEX('Parametri Modello'!$B$19:$B$22,MATCH($B5,'Parametri Modello'!$A$19:$A$22,0))="",INDEX('Parametri Modello'!$B$19:$B$22,MATCH($B5,'Parametri Modello'!$A$19:$A$22,0))=0),0,(($T5-INDEX('Parametri Modello'!$B$19:$B$22,MATCH($B5,'Parametri Modello'!$A$19:$A$22,0)))/INDEX('Parametri Modello'!$B$19:$B$22,MATCH($B5,'Parametri Modello'!$A$19:$A$22,0)))*'Parametri Modello'!$B$9))))*(1+IF('Parametri Modello'!$B$27="Si",MAX(-'Parametri Modello'!$B$28,MIN('Parametri Modello'!$B$28*1.5,IF(OR(INDEX('Parametri Modello'!$F$32:$F$35,MATCH($B5,'Parametri Modello'!$A$32:$A$35,0))="",INDEX('Parametri Modello'!$F$32:$F$35,MATCH($B5,'Parametri Modello'!$A$32:$A$35,0))=0),0,(1/INDEX('Parametri Modello'!$F$32:$F$35,MATCH($B5,'Parametri Modello'!$A$32:$A$35,0))-1)*'Parametri Modello'!$B$28))),0)))*(1+INDEX('Parametri Modello'!$B$12:$B$15,MATCH($B5,'Parametri Modello'!$A$12:$A$15,0))),0),"")</f>
        <v>330</v>
      </c>
      <c r="I5" s="26" t="n">
        <f aca="false">IFERROR(INDEX('Input Statistiche 2025_26'!$F$3:$F$665,MATCH($A5,'Input Statistiche 2025_26'!$A$3:$A$665,0)),"")</f>
        <v>33</v>
      </c>
      <c r="J5" s="26" t="n">
        <f aca="false">IFERROR(IF($I5="","",MAX(0,38-$I5)),"")</f>
        <v>5</v>
      </c>
      <c r="K5" s="26" t="n">
        <f aca="false">IFERROR(INDEX('Input Statistiche 2025_26'!$I$3:$I$665,MATCH($A5,'Input Statistiche 2025_26'!$A$3:$A$665,0)),"")</f>
        <v>12</v>
      </c>
      <c r="L5" s="26" t="n">
        <f aca="false">IFERROR(INDEX('Input Statistiche 2025_26'!$O$3:$O$665,MATCH($A5,'Input Statistiche 2025_26'!$A$3:$A$665,0)),"")</f>
        <v>5</v>
      </c>
      <c r="M5" s="28"/>
      <c r="N5" s="27" t="n">
        <f aca="false">IFERROR(INDEX('Input Giocatori 2026_27'!$E$3:$E$493,MATCH($A5,'Input Giocatori 2026_27'!$A$3:$A$493,0)),"")</f>
        <v>28</v>
      </c>
      <c r="O5" s="27" t="n">
        <f aca="false">IFERROR(INDEX('Input Giocatori 2026_27'!$G$3:$G$493,MATCH($A5,'Input Giocatori 2026_27'!$A$3:$A$493,0)),"")</f>
        <v>271</v>
      </c>
      <c r="P5" s="26" t="str">
        <f aca="false">IFERROR(IF($O5="","",IF((1-(COUNTIFS($B$2:$B$492,$B5,$O$2:$O$492,"&gt;"&amp;$O5)+1-1)/COUNTIF($B$2:$B$492,$B5))&gt;=0.85,"Top",IF((1-(COUNTIFS($B$2:$B$492,$B5,$O$2:$O$492,"&gt;"&amp;$O5)+1-1)/COUNTIF($B$2:$B$492,$B5))&gt;=0.6,"Buono",IF((1-(COUNTIFS($B$2:$B$492,$B5,$O$2:$O$492,"&gt;"&amp;$O5)+1-1)/COUNTIF($B$2:$B$492,$B5))&gt;=0.3,"Nella Media","Scommessa/Riserva")))),"")</f>
        <v>Top</v>
      </c>
      <c r="Q5" s="29" t="n">
        <f aca="false">IF($D5="",COUNTIF($D$2:$D5,""),"")</f>
        <v>4</v>
      </c>
      <c r="R5" s="29" t="str">
        <f aca="false">IF($D5='Info Lega'!$B$28,COUNTIFS($D$2:$D5,'Info Lega'!$B$28),"")</f>
        <v/>
      </c>
      <c r="S5" s="30" t="n">
        <f aca="false">IFERROR(INDEX('Input Statistiche 2025_26'!$G$3:$G$665,MATCH($A5,'Input Statistiche 2025_26'!$A$3:$A$665,0)),"")</f>
        <v>6.21</v>
      </c>
      <c r="T5" s="30" t="n">
        <f aca="false">IFERROR(INDEX('Input Statistiche 2025_26'!$H$3:$H$665,MATCH($A5,'Input Statistiche 2025_26'!$A$3:$A$665,0)),"")</f>
        <v>7.44</v>
      </c>
      <c r="U5" s="26" t="str">
        <f aca="false">IF(OR('La Mia Rosa'!$O$12="",$D5&lt;&gt;""),"",IF($F5&lt;='La Mia Rosa'!$O$12*'Parametri Modello'!$B$24,"OK",IF($F5&lt;='La Mia Rosa'!$O$12*'Parametri Modello'!$B$25,"Attenzione","Rischio Alto")))</f>
        <v>Rischio Alto</v>
      </c>
      <c r="V5" s="26" t="n">
        <f aca="false">IFERROR(COUNTIFS($B$2:$B$492,$B5,$O$2:$O$492,"&gt;"&amp;$O5)+1,"")</f>
        <v>4</v>
      </c>
      <c r="W5" s="21" t="n">
        <f aca="false">'Info Lega'!$B$4-SUMIFS($M$2:$M$492,$D$2:$D$492,'Info Lega'!$B$28)</f>
        <v>1000</v>
      </c>
      <c r="X5" s="21" t="n">
        <f aca="false">('Info Lega'!$B$5-COUNTIFS($D$2:$D$492,'Info Lega'!$B$28,$B$2:$B$492,"P"))+('Info Lega'!$B$6-COUNTIFS($D$2:$D$492,'Info Lega'!$B$28,$B$2:$B$492,"D"))+('Info Lega'!$B$7-COUNTIFS($D$2:$D$492,'Info Lega'!$B$28,$B$2:$B$492,"C"))+('Info Lega'!$B$8-COUNTIFS($D$2:$D$492,'Info Lega'!$B$28,$B$2:$B$492,"A"))</f>
        <v>25</v>
      </c>
      <c r="Y5" s="21" t="n">
        <f aca="false">X5*'Parametri Modello'!$B$30</f>
        <v>25</v>
      </c>
      <c r="Z5" s="21" t="n">
        <f aca="false">MAX(0,W5-Y5)</f>
        <v>975</v>
      </c>
      <c r="AA5" s="21" t="n">
        <f aca="false">MIN(F5,Z5)</f>
        <v>284</v>
      </c>
      <c r="AB5" s="21"/>
      <c r="AC5" s="21" t="str">
        <f aca="false">IF(AB5="","",IF(AB5&gt;AA5,"PASS",IF(AB5&lt;=AA5*0.85,"BID","ATTENZIONE")))</f>
        <v/>
      </c>
      <c r="AD5" s="31" t="n">
        <f aca="false">IF(I5="","",ROUND(100*(1-EXP(-I5/30)),0))</f>
        <v>67</v>
      </c>
      <c r="AE5" s="7" t="str">
        <f aca="false">IFERROR(INDEX('Stato Asta'!$G$9:$G$12,MATCH($B5,'Stato Asta'!$A$9:$A$12,0)),"")</f>
        <v>🔴 Non aspettare</v>
      </c>
    </row>
    <row r="6" customFormat="false" ht="14.25" hidden="false" customHeight="true" outlineLevel="0" collapsed="false">
      <c r="A6" s="21" t="n">
        <v>254</v>
      </c>
      <c r="B6" s="21" t="s">
        <v>44</v>
      </c>
      <c r="C6" s="21" t="s">
        <v>191</v>
      </c>
      <c r="E6" s="26" t="str">
        <f aca="false">IF(COUNTIF('Info Strategia'!$D$2:$D$51,$C6)&gt;0,"SI","NO")</f>
        <v>NO</v>
      </c>
      <c r="F6" s="27" t="n">
        <f aca="false">IFERROR(ROUND(($G6+($H6-$G6)*'Info Strategia'!$B$6)*(1+IF($E6="SI",'Parametri Modello'!$B$7*'Info Strategia'!$B$6,0)),0),"")</f>
        <v>190</v>
      </c>
      <c r="G6" s="27" t="n">
        <f aca="false">IFERROR(ROUND(MAX(1,(IF($V6&lt;=INDEX('Parametri Modello'!$C$57:$C$60,MATCH($B6,'Parametri Modello'!$A$57:$A$60,0)),IF(INDEX('Parametri Modello'!$E$57:$E$60,MATCH($B6,'Parametri Modello'!$A$57:$A$60,0))=0,0,($O6/INDEX('Parametri Modello'!$E$57:$E$60,MATCH($B6,'Parametri Modello'!$A$57:$A$60,0)))*(INDEX('Parametri Modello'!$D$57:$D$60,MATCH($B6,'Parametri Modello'!$A$57:$A$60,0))*(INDEX('Parametri Modello'!$B$50:$B$53,MATCH($B6,'Parametri Modello'!$A$50:$A$53,0))*'Parametri Modello'!$B$44))),IF(INDEX('Parametri Modello'!$F$57:$F$60,MATCH($B6,'Parametri Modello'!$A$57:$A$60,0))=0,0,($O6/INDEX('Parametri Modello'!$F$57:$F$60,MATCH($B6,'Parametri Modello'!$A$57:$A$60,0)))*((1-INDEX('Parametri Modello'!$D$57:$D$60,MATCH($B6,'Parametri Modello'!$A$57:$A$60,0)))*(INDEX('Parametri Modello'!$B$50:$B$53,MATCH($B6,'Parametri Modello'!$A$50:$A$53,0))*'Parametri Modello'!$B$44))))*(1+IF(IF($B6="D",'Info Lega'!$B$25,IF($B6="C",'Info Lega'!$B$26,"No"))="Si",'Parametri Modello'!$B$5,0))*(1+MAX(-0.25,MIN(0.25,IF(OR($T6="",$I6="",$I6=0,INDEX('Parametri Modello'!$B$19:$B$22,MATCH($B6,'Parametri Modello'!$A$19:$A$22,0))="",INDEX('Parametri Modello'!$B$19:$B$22,MATCH($B6,'Parametri Modello'!$A$19:$A$22,0))=0),0,(($T6-INDEX('Parametri Modello'!$B$19:$B$22,MATCH($B6,'Parametri Modello'!$A$19:$A$22,0)))/INDEX('Parametri Modello'!$B$19:$B$22,MATCH($B6,'Parametri Modello'!$A$19:$A$22,0)))*'Parametri Modello'!$B$9))))*(1+IF('Parametri Modello'!$B$27="Si",MAX(-'Parametri Modello'!$B$28,MIN('Parametri Modello'!$B$28*1.5,IF(OR(INDEX('Parametri Modello'!$F$32:$F$35,MATCH($B6,'Parametri Modello'!$A$32:$A$35,0))="",INDEX('Parametri Modello'!$F$32:$F$35,MATCH($B6,'Parametri Modello'!$A$32:$A$35,0))=0),0,(1/INDEX('Parametri Modello'!$F$32:$F$35,MATCH($B6,'Parametri Modello'!$A$32:$A$35,0))-1)*'Parametri Modello'!$B$28))),0)))*(1-INDEX('Parametri Modello'!$B$12:$B$15,MATCH($B6,'Parametri Modello'!$A$12:$A$15,0)))),0),"")</f>
        <v>141</v>
      </c>
      <c r="H6" s="27" t="n">
        <f aca="false">IFERROR(ROUND((IF($V6&lt;=INDEX('Parametri Modello'!$C$57:$C$60,MATCH($B6,'Parametri Modello'!$A$57:$A$60,0)),IF(INDEX('Parametri Modello'!$E$57:$E$60,MATCH($B6,'Parametri Modello'!$A$57:$A$60,0))=0,0,($O6/INDEX('Parametri Modello'!$E$57:$E$60,MATCH($B6,'Parametri Modello'!$A$57:$A$60,0)))*(INDEX('Parametri Modello'!$D$57:$D$60,MATCH($B6,'Parametri Modello'!$A$57:$A$60,0))*(INDEX('Parametri Modello'!$B$50:$B$53,MATCH($B6,'Parametri Modello'!$A$50:$A$53,0))*'Parametri Modello'!$B$44))),IF(INDEX('Parametri Modello'!$F$57:$F$60,MATCH($B6,'Parametri Modello'!$A$57:$A$60,0))=0,0,($O6/INDEX('Parametri Modello'!$F$57:$F$60,MATCH($B6,'Parametri Modello'!$A$57:$A$60,0)))*((1-INDEX('Parametri Modello'!$D$57:$D$60,MATCH($B6,'Parametri Modello'!$A$57:$A$60,0)))*(INDEX('Parametri Modello'!$B$50:$B$53,MATCH($B6,'Parametri Modello'!$A$50:$A$53,0))*'Parametri Modello'!$B$44))))*(1+IF(IF($B6="D",'Info Lega'!$B$25,IF($B6="C",'Info Lega'!$B$26,"No"))="Si",'Parametri Modello'!$B$5,0))*(1+MAX(-0.25,MIN(0.25,IF(OR($T6="",$I6="",$I6=0,INDEX('Parametri Modello'!$B$19:$B$22,MATCH($B6,'Parametri Modello'!$A$19:$A$22,0))="",INDEX('Parametri Modello'!$B$19:$B$22,MATCH($B6,'Parametri Modello'!$A$19:$A$22,0))=0),0,(($T6-INDEX('Parametri Modello'!$B$19:$B$22,MATCH($B6,'Parametri Modello'!$A$19:$A$22,0)))/INDEX('Parametri Modello'!$B$19:$B$22,MATCH($B6,'Parametri Modello'!$A$19:$A$22,0)))*'Parametri Modello'!$B$9))))*(1+IF('Parametri Modello'!$B$27="Si",MAX(-'Parametri Modello'!$B$28,MIN('Parametri Modello'!$B$28*1.5,IF(OR(INDEX('Parametri Modello'!$F$32:$F$35,MATCH($B6,'Parametri Modello'!$A$32:$A$35,0))="",INDEX('Parametri Modello'!$F$32:$F$35,MATCH($B6,'Parametri Modello'!$A$32:$A$35,0))=0),0,(1/INDEX('Parametri Modello'!$F$32:$F$35,MATCH($B6,'Parametri Modello'!$A$32:$A$35,0))-1)*'Parametri Modello'!$B$28))),0)))*(1+INDEX('Parametri Modello'!$B$12:$B$15,MATCH($B6,'Parametri Modello'!$A$12:$A$15,0))),0),"")</f>
        <v>211</v>
      </c>
      <c r="I6" s="26" t="n">
        <f aca="false">IFERROR(INDEX('Input Statistiche 2025_26'!$F$3:$F$665,MATCH($A6,'Input Statistiche 2025_26'!$A$3:$A$665,0)),"")</f>
        <v>35</v>
      </c>
      <c r="J6" s="26" t="n">
        <f aca="false">IFERROR(IF($I6="","",MAX(0,38-$I6)),"")</f>
        <v>3</v>
      </c>
      <c r="K6" s="26" t="n">
        <f aca="false">IFERROR(INDEX('Input Statistiche 2025_26'!$I$3:$I$665,MATCH($A6,'Input Statistiche 2025_26'!$A$3:$A$665,0)),"")</f>
        <v>7</v>
      </c>
      <c r="L6" s="26" t="n">
        <f aca="false">IFERROR(INDEX('Input Statistiche 2025_26'!$O$3:$O$665,MATCH($A6,'Input Statistiche 2025_26'!$A$3:$A$665,0)),"")</f>
        <v>17</v>
      </c>
      <c r="M6" s="28"/>
      <c r="N6" s="27" t="n">
        <f aca="false">IFERROR(INDEX('Input Giocatori 2026_27'!$E$3:$E$493,MATCH($A6,'Input Giocatori 2026_27'!$A$3:$A$493,0)),"")</f>
        <v>32</v>
      </c>
      <c r="O6" s="27" t="n">
        <f aca="false">IFERROR(INDEX('Input Giocatori 2026_27'!$G$3:$G$493,MATCH($A6,'Input Giocatori 2026_27'!$A$3:$A$493,0)),"")</f>
        <v>265</v>
      </c>
      <c r="P6" s="26" t="str">
        <f aca="false">IFERROR(IF($O6="","",IF((1-(COUNTIFS($B$2:$B$492,$B6,$O$2:$O$492,"&gt;"&amp;$O6)+1-1)/COUNTIF($B$2:$B$492,$B6))&gt;=0.85,"Top",IF((1-(COUNTIFS($B$2:$B$492,$B6,$O$2:$O$492,"&gt;"&amp;$O6)+1-1)/COUNTIF($B$2:$B$492,$B6))&gt;=0.6,"Buono",IF((1-(COUNTIFS($B$2:$B$492,$B6,$O$2:$O$492,"&gt;"&amp;$O6)+1-1)/COUNTIF($B$2:$B$492,$B6))&gt;=0.3,"Nella Media","Scommessa/Riserva")))),"")</f>
        <v>Top</v>
      </c>
      <c r="Q6" s="29" t="n">
        <f aca="false">IF($D6="",COUNTIF($D$2:$D6,""),"")</f>
        <v>5</v>
      </c>
      <c r="R6" s="29" t="str">
        <f aca="false">IF($D6='Info Lega'!$B$28,COUNTIFS($D$2:$D6,'Info Lega'!$B$28),"")</f>
        <v/>
      </c>
      <c r="S6" s="30" t="n">
        <f aca="false">IFERROR(INDEX('Input Statistiche 2025_26'!$G$3:$G$665,MATCH($A6,'Input Statistiche 2025_26'!$A$3:$A$665,0)),"")</f>
        <v>6.6</v>
      </c>
      <c r="T6" s="30" t="n">
        <f aca="false">IFERROR(INDEX('Input Statistiche 2025_26'!$H$3:$H$665,MATCH($A6,'Input Statistiche 2025_26'!$A$3:$A$665,0)),"")</f>
        <v>7.64</v>
      </c>
      <c r="U6" s="26" t="str">
        <f aca="false">IF(OR('La Mia Rosa'!$O$12="",$D6&lt;&gt;""),"",IF($F6&lt;='La Mia Rosa'!$O$12*'Parametri Modello'!$B$24,"OK",IF($F6&lt;='La Mia Rosa'!$O$12*'Parametri Modello'!$B$25,"Attenzione","Rischio Alto")))</f>
        <v>Rischio Alto</v>
      </c>
      <c r="V6" s="26" t="n">
        <f aca="false">IFERROR(COUNTIFS($B$2:$B$492,$B6,$O$2:$O$492,"&gt;"&amp;$O6)+1,"")</f>
        <v>1</v>
      </c>
      <c r="W6" s="21" t="n">
        <f aca="false">'Info Lega'!$B$4-SUMIFS($M$2:$M$492,$D$2:$D$492,'Info Lega'!$B$28)</f>
        <v>1000</v>
      </c>
      <c r="X6" s="21" t="n">
        <f aca="false">('Info Lega'!$B$5-COUNTIFS($D$2:$D$492,'Info Lega'!$B$28,$B$2:$B$492,"P"))+('Info Lega'!$B$6-COUNTIFS($D$2:$D$492,'Info Lega'!$B$28,$B$2:$B$492,"D"))+('Info Lega'!$B$7-COUNTIFS($D$2:$D$492,'Info Lega'!$B$28,$B$2:$B$492,"C"))+('Info Lega'!$B$8-COUNTIFS($D$2:$D$492,'Info Lega'!$B$28,$B$2:$B$492,"A"))</f>
        <v>25</v>
      </c>
      <c r="Y6" s="21" t="n">
        <f aca="false">X6*'Parametri Modello'!$B$30</f>
        <v>25</v>
      </c>
      <c r="Z6" s="21" t="n">
        <f aca="false">MAX(0,W6-Y6)</f>
        <v>975</v>
      </c>
      <c r="AA6" s="21" t="n">
        <f aca="false">MIN(F6,Z6)</f>
        <v>190</v>
      </c>
      <c r="AB6" s="21"/>
      <c r="AC6" s="21" t="str">
        <f aca="false">IF(AB6="","",IF(AB6&gt;AA6,"PASS",IF(AB6&lt;=AA6*0.85,"BID","ATTENZIONE")))</f>
        <v/>
      </c>
      <c r="AD6" s="31" t="n">
        <f aca="false">IF(I6="","",ROUND(100*(1-EXP(-I6/30)),0))</f>
        <v>69</v>
      </c>
      <c r="AE6" s="7" t="str">
        <f aca="false">IFERROR(INDEX('Stato Asta'!$G$9:$G$12,MATCH($B6,'Stato Asta'!$A$9:$A$12,0)),"")</f>
        <v>🟡 Attesa rischiosa</v>
      </c>
    </row>
    <row r="7" customFormat="false" ht="14.25" hidden="false" customHeight="true" outlineLevel="0" collapsed="false">
      <c r="A7" s="21" t="n">
        <v>6875</v>
      </c>
      <c r="B7" s="21" t="s">
        <v>45</v>
      </c>
      <c r="C7" s="21" t="s">
        <v>366</v>
      </c>
      <c r="E7" s="26" t="str">
        <f aca="false">IF(COUNTIF('Info Strategia'!$D$2:$D$51,$C7)&gt;0,"SI","NO")</f>
        <v>NO</v>
      </c>
      <c r="F7" s="27" t="n">
        <f aca="false">IFERROR(ROUND(($G7+($H7-$G7)*'Info Strategia'!$B$6)*(1+IF($E7="SI",'Parametri Modello'!$B$7*'Info Strategia'!$B$6,0)),0),"")</f>
        <v>171</v>
      </c>
      <c r="G7" s="27" t="n">
        <f aca="false">IFERROR(ROUND(MAX(1,(IF($V7&lt;=INDEX('Parametri Modello'!$C$57:$C$60,MATCH($B7,'Parametri Modello'!$A$57:$A$60,0)),IF(INDEX('Parametri Modello'!$E$57:$E$60,MATCH($B7,'Parametri Modello'!$A$57:$A$60,0))=0,0,($O7/INDEX('Parametri Modello'!$E$57:$E$60,MATCH($B7,'Parametri Modello'!$A$57:$A$60,0)))*(INDEX('Parametri Modello'!$D$57:$D$60,MATCH($B7,'Parametri Modello'!$A$57:$A$60,0))*(INDEX('Parametri Modello'!$B$50:$B$53,MATCH($B7,'Parametri Modello'!$A$50:$A$53,0))*'Parametri Modello'!$B$44))),IF(INDEX('Parametri Modello'!$F$57:$F$60,MATCH($B7,'Parametri Modello'!$A$57:$A$60,0))=0,0,($O7/INDEX('Parametri Modello'!$F$57:$F$60,MATCH($B7,'Parametri Modello'!$A$57:$A$60,0)))*((1-INDEX('Parametri Modello'!$D$57:$D$60,MATCH($B7,'Parametri Modello'!$A$57:$A$60,0)))*(INDEX('Parametri Modello'!$B$50:$B$53,MATCH($B7,'Parametri Modello'!$A$50:$A$53,0))*'Parametri Modello'!$B$44))))*(1+IF(IF($B7="D",'Info Lega'!$B$25,IF($B7="C",'Info Lega'!$B$26,"No"))="Si",'Parametri Modello'!$B$5,0))*(1+MAX(-0.25,MIN(0.25,IF(OR($T7="",$I7="",$I7=0,INDEX('Parametri Modello'!$B$19:$B$22,MATCH($B7,'Parametri Modello'!$A$19:$A$22,0))="",INDEX('Parametri Modello'!$B$19:$B$22,MATCH($B7,'Parametri Modello'!$A$19:$A$22,0))=0),0,(($T7-INDEX('Parametri Modello'!$B$19:$B$22,MATCH($B7,'Parametri Modello'!$A$19:$A$22,0)))/INDEX('Parametri Modello'!$B$19:$B$22,MATCH($B7,'Parametri Modello'!$A$19:$A$22,0)))*'Parametri Modello'!$B$9))))*(1+IF('Parametri Modello'!$B$27="Si",MAX(-'Parametri Modello'!$B$28,MIN('Parametri Modello'!$B$28*1.5,IF(OR(INDEX('Parametri Modello'!$F$32:$F$35,MATCH($B7,'Parametri Modello'!$A$32:$A$35,0))="",INDEX('Parametri Modello'!$F$32:$F$35,MATCH($B7,'Parametri Modello'!$A$32:$A$35,0))=0),0,(1/INDEX('Parametri Modello'!$F$32:$F$35,MATCH($B7,'Parametri Modello'!$A$32:$A$35,0))-1)*'Parametri Modello'!$B$28))),0)))*(1-INDEX('Parametri Modello'!$B$12:$B$15,MATCH($B7,'Parametri Modello'!$A$12:$A$15,0)))),0),"")</f>
        <v>116</v>
      </c>
      <c r="H7" s="27" t="n">
        <f aca="false">IFERROR(ROUND((IF($V7&lt;=INDEX('Parametri Modello'!$C$57:$C$60,MATCH($B7,'Parametri Modello'!$A$57:$A$60,0)),IF(INDEX('Parametri Modello'!$E$57:$E$60,MATCH($B7,'Parametri Modello'!$A$57:$A$60,0))=0,0,($O7/INDEX('Parametri Modello'!$E$57:$E$60,MATCH($B7,'Parametri Modello'!$A$57:$A$60,0)))*(INDEX('Parametri Modello'!$D$57:$D$60,MATCH($B7,'Parametri Modello'!$A$57:$A$60,0))*(INDEX('Parametri Modello'!$B$50:$B$53,MATCH($B7,'Parametri Modello'!$A$50:$A$53,0))*'Parametri Modello'!$B$44))),IF(INDEX('Parametri Modello'!$F$57:$F$60,MATCH($B7,'Parametri Modello'!$A$57:$A$60,0))=0,0,($O7/INDEX('Parametri Modello'!$F$57:$F$60,MATCH($B7,'Parametri Modello'!$A$57:$A$60,0)))*((1-INDEX('Parametri Modello'!$D$57:$D$60,MATCH($B7,'Parametri Modello'!$A$57:$A$60,0)))*(INDEX('Parametri Modello'!$B$50:$B$53,MATCH($B7,'Parametri Modello'!$A$50:$A$53,0))*'Parametri Modello'!$B$44))))*(1+IF(IF($B7="D",'Info Lega'!$B$25,IF($B7="C",'Info Lega'!$B$26,"No"))="Si",'Parametri Modello'!$B$5,0))*(1+MAX(-0.25,MIN(0.25,IF(OR($T7="",$I7="",$I7=0,INDEX('Parametri Modello'!$B$19:$B$22,MATCH($B7,'Parametri Modello'!$A$19:$A$22,0))="",INDEX('Parametri Modello'!$B$19:$B$22,MATCH($B7,'Parametri Modello'!$A$19:$A$22,0))=0),0,(($T7-INDEX('Parametri Modello'!$B$19:$B$22,MATCH($B7,'Parametri Modello'!$A$19:$A$22,0)))/INDEX('Parametri Modello'!$B$19:$B$22,MATCH($B7,'Parametri Modello'!$A$19:$A$22,0)))*'Parametri Modello'!$B$9))))*(1+IF('Parametri Modello'!$B$27="Si",MAX(-'Parametri Modello'!$B$28,MIN('Parametri Modello'!$B$28*1.5,IF(OR(INDEX('Parametri Modello'!$F$32:$F$35,MATCH($B7,'Parametri Modello'!$A$32:$A$35,0))="",INDEX('Parametri Modello'!$F$32:$F$35,MATCH($B7,'Parametri Modello'!$A$32:$A$35,0))=0),0,(1/INDEX('Parametri Modello'!$F$32:$F$35,MATCH($B7,'Parametri Modello'!$A$32:$A$35,0))-1)*'Parametri Modello'!$B$28))),0)))*(1+INDEX('Parametri Modello'!$B$12:$B$15,MATCH($B7,'Parametri Modello'!$A$12:$A$15,0))),0),"")</f>
        <v>194</v>
      </c>
      <c r="I7" s="26" t="n">
        <f aca="false">IFERROR(INDEX('Input Statistiche 2025_26'!$F$3:$F$665,MATCH($A7,'Input Statistiche 2025_26'!$A$3:$A$665,0)),"")</f>
        <v>35</v>
      </c>
      <c r="J7" s="26" t="n">
        <f aca="false">IFERROR(IF($I7="","",MAX(0,38-$I7)),"")</f>
        <v>3</v>
      </c>
      <c r="K7" s="26" t="n">
        <f aca="false">IFERROR(INDEX('Input Statistiche 2025_26'!$I$3:$I$665,MATCH($A7,'Input Statistiche 2025_26'!$A$3:$A$665,0)),"")</f>
        <v>12</v>
      </c>
      <c r="L7" s="26" t="n">
        <f aca="false">IFERROR(INDEX('Input Statistiche 2025_26'!$O$3:$O$665,MATCH($A7,'Input Statistiche 2025_26'!$A$3:$A$665,0)),"")</f>
        <v>5</v>
      </c>
      <c r="M7" s="28"/>
      <c r="N7" s="27" t="n">
        <f aca="false">IFERROR(INDEX('Input Giocatori 2026_27'!$E$3:$E$493,MATCH($A7,'Input Giocatori 2026_27'!$A$3:$A$493,0)),"")</f>
        <v>30</v>
      </c>
      <c r="O7" s="27" t="n">
        <f aca="false">IFERROR(INDEX('Input Giocatori 2026_27'!$G$3:$G$493,MATCH($A7,'Input Giocatori 2026_27'!$A$3:$A$493,0)),"")</f>
        <v>250</v>
      </c>
      <c r="P7" s="26" t="str">
        <f aca="false">IFERROR(IF($O7="","",IF((1-(COUNTIFS($B$2:$B$492,$B7,$O$2:$O$492,"&gt;"&amp;$O7)+1-1)/COUNTIF($B$2:$B$492,$B7))&gt;=0.85,"Top",IF((1-(COUNTIFS($B$2:$B$492,$B7,$O$2:$O$492,"&gt;"&amp;$O7)+1-1)/COUNTIF($B$2:$B$492,$B7))&gt;=0.6,"Buono",IF((1-(COUNTIFS($B$2:$B$492,$B7,$O$2:$O$492,"&gt;"&amp;$O7)+1-1)/COUNTIF($B$2:$B$492,$B7))&gt;=0.3,"Nella Media","Scommessa/Riserva")))),"")</f>
        <v>Top</v>
      </c>
      <c r="Q7" s="29" t="n">
        <f aca="false">IF($D7="",COUNTIF($D$2:$D7,""),"")</f>
        <v>6</v>
      </c>
      <c r="R7" s="29" t="str">
        <f aca="false">IF($D7='Info Lega'!$B$28,COUNTIFS($D$2:$D7,'Info Lega'!$B$28),"")</f>
        <v/>
      </c>
      <c r="S7" s="30" t="n">
        <f aca="false">IFERROR(INDEX('Input Statistiche 2025_26'!$G$3:$G$665,MATCH($A7,'Input Statistiche 2025_26'!$A$3:$A$665,0)),"")</f>
        <v>6.37</v>
      </c>
      <c r="T7" s="30" t="n">
        <f aca="false">IFERROR(INDEX('Input Statistiche 2025_26'!$H$3:$H$665,MATCH($A7,'Input Statistiche 2025_26'!$A$3:$A$665,0)),"")</f>
        <v>7.3</v>
      </c>
      <c r="U7" s="26" t="str">
        <f aca="false">IF(OR('La Mia Rosa'!$O$12="",$D7&lt;&gt;""),"",IF($F7&lt;='La Mia Rosa'!$O$12*'Parametri Modello'!$B$24,"OK",IF($F7&lt;='La Mia Rosa'!$O$12*'Parametri Modello'!$B$25,"Attenzione","Rischio Alto")))</f>
        <v>Rischio Alto</v>
      </c>
      <c r="V7" s="26" t="n">
        <f aca="false">IFERROR(COUNTIFS($B$2:$B$492,$B7,$O$2:$O$492,"&gt;"&amp;$O7)+1,"")</f>
        <v>1</v>
      </c>
      <c r="W7" s="21" t="n">
        <f aca="false">'Info Lega'!$B$4-SUMIFS($M$2:$M$492,$D$2:$D$492,'Info Lega'!$B$28)</f>
        <v>1000</v>
      </c>
      <c r="X7" s="21" t="n">
        <f aca="false">('Info Lega'!$B$5-COUNTIFS($D$2:$D$492,'Info Lega'!$B$28,$B$2:$B$492,"P"))+('Info Lega'!$B$6-COUNTIFS($D$2:$D$492,'Info Lega'!$B$28,$B$2:$B$492,"D"))+('Info Lega'!$B$7-COUNTIFS($D$2:$D$492,'Info Lega'!$B$28,$B$2:$B$492,"C"))+('Info Lega'!$B$8-COUNTIFS($D$2:$D$492,'Info Lega'!$B$28,$B$2:$B$492,"A"))</f>
        <v>25</v>
      </c>
      <c r="Y7" s="21" t="n">
        <f aca="false">X7*'Parametri Modello'!$B$30</f>
        <v>25</v>
      </c>
      <c r="Z7" s="21" t="n">
        <f aca="false">MAX(0,W7-Y7)</f>
        <v>975</v>
      </c>
      <c r="AA7" s="21" t="n">
        <f aca="false">MIN(F7,Z7)</f>
        <v>171</v>
      </c>
      <c r="AB7" s="21"/>
      <c r="AC7" s="21" t="str">
        <f aca="false">IF(AB7="","",IF(AB7&gt;AA7,"PASS",IF(AB7&lt;=AA7*0.85,"BID","ATTENZIONE")))</f>
        <v/>
      </c>
      <c r="AD7" s="31" t="n">
        <f aca="false">IF(I7="","",ROUND(100*(1-EXP(-I7/30)),0))</f>
        <v>69</v>
      </c>
      <c r="AE7" s="7" t="str">
        <f aca="false">IFERROR(INDEX('Stato Asta'!$G$9:$G$12,MATCH($B7,'Stato Asta'!$A$9:$A$12,0)),"")</f>
        <v>🟡 Attesa rischiosa</v>
      </c>
    </row>
    <row r="8" customFormat="false" ht="14.25" hidden="false" customHeight="true" outlineLevel="0" collapsed="false">
      <c r="A8" s="21" t="n">
        <v>4777</v>
      </c>
      <c r="B8" s="21" t="s">
        <v>45</v>
      </c>
      <c r="C8" s="21" t="s">
        <v>367</v>
      </c>
      <c r="E8" s="26" t="str">
        <f aca="false">IF(COUNTIF('Info Strategia'!$D$2:$D$51,$C8)&gt;0,"SI","NO")</f>
        <v>NO</v>
      </c>
      <c r="F8" s="27" t="n">
        <f aca="false">IFERROR(ROUND(($G8+($H8-$G8)*'Info Strategia'!$B$6)*(1+IF($E8="SI",'Parametri Modello'!$B$7*'Info Strategia'!$B$6,0)),0),"")</f>
        <v>164</v>
      </c>
      <c r="G8" s="27" t="n">
        <f aca="false">IFERROR(ROUND(MAX(1,(IF($V8&lt;=INDEX('Parametri Modello'!$C$57:$C$60,MATCH($B8,'Parametri Modello'!$A$57:$A$60,0)),IF(INDEX('Parametri Modello'!$E$57:$E$60,MATCH($B8,'Parametri Modello'!$A$57:$A$60,0))=0,0,($O8/INDEX('Parametri Modello'!$E$57:$E$60,MATCH($B8,'Parametri Modello'!$A$57:$A$60,0)))*(INDEX('Parametri Modello'!$D$57:$D$60,MATCH($B8,'Parametri Modello'!$A$57:$A$60,0))*(INDEX('Parametri Modello'!$B$50:$B$53,MATCH($B8,'Parametri Modello'!$A$50:$A$53,0))*'Parametri Modello'!$B$44))),IF(INDEX('Parametri Modello'!$F$57:$F$60,MATCH($B8,'Parametri Modello'!$A$57:$A$60,0))=0,0,($O8/INDEX('Parametri Modello'!$F$57:$F$60,MATCH($B8,'Parametri Modello'!$A$57:$A$60,0)))*((1-INDEX('Parametri Modello'!$D$57:$D$60,MATCH($B8,'Parametri Modello'!$A$57:$A$60,0)))*(INDEX('Parametri Modello'!$B$50:$B$53,MATCH($B8,'Parametri Modello'!$A$50:$A$53,0))*'Parametri Modello'!$B$44))))*(1+IF(IF($B8="D",'Info Lega'!$B$25,IF($B8="C",'Info Lega'!$B$26,"No"))="Si",'Parametri Modello'!$B$5,0))*(1+MAX(-0.25,MIN(0.25,IF(OR($T8="",$I8="",$I8=0,INDEX('Parametri Modello'!$B$19:$B$22,MATCH($B8,'Parametri Modello'!$A$19:$A$22,0))="",INDEX('Parametri Modello'!$B$19:$B$22,MATCH($B8,'Parametri Modello'!$A$19:$A$22,0))=0),0,(($T8-INDEX('Parametri Modello'!$B$19:$B$22,MATCH($B8,'Parametri Modello'!$A$19:$A$22,0)))/INDEX('Parametri Modello'!$B$19:$B$22,MATCH($B8,'Parametri Modello'!$A$19:$A$22,0)))*'Parametri Modello'!$B$9))))*(1+IF('Parametri Modello'!$B$27="Si",MAX(-'Parametri Modello'!$B$28,MIN('Parametri Modello'!$B$28*1.5,IF(OR(INDEX('Parametri Modello'!$F$32:$F$35,MATCH($B8,'Parametri Modello'!$A$32:$A$35,0))="",INDEX('Parametri Modello'!$F$32:$F$35,MATCH($B8,'Parametri Modello'!$A$32:$A$35,0))=0),0,(1/INDEX('Parametri Modello'!$F$32:$F$35,MATCH($B8,'Parametri Modello'!$A$32:$A$35,0))-1)*'Parametri Modello'!$B$28))),0)))*(1-INDEX('Parametri Modello'!$B$12:$B$15,MATCH($B8,'Parametri Modello'!$A$12:$A$15,0)))),0),"")</f>
        <v>112</v>
      </c>
      <c r="H8" s="27" t="n">
        <f aca="false">IFERROR(ROUND((IF($V8&lt;=INDEX('Parametri Modello'!$C$57:$C$60,MATCH($B8,'Parametri Modello'!$A$57:$A$60,0)),IF(INDEX('Parametri Modello'!$E$57:$E$60,MATCH($B8,'Parametri Modello'!$A$57:$A$60,0))=0,0,($O8/INDEX('Parametri Modello'!$E$57:$E$60,MATCH($B8,'Parametri Modello'!$A$57:$A$60,0)))*(INDEX('Parametri Modello'!$D$57:$D$60,MATCH($B8,'Parametri Modello'!$A$57:$A$60,0))*(INDEX('Parametri Modello'!$B$50:$B$53,MATCH($B8,'Parametri Modello'!$A$50:$A$53,0))*'Parametri Modello'!$B$44))),IF(INDEX('Parametri Modello'!$F$57:$F$60,MATCH($B8,'Parametri Modello'!$A$57:$A$60,0))=0,0,($O8/INDEX('Parametri Modello'!$F$57:$F$60,MATCH($B8,'Parametri Modello'!$A$57:$A$60,0)))*((1-INDEX('Parametri Modello'!$D$57:$D$60,MATCH($B8,'Parametri Modello'!$A$57:$A$60,0)))*(INDEX('Parametri Modello'!$B$50:$B$53,MATCH($B8,'Parametri Modello'!$A$50:$A$53,0))*'Parametri Modello'!$B$44))))*(1+IF(IF($B8="D",'Info Lega'!$B$25,IF($B8="C",'Info Lega'!$B$26,"No"))="Si",'Parametri Modello'!$B$5,0))*(1+MAX(-0.25,MIN(0.25,IF(OR($T8="",$I8="",$I8=0,INDEX('Parametri Modello'!$B$19:$B$22,MATCH($B8,'Parametri Modello'!$A$19:$A$22,0))="",INDEX('Parametri Modello'!$B$19:$B$22,MATCH($B8,'Parametri Modello'!$A$19:$A$22,0))=0),0,(($T8-INDEX('Parametri Modello'!$B$19:$B$22,MATCH($B8,'Parametri Modello'!$A$19:$A$22,0)))/INDEX('Parametri Modello'!$B$19:$B$22,MATCH($B8,'Parametri Modello'!$A$19:$A$22,0)))*'Parametri Modello'!$B$9))))*(1+IF('Parametri Modello'!$B$27="Si",MAX(-'Parametri Modello'!$B$28,MIN('Parametri Modello'!$B$28*1.5,IF(OR(INDEX('Parametri Modello'!$F$32:$F$35,MATCH($B8,'Parametri Modello'!$A$32:$A$35,0))="",INDEX('Parametri Modello'!$F$32:$F$35,MATCH($B8,'Parametri Modello'!$A$32:$A$35,0))=0),0,(1/INDEX('Parametri Modello'!$F$32:$F$35,MATCH($B8,'Parametri Modello'!$A$32:$A$35,0))-1)*'Parametri Modello'!$B$28))),0)))*(1+INDEX('Parametri Modello'!$B$12:$B$15,MATCH($B8,'Parametri Modello'!$A$12:$A$15,0))),0),"")</f>
        <v>186</v>
      </c>
      <c r="I8" s="26" t="n">
        <f aca="false">IFERROR(INDEX('Input Statistiche 2025_26'!$F$3:$F$665,MATCH($A8,'Input Statistiche 2025_26'!$A$3:$A$665,0)),"")</f>
        <v>33</v>
      </c>
      <c r="J8" s="26" t="n">
        <f aca="false">IFERROR(IF($I8="","",MAX(0,38-$I8)),"")</f>
        <v>5</v>
      </c>
      <c r="K8" s="26" t="n">
        <f aca="false">IFERROR(INDEX('Input Statistiche 2025_26'!$I$3:$I$665,MATCH($A8,'Input Statistiche 2025_26'!$A$3:$A$665,0)),"")</f>
        <v>10</v>
      </c>
      <c r="L8" s="26" t="n">
        <f aca="false">IFERROR(INDEX('Input Statistiche 2025_26'!$O$3:$O$665,MATCH($A8,'Input Statistiche 2025_26'!$A$3:$A$665,0)),"")</f>
        <v>2</v>
      </c>
      <c r="M8" s="28"/>
      <c r="N8" s="27" t="n">
        <f aca="false">IFERROR(INDEX('Input Giocatori 2026_27'!$E$3:$E$493,MATCH($A8,'Input Giocatori 2026_27'!$A$3:$A$493,0)),"")</f>
        <v>28</v>
      </c>
      <c r="O8" s="27" t="n">
        <f aca="false">IFERROR(INDEX('Input Giocatori 2026_27'!$G$3:$G$493,MATCH($A8,'Input Giocatori 2026_27'!$A$3:$A$493,0)),"")</f>
        <v>240</v>
      </c>
      <c r="P8" s="26" t="str">
        <f aca="false">IFERROR(IF($O8="","",IF((1-(COUNTIFS($B$2:$B$492,$B8,$O$2:$O$492,"&gt;"&amp;$O8)+1-1)/COUNTIF($B$2:$B$492,$B8))&gt;=0.85,"Top",IF((1-(COUNTIFS($B$2:$B$492,$B8,$O$2:$O$492,"&gt;"&amp;$O8)+1-1)/COUNTIF($B$2:$B$492,$B8))&gt;=0.6,"Buono",IF((1-(COUNTIFS($B$2:$B$492,$B8,$O$2:$O$492,"&gt;"&amp;$O8)+1-1)/COUNTIF($B$2:$B$492,$B8))&gt;=0.3,"Nella Media","Scommessa/Riserva")))),"")</f>
        <v>Top</v>
      </c>
      <c r="Q8" s="29" t="n">
        <f aca="false">IF($D8="",COUNTIF($D$2:$D8,""),"")</f>
        <v>7</v>
      </c>
      <c r="R8" s="29" t="str">
        <f aca="false">IF($D8='Info Lega'!$B$28,COUNTIFS($D$2:$D8,'Info Lega'!$B$28),"")</f>
        <v/>
      </c>
      <c r="S8" s="30" t="n">
        <f aca="false">IFERROR(INDEX('Input Statistiche 2025_26'!$G$3:$G$665,MATCH($A8,'Input Statistiche 2025_26'!$A$3:$A$665,0)),"")</f>
        <v>6.39</v>
      </c>
      <c r="T8" s="30" t="n">
        <f aca="false">IFERROR(INDEX('Input Statistiche 2025_26'!$H$3:$H$665,MATCH($A8,'Input Statistiche 2025_26'!$A$3:$A$665,0)),"")</f>
        <v>7.26</v>
      </c>
      <c r="U8" s="26" t="str">
        <f aca="false">IF(OR('La Mia Rosa'!$O$12="",$D8&lt;&gt;""),"",IF($F8&lt;='La Mia Rosa'!$O$12*'Parametri Modello'!$B$24,"OK",IF($F8&lt;='La Mia Rosa'!$O$12*'Parametri Modello'!$B$25,"Attenzione","Rischio Alto")))</f>
        <v>Rischio Alto</v>
      </c>
      <c r="V8" s="26" t="n">
        <f aca="false">IFERROR(COUNTIFS($B$2:$B$492,$B8,$O$2:$O$492,"&gt;"&amp;$O8)+1,"")</f>
        <v>2</v>
      </c>
      <c r="W8" s="21" t="n">
        <f aca="false">'Info Lega'!$B$4-SUMIFS($M$2:$M$492,$D$2:$D$492,'Info Lega'!$B$28)</f>
        <v>1000</v>
      </c>
      <c r="X8" s="21" t="n">
        <f aca="false">('Info Lega'!$B$5-COUNTIFS($D$2:$D$492,'Info Lega'!$B$28,$B$2:$B$492,"P"))+('Info Lega'!$B$6-COUNTIFS($D$2:$D$492,'Info Lega'!$B$28,$B$2:$B$492,"D"))+('Info Lega'!$B$7-COUNTIFS($D$2:$D$492,'Info Lega'!$B$28,$B$2:$B$492,"C"))+('Info Lega'!$B$8-COUNTIFS($D$2:$D$492,'Info Lega'!$B$28,$B$2:$B$492,"A"))</f>
        <v>25</v>
      </c>
      <c r="Y8" s="21" t="n">
        <f aca="false">X8*'Parametri Modello'!$B$30</f>
        <v>25</v>
      </c>
      <c r="Z8" s="21" t="n">
        <f aca="false">MAX(0,W8-Y8)</f>
        <v>975</v>
      </c>
      <c r="AA8" s="21" t="n">
        <f aca="false">MIN(F8,Z8)</f>
        <v>164</v>
      </c>
      <c r="AB8" s="21"/>
      <c r="AC8" s="21" t="str">
        <f aca="false">IF(AB8="","",IF(AB8&gt;AA8,"PASS",IF(AB8&lt;=AA8*0.85,"BID","ATTENZIONE")))</f>
        <v/>
      </c>
      <c r="AD8" s="31" t="n">
        <f aca="false">IF(I8="","",ROUND(100*(1-EXP(-I8/30)),0))</f>
        <v>67</v>
      </c>
      <c r="AE8" s="7" t="str">
        <f aca="false">IFERROR(INDEX('Stato Asta'!$G$9:$G$12,MATCH($B8,'Stato Asta'!$A$9:$A$12,0)),"")</f>
        <v>🟡 Attesa rischiosa</v>
      </c>
    </row>
    <row r="9" customFormat="false" ht="14.25" hidden="false" customHeight="true" outlineLevel="0" collapsed="false">
      <c r="A9" s="21" t="n">
        <v>6397</v>
      </c>
      <c r="B9" s="21" t="s">
        <v>46</v>
      </c>
      <c r="C9" s="21" t="s">
        <v>542</v>
      </c>
      <c r="E9" s="26" t="str">
        <f aca="false">IF(COUNTIF('Info Strategia'!$D$2:$D$51,$C9)&gt;0,"SI","NO")</f>
        <v>NO</v>
      </c>
      <c r="F9" s="27" t="n">
        <f aca="false">IFERROR(ROUND(($G9+($H9-$G9)*'Info Strategia'!$B$6)*(1+IF($E9="SI",'Parametri Modello'!$B$7*'Info Strategia'!$B$6,0)),0),"")</f>
        <v>246</v>
      </c>
      <c r="G9" s="27" t="n">
        <f aca="false">IFERROR(ROUND(MAX(1,(IF($V9&lt;=INDEX('Parametri Modello'!$C$57:$C$60,MATCH($B9,'Parametri Modello'!$A$57:$A$60,0)),IF(INDEX('Parametri Modello'!$E$57:$E$60,MATCH($B9,'Parametri Modello'!$A$57:$A$60,0))=0,0,($O9/INDEX('Parametri Modello'!$E$57:$E$60,MATCH($B9,'Parametri Modello'!$A$57:$A$60,0)))*(INDEX('Parametri Modello'!$D$57:$D$60,MATCH($B9,'Parametri Modello'!$A$57:$A$60,0))*(INDEX('Parametri Modello'!$B$50:$B$53,MATCH($B9,'Parametri Modello'!$A$50:$A$53,0))*'Parametri Modello'!$B$44))),IF(INDEX('Parametri Modello'!$F$57:$F$60,MATCH($B9,'Parametri Modello'!$A$57:$A$60,0))=0,0,($O9/INDEX('Parametri Modello'!$F$57:$F$60,MATCH($B9,'Parametri Modello'!$A$57:$A$60,0)))*((1-INDEX('Parametri Modello'!$D$57:$D$60,MATCH($B9,'Parametri Modello'!$A$57:$A$60,0)))*(INDEX('Parametri Modello'!$B$50:$B$53,MATCH($B9,'Parametri Modello'!$A$50:$A$53,0))*'Parametri Modello'!$B$44))))*(1+IF(IF($B9="D",'Info Lega'!$B$25,IF($B9="C",'Info Lega'!$B$26,"No"))="Si",'Parametri Modello'!$B$5,0))*(1+MAX(-0.25,MIN(0.25,IF(OR($T9="",$I9="",$I9=0,INDEX('Parametri Modello'!$B$19:$B$22,MATCH($B9,'Parametri Modello'!$A$19:$A$22,0))="",INDEX('Parametri Modello'!$B$19:$B$22,MATCH($B9,'Parametri Modello'!$A$19:$A$22,0))=0),0,(($T9-INDEX('Parametri Modello'!$B$19:$B$22,MATCH($B9,'Parametri Modello'!$A$19:$A$22,0)))/INDEX('Parametri Modello'!$B$19:$B$22,MATCH($B9,'Parametri Modello'!$A$19:$A$22,0)))*'Parametri Modello'!$B$9))))*(1+IF('Parametri Modello'!$B$27="Si",MAX(-'Parametri Modello'!$B$28,MIN('Parametri Modello'!$B$28*1.5,IF(OR(INDEX('Parametri Modello'!$F$32:$F$35,MATCH($B9,'Parametri Modello'!$A$32:$A$35,0))="",INDEX('Parametri Modello'!$F$32:$F$35,MATCH($B9,'Parametri Modello'!$A$32:$A$35,0))=0),0,(1/INDEX('Parametri Modello'!$F$32:$F$35,MATCH($B9,'Parametri Modello'!$A$32:$A$35,0))-1)*'Parametri Modello'!$B$28))),0)))*(1-INDEX('Parametri Modello'!$B$12:$B$15,MATCH($B9,'Parametri Modello'!$A$12:$A$15,0)))),0),"")</f>
        <v>154</v>
      </c>
      <c r="H9" s="27" t="n">
        <f aca="false">IFERROR(ROUND((IF($V9&lt;=INDEX('Parametri Modello'!$C$57:$C$60,MATCH($B9,'Parametri Modello'!$A$57:$A$60,0)),IF(INDEX('Parametri Modello'!$E$57:$E$60,MATCH($B9,'Parametri Modello'!$A$57:$A$60,0))=0,0,($O9/INDEX('Parametri Modello'!$E$57:$E$60,MATCH($B9,'Parametri Modello'!$A$57:$A$60,0)))*(INDEX('Parametri Modello'!$D$57:$D$60,MATCH($B9,'Parametri Modello'!$A$57:$A$60,0))*(INDEX('Parametri Modello'!$B$50:$B$53,MATCH($B9,'Parametri Modello'!$A$50:$A$53,0))*'Parametri Modello'!$B$44))),IF(INDEX('Parametri Modello'!$F$57:$F$60,MATCH($B9,'Parametri Modello'!$A$57:$A$60,0))=0,0,($O9/INDEX('Parametri Modello'!$F$57:$F$60,MATCH($B9,'Parametri Modello'!$A$57:$A$60,0)))*((1-INDEX('Parametri Modello'!$D$57:$D$60,MATCH($B9,'Parametri Modello'!$A$57:$A$60,0)))*(INDEX('Parametri Modello'!$B$50:$B$53,MATCH($B9,'Parametri Modello'!$A$50:$A$53,0))*'Parametri Modello'!$B$44))))*(1+IF(IF($B9="D",'Info Lega'!$B$25,IF($B9="C",'Info Lega'!$B$26,"No"))="Si",'Parametri Modello'!$B$5,0))*(1+MAX(-0.25,MIN(0.25,IF(OR($T9="",$I9="",$I9=0,INDEX('Parametri Modello'!$B$19:$B$22,MATCH($B9,'Parametri Modello'!$A$19:$A$22,0))="",INDEX('Parametri Modello'!$B$19:$B$22,MATCH($B9,'Parametri Modello'!$A$19:$A$22,0))=0),0,(($T9-INDEX('Parametri Modello'!$B$19:$B$22,MATCH($B9,'Parametri Modello'!$A$19:$A$22,0)))/INDEX('Parametri Modello'!$B$19:$B$22,MATCH($B9,'Parametri Modello'!$A$19:$A$22,0)))*'Parametri Modello'!$B$9))))*(1+IF('Parametri Modello'!$B$27="Si",MAX(-'Parametri Modello'!$B$28,MIN('Parametri Modello'!$B$28*1.5,IF(OR(INDEX('Parametri Modello'!$F$32:$F$35,MATCH($B9,'Parametri Modello'!$A$32:$A$35,0))="",INDEX('Parametri Modello'!$F$32:$F$35,MATCH($B9,'Parametri Modello'!$A$32:$A$35,0))=0),0,(1/INDEX('Parametri Modello'!$F$32:$F$35,MATCH($B9,'Parametri Modello'!$A$32:$A$35,0))-1)*'Parametri Modello'!$B$28))),0)))*(1+INDEX('Parametri Modello'!$B$12:$B$15,MATCH($B9,'Parametri Modello'!$A$12:$A$15,0))),0),"")</f>
        <v>286</v>
      </c>
      <c r="I9" s="26" t="str">
        <f aca="false">IFERROR(INDEX('Input Statistiche 2025_26'!$F$3:$F$665,MATCH($A9,'Input Statistiche 2025_26'!$A$3:$A$665,0)),"")</f>
        <v/>
      </c>
      <c r="J9" s="26" t="str">
        <f aca="false">IFERROR(IF($I9="","",MAX(0,38-$I9)),"")</f>
        <v/>
      </c>
      <c r="K9" s="26" t="str">
        <f aca="false">IFERROR(INDEX('Input Statistiche 2025_26'!$I$3:$I$665,MATCH($A9,'Input Statistiche 2025_26'!$A$3:$A$665,0)),"")</f>
        <v/>
      </c>
      <c r="L9" s="26" t="str">
        <f aca="false">IFERROR(INDEX('Input Statistiche 2025_26'!$O$3:$O$665,MATCH($A9,'Input Statistiche 2025_26'!$A$3:$A$665,0)),"")</f>
        <v/>
      </c>
      <c r="M9" s="28"/>
      <c r="N9" s="27" t="n">
        <f aca="false">IFERROR(INDEX('Input Giocatori 2026_27'!$E$3:$E$493,MATCH($A9,'Input Giocatori 2026_27'!$A$3:$A$493,0)),"")</f>
        <v>27</v>
      </c>
      <c r="O9" s="27" t="n">
        <f aca="false">IFERROR(INDEX('Input Giocatori 2026_27'!$G$3:$G$493,MATCH($A9,'Input Giocatori 2026_27'!$A$3:$A$493,0)),"")</f>
        <v>240</v>
      </c>
      <c r="P9" s="26" t="str">
        <f aca="false">IFERROR(IF($O9="","",IF((1-(COUNTIFS($B$2:$B$492,$B9,$O$2:$O$492,"&gt;"&amp;$O9)+1-1)/COUNTIF($B$2:$B$492,$B9))&gt;=0.85,"Top",IF((1-(COUNTIFS($B$2:$B$492,$B9,$O$2:$O$492,"&gt;"&amp;$O9)+1-1)/COUNTIF($B$2:$B$492,$B9))&gt;=0.6,"Buono",IF((1-(COUNTIFS($B$2:$B$492,$B9,$O$2:$O$492,"&gt;"&amp;$O9)+1-1)/COUNTIF($B$2:$B$492,$B9))&gt;=0.3,"Nella Media","Scommessa/Riserva")))),"")</f>
        <v>Top</v>
      </c>
      <c r="Q9" s="29" t="n">
        <f aca="false">IF($D9="",COUNTIF($D$2:$D9,""),"")</f>
        <v>8</v>
      </c>
      <c r="R9" s="29" t="str">
        <f aca="false">IF($D9='Info Lega'!$B$28,COUNTIFS($D$2:$D9,'Info Lega'!$B$28),"")</f>
        <v/>
      </c>
      <c r="S9" s="30" t="str">
        <f aca="false">IFERROR(INDEX('Input Statistiche 2025_26'!$G$3:$G$665,MATCH($A9,'Input Statistiche 2025_26'!$A$3:$A$665,0)),"")</f>
        <v/>
      </c>
      <c r="T9" s="30" t="str">
        <f aca="false">IFERROR(INDEX('Input Statistiche 2025_26'!$H$3:$H$665,MATCH($A9,'Input Statistiche 2025_26'!$A$3:$A$665,0)),"")</f>
        <v/>
      </c>
      <c r="U9" s="26" t="str">
        <f aca="false">IF(OR('La Mia Rosa'!$O$12="",$D9&lt;&gt;""),"",IF($F9&lt;='La Mia Rosa'!$O$12*'Parametri Modello'!$B$24,"OK",IF($F9&lt;='La Mia Rosa'!$O$12*'Parametri Modello'!$B$25,"Attenzione","Rischio Alto")))</f>
        <v>Rischio Alto</v>
      </c>
      <c r="V9" s="26" t="n">
        <f aca="false">IFERROR(COUNTIFS($B$2:$B$492,$B9,$O$2:$O$492,"&gt;"&amp;$O9)+1,"")</f>
        <v>5</v>
      </c>
      <c r="W9" s="21" t="n">
        <f aca="false">'Info Lega'!$B$4-SUMIFS($M$2:$M$492,$D$2:$D$492,'Info Lega'!$B$28)</f>
        <v>1000</v>
      </c>
      <c r="X9" s="21" t="n">
        <f aca="false">('Info Lega'!$B$5-COUNTIFS($D$2:$D$492,'Info Lega'!$B$28,$B$2:$B$492,"P"))+('Info Lega'!$B$6-COUNTIFS($D$2:$D$492,'Info Lega'!$B$28,$B$2:$B$492,"D"))+('Info Lega'!$B$7-COUNTIFS($D$2:$D$492,'Info Lega'!$B$28,$B$2:$B$492,"C"))+('Info Lega'!$B$8-COUNTIFS($D$2:$D$492,'Info Lega'!$B$28,$B$2:$B$492,"A"))</f>
        <v>25</v>
      </c>
      <c r="Y9" s="21" t="n">
        <f aca="false">X9*'Parametri Modello'!$B$30</f>
        <v>25</v>
      </c>
      <c r="Z9" s="21" t="n">
        <f aca="false">MAX(0,W9-Y9)</f>
        <v>975</v>
      </c>
      <c r="AA9" s="21" t="n">
        <f aca="false">MIN(F9,Z9)</f>
        <v>246</v>
      </c>
      <c r="AB9" s="21"/>
      <c r="AC9" s="21" t="str">
        <f aca="false">IF(AB9="","",IF(AB9&gt;AA9,"PASS",IF(AB9&lt;=AA9*0.85,"BID","ATTENZIONE")))</f>
        <v/>
      </c>
      <c r="AD9" s="31" t="str">
        <f aca="false">IF(I9="","",ROUND(100*(1-EXP(-I9/30)),0))</f>
        <v/>
      </c>
      <c r="AE9" s="7" t="str">
        <f aca="false">IFERROR(INDEX('Stato Asta'!$G$9:$G$12,MATCH($B9,'Stato Asta'!$A$9:$A$12,0)),"")</f>
        <v>🔴 Non aspettare</v>
      </c>
    </row>
    <row r="10" customFormat="false" ht="14.25" hidden="false" customHeight="true" outlineLevel="0" collapsed="false">
      <c r="A10" s="21" t="n">
        <v>2194</v>
      </c>
      <c r="B10" s="21" t="s">
        <v>45</v>
      </c>
      <c r="C10" s="21" t="s">
        <v>368</v>
      </c>
      <c r="E10" s="26" t="str">
        <f aca="false">IF(COUNTIF('Info Strategia'!$D$2:$D$51,$C10)&gt;0,"SI","NO")</f>
        <v>NO</v>
      </c>
      <c r="F10" s="27" t="n">
        <f aca="false">IFERROR(ROUND(($G10+($H10-$G10)*'Info Strategia'!$B$6)*(1+IF($E10="SI",'Parametri Modello'!$B$7*'Info Strategia'!$B$6,0)),0),"")</f>
        <v>158</v>
      </c>
      <c r="G10" s="27" t="n">
        <f aca="false">IFERROR(ROUND(MAX(1,(IF($V10&lt;=INDEX('Parametri Modello'!$C$57:$C$60,MATCH($B10,'Parametri Modello'!$A$57:$A$60,0)),IF(INDEX('Parametri Modello'!$E$57:$E$60,MATCH($B10,'Parametri Modello'!$A$57:$A$60,0))=0,0,($O10/INDEX('Parametri Modello'!$E$57:$E$60,MATCH($B10,'Parametri Modello'!$A$57:$A$60,0)))*(INDEX('Parametri Modello'!$D$57:$D$60,MATCH($B10,'Parametri Modello'!$A$57:$A$60,0))*(INDEX('Parametri Modello'!$B$50:$B$53,MATCH($B10,'Parametri Modello'!$A$50:$A$53,0))*'Parametri Modello'!$B$44))),IF(INDEX('Parametri Modello'!$F$57:$F$60,MATCH($B10,'Parametri Modello'!$A$57:$A$60,0))=0,0,($O10/INDEX('Parametri Modello'!$F$57:$F$60,MATCH($B10,'Parametri Modello'!$A$57:$A$60,0)))*((1-INDEX('Parametri Modello'!$D$57:$D$60,MATCH($B10,'Parametri Modello'!$A$57:$A$60,0)))*(INDEX('Parametri Modello'!$B$50:$B$53,MATCH($B10,'Parametri Modello'!$A$50:$A$53,0))*'Parametri Modello'!$B$44))))*(1+IF(IF($B10="D",'Info Lega'!$B$25,IF($B10="C",'Info Lega'!$B$26,"No"))="Si",'Parametri Modello'!$B$5,0))*(1+MAX(-0.25,MIN(0.25,IF(OR($T10="",$I10="",$I10=0,INDEX('Parametri Modello'!$B$19:$B$22,MATCH($B10,'Parametri Modello'!$A$19:$A$22,0))="",INDEX('Parametri Modello'!$B$19:$B$22,MATCH($B10,'Parametri Modello'!$A$19:$A$22,0))=0),0,(($T10-INDEX('Parametri Modello'!$B$19:$B$22,MATCH($B10,'Parametri Modello'!$A$19:$A$22,0)))/INDEX('Parametri Modello'!$B$19:$B$22,MATCH($B10,'Parametri Modello'!$A$19:$A$22,0)))*'Parametri Modello'!$B$9))))*(1+IF('Parametri Modello'!$B$27="Si",MAX(-'Parametri Modello'!$B$28,MIN('Parametri Modello'!$B$28*1.5,IF(OR(INDEX('Parametri Modello'!$F$32:$F$35,MATCH($B10,'Parametri Modello'!$A$32:$A$35,0))="",INDEX('Parametri Modello'!$F$32:$F$35,MATCH($B10,'Parametri Modello'!$A$32:$A$35,0))=0),0,(1/INDEX('Parametri Modello'!$F$32:$F$35,MATCH($B10,'Parametri Modello'!$A$32:$A$35,0))-1)*'Parametri Modello'!$B$28))),0)))*(1-INDEX('Parametri Modello'!$B$12:$B$15,MATCH($B10,'Parametri Modello'!$A$12:$A$15,0)))),0),"")</f>
        <v>108</v>
      </c>
      <c r="H10" s="27" t="n">
        <f aca="false">IFERROR(ROUND((IF($V10&lt;=INDEX('Parametri Modello'!$C$57:$C$60,MATCH($B10,'Parametri Modello'!$A$57:$A$60,0)),IF(INDEX('Parametri Modello'!$E$57:$E$60,MATCH($B10,'Parametri Modello'!$A$57:$A$60,0))=0,0,($O10/INDEX('Parametri Modello'!$E$57:$E$60,MATCH($B10,'Parametri Modello'!$A$57:$A$60,0)))*(INDEX('Parametri Modello'!$D$57:$D$60,MATCH($B10,'Parametri Modello'!$A$57:$A$60,0))*(INDEX('Parametri Modello'!$B$50:$B$53,MATCH($B10,'Parametri Modello'!$A$50:$A$53,0))*'Parametri Modello'!$B$44))),IF(INDEX('Parametri Modello'!$F$57:$F$60,MATCH($B10,'Parametri Modello'!$A$57:$A$60,0))=0,0,($O10/INDEX('Parametri Modello'!$F$57:$F$60,MATCH($B10,'Parametri Modello'!$A$57:$A$60,0)))*((1-INDEX('Parametri Modello'!$D$57:$D$60,MATCH($B10,'Parametri Modello'!$A$57:$A$60,0)))*(INDEX('Parametri Modello'!$B$50:$B$53,MATCH($B10,'Parametri Modello'!$A$50:$A$53,0))*'Parametri Modello'!$B$44))))*(1+IF(IF($B10="D",'Info Lega'!$B$25,IF($B10="C",'Info Lega'!$B$26,"No"))="Si",'Parametri Modello'!$B$5,0))*(1+MAX(-0.25,MIN(0.25,IF(OR($T10="",$I10="",$I10=0,INDEX('Parametri Modello'!$B$19:$B$22,MATCH($B10,'Parametri Modello'!$A$19:$A$22,0))="",INDEX('Parametri Modello'!$B$19:$B$22,MATCH($B10,'Parametri Modello'!$A$19:$A$22,0))=0),0,(($T10-INDEX('Parametri Modello'!$B$19:$B$22,MATCH($B10,'Parametri Modello'!$A$19:$A$22,0)))/INDEX('Parametri Modello'!$B$19:$B$22,MATCH($B10,'Parametri Modello'!$A$19:$A$22,0)))*'Parametri Modello'!$B$9))))*(1+IF('Parametri Modello'!$B$27="Si",MAX(-'Parametri Modello'!$B$28,MIN('Parametri Modello'!$B$28*1.5,IF(OR(INDEX('Parametri Modello'!$F$32:$F$35,MATCH($B10,'Parametri Modello'!$A$32:$A$35,0))="",INDEX('Parametri Modello'!$F$32:$F$35,MATCH($B10,'Parametri Modello'!$A$32:$A$35,0))=0),0,(1/INDEX('Parametri Modello'!$F$32:$F$35,MATCH($B10,'Parametri Modello'!$A$32:$A$35,0))-1)*'Parametri Modello'!$B$28))),0)))*(1+INDEX('Parametri Modello'!$B$12:$B$15,MATCH($B10,'Parametri Modello'!$A$12:$A$15,0))),0),"")</f>
        <v>180</v>
      </c>
      <c r="I10" s="26" t="n">
        <f aca="false">IFERROR(INDEX('Input Statistiche 2025_26'!$F$3:$F$665,MATCH($A10,'Input Statistiche 2025_26'!$A$3:$A$665,0)),"")</f>
        <v>22</v>
      </c>
      <c r="J10" s="26" t="n">
        <f aca="false">IFERROR(IF($I10="","",MAX(0,38-$I10)),"")</f>
        <v>16</v>
      </c>
      <c r="K10" s="26" t="n">
        <f aca="false">IFERROR(INDEX('Input Statistiche 2025_26'!$I$3:$I$665,MATCH($A10,'Input Statistiche 2025_26'!$A$3:$A$665,0)),"")</f>
        <v>9</v>
      </c>
      <c r="L10" s="26" t="n">
        <f aca="false">IFERROR(INDEX('Input Statistiche 2025_26'!$O$3:$O$665,MATCH($A10,'Input Statistiche 2025_26'!$A$3:$A$665,0)),"")</f>
        <v>4</v>
      </c>
      <c r="M10" s="28"/>
      <c r="N10" s="27" t="n">
        <f aca="false">IFERROR(INDEX('Input Giocatori 2026_27'!$E$3:$E$493,MATCH($A10,'Input Giocatori 2026_27'!$A$3:$A$493,0)),"")</f>
        <v>27</v>
      </c>
      <c r="O10" s="27" t="n">
        <f aca="false">IFERROR(INDEX('Input Giocatori 2026_27'!$G$3:$G$493,MATCH($A10,'Input Giocatori 2026_27'!$A$3:$A$493,0)),"")</f>
        <v>230</v>
      </c>
      <c r="P10" s="26" t="str">
        <f aca="false">IFERROR(IF($O10="","",IF((1-(COUNTIFS($B$2:$B$492,$B10,$O$2:$O$492,"&gt;"&amp;$O10)+1-1)/COUNTIF($B$2:$B$492,$B10))&gt;=0.85,"Top",IF((1-(COUNTIFS($B$2:$B$492,$B10,$O$2:$O$492,"&gt;"&amp;$O10)+1-1)/COUNTIF($B$2:$B$492,$B10))&gt;=0.6,"Buono",IF((1-(COUNTIFS($B$2:$B$492,$B10,$O$2:$O$492,"&gt;"&amp;$O10)+1-1)/COUNTIF($B$2:$B$492,$B10))&gt;=0.3,"Nella Media","Scommessa/Riserva")))),"")</f>
        <v>Top</v>
      </c>
      <c r="Q10" s="29" t="n">
        <f aca="false">IF($D10="",COUNTIF($D$2:$D10,""),"")</f>
        <v>9</v>
      </c>
      <c r="R10" s="29" t="str">
        <f aca="false">IF($D10='Info Lega'!$B$28,COUNTIFS($D$2:$D10,'Info Lega'!$B$28),"")</f>
        <v/>
      </c>
      <c r="S10" s="30" t="n">
        <f aca="false">IFERROR(INDEX('Input Statistiche 2025_26'!$G$3:$G$665,MATCH($A10,'Input Statistiche 2025_26'!$A$3:$A$665,0)),"")</f>
        <v>6.52</v>
      </c>
      <c r="T10" s="30" t="n">
        <f aca="false">IFERROR(INDEX('Input Statistiche 2025_26'!$H$3:$H$665,MATCH($A10,'Input Statistiche 2025_26'!$A$3:$A$665,0)),"")</f>
        <v>7.64</v>
      </c>
      <c r="U10" s="26" t="str">
        <f aca="false">IF(OR('La Mia Rosa'!$O$12="",$D10&lt;&gt;""),"",IF($F10&lt;='La Mia Rosa'!$O$12*'Parametri Modello'!$B$24,"OK",IF($F10&lt;='La Mia Rosa'!$O$12*'Parametri Modello'!$B$25,"Attenzione","Rischio Alto")))</f>
        <v>Rischio Alto</v>
      </c>
      <c r="V10" s="26" t="n">
        <f aca="false">IFERROR(COUNTIFS($B$2:$B$492,$B10,$O$2:$O$492,"&gt;"&amp;$O10)+1,"")</f>
        <v>3</v>
      </c>
      <c r="W10" s="21" t="n">
        <f aca="false">'Info Lega'!$B$4-SUMIFS($M$2:$M$492,$D$2:$D$492,'Info Lega'!$B$28)</f>
        <v>1000</v>
      </c>
      <c r="X10" s="21" t="n">
        <f aca="false">('Info Lega'!$B$5-COUNTIFS($D$2:$D$492,'Info Lega'!$B$28,$B$2:$B$492,"P"))+('Info Lega'!$B$6-COUNTIFS($D$2:$D$492,'Info Lega'!$B$28,$B$2:$B$492,"D"))+('Info Lega'!$B$7-COUNTIFS($D$2:$D$492,'Info Lega'!$B$28,$B$2:$B$492,"C"))+('Info Lega'!$B$8-COUNTIFS($D$2:$D$492,'Info Lega'!$B$28,$B$2:$B$492,"A"))</f>
        <v>25</v>
      </c>
      <c r="Y10" s="21" t="n">
        <f aca="false">X10*'Parametri Modello'!$B$30</f>
        <v>25</v>
      </c>
      <c r="Z10" s="21" t="n">
        <f aca="false">MAX(0,W10-Y10)</f>
        <v>975</v>
      </c>
      <c r="AA10" s="21" t="n">
        <f aca="false">MIN(F10,Z10)</f>
        <v>158</v>
      </c>
      <c r="AB10" s="21"/>
      <c r="AC10" s="21" t="str">
        <f aca="false">IF(AB10="","",IF(AB10&gt;AA10,"PASS",IF(AB10&lt;=AA10*0.85,"BID","ATTENZIONE")))</f>
        <v/>
      </c>
      <c r="AD10" s="31" t="n">
        <f aca="false">IF(I10="","",ROUND(100*(1-EXP(-I10/30)),0))</f>
        <v>52</v>
      </c>
      <c r="AE10" s="7" t="str">
        <f aca="false">IFERROR(INDEX('Stato Asta'!$G$9:$G$12,MATCH($B10,'Stato Asta'!$A$9:$A$12,0)),"")</f>
        <v>🟡 Attesa rischiosa</v>
      </c>
    </row>
    <row r="11" customFormat="false" ht="14.25" hidden="false" customHeight="true" outlineLevel="0" collapsed="false">
      <c r="A11" s="21" t="n">
        <v>5951</v>
      </c>
      <c r="B11" s="21" t="s">
        <v>46</v>
      </c>
      <c r="C11" s="21" t="s">
        <v>543</v>
      </c>
      <c r="E11" s="26" t="str">
        <f aca="false">IF(COUNTIF('Info Strategia'!$D$2:$D$51,$C11)&gt;0,"SI","NO")</f>
        <v>NO</v>
      </c>
      <c r="F11" s="27" t="n">
        <f aca="false">IFERROR(ROUND(($G11+($H11-$G11)*'Info Strategia'!$B$6)*(1+IF($E11="SI",'Parametri Modello'!$B$7*'Info Strategia'!$B$6,0)),0),"")</f>
        <v>231</v>
      </c>
      <c r="G11" s="27" t="n">
        <f aca="false">IFERROR(ROUND(MAX(1,(IF($V11&lt;=INDEX('Parametri Modello'!$C$57:$C$60,MATCH($B11,'Parametri Modello'!$A$57:$A$60,0)),IF(INDEX('Parametri Modello'!$E$57:$E$60,MATCH($B11,'Parametri Modello'!$A$57:$A$60,0))=0,0,($O11/INDEX('Parametri Modello'!$E$57:$E$60,MATCH($B11,'Parametri Modello'!$A$57:$A$60,0)))*(INDEX('Parametri Modello'!$D$57:$D$60,MATCH($B11,'Parametri Modello'!$A$57:$A$60,0))*(INDEX('Parametri Modello'!$B$50:$B$53,MATCH($B11,'Parametri Modello'!$A$50:$A$53,0))*'Parametri Modello'!$B$44))),IF(INDEX('Parametri Modello'!$F$57:$F$60,MATCH($B11,'Parametri Modello'!$A$57:$A$60,0))=0,0,($O11/INDEX('Parametri Modello'!$F$57:$F$60,MATCH($B11,'Parametri Modello'!$A$57:$A$60,0)))*((1-INDEX('Parametri Modello'!$D$57:$D$60,MATCH($B11,'Parametri Modello'!$A$57:$A$60,0)))*(INDEX('Parametri Modello'!$B$50:$B$53,MATCH($B11,'Parametri Modello'!$A$50:$A$53,0))*'Parametri Modello'!$B$44))))*(1+IF(IF($B11="D",'Info Lega'!$B$25,IF($B11="C",'Info Lega'!$B$26,"No"))="Si",'Parametri Modello'!$B$5,0))*(1+MAX(-0.25,MIN(0.25,IF(OR($T11="",$I11="",$I11=0,INDEX('Parametri Modello'!$B$19:$B$22,MATCH($B11,'Parametri Modello'!$A$19:$A$22,0))="",INDEX('Parametri Modello'!$B$19:$B$22,MATCH($B11,'Parametri Modello'!$A$19:$A$22,0))=0),0,(($T11-INDEX('Parametri Modello'!$B$19:$B$22,MATCH($B11,'Parametri Modello'!$A$19:$A$22,0)))/INDEX('Parametri Modello'!$B$19:$B$22,MATCH($B11,'Parametri Modello'!$A$19:$A$22,0)))*'Parametri Modello'!$B$9))))*(1+IF('Parametri Modello'!$B$27="Si",MAX(-'Parametri Modello'!$B$28,MIN('Parametri Modello'!$B$28*1.5,IF(OR(INDEX('Parametri Modello'!$F$32:$F$35,MATCH($B11,'Parametri Modello'!$A$32:$A$35,0))="",INDEX('Parametri Modello'!$F$32:$F$35,MATCH($B11,'Parametri Modello'!$A$32:$A$35,0))=0),0,(1/INDEX('Parametri Modello'!$F$32:$F$35,MATCH($B11,'Parametri Modello'!$A$32:$A$35,0))-1)*'Parametri Modello'!$B$28))),0)))*(1-INDEX('Parametri Modello'!$B$12:$B$15,MATCH($B11,'Parametri Modello'!$A$12:$A$15,0)))),0),"")</f>
        <v>144</v>
      </c>
      <c r="H11" s="27" t="n">
        <f aca="false">IFERROR(ROUND((IF($V11&lt;=INDEX('Parametri Modello'!$C$57:$C$60,MATCH($B11,'Parametri Modello'!$A$57:$A$60,0)),IF(INDEX('Parametri Modello'!$E$57:$E$60,MATCH($B11,'Parametri Modello'!$A$57:$A$60,0))=0,0,($O11/INDEX('Parametri Modello'!$E$57:$E$60,MATCH($B11,'Parametri Modello'!$A$57:$A$60,0)))*(INDEX('Parametri Modello'!$D$57:$D$60,MATCH($B11,'Parametri Modello'!$A$57:$A$60,0))*(INDEX('Parametri Modello'!$B$50:$B$53,MATCH($B11,'Parametri Modello'!$A$50:$A$53,0))*'Parametri Modello'!$B$44))),IF(INDEX('Parametri Modello'!$F$57:$F$60,MATCH($B11,'Parametri Modello'!$A$57:$A$60,0))=0,0,($O11/INDEX('Parametri Modello'!$F$57:$F$60,MATCH($B11,'Parametri Modello'!$A$57:$A$60,0)))*((1-INDEX('Parametri Modello'!$D$57:$D$60,MATCH($B11,'Parametri Modello'!$A$57:$A$60,0)))*(INDEX('Parametri Modello'!$B$50:$B$53,MATCH($B11,'Parametri Modello'!$A$50:$A$53,0))*'Parametri Modello'!$B$44))))*(1+IF(IF($B11="D",'Info Lega'!$B$25,IF($B11="C",'Info Lega'!$B$26,"No"))="Si",'Parametri Modello'!$B$5,0))*(1+MAX(-0.25,MIN(0.25,IF(OR($T11="",$I11="",$I11=0,INDEX('Parametri Modello'!$B$19:$B$22,MATCH($B11,'Parametri Modello'!$A$19:$A$22,0))="",INDEX('Parametri Modello'!$B$19:$B$22,MATCH($B11,'Parametri Modello'!$A$19:$A$22,0))=0),0,(($T11-INDEX('Parametri Modello'!$B$19:$B$22,MATCH($B11,'Parametri Modello'!$A$19:$A$22,0)))/INDEX('Parametri Modello'!$B$19:$B$22,MATCH($B11,'Parametri Modello'!$A$19:$A$22,0)))*'Parametri Modello'!$B$9))))*(1+IF('Parametri Modello'!$B$27="Si",MAX(-'Parametri Modello'!$B$28,MIN('Parametri Modello'!$B$28*1.5,IF(OR(INDEX('Parametri Modello'!$F$32:$F$35,MATCH($B11,'Parametri Modello'!$A$32:$A$35,0))="",INDEX('Parametri Modello'!$F$32:$F$35,MATCH($B11,'Parametri Modello'!$A$32:$A$35,0))=0),0,(1/INDEX('Parametri Modello'!$F$32:$F$35,MATCH($B11,'Parametri Modello'!$A$32:$A$35,0))-1)*'Parametri Modello'!$B$28))),0)))*(1+INDEX('Parametri Modello'!$B$12:$B$15,MATCH($B11,'Parametri Modello'!$A$12:$A$15,0))),0),"")</f>
        <v>268</v>
      </c>
      <c r="I11" s="26" t="str">
        <f aca="false">IFERROR(INDEX('Input Statistiche 2025_26'!$F$3:$F$665,MATCH($A11,'Input Statistiche 2025_26'!$A$3:$A$665,0)),"")</f>
        <v/>
      </c>
      <c r="J11" s="26" t="str">
        <f aca="false">IFERROR(IF($I11="","",MAX(0,38-$I11)),"")</f>
        <v/>
      </c>
      <c r="K11" s="26" t="str">
        <f aca="false">IFERROR(INDEX('Input Statistiche 2025_26'!$I$3:$I$665,MATCH($A11,'Input Statistiche 2025_26'!$A$3:$A$665,0)),"")</f>
        <v/>
      </c>
      <c r="L11" s="26" t="str">
        <f aca="false">IFERROR(INDEX('Input Statistiche 2025_26'!$O$3:$O$665,MATCH($A11,'Input Statistiche 2025_26'!$A$3:$A$665,0)),"")</f>
        <v/>
      </c>
      <c r="M11" s="28"/>
      <c r="N11" s="27" t="n">
        <f aca="false">IFERROR(INDEX('Input Giocatori 2026_27'!$E$3:$E$493,MATCH($A11,'Input Giocatori 2026_27'!$A$3:$A$493,0)),"")</f>
        <v>26</v>
      </c>
      <c r="O11" s="27" t="n">
        <f aca="false">IFERROR(INDEX('Input Giocatori 2026_27'!$G$3:$G$493,MATCH($A11,'Input Giocatori 2026_27'!$A$3:$A$493,0)),"")</f>
        <v>225</v>
      </c>
      <c r="P11" s="26" t="str">
        <f aca="false">IFERROR(IF($O11="","",IF((1-(COUNTIFS($B$2:$B$492,$B11,$O$2:$O$492,"&gt;"&amp;$O11)+1-1)/COUNTIF($B$2:$B$492,$B11))&gt;=0.85,"Top",IF((1-(COUNTIFS($B$2:$B$492,$B11,$O$2:$O$492,"&gt;"&amp;$O11)+1-1)/COUNTIF($B$2:$B$492,$B11))&gt;=0.6,"Buono",IF((1-(COUNTIFS($B$2:$B$492,$B11,$O$2:$O$492,"&gt;"&amp;$O11)+1-1)/COUNTIF($B$2:$B$492,$B11))&gt;=0.3,"Nella Media","Scommessa/Riserva")))),"")</f>
        <v>Top</v>
      </c>
      <c r="Q11" s="29" t="n">
        <f aca="false">IF($D11="",COUNTIF($D$2:$D11,""),"")</f>
        <v>10</v>
      </c>
      <c r="R11" s="29" t="str">
        <f aca="false">IF($D11='Info Lega'!$B$28,COUNTIFS($D$2:$D11,'Info Lega'!$B$28),"")</f>
        <v/>
      </c>
      <c r="S11" s="30" t="str">
        <f aca="false">IFERROR(INDEX('Input Statistiche 2025_26'!$G$3:$G$665,MATCH($A11,'Input Statistiche 2025_26'!$A$3:$A$665,0)),"")</f>
        <v/>
      </c>
      <c r="T11" s="30" t="str">
        <f aca="false">IFERROR(INDEX('Input Statistiche 2025_26'!$H$3:$H$665,MATCH($A11,'Input Statistiche 2025_26'!$A$3:$A$665,0)),"")</f>
        <v/>
      </c>
      <c r="U11" s="26" t="str">
        <f aca="false">IF(OR('La Mia Rosa'!$O$12="",$D11&lt;&gt;""),"",IF($F11&lt;='La Mia Rosa'!$O$12*'Parametri Modello'!$B$24,"OK",IF($F11&lt;='La Mia Rosa'!$O$12*'Parametri Modello'!$B$25,"Attenzione","Rischio Alto")))</f>
        <v>Rischio Alto</v>
      </c>
      <c r="V11" s="26" t="n">
        <f aca="false">IFERROR(COUNTIFS($B$2:$B$492,$B11,$O$2:$O$492,"&gt;"&amp;$O11)+1,"")</f>
        <v>6</v>
      </c>
      <c r="W11" s="21" t="n">
        <f aca="false">'Info Lega'!$B$4-SUMIFS($M$2:$M$492,$D$2:$D$492,'Info Lega'!$B$28)</f>
        <v>1000</v>
      </c>
      <c r="X11" s="21" t="n">
        <f aca="false">('Info Lega'!$B$5-COUNTIFS($D$2:$D$492,'Info Lega'!$B$28,$B$2:$B$492,"P"))+('Info Lega'!$B$6-COUNTIFS($D$2:$D$492,'Info Lega'!$B$28,$B$2:$B$492,"D"))+('Info Lega'!$B$7-COUNTIFS($D$2:$D$492,'Info Lega'!$B$28,$B$2:$B$492,"C"))+('Info Lega'!$B$8-COUNTIFS($D$2:$D$492,'Info Lega'!$B$28,$B$2:$B$492,"A"))</f>
        <v>25</v>
      </c>
      <c r="Y11" s="21" t="n">
        <f aca="false">X11*'Parametri Modello'!$B$30</f>
        <v>25</v>
      </c>
      <c r="Z11" s="21" t="n">
        <f aca="false">MAX(0,W11-Y11)</f>
        <v>975</v>
      </c>
      <c r="AA11" s="21" t="n">
        <f aca="false">MIN(F11,Z11)</f>
        <v>231</v>
      </c>
      <c r="AB11" s="21"/>
      <c r="AC11" s="21" t="str">
        <f aca="false">IF(AB11="","",IF(AB11&gt;AA11,"PASS",IF(AB11&lt;=AA11*0.85,"BID","ATTENZIONE")))</f>
        <v/>
      </c>
      <c r="AD11" s="31" t="str">
        <f aca="false">IF(I11="","",ROUND(100*(1-EXP(-I11/30)),0))</f>
        <v/>
      </c>
      <c r="AE11" s="7" t="str">
        <f aca="false">IFERROR(INDEX('Stato Asta'!$G$9:$G$12,MATCH($B11,'Stato Asta'!$A$9:$A$12,0)),"")</f>
        <v>🔴 Non aspettare</v>
      </c>
    </row>
    <row r="12" customFormat="false" ht="14.25" hidden="false" customHeight="true" outlineLevel="0" collapsed="false">
      <c r="A12" s="21" t="n">
        <v>2097</v>
      </c>
      <c r="B12" s="21" t="s">
        <v>46</v>
      </c>
      <c r="C12" s="21" t="s">
        <v>544</v>
      </c>
      <c r="E12" s="26" t="str">
        <f aca="false">IF(COUNTIF('Info Strategia'!$D$2:$D$51,$C12)&gt;0,"SI","NO")</f>
        <v>NO</v>
      </c>
      <c r="F12" s="27" t="n">
        <f aca="false">IFERROR(ROUND(($G12+($H12-$G12)*'Info Strategia'!$B$6)*(1+IF($E12="SI",'Parametri Modello'!$B$7*'Info Strategia'!$B$6,0)),0),"")</f>
        <v>218</v>
      </c>
      <c r="G12" s="27" t="n">
        <f aca="false">IFERROR(ROUND(MAX(1,(IF($V12&lt;=INDEX('Parametri Modello'!$C$57:$C$60,MATCH($B12,'Parametri Modello'!$A$57:$A$60,0)),IF(INDEX('Parametri Modello'!$E$57:$E$60,MATCH($B12,'Parametri Modello'!$A$57:$A$60,0))=0,0,($O12/INDEX('Parametri Modello'!$E$57:$E$60,MATCH($B12,'Parametri Modello'!$A$57:$A$60,0)))*(INDEX('Parametri Modello'!$D$57:$D$60,MATCH($B12,'Parametri Modello'!$A$57:$A$60,0))*(INDEX('Parametri Modello'!$B$50:$B$53,MATCH($B12,'Parametri Modello'!$A$50:$A$53,0))*'Parametri Modello'!$B$44))),IF(INDEX('Parametri Modello'!$F$57:$F$60,MATCH($B12,'Parametri Modello'!$A$57:$A$60,0))=0,0,($O12/INDEX('Parametri Modello'!$F$57:$F$60,MATCH($B12,'Parametri Modello'!$A$57:$A$60,0)))*((1-INDEX('Parametri Modello'!$D$57:$D$60,MATCH($B12,'Parametri Modello'!$A$57:$A$60,0)))*(INDEX('Parametri Modello'!$B$50:$B$53,MATCH($B12,'Parametri Modello'!$A$50:$A$53,0))*'Parametri Modello'!$B$44))))*(1+IF(IF($B12="D",'Info Lega'!$B$25,IF($B12="C",'Info Lega'!$B$26,"No"))="Si",'Parametri Modello'!$B$5,0))*(1+MAX(-0.25,MIN(0.25,IF(OR($T12="",$I12="",$I12=0,INDEX('Parametri Modello'!$B$19:$B$22,MATCH($B12,'Parametri Modello'!$A$19:$A$22,0))="",INDEX('Parametri Modello'!$B$19:$B$22,MATCH($B12,'Parametri Modello'!$A$19:$A$22,0))=0),0,(($T12-INDEX('Parametri Modello'!$B$19:$B$22,MATCH($B12,'Parametri Modello'!$A$19:$A$22,0)))/INDEX('Parametri Modello'!$B$19:$B$22,MATCH($B12,'Parametri Modello'!$A$19:$A$22,0)))*'Parametri Modello'!$B$9))))*(1+IF('Parametri Modello'!$B$27="Si",MAX(-'Parametri Modello'!$B$28,MIN('Parametri Modello'!$B$28*1.5,IF(OR(INDEX('Parametri Modello'!$F$32:$F$35,MATCH($B12,'Parametri Modello'!$A$32:$A$35,0))="",INDEX('Parametri Modello'!$F$32:$F$35,MATCH($B12,'Parametri Modello'!$A$32:$A$35,0))=0),0,(1/INDEX('Parametri Modello'!$F$32:$F$35,MATCH($B12,'Parametri Modello'!$A$32:$A$35,0))-1)*'Parametri Modello'!$B$28))),0)))*(1-INDEX('Parametri Modello'!$B$12:$B$15,MATCH($B12,'Parametri Modello'!$A$12:$A$15,0)))),0),"")</f>
        <v>136</v>
      </c>
      <c r="H12" s="27" t="n">
        <f aca="false">IFERROR(ROUND((IF($V12&lt;=INDEX('Parametri Modello'!$C$57:$C$60,MATCH($B12,'Parametri Modello'!$A$57:$A$60,0)),IF(INDEX('Parametri Modello'!$E$57:$E$60,MATCH($B12,'Parametri Modello'!$A$57:$A$60,0))=0,0,($O12/INDEX('Parametri Modello'!$E$57:$E$60,MATCH($B12,'Parametri Modello'!$A$57:$A$60,0)))*(INDEX('Parametri Modello'!$D$57:$D$60,MATCH($B12,'Parametri Modello'!$A$57:$A$60,0))*(INDEX('Parametri Modello'!$B$50:$B$53,MATCH($B12,'Parametri Modello'!$A$50:$A$53,0))*'Parametri Modello'!$B$44))),IF(INDEX('Parametri Modello'!$F$57:$F$60,MATCH($B12,'Parametri Modello'!$A$57:$A$60,0))=0,0,($O12/INDEX('Parametri Modello'!$F$57:$F$60,MATCH($B12,'Parametri Modello'!$A$57:$A$60,0)))*((1-INDEX('Parametri Modello'!$D$57:$D$60,MATCH($B12,'Parametri Modello'!$A$57:$A$60,0)))*(INDEX('Parametri Modello'!$B$50:$B$53,MATCH($B12,'Parametri Modello'!$A$50:$A$53,0))*'Parametri Modello'!$B$44))))*(1+IF(IF($B12="D",'Info Lega'!$B$25,IF($B12="C",'Info Lega'!$B$26,"No"))="Si",'Parametri Modello'!$B$5,0))*(1+MAX(-0.25,MIN(0.25,IF(OR($T12="",$I12="",$I12=0,INDEX('Parametri Modello'!$B$19:$B$22,MATCH($B12,'Parametri Modello'!$A$19:$A$22,0))="",INDEX('Parametri Modello'!$B$19:$B$22,MATCH($B12,'Parametri Modello'!$A$19:$A$22,0))=0),0,(($T12-INDEX('Parametri Modello'!$B$19:$B$22,MATCH($B12,'Parametri Modello'!$A$19:$A$22,0)))/INDEX('Parametri Modello'!$B$19:$B$22,MATCH($B12,'Parametri Modello'!$A$19:$A$22,0)))*'Parametri Modello'!$B$9))))*(1+IF('Parametri Modello'!$B$27="Si",MAX(-'Parametri Modello'!$B$28,MIN('Parametri Modello'!$B$28*1.5,IF(OR(INDEX('Parametri Modello'!$F$32:$F$35,MATCH($B12,'Parametri Modello'!$A$32:$A$35,0))="",INDEX('Parametri Modello'!$F$32:$F$35,MATCH($B12,'Parametri Modello'!$A$32:$A$35,0))=0),0,(1/INDEX('Parametri Modello'!$F$32:$F$35,MATCH($B12,'Parametri Modello'!$A$32:$A$35,0))-1)*'Parametri Modello'!$B$28))),0)))*(1+INDEX('Parametri Modello'!$B$12:$B$15,MATCH($B12,'Parametri Modello'!$A$12:$A$15,0))),0),"")</f>
        <v>253</v>
      </c>
      <c r="I12" s="26" t="n">
        <f aca="false">IFERROR(INDEX('Input Statistiche 2025_26'!$F$3:$F$665,MATCH($A12,'Input Statistiche 2025_26'!$A$3:$A$665,0)),"")</f>
        <v>26</v>
      </c>
      <c r="J12" s="26" t="n">
        <f aca="false">IFERROR(IF($I12="","",MAX(0,38-$I12)),"")</f>
        <v>12</v>
      </c>
      <c r="K12" s="26" t="n">
        <f aca="false">IFERROR(INDEX('Input Statistiche 2025_26'!$I$3:$I$665,MATCH($A12,'Input Statistiche 2025_26'!$A$3:$A$665,0)),"")</f>
        <v>8</v>
      </c>
      <c r="L12" s="26" t="n">
        <f aca="false">IFERROR(INDEX('Input Statistiche 2025_26'!$O$3:$O$665,MATCH($A12,'Input Statistiche 2025_26'!$A$3:$A$665,0)),"")</f>
        <v>1</v>
      </c>
      <c r="M12" s="28"/>
      <c r="N12" s="27" t="n">
        <f aca="false">IFERROR(INDEX('Input Giocatori 2026_27'!$E$3:$E$493,MATCH($A12,'Input Giocatori 2026_27'!$A$3:$A$493,0)),"")</f>
        <v>25</v>
      </c>
      <c r="O12" s="27" t="n">
        <f aca="false">IFERROR(INDEX('Input Giocatori 2026_27'!$G$3:$G$493,MATCH($A12,'Input Giocatori 2026_27'!$A$3:$A$493,0)),"")</f>
        <v>212</v>
      </c>
      <c r="P12" s="26" t="str">
        <f aca="false">IFERROR(IF($O12="","",IF((1-(COUNTIFS($B$2:$B$492,$B12,$O$2:$O$492,"&gt;"&amp;$O12)+1-1)/COUNTIF($B$2:$B$492,$B12))&gt;=0.85,"Top",IF((1-(COUNTIFS($B$2:$B$492,$B12,$O$2:$O$492,"&gt;"&amp;$O12)+1-1)/COUNTIF($B$2:$B$492,$B12))&gt;=0.6,"Buono",IF((1-(COUNTIFS($B$2:$B$492,$B12,$O$2:$O$492,"&gt;"&amp;$O12)+1-1)/COUNTIF($B$2:$B$492,$B12))&gt;=0.3,"Nella Media","Scommessa/Riserva")))),"")</f>
        <v>Top</v>
      </c>
      <c r="Q12" s="29" t="n">
        <f aca="false">IF($D12="",COUNTIF($D$2:$D12,""),"")</f>
        <v>11</v>
      </c>
      <c r="R12" s="29" t="str">
        <f aca="false">IF($D12='Info Lega'!$B$28,COUNTIFS($D$2:$D12,'Info Lega'!$B$28),"")</f>
        <v/>
      </c>
      <c r="S12" s="30" t="n">
        <f aca="false">IFERROR(INDEX('Input Statistiche 2025_26'!$G$3:$G$665,MATCH($A12,'Input Statistiche 2025_26'!$A$3:$A$665,0)),"")</f>
        <v>5.88</v>
      </c>
      <c r="T12" s="30" t="n">
        <f aca="false">IFERROR(INDEX('Input Statistiche 2025_26'!$H$3:$H$665,MATCH($A12,'Input Statistiche 2025_26'!$A$3:$A$665,0)),"")</f>
        <v>6.77</v>
      </c>
      <c r="U12" s="26" t="str">
        <f aca="false">IF(OR('La Mia Rosa'!$O$12="",$D12&lt;&gt;""),"",IF($F12&lt;='La Mia Rosa'!$O$12*'Parametri Modello'!$B$24,"OK",IF($F12&lt;='La Mia Rosa'!$O$12*'Parametri Modello'!$B$25,"Attenzione","Rischio Alto")))</f>
        <v>Rischio Alto</v>
      </c>
      <c r="V12" s="26" t="n">
        <f aca="false">IFERROR(COUNTIFS($B$2:$B$492,$B12,$O$2:$O$492,"&gt;"&amp;$O12)+1,"")</f>
        <v>7</v>
      </c>
      <c r="W12" s="21" t="n">
        <f aca="false">'Info Lega'!$B$4-SUMIFS($M$2:$M$492,$D$2:$D$492,'Info Lega'!$B$28)</f>
        <v>1000</v>
      </c>
      <c r="X12" s="21" t="n">
        <f aca="false">('Info Lega'!$B$5-COUNTIFS($D$2:$D$492,'Info Lega'!$B$28,$B$2:$B$492,"P"))+('Info Lega'!$B$6-COUNTIFS($D$2:$D$492,'Info Lega'!$B$28,$B$2:$B$492,"D"))+('Info Lega'!$B$7-COUNTIFS($D$2:$D$492,'Info Lega'!$B$28,$B$2:$B$492,"C"))+('Info Lega'!$B$8-COUNTIFS($D$2:$D$492,'Info Lega'!$B$28,$B$2:$B$492,"A"))</f>
        <v>25</v>
      </c>
      <c r="Y12" s="21" t="n">
        <f aca="false">X12*'Parametri Modello'!$B$30</f>
        <v>25</v>
      </c>
      <c r="Z12" s="21" t="n">
        <f aca="false">MAX(0,W12-Y12)</f>
        <v>975</v>
      </c>
      <c r="AA12" s="21" t="n">
        <f aca="false">MIN(F12,Z12)</f>
        <v>218</v>
      </c>
      <c r="AB12" s="21"/>
      <c r="AC12" s="21" t="str">
        <f aca="false">IF(AB12="","",IF(AB12&gt;AA12,"PASS",IF(AB12&lt;=AA12*0.85,"BID","ATTENZIONE")))</f>
        <v/>
      </c>
      <c r="AD12" s="31" t="n">
        <f aca="false">IF(I12="","",ROUND(100*(1-EXP(-I12/30)),0))</f>
        <v>58</v>
      </c>
      <c r="AE12" s="7" t="str">
        <f aca="false">IFERROR(INDEX('Stato Asta'!$G$9:$G$12,MATCH($B12,'Stato Asta'!$A$9:$A$12,0)),"")</f>
        <v>🔴 Non aspettare</v>
      </c>
    </row>
    <row r="13" customFormat="false" ht="14.25" hidden="false" customHeight="true" outlineLevel="0" collapsed="false">
      <c r="A13" s="21" t="n">
        <v>2167</v>
      </c>
      <c r="B13" s="21" t="s">
        <v>45</v>
      </c>
      <c r="C13" s="21" t="s">
        <v>369</v>
      </c>
      <c r="E13" s="26" t="str">
        <f aca="false">IF(COUNTIF('Info Strategia'!$D$2:$D$51,$C13)&gt;0,"SI","NO")</f>
        <v>NO</v>
      </c>
      <c r="F13" s="27" t="n">
        <f aca="false">IFERROR(ROUND(($G13+($H13-$G13)*'Info Strategia'!$B$6)*(1+IF($E13="SI",'Parametri Modello'!$B$7*'Info Strategia'!$B$6,0)),0),"")</f>
        <v>135</v>
      </c>
      <c r="G13" s="27" t="n">
        <f aca="false">IFERROR(ROUND(MAX(1,(IF($V13&lt;=INDEX('Parametri Modello'!$C$57:$C$60,MATCH($B13,'Parametri Modello'!$A$57:$A$60,0)),IF(INDEX('Parametri Modello'!$E$57:$E$60,MATCH($B13,'Parametri Modello'!$A$57:$A$60,0))=0,0,($O13/INDEX('Parametri Modello'!$E$57:$E$60,MATCH($B13,'Parametri Modello'!$A$57:$A$60,0)))*(INDEX('Parametri Modello'!$D$57:$D$60,MATCH($B13,'Parametri Modello'!$A$57:$A$60,0))*(INDEX('Parametri Modello'!$B$50:$B$53,MATCH($B13,'Parametri Modello'!$A$50:$A$53,0))*'Parametri Modello'!$B$44))),IF(INDEX('Parametri Modello'!$F$57:$F$60,MATCH($B13,'Parametri Modello'!$A$57:$A$60,0))=0,0,($O13/INDEX('Parametri Modello'!$F$57:$F$60,MATCH($B13,'Parametri Modello'!$A$57:$A$60,0)))*((1-INDEX('Parametri Modello'!$D$57:$D$60,MATCH($B13,'Parametri Modello'!$A$57:$A$60,0)))*(INDEX('Parametri Modello'!$B$50:$B$53,MATCH($B13,'Parametri Modello'!$A$50:$A$53,0))*'Parametri Modello'!$B$44))))*(1+IF(IF($B13="D",'Info Lega'!$B$25,IF($B13="C",'Info Lega'!$B$26,"No"))="Si",'Parametri Modello'!$B$5,0))*(1+MAX(-0.25,MIN(0.25,IF(OR($T13="",$I13="",$I13=0,INDEX('Parametri Modello'!$B$19:$B$22,MATCH($B13,'Parametri Modello'!$A$19:$A$22,0))="",INDEX('Parametri Modello'!$B$19:$B$22,MATCH($B13,'Parametri Modello'!$A$19:$A$22,0))=0),0,(($T13-INDEX('Parametri Modello'!$B$19:$B$22,MATCH($B13,'Parametri Modello'!$A$19:$A$22,0)))/INDEX('Parametri Modello'!$B$19:$B$22,MATCH($B13,'Parametri Modello'!$A$19:$A$22,0)))*'Parametri Modello'!$B$9))))*(1+IF('Parametri Modello'!$B$27="Si",MAX(-'Parametri Modello'!$B$28,MIN('Parametri Modello'!$B$28*1.5,IF(OR(INDEX('Parametri Modello'!$F$32:$F$35,MATCH($B13,'Parametri Modello'!$A$32:$A$35,0))="",INDEX('Parametri Modello'!$F$32:$F$35,MATCH($B13,'Parametri Modello'!$A$32:$A$35,0))=0),0,(1/INDEX('Parametri Modello'!$F$32:$F$35,MATCH($B13,'Parametri Modello'!$A$32:$A$35,0))-1)*'Parametri Modello'!$B$28))),0)))*(1-INDEX('Parametri Modello'!$B$12:$B$15,MATCH($B13,'Parametri Modello'!$A$12:$A$15,0)))),0),"")</f>
        <v>92</v>
      </c>
      <c r="H13" s="27" t="n">
        <f aca="false">IFERROR(ROUND((IF($V13&lt;=INDEX('Parametri Modello'!$C$57:$C$60,MATCH($B13,'Parametri Modello'!$A$57:$A$60,0)),IF(INDEX('Parametri Modello'!$E$57:$E$60,MATCH($B13,'Parametri Modello'!$A$57:$A$60,0))=0,0,($O13/INDEX('Parametri Modello'!$E$57:$E$60,MATCH($B13,'Parametri Modello'!$A$57:$A$60,0)))*(INDEX('Parametri Modello'!$D$57:$D$60,MATCH($B13,'Parametri Modello'!$A$57:$A$60,0))*(INDEX('Parametri Modello'!$B$50:$B$53,MATCH($B13,'Parametri Modello'!$A$50:$A$53,0))*'Parametri Modello'!$B$44))),IF(INDEX('Parametri Modello'!$F$57:$F$60,MATCH($B13,'Parametri Modello'!$A$57:$A$60,0))=0,0,($O13/INDEX('Parametri Modello'!$F$57:$F$60,MATCH($B13,'Parametri Modello'!$A$57:$A$60,0)))*((1-INDEX('Parametri Modello'!$D$57:$D$60,MATCH($B13,'Parametri Modello'!$A$57:$A$60,0)))*(INDEX('Parametri Modello'!$B$50:$B$53,MATCH($B13,'Parametri Modello'!$A$50:$A$53,0))*'Parametri Modello'!$B$44))))*(1+IF(IF($B13="D",'Info Lega'!$B$25,IF($B13="C",'Info Lega'!$B$26,"No"))="Si",'Parametri Modello'!$B$5,0))*(1+MAX(-0.25,MIN(0.25,IF(OR($T13="",$I13="",$I13=0,INDEX('Parametri Modello'!$B$19:$B$22,MATCH($B13,'Parametri Modello'!$A$19:$A$22,0))="",INDEX('Parametri Modello'!$B$19:$B$22,MATCH($B13,'Parametri Modello'!$A$19:$A$22,0))=0),0,(($T13-INDEX('Parametri Modello'!$B$19:$B$22,MATCH($B13,'Parametri Modello'!$A$19:$A$22,0)))/INDEX('Parametri Modello'!$B$19:$B$22,MATCH($B13,'Parametri Modello'!$A$19:$A$22,0)))*'Parametri Modello'!$B$9))))*(1+IF('Parametri Modello'!$B$27="Si",MAX(-'Parametri Modello'!$B$28,MIN('Parametri Modello'!$B$28*1.5,IF(OR(INDEX('Parametri Modello'!$F$32:$F$35,MATCH($B13,'Parametri Modello'!$A$32:$A$35,0))="",INDEX('Parametri Modello'!$F$32:$F$35,MATCH($B13,'Parametri Modello'!$A$32:$A$35,0))=0),0,(1/INDEX('Parametri Modello'!$F$32:$F$35,MATCH($B13,'Parametri Modello'!$A$32:$A$35,0))-1)*'Parametri Modello'!$B$28))),0)))*(1+INDEX('Parametri Modello'!$B$12:$B$15,MATCH($B13,'Parametri Modello'!$A$12:$A$15,0))),0),"")</f>
        <v>153</v>
      </c>
      <c r="I13" s="26" t="n">
        <f aca="false">IFERROR(INDEX('Input Statistiche 2025_26'!$F$3:$F$665,MATCH($A13,'Input Statistiche 2025_26'!$A$3:$A$665,0)),"")</f>
        <v>34</v>
      </c>
      <c r="J13" s="26" t="n">
        <f aca="false">IFERROR(IF($I13="","",MAX(0,38-$I13)),"")</f>
        <v>4</v>
      </c>
      <c r="K13" s="26" t="n">
        <f aca="false">IFERROR(INDEX('Input Statistiche 2025_26'!$I$3:$I$665,MATCH($A13,'Input Statistiche 2025_26'!$A$3:$A$665,0)),"")</f>
        <v>10</v>
      </c>
      <c r="L13" s="26" t="n">
        <f aca="false">IFERROR(INDEX('Input Statistiche 2025_26'!$O$3:$O$665,MATCH($A13,'Input Statistiche 2025_26'!$A$3:$A$665,0)),"")</f>
        <v>1</v>
      </c>
      <c r="M13" s="28"/>
      <c r="N13" s="27" t="n">
        <f aca="false">IFERROR(INDEX('Input Giocatori 2026_27'!$E$3:$E$493,MATCH($A13,'Input Giocatori 2026_27'!$A$3:$A$493,0)),"")</f>
        <v>26</v>
      </c>
      <c r="O13" s="27" t="n">
        <f aca="false">IFERROR(INDEX('Input Giocatori 2026_27'!$G$3:$G$493,MATCH($A13,'Input Giocatori 2026_27'!$A$3:$A$493,0)),"")</f>
        <v>200</v>
      </c>
      <c r="P13" s="26" t="str">
        <f aca="false">IFERROR(IF($O13="","",IF((1-(COUNTIFS($B$2:$B$492,$B13,$O$2:$O$492,"&gt;"&amp;$O13)+1-1)/COUNTIF($B$2:$B$492,$B13))&gt;=0.85,"Top",IF((1-(COUNTIFS($B$2:$B$492,$B13,$O$2:$O$492,"&gt;"&amp;$O13)+1-1)/COUNTIF($B$2:$B$492,$B13))&gt;=0.6,"Buono",IF((1-(COUNTIFS($B$2:$B$492,$B13,$O$2:$O$492,"&gt;"&amp;$O13)+1-1)/COUNTIF($B$2:$B$492,$B13))&gt;=0.3,"Nella Media","Scommessa/Riserva")))),"")</f>
        <v>Top</v>
      </c>
      <c r="Q13" s="29" t="n">
        <f aca="false">IF($D13="",COUNTIF($D$2:$D13,""),"")</f>
        <v>12</v>
      </c>
      <c r="R13" s="29" t="str">
        <f aca="false">IF($D13='Info Lega'!$B$28,COUNTIFS($D$2:$D13,'Info Lega'!$B$28),"")</f>
        <v/>
      </c>
      <c r="S13" s="30" t="n">
        <f aca="false">IFERROR(INDEX('Input Statistiche 2025_26'!$G$3:$G$665,MATCH($A13,'Input Statistiche 2025_26'!$A$3:$A$665,0)),"")</f>
        <v>6.06</v>
      </c>
      <c r="T13" s="30" t="n">
        <f aca="false">IFERROR(INDEX('Input Statistiche 2025_26'!$H$3:$H$665,MATCH($A13,'Input Statistiche 2025_26'!$A$3:$A$665,0)),"")</f>
        <v>6.76</v>
      </c>
      <c r="U13" s="26" t="str">
        <f aca="false">IF(OR('La Mia Rosa'!$O$12="",$D13&lt;&gt;""),"",IF($F13&lt;='La Mia Rosa'!$O$12*'Parametri Modello'!$B$24,"OK",IF($F13&lt;='La Mia Rosa'!$O$12*'Parametri Modello'!$B$25,"Attenzione","Rischio Alto")))</f>
        <v>Rischio Alto</v>
      </c>
      <c r="V13" s="26" t="n">
        <f aca="false">IFERROR(COUNTIFS($B$2:$B$492,$B13,$O$2:$O$492,"&gt;"&amp;$O13)+1,"")</f>
        <v>4</v>
      </c>
      <c r="W13" s="21" t="n">
        <f aca="false">'Info Lega'!$B$4-SUMIFS($M$2:$M$492,$D$2:$D$492,'Info Lega'!$B$28)</f>
        <v>1000</v>
      </c>
      <c r="X13" s="21" t="n">
        <f aca="false">('Info Lega'!$B$5-COUNTIFS($D$2:$D$492,'Info Lega'!$B$28,$B$2:$B$492,"P"))+('Info Lega'!$B$6-COUNTIFS($D$2:$D$492,'Info Lega'!$B$28,$B$2:$B$492,"D"))+('Info Lega'!$B$7-COUNTIFS($D$2:$D$492,'Info Lega'!$B$28,$B$2:$B$492,"C"))+('Info Lega'!$B$8-COUNTIFS($D$2:$D$492,'Info Lega'!$B$28,$B$2:$B$492,"A"))</f>
        <v>25</v>
      </c>
      <c r="Y13" s="21" t="n">
        <f aca="false">X13*'Parametri Modello'!$B$30</f>
        <v>25</v>
      </c>
      <c r="Z13" s="21" t="n">
        <f aca="false">MAX(0,W13-Y13)</f>
        <v>975</v>
      </c>
      <c r="AA13" s="21" t="n">
        <f aca="false">MIN(F13,Z13)</f>
        <v>135</v>
      </c>
      <c r="AB13" s="21"/>
      <c r="AC13" s="21" t="str">
        <f aca="false">IF(AB13="","",IF(AB13&gt;AA13,"PASS",IF(AB13&lt;=AA13*0.85,"BID","ATTENZIONE")))</f>
        <v/>
      </c>
      <c r="AD13" s="31" t="n">
        <f aca="false">IF(I13="","",ROUND(100*(1-EXP(-I13/30)),0))</f>
        <v>68</v>
      </c>
      <c r="AE13" s="7" t="str">
        <f aca="false">IFERROR(INDEX('Stato Asta'!$G$9:$G$12,MATCH($B13,'Stato Asta'!$A$9:$A$12,0)),"")</f>
        <v>🟡 Attesa rischiosa</v>
      </c>
    </row>
    <row r="14" customFormat="false" ht="14.25" hidden="false" customHeight="true" outlineLevel="0" collapsed="false">
      <c r="A14" s="21" t="n">
        <v>6434</v>
      </c>
      <c r="B14" s="21" t="s">
        <v>46</v>
      </c>
      <c r="C14" s="21" t="s">
        <v>545</v>
      </c>
      <c r="E14" s="26" t="str">
        <f aca="false">IF(COUNTIF('Info Strategia'!$D$2:$D$51,$C14)&gt;0,"SI","NO")</f>
        <v>NO</v>
      </c>
      <c r="F14" s="27" t="n">
        <f aca="false">IFERROR(ROUND(($G14+($H14-$G14)*'Info Strategia'!$B$6)*(1+IF($E14="SI",'Parametri Modello'!$B$7*'Info Strategia'!$B$6,0)),0),"")</f>
        <v>209</v>
      </c>
      <c r="G14" s="27" t="n">
        <f aca="false">IFERROR(ROUND(MAX(1,(IF($V14&lt;=INDEX('Parametri Modello'!$C$57:$C$60,MATCH($B14,'Parametri Modello'!$A$57:$A$60,0)),IF(INDEX('Parametri Modello'!$E$57:$E$60,MATCH($B14,'Parametri Modello'!$A$57:$A$60,0))=0,0,($O14/INDEX('Parametri Modello'!$E$57:$E$60,MATCH($B14,'Parametri Modello'!$A$57:$A$60,0)))*(INDEX('Parametri Modello'!$D$57:$D$60,MATCH($B14,'Parametri Modello'!$A$57:$A$60,0))*(INDEX('Parametri Modello'!$B$50:$B$53,MATCH($B14,'Parametri Modello'!$A$50:$A$53,0))*'Parametri Modello'!$B$44))),IF(INDEX('Parametri Modello'!$F$57:$F$60,MATCH($B14,'Parametri Modello'!$A$57:$A$60,0))=0,0,($O14/INDEX('Parametri Modello'!$F$57:$F$60,MATCH($B14,'Parametri Modello'!$A$57:$A$60,0)))*((1-INDEX('Parametri Modello'!$D$57:$D$60,MATCH($B14,'Parametri Modello'!$A$57:$A$60,0)))*(INDEX('Parametri Modello'!$B$50:$B$53,MATCH($B14,'Parametri Modello'!$A$50:$A$53,0))*'Parametri Modello'!$B$44))))*(1+IF(IF($B14="D",'Info Lega'!$B$25,IF($B14="C",'Info Lega'!$B$26,"No"))="Si",'Parametri Modello'!$B$5,0))*(1+MAX(-0.25,MIN(0.25,IF(OR($T14="",$I14="",$I14=0,INDEX('Parametri Modello'!$B$19:$B$22,MATCH($B14,'Parametri Modello'!$A$19:$A$22,0))="",INDEX('Parametri Modello'!$B$19:$B$22,MATCH($B14,'Parametri Modello'!$A$19:$A$22,0))=0),0,(($T14-INDEX('Parametri Modello'!$B$19:$B$22,MATCH($B14,'Parametri Modello'!$A$19:$A$22,0)))/INDEX('Parametri Modello'!$B$19:$B$22,MATCH($B14,'Parametri Modello'!$A$19:$A$22,0)))*'Parametri Modello'!$B$9))))*(1+IF('Parametri Modello'!$B$27="Si",MAX(-'Parametri Modello'!$B$28,MIN('Parametri Modello'!$B$28*1.5,IF(OR(INDEX('Parametri Modello'!$F$32:$F$35,MATCH($B14,'Parametri Modello'!$A$32:$A$35,0))="",INDEX('Parametri Modello'!$F$32:$F$35,MATCH($B14,'Parametri Modello'!$A$32:$A$35,0))=0),0,(1/INDEX('Parametri Modello'!$F$32:$F$35,MATCH($B14,'Parametri Modello'!$A$32:$A$35,0))-1)*'Parametri Modello'!$B$28))),0)))*(1-INDEX('Parametri Modello'!$B$12:$B$15,MATCH($B14,'Parametri Modello'!$A$12:$A$15,0)))),0),"")</f>
        <v>131</v>
      </c>
      <c r="H14" s="27" t="n">
        <f aca="false">IFERROR(ROUND((IF($V14&lt;=INDEX('Parametri Modello'!$C$57:$C$60,MATCH($B14,'Parametri Modello'!$A$57:$A$60,0)),IF(INDEX('Parametri Modello'!$E$57:$E$60,MATCH($B14,'Parametri Modello'!$A$57:$A$60,0))=0,0,($O14/INDEX('Parametri Modello'!$E$57:$E$60,MATCH($B14,'Parametri Modello'!$A$57:$A$60,0)))*(INDEX('Parametri Modello'!$D$57:$D$60,MATCH($B14,'Parametri Modello'!$A$57:$A$60,0))*(INDEX('Parametri Modello'!$B$50:$B$53,MATCH($B14,'Parametri Modello'!$A$50:$A$53,0))*'Parametri Modello'!$B$44))),IF(INDEX('Parametri Modello'!$F$57:$F$60,MATCH($B14,'Parametri Modello'!$A$57:$A$60,0))=0,0,($O14/INDEX('Parametri Modello'!$F$57:$F$60,MATCH($B14,'Parametri Modello'!$A$57:$A$60,0)))*((1-INDEX('Parametri Modello'!$D$57:$D$60,MATCH($B14,'Parametri Modello'!$A$57:$A$60,0)))*(INDEX('Parametri Modello'!$B$50:$B$53,MATCH($B14,'Parametri Modello'!$A$50:$A$53,0))*'Parametri Modello'!$B$44))))*(1+IF(IF($B14="D",'Info Lega'!$B$25,IF($B14="C",'Info Lega'!$B$26,"No"))="Si",'Parametri Modello'!$B$5,0))*(1+MAX(-0.25,MIN(0.25,IF(OR($T14="",$I14="",$I14=0,INDEX('Parametri Modello'!$B$19:$B$22,MATCH($B14,'Parametri Modello'!$A$19:$A$22,0))="",INDEX('Parametri Modello'!$B$19:$B$22,MATCH($B14,'Parametri Modello'!$A$19:$A$22,0))=0),0,(($T14-INDEX('Parametri Modello'!$B$19:$B$22,MATCH($B14,'Parametri Modello'!$A$19:$A$22,0)))/INDEX('Parametri Modello'!$B$19:$B$22,MATCH($B14,'Parametri Modello'!$A$19:$A$22,0)))*'Parametri Modello'!$B$9))))*(1+IF('Parametri Modello'!$B$27="Si",MAX(-'Parametri Modello'!$B$28,MIN('Parametri Modello'!$B$28*1.5,IF(OR(INDEX('Parametri Modello'!$F$32:$F$35,MATCH($B14,'Parametri Modello'!$A$32:$A$35,0))="",INDEX('Parametri Modello'!$F$32:$F$35,MATCH($B14,'Parametri Modello'!$A$32:$A$35,0))=0),0,(1/INDEX('Parametri Modello'!$F$32:$F$35,MATCH($B14,'Parametri Modello'!$A$32:$A$35,0))-1)*'Parametri Modello'!$B$28))),0)))*(1+INDEX('Parametri Modello'!$B$12:$B$15,MATCH($B14,'Parametri Modello'!$A$12:$A$15,0))),0),"")</f>
        <v>243</v>
      </c>
      <c r="I14" s="26" t="n">
        <f aca="false">IFERROR(INDEX('Input Statistiche 2025_26'!$F$3:$F$665,MATCH($A14,'Input Statistiche 2025_26'!$A$3:$A$665,0)),"")</f>
        <v>35</v>
      </c>
      <c r="J14" s="26" t="n">
        <f aca="false">IFERROR(IF($I14="","",MAX(0,38-$I14)),"")</f>
        <v>3</v>
      </c>
      <c r="K14" s="26" t="n">
        <f aca="false">IFERROR(INDEX('Input Statistiche 2025_26'!$I$3:$I$665,MATCH($A14,'Input Statistiche 2025_26'!$A$3:$A$665,0)),"")</f>
        <v>10</v>
      </c>
      <c r="L14" s="26" t="n">
        <f aca="false">IFERROR(INDEX('Input Statistiche 2025_26'!$O$3:$O$665,MATCH($A14,'Input Statistiche 2025_26'!$A$3:$A$665,0)),"")</f>
        <v>6</v>
      </c>
      <c r="M14" s="28"/>
      <c r="N14" s="27" t="n">
        <f aca="false">IFERROR(INDEX('Input Giocatori 2026_27'!$E$3:$E$493,MATCH($A14,'Input Giocatori 2026_27'!$A$3:$A$493,0)),"")</f>
        <v>23</v>
      </c>
      <c r="O14" s="27" t="n">
        <f aca="false">IFERROR(INDEX('Input Giocatori 2026_27'!$G$3:$G$493,MATCH($A14,'Input Giocatori 2026_27'!$A$3:$A$493,0)),"")</f>
        <v>200</v>
      </c>
      <c r="P14" s="26" t="str">
        <f aca="false">IFERROR(IF($O14="","",IF((1-(COUNTIFS($B$2:$B$492,$B14,$O$2:$O$492,"&gt;"&amp;$O14)+1-1)/COUNTIF($B$2:$B$492,$B14))&gt;=0.85,"Top",IF((1-(COUNTIFS($B$2:$B$492,$B14,$O$2:$O$492,"&gt;"&amp;$O14)+1-1)/COUNTIF($B$2:$B$492,$B14))&gt;=0.6,"Buono",IF((1-(COUNTIFS($B$2:$B$492,$B14,$O$2:$O$492,"&gt;"&amp;$O14)+1-1)/COUNTIF($B$2:$B$492,$B14))&gt;=0.3,"Nella Media","Scommessa/Riserva")))),"")</f>
        <v>Top</v>
      </c>
      <c r="Q14" s="29" t="n">
        <f aca="false">IF($D14="",COUNTIF($D$2:$D14,""),"")</f>
        <v>13</v>
      </c>
      <c r="R14" s="29" t="str">
        <f aca="false">IF($D14='Info Lega'!$B$28,COUNTIFS($D$2:$D14,'Info Lega'!$B$28),"")</f>
        <v/>
      </c>
      <c r="S14" s="30" t="n">
        <f aca="false">IFERROR(INDEX('Input Statistiche 2025_26'!$G$3:$G$665,MATCH($A14,'Input Statistiche 2025_26'!$A$3:$A$665,0)),"")</f>
        <v>6.39</v>
      </c>
      <c r="T14" s="30" t="n">
        <f aca="false">IFERROR(INDEX('Input Statistiche 2025_26'!$H$3:$H$665,MATCH($A14,'Input Statistiche 2025_26'!$A$3:$A$665,0)),"")</f>
        <v>7.3</v>
      </c>
      <c r="U14" s="26" t="str">
        <f aca="false">IF(OR('La Mia Rosa'!$O$12="",$D14&lt;&gt;""),"",IF($F14&lt;='La Mia Rosa'!$O$12*'Parametri Modello'!$B$24,"OK",IF($F14&lt;='La Mia Rosa'!$O$12*'Parametri Modello'!$B$25,"Attenzione","Rischio Alto")))</f>
        <v>Rischio Alto</v>
      </c>
      <c r="V14" s="26" t="n">
        <f aca="false">IFERROR(COUNTIFS($B$2:$B$492,$B14,$O$2:$O$492,"&gt;"&amp;$O14)+1,"")</f>
        <v>8</v>
      </c>
      <c r="W14" s="21" t="n">
        <f aca="false">'Info Lega'!$B$4-SUMIFS($M$2:$M$492,$D$2:$D$492,'Info Lega'!$B$28)</f>
        <v>1000</v>
      </c>
      <c r="X14" s="21" t="n">
        <f aca="false">('Info Lega'!$B$5-COUNTIFS($D$2:$D$492,'Info Lega'!$B$28,$B$2:$B$492,"P"))+('Info Lega'!$B$6-COUNTIFS($D$2:$D$492,'Info Lega'!$B$28,$B$2:$B$492,"D"))+('Info Lega'!$B$7-COUNTIFS($D$2:$D$492,'Info Lega'!$B$28,$B$2:$B$492,"C"))+('Info Lega'!$B$8-COUNTIFS($D$2:$D$492,'Info Lega'!$B$28,$B$2:$B$492,"A"))</f>
        <v>25</v>
      </c>
      <c r="Y14" s="21" t="n">
        <f aca="false">X14*'Parametri Modello'!$B$30</f>
        <v>25</v>
      </c>
      <c r="Z14" s="21" t="n">
        <f aca="false">MAX(0,W14-Y14)</f>
        <v>975</v>
      </c>
      <c r="AA14" s="21" t="n">
        <f aca="false">MIN(F14,Z14)</f>
        <v>209</v>
      </c>
      <c r="AB14" s="21"/>
      <c r="AC14" s="21" t="str">
        <f aca="false">IF(AB14="","",IF(AB14&gt;AA14,"PASS",IF(AB14&lt;=AA14*0.85,"BID","ATTENZIONE")))</f>
        <v/>
      </c>
      <c r="AD14" s="31" t="n">
        <f aca="false">IF(I14="","",ROUND(100*(1-EXP(-I14/30)),0))</f>
        <v>69</v>
      </c>
      <c r="AE14" s="7" t="str">
        <f aca="false">IFERROR(INDEX('Stato Asta'!$G$9:$G$12,MATCH($B14,'Stato Asta'!$A$9:$A$12,0)),"")</f>
        <v>🔴 Non aspettare</v>
      </c>
    </row>
    <row r="15" customFormat="false" ht="14.25" hidden="false" customHeight="true" outlineLevel="0" collapsed="false">
      <c r="A15" s="21" t="n">
        <v>2423</v>
      </c>
      <c r="B15" s="21" t="s">
        <v>45</v>
      </c>
      <c r="C15" s="21" t="s">
        <v>370</v>
      </c>
      <c r="E15" s="26" t="str">
        <f aca="false">IF(COUNTIF('Info Strategia'!$D$2:$D$51,$C15)&gt;0,"SI","NO")</f>
        <v>NO</v>
      </c>
      <c r="F15" s="27" t="n">
        <f aca="false">IFERROR(ROUND(($G15+($H15-$G15)*'Info Strategia'!$B$6)*(1+IF($E15="SI",'Parametri Modello'!$B$7*'Info Strategia'!$B$6,0)),0),"")</f>
        <v>122</v>
      </c>
      <c r="G15" s="27" t="n">
        <f aca="false">IFERROR(ROUND(MAX(1,(IF($V15&lt;=INDEX('Parametri Modello'!$C$57:$C$60,MATCH($B15,'Parametri Modello'!$A$57:$A$60,0)),IF(INDEX('Parametri Modello'!$E$57:$E$60,MATCH($B15,'Parametri Modello'!$A$57:$A$60,0))=0,0,($O15/INDEX('Parametri Modello'!$E$57:$E$60,MATCH($B15,'Parametri Modello'!$A$57:$A$60,0)))*(INDEX('Parametri Modello'!$D$57:$D$60,MATCH($B15,'Parametri Modello'!$A$57:$A$60,0))*(INDEX('Parametri Modello'!$B$50:$B$53,MATCH($B15,'Parametri Modello'!$A$50:$A$53,0))*'Parametri Modello'!$B$44))),IF(INDEX('Parametri Modello'!$F$57:$F$60,MATCH($B15,'Parametri Modello'!$A$57:$A$60,0))=0,0,($O15/INDEX('Parametri Modello'!$F$57:$F$60,MATCH($B15,'Parametri Modello'!$A$57:$A$60,0)))*((1-INDEX('Parametri Modello'!$D$57:$D$60,MATCH($B15,'Parametri Modello'!$A$57:$A$60,0)))*(INDEX('Parametri Modello'!$B$50:$B$53,MATCH($B15,'Parametri Modello'!$A$50:$A$53,0))*'Parametri Modello'!$B$44))))*(1+IF(IF($B15="D",'Info Lega'!$B$25,IF($B15="C",'Info Lega'!$B$26,"No"))="Si",'Parametri Modello'!$B$5,0))*(1+MAX(-0.25,MIN(0.25,IF(OR($T15="",$I15="",$I15=0,INDEX('Parametri Modello'!$B$19:$B$22,MATCH($B15,'Parametri Modello'!$A$19:$A$22,0))="",INDEX('Parametri Modello'!$B$19:$B$22,MATCH($B15,'Parametri Modello'!$A$19:$A$22,0))=0),0,(($T15-INDEX('Parametri Modello'!$B$19:$B$22,MATCH($B15,'Parametri Modello'!$A$19:$A$22,0)))/INDEX('Parametri Modello'!$B$19:$B$22,MATCH($B15,'Parametri Modello'!$A$19:$A$22,0)))*'Parametri Modello'!$B$9))))*(1+IF('Parametri Modello'!$B$27="Si",MAX(-'Parametri Modello'!$B$28,MIN('Parametri Modello'!$B$28*1.5,IF(OR(INDEX('Parametri Modello'!$F$32:$F$35,MATCH($B15,'Parametri Modello'!$A$32:$A$35,0))="",INDEX('Parametri Modello'!$F$32:$F$35,MATCH($B15,'Parametri Modello'!$A$32:$A$35,0))=0),0,(1/INDEX('Parametri Modello'!$F$32:$F$35,MATCH($B15,'Parametri Modello'!$A$32:$A$35,0))-1)*'Parametri Modello'!$B$28))),0)))*(1-INDEX('Parametri Modello'!$B$12:$B$15,MATCH($B15,'Parametri Modello'!$A$12:$A$15,0)))),0),"")</f>
        <v>83</v>
      </c>
      <c r="H15" s="27" t="n">
        <f aca="false">IFERROR(ROUND((IF($V15&lt;=INDEX('Parametri Modello'!$C$57:$C$60,MATCH($B15,'Parametri Modello'!$A$57:$A$60,0)),IF(INDEX('Parametri Modello'!$E$57:$E$60,MATCH($B15,'Parametri Modello'!$A$57:$A$60,0))=0,0,($O15/INDEX('Parametri Modello'!$E$57:$E$60,MATCH($B15,'Parametri Modello'!$A$57:$A$60,0)))*(INDEX('Parametri Modello'!$D$57:$D$60,MATCH($B15,'Parametri Modello'!$A$57:$A$60,0))*(INDEX('Parametri Modello'!$B$50:$B$53,MATCH($B15,'Parametri Modello'!$A$50:$A$53,0))*'Parametri Modello'!$B$44))),IF(INDEX('Parametri Modello'!$F$57:$F$60,MATCH($B15,'Parametri Modello'!$A$57:$A$60,0))=0,0,($O15/INDEX('Parametri Modello'!$F$57:$F$60,MATCH($B15,'Parametri Modello'!$A$57:$A$60,0)))*((1-INDEX('Parametri Modello'!$D$57:$D$60,MATCH($B15,'Parametri Modello'!$A$57:$A$60,0)))*(INDEX('Parametri Modello'!$B$50:$B$53,MATCH($B15,'Parametri Modello'!$A$50:$A$53,0))*'Parametri Modello'!$B$44))))*(1+IF(IF($B15="D",'Info Lega'!$B$25,IF($B15="C",'Info Lega'!$B$26,"No"))="Si",'Parametri Modello'!$B$5,0))*(1+MAX(-0.25,MIN(0.25,IF(OR($T15="",$I15="",$I15=0,INDEX('Parametri Modello'!$B$19:$B$22,MATCH($B15,'Parametri Modello'!$A$19:$A$22,0))="",INDEX('Parametri Modello'!$B$19:$B$22,MATCH($B15,'Parametri Modello'!$A$19:$A$22,0))=0),0,(($T15-INDEX('Parametri Modello'!$B$19:$B$22,MATCH($B15,'Parametri Modello'!$A$19:$A$22,0)))/INDEX('Parametri Modello'!$B$19:$B$22,MATCH($B15,'Parametri Modello'!$A$19:$A$22,0)))*'Parametri Modello'!$B$9))))*(1+IF('Parametri Modello'!$B$27="Si",MAX(-'Parametri Modello'!$B$28,MIN('Parametri Modello'!$B$28*1.5,IF(OR(INDEX('Parametri Modello'!$F$32:$F$35,MATCH($B15,'Parametri Modello'!$A$32:$A$35,0))="",INDEX('Parametri Modello'!$F$32:$F$35,MATCH($B15,'Parametri Modello'!$A$32:$A$35,0))=0),0,(1/INDEX('Parametri Modello'!$F$32:$F$35,MATCH($B15,'Parametri Modello'!$A$32:$A$35,0))-1)*'Parametri Modello'!$B$28))),0)))*(1+INDEX('Parametri Modello'!$B$12:$B$15,MATCH($B15,'Parametri Modello'!$A$12:$A$15,0))),0),"")</f>
        <v>139</v>
      </c>
      <c r="I15" s="26" t="n">
        <f aca="false">IFERROR(INDEX('Input Statistiche 2025_26'!$F$3:$F$665,MATCH($A15,'Input Statistiche 2025_26'!$A$3:$A$665,0)),"")</f>
        <v>27</v>
      </c>
      <c r="J15" s="26" t="n">
        <f aca="false">IFERROR(IF($I15="","",MAX(0,38-$I15)),"")</f>
        <v>11</v>
      </c>
      <c r="K15" s="26" t="n">
        <f aca="false">IFERROR(INDEX('Input Statistiche 2025_26'!$I$3:$I$665,MATCH($A15,'Input Statistiche 2025_26'!$A$3:$A$665,0)),"")</f>
        <v>8</v>
      </c>
      <c r="L15" s="26" t="n">
        <f aca="false">IFERROR(INDEX('Input Statistiche 2025_26'!$O$3:$O$665,MATCH($A15,'Input Statistiche 2025_26'!$A$3:$A$665,0)),"")</f>
        <v>4</v>
      </c>
      <c r="M15" s="28"/>
      <c r="N15" s="27" t="n">
        <f aca="false">IFERROR(INDEX('Input Giocatori 2026_27'!$E$3:$E$493,MATCH($A15,'Input Giocatori 2026_27'!$A$3:$A$493,0)),"")</f>
        <v>25</v>
      </c>
      <c r="O15" s="27" t="n">
        <f aca="false">IFERROR(INDEX('Input Giocatori 2026_27'!$G$3:$G$493,MATCH($A15,'Input Giocatori 2026_27'!$A$3:$A$493,0)),"")</f>
        <v>180</v>
      </c>
      <c r="P15" s="26" t="str">
        <f aca="false">IFERROR(IF($O15="","",IF((1-(COUNTIFS($B$2:$B$492,$B15,$O$2:$O$492,"&gt;"&amp;$O15)+1-1)/COUNTIF($B$2:$B$492,$B15))&gt;=0.85,"Top",IF((1-(COUNTIFS($B$2:$B$492,$B15,$O$2:$O$492,"&gt;"&amp;$O15)+1-1)/COUNTIF($B$2:$B$492,$B15))&gt;=0.6,"Buono",IF((1-(COUNTIFS($B$2:$B$492,$B15,$O$2:$O$492,"&gt;"&amp;$O15)+1-1)/COUNTIF($B$2:$B$492,$B15))&gt;=0.3,"Nella Media","Scommessa/Riserva")))),"")</f>
        <v>Top</v>
      </c>
      <c r="Q15" s="29" t="n">
        <f aca="false">IF($D15="",COUNTIF($D$2:$D15,""),"")</f>
        <v>14</v>
      </c>
      <c r="R15" s="29" t="str">
        <f aca="false">IF($D15='Info Lega'!$B$28,COUNTIFS($D$2:$D15,'Info Lega'!$B$28),"")</f>
        <v/>
      </c>
      <c r="S15" s="30" t="n">
        <f aca="false">IFERROR(INDEX('Input Statistiche 2025_26'!$G$3:$G$665,MATCH($A15,'Input Statistiche 2025_26'!$A$3:$A$665,0)),"")</f>
        <v>6.15</v>
      </c>
      <c r="T15" s="30" t="n">
        <f aca="false">IFERROR(INDEX('Input Statistiche 2025_26'!$H$3:$H$665,MATCH($A15,'Input Statistiche 2025_26'!$A$3:$A$665,0)),"")</f>
        <v>7.07</v>
      </c>
      <c r="U15" s="26" t="str">
        <f aca="false">IF(OR('La Mia Rosa'!$O$12="",$D15&lt;&gt;""),"",IF($F15&lt;='La Mia Rosa'!$O$12*'Parametri Modello'!$B$24,"OK",IF($F15&lt;='La Mia Rosa'!$O$12*'Parametri Modello'!$B$25,"Attenzione","Rischio Alto")))</f>
        <v>Rischio Alto</v>
      </c>
      <c r="V15" s="26" t="n">
        <f aca="false">IFERROR(COUNTIFS($B$2:$B$492,$B15,$O$2:$O$492,"&gt;"&amp;$O15)+1,"")</f>
        <v>5</v>
      </c>
      <c r="W15" s="21" t="n">
        <f aca="false">'Info Lega'!$B$4-SUMIFS($M$2:$M$492,$D$2:$D$492,'Info Lega'!$B$28)</f>
        <v>1000</v>
      </c>
      <c r="X15" s="21" t="n">
        <f aca="false">('Info Lega'!$B$5-COUNTIFS($D$2:$D$492,'Info Lega'!$B$28,$B$2:$B$492,"P"))+('Info Lega'!$B$6-COUNTIFS($D$2:$D$492,'Info Lega'!$B$28,$B$2:$B$492,"D"))+('Info Lega'!$B$7-COUNTIFS($D$2:$D$492,'Info Lega'!$B$28,$B$2:$B$492,"C"))+('Info Lega'!$B$8-COUNTIFS($D$2:$D$492,'Info Lega'!$B$28,$B$2:$B$492,"A"))</f>
        <v>25</v>
      </c>
      <c r="Y15" s="21" t="n">
        <f aca="false">X15*'Parametri Modello'!$B$30</f>
        <v>25</v>
      </c>
      <c r="Z15" s="21" t="n">
        <f aca="false">MAX(0,W15-Y15)</f>
        <v>975</v>
      </c>
      <c r="AA15" s="21" t="n">
        <f aca="false">MIN(F15,Z15)</f>
        <v>122</v>
      </c>
      <c r="AB15" s="21"/>
      <c r="AC15" s="21" t="str">
        <f aca="false">IF(AB15="","",IF(AB15&gt;AA15,"PASS",IF(AB15&lt;=AA15*0.85,"BID","ATTENZIONE")))</f>
        <v/>
      </c>
      <c r="AD15" s="31" t="n">
        <f aca="false">IF(I15="","",ROUND(100*(1-EXP(-I15/30)),0))</f>
        <v>59</v>
      </c>
      <c r="AE15" s="7" t="str">
        <f aca="false">IFERROR(INDEX('Stato Asta'!$G$9:$G$12,MATCH($B15,'Stato Asta'!$A$9:$A$12,0)),"")</f>
        <v>🟡 Attesa rischiosa</v>
      </c>
    </row>
    <row r="16" customFormat="false" ht="14.25" hidden="false" customHeight="true" outlineLevel="0" collapsed="false">
      <c r="A16" s="21" t="n">
        <v>7017</v>
      </c>
      <c r="B16" s="21" t="s">
        <v>46</v>
      </c>
      <c r="C16" s="21" t="s">
        <v>546</v>
      </c>
      <c r="E16" s="26" t="str">
        <f aca="false">IF(COUNTIF('Info Strategia'!$D$2:$D$51,$C16)&gt;0,"SI","NO")</f>
        <v>NO</v>
      </c>
      <c r="F16" s="27" t="n">
        <f aca="false">IFERROR(ROUND(($G16+($H16-$G16)*'Info Strategia'!$B$6)*(1+IF($E16="SI",'Parametri Modello'!$B$7*'Info Strategia'!$B$6,0)),0),"")</f>
        <v>165</v>
      </c>
      <c r="G16" s="27" t="n">
        <f aca="false">IFERROR(ROUND(MAX(1,(IF($V16&lt;=INDEX('Parametri Modello'!$C$57:$C$60,MATCH($B16,'Parametri Modello'!$A$57:$A$60,0)),IF(INDEX('Parametri Modello'!$E$57:$E$60,MATCH($B16,'Parametri Modello'!$A$57:$A$60,0))=0,0,($O16/INDEX('Parametri Modello'!$E$57:$E$60,MATCH($B16,'Parametri Modello'!$A$57:$A$60,0)))*(INDEX('Parametri Modello'!$D$57:$D$60,MATCH($B16,'Parametri Modello'!$A$57:$A$60,0))*(INDEX('Parametri Modello'!$B$50:$B$53,MATCH($B16,'Parametri Modello'!$A$50:$A$53,0))*'Parametri Modello'!$B$44))),IF(INDEX('Parametri Modello'!$F$57:$F$60,MATCH($B16,'Parametri Modello'!$A$57:$A$60,0))=0,0,($O16/INDEX('Parametri Modello'!$F$57:$F$60,MATCH($B16,'Parametri Modello'!$A$57:$A$60,0)))*((1-INDEX('Parametri Modello'!$D$57:$D$60,MATCH($B16,'Parametri Modello'!$A$57:$A$60,0)))*(INDEX('Parametri Modello'!$B$50:$B$53,MATCH($B16,'Parametri Modello'!$A$50:$A$53,0))*'Parametri Modello'!$B$44))))*(1+IF(IF($B16="D",'Info Lega'!$B$25,IF($B16="C",'Info Lega'!$B$26,"No"))="Si",'Parametri Modello'!$B$5,0))*(1+MAX(-0.25,MIN(0.25,IF(OR($T16="",$I16="",$I16=0,INDEX('Parametri Modello'!$B$19:$B$22,MATCH($B16,'Parametri Modello'!$A$19:$A$22,0))="",INDEX('Parametri Modello'!$B$19:$B$22,MATCH($B16,'Parametri Modello'!$A$19:$A$22,0))=0),0,(($T16-INDEX('Parametri Modello'!$B$19:$B$22,MATCH($B16,'Parametri Modello'!$A$19:$A$22,0)))/INDEX('Parametri Modello'!$B$19:$B$22,MATCH($B16,'Parametri Modello'!$A$19:$A$22,0)))*'Parametri Modello'!$B$9))))*(1+IF('Parametri Modello'!$B$27="Si",MAX(-'Parametri Modello'!$B$28,MIN('Parametri Modello'!$B$28*1.5,IF(OR(INDEX('Parametri Modello'!$F$32:$F$35,MATCH($B16,'Parametri Modello'!$A$32:$A$35,0))="",INDEX('Parametri Modello'!$F$32:$F$35,MATCH($B16,'Parametri Modello'!$A$32:$A$35,0))=0),0,(1/INDEX('Parametri Modello'!$F$32:$F$35,MATCH($B16,'Parametri Modello'!$A$32:$A$35,0))-1)*'Parametri Modello'!$B$28))),0)))*(1-INDEX('Parametri Modello'!$B$12:$B$15,MATCH($B16,'Parametri Modello'!$A$12:$A$15,0)))),0),"")</f>
        <v>103</v>
      </c>
      <c r="H16" s="27" t="n">
        <f aca="false">IFERROR(ROUND((IF($V16&lt;=INDEX('Parametri Modello'!$C$57:$C$60,MATCH($B16,'Parametri Modello'!$A$57:$A$60,0)),IF(INDEX('Parametri Modello'!$E$57:$E$60,MATCH($B16,'Parametri Modello'!$A$57:$A$60,0))=0,0,($O16/INDEX('Parametri Modello'!$E$57:$E$60,MATCH($B16,'Parametri Modello'!$A$57:$A$60,0)))*(INDEX('Parametri Modello'!$D$57:$D$60,MATCH($B16,'Parametri Modello'!$A$57:$A$60,0))*(INDEX('Parametri Modello'!$B$50:$B$53,MATCH($B16,'Parametri Modello'!$A$50:$A$53,0))*'Parametri Modello'!$B$44))),IF(INDEX('Parametri Modello'!$F$57:$F$60,MATCH($B16,'Parametri Modello'!$A$57:$A$60,0))=0,0,($O16/INDEX('Parametri Modello'!$F$57:$F$60,MATCH($B16,'Parametri Modello'!$A$57:$A$60,0)))*((1-INDEX('Parametri Modello'!$D$57:$D$60,MATCH($B16,'Parametri Modello'!$A$57:$A$60,0)))*(INDEX('Parametri Modello'!$B$50:$B$53,MATCH($B16,'Parametri Modello'!$A$50:$A$53,0))*'Parametri Modello'!$B$44))))*(1+IF(IF($B16="D",'Info Lega'!$B$25,IF($B16="C",'Info Lega'!$B$26,"No"))="Si",'Parametri Modello'!$B$5,0))*(1+MAX(-0.25,MIN(0.25,IF(OR($T16="",$I16="",$I16=0,INDEX('Parametri Modello'!$B$19:$B$22,MATCH($B16,'Parametri Modello'!$A$19:$A$22,0))="",INDEX('Parametri Modello'!$B$19:$B$22,MATCH($B16,'Parametri Modello'!$A$19:$A$22,0))=0),0,(($T16-INDEX('Parametri Modello'!$B$19:$B$22,MATCH($B16,'Parametri Modello'!$A$19:$A$22,0)))/INDEX('Parametri Modello'!$B$19:$B$22,MATCH($B16,'Parametri Modello'!$A$19:$A$22,0)))*'Parametri Modello'!$B$9))))*(1+IF('Parametri Modello'!$B$27="Si",MAX(-'Parametri Modello'!$B$28,MIN('Parametri Modello'!$B$28*1.5,IF(OR(INDEX('Parametri Modello'!$F$32:$F$35,MATCH($B16,'Parametri Modello'!$A$32:$A$35,0))="",INDEX('Parametri Modello'!$F$32:$F$35,MATCH($B16,'Parametri Modello'!$A$32:$A$35,0))=0),0,(1/INDEX('Parametri Modello'!$F$32:$F$35,MATCH($B16,'Parametri Modello'!$A$32:$A$35,0))-1)*'Parametri Modello'!$B$28))),0)))*(1+INDEX('Parametri Modello'!$B$12:$B$15,MATCH($B16,'Parametri Modello'!$A$12:$A$15,0))),0),"")</f>
        <v>191</v>
      </c>
      <c r="I16" s="26" t="n">
        <f aca="false">IFERROR(INDEX('Input Statistiche 2025_26'!$F$3:$F$665,MATCH($A16,'Input Statistiche 2025_26'!$A$3:$A$665,0)),"")</f>
        <v>36</v>
      </c>
      <c r="J16" s="26" t="n">
        <f aca="false">IFERROR(IF($I16="","",MAX(0,38-$I16)),"")</f>
        <v>2</v>
      </c>
      <c r="K16" s="26" t="n">
        <f aca="false">IFERROR(INDEX('Input Statistiche 2025_26'!$I$3:$I$665,MATCH($A16,'Input Statistiche 2025_26'!$A$3:$A$665,0)),"")</f>
        <v>14</v>
      </c>
      <c r="L16" s="26" t="n">
        <f aca="false">IFERROR(INDEX('Input Statistiche 2025_26'!$O$3:$O$665,MATCH($A16,'Input Statistiche 2025_26'!$A$3:$A$665,0)),"")</f>
        <v>1</v>
      </c>
      <c r="M16" s="28"/>
      <c r="N16" s="27" t="n">
        <f aca="false">IFERROR(INDEX('Input Giocatori 2026_27'!$E$3:$E$493,MATCH($A16,'Input Giocatori 2026_27'!$A$3:$A$493,0)),"")</f>
        <v>20</v>
      </c>
      <c r="O16" s="27" t="n">
        <f aca="false">IFERROR(INDEX('Input Giocatori 2026_27'!$G$3:$G$493,MATCH($A16,'Input Giocatori 2026_27'!$A$3:$A$493,0)),"")</f>
        <v>157</v>
      </c>
      <c r="P16" s="26" t="str">
        <f aca="false">IFERROR(IF($O16="","",IF((1-(COUNTIFS($B$2:$B$492,$B16,$O$2:$O$492,"&gt;"&amp;$O16)+1-1)/COUNTIF($B$2:$B$492,$B16))&gt;=0.85,"Top",IF((1-(COUNTIFS($B$2:$B$492,$B16,$O$2:$O$492,"&gt;"&amp;$O16)+1-1)/COUNTIF($B$2:$B$492,$B16))&gt;=0.6,"Buono",IF((1-(COUNTIFS($B$2:$B$492,$B16,$O$2:$O$492,"&gt;"&amp;$O16)+1-1)/COUNTIF($B$2:$B$492,$B16))&gt;=0.3,"Nella Media","Scommessa/Riserva")))),"")</f>
        <v>Top</v>
      </c>
      <c r="Q16" s="29" t="n">
        <f aca="false">IF($D16="",COUNTIF($D$2:$D16,""),"")</f>
        <v>15</v>
      </c>
      <c r="R16" s="29" t="str">
        <f aca="false">IF($D16='Info Lega'!$B$28,COUNTIFS($D$2:$D16,'Info Lega'!$B$28),"")</f>
        <v/>
      </c>
      <c r="S16" s="30" t="n">
        <f aca="false">IFERROR(INDEX('Input Statistiche 2025_26'!$G$3:$G$665,MATCH($A16,'Input Statistiche 2025_26'!$A$3:$A$665,0)),"")</f>
        <v>6.18</v>
      </c>
      <c r="T16" s="30" t="n">
        <f aca="false">IFERROR(INDEX('Input Statistiche 2025_26'!$H$3:$H$665,MATCH($A16,'Input Statistiche 2025_26'!$A$3:$A$665,0)),"")</f>
        <v>7.38</v>
      </c>
      <c r="U16" s="26" t="str">
        <f aca="false">IF(OR('La Mia Rosa'!$O$12="",$D16&lt;&gt;""),"",IF($F16&lt;='La Mia Rosa'!$O$12*'Parametri Modello'!$B$24,"OK",IF($F16&lt;='La Mia Rosa'!$O$12*'Parametri Modello'!$B$25,"Attenzione","Rischio Alto")))</f>
        <v>Rischio Alto</v>
      </c>
      <c r="V16" s="26" t="n">
        <f aca="false">IFERROR(COUNTIFS($B$2:$B$492,$B16,$O$2:$O$492,"&gt;"&amp;$O16)+1,"")</f>
        <v>9</v>
      </c>
      <c r="W16" s="21" t="n">
        <f aca="false">'Info Lega'!$B$4-SUMIFS($M$2:$M$492,$D$2:$D$492,'Info Lega'!$B$28)</f>
        <v>1000</v>
      </c>
      <c r="X16" s="21" t="n">
        <f aca="false">('Info Lega'!$B$5-COUNTIFS($D$2:$D$492,'Info Lega'!$B$28,$B$2:$B$492,"P"))+('Info Lega'!$B$6-COUNTIFS($D$2:$D$492,'Info Lega'!$B$28,$B$2:$B$492,"D"))+('Info Lega'!$B$7-COUNTIFS($D$2:$D$492,'Info Lega'!$B$28,$B$2:$B$492,"C"))+('Info Lega'!$B$8-COUNTIFS($D$2:$D$492,'Info Lega'!$B$28,$B$2:$B$492,"A"))</f>
        <v>25</v>
      </c>
      <c r="Y16" s="21" t="n">
        <f aca="false">X16*'Parametri Modello'!$B$30</f>
        <v>25</v>
      </c>
      <c r="Z16" s="21" t="n">
        <f aca="false">MAX(0,W16-Y16)</f>
        <v>975</v>
      </c>
      <c r="AA16" s="21" t="n">
        <f aca="false">MIN(F16,Z16)</f>
        <v>165</v>
      </c>
      <c r="AB16" s="21"/>
      <c r="AC16" s="21" t="str">
        <f aca="false">IF(AB16="","",IF(AB16&gt;AA16,"PASS",IF(AB16&lt;=AA16*0.85,"BID","ATTENZIONE")))</f>
        <v/>
      </c>
      <c r="AD16" s="31" t="n">
        <f aca="false">IF(I16="","",ROUND(100*(1-EXP(-I16/30)),0))</f>
        <v>70</v>
      </c>
      <c r="AE16" s="7" t="str">
        <f aca="false">IFERROR(INDEX('Stato Asta'!$G$9:$G$12,MATCH($B16,'Stato Asta'!$A$9:$A$12,0)),"")</f>
        <v>🔴 Non aspettare</v>
      </c>
    </row>
    <row r="17" customFormat="false" ht="14.25" hidden="false" customHeight="true" outlineLevel="0" collapsed="false">
      <c r="A17" s="21" t="n">
        <v>2379</v>
      </c>
      <c r="B17" s="21" t="s">
        <v>45</v>
      </c>
      <c r="C17" s="21" t="s">
        <v>371</v>
      </c>
      <c r="E17" s="26" t="str">
        <f aca="false">IF(COUNTIF('Info Strategia'!$D$2:$D$51,$C17)&gt;0,"SI","NO")</f>
        <v>NO</v>
      </c>
      <c r="F17" s="27" t="n">
        <f aca="false">IFERROR(ROUND(($G17+($H17-$G17)*'Info Strategia'!$B$6)*(1+IF($E17="SI",'Parametri Modello'!$B$7*'Info Strategia'!$B$6,0)),0),"")</f>
        <v>86</v>
      </c>
      <c r="G17" s="27" t="n">
        <f aca="false">IFERROR(ROUND(MAX(1,(IF($V17&lt;=INDEX('Parametri Modello'!$C$57:$C$60,MATCH($B17,'Parametri Modello'!$A$57:$A$60,0)),IF(INDEX('Parametri Modello'!$E$57:$E$60,MATCH($B17,'Parametri Modello'!$A$57:$A$60,0))=0,0,($O17/INDEX('Parametri Modello'!$E$57:$E$60,MATCH($B17,'Parametri Modello'!$A$57:$A$60,0)))*(INDEX('Parametri Modello'!$D$57:$D$60,MATCH($B17,'Parametri Modello'!$A$57:$A$60,0))*(INDEX('Parametri Modello'!$B$50:$B$53,MATCH($B17,'Parametri Modello'!$A$50:$A$53,0))*'Parametri Modello'!$B$44))),IF(INDEX('Parametri Modello'!$F$57:$F$60,MATCH($B17,'Parametri Modello'!$A$57:$A$60,0))=0,0,($O17/INDEX('Parametri Modello'!$F$57:$F$60,MATCH($B17,'Parametri Modello'!$A$57:$A$60,0)))*((1-INDEX('Parametri Modello'!$D$57:$D$60,MATCH($B17,'Parametri Modello'!$A$57:$A$60,0)))*(INDEX('Parametri Modello'!$B$50:$B$53,MATCH($B17,'Parametri Modello'!$A$50:$A$53,0))*'Parametri Modello'!$B$44))))*(1+IF(IF($B17="D",'Info Lega'!$B$25,IF($B17="C",'Info Lega'!$B$26,"No"))="Si",'Parametri Modello'!$B$5,0))*(1+MAX(-0.25,MIN(0.25,IF(OR($T17="",$I17="",$I17=0,INDEX('Parametri Modello'!$B$19:$B$22,MATCH($B17,'Parametri Modello'!$A$19:$A$22,0))="",INDEX('Parametri Modello'!$B$19:$B$22,MATCH($B17,'Parametri Modello'!$A$19:$A$22,0))=0),0,(($T17-INDEX('Parametri Modello'!$B$19:$B$22,MATCH($B17,'Parametri Modello'!$A$19:$A$22,0)))/INDEX('Parametri Modello'!$B$19:$B$22,MATCH($B17,'Parametri Modello'!$A$19:$A$22,0)))*'Parametri Modello'!$B$9))))*(1+IF('Parametri Modello'!$B$27="Si",MAX(-'Parametri Modello'!$B$28,MIN('Parametri Modello'!$B$28*1.5,IF(OR(INDEX('Parametri Modello'!$F$32:$F$35,MATCH($B17,'Parametri Modello'!$A$32:$A$35,0))="",INDEX('Parametri Modello'!$F$32:$F$35,MATCH($B17,'Parametri Modello'!$A$32:$A$35,0))=0),0,(1/INDEX('Parametri Modello'!$F$32:$F$35,MATCH($B17,'Parametri Modello'!$A$32:$A$35,0))-1)*'Parametri Modello'!$B$28))),0)))*(1-INDEX('Parametri Modello'!$B$12:$B$15,MATCH($B17,'Parametri Modello'!$A$12:$A$15,0)))),0),"")</f>
        <v>59</v>
      </c>
      <c r="H17" s="27" t="n">
        <f aca="false">IFERROR(ROUND((IF($V17&lt;=INDEX('Parametri Modello'!$C$57:$C$60,MATCH($B17,'Parametri Modello'!$A$57:$A$60,0)),IF(INDEX('Parametri Modello'!$E$57:$E$60,MATCH($B17,'Parametri Modello'!$A$57:$A$60,0))=0,0,($O17/INDEX('Parametri Modello'!$E$57:$E$60,MATCH($B17,'Parametri Modello'!$A$57:$A$60,0)))*(INDEX('Parametri Modello'!$D$57:$D$60,MATCH($B17,'Parametri Modello'!$A$57:$A$60,0))*(INDEX('Parametri Modello'!$B$50:$B$53,MATCH($B17,'Parametri Modello'!$A$50:$A$53,0))*'Parametri Modello'!$B$44))),IF(INDEX('Parametri Modello'!$F$57:$F$60,MATCH($B17,'Parametri Modello'!$A$57:$A$60,0))=0,0,($O17/INDEX('Parametri Modello'!$F$57:$F$60,MATCH($B17,'Parametri Modello'!$A$57:$A$60,0)))*((1-INDEX('Parametri Modello'!$D$57:$D$60,MATCH($B17,'Parametri Modello'!$A$57:$A$60,0)))*(INDEX('Parametri Modello'!$B$50:$B$53,MATCH($B17,'Parametri Modello'!$A$50:$A$53,0))*'Parametri Modello'!$B$44))))*(1+IF(IF($B17="D",'Info Lega'!$B$25,IF($B17="C",'Info Lega'!$B$26,"No"))="Si",'Parametri Modello'!$B$5,0))*(1+MAX(-0.25,MIN(0.25,IF(OR($T17="",$I17="",$I17=0,INDEX('Parametri Modello'!$B$19:$B$22,MATCH($B17,'Parametri Modello'!$A$19:$A$22,0))="",INDEX('Parametri Modello'!$B$19:$B$22,MATCH($B17,'Parametri Modello'!$A$19:$A$22,0))=0),0,(($T17-INDEX('Parametri Modello'!$B$19:$B$22,MATCH($B17,'Parametri Modello'!$A$19:$A$22,0)))/INDEX('Parametri Modello'!$B$19:$B$22,MATCH($B17,'Parametri Modello'!$A$19:$A$22,0)))*'Parametri Modello'!$B$9))))*(1+IF('Parametri Modello'!$B$27="Si",MAX(-'Parametri Modello'!$B$28,MIN('Parametri Modello'!$B$28*1.5,IF(OR(INDEX('Parametri Modello'!$F$32:$F$35,MATCH($B17,'Parametri Modello'!$A$32:$A$35,0))="",INDEX('Parametri Modello'!$F$32:$F$35,MATCH($B17,'Parametri Modello'!$A$32:$A$35,0))=0),0,(1/INDEX('Parametri Modello'!$F$32:$F$35,MATCH($B17,'Parametri Modello'!$A$32:$A$35,0))-1)*'Parametri Modello'!$B$28))),0)))*(1+INDEX('Parametri Modello'!$B$12:$B$15,MATCH($B17,'Parametri Modello'!$A$12:$A$15,0))),0),"")</f>
        <v>98</v>
      </c>
      <c r="I17" s="26" t="n">
        <f aca="false">IFERROR(INDEX('Input Statistiche 2025_26'!$F$3:$F$665,MATCH($A17,'Input Statistiche 2025_26'!$A$3:$A$665,0)),"")</f>
        <v>29</v>
      </c>
      <c r="J17" s="26" t="n">
        <f aca="false">IFERROR(IF($I17="","",MAX(0,38-$I17)),"")</f>
        <v>9</v>
      </c>
      <c r="K17" s="26" t="n">
        <f aca="false">IFERROR(INDEX('Input Statistiche 2025_26'!$I$3:$I$665,MATCH($A17,'Input Statistiche 2025_26'!$A$3:$A$665,0)),"")</f>
        <v>6</v>
      </c>
      <c r="L17" s="26" t="n">
        <f aca="false">IFERROR(INDEX('Input Statistiche 2025_26'!$O$3:$O$665,MATCH($A17,'Input Statistiche 2025_26'!$A$3:$A$665,0)),"")</f>
        <v>4</v>
      </c>
      <c r="M17" s="28"/>
      <c r="N17" s="27" t="n">
        <f aca="false">IFERROR(INDEX('Input Giocatori 2026_27'!$E$3:$E$493,MATCH($A17,'Input Giocatori 2026_27'!$A$3:$A$493,0)),"")</f>
        <v>22</v>
      </c>
      <c r="O17" s="27" t="n">
        <f aca="false">IFERROR(INDEX('Input Giocatori 2026_27'!$G$3:$G$493,MATCH($A17,'Input Giocatori 2026_27'!$A$3:$A$493,0)),"")</f>
        <v>128</v>
      </c>
      <c r="P17" s="26" t="str">
        <f aca="false">IFERROR(IF($O17="","",IF((1-(COUNTIFS($B$2:$B$492,$B17,$O$2:$O$492,"&gt;"&amp;$O17)+1-1)/COUNTIF($B$2:$B$492,$B17))&gt;=0.85,"Top",IF((1-(COUNTIFS($B$2:$B$492,$B17,$O$2:$O$492,"&gt;"&amp;$O17)+1-1)/COUNTIF($B$2:$B$492,$B17))&gt;=0.6,"Buono",IF((1-(COUNTIFS($B$2:$B$492,$B17,$O$2:$O$492,"&gt;"&amp;$O17)+1-1)/COUNTIF($B$2:$B$492,$B17))&gt;=0.3,"Nella Media","Scommessa/Riserva")))),"")</f>
        <v>Top</v>
      </c>
      <c r="Q17" s="29" t="n">
        <f aca="false">IF($D17="",COUNTIF($D$2:$D17,""),"")</f>
        <v>16</v>
      </c>
      <c r="R17" s="29" t="str">
        <f aca="false">IF($D17='Info Lega'!$B$28,COUNTIFS($D$2:$D17,'Info Lega'!$B$28),"")</f>
        <v/>
      </c>
      <c r="S17" s="30" t="n">
        <f aca="false">IFERROR(INDEX('Input Statistiche 2025_26'!$G$3:$G$665,MATCH($A17,'Input Statistiche 2025_26'!$A$3:$A$665,0)),"")</f>
        <v>6.33</v>
      </c>
      <c r="T17" s="30" t="n">
        <f aca="false">IFERROR(INDEX('Input Statistiche 2025_26'!$H$3:$H$665,MATCH($A17,'Input Statistiche 2025_26'!$A$3:$A$665,0)),"")</f>
        <v>6.98</v>
      </c>
      <c r="U17" s="26" t="str">
        <f aca="false">IF(OR('La Mia Rosa'!$O$12="",$D17&lt;&gt;""),"",IF($F17&lt;='La Mia Rosa'!$O$12*'Parametri Modello'!$B$24,"OK",IF($F17&lt;='La Mia Rosa'!$O$12*'Parametri Modello'!$B$25,"Attenzione","Rischio Alto")))</f>
        <v>Attenzione</v>
      </c>
      <c r="V17" s="26" t="n">
        <f aca="false">IFERROR(COUNTIFS($B$2:$B$492,$B17,$O$2:$O$492,"&gt;"&amp;$O17)+1,"")</f>
        <v>6</v>
      </c>
      <c r="W17" s="21" t="n">
        <f aca="false">'Info Lega'!$B$4-SUMIFS($M$2:$M$492,$D$2:$D$492,'Info Lega'!$B$28)</f>
        <v>1000</v>
      </c>
      <c r="X17" s="21" t="n">
        <f aca="false">('Info Lega'!$B$5-COUNTIFS($D$2:$D$492,'Info Lega'!$B$28,$B$2:$B$492,"P"))+('Info Lega'!$B$6-COUNTIFS($D$2:$D$492,'Info Lega'!$B$28,$B$2:$B$492,"D"))+('Info Lega'!$B$7-COUNTIFS($D$2:$D$492,'Info Lega'!$B$28,$B$2:$B$492,"C"))+('Info Lega'!$B$8-COUNTIFS($D$2:$D$492,'Info Lega'!$B$28,$B$2:$B$492,"A"))</f>
        <v>25</v>
      </c>
      <c r="Y17" s="21" t="n">
        <f aca="false">X17*'Parametri Modello'!$B$30</f>
        <v>25</v>
      </c>
      <c r="Z17" s="21" t="n">
        <f aca="false">MAX(0,W17-Y17)</f>
        <v>975</v>
      </c>
      <c r="AA17" s="21" t="n">
        <f aca="false">MIN(F17,Z17)</f>
        <v>86</v>
      </c>
      <c r="AB17" s="21"/>
      <c r="AC17" s="21" t="str">
        <f aca="false">IF(AB17="","",IF(AB17&gt;AA17,"PASS",IF(AB17&lt;=AA17*0.85,"BID","ATTENZIONE")))</f>
        <v/>
      </c>
      <c r="AD17" s="31" t="n">
        <f aca="false">IF(I17="","",ROUND(100*(1-EXP(-I17/30)),0))</f>
        <v>62</v>
      </c>
      <c r="AE17" s="7" t="str">
        <f aca="false">IFERROR(INDEX('Stato Asta'!$G$9:$G$12,MATCH($B17,'Stato Asta'!$A$9:$A$12,0)),"")</f>
        <v>🟡 Attesa rischiosa</v>
      </c>
    </row>
    <row r="18" customFormat="false" ht="14.25" hidden="false" customHeight="true" outlineLevel="0" collapsed="false">
      <c r="A18" s="21" t="n">
        <v>2137</v>
      </c>
      <c r="B18" s="21" t="s">
        <v>46</v>
      </c>
      <c r="C18" s="21" t="s">
        <v>547</v>
      </c>
      <c r="E18" s="26" t="str">
        <f aca="false">IF(COUNTIF('Info Strategia'!$D$2:$D$51,$C18)&gt;0,"SI","NO")</f>
        <v>NO</v>
      </c>
      <c r="F18" s="27" t="n">
        <f aca="false">IFERROR(ROUND(($G18+($H18-$G18)*'Info Strategia'!$B$6)*(1+IF($E18="SI",'Parametri Modello'!$B$7*'Info Strategia'!$B$6,0)),0),"")</f>
        <v>134</v>
      </c>
      <c r="G18" s="27" t="n">
        <f aca="false">IFERROR(ROUND(MAX(1,(IF($V18&lt;=INDEX('Parametri Modello'!$C$57:$C$60,MATCH($B18,'Parametri Modello'!$A$57:$A$60,0)),IF(INDEX('Parametri Modello'!$E$57:$E$60,MATCH($B18,'Parametri Modello'!$A$57:$A$60,0))=0,0,($O18/INDEX('Parametri Modello'!$E$57:$E$60,MATCH($B18,'Parametri Modello'!$A$57:$A$60,0)))*(INDEX('Parametri Modello'!$D$57:$D$60,MATCH($B18,'Parametri Modello'!$A$57:$A$60,0))*(INDEX('Parametri Modello'!$B$50:$B$53,MATCH($B18,'Parametri Modello'!$A$50:$A$53,0))*'Parametri Modello'!$B$44))),IF(INDEX('Parametri Modello'!$F$57:$F$60,MATCH($B18,'Parametri Modello'!$A$57:$A$60,0))=0,0,($O18/INDEX('Parametri Modello'!$F$57:$F$60,MATCH($B18,'Parametri Modello'!$A$57:$A$60,0)))*((1-INDEX('Parametri Modello'!$D$57:$D$60,MATCH($B18,'Parametri Modello'!$A$57:$A$60,0)))*(INDEX('Parametri Modello'!$B$50:$B$53,MATCH($B18,'Parametri Modello'!$A$50:$A$53,0))*'Parametri Modello'!$B$44))))*(1+IF(IF($B18="D",'Info Lega'!$B$25,IF($B18="C",'Info Lega'!$B$26,"No"))="Si",'Parametri Modello'!$B$5,0))*(1+MAX(-0.25,MIN(0.25,IF(OR($T18="",$I18="",$I18=0,INDEX('Parametri Modello'!$B$19:$B$22,MATCH($B18,'Parametri Modello'!$A$19:$A$22,0))="",INDEX('Parametri Modello'!$B$19:$B$22,MATCH($B18,'Parametri Modello'!$A$19:$A$22,0))=0),0,(($T18-INDEX('Parametri Modello'!$B$19:$B$22,MATCH($B18,'Parametri Modello'!$A$19:$A$22,0)))/INDEX('Parametri Modello'!$B$19:$B$22,MATCH($B18,'Parametri Modello'!$A$19:$A$22,0)))*'Parametri Modello'!$B$9))))*(1+IF('Parametri Modello'!$B$27="Si",MAX(-'Parametri Modello'!$B$28,MIN('Parametri Modello'!$B$28*1.5,IF(OR(INDEX('Parametri Modello'!$F$32:$F$35,MATCH($B18,'Parametri Modello'!$A$32:$A$35,0))="",INDEX('Parametri Modello'!$F$32:$F$35,MATCH($B18,'Parametri Modello'!$A$32:$A$35,0))=0),0,(1/INDEX('Parametri Modello'!$F$32:$F$35,MATCH($B18,'Parametri Modello'!$A$32:$A$35,0))-1)*'Parametri Modello'!$B$28))),0)))*(1-INDEX('Parametri Modello'!$B$12:$B$15,MATCH($B18,'Parametri Modello'!$A$12:$A$15,0)))),0),"")</f>
        <v>84</v>
      </c>
      <c r="H18" s="27" t="n">
        <f aca="false">IFERROR(ROUND((IF($V18&lt;=INDEX('Parametri Modello'!$C$57:$C$60,MATCH($B18,'Parametri Modello'!$A$57:$A$60,0)),IF(INDEX('Parametri Modello'!$E$57:$E$60,MATCH($B18,'Parametri Modello'!$A$57:$A$60,0))=0,0,($O18/INDEX('Parametri Modello'!$E$57:$E$60,MATCH($B18,'Parametri Modello'!$A$57:$A$60,0)))*(INDEX('Parametri Modello'!$D$57:$D$60,MATCH($B18,'Parametri Modello'!$A$57:$A$60,0))*(INDEX('Parametri Modello'!$B$50:$B$53,MATCH($B18,'Parametri Modello'!$A$50:$A$53,0))*'Parametri Modello'!$B$44))),IF(INDEX('Parametri Modello'!$F$57:$F$60,MATCH($B18,'Parametri Modello'!$A$57:$A$60,0))=0,0,($O18/INDEX('Parametri Modello'!$F$57:$F$60,MATCH($B18,'Parametri Modello'!$A$57:$A$60,0)))*((1-INDEX('Parametri Modello'!$D$57:$D$60,MATCH($B18,'Parametri Modello'!$A$57:$A$60,0)))*(INDEX('Parametri Modello'!$B$50:$B$53,MATCH($B18,'Parametri Modello'!$A$50:$A$53,0))*'Parametri Modello'!$B$44))))*(1+IF(IF($B18="D",'Info Lega'!$B$25,IF($B18="C",'Info Lega'!$B$26,"No"))="Si",'Parametri Modello'!$B$5,0))*(1+MAX(-0.25,MIN(0.25,IF(OR($T18="",$I18="",$I18=0,INDEX('Parametri Modello'!$B$19:$B$22,MATCH($B18,'Parametri Modello'!$A$19:$A$22,0))="",INDEX('Parametri Modello'!$B$19:$B$22,MATCH($B18,'Parametri Modello'!$A$19:$A$22,0))=0),0,(($T18-INDEX('Parametri Modello'!$B$19:$B$22,MATCH($B18,'Parametri Modello'!$A$19:$A$22,0)))/INDEX('Parametri Modello'!$B$19:$B$22,MATCH($B18,'Parametri Modello'!$A$19:$A$22,0)))*'Parametri Modello'!$B$9))))*(1+IF('Parametri Modello'!$B$27="Si",MAX(-'Parametri Modello'!$B$28,MIN('Parametri Modello'!$B$28*1.5,IF(OR(INDEX('Parametri Modello'!$F$32:$F$35,MATCH($B18,'Parametri Modello'!$A$32:$A$35,0))="",INDEX('Parametri Modello'!$F$32:$F$35,MATCH($B18,'Parametri Modello'!$A$32:$A$35,0))=0),0,(1/INDEX('Parametri Modello'!$F$32:$F$35,MATCH($B18,'Parametri Modello'!$A$32:$A$35,0))-1)*'Parametri Modello'!$B$28))),0)))*(1+INDEX('Parametri Modello'!$B$12:$B$15,MATCH($B18,'Parametri Modello'!$A$12:$A$15,0))),0),"")</f>
        <v>156</v>
      </c>
      <c r="I18" s="26" t="n">
        <f aca="false">IFERROR(INDEX('Input Statistiche 2025_26'!$F$3:$F$665,MATCH($A18,'Input Statistiche 2025_26'!$A$3:$A$665,0)),"")</f>
        <v>22</v>
      </c>
      <c r="J18" s="26" t="n">
        <f aca="false">IFERROR(IF($I18="","",MAX(0,38-$I18)),"")</f>
        <v>16</v>
      </c>
      <c r="K18" s="26" t="n">
        <f aca="false">IFERROR(INDEX('Input Statistiche 2025_26'!$I$3:$I$665,MATCH($A18,'Input Statistiche 2025_26'!$A$3:$A$665,0)),"")</f>
        <v>10</v>
      </c>
      <c r="L18" s="26" t="n">
        <f aca="false">IFERROR(INDEX('Input Statistiche 2025_26'!$O$3:$O$665,MATCH($A18,'Input Statistiche 2025_26'!$A$3:$A$665,0)),"")</f>
        <v>1</v>
      </c>
      <c r="M18" s="28"/>
      <c r="N18" s="27" t="n">
        <f aca="false">IFERROR(INDEX('Input Giocatori 2026_27'!$E$3:$E$493,MATCH($A18,'Input Giocatori 2026_27'!$A$3:$A$493,0)),"")</f>
        <v>19</v>
      </c>
      <c r="O18" s="27" t="n">
        <f aca="false">IFERROR(INDEX('Input Giocatori 2026_27'!$G$3:$G$493,MATCH($A18,'Input Giocatori 2026_27'!$A$3:$A$493,0)),"")</f>
        <v>128</v>
      </c>
      <c r="P18" s="26" t="str">
        <f aca="false">IFERROR(IF($O18="","",IF((1-(COUNTIFS($B$2:$B$492,$B18,$O$2:$O$492,"&gt;"&amp;$O18)+1-1)/COUNTIF($B$2:$B$492,$B18))&gt;=0.85,"Top",IF((1-(COUNTIFS($B$2:$B$492,$B18,$O$2:$O$492,"&gt;"&amp;$O18)+1-1)/COUNTIF($B$2:$B$492,$B18))&gt;=0.6,"Buono",IF((1-(COUNTIFS($B$2:$B$492,$B18,$O$2:$O$492,"&gt;"&amp;$O18)+1-1)/COUNTIF($B$2:$B$492,$B18))&gt;=0.3,"Nella Media","Scommessa/Riserva")))),"")</f>
        <v>Top</v>
      </c>
      <c r="Q18" s="29" t="n">
        <f aca="false">IF($D18="",COUNTIF($D$2:$D18,""),"")</f>
        <v>17</v>
      </c>
      <c r="R18" s="29" t="str">
        <f aca="false">IF($D18='Info Lega'!$B$28,COUNTIFS($D$2:$D18,'Info Lega'!$B$28),"")</f>
        <v/>
      </c>
      <c r="S18" s="30" t="n">
        <f aca="false">IFERROR(INDEX('Input Statistiche 2025_26'!$G$3:$G$665,MATCH($A18,'Input Statistiche 2025_26'!$A$3:$A$665,0)),"")</f>
        <v>6.18</v>
      </c>
      <c r="T18" s="30" t="n">
        <f aca="false">IFERROR(INDEX('Input Statistiche 2025_26'!$H$3:$H$665,MATCH($A18,'Input Statistiche 2025_26'!$A$3:$A$665,0)),"")</f>
        <v>7.55</v>
      </c>
      <c r="U18" s="26" t="str">
        <f aca="false">IF(OR('La Mia Rosa'!$O$12="",$D18&lt;&gt;""),"",IF($F18&lt;='La Mia Rosa'!$O$12*'Parametri Modello'!$B$24,"OK",IF($F18&lt;='La Mia Rosa'!$O$12*'Parametri Modello'!$B$25,"Attenzione","Rischio Alto")))</f>
        <v>Rischio Alto</v>
      </c>
      <c r="V18" s="26" t="n">
        <f aca="false">IFERROR(COUNTIFS($B$2:$B$492,$B18,$O$2:$O$492,"&gt;"&amp;$O18)+1,"")</f>
        <v>10</v>
      </c>
      <c r="W18" s="21" t="n">
        <f aca="false">'Info Lega'!$B$4-SUMIFS($M$2:$M$492,$D$2:$D$492,'Info Lega'!$B$28)</f>
        <v>1000</v>
      </c>
      <c r="X18" s="21" t="n">
        <f aca="false">('Info Lega'!$B$5-COUNTIFS($D$2:$D$492,'Info Lega'!$B$28,$B$2:$B$492,"P"))+('Info Lega'!$B$6-COUNTIFS($D$2:$D$492,'Info Lega'!$B$28,$B$2:$B$492,"D"))+('Info Lega'!$B$7-COUNTIFS($D$2:$D$492,'Info Lega'!$B$28,$B$2:$B$492,"C"))+('Info Lega'!$B$8-COUNTIFS($D$2:$D$492,'Info Lega'!$B$28,$B$2:$B$492,"A"))</f>
        <v>25</v>
      </c>
      <c r="Y18" s="21" t="n">
        <f aca="false">X18*'Parametri Modello'!$B$30</f>
        <v>25</v>
      </c>
      <c r="Z18" s="21" t="n">
        <f aca="false">MAX(0,W18-Y18)</f>
        <v>975</v>
      </c>
      <c r="AA18" s="21" t="n">
        <f aca="false">MIN(F18,Z18)</f>
        <v>134</v>
      </c>
      <c r="AB18" s="21"/>
      <c r="AC18" s="21" t="str">
        <f aca="false">IF(AB18="","",IF(AB18&gt;AA18,"PASS",IF(AB18&lt;=AA18*0.85,"BID","ATTENZIONE")))</f>
        <v/>
      </c>
      <c r="AD18" s="31" t="n">
        <f aca="false">IF(I18="","",ROUND(100*(1-EXP(-I18/30)),0))</f>
        <v>52</v>
      </c>
      <c r="AE18" s="7" t="str">
        <f aca="false">IFERROR(INDEX('Stato Asta'!$G$9:$G$12,MATCH($B18,'Stato Asta'!$A$9:$A$12,0)),"")</f>
        <v>🔴 Non aspettare</v>
      </c>
    </row>
    <row r="19" customFormat="false" ht="14.25" hidden="false" customHeight="true" outlineLevel="0" collapsed="false">
      <c r="A19" s="21" t="n">
        <v>5637</v>
      </c>
      <c r="B19" s="21" t="s">
        <v>46</v>
      </c>
      <c r="C19" s="21" t="s">
        <v>548</v>
      </c>
      <c r="E19" s="26" t="str">
        <f aca="false">IF(COUNTIF('Info Strategia'!$D$2:$D$51,$C19)&gt;0,"SI","NO")</f>
        <v>NO</v>
      </c>
      <c r="F19" s="27" t="n">
        <f aca="false">IFERROR(ROUND(($G19+($H19-$G19)*'Info Strategia'!$B$6)*(1+IF($E19="SI",'Parametri Modello'!$B$7*'Info Strategia'!$B$6,0)),0),"")</f>
        <v>127</v>
      </c>
      <c r="G19" s="27" t="n">
        <f aca="false">IFERROR(ROUND(MAX(1,(IF($V19&lt;=INDEX('Parametri Modello'!$C$57:$C$60,MATCH($B19,'Parametri Modello'!$A$57:$A$60,0)),IF(INDEX('Parametri Modello'!$E$57:$E$60,MATCH($B19,'Parametri Modello'!$A$57:$A$60,0))=0,0,($O19/INDEX('Parametri Modello'!$E$57:$E$60,MATCH($B19,'Parametri Modello'!$A$57:$A$60,0)))*(INDEX('Parametri Modello'!$D$57:$D$60,MATCH($B19,'Parametri Modello'!$A$57:$A$60,0))*(INDEX('Parametri Modello'!$B$50:$B$53,MATCH($B19,'Parametri Modello'!$A$50:$A$53,0))*'Parametri Modello'!$B$44))),IF(INDEX('Parametri Modello'!$F$57:$F$60,MATCH($B19,'Parametri Modello'!$A$57:$A$60,0))=0,0,($O19/INDEX('Parametri Modello'!$F$57:$F$60,MATCH($B19,'Parametri Modello'!$A$57:$A$60,0)))*((1-INDEX('Parametri Modello'!$D$57:$D$60,MATCH($B19,'Parametri Modello'!$A$57:$A$60,0)))*(INDEX('Parametri Modello'!$B$50:$B$53,MATCH($B19,'Parametri Modello'!$A$50:$A$53,0))*'Parametri Modello'!$B$44))))*(1+IF(IF($B19="D",'Info Lega'!$B$25,IF($B19="C",'Info Lega'!$B$26,"No"))="Si",'Parametri Modello'!$B$5,0))*(1+MAX(-0.25,MIN(0.25,IF(OR($T19="",$I19="",$I19=0,INDEX('Parametri Modello'!$B$19:$B$22,MATCH($B19,'Parametri Modello'!$A$19:$A$22,0))="",INDEX('Parametri Modello'!$B$19:$B$22,MATCH($B19,'Parametri Modello'!$A$19:$A$22,0))=0),0,(($T19-INDEX('Parametri Modello'!$B$19:$B$22,MATCH($B19,'Parametri Modello'!$A$19:$A$22,0)))/INDEX('Parametri Modello'!$B$19:$B$22,MATCH($B19,'Parametri Modello'!$A$19:$A$22,0)))*'Parametri Modello'!$B$9))))*(1+IF('Parametri Modello'!$B$27="Si",MAX(-'Parametri Modello'!$B$28,MIN('Parametri Modello'!$B$28*1.5,IF(OR(INDEX('Parametri Modello'!$F$32:$F$35,MATCH($B19,'Parametri Modello'!$A$32:$A$35,0))="",INDEX('Parametri Modello'!$F$32:$F$35,MATCH($B19,'Parametri Modello'!$A$32:$A$35,0))=0),0,(1/INDEX('Parametri Modello'!$F$32:$F$35,MATCH($B19,'Parametri Modello'!$A$32:$A$35,0))-1)*'Parametri Modello'!$B$28))),0)))*(1-INDEX('Parametri Modello'!$B$12:$B$15,MATCH($B19,'Parametri Modello'!$A$12:$A$15,0)))),0),"")</f>
        <v>79</v>
      </c>
      <c r="H19" s="27" t="n">
        <f aca="false">IFERROR(ROUND((IF($V19&lt;=INDEX('Parametri Modello'!$C$57:$C$60,MATCH($B19,'Parametri Modello'!$A$57:$A$60,0)),IF(INDEX('Parametri Modello'!$E$57:$E$60,MATCH($B19,'Parametri Modello'!$A$57:$A$60,0))=0,0,($O19/INDEX('Parametri Modello'!$E$57:$E$60,MATCH($B19,'Parametri Modello'!$A$57:$A$60,0)))*(INDEX('Parametri Modello'!$D$57:$D$60,MATCH($B19,'Parametri Modello'!$A$57:$A$60,0))*(INDEX('Parametri Modello'!$B$50:$B$53,MATCH($B19,'Parametri Modello'!$A$50:$A$53,0))*'Parametri Modello'!$B$44))),IF(INDEX('Parametri Modello'!$F$57:$F$60,MATCH($B19,'Parametri Modello'!$A$57:$A$60,0))=0,0,($O19/INDEX('Parametri Modello'!$F$57:$F$60,MATCH($B19,'Parametri Modello'!$A$57:$A$60,0)))*((1-INDEX('Parametri Modello'!$D$57:$D$60,MATCH($B19,'Parametri Modello'!$A$57:$A$60,0)))*(INDEX('Parametri Modello'!$B$50:$B$53,MATCH($B19,'Parametri Modello'!$A$50:$A$53,0))*'Parametri Modello'!$B$44))))*(1+IF(IF($B19="D",'Info Lega'!$B$25,IF($B19="C",'Info Lega'!$B$26,"No"))="Si",'Parametri Modello'!$B$5,0))*(1+MAX(-0.25,MIN(0.25,IF(OR($T19="",$I19="",$I19=0,INDEX('Parametri Modello'!$B$19:$B$22,MATCH($B19,'Parametri Modello'!$A$19:$A$22,0))="",INDEX('Parametri Modello'!$B$19:$B$22,MATCH($B19,'Parametri Modello'!$A$19:$A$22,0))=0),0,(($T19-INDEX('Parametri Modello'!$B$19:$B$22,MATCH($B19,'Parametri Modello'!$A$19:$A$22,0)))/INDEX('Parametri Modello'!$B$19:$B$22,MATCH($B19,'Parametri Modello'!$A$19:$A$22,0)))*'Parametri Modello'!$B$9))))*(1+IF('Parametri Modello'!$B$27="Si",MAX(-'Parametri Modello'!$B$28,MIN('Parametri Modello'!$B$28*1.5,IF(OR(INDEX('Parametri Modello'!$F$32:$F$35,MATCH($B19,'Parametri Modello'!$A$32:$A$35,0))="",INDEX('Parametri Modello'!$F$32:$F$35,MATCH($B19,'Parametri Modello'!$A$32:$A$35,0))=0),0,(1/INDEX('Parametri Modello'!$F$32:$F$35,MATCH($B19,'Parametri Modello'!$A$32:$A$35,0))-1)*'Parametri Modello'!$B$28))),0)))*(1+INDEX('Parametri Modello'!$B$12:$B$15,MATCH($B19,'Parametri Modello'!$A$12:$A$15,0))),0),"")</f>
        <v>147</v>
      </c>
      <c r="I19" s="26" t="n">
        <f aca="false">IFERROR(INDEX('Input Statistiche 2025_26'!$F$3:$F$665,MATCH($A19,'Input Statistiche 2025_26'!$A$3:$A$665,0)),"")</f>
        <v>30</v>
      </c>
      <c r="J19" s="26" t="n">
        <f aca="false">IFERROR(IF($I19="","",MAX(0,38-$I19)),"")</f>
        <v>8</v>
      </c>
      <c r="K19" s="26" t="n">
        <f aca="false">IFERROR(INDEX('Input Statistiche 2025_26'!$I$3:$I$665,MATCH($A19,'Input Statistiche 2025_26'!$A$3:$A$665,0)),"")</f>
        <v>10</v>
      </c>
      <c r="L19" s="26" t="n">
        <f aca="false">IFERROR(INDEX('Input Statistiche 2025_26'!$O$3:$O$665,MATCH($A19,'Input Statistiche 2025_26'!$A$3:$A$665,0)),"")</f>
        <v>4</v>
      </c>
      <c r="M19" s="28"/>
      <c r="N19" s="27" t="n">
        <f aca="false">IFERROR(INDEX('Input Giocatori 2026_27'!$E$3:$E$493,MATCH($A19,'Input Giocatori 2026_27'!$A$3:$A$493,0)),"")</f>
        <v>19</v>
      </c>
      <c r="O19" s="27" t="n">
        <f aca="false">IFERROR(INDEX('Input Giocatori 2026_27'!$G$3:$G$493,MATCH($A19,'Input Giocatori 2026_27'!$A$3:$A$493,0)),"")</f>
        <v>121</v>
      </c>
      <c r="P19" s="26" t="str">
        <f aca="false">IFERROR(IF($O19="","",IF((1-(COUNTIFS($B$2:$B$492,$B19,$O$2:$O$492,"&gt;"&amp;$O19)+1-1)/COUNTIF($B$2:$B$492,$B19))&gt;=0.85,"Top",IF((1-(COUNTIFS($B$2:$B$492,$B19,$O$2:$O$492,"&gt;"&amp;$O19)+1-1)/COUNTIF($B$2:$B$492,$B19))&gt;=0.6,"Buono",IF((1-(COUNTIFS($B$2:$B$492,$B19,$O$2:$O$492,"&gt;"&amp;$O19)+1-1)/COUNTIF($B$2:$B$492,$B19))&gt;=0.3,"Nella Media","Scommessa/Riserva")))),"")</f>
        <v>Top</v>
      </c>
      <c r="Q19" s="29" t="n">
        <f aca="false">IF($D19="",COUNTIF($D$2:$D19,""),"")</f>
        <v>18</v>
      </c>
      <c r="R19" s="29" t="str">
        <f aca="false">IF($D19='Info Lega'!$B$28,COUNTIFS($D$2:$D19,'Info Lega'!$B$28),"")</f>
        <v/>
      </c>
      <c r="S19" s="30" t="n">
        <f aca="false">IFERROR(INDEX('Input Statistiche 2025_26'!$G$3:$G$665,MATCH($A19,'Input Statistiche 2025_26'!$A$3:$A$665,0)),"")</f>
        <v>6.32</v>
      </c>
      <c r="T19" s="30" t="n">
        <f aca="false">IFERROR(INDEX('Input Statistiche 2025_26'!$H$3:$H$665,MATCH($A19,'Input Statistiche 2025_26'!$A$3:$A$665,0)),"")</f>
        <v>7.37</v>
      </c>
      <c r="U19" s="26" t="str">
        <f aca="false">IF(OR('La Mia Rosa'!$O$12="",$D19&lt;&gt;""),"",IF($F19&lt;='La Mia Rosa'!$O$12*'Parametri Modello'!$B$24,"OK",IF($F19&lt;='La Mia Rosa'!$O$12*'Parametri Modello'!$B$25,"Attenzione","Rischio Alto")))</f>
        <v>Rischio Alto</v>
      </c>
      <c r="V19" s="26" t="n">
        <f aca="false">IFERROR(COUNTIFS($B$2:$B$492,$B19,$O$2:$O$492,"&gt;"&amp;$O19)+1,"")</f>
        <v>11</v>
      </c>
      <c r="W19" s="21" t="n">
        <f aca="false">'Info Lega'!$B$4-SUMIFS($M$2:$M$492,$D$2:$D$492,'Info Lega'!$B$28)</f>
        <v>1000</v>
      </c>
      <c r="X19" s="21" t="n">
        <f aca="false">('Info Lega'!$B$5-COUNTIFS($D$2:$D$492,'Info Lega'!$B$28,$B$2:$B$492,"P"))+('Info Lega'!$B$6-COUNTIFS($D$2:$D$492,'Info Lega'!$B$28,$B$2:$B$492,"D"))+('Info Lega'!$B$7-COUNTIFS($D$2:$D$492,'Info Lega'!$B$28,$B$2:$B$492,"C"))+('Info Lega'!$B$8-COUNTIFS($D$2:$D$492,'Info Lega'!$B$28,$B$2:$B$492,"A"))</f>
        <v>25</v>
      </c>
      <c r="Y19" s="21" t="n">
        <f aca="false">X19*'Parametri Modello'!$B$30</f>
        <v>25</v>
      </c>
      <c r="Z19" s="21" t="n">
        <f aca="false">MAX(0,W19-Y19)</f>
        <v>975</v>
      </c>
      <c r="AA19" s="21" t="n">
        <f aca="false">MIN(F19,Z19)</f>
        <v>127</v>
      </c>
      <c r="AB19" s="21"/>
      <c r="AC19" s="21" t="str">
        <f aca="false">IF(AB19="","",IF(AB19&gt;AA19,"PASS",IF(AB19&lt;=AA19*0.85,"BID","ATTENZIONE")))</f>
        <v/>
      </c>
      <c r="AD19" s="31" t="n">
        <f aca="false">IF(I19="","",ROUND(100*(1-EXP(-I19/30)),0))</f>
        <v>63</v>
      </c>
      <c r="AE19" s="7" t="str">
        <f aca="false">IFERROR(INDEX('Stato Asta'!$G$9:$G$12,MATCH($B19,'Stato Asta'!$A$9:$A$12,0)),"")</f>
        <v>🔴 Non aspettare</v>
      </c>
    </row>
    <row r="20" customFormat="false" ht="14.25" hidden="false" customHeight="true" outlineLevel="0" collapsed="false">
      <c r="A20" s="21" t="n">
        <v>4510</v>
      </c>
      <c r="B20" s="21" t="s">
        <v>46</v>
      </c>
      <c r="C20" s="21" t="s">
        <v>550</v>
      </c>
      <c r="E20" s="26" t="str">
        <f aca="false">IF(COUNTIF('Info Strategia'!$D$2:$D$51,$C20)&gt;0,"SI","NO")</f>
        <v>NO</v>
      </c>
      <c r="F20" s="27" t="n">
        <f aca="false">IFERROR(ROUND(($G20+($H20-$G20)*'Info Strategia'!$B$6)*(1+IF($E20="SI",'Parametri Modello'!$B$7*'Info Strategia'!$B$6,0)),0),"")</f>
        <v>124</v>
      </c>
      <c r="G20" s="27" t="n">
        <f aca="false">IFERROR(ROUND(MAX(1,(IF($V20&lt;=INDEX('Parametri Modello'!$C$57:$C$60,MATCH($B20,'Parametri Modello'!$A$57:$A$60,0)),IF(INDEX('Parametri Modello'!$E$57:$E$60,MATCH($B20,'Parametri Modello'!$A$57:$A$60,0))=0,0,($O20/INDEX('Parametri Modello'!$E$57:$E$60,MATCH($B20,'Parametri Modello'!$A$57:$A$60,0)))*(INDEX('Parametri Modello'!$D$57:$D$60,MATCH($B20,'Parametri Modello'!$A$57:$A$60,0))*(INDEX('Parametri Modello'!$B$50:$B$53,MATCH($B20,'Parametri Modello'!$A$50:$A$53,0))*'Parametri Modello'!$B$44))),IF(INDEX('Parametri Modello'!$F$57:$F$60,MATCH($B20,'Parametri Modello'!$A$57:$A$60,0))=0,0,($O20/INDEX('Parametri Modello'!$F$57:$F$60,MATCH($B20,'Parametri Modello'!$A$57:$A$60,0)))*((1-INDEX('Parametri Modello'!$D$57:$D$60,MATCH($B20,'Parametri Modello'!$A$57:$A$60,0)))*(INDEX('Parametri Modello'!$B$50:$B$53,MATCH($B20,'Parametri Modello'!$A$50:$A$53,0))*'Parametri Modello'!$B$44))))*(1+IF(IF($B20="D",'Info Lega'!$B$25,IF($B20="C",'Info Lega'!$B$26,"No"))="Si",'Parametri Modello'!$B$5,0))*(1+MAX(-0.25,MIN(0.25,IF(OR($T20="",$I20="",$I20=0,INDEX('Parametri Modello'!$B$19:$B$22,MATCH($B20,'Parametri Modello'!$A$19:$A$22,0))="",INDEX('Parametri Modello'!$B$19:$B$22,MATCH($B20,'Parametri Modello'!$A$19:$A$22,0))=0),0,(($T20-INDEX('Parametri Modello'!$B$19:$B$22,MATCH($B20,'Parametri Modello'!$A$19:$A$22,0)))/INDEX('Parametri Modello'!$B$19:$B$22,MATCH($B20,'Parametri Modello'!$A$19:$A$22,0)))*'Parametri Modello'!$B$9))))*(1+IF('Parametri Modello'!$B$27="Si",MAX(-'Parametri Modello'!$B$28,MIN('Parametri Modello'!$B$28*1.5,IF(OR(INDEX('Parametri Modello'!$F$32:$F$35,MATCH($B20,'Parametri Modello'!$A$32:$A$35,0))="",INDEX('Parametri Modello'!$F$32:$F$35,MATCH($B20,'Parametri Modello'!$A$32:$A$35,0))=0),0,(1/INDEX('Parametri Modello'!$F$32:$F$35,MATCH($B20,'Parametri Modello'!$A$32:$A$35,0))-1)*'Parametri Modello'!$B$28))),0)))*(1-INDEX('Parametri Modello'!$B$12:$B$15,MATCH($B20,'Parametri Modello'!$A$12:$A$15,0)))),0),"")</f>
        <v>77</v>
      </c>
      <c r="H20" s="27" t="n">
        <f aca="false">IFERROR(ROUND((IF($V20&lt;=INDEX('Parametri Modello'!$C$57:$C$60,MATCH($B20,'Parametri Modello'!$A$57:$A$60,0)),IF(INDEX('Parametri Modello'!$E$57:$E$60,MATCH($B20,'Parametri Modello'!$A$57:$A$60,0))=0,0,($O20/INDEX('Parametri Modello'!$E$57:$E$60,MATCH($B20,'Parametri Modello'!$A$57:$A$60,0)))*(INDEX('Parametri Modello'!$D$57:$D$60,MATCH($B20,'Parametri Modello'!$A$57:$A$60,0))*(INDEX('Parametri Modello'!$B$50:$B$53,MATCH($B20,'Parametri Modello'!$A$50:$A$53,0))*'Parametri Modello'!$B$44))),IF(INDEX('Parametri Modello'!$F$57:$F$60,MATCH($B20,'Parametri Modello'!$A$57:$A$60,0))=0,0,($O20/INDEX('Parametri Modello'!$F$57:$F$60,MATCH($B20,'Parametri Modello'!$A$57:$A$60,0)))*((1-INDEX('Parametri Modello'!$D$57:$D$60,MATCH($B20,'Parametri Modello'!$A$57:$A$60,0)))*(INDEX('Parametri Modello'!$B$50:$B$53,MATCH($B20,'Parametri Modello'!$A$50:$A$53,0))*'Parametri Modello'!$B$44))))*(1+IF(IF($B20="D",'Info Lega'!$B$25,IF($B20="C",'Info Lega'!$B$26,"No"))="Si",'Parametri Modello'!$B$5,0))*(1+MAX(-0.25,MIN(0.25,IF(OR($T20="",$I20="",$I20=0,INDEX('Parametri Modello'!$B$19:$B$22,MATCH($B20,'Parametri Modello'!$A$19:$A$22,0))="",INDEX('Parametri Modello'!$B$19:$B$22,MATCH($B20,'Parametri Modello'!$A$19:$A$22,0))=0),0,(($T20-INDEX('Parametri Modello'!$B$19:$B$22,MATCH($B20,'Parametri Modello'!$A$19:$A$22,0)))/INDEX('Parametri Modello'!$B$19:$B$22,MATCH($B20,'Parametri Modello'!$A$19:$A$22,0)))*'Parametri Modello'!$B$9))))*(1+IF('Parametri Modello'!$B$27="Si",MAX(-'Parametri Modello'!$B$28,MIN('Parametri Modello'!$B$28*1.5,IF(OR(INDEX('Parametri Modello'!$F$32:$F$35,MATCH($B20,'Parametri Modello'!$A$32:$A$35,0))="",INDEX('Parametri Modello'!$F$32:$F$35,MATCH($B20,'Parametri Modello'!$A$32:$A$35,0))=0),0,(1/INDEX('Parametri Modello'!$F$32:$F$35,MATCH($B20,'Parametri Modello'!$A$32:$A$35,0))-1)*'Parametri Modello'!$B$28))),0)))*(1+INDEX('Parametri Modello'!$B$12:$B$15,MATCH($B20,'Parametri Modello'!$A$12:$A$15,0))),0),"")</f>
        <v>144</v>
      </c>
      <c r="I20" s="26" t="n">
        <f aca="false">IFERROR(INDEX('Input Statistiche 2025_26'!$F$3:$F$665,MATCH($A20,'Input Statistiche 2025_26'!$A$3:$A$665,0)),"")</f>
        <v>28</v>
      </c>
      <c r="J20" s="26" t="n">
        <f aca="false">IFERROR(IF($I20="","",MAX(0,38-$I20)),"")</f>
        <v>10</v>
      </c>
      <c r="K20" s="26" t="n">
        <f aca="false">IFERROR(INDEX('Input Statistiche 2025_26'!$I$3:$I$665,MATCH($A20,'Input Statistiche 2025_26'!$A$3:$A$665,0)),"")</f>
        <v>9</v>
      </c>
      <c r="L20" s="26" t="n">
        <f aca="false">IFERROR(INDEX('Input Statistiche 2025_26'!$O$3:$O$665,MATCH($A20,'Input Statistiche 2025_26'!$A$3:$A$665,0)),"")</f>
        <v>3</v>
      </c>
      <c r="M20" s="28"/>
      <c r="N20" s="27" t="n">
        <f aca="false">IFERROR(INDEX('Input Giocatori 2026_27'!$E$3:$E$493,MATCH($A20,'Input Giocatori 2026_27'!$A$3:$A$493,0)),"")</f>
        <v>18</v>
      </c>
      <c r="O20" s="27" t="n">
        <f aca="false">IFERROR(INDEX('Input Giocatori 2026_27'!$G$3:$G$493,MATCH($A20,'Input Giocatori 2026_27'!$A$3:$A$493,0)),"")</f>
        <v>120</v>
      </c>
      <c r="P20" s="26" t="str">
        <f aca="false">IFERROR(IF($O20="","",IF((1-(COUNTIFS($B$2:$B$492,$B20,$O$2:$O$492,"&gt;"&amp;$O20)+1-1)/COUNTIF($B$2:$B$492,$B20))&gt;=0.85,"Top",IF((1-(COUNTIFS($B$2:$B$492,$B20,$O$2:$O$492,"&gt;"&amp;$O20)+1-1)/COUNTIF($B$2:$B$492,$B20))&gt;=0.6,"Buono",IF((1-(COUNTIFS($B$2:$B$492,$B20,$O$2:$O$492,"&gt;"&amp;$O20)+1-1)/COUNTIF($B$2:$B$492,$B20))&gt;=0.3,"Nella Media","Scommessa/Riserva")))),"")</f>
        <v>Top</v>
      </c>
      <c r="Q20" s="29" t="n">
        <f aca="false">IF($D20="",COUNTIF($D$2:$D20,""),"")</f>
        <v>19</v>
      </c>
      <c r="R20" s="29" t="str">
        <f aca="false">IF($D20='Info Lega'!$B$28,COUNTIFS($D$2:$D20,'Info Lega'!$B$28),"")</f>
        <v/>
      </c>
      <c r="S20" s="30" t="n">
        <f aca="false">IFERROR(INDEX('Input Statistiche 2025_26'!$G$3:$G$665,MATCH($A20,'Input Statistiche 2025_26'!$A$3:$A$665,0)),"")</f>
        <v>5.88</v>
      </c>
      <c r="T20" s="30" t="n">
        <f aca="false">IFERROR(INDEX('Input Statistiche 2025_26'!$H$3:$H$665,MATCH($A20,'Input Statistiche 2025_26'!$A$3:$A$665,0)),"")</f>
        <v>6.86</v>
      </c>
      <c r="U20" s="26" t="str">
        <f aca="false">IF(OR('La Mia Rosa'!$O$12="",$D20&lt;&gt;""),"",IF($F20&lt;='La Mia Rosa'!$O$12*'Parametri Modello'!$B$24,"OK",IF($F20&lt;='La Mia Rosa'!$O$12*'Parametri Modello'!$B$25,"Attenzione","Rischio Alto")))</f>
        <v>Rischio Alto</v>
      </c>
      <c r="V20" s="26" t="n">
        <f aca="false">IFERROR(COUNTIFS($B$2:$B$492,$B20,$O$2:$O$492,"&gt;"&amp;$O20)+1,"")</f>
        <v>12</v>
      </c>
      <c r="W20" s="21" t="n">
        <f aca="false">'Info Lega'!$B$4-SUMIFS($M$2:$M$492,$D$2:$D$492,'Info Lega'!$B$28)</f>
        <v>1000</v>
      </c>
      <c r="X20" s="21" t="n">
        <f aca="false">('Info Lega'!$B$5-COUNTIFS($D$2:$D$492,'Info Lega'!$B$28,$B$2:$B$492,"P"))+('Info Lega'!$B$6-COUNTIFS($D$2:$D$492,'Info Lega'!$B$28,$B$2:$B$492,"D"))+('Info Lega'!$B$7-COUNTIFS($D$2:$D$492,'Info Lega'!$B$28,$B$2:$B$492,"C"))+('Info Lega'!$B$8-COUNTIFS($D$2:$D$492,'Info Lega'!$B$28,$B$2:$B$492,"A"))</f>
        <v>25</v>
      </c>
      <c r="Y20" s="21" t="n">
        <f aca="false">X20*'Parametri Modello'!$B$30</f>
        <v>25</v>
      </c>
      <c r="Z20" s="21" t="n">
        <f aca="false">MAX(0,W20-Y20)</f>
        <v>975</v>
      </c>
      <c r="AA20" s="21" t="n">
        <f aca="false">MIN(F20,Z20)</f>
        <v>124</v>
      </c>
      <c r="AB20" s="21"/>
      <c r="AC20" s="21" t="str">
        <f aca="false">IF(AB20="","",IF(AB20&gt;AA20,"PASS",IF(AB20&lt;=AA20*0.85,"BID","ATTENZIONE")))</f>
        <v/>
      </c>
      <c r="AD20" s="31" t="n">
        <f aca="false">IF(I20="","",ROUND(100*(1-EXP(-I20/30)),0))</f>
        <v>61</v>
      </c>
      <c r="AE20" s="7" t="str">
        <f aca="false">IFERROR(INDEX('Stato Asta'!$G$9:$G$12,MATCH($B20,'Stato Asta'!$A$9:$A$12,0)),"")</f>
        <v>🔴 Non aspettare</v>
      </c>
    </row>
    <row r="21" customFormat="false" ht="14.25" hidden="false" customHeight="true" outlineLevel="0" collapsed="false">
      <c r="A21" s="21" t="n">
        <v>531</v>
      </c>
      <c r="B21" s="21" t="s">
        <v>46</v>
      </c>
      <c r="C21" s="21" t="s">
        <v>551</v>
      </c>
      <c r="E21" s="26" t="str">
        <f aca="false">IF(COUNTIF('Info Strategia'!$D$2:$D$51,$C21)&gt;0,"SI","NO")</f>
        <v>NO</v>
      </c>
      <c r="F21" s="27" t="n">
        <f aca="false">IFERROR(ROUND(($G21+($H21-$G21)*'Info Strategia'!$B$6)*(1+IF($E21="SI",'Parametri Modello'!$B$7*'Info Strategia'!$B$6,0)),0),"")</f>
        <v>120</v>
      </c>
      <c r="G21" s="27" t="n">
        <f aca="false">IFERROR(ROUND(MAX(1,(IF($V21&lt;=INDEX('Parametri Modello'!$C$57:$C$60,MATCH($B21,'Parametri Modello'!$A$57:$A$60,0)),IF(INDEX('Parametri Modello'!$E$57:$E$60,MATCH($B21,'Parametri Modello'!$A$57:$A$60,0))=0,0,($O21/INDEX('Parametri Modello'!$E$57:$E$60,MATCH($B21,'Parametri Modello'!$A$57:$A$60,0)))*(INDEX('Parametri Modello'!$D$57:$D$60,MATCH($B21,'Parametri Modello'!$A$57:$A$60,0))*(INDEX('Parametri Modello'!$B$50:$B$53,MATCH($B21,'Parametri Modello'!$A$50:$A$53,0))*'Parametri Modello'!$B$44))),IF(INDEX('Parametri Modello'!$F$57:$F$60,MATCH($B21,'Parametri Modello'!$A$57:$A$60,0))=0,0,($O21/INDEX('Parametri Modello'!$F$57:$F$60,MATCH($B21,'Parametri Modello'!$A$57:$A$60,0)))*((1-INDEX('Parametri Modello'!$D$57:$D$60,MATCH($B21,'Parametri Modello'!$A$57:$A$60,0)))*(INDEX('Parametri Modello'!$B$50:$B$53,MATCH($B21,'Parametri Modello'!$A$50:$A$53,0))*'Parametri Modello'!$B$44))))*(1+IF(IF($B21="D",'Info Lega'!$B$25,IF($B21="C",'Info Lega'!$B$26,"No"))="Si",'Parametri Modello'!$B$5,0))*(1+MAX(-0.25,MIN(0.25,IF(OR($T21="",$I21="",$I21=0,INDEX('Parametri Modello'!$B$19:$B$22,MATCH($B21,'Parametri Modello'!$A$19:$A$22,0))="",INDEX('Parametri Modello'!$B$19:$B$22,MATCH($B21,'Parametri Modello'!$A$19:$A$22,0))=0),0,(($T21-INDEX('Parametri Modello'!$B$19:$B$22,MATCH($B21,'Parametri Modello'!$A$19:$A$22,0)))/INDEX('Parametri Modello'!$B$19:$B$22,MATCH($B21,'Parametri Modello'!$A$19:$A$22,0)))*'Parametri Modello'!$B$9))))*(1+IF('Parametri Modello'!$B$27="Si",MAX(-'Parametri Modello'!$B$28,MIN('Parametri Modello'!$B$28*1.5,IF(OR(INDEX('Parametri Modello'!$F$32:$F$35,MATCH($B21,'Parametri Modello'!$A$32:$A$35,0))="",INDEX('Parametri Modello'!$F$32:$F$35,MATCH($B21,'Parametri Modello'!$A$32:$A$35,0))=0),0,(1/INDEX('Parametri Modello'!$F$32:$F$35,MATCH($B21,'Parametri Modello'!$A$32:$A$35,0))-1)*'Parametri Modello'!$B$28))),0)))*(1-INDEX('Parametri Modello'!$B$12:$B$15,MATCH($B21,'Parametri Modello'!$A$12:$A$15,0)))),0),"")</f>
        <v>75</v>
      </c>
      <c r="H21" s="27" t="n">
        <f aca="false">IFERROR(ROUND((IF($V21&lt;=INDEX('Parametri Modello'!$C$57:$C$60,MATCH($B21,'Parametri Modello'!$A$57:$A$60,0)),IF(INDEX('Parametri Modello'!$E$57:$E$60,MATCH($B21,'Parametri Modello'!$A$57:$A$60,0))=0,0,($O21/INDEX('Parametri Modello'!$E$57:$E$60,MATCH($B21,'Parametri Modello'!$A$57:$A$60,0)))*(INDEX('Parametri Modello'!$D$57:$D$60,MATCH($B21,'Parametri Modello'!$A$57:$A$60,0))*(INDEX('Parametri Modello'!$B$50:$B$53,MATCH($B21,'Parametri Modello'!$A$50:$A$53,0))*'Parametri Modello'!$B$44))),IF(INDEX('Parametri Modello'!$F$57:$F$60,MATCH($B21,'Parametri Modello'!$A$57:$A$60,0))=0,0,($O21/INDEX('Parametri Modello'!$F$57:$F$60,MATCH($B21,'Parametri Modello'!$A$57:$A$60,0)))*((1-INDEX('Parametri Modello'!$D$57:$D$60,MATCH($B21,'Parametri Modello'!$A$57:$A$60,0)))*(INDEX('Parametri Modello'!$B$50:$B$53,MATCH($B21,'Parametri Modello'!$A$50:$A$53,0))*'Parametri Modello'!$B$44))))*(1+IF(IF($B21="D",'Info Lega'!$B$25,IF($B21="C",'Info Lega'!$B$26,"No"))="Si",'Parametri Modello'!$B$5,0))*(1+MAX(-0.25,MIN(0.25,IF(OR($T21="",$I21="",$I21=0,INDEX('Parametri Modello'!$B$19:$B$22,MATCH($B21,'Parametri Modello'!$A$19:$A$22,0))="",INDEX('Parametri Modello'!$B$19:$B$22,MATCH($B21,'Parametri Modello'!$A$19:$A$22,0))=0),0,(($T21-INDEX('Parametri Modello'!$B$19:$B$22,MATCH($B21,'Parametri Modello'!$A$19:$A$22,0)))/INDEX('Parametri Modello'!$B$19:$B$22,MATCH($B21,'Parametri Modello'!$A$19:$A$22,0)))*'Parametri Modello'!$B$9))))*(1+IF('Parametri Modello'!$B$27="Si",MAX(-'Parametri Modello'!$B$28,MIN('Parametri Modello'!$B$28*1.5,IF(OR(INDEX('Parametri Modello'!$F$32:$F$35,MATCH($B21,'Parametri Modello'!$A$32:$A$35,0))="",INDEX('Parametri Modello'!$F$32:$F$35,MATCH($B21,'Parametri Modello'!$A$32:$A$35,0))=0),0,(1/INDEX('Parametri Modello'!$F$32:$F$35,MATCH($B21,'Parametri Modello'!$A$32:$A$35,0))-1)*'Parametri Modello'!$B$28))),0)))*(1+INDEX('Parametri Modello'!$B$12:$B$15,MATCH($B21,'Parametri Modello'!$A$12:$A$15,0))),0),"")</f>
        <v>139</v>
      </c>
      <c r="I21" s="26" t="n">
        <f aca="false">IFERROR(INDEX('Input Statistiche 2025_26'!$F$3:$F$665,MATCH($A21,'Input Statistiche 2025_26'!$A$3:$A$665,0)),"")</f>
        <v>26</v>
      </c>
      <c r="J21" s="26" t="n">
        <f aca="false">IFERROR(IF($I21="","",MAX(0,38-$I21)),"")</f>
        <v>12</v>
      </c>
      <c r="K21" s="26" t="n">
        <f aca="false">IFERROR(INDEX('Input Statistiche 2025_26'!$I$3:$I$665,MATCH($A21,'Input Statistiche 2025_26'!$A$3:$A$665,0)),"")</f>
        <v>8</v>
      </c>
      <c r="L21" s="26" t="n">
        <f aca="false">IFERROR(INDEX('Input Statistiche 2025_26'!$O$3:$O$665,MATCH($A21,'Input Statistiche 2025_26'!$A$3:$A$665,0)),"")</f>
        <v>4</v>
      </c>
      <c r="M21" s="28"/>
      <c r="N21" s="27" t="n">
        <f aca="false">IFERROR(INDEX('Input Giocatori 2026_27'!$E$3:$E$493,MATCH($A21,'Input Giocatori 2026_27'!$A$3:$A$493,0)),"")</f>
        <v>18</v>
      </c>
      <c r="O21" s="27" t="n">
        <f aca="false">IFERROR(INDEX('Input Giocatori 2026_27'!$G$3:$G$493,MATCH($A21,'Input Giocatori 2026_27'!$A$3:$A$493,0)),"")</f>
        <v>115</v>
      </c>
      <c r="P21" s="26" t="str">
        <f aca="false">IFERROR(IF($O21="","",IF((1-(COUNTIFS($B$2:$B$492,$B21,$O$2:$O$492,"&gt;"&amp;$O21)+1-1)/COUNTIF($B$2:$B$492,$B21))&gt;=0.85,"Top",IF((1-(COUNTIFS($B$2:$B$492,$B21,$O$2:$O$492,"&gt;"&amp;$O21)+1-1)/COUNTIF($B$2:$B$492,$B21))&gt;=0.6,"Buono",IF((1-(COUNTIFS($B$2:$B$492,$B21,$O$2:$O$492,"&gt;"&amp;$O21)+1-1)/COUNTIF($B$2:$B$492,$B21))&gt;=0.3,"Nella Media","Scommessa/Riserva")))),"")</f>
        <v>Top</v>
      </c>
      <c r="Q21" s="29" t="n">
        <f aca="false">IF($D21="",COUNTIF($D$2:$D21,""),"")</f>
        <v>20</v>
      </c>
      <c r="R21" s="29" t="str">
        <f aca="false">IF($D21='Info Lega'!$B$28,COUNTIFS($D$2:$D21,'Info Lega'!$B$28),"")</f>
        <v/>
      </c>
      <c r="S21" s="30" t="n">
        <f aca="false">IFERROR(INDEX('Input Statistiche 2025_26'!$G$3:$G$665,MATCH($A21,'Input Statistiche 2025_26'!$A$3:$A$665,0)),"")</f>
        <v>6.31</v>
      </c>
      <c r="T21" s="30" t="n">
        <f aca="false">IFERROR(INDEX('Input Statistiche 2025_26'!$H$3:$H$665,MATCH($A21,'Input Statistiche 2025_26'!$A$3:$A$665,0)),"")</f>
        <v>7.19</v>
      </c>
      <c r="U21" s="26" t="str">
        <f aca="false">IF(OR('La Mia Rosa'!$O$12="",$D21&lt;&gt;""),"",IF($F21&lt;='La Mia Rosa'!$O$12*'Parametri Modello'!$B$24,"OK",IF($F21&lt;='La Mia Rosa'!$O$12*'Parametri Modello'!$B$25,"Attenzione","Rischio Alto")))</f>
        <v>Attenzione</v>
      </c>
      <c r="V21" s="26" t="n">
        <f aca="false">IFERROR(COUNTIFS($B$2:$B$492,$B21,$O$2:$O$492,"&gt;"&amp;$O21)+1,"")</f>
        <v>13</v>
      </c>
      <c r="W21" s="21" t="n">
        <f aca="false">'Info Lega'!$B$4-SUMIFS($M$2:$M$492,$D$2:$D$492,'Info Lega'!$B$28)</f>
        <v>1000</v>
      </c>
      <c r="X21" s="21" t="n">
        <f aca="false">('Info Lega'!$B$5-COUNTIFS($D$2:$D$492,'Info Lega'!$B$28,$B$2:$B$492,"P"))+('Info Lega'!$B$6-COUNTIFS($D$2:$D$492,'Info Lega'!$B$28,$B$2:$B$492,"D"))+('Info Lega'!$B$7-COUNTIFS($D$2:$D$492,'Info Lega'!$B$28,$B$2:$B$492,"C"))+('Info Lega'!$B$8-COUNTIFS($D$2:$D$492,'Info Lega'!$B$28,$B$2:$B$492,"A"))</f>
        <v>25</v>
      </c>
      <c r="Y21" s="21" t="n">
        <f aca="false">X21*'Parametri Modello'!$B$30</f>
        <v>25</v>
      </c>
      <c r="Z21" s="21" t="n">
        <f aca="false">MAX(0,W21-Y21)</f>
        <v>975</v>
      </c>
      <c r="AA21" s="21" t="n">
        <f aca="false">MIN(F21,Z21)</f>
        <v>120</v>
      </c>
      <c r="AB21" s="21"/>
      <c r="AC21" s="21" t="str">
        <f aca="false">IF(AB21="","",IF(AB21&gt;AA21,"PASS",IF(AB21&lt;=AA21*0.85,"BID","ATTENZIONE")))</f>
        <v/>
      </c>
      <c r="AD21" s="31" t="n">
        <f aca="false">IF(I21="","",ROUND(100*(1-EXP(-I21/30)),0))</f>
        <v>58</v>
      </c>
      <c r="AE21" s="7" t="str">
        <f aca="false">IFERROR(INDEX('Stato Asta'!$G$9:$G$12,MATCH($B21,'Stato Asta'!$A$9:$A$12,0)),"")</f>
        <v>🔴 Non aspettare</v>
      </c>
    </row>
    <row r="22" customFormat="false" ht="14.25" hidden="false" customHeight="true" outlineLevel="0" collapsed="false">
      <c r="A22" s="21" t="n">
        <v>5995</v>
      </c>
      <c r="B22" s="21" t="s">
        <v>46</v>
      </c>
      <c r="C22" s="21" t="s">
        <v>552</v>
      </c>
      <c r="E22" s="26" t="str">
        <f aca="false">IF(COUNTIF('Info Strategia'!$D$2:$D$51,$C22)&gt;0,"SI","NO")</f>
        <v>NO</v>
      </c>
      <c r="F22" s="27" t="n">
        <f aca="false">IFERROR(ROUND(($G22+($H22-$G22)*'Info Strategia'!$B$6)*(1+IF($E22="SI",'Parametri Modello'!$B$7*'Info Strategia'!$B$6,0)),0),"")</f>
        <v>109</v>
      </c>
      <c r="G22" s="27" t="n">
        <f aca="false">IFERROR(ROUND(MAX(1,(IF($V22&lt;=INDEX('Parametri Modello'!$C$57:$C$60,MATCH($B22,'Parametri Modello'!$A$57:$A$60,0)),IF(INDEX('Parametri Modello'!$E$57:$E$60,MATCH($B22,'Parametri Modello'!$A$57:$A$60,0))=0,0,($O22/INDEX('Parametri Modello'!$E$57:$E$60,MATCH($B22,'Parametri Modello'!$A$57:$A$60,0)))*(INDEX('Parametri Modello'!$D$57:$D$60,MATCH($B22,'Parametri Modello'!$A$57:$A$60,0))*(INDEX('Parametri Modello'!$B$50:$B$53,MATCH($B22,'Parametri Modello'!$A$50:$A$53,0))*'Parametri Modello'!$B$44))),IF(INDEX('Parametri Modello'!$F$57:$F$60,MATCH($B22,'Parametri Modello'!$A$57:$A$60,0))=0,0,($O22/INDEX('Parametri Modello'!$F$57:$F$60,MATCH($B22,'Parametri Modello'!$A$57:$A$60,0)))*((1-INDEX('Parametri Modello'!$D$57:$D$60,MATCH($B22,'Parametri Modello'!$A$57:$A$60,0)))*(INDEX('Parametri Modello'!$B$50:$B$53,MATCH($B22,'Parametri Modello'!$A$50:$A$53,0))*'Parametri Modello'!$B$44))))*(1+IF(IF($B22="D",'Info Lega'!$B$25,IF($B22="C",'Info Lega'!$B$26,"No"))="Si",'Parametri Modello'!$B$5,0))*(1+MAX(-0.25,MIN(0.25,IF(OR($T22="",$I22="",$I22=0,INDEX('Parametri Modello'!$B$19:$B$22,MATCH($B22,'Parametri Modello'!$A$19:$A$22,0))="",INDEX('Parametri Modello'!$B$19:$B$22,MATCH($B22,'Parametri Modello'!$A$19:$A$22,0))=0),0,(($T22-INDEX('Parametri Modello'!$B$19:$B$22,MATCH($B22,'Parametri Modello'!$A$19:$A$22,0)))/INDEX('Parametri Modello'!$B$19:$B$22,MATCH($B22,'Parametri Modello'!$A$19:$A$22,0)))*'Parametri Modello'!$B$9))))*(1+IF('Parametri Modello'!$B$27="Si",MAX(-'Parametri Modello'!$B$28,MIN('Parametri Modello'!$B$28*1.5,IF(OR(INDEX('Parametri Modello'!$F$32:$F$35,MATCH($B22,'Parametri Modello'!$A$32:$A$35,0))="",INDEX('Parametri Modello'!$F$32:$F$35,MATCH($B22,'Parametri Modello'!$A$32:$A$35,0))=0),0,(1/INDEX('Parametri Modello'!$F$32:$F$35,MATCH($B22,'Parametri Modello'!$A$32:$A$35,0))-1)*'Parametri Modello'!$B$28))),0)))*(1-INDEX('Parametri Modello'!$B$12:$B$15,MATCH($B22,'Parametri Modello'!$A$12:$A$15,0)))),0),"")</f>
        <v>68</v>
      </c>
      <c r="H22" s="27" t="n">
        <f aca="false">IFERROR(ROUND((IF($V22&lt;=INDEX('Parametri Modello'!$C$57:$C$60,MATCH($B22,'Parametri Modello'!$A$57:$A$60,0)),IF(INDEX('Parametri Modello'!$E$57:$E$60,MATCH($B22,'Parametri Modello'!$A$57:$A$60,0))=0,0,($O22/INDEX('Parametri Modello'!$E$57:$E$60,MATCH($B22,'Parametri Modello'!$A$57:$A$60,0)))*(INDEX('Parametri Modello'!$D$57:$D$60,MATCH($B22,'Parametri Modello'!$A$57:$A$60,0))*(INDEX('Parametri Modello'!$B$50:$B$53,MATCH($B22,'Parametri Modello'!$A$50:$A$53,0))*'Parametri Modello'!$B$44))),IF(INDEX('Parametri Modello'!$F$57:$F$60,MATCH($B22,'Parametri Modello'!$A$57:$A$60,0))=0,0,($O22/INDEX('Parametri Modello'!$F$57:$F$60,MATCH($B22,'Parametri Modello'!$A$57:$A$60,0)))*((1-INDEX('Parametri Modello'!$D$57:$D$60,MATCH($B22,'Parametri Modello'!$A$57:$A$60,0)))*(INDEX('Parametri Modello'!$B$50:$B$53,MATCH($B22,'Parametri Modello'!$A$50:$A$53,0))*'Parametri Modello'!$B$44))))*(1+IF(IF($B22="D",'Info Lega'!$B$25,IF($B22="C",'Info Lega'!$B$26,"No"))="Si",'Parametri Modello'!$B$5,0))*(1+MAX(-0.25,MIN(0.25,IF(OR($T22="",$I22="",$I22=0,INDEX('Parametri Modello'!$B$19:$B$22,MATCH($B22,'Parametri Modello'!$A$19:$A$22,0))="",INDEX('Parametri Modello'!$B$19:$B$22,MATCH($B22,'Parametri Modello'!$A$19:$A$22,0))=0),0,(($T22-INDEX('Parametri Modello'!$B$19:$B$22,MATCH($B22,'Parametri Modello'!$A$19:$A$22,0)))/INDEX('Parametri Modello'!$B$19:$B$22,MATCH($B22,'Parametri Modello'!$A$19:$A$22,0)))*'Parametri Modello'!$B$9))))*(1+IF('Parametri Modello'!$B$27="Si",MAX(-'Parametri Modello'!$B$28,MIN('Parametri Modello'!$B$28*1.5,IF(OR(INDEX('Parametri Modello'!$F$32:$F$35,MATCH($B22,'Parametri Modello'!$A$32:$A$35,0))="",INDEX('Parametri Modello'!$F$32:$F$35,MATCH($B22,'Parametri Modello'!$A$32:$A$35,0))=0),0,(1/INDEX('Parametri Modello'!$F$32:$F$35,MATCH($B22,'Parametri Modello'!$A$32:$A$35,0))-1)*'Parametri Modello'!$B$28))),0)))*(1+INDEX('Parametri Modello'!$B$12:$B$15,MATCH($B22,'Parametri Modello'!$A$12:$A$15,0))),0),"")</f>
        <v>126</v>
      </c>
      <c r="I22" s="26" t="n">
        <f aca="false">IFERROR(INDEX('Input Statistiche 2025_26'!$F$3:$F$665,MATCH($A22,'Input Statistiche 2025_26'!$A$3:$A$665,0)),"")</f>
        <v>31</v>
      </c>
      <c r="J22" s="26" t="n">
        <f aca="false">IFERROR(IF($I22="","",MAX(0,38-$I22)),"")</f>
        <v>7</v>
      </c>
      <c r="K22" s="26" t="n">
        <f aca="false">IFERROR(INDEX('Input Statistiche 2025_26'!$I$3:$I$665,MATCH($A22,'Input Statistiche 2025_26'!$A$3:$A$665,0)),"")</f>
        <v>3</v>
      </c>
      <c r="L22" s="26" t="n">
        <f aca="false">IFERROR(INDEX('Input Statistiche 2025_26'!$O$3:$O$665,MATCH($A22,'Input Statistiche 2025_26'!$A$3:$A$665,0)),"")</f>
        <v>5</v>
      </c>
      <c r="M22" s="28"/>
      <c r="N22" s="27" t="n">
        <f aca="false">IFERROR(INDEX('Input Giocatori 2026_27'!$E$3:$E$493,MATCH($A22,'Input Giocatori 2026_27'!$A$3:$A$493,0)),"")</f>
        <v>17</v>
      </c>
      <c r="O22" s="27" t="n">
        <f aca="false">IFERROR(INDEX('Input Giocatori 2026_27'!$G$3:$G$493,MATCH($A22,'Input Giocatori 2026_27'!$A$3:$A$493,0)),"")</f>
        <v>106</v>
      </c>
      <c r="P22" s="26" t="str">
        <f aca="false">IFERROR(IF($O22="","",IF((1-(COUNTIFS($B$2:$B$492,$B22,$O$2:$O$492,"&gt;"&amp;$O22)+1-1)/COUNTIF($B$2:$B$492,$B22))&gt;=0.85,"Top",IF((1-(COUNTIFS($B$2:$B$492,$B22,$O$2:$O$492,"&gt;"&amp;$O22)+1-1)/COUNTIF($B$2:$B$492,$B22))&gt;=0.6,"Buono",IF((1-(COUNTIFS($B$2:$B$492,$B22,$O$2:$O$492,"&gt;"&amp;$O22)+1-1)/COUNTIF($B$2:$B$492,$B22))&gt;=0.3,"Nella Media","Scommessa/Riserva")))),"")</f>
        <v>Buono</v>
      </c>
      <c r="Q22" s="29" t="n">
        <f aca="false">IF($D22="",COUNTIF($D$2:$D22,""),"")</f>
        <v>21</v>
      </c>
      <c r="R22" s="29" t="str">
        <f aca="false">IF($D22='Info Lega'!$B$28,COUNTIFS($D$2:$D22,'Info Lega'!$B$28),"")</f>
        <v/>
      </c>
      <c r="S22" s="30" t="n">
        <f aca="false">IFERROR(INDEX('Input Statistiche 2025_26'!$G$3:$G$665,MATCH($A22,'Input Statistiche 2025_26'!$A$3:$A$665,0)),"")</f>
        <v>6.21</v>
      </c>
      <c r="T22" s="30" t="n">
        <f aca="false">IFERROR(INDEX('Input Statistiche 2025_26'!$H$3:$H$665,MATCH($A22,'Input Statistiche 2025_26'!$A$3:$A$665,0)),"")</f>
        <v>6.6</v>
      </c>
      <c r="U22" s="26" t="str">
        <f aca="false">IF(OR('La Mia Rosa'!$O$12="",$D22&lt;&gt;""),"",IF($F22&lt;='La Mia Rosa'!$O$12*'Parametri Modello'!$B$24,"OK",IF($F22&lt;='La Mia Rosa'!$O$12*'Parametri Modello'!$B$25,"Attenzione","Rischio Alto")))</f>
        <v>Attenzione</v>
      </c>
      <c r="V22" s="26" t="n">
        <f aca="false">IFERROR(COUNTIFS($B$2:$B$492,$B22,$O$2:$O$492,"&gt;"&amp;$O22)+1,"")</f>
        <v>14</v>
      </c>
      <c r="W22" s="21" t="n">
        <f aca="false">'Info Lega'!$B$4-SUMIFS($M$2:$M$492,$D$2:$D$492,'Info Lega'!$B$28)</f>
        <v>1000</v>
      </c>
      <c r="X22" s="21" t="n">
        <f aca="false">('Info Lega'!$B$5-COUNTIFS($D$2:$D$492,'Info Lega'!$B$28,$B$2:$B$492,"P"))+('Info Lega'!$B$6-COUNTIFS($D$2:$D$492,'Info Lega'!$B$28,$B$2:$B$492,"D"))+('Info Lega'!$B$7-COUNTIFS($D$2:$D$492,'Info Lega'!$B$28,$B$2:$B$492,"C"))+('Info Lega'!$B$8-COUNTIFS($D$2:$D$492,'Info Lega'!$B$28,$B$2:$B$492,"A"))</f>
        <v>25</v>
      </c>
      <c r="Y22" s="21" t="n">
        <f aca="false">X22*'Parametri Modello'!$B$30</f>
        <v>25</v>
      </c>
      <c r="Z22" s="21" t="n">
        <f aca="false">MAX(0,W22-Y22)</f>
        <v>975</v>
      </c>
      <c r="AA22" s="21" t="n">
        <f aca="false">MIN(F22,Z22)</f>
        <v>109</v>
      </c>
      <c r="AB22" s="21"/>
      <c r="AC22" s="21" t="str">
        <f aca="false">IF(AB22="","",IF(AB22&gt;AA22,"PASS",IF(AB22&lt;=AA22*0.85,"BID","ATTENZIONE")))</f>
        <v/>
      </c>
      <c r="AD22" s="31" t="n">
        <f aca="false">IF(I22="","",ROUND(100*(1-EXP(-I22/30)),0))</f>
        <v>64</v>
      </c>
      <c r="AE22" s="7" t="str">
        <f aca="false">IFERROR(INDEX('Stato Asta'!$G$9:$G$12,MATCH($B22,'Stato Asta'!$A$9:$A$12,0)),"")</f>
        <v>🔴 Non aspettare</v>
      </c>
    </row>
    <row r="23" customFormat="false" ht="14.25" hidden="false" customHeight="true" outlineLevel="0" collapsed="false">
      <c r="A23" s="21" t="n">
        <v>7126</v>
      </c>
      <c r="B23" s="21" t="s">
        <v>45</v>
      </c>
      <c r="C23" s="21" t="s">
        <v>372</v>
      </c>
      <c r="E23" s="26" t="str">
        <f aca="false">IF(COUNTIF('Info Strategia'!$D$2:$D$51,$C23)&gt;0,"SI","NO")</f>
        <v>NO</v>
      </c>
      <c r="F23" s="27" t="n">
        <f aca="false">IFERROR(ROUND(($G23+($H23-$G23)*'Info Strategia'!$B$6)*(1+IF($E23="SI",'Parametri Modello'!$B$7*'Info Strategia'!$B$6,0)),0),"")</f>
        <v>69</v>
      </c>
      <c r="G23" s="27" t="n">
        <f aca="false">IFERROR(ROUND(MAX(1,(IF($V23&lt;=INDEX('Parametri Modello'!$C$57:$C$60,MATCH($B23,'Parametri Modello'!$A$57:$A$60,0)),IF(INDEX('Parametri Modello'!$E$57:$E$60,MATCH($B23,'Parametri Modello'!$A$57:$A$60,0))=0,0,($O23/INDEX('Parametri Modello'!$E$57:$E$60,MATCH($B23,'Parametri Modello'!$A$57:$A$60,0)))*(INDEX('Parametri Modello'!$D$57:$D$60,MATCH($B23,'Parametri Modello'!$A$57:$A$60,0))*(INDEX('Parametri Modello'!$B$50:$B$53,MATCH($B23,'Parametri Modello'!$A$50:$A$53,0))*'Parametri Modello'!$B$44))),IF(INDEX('Parametri Modello'!$F$57:$F$60,MATCH($B23,'Parametri Modello'!$A$57:$A$60,0))=0,0,($O23/INDEX('Parametri Modello'!$F$57:$F$60,MATCH($B23,'Parametri Modello'!$A$57:$A$60,0)))*((1-INDEX('Parametri Modello'!$D$57:$D$60,MATCH($B23,'Parametri Modello'!$A$57:$A$60,0)))*(INDEX('Parametri Modello'!$B$50:$B$53,MATCH($B23,'Parametri Modello'!$A$50:$A$53,0))*'Parametri Modello'!$B$44))))*(1+IF(IF($B23="D",'Info Lega'!$B$25,IF($B23="C",'Info Lega'!$B$26,"No"))="Si",'Parametri Modello'!$B$5,0))*(1+MAX(-0.25,MIN(0.25,IF(OR($T23="",$I23="",$I23=0,INDEX('Parametri Modello'!$B$19:$B$22,MATCH($B23,'Parametri Modello'!$A$19:$A$22,0))="",INDEX('Parametri Modello'!$B$19:$B$22,MATCH($B23,'Parametri Modello'!$A$19:$A$22,0))=0),0,(($T23-INDEX('Parametri Modello'!$B$19:$B$22,MATCH($B23,'Parametri Modello'!$A$19:$A$22,0)))/INDEX('Parametri Modello'!$B$19:$B$22,MATCH($B23,'Parametri Modello'!$A$19:$A$22,0)))*'Parametri Modello'!$B$9))))*(1+IF('Parametri Modello'!$B$27="Si",MAX(-'Parametri Modello'!$B$28,MIN('Parametri Modello'!$B$28*1.5,IF(OR(INDEX('Parametri Modello'!$F$32:$F$35,MATCH($B23,'Parametri Modello'!$A$32:$A$35,0))="",INDEX('Parametri Modello'!$F$32:$F$35,MATCH($B23,'Parametri Modello'!$A$32:$A$35,0))=0),0,(1/INDEX('Parametri Modello'!$F$32:$F$35,MATCH($B23,'Parametri Modello'!$A$32:$A$35,0))-1)*'Parametri Modello'!$B$28))),0)))*(1-INDEX('Parametri Modello'!$B$12:$B$15,MATCH($B23,'Parametri Modello'!$A$12:$A$15,0)))),0),"")</f>
        <v>47</v>
      </c>
      <c r="H23" s="27" t="n">
        <f aca="false">IFERROR(ROUND((IF($V23&lt;=INDEX('Parametri Modello'!$C$57:$C$60,MATCH($B23,'Parametri Modello'!$A$57:$A$60,0)),IF(INDEX('Parametri Modello'!$E$57:$E$60,MATCH($B23,'Parametri Modello'!$A$57:$A$60,0))=0,0,($O23/INDEX('Parametri Modello'!$E$57:$E$60,MATCH($B23,'Parametri Modello'!$A$57:$A$60,0)))*(INDEX('Parametri Modello'!$D$57:$D$60,MATCH($B23,'Parametri Modello'!$A$57:$A$60,0))*(INDEX('Parametri Modello'!$B$50:$B$53,MATCH($B23,'Parametri Modello'!$A$50:$A$53,0))*'Parametri Modello'!$B$44))),IF(INDEX('Parametri Modello'!$F$57:$F$60,MATCH($B23,'Parametri Modello'!$A$57:$A$60,0))=0,0,($O23/INDEX('Parametri Modello'!$F$57:$F$60,MATCH($B23,'Parametri Modello'!$A$57:$A$60,0)))*((1-INDEX('Parametri Modello'!$D$57:$D$60,MATCH($B23,'Parametri Modello'!$A$57:$A$60,0)))*(INDEX('Parametri Modello'!$B$50:$B$53,MATCH($B23,'Parametri Modello'!$A$50:$A$53,0))*'Parametri Modello'!$B$44))))*(1+IF(IF($B23="D",'Info Lega'!$B$25,IF($B23="C",'Info Lega'!$B$26,"No"))="Si",'Parametri Modello'!$B$5,0))*(1+MAX(-0.25,MIN(0.25,IF(OR($T23="",$I23="",$I23=0,INDEX('Parametri Modello'!$B$19:$B$22,MATCH($B23,'Parametri Modello'!$A$19:$A$22,0))="",INDEX('Parametri Modello'!$B$19:$B$22,MATCH($B23,'Parametri Modello'!$A$19:$A$22,0))=0),0,(($T23-INDEX('Parametri Modello'!$B$19:$B$22,MATCH($B23,'Parametri Modello'!$A$19:$A$22,0)))/INDEX('Parametri Modello'!$B$19:$B$22,MATCH($B23,'Parametri Modello'!$A$19:$A$22,0)))*'Parametri Modello'!$B$9))))*(1+IF('Parametri Modello'!$B$27="Si",MAX(-'Parametri Modello'!$B$28,MIN('Parametri Modello'!$B$28*1.5,IF(OR(INDEX('Parametri Modello'!$F$32:$F$35,MATCH($B23,'Parametri Modello'!$A$32:$A$35,0))="",INDEX('Parametri Modello'!$F$32:$F$35,MATCH($B23,'Parametri Modello'!$A$32:$A$35,0))=0),0,(1/INDEX('Parametri Modello'!$F$32:$F$35,MATCH($B23,'Parametri Modello'!$A$32:$A$35,0))-1)*'Parametri Modello'!$B$28))),0)))*(1+INDEX('Parametri Modello'!$B$12:$B$15,MATCH($B23,'Parametri Modello'!$A$12:$A$15,0))),0),"")</f>
        <v>79</v>
      </c>
      <c r="I23" s="26" t="n">
        <f aca="false">IFERROR(INDEX('Input Statistiche 2025_26'!$F$3:$F$665,MATCH($A23,'Input Statistiche 2025_26'!$A$3:$A$665,0)),"")</f>
        <v>25</v>
      </c>
      <c r="J23" s="26" t="n">
        <f aca="false">IFERROR(IF($I23="","",MAX(0,38-$I23)),"")</f>
        <v>13</v>
      </c>
      <c r="K23" s="26" t="n">
        <f aca="false">IFERROR(INDEX('Input Statistiche 2025_26'!$I$3:$I$665,MATCH($A23,'Input Statistiche 2025_26'!$A$3:$A$665,0)),"")</f>
        <v>6</v>
      </c>
      <c r="L23" s="26" t="n">
        <f aca="false">IFERROR(INDEX('Input Statistiche 2025_26'!$O$3:$O$665,MATCH($A23,'Input Statistiche 2025_26'!$A$3:$A$665,0)),"")</f>
        <v>3</v>
      </c>
      <c r="M23" s="28"/>
      <c r="N23" s="27" t="n">
        <f aca="false">IFERROR(INDEX('Input Giocatori 2026_27'!$E$3:$E$493,MATCH($A23,'Input Giocatori 2026_27'!$A$3:$A$493,0)),"")</f>
        <v>19</v>
      </c>
      <c r="O23" s="27" t="n">
        <f aca="false">IFERROR(INDEX('Input Giocatori 2026_27'!$G$3:$G$493,MATCH($A23,'Input Giocatori 2026_27'!$A$3:$A$493,0)),"")</f>
        <v>102</v>
      </c>
      <c r="P23" s="26" t="str">
        <f aca="false">IFERROR(IF($O23="","",IF((1-(COUNTIFS($B$2:$B$492,$B23,$O$2:$O$492,"&gt;"&amp;$O23)+1-1)/COUNTIF($B$2:$B$492,$B23))&gt;=0.85,"Top",IF((1-(COUNTIFS($B$2:$B$492,$B23,$O$2:$O$492,"&gt;"&amp;$O23)+1-1)/COUNTIF($B$2:$B$492,$B23))&gt;=0.6,"Buono",IF((1-(COUNTIFS($B$2:$B$492,$B23,$O$2:$O$492,"&gt;"&amp;$O23)+1-1)/COUNTIF($B$2:$B$492,$B23))&gt;=0.3,"Nella Media","Scommessa/Riserva")))),"")</f>
        <v>Top</v>
      </c>
      <c r="Q23" s="29" t="n">
        <f aca="false">IF($D23="",COUNTIF($D$2:$D23,""),"")</f>
        <v>22</v>
      </c>
      <c r="R23" s="29" t="str">
        <f aca="false">IF($D23='Info Lega'!$B$28,COUNTIFS($D$2:$D23,'Info Lega'!$B$28),"")</f>
        <v/>
      </c>
      <c r="S23" s="30" t="n">
        <f aca="false">IFERROR(INDEX('Input Statistiche 2025_26'!$G$3:$G$665,MATCH($A23,'Input Statistiche 2025_26'!$A$3:$A$665,0)),"")</f>
        <v>6.3</v>
      </c>
      <c r="T23" s="30" t="n">
        <f aca="false">IFERROR(INDEX('Input Statistiche 2025_26'!$H$3:$H$665,MATCH($A23,'Input Statistiche 2025_26'!$A$3:$A$665,0)),"")</f>
        <v>7.14</v>
      </c>
      <c r="U23" s="26" t="str">
        <f aca="false">IF(OR('La Mia Rosa'!$O$12="",$D23&lt;&gt;""),"",IF($F23&lt;='La Mia Rosa'!$O$12*'Parametri Modello'!$B$24,"OK",IF($F23&lt;='La Mia Rosa'!$O$12*'Parametri Modello'!$B$25,"Attenzione","Rischio Alto")))</f>
        <v>Attenzione</v>
      </c>
      <c r="V23" s="26" t="n">
        <f aca="false">IFERROR(COUNTIFS($B$2:$B$492,$B23,$O$2:$O$492,"&gt;"&amp;$O23)+1,"")</f>
        <v>7</v>
      </c>
      <c r="W23" s="21" t="n">
        <f aca="false">'Info Lega'!$B$4-SUMIFS($M$2:$M$492,$D$2:$D$492,'Info Lega'!$B$28)</f>
        <v>1000</v>
      </c>
      <c r="X23" s="21" t="n">
        <f aca="false">('Info Lega'!$B$5-COUNTIFS($D$2:$D$492,'Info Lega'!$B$28,$B$2:$B$492,"P"))+('Info Lega'!$B$6-COUNTIFS($D$2:$D$492,'Info Lega'!$B$28,$B$2:$B$492,"D"))+('Info Lega'!$B$7-COUNTIFS($D$2:$D$492,'Info Lega'!$B$28,$B$2:$B$492,"C"))+('Info Lega'!$B$8-COUNTIFS($D$2:$D$492,'Info Lega'!$B$28,$B$2:$B$492,"A"))</f>
        <v>25</v>
      </c>
      <c r="Y23" s="21" t="n">
        <f aca="false">X23*'Parametri Modello'!$B$30</f>
        <v>25</v>
      </c>
      <c r="Z23" s="21" t="n">
        <f aca="false">MAX(0,W23-Y23)</f>
        <v>975</v>
      </c>
      <c r="AA23" s="21" t="n">
        <f aca="false">MIN(F23,Z23)</f>
        <v>69</v>
      </c>
      <c r="AB23" s="21"/>
      <c r="AC23" s="21" t="str">
        <f aca="false">IF(AB23="","",IF(AB23&gt;AA23,"PASS",IF(AB23&lt;=AA23*0.85,"BID","ATTENZIONE")))</f>
        <v/>
      </c>
      <c r="AD23" s="31" t="n">
        <f aca="false">IF(I23="","",ROUND(100*(1-EXP(-I23/30)),0))</f>
        <v>57</v>
      </c>
      <c r="AE23" s="7" t="str">
        <f aca="false">IFERROR(INDEX('Stato Asta'!$G$9:$G$12,MATCH($B23,'Stato Asta'!$A$9:$A$12,0)),"")</f>
        <v>🟡 Attesa rischiosa</v>
      </c>
    </row>
    <row r="24" customFormat="false" ht="14.25" hidden="false" customHeight="true" outlineLevel="0" collapsed="false">
      <c r="A24" s="21" t="n">
        <v>2517</v>
      </c>
      <c r="B24" s="21" t="s">
        <v>45</v>
      </c>
      <c r="C24" s="21" t="s">
        <v>379</v>
      </c>
      <c r="E24" s="26" t="str">
        <f aca="false">IF(COUNTIF('Info Strategia'!$D$2:$D$51,$C24)&gt;0,"SI","NO")</f>
        <v>NO</v>
      </c>
      <c r="F24" s="27" t="n">
        <f aca="false">IFERROR(ROUND(($G24+($H24-$G24)*'Info Strategia'!$B$6)*(1+IF($E24="SI",'Parametri Modello'!$B$7*'Info Strategia'!$B$6,0)),0),"")</f>
        <v>68</v>
      </c>
      <c r="G24" s="27" t="n">
        <f aca="false">IFERROR(ROUND(MAX(1,(IF($V24&lt;=INDEX('Parametri Modello'!$C$57:$C$60,MATCH($B24,'Parametri Modello'!$A$57:$A$60,0)),IF(INDEX('Parametri Modello'!$E$57:$E$60,MATCH($B24,'Parametri Modello'!$A$57:$A$60,0))=0,0,($O24/INDEX('Parametri Modello'!$E$57:$E$60,MATCH($B24,'Parametri Modello'!$A$57:$A$60,0)))*(INDEX('Parametri Modello'!$D$57:$D$60,MATCH($B24,'Parametri Modello'!$A$57:$A$60,0))*(INDEX('Parametri Modello'!$B$50:$B$53,MATCH($B24,'Parametri Modello'!$A$50:$A$53,0))*'Parametri Modello'!$B$44))),IF(INDEX('Parametri Modello'!$F$57:$F$60,MATCH($B24,'Parametri Modello'!$A$57:$A$60,0))=0,0,($O24/INDEX('Parametri Modello'!$F$57:$F$60,MATCH($B24,'Parametri Modello'!$A$57:$A$60,0)))*((1-INDEX('Parametri Modello'!$D$57:$D$60,MATCH($B24,'Parametri Modello'!$A$57:$A$60,0)))*(INDEX('Parametri Modello'!$B$50:$B$53,MATCH($B24,'Parametri Modello'!$A$50:$A$53,0))*'Parametri Modello'!$B$44))))*(1+IF(IF($B24="D",'Info Lega'!$B$25,IF($B24="C",'Info Lega'!$B$26,"No"))="Si",'Parametri Modello'!$B$5,0))*(1+MAX(-0.25,MIN(0.25,IF(OR($T24="",$I24="",$I24=0,INDEX('Parametri Modello'!$B$19:$B$22,MATCH($B24,'Parametri Modello'!$A$19:$A$22,0))="",INDEX('Parametri Modello'!$B$19:$B$22,MATCH($B24,'Parametri Modello'!$A$19:$A$22,0))=0),0,(($T24-INDEX('Parametri Modello'!$B$19:$B$22,MATCH($B24,'Parametri Modello'!$A$19:$A$22,0)))/INDEX('Parametri Modello'!$B$19:$B$22,MATCH($B24,'Parametri Modello'!$A$19:$A$22,0)))*'Parametri Modello'!$B$9))))*(1+IF('Parametri Modello'!$B$27="Si",MAX(-'Parametri Modello'!$B$28,MIN('Parametri Modello'!$B$28*1.5,IF(OR(INDEX('Parametri Modello'!$F$32:$F$35,MATCH($B24,'Parametri Modello'!$A$32:$A$35,0))="",INDEX('Parametri Modello'!$F$32:$F$35,MATCH($B24,'Parametri Modello'!$A$32:$A$35,0))=0),0,(1/INDEX('Parametri Modello'!$F$32:$F$35,MATCH($B24,'Parametri Modello'!$A$32:$A$35,0))-1)*'Parametri Modello'!$B$28))),0)))*(1-INDEX('Parametri Modello'!$B$12:$B$15,MATCH($B24,'Parametri Modello'!$A$12:$A$15,0)))),0),"")</f>
        <v>46</v>
      </c>
      <c r="H24" s="27" t="n">
        <f aca="false">IFERROR(ROUND((IF($V24&lt;=INDEX('Parametri Modello'!$C$57:$C$60,MATCH($B24,'Parametri Modello'!$A$57:$A$60,0)),IF(INDEX('Parametri Modello'!$E$57:$E$60,MATCH($B24,'Parametri Modello'!$A$57:$A$60,0))=0,0,($O24/INDEX('Parametri Modello'!$E$57:$E$60,MATCH($B24,'Parametri Modello'!$A$57:$A$60,0)))*(INDEX('Parametri Modello'!$D$57:$D$60,MATCH($B24,'Parametri Modello'!$A$57:$A$60,0))*(INDEX('Parametri Modello'!$B$50:$B$53,MATCH($B24,'Parametri Modello'!$A$50:$A$53,0))*'Parametri Modello'!$B$44))),IF(INDEX('Parametri Modello'!$F$57:$F$60,MATCH($B24,'Parametri Modello'!$A$57:$A$60,0))=0,0,($O24/INDEX('Parametri Modello'!$F$57:$F$60,MATCH($B24,'Parametri Modello'!$A$57:$A$60,0)))*((1-INDEX('Parametri Modello'!$D$57:$D$60,MATCH($B24,'Parametri Modello'!$A$57:$A$60,0)))*(INDEX('Parametri Modello'!$B$50:$B$53,MATCH($B24,'Parametri Modello'!$A$50:$A$53,0))*'Parametri Modello'!$B$44))))*(1+IF(IF($B24="D",'Info Lega'!$B$25,IF($B24="C",'Info Lega'!$B$26,"No"))="Si",'Parametri Modello'!$B$5,0))*(1+MAX(-0.25,MIN(0.25,IF(OR($T24="",$I24="",$I24=0,INDEX('Parametri Modello'!$B$19:$B$22,MATCH($B24,'Parametri Modello'!$A$19:$A$22,0))="",INDEX('Parametri Modello'!$B$19:$B$22,MATCH($B24,'Parametri Modello'!$A$19:$A$22,0))=0),0,(($T24-INDEX('Parametri Modello'!$B$19:$B$22,MATCH($B24,'Parametri Modello'!$A$19:$A$22,0)))/INDEX('Parametri Modello'!$B$19:$B$22,MATCH($B24,'Parametri Modello'!$A$19:$A$22,0)))*'Parametri Modello'!$B$9))))*(1+IF('Parametri Modello'!$B$27="Si",MAX(-'Parametri Modello'!$B$28,MIN('Parametri Modello'!$B$28*1.5,IF(OR(INDEX('Parametri Modello'!$F$32:$F$35,MATCH($B24,'Parametri Modello'!$A$32:$A$35,0))="",INDEX('Parametri Modello'!$F$32:$F$35,MATCH($B24,'Parametri Modello'!$A$32:$A$35,0))=0),0,(1/INDEX('Parametri Modello'!$F$32:$F$35,MATCH($B24,'Parametri Modello'!$A$32:$A$35,0))-1)*'Parametri Modello'!$B$28))),0)))*(1+INDEX('Parametri Modello'!$B$12:$B$15,MATCH($B24,'Parametri Modello'!$A$12:$A$15,0))),0),"")</f>
        <v>77</v>
      </c>
      <c r="I24" s="26" t="n">
        <f aca="false">IFERROR(INDEX('Input Statistiche 2025_26'!$F$3:$F$665,MATCH($A24,'Input Statistiche 2025_26'!$A$3:$A$665,0)),"")</f>
        <v>17</v>
      </c>
      <c r="J24" s="26" t="n">
        <f aca="false">IFERROR(IF($I24="","",MAX(0,38-$I24)),"")</f>
        <v>21</v>
      </c>
      <c r="K24" s="26" t="n">
        <f aca="false">IFERROR(INDEX('Input Statistiche 2025_26'!$I$3:$I$665,MATCH($A24,'Input Statistiche 2025_26'!$A$3:$A$665,0)),"")</f>
        <v>5</v>
      </c>
      <c r="L24" s="26" t="n">
        <f aca="false">IFERROR(INDEX('Input Statistiche 2025_26'!$O$3:$O$665,MATCH($A24,'Input Statistiche 2025_26'!$A$3:$A$665,0)),"")</f>
        <v>2</v>
      </c>
      <c r="M24" s="28"/>
      <c r="N24" s="27" t="n">
        <f aca="false">IFERROR(INDEX('Input Giocatori 2026_27'!$E$3:$E$493,MATCH($A24,'Input Giocatori 2026_27'!$A$3:$A$493,0)),"")</f>
        <v>15</v>
      </c>
      <c r="O24" s="27" t="n">
        <f aca="false">IFERROR(INDEX('Input Giocatori 2026_27'!$G$3:$G$493,MATCH($A24,'Input Giocatori 2026_27'!$A$3:$A$493,0)),"")</f>
        <v>100</v>
      </c>
      <c r="P24" s="26" t="str">
        <f aca="false">IFERROR(IF($O24="","",IF((1-(COUNTIFS($B$2:$B$492,$B24,$O$2:$O$492,"&gt;"&amp;$O24)+1-1)/COUNTIF($B$2:$B$492,$B24))&gt;=0.85,"Top",IF((1-(COUNTIFS($B$2:$B$492,$B24,$O$2:$O$492,"&gt;"&amp;$O24)+1-1)/COUNTIF($B$2:$B$492,$B24))&gt;=0.6,"Buono",IF((1-(COUNTIFS($B$2:$B$492,$B24,$O$2:$O$492,"&gt;"&amp;$O24)+1-1)/COUNTIF($B$2:$B$492,$B24))&gt;=0.3,"Nella Media","Scommessa/Riserva")))),"")</f>
        <v>Top</v>
      </c>
      <c r="Q24" s="29" t="n">
        <f aca="false">IF($D24="",COUNTIF($D$2:$D24,""),"")</f>
        <v>23</v>
      </c>
      <c r="R24" s="29" t="str">
        <f aca="false">IF($D24='Info Lega'!$B$28,COUNTIFS($D$2:$D24,'Info Lega'!$B$28),"")</f>
        <v/>
      </c>
      <c r="S24" s="30" t="n">
        <f aca="false">IFERROR(INDEX('Input Statistiche 2025_26'!$G$3:$G$665,MATCH($A24,'Input Statistiche 2025_26'!$A$3:$A$665,0)),"")</f>
        <v>6.26</v>
      </c>
      <c r="T24" s="30" t="n">
        <f aca="false">IFERROR(INDEX('Input Statistiche 2025_26'!$H$3:$H$665,MATCH($A24,'Input Statistiche 2025_26'!$A$3:$A$665,0)),"")</f>
        <v>7.24</v>
      </c>
      <c r="U24" s="26" t="str">
        <f aca="false">IF(OR('La Mia Rosa'!$O$12="",$D24&lt;&gt;""),"",IF($F24&lt;='La Mia Rosa'!$O$12*'Parametri Modello'!$B$24,"OK",IF($F24&lt;='La Mia Rosa'!$O$12*'Parametri Modello'!$B$25,"Attenzione","Rischio Alto")))</f>
        <v>Attenzione</v>
      </c>
      <c r="V24" s="26" t="n">
        <f aca="false">IFERROR(COUNTIFS($B$2:$B$492,$B24,$O$2:$O$492,"&gt;"&amp;$O24)+1,"")</f>
        <v>8</v>
      </c>
      <c r="W24" s="21" t="n">
        <f aca="false">'Info Lega'!$B$4-SUMIFS($M$2:$M$492,$D$2:$D$492,'Info Lega'!$B$28)</f>
        <v>1000</v>
      </c>
      <c r="X24" s="21" t="n">
        <f aca="false">('Info Lega'!$B$5-COUNTIFS($D$2:$D$492,'Info Lega'!$B$28,$B$2:$B$492,"P"))+('Info Lega'!$B$6-COUNTIFS($D$2:$D$492,'Info Lega'!$B$28,$B$2:$B$492,"D"))+('Info Lega'!$B$7-COUNTIFS($D$2:$D$492,'Info Lega'!$B$28,$B$2:$B$492,"C"))+('Info Lega'!$B$8-COUNTIFS($D$2:$D$492,'Info Lega'!$B$28,$B$2:$B$492,"A"))</f>
        <v>25</v>
      </c>
      <c r="Y24" s="21" t="n">
        <f aca="false">X24*'Parametri Modello'!$B$30</f>
        <v>25</v>
      </c>
      <c r="Z24" s="21" t="n">
        <f aca="false">MAX(0,W24-Y24)</f>
        <v>975</v>
      </c>
      <c r="AA24" s="21" t="n">
        <f aca="false">MIN(F24,Z24)</f>
        <v>68</v>
      </c>
      <c r="AB24" s="21"/>
      <c r="AC24" s="21" t="str">
        <f aca="false">IF(AB24="","",IF(AB24&gt;AA24,"PASS",IF(AB24&lt;=AA24*0.85,"BID","ATTENZIONE")))</f>
        <v/>
      </c>
      <c r="AD24" s="31" t="n">
        <f aca="false">IF(I24="","",ROUND(100*(1-EXP(-I24/30)),0))</f>
        <v>43</v>
      </c>
      <c r="AE24" s="7" t="str">
        <f aca="false">IFERROR(INDEX('Stato Asta'!$G$9:$G$12,MATCH($B24,'Stato Asta'!$A$9:$A$12,0)),"")</f>
        <v>🟡 Attesa rischiosa</v>
      </c>
    </row>
    <row r="25" customFormat="false" ht="14.25" hidden="false" customHeight="true" outlineLevel="0" collapsed="false">
      <c r="A25" s="21" t="n">
        <v>6435</v>
      </c>
      <c r="B25" s="21" t="s">
        <v>46</v>
      </c>
      <c r="C25" s="21" t="s">
        <v>549</v>
      </c>
      <c r="E25" s="26" t="str">
        <f aca="false">IF(COUNTIF('Info Strategia'!$D$2:$D$51,$C25)&gt;0,"SI","NO")</f>
        <v>NO</v>
      </c>
      <c r="F25" s="27" t="n">
        <f aca="false">IFERROR(ROUND(($G25+($H25-$G25)*'Info Strategia'!$B$6)*(1+IF($E25="SI",'Parametri Modello'!$B$7*'Info Strategia'!$B$6,0)),0),"")</f>
        <v>104</v>
      </c>
      <c r="G25" s="27" t="n">
        <f aca="false">IFERROR(ROUND(MAX(1,(IF($V25&lt;=INDEX('Parametri Modello'!$C$57:$C$60,MATCH($B25,'Parametri Modello'!$A$57:$A$60,0)),IF(INDEX('Parametri Modello'!$E$57:$E$60,MATCH($B25,'Parametri Modello'!$A$57:$A$60,0))=0,0,($O25/INDEX('Parametri Modello'!$E$57:$E$60,MATCH($B25,'Parametri Modello'!$A$57:$A$60,0)))*(INDEX('Parametri Modello'!$D$57:$D$60,MATCH($B25,'Parametri Modello'!$A$57:$A$60,0))*(INDEX('Parametri Modello'!$B$50:$B$53,MATCH($B25,'Parametri Modello'!$A$50:$A$53,0))*'Parametri Modello'!$B$44))),IF(INDEX('Parametri Modello'!$F$57:$F$60,MATCH($B25,'Parametri Modello'!$A$57:$A$60,0))=0,0,($O25/INDEX('Parametri Modello'!$F$57:$F$60,MATCH($B25,'Parametri Modello'!$A$57:$A$60,0)))*((1-INDEX('Parametri Modello'!$D$57:$D$60,MATCH($B25,'Parametri Modello'!$A$57:$A$60,0)))*(INDEX('Parametri Modello'!$B$50:$B$53,MATCH($B25,'Parametri Modello'!$A$50:$A$53,0))*'Parametri Modello'!$B$44))))*(1+IF(IF($B25="D",'Info Lega'!$B$25,IF($B25="C",'Info Lega'!$B$26,"No"))="Si",'Parametri Modello'!$B$5,0))*(1+MAX(-0.25,MIN(0.25,IF(OR($T25="",$I25="",$I25=0,INDEX('Parametri Modello'!$B$19:$B$22,MATCH($B25,'Parametri Modello'!$A$19:$A$22,0))="",INDEX('Parametri Modello'!$B$19:$B$22,MATCH($B25,'Parametri Modello'!$A$19:$A$22,0))=0),0,(($T25-INDEX('Parametri Modello'!$B$19:$B$22,MATCH($B25,'Parametri Modello'!$A$19:$A$22,0)))/INDEX('Parametri Modello'!$B$19:$B$22,MATCH($B25,'Parametri Modello'!$A$19:$A$22,0)))*'Parametri Modello'!$B$9))))*(1+IF('Parametri Modello'!$B$27="Si",MAX(-'Parametri Modello'!$B$28,MIN('Parametri Modello'!$B$28*1.5,IF(OR(INDEX('Parametri Modello'!$F$32:$F$35,MATCH($B25,'Parametri Modello'!$A$32:$A$35,0))="",INDEX('Parametri Modello'!$F$32:$F$35,MATCH($B25,'Parametri Modello'!$A$32:$A$35,0))=0),0,(1/INDEX('Parametri Modello'!$F$32:$F$35,MATCH($B25,'Parametri Modello'!$A$32:$A$35,0))-1)*'Parametri Modello'!$B$28))),0)))*(1-INDEX('Parametri Modello'!$B$12:$B$15,MATCH($B25,'Parametri Modello'!$A$12:$A$15,0)))),0),"")</f>
        <v>65</v>
      </c>
      <c r="H25" s="27" t="n">
        <f aca="false">IFERROR(ROUND((IF($V25&lt;=INDEX('Parametri Modello'!$C$57:$C$60,MATCH($B25,'Parametri Modello'!$A$57:$A$60,0)),IF(INDEX('Parametri Modello'!$E$57:$E$60,MATCH($B25,'Parametri Modello'!$A$57:$A$60,0))=0,0,($O25/INDEX('Parametri Modello'!$E$57:$E$60,MATCH($B25,'Parametri Modello'!$A$57:$A$60,0)))*(INDEX('Parametri Modello'!$D$57:$D$60,MATCH($B25,'Parametri Modello'!$A$57:$A$60,0))*(INDEX('Parametri Modello'!$B$50:$B$53,MATCH($B25,'Parametri Modello'!$A$50:$A$53,0))*'Parametri Modello'!$B$44))),IF(INDEX('Parametri Modello'!$F$57:$F$60,MATCH($B25,'Parametri Modello'!$A$57:$A$60,0))=0,0,($O25/INDEX('Parametri Modello'!$F$57:$F$60,MATCH($B25,'Parametri Modello'!$A$57:$A$60,0)))*((1-INDEX('Parametri Modello'!$D$57:$D$60,MATCH($B25,'Parametri Modello'!$A$57:$A$60,0)))*(INDEX('Parametri Modello'!$B$50:$B$53,MATCH($B25,'Parametri Modello'!$A$50:$A$53,0))*'Parametri Modello'!$B$44))))*(1+IF(IF($B25="D",'Info Lega'!$B$25,IF($B25="C",'Info Lega'!$B$26,"No"))="Si",'Parametri Modello'!$B$5,0))*(1+MAX(-0.25,MIN(0.25,IF(OR($T25="",$I25="",$I25=0,INDEX('Parametri Modello'!$B$19:$B$22,MATCH($B25,'Parametri Modello'!$A$19:$A$22,0))="",INDEX('Parametri Modello'!$B$19:$B$22,MATCH($B25,'Parametri Modello'!$A$19:$A$22,0))=0),0,(($T25-INDEX('Parametri Modello'!$B$19:$B$22,MATCH($B25,'Parametri Modello'!$A$19:$A$22,0)))/INDEX('Parametri Modello'!$B$19:$B$22,MATCH($B25,'Parametri Modello'!$A$19:$A$22,0)))*'Parametri Modello'!$B$9))))*(1+IF('Parametri Modello'!$B$27="Si",MAX(-'Parametri Modello'!$B$28,MIN('Parametri Modello'!$B$28*1.5,IF(OR(INDEX('Parametri Modello'!$F$32:$F$35,MATCH($B25,'Parametri Modello'!$A$32:$A$35,0))="",INDEX('Parametri Modello'!$F$32:$F$35,MATCH($B25,'Parametri Modello'!$A$32:$A$35,0))=0),0,(1/INDEX('Parametri Modello'!$F$32:$F$35,MATCH($B25,'Parametri Modello'!$A$32:$A$35,0))-1)*'Parametri Modello'!$B$28))),0)))*(1+INDEX('Parametri Modello'!$B$12:$B$15,MATCH($B25,'Parametri Modello'!$A$12:$A$15,0))),0),"")</f>
        <v>121</v>
      </c>
      <c r="I25" s="26" t="n">
        <f aca="false">IFERROR(INDEX('Input Statistiche 2025_26'!$F$3:$F$665,MATCH($A25,'Input Statistiche 2025_26'!$A$3:$A$665,0)),"")</f>
        <v>32</v>
      </c>
      <c r="J25" s="26" t="n">
        <f aca="false">IFERROR(IF($I25="","",MAX(0,38-$I25)),"")</f>
        <v>6</v>
      </c>
      <c r="K25" s="26" t="n">
        <f aca="false">IFERROR(INDEX('Input Statistiche 2025_26'!$I$3:$I$665,MATCH($A25,'Input Statistiche 2025_26'!$A$3:$A$665,0)),"")</f>
        <v>10</v>
      </c>
      <c r="L25" s="26" t="n">
        <f aca="false">IFERROR(INDEX('Input Statistiche 2025_26'!$O$3:$O$665,MATCH($A25,'Input Statistiche 2025_26'!$A$3:$A$665,0)),"")</f>
        <v>5</v>
      </c>
      <c r="M25" s="28"/>
      <c r="N25" s="27" t="n">
        <f aca="false">IFERROR(INDEX('Input Giocatori 2026_27'!$E$3:$E$493,MATCH($A25,'Input Giocatori 2026_27'!$A$3:$A$493,0)),"")</f>
        <v>18</v>
      </c>
      <c r="O25" s="27" t="n">
        <f aca="false">IFERROR(INDEX('Input Giocatori 2026_27'!$G$3:$G$493,MATCH($A25,'Input Giocatori 2026_27'!$A$3:$A$493,0)),"")</f>
        <v>100</v>
      </c>
      <c r="P25" s="26" t="str">
        <f aca="false">IFERROR(IF($O25="","",IF((1-(COUNTIFS($B$2:$B$492,$B25,$O$2:$O$492,"&gt;"&amp;$O25)+1-1)/COUNTIF($B$2:$B$492,$B25))&gt;=0.85,"Top",IF((1-(COUNTIFS($B$2:$B$492,$B25,$O$2:$O$492,"&gt;"&amp;$O25)+1-1)/COUNTIF($B$2:$B$492,$B25))&gt;=0.6,"Buono",IF((1-(COUNTIFS($B$2:$B$492,$B25,$O$2:$O$492,"&gt;"&amp;$O25)+1-1)/COUNTIF($B$2:$B$492,$B25))&gt;=0.3,"Nella Media","Scommessa/Riserva")))),"")</f>
        <v>Buono</v>
      </c>
      <c r="Q25" s="29" t="n">
        <f aca="false">IF($D25="",COUNTIF($D$2:$D25,""),"")</f>
        <v>24</v>
      </c>
      <c r="R25" s="29" t="str">
        <f aca="false">IF($D25='Info Lega'!$B$28,COUNTIFS($D$2:$D25,'Info Lega'!$B$28),"")</f>
        <v/>
      </c>
      <c r="S25" s="30" t="n">
        <f aca="false">IFERROR(INDEX('Input Statistiche 2025_26'!$G$3:$G$665,MATCH($A25,'Input Statistiche 2025_26'!$A$3:$A$665,0)),"")</f>
        <v>6.16</v>
      </c>
      <c r="T25" s="30" t="n">
        <f aca="false">IFERROR(INDEX('Input Statistiche 2025_26'!$H$3:$H$665,MATCH($A25,'Input Statistiche 2025_26'!$A$3:$A$665,0)),"")</f>
        <v>7.19</v>
      </c>
      <c r="U25" s="26" t="str">
        <f aca="false">IF(OR('La Mia Rosa'!$O$12="",$D25&lt;&gt;""),"",IF($F25&lt;='La Mia Rosa'!$O$12*'Parametri Modello'!$B$24,"OK",IF($F25&lt;='La Mia Rosa'!$O$12*'Parametri Modello'!$B$25,"Attenzione","Rischio Alto")))</f>
        <v>Attenzione</v>
      </c>
      <c r="V25" s="26" t="n">
        <f aca="false">IFERROR(COUNTIFS($B$2:$B$492,$B25,$O$2:$O$492,"&gt;"&amp;$O25)+1,"")</f>
        <v>15</v>
      </c>
      <c r="W25" s="21" t="n">
        <f aca="false">'Info Lega'!$B$4-SUMIFS($M$2:$M$492,$D$2:$D$492,'Info Lega'!$B$28)</f>
        <v>1000</v>
      </c>
      <c r="X25" s="21" t="n">
        <f aca="false">('Info Lega'!$B$5-COUNTIFS($D$2:$D$492,'Info Lega'!$B$28,$B$2:$B$492,"P"))+('Info Lega'!$B$6-COUNTIFS($D$2:$D$492,'Info Lega'!$B$28,$B$2:$B$492,"D"))+('Info Lega'!$B$7-COUNTIFS($D$2:$D$492,'Info Lega'!$B$28,$B$2:$B$492,"C"))+('Info Lega'!$B$8-COUNTIFS($D$2:$D$492,'Info Lega'!$B$28,$B$2:$B$492,"A"))</f>
        <v>25</v>
      </c>
      <c r="Y25" s="21" t="n">
        <f aca="false">X25*'Parametri Modello'!$B$30</f>
        <v>25</v>
      </c>
      <c r="Z25" s="21" t="n">
        <f aca="false">MAX(0,W25-Y25)</f>
        <v>975</v>
      </c>
      <c r="AA25" s="21" t="n">
        <f aca="false">MIN(F25,Z25)</f>
        <v>104</v>
      </c>
      <c r="AB25" s="21"/>
      <c r="AC25" s="21" t="str">
        <f aca="false">IF(AB25="","",IF(AB25&gt;AA25,"PASS",IF(AB25&lt;=AA25*0.85,"BID","ATTENZIONE")))</f>
        <v/>
      </c>
      <c r="AD25" s="31" t="n">
        <f aca="false">IF(I25="","",ROUND(100*(1-EXP(-I25/30)),0))</f>
        <v>66</v>
      </c>
      <c r="AE25" s="7" t="str">
        <f aca="false">IFERROR(INDEX('Stato Asta'!$G$9:$G$12,MATCH($B25,'Stato Asta'!$A$9:$A$12,0)),"")</f>
        <v>🔴 Non aspettare</v>
      </c>
    </row>
    <row r="26" customFormat="false" ht="14.25" hidden="false" customHeight="true" outlineLevel="0" collapsed="false">
      <c r="A26" s="21" t="n">
        <v>7071</v>
      </c>
      <c r="B26" s="21" t="s">
        <v>46</v>
      </c>
      <c r="C26" s="21" t="s">
        <v>554</v>
      </c>
      <c r="E26" s="26" t="str">
        <f aca="false">IF(COUNTIF('Info Strategia'!$D$2:$D$51,$C26)&gt;0,"SI","NO")</f>
        <v>NO</v>
      </c>
      <c r="F26" s="27" t="n">
        <f aca="false">IFERROR(ROUND(($G26+($H26-$G26)*'Info Strategia'!$B$6)*(1+IF($E26="SI",'Parametri Modello'!$B$7*'Info Strategia'!$B$6,0)),0),"")</f>
        <v>96</v>
      </c>
      <c r="G26" s="27" t="n">
        <f aca="false">IFERROR(ROUND(MAX(1,(IF($V26&lt;=INDEX('Parametri Modello'!$C$57:$C$60,MATCH($B26,'Parametri Modello'!$A$57:$A$60,0)),IF(INDEX('Parametri Modello'!$E$57:$E$60,MATCH($B26,'Parametri Modello'!$A$57:$A$60,0))=0,0,($O26/INDEX('Parametri Modello'!$E$57:$E$60,MATCH($B26,'Parametri Modello'!$A$57:$A$60,0)))*(INDEX('Parametri Modello'!$D$57:$D$60,MATCH($B26,'Parametri Modello'!$A$57:$A$60,0))*(INDEX('Parametri Modello'!$B$50:$B$53,MATCH($B26,'Parametri Modello'!$A$50:$A$53,0))*'Parametri Modello'!$B$44))),IF(INDEX('Parametri Modello'!$F$57:$F$60,MATCH($B26,'Parametri Modello'!$A$57:$A$60,0))=0,0,($O26/INDEX('Parametri Modello'!$F$57:$F$60,MATCH($B26,'Parametri Modello'!$A$57:$A$60,0)))*((1-INDEX('Parametri Modello'!$D$57:$D$60,MATCH($B26,'Parametri Modello'!$A$57:$A$60,0)))*(INDEX('Parametri Modello'!$B$50:$B$53,MATCH($B26,'Parametri Modello'!$A$50:$A$53,0))*'Parametri Modello'!$B$44))))*(1+IF(IF($B26="D",'Info Lega'!$B$25,IF($B26="C",'Info Lega'!$B$26,"No"))="Si",'Parametri Modello'!$B$5,0))*(1+MAX(-0.25,MIN(0.25,IF(OR($T26="",$I26="",$I26=0,INDEX('Parametri Modello'!$B$19:$B$22,MATCH($B26,'Parametri Modello'!$A$19:$A$22,0))="",INDEX('Parametri Modello'!$B$19:$B$22,MATCH($B26,'Parametri Modello'!$A$19:$A$22,0))=0),0,(($T26-INDEX('Parametri Modello'!$B$19:$B$22,MATCH($B26,'Parametri Modello'!$A$19:$A$22,0)))/INDEX('Parametri Modello'!$B$19:$B$22,MATCH($B26,'Parametri Modello'!$A$19:$A$22,0)))*'Parametri Modello'!$B$9))))*(1+IF('Parametri Modello'!$B$27="Si",MAX(-'Parametri Modello'!$B$28,MIN('Parametri Modello'!$B$28*1.5,IF(OR(INDEX('Parametri Modello'!$F$32:$F$35,MATCH($B26,'Parametri Modello'!$A$32:$A$35,0))="",INDEX('Parametri Modello'!$F$32:$F$35,MATCH($B26,'Parametri Modello'!$A$32:$A$35,0))=0),0,(1/INDEX('Parametri Modello'!$F$32:$F$35,MATCH($B26,'Parametri Modello'!$A$32:$A$35,0))-1)*'Parametri Modello'!$B$28))),0)))*(1-INDEX('Parametri Modello'!$B$12:$B$15,MATCH($B26,'Parametri Modello'!$A$12:$A$15,0)))),0),"")</f>
        <v>60</v>
      </c>
      <c r="H26" s="27" t="n">
        <f aca="false">IFERROR(ROUND((IF($V26&lt;=INDEX('Parametri Modello'!$C$57:$C$60,MATCH($B26,'Parametri Modello'!$A$57:$A$60,0)),IF(INDEX('Parametri Modello'!$E$57:$E$60,MATCH($B26,'Parametri Modello'!$A$57:$A$60,0))=0,0,($O26/INDEX('Parametri Modello'!$E$57:$E$60,MATCH($B26,'Parametri Modello'!$A$57:$A$60,0)))*(INDEX('Parametri Modello'!$D$57:$D$60,MATCH($B26,'Parametri Modello'!$A$57:$A$60,0))*(INDEX('Parametri Modello'!$B$50:$B$53,MATCH($B26,'Parametri Modello'!$A$50:$A$53,0))*'Parametri Modello'!$B$44))),IF(INDEX('Parametri Modello'!$F$57:$F$60,MATCH($B26,'Parametri Modello'!$A$57:$A$60,0))=0,0,($O26/INDEX('Parametri Modello'!$F$57:$F$60,MATCH($B26,'Parametri Modello'!$A$57:$A$60,0)))*((1-INDEX('Parametri Modello'!$D$57:$D$60,MATCH($B26,'Parametri Modello'!$A$57:$A$60,0)))*(INDEX('Parametri Modello'!$B$50:$B$53,MATCH($B26,'Parametri Modello'!$A$50:$A$53,0))*'Parametri Modello'!$B$44))))*(1+IF(IF($B26="D",'Info Lega'!$B$25,IF($B26="C",'Info Lega'!$B$26,"No"))="Si",'Parametri Modello'!$B$5,0))*(1+MAX(-0.25,MIN(0.25,IF(OR($T26="",$I26="",$I26=0,INDEX('Parametri Modello'!$B$19:$B$22,MATCH($B26,'Parametri Modello'!$A$19:$A$22,0))="",INDEX('Parametri Modello'!$B$19:$B$22,MATCH($B26,'Parametri Modello'!$A$19:$A$22,0))=0),0,(($T26-INDEX('Parametri Modello'!$B$19:$B$22,MATCH($B26,'Parametri Modello'!$A$19:$A$22,0)))/INDEX('Parametri Modello'!$B$19:$B$22,MATCH($B26,'Parametri Modello'!$A$19:$A$22,0)))*'Parametri Modello'!$B$9))))*(1+IF('Parametri Modello'!$B$27="Si",MAX(-'Parametri Modello'!$B$28,MIN('Parametri Modello'!$B$28*1.5,IF(OR(INDEX('Parametri Modello'!$F$32:$F$35,MATCH($B26,'Parametri Modello'!$A$32:$A$35,0))="",INDEX('Parametri Modello'!$F$32:$F$35,MATCH($B26,'Parametri Modello'!$A$32:$A$35,0))=0),0,(1/INDEX('Parametri Modello'!$F$32:$F$35,MATCH($B26,'Parametri Modello'!$A$32:$A$35,0))-1)*'Parametri Modello'!$B$28))),0)))*(1+INDEX('Parametri Modello'!$B$12:$B$15,MATCH($B26,'Parametri Modello'!$A$12:$A$15,0))),0),"")</f>
        <v>112</v>
      </c>
      <c r="I26" s="26" t="n">
        <f aca="false">IFERROR(INDEX('Input Statistiche 2025_26'!$F$3:$F$665,MATCH($A26,'Input Statistiche 2025_26'!$A$3:$A$665,0)),"")</f>
        <v>31</v>
      </c>
      <c r="J26" s="26" t="n">
        <f aca="false">IFERROR(IF($I26="","",MAX(0,38-$I26)),"")</f>
        <v>7</v>
      </c>
      <c r="K26" s="26" t="n">
        <f aca="false">IFERROR(INDEX('Input Statistiche 2025_26'!$I$3:$I$665,MATCH($A26,'Input Statistiche 2025_26'!$A$3:$A$665,0)),"")</f>
        <v>7</v>
      </c>
      <c r="L26" s="26" t="n">
        <f aca="false">IFERROR(INDEX('Input Statistiche 2025_26'!$O$3:$O$665,MATCH($A26,'Input Statistiche 2025_26'!$A$3:$A$665,0)),"")</f>
        <v>3</v>
      </c>
      <c r="M26" s="28"/>
      <c r="N26" s="27" t="n">
        <f aca="false">IFERROR(INDEX('Input Giocatori 2026_27'!$E$3:$E$493,MATCH($A26,'Input Giocatori 2026_27'!$A$3:$A$493,0)),"")</f>
        <v>16</v>
      </c>
      <c r="O26" s="27" t="n">
        <f aca="false">IFERROR(INDEX('Input Giocatori 2026_27'!$G$3:$G$493,MATCH($A26,'Input Giocatori 2026_27'!$A$3:$A$493,0)),"")</f>
        <v>93</v>
      </c>
      <c r="P26" s="26" t="str">
        <f aca="false">IFERROR(IF($O26="","",IF((1-(COUNTIFS($B$2:$B$492,$B26,$O$2:$O$492,"&gt;"&amp;$O26)+1-1)/COUNTIF($B$2:$B$492,$B26))&gt;=0.85,"Top",IF((1-(COUNTIFS($B$2:$B$492,$B26,$O$2:$O$492,"&gt;"&amp;$O26)+1-1)/COUNTIF($B$2:$B$492,$B26))&gt;=0.6,"Buono",IF((1-(COUNTIFS($B$2:$B$492,$B26,$O$2:$O$492,"&gt;"&amp;$O26)+1-1)/COUNTIF($B$2:$B$492,$B26))&gt;=0.3,"Nella Media","Scommessa/Riserva")))),"")</f>
        <v>Buono</v>
      </c>
      <c r="Q26" s="29" t="n">
        <f aca="false">IF($D26="",COUNTIF($D$2:$D26,""),"")</f>
        <v>25</v>
      </c>
      <c r="R26" s="29" t="str">
        <f aca="false">IF($D26='Info Lega'!$B$28,COUNTIFS($D$2:$D26,'Info Lega'!$B$28),"")</f>
        <v/>
      </c>
      <c r="S26" s="30" t="n">
        <f aca="false">IFERROR(INDEX('Input Statistiche 2025_26'!$G$3:$G$665,MATCH($A26,'Input Statistiche 2025_26'!$A$3:$A$665,0)),"")</f>
        <v>6.26</v>
      </c>
      <c r="T26" s="30" t="n">
        <f aca="false">IFERROR(INDEX('Input Statistiche 2025_26'!$H$3:$H$665,MATCH($A26,'Input Statistiche 2025_26'!$A$3:$A$665,0)),"")</f>
        <v>7.02</v>
      </c>
      <c r="U26" s="26" t="str">
        <f aca="false">IF(OR('La Mia Rosa'!$O$12="",$D26&lt;&gt;""),"",IF($F26&lt;='La Mia Rosa'!$O$12*'Parametri Modello'!$B$24,"OK",IF($F26&lt;='La Mia Rosa'!$O$12*'Parametri Modello'!$B$25,"Attenzione","Rischio Alto")))</f>
        <v>Attenzione</v>
      </c>
      <c r="V26" s="26" t="n">
        <f aca="false">IFERROR(COUNTIFS($B$2:$B$492,$B26,$O$2:$O$492,"&gt;"&amp;$O26)+1,"")</f>
        <v>16</v>
      </c>
      <c r="W26" s="21" t="n">
        <f aca="false">'Info Lega'!$B$4-SUMIFS($M$2:$M$492,$D$2:$D$492,'Info Lega'!$B$28)</f>
        <v>1000</v>
      </c>
      <c r="X26" s="21" t="n">
        <f aca="false">('Info Lega'!$B$5-COUNTIFS($D$2:$D$492,'Info Lega'!$B$28,$B$2:$B$492,"P"))+('Info Lega'!$B$6-COUNTIFS($D$2:$D$492,'Info Lega'!$B$28,$B$2:$B$492,"D"))+('Info Lega'!$B$7-COUNTIFS($D$2:$D$492,'Info Lega'!$B$28,$B$2:$B$492,"C"))+('Info Lega'!$B$8-COUNTIFS($D$2:$D$492,'Info Lega'!$B$28,$B$2:$B$492,"A"))</f>
        <v>25</v>
      </c>
      <c r="Y26" s="21" t="n">
        <f aca="false">X26*'Parametri Modello'!$B$30</f>
        <v>25</v>
      </c>
      <c r="Z26" s="21" t="n">
        <f aca="false">MAX(0,W26-Y26)</f>
        <v>975</v>
      </c>
      <c r="AA26" s="21" t="n">
        <f aca="false">MIN(F26,Z26)</f>
        <v>96</v>
      </c>
      <c r="AB26" s="21"/>
      <c r="AC26" s="21" t="str">
        <f aca="false">IF(AB26="","",IF(AB26&gt;AA26,"PASS",IF(AB26&lt;=AA26*0.85,"BID","ATTENZIONE")))</f>
        <v/>
      </c>
      <c r="AD26" s="31" t="n">
        <f aca="false">IF(I26="","",ROUND(100*(1-EXP(-I26/30)),0))</f>
        <v>64</v>
      </c>
      <c r="AE26" s="7" t="str">
        <f aca="false">IFERROR(INDEX('Stato Asta'!$G$9:$G$12,MATCH($B26,'Stato Asta'!$A$9:$A$12,0)),"")</f>
        <v>🔴 Non aspettare</v>
      </c>
    </row>
    <row r="27" customFormat="false" ht="14.25" hidden="false" customHeight="true" outlineLevel="0" collapsed="false">
      <c r="A27" s="21" t="n">
        <v>632</v>
      </c>
      <c r="B27" s="21" t="s">
        <v>45</v>
      </c>
      <c r="C27" s="21" t="s">
        <v>378</v>
      </c>
      <c r="E27" s="26" t="str">
        <f aca="false">IF(COUNTIF('Info Strategia'!$D$2:$D$51,$C27)&gt;0,"SI","NO")</f>
        <v>NO</v>
      </c>
      <c r="F27" s="27" t="n">
        <f aca="false">IFERROR(ROUND(($G27+($H27-$G27)*'Info Strategia'!$B$6)*(1+IF($E27="SI",'Parametri Modello'!$B$7*'Info Strategia'!$B$6,0)),0),"")</f>
        <v>60</v>
      </c>
      <c r="G27" s="27" t="n">
        <f aca="false">IFERROR(ROUND(MAX(1,(IF($V27&lt;=INDEX('Parametri Modello'!$C$57:$C$60,MATCH($B27,'Parametri Modello'!$A$57:$A$60,0)),IF(INDEX('Parametri Modello'!$E$57:$E$60,MATCH($B27,'Parametri Modello'!$A$57:$A$60,0))=0,0,($O27/INDEX('Parametri Modello'!$E$57:$E$60,MATCH($B27,'Parametri Modello'!$A$57:$A$60,0)))*(INDEX('Parametri Modello'!$D$57:$D$60,MATCH($B27,'Parametri Modello'!$A$57:$A$60,0))*(INDEX('Parametri Modello'!$B$50:$B$53,MATCH($B27,'Parametri Modello'!$A$50:$A$53,0))*'Parametri Modello'!$B$44))),IF(INDEX('Parametri Modello'!$F$57:$F$60,MATCH($B27,'Parametri Modello'!$A$57:$A$60,0))=0,0,($O27/INDEX('Parametri Modello'!$F$57:$F$60,MATCH($B27,'Parametri Modello'!$A$57:$A$60,0)))*((1-INDEX('Parametri Modello'!$D$57:$D$60,MATCH($B27,'Parametri Modello'!$A$57:$A$60,0)))*(INDEX('Parametri Modello'!$B$50:$B$53,MATCH($B27,'Parametri Modello'!$A$50:$A$53,0))*'Parametri Modello'!$B$44))))*(1+IF(IF($B27="D",'Info Lega'!$B$25,IF($B27="C",'Info Lega'!$B$26,"No"))="Si",'Parametri Modello'!$B$5,0))*(1+MAX(-0.25,MIN(0.25,IF(OR($T27="",$I27="",$I27=0,INDEX('Parametri Modello'!$B$19:$B$22,MATCH($B27,'Parametri Modello'!$A$19:$A$22,0))="",INDEX('Parametri Modello'!$B$19:$B$22,MATCH($B27,'Parametri Modello'!$A$19:$A$22,0))=0),0,(($T27-INDEX('Parametri Modello'!$B$19:$B$22,MATCH($B27,'Parametri Modello'!$A$19:$A$22,0)))/INDEX('Parametri Modello'!$B$19:$B$22,MATCH($B27,'Parametri Modello'!$A$19:$A$22,0)))*'Parametri Modello'!$B$9))))*(1+IF('Parametri Modello'!$B$27="Si",MAX(-'Parametri Modello'!$B$28,MIN('Parametri Modello'!$B$28*1.5,IF(OR(INDEX('Parametri Modello'!$F$32:$F$35,MATCH($B27,'Parametri Modello'!$A$32:$A$35,0))="",INDEX('Parametri Modello'!$F$32:$F$35,MATCH($B27,'Parametri Modello'!$A$32:$A$35,0))=0),0,(1/INDEX('Parametri Modello'!$F$32:$F$35,MATCH($B27,'Parametri Modello'!$A$32:$A$35,0))-1)*'Parametri Modello'!$B$28))),0)))*(1-INDEX('Parametri Modello'!$B$12:$B$15,MATCH($B27,'Parametri Modello'!$A$12:$A$15,0)))),0),"")</f>
        <v>41</v>
      </c>
      <c r="H27" s="27" t="n">
        <f aca="false">IFERROR(ROUND((IF($V27&lt;=INDEX('Parametri Modello'!$C$57:$C$60,MATCH($B27,'Parametri Modello'!$A$57:$A$60,0)),IF(INDEX('Parametri Modello'!$E$57:$E$60,MATCH($B27,'Parametri Modello'!$A$57:$A$60,0))=0,0,($O27/INDEX('Parametri Modello'!$E$57:$E$60,MATCH($B27,'Parametri Modello'!$A$57:$A$60,0)))*(INDEX('Parametri Modello'!$D$57:$D$60,MATCH($B27,'Parametri Modello'!$A$57:$A$60,0))*(INDEX('Parametri Modello'!$B$50:$B$53,MATCH($B27,'Parametri Modello'!$A$50:$A$53,0))*'Parametri Modello'!$B$44))),IF(INDEX('Parametri Modello'!$F$57:$F$60,MATCH($B27,'Parametri Modello'!$A$57:$A$60,0))=0,0,($O27/INDEX('Parametri Modello'!$F$57:$F$60,MATCH($B27,'Parametri Modello'!$A$57:$A$60,0)))*((1-INDEX('Parametri Modello'!$D$57:$D$60,MATCH($B27,'Parametri Modello'!$A$57:$A$60,0)))*(INDEX('Parametri Modello'!$B$50:$B$53,MATCH($B27,'Parametri Modello'!$A$50:$A$53,0))*'Parametri Modello'!$B$44))))*(1+IF(IF($B27="D",'Info Lega'!$B$25,IF($B27="C",'Info Lega'!$B$26,"No"))="Si",'Parametri Modello'!$B$5,0))*(1+MAX(-0.25,MIN(0.25,IF(OR($T27="",$I27="",$I27=0,INDEX('Parametri Modello'!$B$19:$B$22,MATCH($B27,'Parametri Modello'!$A$19:$A$22,0))="",INDEX('Parametri Modello'!$B$19:$B$22,MATCH($B27,'Parametri Modello'!$A$19:$A$22,0))=0),0,(($T27-INDEX('Parametri Modello'!$B$19:$B$22,MATCH($B27,'Parametri Modello'!$A$19:$A$22,0)))/INDEX('Parametri Modello'!$B$19:$B$22,MATCH($B27,'Parametri Modello'!$A$19:$A$22,0)))*'Parametri Modello'!$B$9))))*(1+IF('Parametri Modello'!$B$27="Si",MAX(-'Parametri Modello'!$B$28,MIN('Parametri Modello'!$B$28*1.5,IF(OR(INDEX('Parametri Modello'!$F$32:$F$35,MATCH($B27,'Parametri Modello'!$A$32:$A$35,0))="",INDEX('Parametri Modello'!$F$32:$F$35,MATCH($B27,'Parametri Modello'!$A$32:$A$35,0))=0),0,(1/INDEX('Parametri Modello'!$F$32:$F$35,MATCH($B27,'Parametri Modello'!$A$32:$A$35,0))-1)*'Parametri Modello'!$B$28))),0)))*(1+INDEX('Parametri Modello'!$B$12:$B$15,MATCH($B27,'Parametri Modello'!$A$12:$A$15,0))),0),"")</f>
        <v>68</v>
      </c>
      <c r="I27" s="26" t="n">
        <f aca="false">IFERROR(INDEX('Input Statistiche 2025_26'!$F$3:$F$665,MATCH($A27,'Input Statistiche 2025_26'!$A$3:$A$665,0)),"")</f>
        <v>26</v>
      </c>
      <c r="J27" s="26" t="n">
        <f aca="false">IFERROR(IF($I27="","",MAX(0,38-$I27)),"")</f>
        <v>12</v>
      </c>
      <c r="K27" s="26" t="n">
        <f aca="false">IFERROR(INDEX('Input Statistiche 2025_26'!$I$3:$I$665,MATCH($A27,'Input Statistiche 2025_26'!$A$3:$A$665,0)),"")</f>
        <v>3</v>
      </c>
      <c r="L27" s="26" t="n">
        <f aca="false">IFERROR(INDEX('Input Statistiche 2025_26'!$O$3:$O$665,MATCH($A27,'Input Statistiche 2025_26'!$A$3:$A$665,0)),"")</f>
        <v>0</v>
      </c>
      <c r="M27" s="28"/>
      <c r="N27" s="27" t="n">
        <f aca="false">IFERROR(INDEX('Input Giocatori 2026_27'!$E$3:$E$493,MATCH($A27,'Input Giocatori 2026_27'!$A$3:$A$493,0)),"")</f>
        <v>16</v>
      </c>
      <c r="O27" s="27" t="n">
        <f aca="false">IFERROR(INDEX('Input Giocatori 2026_27'!$G$3:$G$493,MATCH($A27,'Input Giocatori 2026_27'!$A$3:$A$493,0)),"")</f>
        <v>91</v>
      </c>
      <c r="P27" s="26" t="str">
        <f aca="false">IFERROR(IF($O27="","",IF((1-(COUNTIFS($B$2:$B$492,$B27,$O$2:$O$492,"&gt;"&amp;$O27)+1-1)/COUNTIF($B$2:$B$492,$B27))&gt;=0.85,"Top",IF((1-(COUNTIFS($B$2:$B$492,$B27,$O$2:$O$492,"&gt;"&amp;$O27)+1-1)/COUNTIF($B$2:$B$492,$B27))&gt;=0.6,"Buono",IF((1-(COUNTIFS($B$2:$B$492,$B27,$O$2:$O$492,"&gt;"&amp;$O27)+1-1)/COUNTIF($B$2:$B$492,$B27))&gt;=0.3,"Nella Media","Scommessa/Riserva")))),"")</f>
        <v>Top</v>
      </c>
      <c r="Q27" s="29" t="n">
        <f aca="false">IF($D27="",COUNTIF($D$2:$D27,""),"")</f>
        <v>26</v>
      </c>
      <c r="R27" s="29" t="str">
        <f aca="false">IF($D27='Info Lega'!$B$28,COUNTIFS($D$2:$D27,'Info Lega'!$B$28),"")</f>
        <v/>
      </c>
      <c r="S27" s="30" t="n">
        <f aca="false">IFERROR(INDEX('Input Statistiche 2025_26'!$G$3:$G$665,MATCH($A27,'Input Statistiche 2025_26'!$A$3:$A$665,0)),"")</f>
        <v>5.88</v>
      </c>
      <c r="T27" s="30" t="n">
        <f aca="false">IFERROR(INDEX('Input Statistiche 2025_26'!$H$3:$H$665,MATCH($A27,'Input Statistiche 2025_26'!$A$3:$A$665,0)),"")</f>
        <v>5.96</v>
      </c>
      <c r="U27" s="26" t="str">
        <f aca="false">IF(OR('La Mia Rosa'!$O$12="",$D27&lt;&gt;""),"",IF($F27&lt;='La Mia Rosa'!$O$12*'Parametri Modello'!$B$24,"OK",IF($F27&lt;='La Mia Rosa'!$O$12*'Parametri Modello'!$B$25,"Attenzione","Rischio Alto")))</f>
        <v>OK</v>
      </c>
      <c r="V27" s="26" t="n">
        <f aca="false">IFERROR(COUNTIFS($B$2:$B$492,$B27,$O$2:$O$492,"&gt;"&amp;$O27)+1,"")</f>
        <v>9</v>
      </c>
      <c r="W27" s="21" t="n">
        <f aca="false">'Info Lega'!$B$4-SUMIFS($M$2:$M$492,$D$2:$D$492,'Info Lega'!$B$28)</f>
        <v>1000</v>
      </c>
      <c r="X27" s="21" t="n">
        <f aca="false">('Info Lega'!$B$5-COUNTIFS($D$2:$D$492,'Info Lega'!$B$28,$B$2:$B$492,"P"))+('Info Lega'!$B$6-COUNTIFS($D$2:$D$492,'Info Lega'!$B$28,$B$2:$B$492,"D"))+('Info Lega'!$B$7-COUNTIFS($D$2:$D$492,'Info Lega'!$B$28,$B$2:$B$492,"C"))+('Info Lega'!$B$8-COUNTIFS($D$2:$D$492,'Info Lega'!$B$28,$B$2:$B$492,"A"))</f>
        <v>25</v>
      </c>
      <c r="Y27" s="21" t="n">
        <f aca="false">X27*'Parametri Modello'!$B$30</f>
        <v>25</v>
      </c>
      <c r="Z27" s="21" t="n">
        <f aca="false">MAX(0,W27-Y27)</f>
        <v>975</v>
      </c>
      <c r="AA27" s="21" t="n">
        <f aca="false">MIN(F27,Z27)</f>
        <v>60</v>
      </c>
      <c r="AB27" s="21"/>
      <c r="AC27" s="21" t="str">
        <f aca="false">IF(AB27="","",IF(AB27&gt;AA27,"PASS",IF(AB27&lt;=AA27*0.85,"BID","ATTENZIONE")))</f>
        <v/>
      </c>
      <c r="AD27" s="31" t="n">
        <f aca="false">IF(I27="","",ROUND(100*(1-EXP(-I27/30)),0))</f>
        <v>58</v>
      </c>
      <c r="AE27" s="7" t="str">
        <f aca="false">IFERROR(INDEX('Stato Asta'!$G$9:$G$12,MATCH($B27,'Stato Asta'!$A$9:$A$12,0)),"")</f>
        <v>🟡 Attesa rischiosa</v>
      </c>
    </row>
    <row r="28" customFormat="false" ht="14.25" hidden="false" customHeight="true" outlineLevel="0" collapsed="false">
      <c r="A28" s="21" t="n">
        <v>7181</v>
      </c>
      <c r="B28" s="21" t="s">
        <v>44</v>
      </c>
      <c r="C28" s="21" t="s">
        <v>192</v>
      </c>
      <c r="E28" s="26" t="str">
        <f aca="false">IF(COUNTIF('Info Strategia'!$D$2:$D$51,$C28)&gt;0,"SI","NO")</f>
        <v>NO</v>
      </c>
      <c r="F28" s="27" t="n">
        <f aca="false">IFERROR(ROUND(($G28+($H28-$G28)*'Info Strategia'!$B$6)*(1+IF($E28="SI",'Parametri Modello'!$B$7*'Info Strategia'!$B$6,0)),0),"")</f>
        <v>62</v>
      </c>
      <c r="G28" s="27" t="n">
        <f aca="false">IFERROR(ROUND(MAX(1,(IF($V28&lt;=INDEX('Parametri Modello'!$C$57:$C$60,MATCH($B28,'Parametri Modello'!$A$57:$A$60,0)),IF(INDEX('Parametri Modello'!$E$57:$E$60,MATCH($B28,'Parametri Modello'!$A$57:$A$60,0))=0,0,($O28/INDEX('Parametri Modello'!$E$57:$E$60,MATCH($B28,'Parametri Modello'!$A$57:$A$60,0)))*(INDEX('Parametri Modello'!$D$57:$D$60,MATCH($B28,'Parametri Modello'!$A$57:$A$60,0))*(INDEX('Parametri Modello'!$B$50:$B$53,MATCH($B28,'Parametri Modello'!$A$50:$A$53,0))*'Parametri Modello'!$B$44))),IF(INDEX('Parametri Modello'!$F$57:$F$60,MATCH($B28,'Parametri Modello'!$A$57:$A$60,0))=0,0,($O28/INDEX('Parametri Modello'!$F$57:$F$60,MATCH($B28,'Parametri Modello'!$A$57:$A$60,0)))*((1-INDEX('Parametri Modello'!$D$57:$D$60,MATCH($B28,'Parametri Modello'!$A$57:$A$60,0)))*(INDEX('Parametri Modello'!$B$50:$B$53,MATCH($B28,'Parametri Modello'!$A$50:$A$53,0))*'Parametri Modello'!$B$44))))*(1+IF(IF($B28="D",'Info Lega'!$B$25,IF($B28="C",'Info Lega'!$B$26,"No"))="Si",'Parametri Modello'!$B$5,0))*(1+MAX(-0.25,MIN(0.25,IF(OR($T28="",$I28="",$I28=0,INDEX('Parametri Modello'!$B$19:$B$22,MATCH($B28,'Parametri Modello'!$A$19:$A$22,0))="",INDEX('Parametri Modello'!$B$19:$B$22,MATCH($B28,'Parametri Modello'!$A$19:$A$22,0))=0),0,(($T28-INDEX('Parametri Modello'!$B$19:$B$22,MATCH($B28,'Parametri Modello'!$A$19:$A$22,0)))/INDEX('Parametri Modello'!$B$19:$B$22,MATCH($B28,'Parametri Modello'!$A$19:$A$22,0)))*'Parametri Modello'!$B$9))))*(1+IF('Parametri Modello'!$B$27="Si",MAX(-'Parametri Modello'!$B$28,MIN('Parametri Modello'!$B$28*1.5,IF(OR(INDEX('Parametri Modello'!$F$32:$F$35,MATCH($B28,'Parametri Modello'!$A$32:$A$35,0))="",INDEX('Parametri Modello'!$F$32:$F$35,MATCH($B28,'Parametri Modello'!$A$32:$A$35,0))=0),0,(1/INDEX('Parametri Modello'!$F$32:$F$35,MATCH($B28,'Parametri Modello'!$A$32:$A$35,0))-1)*'Parametri Modello'!$B$28))),0)))*(1-INDEX('Parametri Modello'!$B$12:$B$15,MATCH($B28,'Parametri Modello'!$A$12:$A$15,0)))),0),"")</f>
        <v>46</v>
      </c>
      <c r="H28" s="27" t="n">
        <f aca="false">IFERROR(ROUND((IF($V28&lt;=INDEX('Parametri Modello'!$C$57:$C$60,MATCH($B28,'Parametri Modello'!$A$57:$A$60,0)),IF(INDEX('Parametri Modello'!$E$57:$E$60,MATCH($B28,'Parametri Modello'!$A$57:$A$60,0))=0,0,($O28/INDEX('Parametri Modello'!$E$57:$E$60,MATCH($B28,'Parametri Modello'!$A$57:$A$60,0)))*(INDEX('Parametri Modello'!$D$57:$D$60,MATCH($B28,'Parametri Modello'!$A$57:$A$60,0))*(INDEX('Parametri Modello'!$B$50:$B$53,MATCH($B28,'Parametri Modello'!$A$50:$A$53,0))*'Parametri Modello'!$B$44))),IF(INDEX('Parametri Modello'!$F$57:$F$60,MATCH($B28,'Parametri Modello'!$A$57:$A$60,0))=0,0,($O28/INDEX('Parametri Modello'!$F$57:$F$60,MATCH($B28,'Parametri Modello'!$A$57:$A$60,0)))*((1-INDEX('Parametri Modello'!$D$57:$D$60,MATCH($B28,'Parametri Modello'!$A$57:$A$60,0)))*(INDEX('Parametri Modello'!$B$50:$B$53,MATCH($B28,'Parametri Modello'!$A$50:$A$53,0))*'Parametri Modello'!$B$44))))*(1+IF(IF($B28="D",'Info Lega'!$B$25,IF($B28="C",'Info Lega'!$B$26,"No"))="Si",'Parametri Modello'!$B$5,0))*(1+MAX(-0.25,MIN(0.25,IF(OR($T28="",$I28="",$I28=0,INDEX('Parametri Modello'!$B$19:$B$22,MATCH($B28,'Parametri Modello'!$A$19:$A$22,0))="",INDEX('Parametri Modello'!$B$19:$B$22,MATCH($B28,'Parametri Modello'!$A$19:$A$22,0))=0),0,(($T28-INDEX('Parametri Modello'!$B$19:$B$22,MATCH($B28,'Parametri Modello'!$A$19:$A$22,0)))/INDEX('Parametri Modello'!$B$19:$B$22,MATCH($B28,'Parametri Modello'!$A$19:$A$22,0)))*'Parametri Modello'!$B$9))))*(1+IF('Parametri Modello'!$B$27="Si",MAX(-'Parametri Modello'!$B$28,MIN('Parametri Modello'!$B$28*1.5,IF(OR(INDEX('Parametri Modello'!$F$32:$F$35,MATCH($B28,'Parametri Modello'!$A$32:$A$35,0))="",INDEX('Parametri Modello'!$F$32:$F$35,MATCH($B28,'Parametri Modello'!$A$32:$A$35,0))=0),0,(1/INDEX('Parametri Modello'!$F$32:$F$35,MATCH($B28,'Parametri Modello'!$A$32:$A$35,0))-1)*'Parametri Modello'!$B$28))),0)))*(1+INDEX('Parametri Modello'!$B$12:$B$15,MATCH($B28,'Parametri Modello'!$A$12:$A$15,0))),0),"")</f>
        <v>69</v>
      </c>
      <c r="I28" s="26" t="n">
        <f aca="false">IFERROR(INDEX('Input Statistiche 2025_26'!$F$3:$F$665,MATCH($A28,'Input Statistiche 2025_26'!$A$3:$A$665,0)),"")</f>
        <v>30</v>
      </c>
      <c r="J28" s="26" t="n">
        <f aca="false">IFERROR(IF($I28="","",MAX(0,38-$I28)),"")</f>
        <v>8</v>
      </c>
      <c r="K28" s="26" t="n">
        <f aca="false">IFERROR(INDEX('Input Statistiche 2025_26'!$I$3:$I$665,MATCH($A28,'Input Statistiche 2025_26'!$A$3:$A$665,0)),"")</f>
        <v>5</v>
      </c>
      <c r="L28" s="26" t="n">
        <f aca="false">IFERROR(INDEX('Input Statistiche 2025_26'!$O$3:$O$665,MATCH($A28,'Input Statistiche 2025_26'!$A$3:$A$665,0)),"")</f>
        <v>0</v>
      </c>
      <c r="M28" s="28"/>
      <c r="N28" s="27" t="n">
        <f aca="false">IFERROR(INDEX('Input Giocatori 2026_27'!$E$3:$E$493,MATCH($A28,'Input Giocatori 2026_27'!$A$3:$A$493,0)),"")</f>
        <v>17</v>
      </c>
      <c r="O28" s="27" t="n">
        <f aca="false">IFERROR(INDEX('Input Giocatori 2026_27'!$G$3:$G$493,MATCH($A28,'Input Giocatori 2026_27'!$A$3:$A$493,0)),"")</f>
        <v>90</v>
      </c>
      <c r="P28" s="26" t="str">
        <f aca="false">IFERROR(IF($O28="","",IF((1-(COUNTIFS($B$2:$B$492,$B28,$O$2:$O$492,"&gt;"&amp;$O28)+1-1)/COUNTIF($B$2:$B$492,$B28))&gt;=0.85,"Top",IF((1-(COUNTIFS($B$2:$B$492,$B28,$O$2:$O$492,"&gt;"&amp;$O28)+1-1)/COUNTIF($B$2:$B$492,$B28))&gt;=0.6,"Buono",IF((1-(COUNTIFS($B$2:$B$492,$B28,$O$2:$O$492,"&gt;"&amp;$O28)+1-1)/COUNTIF($B$2:$B$492,$B28))&gt;=0.3,"Nella Media","Scommessa/Riserva")))),"")</f>
        <v>Top</v>
      </c>
      <c r="Q28" s="29" t="n">
        <f aca="false">IF($D28="",COUNTIF($D$2:$D28,""),"")</f>
        <v>27</v>
      </c>
      <c r="R28" s="29" t="str">
        <f aca="false">IF($D28='Info Lega'!$B$28,COUNTIFS($D$2:$D28,'Info Lega'!$B$28),"")</f>
        <v/>
      </c>
      <c r="S28" s="30" t="n">
        <f aca="false">IFERROR(INDEX('Input Statistiche 2025_26'!$G$3:$G$665,MATCH($A28,'Input Statistiche 2025_26'!$A$3:$A$665,0)),"")</f>
        <v>6.12</v>
      </c>
      <c r="T28" s="30" t="n">
        <f aca="false">IFERROR(INDEX('Input Statistiche 2025_26'!$H$3:$H$665,MATCH($A28,'Input Statistiche 2025_26'!$A$3:$A$665,0)),"")</f>
        <v>6.47</v>
      </c>
      <c r="U28" s="26" t="str">
        <f aca="false">IF(OR('La Mia Rosa'!$O$12="",$D28&lt;&gt;""),"",IF($F28&lt;='La Mia Rosa'!$O$12*'Parametri Modello'!$B$24,"OK",IF($F28&lt;='La Mia Rosa'!$O$12*'Parametri Modello'!$B$25,"Attenzione","Rischio Alto")))</f>
        <v>Attenzione</v>
      </c>
      <c r="V28" s="26" t="n">
        <f aca="false">IFERROR(COUNTIFS($B$2:$B$492,$B28,$O$2:$O$492,"&gt;"&amp;$O28)+1,"")</f>
        <v>2</v>
      </c>
      <c r="W28" s="21" t="n">
        <f aca="false">'Info Lega'!$B$4-SUMIFS($M$2:$M$492,$D$2:$D$492,'Info Lega'!$B$28)</f>
        <v>1000</v>
      </c>
      <c r="X28" s="21" t="n">
        <f aca="false">('Info Lega'!$B$5-COUNTIFS($D$2:$D$492,'Info Lega'!$B$28,$B$2:$B$492,"P"))+('Info Lega'!$B$6-COUNTIFS($D$2:$D$492,'Info Lega'!$B$28,$B$2:$B$492,"D"))+('Info Lega'!$B$7-COUNTIFS($D$2:$D$492,'Info Lega'!$B$28,$B$2:$B$492,"C"))+('Info Lega'!$B$8-COUNTIFS($D$2:$D$492,'Info Lega'!$B$28,$B$2:$B$492,"A"))</f>
        <v>25</v>
      </c>
      <c r="Y28" s="21" t="n">
        <f aca="false">X28*'Parametri Modello'!$B$30</f>
        <v>25</v>
      </c>
      <c r="Z28" s="21" t="n">
        <f aca="false">MAX(0,W28-Y28)</f>
        <v>975</v>
      </c>
      <c r="AA28" s="21" t="n">
        <f aca="false">MIN(F28,Z28)</f>
        <v>62</v>
      </c>
      <c r="AB28" s="21"/>
      <c r="AC28" s="21" t="str">
        <f aca="false">IF(AB28="","",IF(AB28&gt;AA28,"PASS",IF(AB28&lt;=AA28*0.85,"BID","ATTENZIONE")))</f>
        <v/>
      </c>
      <c r="AD28" s="31" t="n">
        <f aca="false">IF(I28="","",ROUND(100*(1-EXP(-I28/30)),0))</f>
        <v>63</v>
      </c>
      <c r="AE28" s="7" t="str">
        <f aca="false">IFERROR(INDEX('Stato Asta'!$G$9:$G$12,MATCH($B28,'Stato Asta'!$A$9:$A$12,0)),"")</f>
        <v>🟡 Attesa rischiosa</v>
      </c>
    </row>
    <row r="29" customFormat="false" ht="14.25" hidden="false" customHeight="true" outlineLevel="0" collapsed="false">
      <c r="A29" s="21" t="n">
        <v>5559</v>
      </c>
      <c r="B29" s="21" t="s">
        <v>45</v>
      </c>
      <c r="C29" s="21" t="s">
        <v>373</v>
      </c>
      <c r="E29" s="26" t="str">
        <f aca="false">IF(COUNTIF('Info Strategia'!$D$2:$D$51,$C29)&gt;0,"SI","NO")</f>
        <v>NO</v>
      </c>
      <c r="F29" s="27" t="n">
        <f aca="false">IFERROR(ROUND(($G29+($H29-$G29)*'Info Strategia'!$B$6)*(1+IF($E29="SI",'Parametri Modello'!$B$7*'Info Strategia'!$B$6,0)),0),"")</f>
        <v>61</v>
      </c>
      <c r="G29" s="27" t="n">
        <f aca="false">IFERROR(ROUND(MAX(1,(IF($V29&lt;=INDEX('Parametri Modello'!$C$57:$C$60,MATCH($B29,'Parametri Modello'!$A$57:$A$60,0)),IF(INDEX('Parametri Modello'!$E$57:$E$60,MATCH($B29,'Parametri Modello'!$A$57:$A$60,0))=0,0,($O29/INDEX('Parametri Modello'!$E$57:$E$60,MATCH($B29,'Parametri Modello'!$A$57:$A$60,0)))*(INDEX('Parametri Modello'!$D$57:$D$60,MATCH($B29,'Parametri Modello'!$A$57:$A$60,0))*(INDEX('Parametri Modello'!$B$50:$B$53,MATCH($B29,'Parametri Modello'!$A$50:$A$53,0))*'Parametri Modello'!$B$44))),IF(INDEX('Parametri Modello'!$F$57:$F$60,MATCH($B29,'Parametri Modello'!$A$57:$A$60,0))=0,0,($O29/INDEX('Parametri Modello'!$F$57:$F$60,MATCH($B29,'Parametri Modello'!$A$57:$A$60,0)))*((1-INDEX('Parametri Modello'!$D$57:$D$60,MATCH($B29,'Parametri Modello'!$A$57:$A$60,0)))*(INDEX('Parametri Modello'!$B$50:$B$53,MATCH($B29,'Parametri Modello'!$A$50:$A$53,0))*'Parametri Modello'!$B$44))))*(1+IF(IF($B29="D",'Info Lega'!$B$25,IF($B29="C",'Info Lega'!$B$26,"No"))="Si",'Parametri Modello'!$B$5,0))*(1+MAX(-0.25,MIN(0.25,IF(OR($T29="",$I29="",$I29=0,INDEX('Parametri Modello'!$B$19:$B$22,MATCH($B29,'Parametri Modello'!$A$19:$A$22,0))="",INDEX('Parametri Modello'!$B$19:$B$22,MATCH($B29,'Parametri Modello'!$A$19:$A$22,0))=0),0,(($T29-INDEX('Parametri Modello'!$B$19:$B$22,MATCH($B29,'Parametri Modello'!$A$19:$A$22,0)))/INDEX('Parametri Modello'!$B$19:$B$22,MATCH($B29,'Parametri Modello'!$A$19:$A$22,0)))*'Parametri Modello'!$B$9))))*(1+IF('Parametri Modello'!$B$27="Si",MAX(-'Parametri Modello'!$B$28,MIN('Parametri Modello'!$B$28*1.5,IF(OR(INDEX('Parametri Modello'!$F$32:$F$35,MATCH($B29,'Parametri Modello'!$A$32:$A$35,0))="",INDEX('Parametri Modello'!$F$32:$F$35,MATCH($B29,'Parametri Modello'!$A$32:$A$35,0))=0),0,(1/INDEX('Parametri Modello'!$F$32:$F$35,MATCH($B29,'Parametri Modello'!$A$32:$A$35,0))-1)*'Parametri Modello'!$B$28))),0)))*(1-INDEX('Parametri Modello'!$B$12:$B$15,MATCH($B29,'Parametri Modello'!$A$12:$A$15,0)))),0),"")</f>
        <v>41</v>
      </c>
      <c r="H29" s="27" t="n">
        <f aca="false">IFERROR(ROUND((IF($V29&lt;=INDEX('Parametri Modello'!$C$57:$C$60,MATCH($B29,'Parametri Modello'!$A$57:$A$60,0)),IF(INDEX('Parametri Modello'!$E$57:$E$60,MATCH($B29,'Parametri Modello'!$A$57:$A$60,0))=0,0,($O29/INDEX('Parametri Modello'!$E$57:$E$60,MATCH($B29,'Parametri Modello'!$A$57:$A$60,0)))*(INDEX('Parametri Modello'!$D$57:$D$60,MATCH($B29,'Parametri Modello'!$A$57:$A$60,0))*(INDEX('Parametri Modello'!$B$50:$B$53,MATCH($B29,'Parametri Modello'!$A$50:$A$53,0))*'Parametri Modello'!$B$44))),IF(INDEX('Parametri Modello'!$F$57:$F$60,MATCH($B29,'Parametri Modello'!$A$57:$A$60,0))=0,0,($O29/INDEX('Parametri Modello'!$F$57:$F$60,MATCH($B29,'Parametri Modello'!$A$57:$A$60,0)))*((1-INDEX('Parametri Modello'!$D$57:$D$60,MATCH($B29,'Parametri Modello'!$A$57:$A$60,0)))*(INDEX('Parametri Modello'!$B$50:$B$53,MATCH($B29,'Parametri Modello'!$A$50:$A$53,0))*'Parametri Modello'!$B$44))))*(1+IF(IF($B29="D",'Info Lega'!$B$25,IF($B29="C",'Info Lega'!$B$26,"No"))="Si",'Parametri Modello'!$B$5,0))*(1+MAX(-0.25,MIN(0.25,IF(OR($T29="",$I29="",$I29=0,INDEX('Parametri Modello'!$B$19:$B$22,MATCH($B29,'Parametri Modello'!$A$19:$A$22,0))="",INDEX('Parametri Modello'!$B$19:$B$22,MATCH($B29,'Parametri Modello'!$A$19:$A$22,0))=0),0,(($T29-INDEX('Parametri Modello'!$B$19:$B$22,MATCH($B29,'Parametri Modello'!$A$19:$A$22,0)))/INDEX('Parametri Modello'!$B$19:$B$22,MATCH($B29,'Parametri Modello'!$A$19:$A$22,0)))*'Parametri Modello'!$B$9))))*(1+IF('Parametri Modello'!$B$27="Si",MAX(-'Parametri Modello'!$B$28,MIN('Parametri Modello'!$B$28*1.5,IF(OR(INDEX('Parametri Modello'!$F$32:$F$35,MATCH($B29,'Parametri Modello'!$A$32:$A$35,0))="",INDEX('Parametri Modello'!$F$32:$F$35,MATCH($B29,'Parametri Modello'!$A$32:$A$35,0))=0),0,(1/INDEX('Parametri Modello'!$F$32:$F$35,MATCH($B29,'Parametri Modello'!$A$32:$A$35,0))-1)*'Parametri Modello'!$B$28))),0)))*(1+INDEX('Parametri Modello'!$B$12:$B$15,MATCH($B29,'Parametri Modello'!$A$12:$A$15,0))),0),"")</f>
        <v>69</v>
      </c>
      <c r="I29" s="26" t="n">
        <f aca="false">IFERROR(INDEX('Input Statistiche 2025_26'!$F$3:$F$665,MATCH($A29,'Input Statistiche 2025_26'!$A$3:$A$665,0)),"")</f>
        <v>35</v>
      </c>
      <c r="J29" s="26" t="n">
        <f aca="false">IFERROR(IF($I29="","",MAX(0,38-$I29)),"")</f>
        <v>3</v>
      </c>
      <c r="K29" s="26" t="n">
        <f aca="false">IFERROR(INDEX('Input Statistiche 2025_26'!$I$3:$I$665,MATCH($A29,'Input Statistiche 2025_26'!$A$3:$A$665,0)),"")</f>
        <v>6</v>
      </c>
      <c r="L29" s="26" t="n">
        <f aca="false">IFERROR(INDEX('Input Statistiche 2025_26'!$O$3:$O$665,MATCH($A29,'Input Statistiche 2025_26'!$A$3:$A$665,0)),"")</f>
        <v>4</v>
      </c>
      <c r="M29" s="28"/>
      <c r="N29" s="27" t="n">
        <f aca="false">IFERROR(INDEX('Input Giocatori 2026_27'!$E$3:$E$493,MATCH($A29,'Input Giocatori 2026_27'!$A$3:$A$493,0)),"")</f>
        <v>18</v>
      </c>
      <c r="O29" s="27" t="n">
        <f aca="false">IFERROR(INDEX('Input Giocatori 2026_27'!$G$3:$G$493,MATCH($A29,'Input Giocatori 2026_27'!$A$3:$A$493,0)),"")</f>
        <v>90</v>
      </c>
      <c r="P29" s="26" t="str">
        <f aca="false">IFERROR(IF($O29="","",IF((1-(COUNTIFS($B$2:$B$492,$B29,$O$2:$O$492,"&gt;"&amp;$O29)+1-1)/COUNTIF($B$2:$B$492,$B29))&gt;=0.85,"Top",IF((1-(COUNTIFS($B$2:$B$492,$B29,$O$2:$O$492,"&gt;"&amp;$O29)+1-1)/COUNTIF($B$2:$B$492,$B29))&gt;=0.6,"Buono",IF((1-(COUNTIFS($B$2:$B$492,$B29,$O$2:$O$492,"&gt;"&amp;$O29)+1-1)/COUNTIF($B$2:$B$492,$B29))&gt;=0.3,"Nella Media","Scommessa/Riserva")))),"")</f>
        <v>Top</v>
      </c>
      <c r="Q29" s="29" t="n">
        <f aca="false">IF($D29="",COUNTIF($D$2:$D29,""),"")</f>
        <v>28</v>
      </c>
      <c r="R29" s="29" t="str">
        <f aca="false">IF($D29='Info Lega'!$B$28,COUNTIFS($D$2:$D29,'Info Lega'!$B$28),"")</f>
        <v/>
      </c>
      <c r="S29" s="30" t="n">
        <f aca="false">IFERROR(INDEX('Input Statistiche 2025_26'!$G$3:$G$665,MATCH($A29,'Input Statistiche 2025_26'!$A$3:$A$665,0)),"")</f>
        <v>6.34</v>
      </c>
      <c r="T29" s="30" t="n">
        <f aca="false">IFERROR(INDEX('Input Statistiche 2025_26'!$H$3:$H$665,MATCH($A29,'Input Statistiche 2025_26'!$A$3:$A$665,0)),"")</f>
        <v>6.91</v>
      </c>
      <c r="U29" s="26" t="str">
        <f aca="false">IF(OR('La Mia Rosa'!$O$12="",$D29&lt;&gt;""),"",IF($F29&lt;='La Mia Rosa'!$O$12*'Parametri Modello'!$B$24,"OK",IF($F29&lt;='La Mia Rosa'!$O$12*'Parametri Modello'!$B$25,"Attenzione","Rischio Alto")))</f>
        <v>Attenzione</v>
      </c>
      <c r="V29" s="26" t="n">
        <f aca="false">IFERROR(COUNTIFS($B$2:$B$492,$B29,$O$2:$O$492,"&gt;"&amp;$O29)+1,"")</f>
        <v>10</v>
      </c>
      <c r="W29" s="21" t="n">
        <f aca="false">'Info Lega'!$B$4-SUMIFS($M$2:$M$492,$D$2:$D$492,'Info Lega'!$B$28)</f>
        <v>1000</v>
      </c>
      <c r="X29" s="21" t="n">
        <f aca="false">('Info Lega'!$B$5-COUNTIFS($D$2:$D$492,'Info Lega'!$B$28,$B$2:$B$492,"P"))+('Info Lega'!$B$6-COUNTIFS($D$2:$D$492,'Info Lega'!$B$28,$B$2:$B$492,"D"))+('Info Lega'!$B$7-COUNTIFS($D$2:$D$492,'Info Lega'!$B$28,$B$2:$B$492,"C"))+('Info Lega'!$B$8-COUNTIFS($D$2:$D$492,'Info Lega'!$B$28,$B$2:$B$492,"A"))</f>
        <v>25</v>
      </c>
      <c r="Y29" s="21" t="n">
        <f aca="false">X29*'Parametri Modello'!$B$30</f>
        <v>25</v>
      </c>
      <c r="Z29" s="21" t="n">
        <f aca="false">MAX(0,W29-Y29)</f>
        <v>975</v>
      </c>
      <c r="AA29" s="21" t="n">
        <f aca="false">MIN(F29,Z29)</f>
        <v>61</v>
      </c>
      <c r="AB29" s="21"/>
      <c r="AC29" s="21" t="str">
        <f aca="false">IF(AB29="","",IF(AB29&gt;AA29,"PASS",IF(AB29&lt;=AA29*0.85,"BID","ATTENZIONE")))</f>
        <v/>
      </c>
      <c r="AD29" s="31" t="n">
        <f aca="false">IF(I29="","",ROUND(100*(1-EXP(-I29/30)),0))</f>
        <v>69</v>
      </c>
      <c r="AE29" s="7" t="str">
        <f aca="false">IFERROR(INDEX('Stato Asta'!$G$9:$G$12,MATCH($B29,'Stato Asta'!$A$9:$A$12,0)),"")</f>
        <v>🟡 Attesa rischiosa</v>
      </c>
    </row>
    <row r="30" customFormat="false" ht="14.25" hidden="false" customHeight="true" outlineLevel="0" collapsed="false">
      <c r="A30" s="21" t="n">
        <v>2766</v>
      </c>
      <c r="B30" s="21" t="s">
        <v>45</v>
      </c>
      <c r="C30" s="21" t="s">
        <v>374</v>
      </c>
      <c r="E30" s="26" t="str">
        <f aca="false">IF(COUNTIF('Info Strategia'!$D$2:$D$51,$C30)&gt;0,"SI","NO")</f>
        <v>NO</v>
      </c>
      <c r="F30" s="27" t="n">
        <f aca="false">IFERROR(ROUND(($G30+($H30-$G30)*'Info Strategia'!$B$6)*(1+IF($E30="SI",'Parametri Modello'!$B$7*'Info Strategia'!$B$6,0)),0),"")</f>
        <v>61</v>
      </c>
      <c r="G30" s="27" t="n">
        <f aca="false">IFERROR(ROUND(MAX(1,(IF($V30&lt;=INDEX('Parametri Modello'!$C$57:$C$60,MATCH($B30,'Parametri Modello'!$A$57:$A$60,0)),IF(INDEX('Parametri Modello'!$E$57:$E$60,MATCH($B30,'Parametri Modello'!$A$57:$A$60,0))=0,0,($O30/INDEX('Parametri Modello'!$E$57:$E$60,MATCH($B30,'Parametri Modello'!$A$57:$A$60,0)))*(INDEX('Parametri Modello'!$D$57:$D$60,MATCH($B30,'Parametri Modello'!$A$57:$A$60,0))*(INDEX('Parametri Modello'!$B$50:$B$53,MATCH($B30,'Parametri Modello'!$A$50:$A$53,0))*'Parametri Modello'!$B$44))),IF(INDEX('Parametri Modello'!$F$57:$F$60,MATCH($B30,'Parametri Modello'!$A$57:$A$60,0))=0,0,($O30/INDEX('Parametri Modello'!$F$57:$F$60,MATCH($B30,'Parametri Modello'!$A$57:$A$60,0)))*((1-INDEX('Parametri Modello'!$D$57:$D$60,MATCH($B30,'Parametri Modello'!$A$57:$A$60,0)))*(INDEX('Parametri Modello'!$B$50:$B$53,MATCH($B30,'Parametri Modello'!$A$50:$A$53,0))*'Parametri Modello'!$B$44))))*(1+IF(IF($B30="D",'Info Lega'!$B$25,IF($B30="C",'Info Lega'!$B$26,"No"))="Si",'Parametri Modello'!$B$5,0))*(1+MAX(-0.25,MIN(0.25,IF(OR($T30="",$I30="",$I30=0,INDEX('Parametri Modello'!$B$19:$B$22,MATCH($B30,'Parametri Modello'!$A$19:$A$22,0))="",INDEX('Parametri Modello'!$B$19:$B$22,MATCH($B30,'Parametri Modello'!$A$19:$A$22,0))=0),0,(($T30-INDEX('Parametri Modello'!$B$19:$B$22,MATCH($B30,'Parametri Modello'!$A$19:$A$22,0)))/INDEX('Parametri Modello'!$B$19:$B$22,MATCH($B30,'Parametri Modello'!$A$19:$A$22,0)))*'Parametri Modello'!$B$9))))*(1+IF('Parametri Modello'!$B$27="Si",MAX(-'Parametri Modello'!$B$28,MIN('Parametri Modello'!$B$28*1.5,IF(OR(INDEX('Parametri Modello'!$F$32:$F$35,MATCH($B30,'Parametri Modello'!$A$32:$A$35,0))="",INDEX('Parametri Modello'!$F$32:$F$35,MATCH($B30,'Parametri Modello'!$A$32:$A$35,0))=0),0,(1/INDEX('Parametri Modello'!$F$32:$F$35,MATCH($B30,'Parametri Modello'!$A$32:$A$35,0))-1)*'Parametri Modello'!$B$28))),0)))*(1-INDEX('Parametri Modello'!$B$12:$B$15,MATCH($B30,'Parametri Modello'!$A$12:$A$15,0)))),0),"")</f>
        <v>41</v>
      </c>
      <c r="H30" s="27" t="n">
        <f aca="false">IFERROR(ROUND((IF($V30&lt;=INDEX('Parametri Modello'!$C$57:$C$60,MATCH($B30,'Parametri Modello'!$A$57:$A$60,0)),IF(INDEX('Parametri Modello'!$E$57:$E$60,MATCH($B30,'Parametri Modello'!$A$57:$A$60,0))=0,0,($O30/INDEX('Parametri Modello'!$E$57:$E$60,MATCH($B30,'Parametri Modello'!$A$57:$A$60,0)))*(INDEX('Parametri Modello'!$D$57:$D$60,MATCH($B30,'Parametri Modello'!$A$57:$A$60,0))*(INDEX('Parametri Modello'!$B$50:$B$53,MATCH($B30,'Parametri Modello'!$A$50:$A$53,0))*'Parametri Modello'!$B$44))),IF(INDEX('Parametri Modello'!$F$57:$F$60,MATCH($B30,'Parametri Modello'!$A$57:$A$60,0))=0,0,($O30/INDEX('Parametri Modello'!$F$57:$F$60,MATCH($B30,'Parametri Modello'!$A$57:$A$60,0)))*((1-INDEX('Parametri Modello'!$D$57:$D$60,MATCH($B30,'Parametri Modello'!$A$57:$A$60,0)))*(INDEX('Parametri Modello'!$B$50:$B$53,MATCH($B30,'Parametri Modello'!$A$50:$A$53,0))*'Parametri Modello'!$B$44))))*(1+IF(IF($B30="D",'Info Lega'!$B$25,IF($B30="C",'Info Lega'!$B$26,"No"))="Si",'Parametri Modello'!$B$5,0))*(1+MAX(-0.25,MIN(0.25,IF(OR($T30="",$I30="",$I30=0,INDEX('Parametri Modello'!$B$19:$B$22,MATCH($B30,'Parametri Modello'!$A$19:$A$22,0))="",INDEX('Parametri Modello'!$B$19:$B$22,MATCH($B30,'Parametri Modello'!$A$19:$A$22,0))=0),0,(($T30-INDEX('Parametri Modello'!$B$19:$B$22,MATCH($B30,'Parametri Modello'!$A$19:$A$22,0)))/INDEX('Parametri Modello'!$B$19:$B$22,MATCH($B30,'Parametri Modello'!$A$19:$A$22,0)))*'Parametri Modello'!$B$9))))*(1+IF('Parametri Modello'!$B$27="Si",MAX(-'Parametri Modello'!$B$28,MIN('Parametri Modello'!$B$28*1.5,IF(OR(INDEX('Parametri Modello'!$F$32:$F$35,MATCH($B30,'Parametri Modello'!$A$32:$A$35,0))="",INDEX('Parametri Modello'!$F$32:$F$35,MATCH($B30,'Parametri Modello'!$A$32:$A$35,0))=0),0,(1/INDEX('Parametri Modello'!$F$32:$F$35,MATCH($B30,'Parametri Modello'!$A$32:$A$35,0))-1)*'Parametri Modello'!$B$28))),0)))*(1+INDEX('Parametri Modello'!$B$12:$B$15,MATCH($B30,'Parametri Modello'!$A$12:$A$15,0))),0),"")</f>
        <v>69</v>
      </c>
      <c r="I30" s="26" t="n">
        <f aca="false">IFERROR(INDEX('Input Statistiche 2025_26'!$F$3:$F$665,MATCH($A30,'Input Statistiche 2025_26'!$A$3:$A$665,0)),"")</f>
        <v>31</v>
      </c>
      <c r="J30" s="26" t="n">
        <f aca="false">IFERROR(IF($I30="","",MAX(0,38-$I30)),"")</f>
        <v>7</v>
      </c>
      <c r="K30" s="26" t="n">
        <f aca="false">IFERROR(INDEX('Input Statistiche 2025_26'!$I$3:$I$665,MATCH($A30,'Input Statistiche 2025_26'!$A$3:$A$665,0)),"")</f>
        <v>5</v>
      </c>
      <c r="L30" s="26" t="n">
        <f aca="false">IFERROR(INDEX('Input Statistiche 2025_26'!$O$3:$O$665,MATCH($A30,'Input Statistiche 2025_26'!$A$3:$A$665,0)),"")</f>
        <v>5</v>
      </c>
      <c r="M30" s="28"/>
      <c r="N30" s="27" t="n">
        <f aca="false">IFERROR(INDEX('Input Giocatori 2026_27'!$E$3:$E$493,MATCH($A30,'Input Giocatori 2026_27'!$A$3:$A$493,0)),"")</f>
        <v>18</v>
      </c>
      <c r="O30" s="27" t="n">
        <f aca="false">IFERROR(INDEX('Input Giocatori 2026_27'!$G$3:$G$493,MATCH($A30,'Input Giocatori 2026_27'!$A$3:$A$493,0)),"")</f>
        <v>90</v>
      </c>
      <c r="P30" s="26" t="str">
        <f aca="false">IFERROR(IF($O30="","",IF((1-(COUNTIFS($B$2:$B$492,$B30,$O$2:$O$492,"&gt;"&amp;$O30)+1-1)/COUNTIF($B$2:$B$492,$B30))&gt;=0.85,"Top",IF((1-(COUNTIFS($B$2:$B$492,$B30,$O$2:$O$492,"&gt;"&amp;$O30)+1-1)/COUNTIF($B$2:$B$492,$B30))&gt;=0.6,"Buono",IF((1-(COUNTIFS($B$2:$B$492,$B30,$O$2:$O$492,"&gt;"&amp;$O30)+1-1)/COUNTIF($B$2:$B$492,$B30))&gt;=0.3,"Nella Media","Scommessa/Riserva")))),"")</f>
        <v>Top</v>
      </c>
      <c r="Q30" s="29" t="n">
        <f aca="false">IF($D30="",COUNTIF($D$2:$D30,""),"")</f>
        <v>29</v>
      </c>
      <c r="R30" s="29" t="str">
        <f aca="false">IF($D30='Info Lega'!$B$28,COUNTIFS($D$2:$D30,'Info Lega'!$B$28),"")</f>
        <v/>
      </c>
      <c r="S30" s="30" t="n">
        <f aca="false">IFERROR(INDEX('Input Statistiche 2025_26'!$G$3:$G$665,MATCH($A30,'Input Statistiche 2025_26'!$A$3:$A$665,0)),"")</f>
        <v>6.26</v>
      </c>
      <c r="T30" s="30" t="n">
        <f aca="false">IFERROR(INDEX('Input Statistiche 2025_26'!$H$3:$H$665,MATCH($A30,'Input Statistiche 2025_26'!$A$3:$A$665,0)),"")</f>
        <v>6.77</v>
      </c>
      <c r="U30" s="26" t="str">
        <f aca="false">IF(OR('La Mia Rosa'!$O$12="",$D30&lt;&gt;""),"",IF($F30&lt;='La Mia Rosa'!$O$12*'Parametri Modello'!$B$24,"OK",IF($F30&lt;='La Mia Rosa'!$O$12*'Parametri Modello'!$B$25,"Attenzione","Rischio Alto")))</f>
        <v>Attenzione</v>
      </c>
      <c r="V30" s="26" t="n">
        <f aca="false">IFERROR(COUNTIFS($B$2:$B$492,$B30,$O$2:$O$492,"&gt;"&amp;$O30)+1,"")</f>
        <v>10</v>
      </c>
      <c r="W30" s="21" t="n">
        <f aca="false">'Info Lega'!$B$4-SUMIFS($M$2:$M$492,$D$2:$D$492,'Info Lega'!$B$28)</f>
        <v>1000</v>
      </c>
      <c r="X30" s="21" t="n">
        <f aca="false">('Info Lega'!$B$5-COUNTIFS($D$2:$D$492,'Info Lega'!$B$28,$B$2:$B$492,"P"))+('Info Lega'!$B$6-COUNTIFS($D$2:$D$492,'Info Lega'!$B$28,$B$2:$B$492,"D"))+('Info Lega'!$B$7-COUNTIFS($D$2:$D$492,'Info Lega'!$B$28,$B$2:$B$492,"C"))+('Info Lega'!$B$8-COUNTIFS($D$2:$D$492,'Info Lega'!$B$28,$B$2:$B$492,"A"))</f>
        <v>25</v>
      </c>
      <c r="Y30" s="21" t="n">
        <f aca="false">X30*'Parametri Modello'!$B$30</f>
        <v>25</v>
      </c>
      <c r="Z30" s="21" t="n">
        <f aca="false">MAX(0,W30-Y30)</f>
        <v>975</v>
      </c>
      <c r="AA30" s="21" t="n">
        <f aca="false">MIN(F30,Z30)</f>
        <v>61</v>
      </c>
      <c r="AB30" s="21"/>
      <c r="AC30" s="21" t="str">
        <f aca="false">IF(AB30="","",IF(AB30&gt;AA30,"PASS",IF(AB30&lt;=AA30*0.85,"BID","ATTENZIONE")))</f>
        <v/>
      </c>
      <c r="AD30" s="31" t="n">
        <f aca="false">IF(I30="","",ROUND(100*(1-EXP(-I30/30)),0))</f>
        <v>64</v>
      </c>
      <c r="AE30" s="7" t="str">
        <f aca="false">IFERROR(INDEX('Stato Asta'!$G$9:$G$12,MATCH($B30,'Stato Asta'!$A$9:$A$12,0)),"")</f>
        <v>🟡 Attesa rischiosa</v>
      </c>
    </row>
    <row r="31" customFormat="false" ht="14.25" hidden="false" customHeight="true" outlineLevel="0" collapsed="false">
      <c r="A31" s="21" t="n">
        <v>6060</v>
      </c>
      <c r="B31" s="21" t="s">
        <v>46</v>
      </c>
      <c r="C31" s="21" t="s">
        <v>556</v>
      </c>
      <c r="E31" s="26" t="str">
        <f aca="false">IF(COUNTIF('Info Strategia'!$D$2:$D$51,$C31)&gt;0,"SI","NO")</f>
        <v>NO</v>
      </c>
      <c r="F31" s="27" t="n">
        <f aca="false">IFERROR(ROUND(($G31+($H31-$G31)*'Info Strategia'!$B$6)*(1+IF($E31="SI",'Parametri Modello'!$B$7*'Info Strategia'!$B$6,0)),0),"")</f>
        <v>91</v>
      </c>
      <c r="G31" s="27" t="n">
        <f aca="false">IFERROR(ROUND(MAX(1,(IF($V31&lt;=INDEX('Parametri Modello'!$C$57:$C$60,MATCH($B31,'Parametri Modello'!$A$57:$A$60,0)),IF(INDEX('Parametri Modello'!$E$57:$E$60,MATCH($B31,'Parametri Modello'!$A$57:$A$60,0))=0,0,($O31/INDEX('Parametri Modello'!$E$57:$E$60,MATCH($B31,'Parametri Modello'!$A$57:$A$60,0)))*(INDEX('Parametri Modello'!$D$57:$D$60,MATCH($B31,'Parametri Modello'!$A$57:$A$60,0))*(INDEX('Parametri Modello'!$B$50:$B$53,MATCH($B31,'Parametri Modello'!$A$50:$A$53,0))*'Parametri Modello'!$B$44))),IF(INDEX('Parametri Modello'!$F$57:$F$60,MATCH($B31,'Parametri Modello'!$A$57:$A$60,0))=0,0,($O31/INDEX('Parametri Modello'!$F$57:$F$60,MATCH($B31,'Parametri Modello'!$A$57:$A$60,0)))*((1-INDEX('Parametri Modello'!$D$57:$D$60,MATCH($B31,'Parametri Modello'!$A$57:$A$60,0)))*(INDEX('Parametri Modello'!$B$50:$B$53,MATCH($B31,'Parametri Modello'!$A$50:$A$53,0))*'Parametri Modello'!$B$44))))*(1+IF(IF($B31="D",'Info Lega'!$B$25,IF($B31="C",'Info Lega'!$B$26,"No"))="Si",'Parametri Modello'!$B$5,0))*(1+MAX(-0.25,MIN(0.25,IF(OR($T31="",$I31="",$I31=0,INDEX('Parametri Modello'!$B$19:$B$22,MATCH($B31,'Parametri Modello'!$A$19:$A$22,0))="",INDEX('Parametri Modello'!$B$19:$B$22,MATCH($B31,'Parametri Modello'!$A$19:$A$22,0))=0),0,(($T31-INDEX('Parametri Modello'!$B$19:$B$22,MATCH($B31,'Parametri Modello'!$A$19:$A$22,0)))/INDEX('Parametri Modello'!$B$19:$B$22,MATCH($B31,'Parametri Modello'!$A$19:$A$22,0)))*'Parametri Modello'!$B$9))))*(1+IF('Parametri Modello'!$B$27="Si",MAX(-'Parametri Modello'!$B$28,MIN('Parametri Modello'!$B$28*1.5,IF(OR(INDEX('Parametri Modello'!$F$32:$F$35,MATCH($B31,'Parametri Modello'!$A$32:$A$35,0))="",INDEX('Parametri Modello'!$F$32:$F$35,MATCH($B31,'Parametri Modello'!$A$32:$A$35,0))=0),0,(1/INDEX('Parametri Modello'!$F$32:$F$35,MATCH($B31,'Parametri Modello'!$A$32:$A$35,0))-1)*'Parametri Modello'!$B$28))),0)))*(1-INDEX('Parametri Modello'!$B$12:$B$15,MATCH($B31,'Parametri Modello'!$A$12:$A$15,0)))),0),"")</f>
        <v>57</v>
      </c>
      <c r="H31" s="27" t="n">
        <f aca="false">IFERROR(ROUND((IF($V31&lt;=INDEX('Parametri Modello'!$C$57:$C$60,MATCH($B31,'Parametri Modello'!$A$57:$A$60,0)),IF(INDEX('Parametri Modello'!$E$57:$E$60,MATCH($B31,'Parametri Modello'!$A$57:$A$60,0))=0,0,($O31/INDEX('Parametri Modello'!$E$57:$E$60,MATCH($B31,'Parametri Modello'!$A$57:$A$60,0)))*(INDEX('Parametri Modello'!$D$57:$D$60,MATCH($B31,'Parametri Modello'!$A$57:$A$60,0))*(INDEX('Parametri Modello'!$B$50:$B$53,MATCH($B31,'Parametri Modello'!$A$50:$A$53,0))*'Parametri Modello'!$B$44))),IF(INDEX('Parametri Modello'!$F$57:$F$60,MATCH($B31,'Parametri Modello'!$A$57:$A$60,0))=0,0,($O31/INDEX('Parametri Modello'!$F$57:$F$60,MATCH($B31,'Parametri Modello'!$A$57:$A$60,0)))*((1-INDEX('Parametri Modello'!$D$57:$D$60,MATCH($B31,'Parametri Modello'!$A$57:$A$60,0)))*(INDEX('Parametri Modello'!$B$50:$B$53,MATCH($B31,'Parametri Modello'!$A$50:$A$53,0))*'Parametri Modello'!$B$44))))*(1+IF(IF($B31="D",'Info Lega'!$B$25,IF($B31="C",'Info Lega'!$B$26,"No"))="Si",'Parametri Modello'!$B$5,0))*(1+MAX(-0.25,MIN(0.25,IF(OR($T31="",$I31="",$I31=0,INDEX('Parametri Modello'!$B$19:$B$22,MATCH($B31,'Parametri Modello'!$A$19:$A$22,0))="",INDEX('Parametri Modello'!$B$19:$B$22,MATCH($B31,'Parametri Modello'!$A$19:$A$22,0))=0),0,(($T31-INDEX('Parametri Modello'!$B$19:$B$22,MATCH($B31,'Parametri Modello'!$A$19:$A$22,0)))/INDEX('Parametri Modello'!$B$19:$B$22,MATCH($B31,'Parametri Modello'!$A$19:$A$22,0)))*'Parametri Modello'!$B$9))))*(1+IF('Parametri Modello'!$B$27="Si",MAX(-'Parametri Modello'!$B$28,MIN('Parametri Modello'!$B$28*1.5,IF(OR(INDEX('Parametri Modello'!$F$32:$F$35,MATCH($B31,'Parametri Modello'!$A$32:$A$35,0))="",INDEX('Parametri Modello'!$F$32:$F$35,MATCH($B31,'Parametri Modello'!$A$32:$A$35,0))=0),0,(1/INDEX('Parametri Modello'!$F$32:$F$35,MATCH($B31,'Parametri Modello'!$A$32:$A$35,0))-1)*'Parametri Modello'!$B$28))),0)))*(1+INDEX('Parametri Modello'!$B$12:$B$15,MATCH($B31,'Parametri Modello'!$A$12:$A$15,0))),0),"")</f>
        <v>106</v>
      </c>
      <c r="I31" s="26" t="n">
        <f aca="false">IFERROR(INDEX('Input Statistiche 2025_26'!$F$3:$F$665,MATCH($A31,'Input Statistiche 2025_26'!$A$3:$A$665,0)),"")</f>
        <v>37</v>
      </c>
      <c r="J31" s="26" t="n">
        <f aca="false">IFERROR(IF($I31="","",MAX(0,38-$I31)),"")</f>
        <v>1</v>
      </c>
      <c r="K31" s="26" t="n">
        <f aca="false">IFERROR(INDEX('Input Statistiche 2025_26'!$I$3:$I$665,MATCH($A31,'Input Statistiche 2025_26'!$A$3:$A$665,0)),"")</f>
        <v>7</v>
      </c>
      <c r="L31" s="26" t="n">
        <f aca="false">IFERROR(INDEX('Input Statistiche 2025_26'!$O$3:$O$665,MATCH($A31,'Input Statistiche 2025_26'!$A$3:$A$665,0)),"")</f>
        <v>9</v>
      </c>
      <c r="M31" s="28"/>
      <c r="N31" s="27" t="n">
        <f aca="false">IFERROR(INDEX('Input Giocatori 2026_27'!$E$3:$E$493,MATCH($A31,'Input Giocatori 2026_27'!$A$3:$A$493,0)),"")</f>
        <v>15</v>
      </c>
      <c r="O31" s="27" t="n">
        <f aca="false">IFERROR(INDEX('Input Giocatori 2026_27'!$G$3:$G$493,MATCH($A31,'Input Giocatori 2026_27'!$A$3:$A$493,0)),"")</f>
        <v>88</v>
      </c>
      <c r="P31" s="26" t="str">
        <f aca="false">IFERROR(IF($O31="","",IF((1-(COUNTIFS($B$2:$B$492,$B31,$O$2:$O$492,"&gt;"&amp;$O31)+1-1)/COUNTIF($B$2:$B$492,$B31))&gt;=0.85,"Top",IF((1-(COUNTIFS($B$2:$B$492,$B31,$O$2:$O$492,"&gt;"&amp;$O31)+1-1)/COUNTIF($B$2:$B$492,$B31))&gt;=0.6,"Buono",IF((1-(COUNTIFS($B$2:$B$492,$B31,$O$2:$O$492,"&gt;"&amp;$O31)+1-1)/COUNTIF($B$2:$B$492,$B31))&gt;=0.3,"Nella Media","Scommessa/Riserva")))),"")</f>
        <v>Buono</v>
      </c>
      <c r="Q31" s="29" t="n">
        <f aca="false">IF($D31="",COUNTIF($D$2:$D31,""),"")</f>
        <v>30</v>
      </c>
      <c r="R31" s="29" t="str">
        <f aca="false">IF($D31='Info Lega'!$B$28,COUNTIFS($D$2:$D31,'Info Lega'!$B$28),"")</f>
        <v/>
      </c>
      <c r="S31" s="30" t="n">
        <f aca="false">IFERROR(INDEX('Input Statistiche 2025_26'!$G$3:$G$665,MATCH($A31,'Input Statistiche 2025_26'!$A$3:$A$665,0)),"")</f>
        <v>6.23</v>
      </c>
      <c r="T31" s="30" t="n">
        <f aca="false">IFERROR(INDEX('Input Statistiche 2025_26'!$H$3:$H$665,MATCH($A31,'Input Statistiche 2025_26'!$A$3:$A$665,0)),"")</f>
        <v>6.99</v>
      </c>
      <c r="U31" s="26" t="str">
        <f aca="false">IF(OR('La Mia Rosa'!$O$12="",$D31&lt;&gt;""),"",IF($F31&lt;='La Mia Rosa'!$O$12*'Parametri Modello'!$B$24,"OK",IF($F31&lt;='La Mia Rosa'!$O$12*'Parametri Modello'!$B$25,"Attenzione","Rischio Alto")))</f>
        <v>Attenzione</v>
      </c>
      <c r="V31" s="26" t="n">
        <f aca="false">IFERROR(COUNTIFS($B$2:$B$492,$B31,$O$2:$O$492,"&gt;"&amp;$O31)+1,"")</f>
        <v>17</v>
      </c>
      <c r="W31" s="21" t="n">
        <f aca="false">'Info Lega'!$B$4-SUMIFS($M$2:$M$492,$D$2:$D$492,'Info Lega'!$B$28)</f>
        <v>1000</v>
      </c>
      <c r="X31" s="21" t="n">
        <f aca="false">('Info Lega'!$B$5-COUNTIFS($D$2:$D$492,'Info Lega'!$B$28,$B$2:$B$492,"P"))+('Info Lega'!$B$6-COUNTIFS($D$2:$D$492,'Info Lega'!$B$28,$B$2:$B$492,"D"))+('Info Lega'!$B$7-COUNTIFS($D$2:$D$492,'Info Lega'!$B$28,$B$2:$B$492,"C"))+('Info Lega'!$B$8-COUNTIFS($D$2:$D$492,'Info Lega'!$B$28,$B$2:$B$492,"A"))</f>
        <v>25</v>
      </c>
      <c r="Y31" s="21" t="n">
        <f aca="false">X31*'Parametri Modello'!$B$30</f>
        <v>25</v>
      </c>
      <c r="Z31" s="21" t="n">
        <f aca="false">MAX(0,W31-Y31)</f>
        <v>975</v>
      </c>
      <c r="AA31" s="21" t="n">
        <f aca="false">MIN(F31,Z31)</f>
        <v>91</v>
      </c>
      <c r="AB31" s="21"/>
      <c r="AC31" s="21" t="str">
        <f aca="false">IF(AB31="","",IF(AB31&gt;AA31,"PASS",IF(AB31&lt;=AA31*0.85,"BID","ATTENZIONE")))</f>
        <v/>
      </c>
      <c r="AD31" s="31" t="n">
        <f aca="false">IF(I31="","",ROUND(100*(1-EXP(-I31/30)),0))</f>
        <v>71</v>
      </c>
      <c r="AE31" s="7" t="str">
        <f aca="false">IFERROR(INDEX('Stato Asta'!$G$9:$G$12,MATCH($B31,'Stato Asta'!$A$9:$A$12,0)),"")</f>
        <v>🔴 Non aspettare</v>
      </c>
    </row>
    <row r="32" customFormat="false" ht="14.25" hidden="false" customHeight="true" outlineLevel="0" collapsed="false">
      <c r="A32" s="21" t="n">
        <v>6908</v>
      </c>
      <c r="B32" s="21" t="s">
        <v>45</v>
      </c>
      <c r="C32" s="21" t="s">
        <v>375</v>
      </c>
      <c r="E32" s="26" t="str">
        <f aca="false">IF(COUNTIF('Info Strategia'!$D$2:$D$51,$C32)&gt;0,"SI","NO")</f>
        <v>NO</v>
      </c>
      <c r="F32" s="27" t="n">
        <f aca="false">IFERROR(ROUND(($G32+($H32-$G32)*'Info Strategia'!$B$6)*(1+IF($E32="SI",'Parametri Modello'!$B$7*'Info Strategia'!$B$6,0)),0),"")</f>
        <v>59</v>
      </c>
      <c r="G32" s="27" t="n">
        <f aca="false">IFERROR(ROUND(MAX(1,(IF($V32&lt;=INDEX('Parametri Modello'!$C$57:$C$60,MATCH($B32,'Parametri Modello'!$A$57:$A$60,0)),IF(INDEX('Parametri Modello'!$E$57:$E$60,MATCH($B32,'Parametri Modello'!$A$57:$A$60,0))=0,0,($O32/INDEX('Parametri Modello'!$E$57:$E$60,MATCH($B32,'Parametri Modello'!$A$57:$A$60,0)))*(INDEX('Parametri Modello'!$D$57:$D$60,MATCH($B32,'Parametri Modello'!$A$57:$A$60,0))*(INDEX('Parametri Modello'!$B$50:$B$53,MATCH($B32,'Parametri Modello'!$A$50:$A$53,0))*'Parametri Modello'!$B$44))),IF(INDEX('Parametri Modello'!$F$57:$F$60,MATCH($B32,'Parametri Modello'!$A$57:$A$60,0))=0,0,($O32/INDEX('Parametri Modello'!$F$57:$F$60,MATCH($B32,'Parametri Modello'!$A$57:$A$60,0)))*((1-INDEX('Parametri Modello'!$D$57:$D$60,MATCH($B32,'Parametri Modello'!$A$57:$A$60,0)))*(INDEX('Parametri Modello'!$B$50:$B$53,MATCH($B32,'Parametri Modello'!$A$50:$A$53,0))*'Parametri Modello'!$B$44))))*(1+IF(IF($B32="D",'Info Lega'!$B$25,IF($B32="C",'Info Lega'!$B$26,"No"))="Si",'Parametri Modello'!$B$5,0))*(1+MAX(-0.25,MIN(0.25,IF(OR($T32="",$I32="",$I32=0,INDEX('Parametri Modello'!$B$19:$B$22,MATCH($B32,'Parametri Modello'!$A$19:$A$22,0))="",INDEX('Parametri Modello'!$B$19:$B$22,MATCH($B32,'Parametri Modello'!$A$19:$A$22,0))=0),0,(($T32-INDEX('Parametri Modello'!$B$19:$B$22,MATCH($B32,'Parametri Modello'!$A$19:$A$22,0)))/INDEX('Parametri Modello'!$B$19:$B$22,MATCH($B32,'Parametri Modello'!$A$19:$A$22,0)))*'Parametri Modello'!$B$9))))*(1+IF('Parametri Modello'!$B$27="Si",MAX(-'Parametri Modello'!$B$28,MIN('Parametri Modello'!$B$28*1.5,IF(OR(INDEX('Parametri Modello'!$F$32:$F$35,MATCH($B32,'Parametri Modello'!$A$32:$A$35,0))="",INDEX('Parametri Modello'!$F$32:$F$35,MATCH($B32,'Parametri Modello'!$A$32:$A$35,0))=0),0,(1/INDEX('Parametri Modello'!$F$32:$F$35,MATCH($B32,'Parametri Modello'!$A$32:$A$35,0))-1)*'Parametri Modello'!$B$28))),0)))*(1-INDEX('Parametri Modello'!$B$12:$B$15,MATCH($B32,'Parametri Modello'!$A$12:$A$15,0)))),0),"")</f>
        <v>40</v>
      </c>
      <c r="H32" s="27" t="n">
        <f aca="false">IFERROR(ROUND((IF($V32&lt;=INDEX('Parametri Modello'!$C$57:$C$60,MATCH($B32,'Parametri Modello'!$A$57:$A$60,0)),IF(INDEX('Parametri Modello'!$E$57:$E$60,MATCH($B32,'Parametri Modello'!$A$57:$A$60,0))=0,0,($O32/INDEX('Parametri Modello'!$E$57:$E$60,MATCH($B32,'Parametri Modello'!$A$57:$A$60,0)))*(INDEX('Parametri Modello'!$D$57:$D$60,MATCH($B32,'Parametri Modello'!$A$57:$A$60,0))*(INDEX('Parametri Modello'!$B$50:$B$53,MATCH($B32,'Parametri Modello'!$A$50:$A$53,0))*'Parametri Modello'!$B$44))),IF(INDEX('Parametri Modello'!$F$57:$F$60,MATCH($B32,'Parametri Modello'!$A$57:$A$60,0))=0,0,($O32/INDEX('Parametri Modello'!$F$57:$F$60,MATCH($B32,'Parametri Modello'!$A$57:$A$60,0)))*((1-INDEX('Parametri Modello'!$D$57:$D$60,MATCH($B32,'Parametri Modello'!$A$57:$A$60,0)))*(INDEX('Parametri Modello'!$B$50:$B$53,MATCH($B32,'Parametri Modello'!$A$50:$A$53,0))*'Parametri Modello'!$B$44))))*(1+IF(IF($B32="D",'Info Lega'!$B$25,IF($B32="C",'Info Lega'!$B$26,"No"))="Si",'Parametri Modello'!$B$5,0))*(1+MAX(-0.25,MIN(0.25,IF(OR($T32="",$I32="",$I32=0,INDEX('Parametri Modello'!$B$19:$B$22,MATCH($B32,'Parametri Modello'!$A$19:$A$22,0))="",INDEX('Parametri Modello'!$B$19:$B$22,MATCH($B32,'Parametri Modello'!$A$19:$A$22,0))=0),0,(($T32-INDEX('Parametri Modello'!$B$19:$B$22,MATCH($B32,'Parametri Modello'!$A$19:$A$22,0)))/INDEX('Parametri Modello'!$B$19:$B$22,MATCH($B32,'Parametri Modello'!$A$19:$A$22,0)))*'Parametri Modello'!$B$9))))*(1+IF('Parametri Modello'!$B$27="Si",MAX(-'Parametri Modello'!$B$28,MIN('Parametri Modello'!$B$28*1.5,IF(OR(INDEX('Parametri Modello'!$F$32:$F$35,MATCH($B32,'Parametri Modello'!$A$32:$A$35,0))="",INDEX('Parametri Modello'!$F$32:$F$35,MATCH($B32,'Parametri Modello'!$A$32:$A$35,0))=0),0,(1/INDEX('Parametri Modello'!$F$32:$F$35,MATCH($B32,'Parametri Modello'!$A$32:$A$35,0))-1)*'Parametri Modello'!$B$28))),0)))*(1+INDEX('Parametri Modello'!$B$12:$B$15,MATCH($B32,'Parametri Modello'!$A$12:$A$15,0))),0),"")</f>
        <v>67</v>
      </c>
      <c r="I32" s="26" t="n">
        <f aca="false">IFERROR(INDEX('Input Statistiche 2025_26'!$F$3:$F$665,MATCH($A32,'Input Statistiche 2025_26'!$A$3:$A$665,0)),"")</f>
        <v>32</v>
      </c>
      <c r="J32" s="26" t="n">
        <f aca="false">IFERROR(IF($I32="","",MAX(0,38-$I32)),"")</f>
        <v>6</v>
      </c>
      <c r="K32" s="26" t="n">
        <f aca="false">IFERROR(INDEX('Input Statistiche 2025_26'!$I$3:$I$665,MATCH($A32,'Input Statistiche 2025_26'!$A$3:$A$665,0)),"")</f>
        <v>5</v>
      </c>
      <c r="L32" s="26" t="n">
        <f aca="false">IFERROR(INDEX('Input Statistiche 2025_26'!$O$3:$O$665,MATCH($A32,'Input Statistiche 2025_26'!$A$3:$A$665,0)),"")</f>
        <v>3</v>
      </c>
      <c r="M32" s="28"/>
      <c r="N32" s="27" t="n">
        <f aca="false">IFERROR(INDEX('Input Giocatori 2026_27'!$E$3:$E$493,MATCH($A32,'Input Giocatori 2026_27'!$A$3:$A$493,0)),"")</f>
        <v>17</v>
      </c>
      <c r="O32" s="27" t="n">
        <f aca="false">IFERROR(INDEX('Input Giocatori 2026_27'!$G$3:$G$493,MATCH($A32,'Input Giocatori 2026_27'!$A$3:$A$493,0)),"")</f>
        <v>87</v>
      </c>
      <c r="P32" s="26" t="str">
        <f aca="false">IFERROR(IF($O32="","",IF((1-(COUNTIFS($B$2:$B$492,$B32,$O$2:$O$492,"&gt;"&amp;$O32)+1-1)/COUNTIF($B$2:$B$492,$B32))&gt;=0.85,"Top",IF((1-(COUNTIFS($B$2:$B$492,$B32,$O$2:$O$492,"&gt;"&amp;$O32)+1-1)/COUNTIF($B$2:$B$492,$B32))&gt;=0.6,"Buono",IF((1-(COUNTIFS($B$2:$B$492,$B32,$O$2:$O$492,"&gt;"&amp;$O32)+1-1)/COUNTIF($B$2:$B$492,$B32))&gt;=0.3,"Nella Media","Scommessa/Riserva")))),"")</f>
        <v>Top</v>
      </c>
      <c r="Q32" s="29" t="n">
        <f aca="false">IF($D32="",COUNTIF($D$2:$D32,""),"")</f>
        <v>31</v>
      </c>
      <c r="R32" s="29" t="str">
        <f aca="false">IF($D32='Info Lega'!$B$28,COUNTIFS($D$2:$D32,'Info Lega'!$B$28),"")</f>
        <v/>
      </c>
      <c r="S32" s="30" t="n">
        <f aca="false">IFERROR(INDEX('Input Statistiche 2025_26'!$G$3:$G$665,MATCH($A32,'Input Statistiche 2025_26'!$A$3:$A$665,0)),"")</f>
        <v>6.36</v>
      </c>
      <c r="T32" s="30" t="n">
        <f aca="false">IFERROR(INDEX('Input Statistiche 2025_26'!$H$3:$H$665,MATCH($A32,'Input Statistiche 2025_26'!$A$3:$A$665,0)),"")</f>
        <v>6.88</v>
      </c>
      <c r="U32" s="26" t="str">
        <f aca="false">IF(OR('La Mia Rosa'!$O$12="",$D32&lt;&gt;""),"",IF($F32&lt;='La Mia Rosa'!$O$12*'Parametri Modello'!$B$24,"OK",IF($F32&lt;='La Mia Rosa'!$O$12*'Parametri Modello'!$B$25,"Attenzione","Rischio Alto")))</f>
        <v>OK</v>
      </c>
      <c r="V32" s="26" t="n">
        <f aca="false">IFERROR(COUNTIFS($B$2:$B$492,$B32,$O$2:$O$492,"&gt;"&amp;$O32)+1,"")</f>
        <v>12</v>
      </c>
      <c r="W32" s="21" t="n">
        <f aca="false">'Info Lega'!$B$4-SUMIFS($M$2:$M$492,$D$2:$D$492,'Info Lega'!$B$28)</f>
        <v>1000</v>
      </c>
      <c r="X32" s="21" t="n">
        <f aca="false">('Info Lega'!$B$5-COUNTIFS($D$2:$D$492,'Info Lega'!$B$28,$B$2:$B$492,"P"))+('Info Lega'!$B$6-COUNTIFS($D$2:$D$492,'Info Lega'!$B$28,$B$2:$B$492,"D"))+('Info Lega'!$B$7-COUNTIFS($D$2:$D$492,'Info Lega'!$B$28,$B$2:$B$492,"C"))+('Info Lega'!$B$8-COUNTIFS($D$2:$D$492,'Info Lega'!$B$28,$B$2:$B$492,"A"))</f>
        <v>25</v>
      </c>
      <c r="Y32" s="21" t="n">
        <f aca="false">X32*'Parametri Modello'!$B$30</f>
        <v>25</v>
      </c>
      <c r="Z32" s="21" t="n">
        <f aca="false">MAX(0,W32-Y32)</f>
        <v>975</v>
      </c>
      <c r="AA32" s="21" t="n">
        <f aca="false">MIN(F32,Z32)</f>
        <v>59</v>
      </c>
      <c r="AB32" s="21"/>
      <c r="AC32" s="21" t="str">
        <f aca="false">IF(AB32="","",IF(AB32&gt;AA32,"PASS",IF(AB32&lt;=AA32*0.85,"BID","ATTENZIONE")))</f>
        <v/>
      </c>
      <c r="AD32" s="31" t="n">
        <f aca="false">IF(I32="","",ROUND(100*(1-EXP(-I32/30)),0))</f>
        <v>66</v>
      </c>
      <c r="AE32" s="7" t="str">
        <f aca="false">IFERROR(INDEX('Stato Asta'!$G$9:$G$12,MATCH($B32,'Stato Asta'!$A$9:$A$12,0)),"")</f>
        <v>🟡 Attesa rischiosa</v>
      </c>
    </row>
    <row r="33" customFormat="false" ht="14.25" hidden="false" customHeight="true" outlineLevel="0" collapsed="false">
      <c r="A33" s="21" t="n">
        <v>6675</v>
      </c>
      <c r="B33" s="21" t="s">
        <v>46</v>
      </c>
      <c r="C33" s="21" t="s">
        <v>553</v>
      </c>
      <c r="E33" s="26" t="str">
        <f aca="false">IF(COUNTIF('Info Strategia'!$D$2:$D$51,$C33)&gt;0,"SI","NO")</f>
        <v>NO</v>
      </c>
      <c r="F33" s="27" t="n">
        <f aca="false">IFERROR(ROUND(($G33+($H33-$G33)*'Info Strategia'!$B$6)*(1+IF($E33="SI",'Parametri Modello'!$B$7*'Info Strategia'!$B$6,0)),0),"")</f>
        <v>86</v>
      </c>
      <c r="G33" s="27" t="n">
        <f aca="false">IFERROR(ROUND(MAX(1,(IF($V33&lt;=INDEX('Parametri Modello'!$C$57:$C$60,MATCH($B33,'Parametri Modello'!$A$57:$A$60,0)),IF(INDEX('Parametri Modello'!$E$57:$E$60,MATCH($B33,'Parametri Modello'!$A$57:$A$60,0))=0,0,($O33/INDEX('Parametri Modello'!$E$57:$E$60,MATCH($B33,'Parametri Modello'!$A$57:$A$60,0)))*(INDEX('Parametri Modello'!$D$57:$D$60,MATCH($B33,'Parametri Modello'!$A$57:$A$60,0))*(INDEX('Parametri Modello'!$B$50:$B$53,MATCH($B33,'Parametri Modello'!$A$50:$A$53,0))*'Parametri Modello'!$B$44))),IF(INDEX('Parametri Modello'!$F$57:$F$60,MATCH($B33,'Parametri Modello'!$A$57:$A$60,0))=0,0,($O33/INDEX('Parametri Modello'!$F$57:$F$60,MATCH($B33,'Parametri Modello'!$A$57:$A$60,0)))*((1-INDEX('Parametri Modello'!$D$57:$D$60,MATCH($B33,'Parametri Modello'!$A$57:$A$60,0)))*(INDEX('Parametri Modello'!$B$50:$B$53,MATCH($B33,'Parametri Modello'!$A$50:$A$53,0))*'Parametri Modello'!$B$44))))*(1+IF(IF($B33="D",'Info Lega'!$B$25,IF($B33="C",'Info Lega'!$B$26,"No"))="Si",'Parametri Modello'!$B$5,0))*(1+MAX(-0.25,MIN(0.25,IF(OR($T33="",$I33="",$I33=0,INDEX('Parametri Modello'!$B$19:$B$22,MATCH($B33,'Parametri Modello'!$A$19:$A$22,0))="",INDEX('Parametri Modello'!$B$19:$B$22,MATCH($B33,'Parametri Modello'!$A$19:$A$22,0))=0),0,(($T33-INDEX('Parametri Modello'!$B$19:$B$22,MATCH($B33,'Parametri Modello'!$A$19:$A$22,0)))/INDEX('Parametri Modello'!$B$19:$B$22,MATCH($B33,'Parametri Modello'!$A$19:$A$22,0)))*'Parametri Modello'!$B$9))))*(1+IF('Parametri Modello'!$B$27="Si",MAX(-'Parametri Modello'!$B$28,MIN('Parametri Modello'!$B$28*1.5,IF(OR(INDEX('Parametri Modello'!$F$32:$F$35,MATCH($B33,'Parametri Modello'!$A$32:$A$35,0))="",INDEX('Parametri Modello'!$F$32:$F$35,MATCH($B33,'Parametri Modello'!$A$32:$A$35,0))=0),0,(1/INDEX('Parametri Modello'!$F$32:$F$35,MATCH($B33,'Parametri Modello'!$A$32:$A$35,0))-1)*'Parametri Modello'!$B$28))),0)))*(1-INDEX('Parametri Modello'!$B$12:$B$15,MATCH($B33,'Parametri Modello'!$A$12:$A$15,0)))),0),"")</f>
        <v>54</v>
      </c>
      <c r="H33" s="27" t="n">
        <f aca="false">IFERROR(ROUND((IF($V33&lt;=INDEX('Parametri Modello'!$C$57:$C$60,MATCH($B33,'Parametri Modello'!$A$57:$A$60,0)),IF(INDEX('Parametri Modello'!$E$57:$E$60,MATCH($B33,'Parametri Modello'!$A$57:$A$60,0))=0,0,($O33/INDEX('Parametri Modello'!$E$57:$E$60,MATCH($B33,'Parametri Modello'!$A$57:$A$60,0)))*(INDEX('Parametri Modello'!$D$57:$D$60,MATCH($B33,'Parametri Modello'!$A$57:$A$60,0))*(INDEX('Parametri Modello'!$B$50:$B$53,MATCH($B33,'Parametri Modello'!$A$50:$A$53,0))*'Parametri Modello'!$B$44))),IF(INDEX('Parametri Modello'!$F$57:$F$60,MATCH($B33,'Parametri Modello'!$A$57:$A$60,0))=0,0,($O33/INDEX('Parametri Modello'!$F$57:$F$60,MATCH($B33,'Parametri Modello'!$A$57:$A$60,0)))*((1-INDEX('Parametri Modello'!$D$57:$D$60,MATCH($B33,'Parametri Modello'!$A$57:$A$60,0)))*(INDEX('Parametri Modello'!$B$50:$B$53,MATCH($B33,'Parametri Modello'!$A$50:$A$53,0))*'Parametri Modello'!$B$44))))*(1+IF(IF($B33="D",'Info Lega'!$B$25,IF($B33="C",'Info Lega'!$B$26,"No"))="Si",'Parametri Modello'!$B$5,0))*(1+MAX(-0.25,MIN(0.25,IF(OR($T33="",$I33="",$I33=0,INDEX('Parametri Modello'!$B$19:$B$22,MATCH($B33,'Parametri Modello'!$A$19:$A$22,0))="",INDEX('Parametri Modello'!$B$19:$B$22,MATCH($B33,'Parametri Modello'!$A$19:$A$22,0))=0),0,(($T33-INDEX('Parametri Modello'!$B$19:$B$22,MATCH($B33,'Parametri Modello'!$A$19:$A$22,0)))/INDEX('Parametri Modello'!$B$19:$B$22,MATCH($B33,'Parametri Modello'!$A$19:$A$22,0)))*'Parametri Modello'!$B$9))))*(1+IF('Parametri Modello'!$B$27="Si",MAX(-'Parametri Modello'!$B$28,MIN('Parametri Modello'!$B$28*1.5,IF(OR(INDEX('Parametri Modello'!$F$32:$F$35,MATCH($B33,'Parametri Modello'!$A$32:$A$35,0))="",INDEX('Parametri Modello'!$F$32:$F$35,MATCH($B33,'Parametri Modello'!$A$32:$A$35,0))=0),0,(1/INDEX('Parametri Modello'!$F$32:$F$35,MATCH($B33,'Parametri Modello'!$A$32:$A$35,0))-1)*'Parametri Modello'!$B$28))),0)))*(1+INDEX('Parametri Modello'!$B$12:$B$15,MATCH($B33,'Parametri Modello'!$A$12:$A$15,0))),0),"")</f>
        <v>100</v>
      </c>
      <c r="I33" s="26" t="n">
        <f aca="false">IFERROR(INDEX('Input Statistiche 2025_26'!$F$3:$F$665,MATCH($A33,'Input Statistiche 2025_26'!$A$3:$A$665,0)),"")</f>
        <v>13</v>
      </c>
      <c r="J33" s="26" t="n">
        <f aca="false">IFERROR(IF($I33="","",MAX(0,38-$I33)),"")</f>
        <v>25</v>
      </c>
      <c r="K33" s="26" t="n">
        <f aca="false">IFERROR(INDEX('Input Statistiche 2025_26'!$I$3:$I$665,MATCH($A33,'Input Statistiche 2025_26'!$A$3:$A$665,0)),"")</f>
        <v>3</v>
      </c>
      <c r="L33" s="26" t="n">
        <f aca="false">IFERROR(INDEX('Input Statistiche 2025_26'!$O$3:$O$665,MATCH($A33,'Input Statistiche 2025_26'!$A$3:$A$665,0)),"")</f>
        <v>1</v>
      </c>
      <c r="M33" s="28"/>
      <c r="N33" s="27" t="n">
        <f aca="false">IFERROR(INDEX('Input Giocatori 2026_27'!$E$3:$E$493,MATCH($A33,'Input Giocatori 2026_27'!$A$3:$A$493,0)),"")</f>
        <v>16</v>
      </c>
      <c r="O33" s="27" t="n">
        <f aca="false">IFERROR(INDEX('Input Giocatori 2026_27'!$G$3:$G$493,MATCH($A33,'Input Giocatori 2026_27'!$A$3:$A$493,0)),"")</f>
        <v>84</v>
      </c>
      <c r="P33" s="26" t="str">
        <f aca="false">IFERROR(IF($O33="","",IF((1-(COUNTIFS($B$2:$B$492,$B33,$O$2:$O$492,"&gt;"&amp;$O33)+1-1)/COUNTIF($B$2:$B$492,$B33))&gt;=0.85,"Top",IF((1-(COUNTIFS($B$2:$B$492,$B33,$O$2:$O$492,"&gt;"&amp;$O33)+1-1)/COUNTIF($B$2:$B$492,$B33))&gt;=0.6,"Buono",IF((1-(COUNTIFS($B$2:$B$492,$B33,$O$2:$O$492,"&gt;"&amp;$O33)+1-1)/COUNTIF($B$2:$B$492,$B33))&gt;=0.3,"Nella Media","Scommessa/Riserva")))),"")</f>
        <v>Buono</v>
      </c>
      <c r="Q33" s="29" t="n">
        <f aca="false">IF($D33="",COUNTIF($D$2:$D33,""),"")</f>
        <v>32</v>
      </c>
      <c r="R33" s="29" t="str">
        <f aca="false">IF($D33='Info Lega'!$B$28,COUNTIFS($D$2:$D33,'Info Lega'!$B$28),"")</f>
        <v/>
      </c>
      <c r="S33" s="30" t="n">
        <f aca="false">IFERROR(INDEX('Input Statistiche 2025_26'!$G$3:$G$665,MATCH($A33,'Input Statistiche 2025_26'!$A$3:$A$665,0)),"")</f>
        <v>6</v>
      </c>
      <c r="T33" s="30" t="n">
        <f aca="false">IFERROR(INDEX('Input Statistiche 2025_26'!$H$3:$H$665,MATCH($A33,'Input Statistiche 2025_26'!$A$3:$A$665,0)),"")</f>
        <v>6.77</v>
      </c>
      <c r="U33" s="26" t="str">
        <f aca="false">IF(OR('La Mia Rosa'!$O$12="",$D33&lt;&gt;""),"",IF($F33&lt;='La Mia Rosa'!$O$12*'Parametri Modello'!$B$24,"OK",IF($F33&lt;='La Mia Rosa'!$O$12*'Parametri Modello'!$B$25,"Attenzione","Rischio Alto")))</f>
        <v>Attenzione</v>
      </c>
      <c r="V33" s="26" t="n">
        <f aca="false">IFERROR(COUNTIFS($B$2:$B$492,$B33,$O$2:$O$492,"&gt;"&amp;$O33)+1,"")</f>
        <v>18</v>
      </c>
      <c r="W33" s="21" t="n">
        <f aca="false">'Info Lega'!$B$4-SUMIFS($M$2:$M$492,$D$2:$D$492,'Info Lega'!$B$28)</f>
        <v>1000</v>
      </c>
      <c r="X33" s="21" t="n">
        <f aca="false">('Info Lega'!$B$5-COUNTIFS($D$2:$D$492,'Info Lega'!$B$28,$B$2:$B$492,"P"))+('Info Lega'!$B$6-COUNTIFS($D$2:$D$492,'Info Lega'!$B$28,$B$2:$B$492,"D"))+('Info Lega'!$B$7-COUNTIFS($D$2:$D$492,'Info Lega'!$B$28,$B$2:$B$492,"C"))+('Info Lega'!$B$8-COUNTIFS($D$2:$D$492,'Info Lega'!$B$28,$B$2:$B$492,"A"))</f>
        <v>25</v>
      </c>
      <c r="Y33" s="21" t="n">
        <f aca="false">X33*'Parametri Modello'!$B$30</f>
        <v>25</v>
      </c>
      <c r="Z33" s="21" t="n">
        <f aca="false">MAX(0,W33-Y33)</f>
        <v>975</v>
      </c>
      <c r="AA33" s="21" t="n">
        <f aca="false">MIN(F33,Z33)</f>
        <v>86</v>
      </c>
      <c r="AB33" s="21"/>
      <c r="AC33" s="21" t="str">
        <f aca="false">IF(AB33="","",IF(AB33&gt;AA33,"PASS",IF(AB33&lt;=AA33*0.85,"BID","ATTENZIONE")))</f>
        <v/>
      </c>
      <c r="AD33" s="31" t="n">
        <f aca="false">IF(I33="","",ROUND(100*(1-EXP(-I33/30)),0))</f>
        <v>35</v>
      </c>
      <c r="AE33" s="7" t="str">
        <f aca="false">IFERROR(INDEX('Stato Asta'!$G$9:$G$12,MATCH($B33,'Stato Asta'!$A$9:$A$12,0)),"")</f>
        <v>🔴 Non aspettare</v>
      </c>
    </row>
    <row r="34" customFormat="false" ht="14.25" hidden="false" customHeight="true" outlineLevel="0" collapsed="false">
      <c r="A34" s="21" t="n">
        <v>6572</v>
      </c>
      <c r="B34" s="21" t="s">
        <v>46</v>
      </c>
      <c r="C34" s="21" t="s">
        <v>560</v>
      </c>
      <c r="E34" s="26" t="str">
        <f aca="false">IF(COUNTIF('Info Strategia'!$D$2:$D$51,$C34)&gt;0,"SI","NO")</f>
        <v>NO</v>
      </c>
      <c r="F34" s="27" t="n">
        <f aca="false">IFERROR(ROUND(($G34+($H34-$G34)*'Info Strategia'!$B$6)*(1+IF($E34="SI",'Parametri Modello'!$B$7*'Info Strategia'!$B$6,0)),0),"")</f>
        <v>85</v>
      </c>
      <c r="G34" s="27" t="n">
        <f aca="false">IFERROR(ROUND(MAX(1,(IF($V34&lt;=INDEX('Parametri Modello'!$C$57:$C$60,MATCH($B34,'Parametri Modello'!$A$57:$A$60,0)),IF(INDEX('Parametri Modello'!$E$57:$E$60,MATCH($B34,'Parametri Modello'!$A$57:$A$60,0))=0,0,($O34/INDEX('Parametri Modello'!$E$57:$E$60,MATCH($B34,'Parametri Modello'!$A$57:$A$60,0)))*(INDEX('Parametri Modello'!$D$57:$D$60,MATCH($B34,'Parametri Modello'!$A$57:$A$60,0))*(INDEX('Parametri Modello'!$B$50:$B$53,MATCH($B34,'Parametri Modello'!$A$50:$A$53,0))*'Parametri Modello'!$B$44))),IF(INDEX('Parametri Modello'!$F$57:$F$60,MATCH($B34,'Parametri Modello'!$A$57:$A$60,0))=0,0,($O34/INDEX('Parametri Modello'!$F$57:$F$60,MATCH($B34,'Parametri Modello'!$A$57:$A$60,0)))*((1-INDEX('Parametri Modello'!$D$57:$D$60,MATCH($B34,'Parametri Modello'!$A$57:$A$60,0)))*(INDEX('Parametri Modello'!$B$50:$B$53,MATCH($B34,'Parametri Modello'!$A$50:$A$53,0))*'Parametri Modello'!$B$44))))*(1+IF(IF($B34="D",'Info Lega'!$B$25,IF($B34="C",'Info Lega'!$B$26,"No"))="Si",'Parametri Modello'!$B$5,0))*(1+MAX(-0.25,MIN(0.25,IF(OR($T34="",$I34="",$I34=0,INDEX('Parametri Modello'!$B$19:$B$22,MATCH($B34,'Parametri Modello'!$A$19:$A$22,0))="",INDEX('Parametri Modello'!$B$19:$B$22,MATCH($B34,'Parametri Modello'!$A$19:$A$22,0))=0),0,(($T34-INDEX('Parametri Modello'!$B$19:$B$22,MATCH($B34,'Parametri Modello'!$A$19:$A$22,0)))/INDEX('Parametri Modello'!$B$19:$B$22,MATCH($B34,'Parametri Modello'!$A$19:$A$22,0)))*'Parametri Modello'!$B$9))))*(1+IF('Parametri Modello'!$B$27="Si",MAX(-'Parametri Modello'!$B$28,MIN('Parametri Modello'!$B$28*1.5,IF(OR(INDEX('Parametri Modello'!$F$32:$F$35,MATCH($B34,'Parametri Modello'!$A$32:$A$35,0))="",INDEX('Parametri Modello'!$F$32:$F$35,MATCH($B34,'Parametri Modello'!$A$32:$A$35,0))=0),0,(1/INDEX('Parametri Modello'!$F$32:$F$35,MATCH($B34,'Parametri Modello'!$A$32:$A$35,0))-1)*'Parametri Modello'!$B$28))),0)))*(1-INDEX('Parametri Modello'!$B$12:$B$15,MATCH($B34,'Parametri Modello'!$A$12:$A$15,0)))),0),"")</f>
        <v>53</v>
      </c>
      <c r="H34" s="27" t="n">
        <f aca="false">IFERROR(ROUND((IF($V34&lt;=INDEX('Parametri Modello'!$C$57:$C$60,MATCH($B34,'Parametri Modello'!$A$57:$A$60,0)),IF(INDEX('Parametri Modello'!$E$57:$E$60,MATCH($B34,'Parametri Modello'!$A$57:$A$60,0))=0,0,($O34/INDEX('Parametri Modello'!$E$57:$E$60,MATCH($B34,'Parametri Modello'!$A$57:$A$60,0)))*(INDEX('Parametri Modello'!$D$57:$D$60,MATCH($B34,'Parametri Modello'!$A$57:$A$60,0))*(INDEX('Parametri Modello'!$B$50:$B$53,MATCH($B34,'Parametri Modello'!$A$50:$A$53,0))*'Parametri Modello'!$B$44))),IF(INDEX('Parametri Modello'!$F$57:$F$60,MATCH($B34,'Parametri Modello'!$A$57:$A$60,0))=0,0,($O34/INDEX('Parametri Modello'!$F$57:$F$60,MATCH($B34,'Parametri Modello'!$A$57:$A$60,0)))*((1-INDEX('Parametri Modello'!$D$57:$D$60,MATCH($B34,'Parametri Modello'!$A$57:$A$60,0)))*(INDEX('Parametri Modello'!$B$50:$B$53,MATCH($B34,'Parametri Modello'!$A$50:$A$53,0))*'Parametri Modello'!$B$44))))*(1+IF(IF($B34="D",'Info Lega'!$B$25,IF($B34="C",'Info Lega'!$B$26,"No"))="Si",'Parametri Modello'!$B$5,0))*(1+MAX(-0.25,MIN(0.25,IF(OR($T34="",$I34="",$I34=0,INDEX('Parametri Modello'!$B$19:$B$22,MATCH($B34,'Parametri Modello'!$A$19:$A$22,0))="",INDEX('Parametri Modello'!$B$19:$B$22,MATCH($B34,'Parametri Modello'!$A$19:$A$22,0))=0),0,(($T34-INDEX('Parametri Modello'!$B$19:$B$22,MATCH($B34,'Parametri Modello'!$A$19:$A$22,0)))/INDEX('Parametri Modello'!$B$19:$B$22,MATCH($B34,'Parametri Modello'!$A$19:$A$22,0)))*'Parametri Modello'!$B$9))))*(1+IF('Parametri Modello'!$B$27="Si",MAX(-'Parametri Modello'!$B$28,MIN('Parametri Modello'!$B$28*1.5,IF(OR(INDEX('Parametri Modello'!$F$32:$F$35,MATCH($B34,'Parametri Modello'!$A$32:$A$35,0))="",INDEX('Parametri Modello'!$F$32:$F$35,MATCH($B34,'Parametri Modello'!$A$32:$A$35,0))=0),0,(1/INDEX('Parametri Modello'!$F$32:$F$35,MATCH($B34,'Parametri Modello'!$A$32:$A$35,0))-1)*'Parametri Modello'!$B$28))),0)))*(1+INDEX('Parametri Modello'!$B$12:$B$15,MATCH($B34,'Parametri Modello'!$A$12:$A$15,0))),0),"")</f>
        <v>98</v>
      </c>
      <c r="I34" s="26" t="n">
        <f aca="false">IFERROR(INDEX('Input Statistiche 2025_26'!$F$3:$F$665,MATCH($A34,'Input Statistiche 2025_26'!$A$3:$A$665,0)),"")</f>
        <v>35</v>
      </c>
      <c r="J34" s="26" t="n">
        <f aca="false">IFERROR(IF($I34="","",MAX(0,38-$I34)),"")</f>
        <v>3</v>
      </c>
      <c r="K34" s="26" t="n">
        <f aca="false">IFERROR(INDEX('Input Statistiche 2025_26'!$I$3:$I$665,MATCH($A34,'Input Statistiche 2025_26'!$A$3:$A$665,0)),"")</f>
        <v>7</v>
      </c>
      <c r="L34" s="26" t="n">
        <f aca="false">IFERROR(INDEX('Input Statistiche 2025_26'!$O$3:$O$665,MATCH($A34,'Input Statistiche 2025_26'!$A$3:$A$665,0)),"")</f>
        <v>1</v>
      </c>
      <c r="M34" s="28"/>
      <c r="N34" s="27" t="n">
        <f aca="false">IFERROR(INDEX('Input Giocatori 2026_27'!$E$3:$E$493,MATCH($A34,'Input Giocatori 2026_27'!$A$3:$A$493,0)),"")</f>
        <v>14</v>
      </c>
      <c r="O34" s="27" t="n">
        <f aca="false">IFERROR(INDEX('Input Giocatori 2026_27'!$G$3:$G$493,MATCH($A34,'Input Giocatori 2026_27'!$A$3:$A$493,0)),"")</f>
        <v>83</v>
      </c>
      <c r="P34" s="26" t="str">
        <f aca="false">IFERROR(IF($O34="","",IF((1-(COUNTIFS($B$2:$B$492,$B34,$O$2:$O$492,"&gt;"&amp;$O34)+1-1)/COUNTIF($B$2:$B$492,$B34))&gt;=0.85,"Top",IF((1-(COUNTIFS($B$2:$B$492,$B34,$O$2:$O$492,"&gt;"&amp;$O34)+1-1)/COUNTIF($B$2:$B$492,$B34))&gt;=0.6,"Buono",IF((1-(COUNTIFS($B$2:$B$492,$B34,$O$2:$O$492,"&gt;"&amp;$O34)+1-1)/COUNTIF($B$2:$B$492,$B34))&gt;=0.3,"Nella Media","Scommessa/Riserva")))),"")</f>
        <v>Buono</v>
      </c>
      <c r="Q34" s="29" t="n">
        <f aca="false">IF($D34="",COUNTIF($D$2:$D34,""),"")</f>
        <v>33</v>
      </c>
      <c r="R34" s="29" t="str">
        <f aca="false">IF($D34='Info Lega'!$B$28,COUNTIFS($D$2:$D34,'Info Lega'!$B$28),"")</f>
        <v/>
      </c>
      <c r="S34" s="30" t="n">
        <f aca="false">IFERROR(INDEX('Input Statistiche 2025_26'!$G$3:$G$665,MATCH($A34,'Input Statistiche 2025_26'!$A$3:$A$665,0)),"")</f>
        <v>5.93</v>
      </c>
      <c r="T34" s="30" t="n">
        <f aca="false">IFERROR(INDEX('Input Statistiche 2025_26'!$H$3:$H$665,MATCH($A34,'Input Statistiche 2025_26'!$A$3:$A$665,0)),"")</f>
        <v>6.51</v>
      </c>
      <c r="U34" s="26" t="str">
        <f aca="false">IF(OR('La Mia Rosa'!$O$12="",$D34&lt;&gt;""),"",IF($F34&lt;='La Mia Rosa'!$O$12*'Parametri Modello'!$B$24,"OK",IF($F34&lt;='La Mia Rosa'!$O$12*'Parametri Modello'!$B$25,"Attenzione","Rischio Alto")))</f>
        <v>Attenzione</v>
      </c>
      <c r="V34" s="26" t="n">
        <f aca="false">IFERROR(COUNTIFS($B$2:$B$492,$B34,$O$2:$O$492,"&gt;"&amp;$O34)+1,"")</f>
        <v>19</v>
      </c>
      <c r="W34" s="21" t="n">
        <f aca="false">'Info Lega'!$B$4-SUMIFS($M$2:$M$492,$D$2:$D$492,'Info Lega'!$B$28)</f>
        <v>1000</v>
      </c>
      <c r="X34" s="21" t="n">
        <f aca="false">('Info Lega'!$B$5-COUNTIFS($D$2:$D$492,'Info Lega'!$B$28,$B$2:$B$492,"P"))+('Info Lega'!$B$6-COUNTIFS($D$2:$D$492,'Info Lega'!$B$28,$B$2:$B$492,"D"))+('Info Lega'!$B$7-COUNTIFS($D$2:$D$492,'Info Lega'!$B$28,$B$2:$B$492,"C"))+('Info Lega'!$B$8-COUNTIFS($D$2:$D$492,'Info Lega'!$B$28,$B$2:$B$492,"A"))</f>
        <v>25</v>
      </c>
      <c r="Y34" s="21" t="n">
        <f aca="false">X34*'Parametri Modello'!$B$30</f>
        <v>25</v>
      </c>
      <c r="Z34" s="21" t="n">
        <f aca="false">MAX(0,W34-Y34)</f>
        <v>975</v>
      </c>
      <c r="AA34" s="21" t="n">
        <f aca="false">MIN(F34,Z34)</f>
        <v>85</v>
      </c>
      <c r="AB34" s="21"/>
      <c r="AC34" s="21" t="str">
        <f aca="false">IF(AB34="","",IF(AB34&gt;AA34,"PASS",IF(AB34&lt;=AA34*0.85,"BID","ATTENZIONE")))</f>
        <v/>
      </c>
      <c r="AD34" s="31" t="n">
        <f aca="false">IF(I34="","",ROUND(100*(1-EXP(-I34/30)),0))</f>
        <v>69</v>
      </c>
      <c r="AE34" s="7" t="str">
        <f aca="false">IFERROR(INDEX('Stato Asta'!$G$9:$G$12,MATCH($B34,'Stato Asta'!$A$9:$A$12,0)),"")</f>
        <v>🔴 Non aspettare</v>
      </c>
    </row>
    <row r="35" customFormat="false" ht="14.25" hidden="false" customHeight="true" outlineLevel="0" collapsed="false">
      <c r="A35" s="21" t="n">
        <v>1870</v>
      </c>
      <c r="B35" s="21" t="s">
        <v>45</v>
      </c>
      <c r="C35" s="21" t="s">
        <v>376</v>
      </c>
      <c r="E35" s="26" t="str">
        <f aca="false">IF(COUNTIF('Info Strategia'!$D$2:$D$51,$C35)&gt;0,"SI","NO")</f>
        <v>NO</v>
      </c>
      <c r="F35" s="27" t="n">
        <f aca="false">IFERROR(ROUND(($G35+($H35-$G35)*'Info Strategia'!$B$6)*(1+IF($E35="SI",'Parametri Modello'!$B$7*'Info Strategia'!$B$6,0)),0),"")</f>
        <v>55</v>
      </c>
      <c r="G35" s="27" t="n">
        <f aca="false">IFERROR(ROUND(MAX(1,(IF($V35&lt;=INDEX('Parametri Modello'!$C$57:$C$60,MATCH($B35,'Parametri Modello'!$A$57:$A$60,0)),IF(INDEX('Parametri Modello'!$E$57:$E$60,MATCH($B35,'Parametri Modello'!$A$57:$A$60,0))=0,0,($O35/INDEX('Parametri Modello'!$E$57:$E$60,MATCH($B35,'Parametri Modello'!$A$57:$A$60,0)))*(INDEX('Parametri Modello'!$D$57:$D$60,MATCH($B35,'Parametri Modello'!$A$57:$A$60,0))*(INDEX('Parametri Modello'!$B$50:$B$53,MATCH($B35,'Parametri Modello'!$A$50:$A$53,0))*'Parametri Modello'!$B$44))),IF(INDEX('Parametri Modello'!$F$57:$F$60,MATCH($B35,'Parametri Modello'!$A$57:$A$60,0))=0,0,($O35/INDEX('Parametri Modello'!$F$57:$F$60,MATCH($B35,'Parametri Modello'!$A$57:$A$60,0)))*((1-INDEX('Parametri Modello'!$D$57:$D$60,MATCH($B35,'Parametri Modello'!$A$57:$A$60,0)))*(INDEX('Parametri Modello'!$B$50:$B$53,MATCH($B35,'Parametri Modello'!$A$50:$A$53,0))*'Parametri Modello'!$B$44))))*(1+IF(IF($B35="D",'Info Lega'!$B$25,IF($B35="C",'Info Lega'!$B$26,"No"))="Si",'Parametri Modello'!$B$5,0))*(1+MAX(-0.25,MIN(0.25,IF(OR($T35="",$I35="",$I35=0,INDEX('Parametri Modello'!$B$19:$B$22,MATCH($B35,'Parametri Modello'!$A$19:$A$22,0))="",INDEX('Parametri Modello'!$B$19:$B$22,MATCH($B35,'Parametri Modello'!$A$19:$A$22,0))=0),0,(($T35-INDEX('Parametri Modello'!$B$19:$B$22,MATCH($B35,'Parametri Modello'!$A$19:$A$22,0)))/INDEX('Parametri Modello'!$B$19:$B$22,MATCH($B35,'Parametri Modello'!$A$19:$A$22,0)))*'Parametri Modello'!$B$9))))*(1+IF('Parametri Modello'!$B$27="Si",MAX(-'Parametri Modello'!$B$28,MIN('Parametri Modello'!$B$28*1.5,IF(OR(INDEX('Parametri Modello'!$F$32:$F$35,MATCH($B35,'Parametri Modello'!$A$32:$A$35,0))="",INDEX('Parametri Modello'!$F$32:$F$35,MATCH($B35,'Parametri Modello'!$A$32:$A$35,0))=0),0,(1/INDEX('Parametri Modello'!$F$32:$F$35,MATCH($B35,'Parametri Modello'!$A$32:$A$35,0))-1)*'Parametri Modello'!$B$28))),0)))*(1-INDEX('Parametri Modello'!$B$12:$B$15,MATCH($B35,'Parametri Modello'!$A$12:$A$15,0)))),0),"")</f>
        <v>37</v>
      </c>
      <c r="H35" s="27" t="n">
        <f aca="false">IFERROR(ROUND((IF($V35&lt;=INDEX('Parametri Modello'!$C$57:$C$60,MATCH($B35,'Parametri Modello'!$A$57:$A$60,0)),IF(INDEX('Parametri Modello'!$E$57:$E$60,MATCH($B35,'Parametri Modello'!$A$57:$A$60,0))=0,0,($O35/INDEX('Parametri Modello'!$E$57:$E$60,MATCH($B35,'Parametri Modello'!$A$57:$A$60,0)))*(INDEX('Parametri Modello'!$D$57:$D$60,MATCH($B35,'Parametri Modello'!$A$57:$A$60,0))*(INDEX('Parametri Modello'!$B$50:$B$53,MATCH($B35,'Parametri Modello'!$A$50:$A$53,0))*'Parametri Modello'!$B$44))),IF(INDEX('Parametri Modello'!$F$57:$F$60,MATCH($B35,'Parametri Modello'!$A$57:$A$60,0))=0,0,($O35/INDEX('Parametri Modello'!$F$57:$F$60,MATCH($B35,'Parametri Modello'!$A$57:$A$60,0)))*((1-INDEX('Parametri Modello'!$D$57:$D$60,MATCH($B35,'Parametri Modello'!$A$57:$A$60,0)))*(INDEX('Parametri Modello'!$B$50:$B$53,MATCH($B35,'Parametri Modello'!$A$50:$A$53,0))*'Parametri Modello'!$B$44))))*(1+IF(IF($B35="D",'Info Lega'!$B$25,IF($B35="C",'Info Lega'!$B$26,"No"))="Si",'Parametri Modello'!$B$5,0))*(1+MAX(-0.25,MIN(0.25,IF(OR($T35="",$I35="",$I35=0,INDEX('Parametri Modello'!$B$19:$B$22,MATCH($B35,'Parametri Modello'!$A$19:$A$22,0))="",INDEX('Parametri Modello'!$B$19:$B$22,MATCH($B35,'Parametri Modello'!$A$19:$A$22,0))=0),0,(($T35-INDEX('Parametri Modello'!$B$19:$B$22,MATCH($B35,'Parametri Modello'!$A$19:$A$22,0)))/INDEX('Parametri Modello'!$B$19:$B$22,MATCH($B35,'Parametri Modello'!$A$19:$A$22,0)))*'Parametri Modello'!$B$9))))*(1+IF('Parametri Modello'!$B$27="Si",MAX(-'Parametri Modello'!$B$28,MIN('Parametri Modello'!$B$28*1.5,IF(OR(INDEX('Parametri Modello'!$F$32:$F$35,MATCH($B35,'Parametri Modello'!$A$32:$A$35,0))="",INDEX('Parametri Modello'!$F$32:$F$35,MATCH($B35,'Parametri Modello'!$A$32:$A$35,0))=0),0,(1/INDEX('Parametri Modello'!$F$32:$F$35,MATCH($B35,'Parametri Modello'!$A$32:$A$35,0))-1)*'Parametri Modello'!$B$28))),0)))*(1+INDEX('Parametri Modello'!$B$12:$B$15,MATCH($B35,'Parametri Modello'!$A$12:$A$15,0))),0),"")</f>
        <v>62</v>
      </c>
      <c r="I35" s="26" t="n">
        <f aca="false">IFERROR(INDEX('Input Statistiche 2025_26'!$F$3:$F$665,MATCH($A35,'Input Statistiche 2025_26'!$A$3:$A$665,0)),"")</f>
        <v>34</v>
      </c>
      <c r="J35" s="26" t="n">
        <f aca="false">IFERROR(IF($I35="","",MAX(0,38-$I35)),"")</f>
        <v>4</v>
      </c>
      <c r="K35" s="26" t="n">
        <f aca="false">IFERROR(INDEX('Input Statistiche 2025_26'!$I$3:$I$665,MATCH($A35,'Input Statistiche 2025_26'!$A$3:$A$665,0)),"")</f>
        <v>3</v>
      </c>
      <c r="L35" s="26" t="n">
        <f aca="false">IFERROR(INDEX('Input Statistiche 2025_26'!$O$3:$O$665,MATCH($A35,'Input Statistiche 2025_26'!$A$3:$A$665,0)),"")</f>
        <v>9</v>
      </c>
      <c r="M35" s="28"/>
      <c r="N35" s="27" t="n">
        <f aca="false">IFERROR(INDEX('Input Giocatori 2026_27'!$E$3:$E$493,MATCH($A35,'Input Giocatori 2026_27'!$A$3:$A$493,0)),"")</f>
        <v>17</v>
      </c>
      <c r="O35" s="27" t="n">
        <f aca="false">IFERROR(INDEX('Input Giocatori 2026_27'!$G$3:$G$493,MATCH($A35,'Input Giocatori 2026_27'!$A$3:$A$493,0)),"")</f>
        <v>82</v>
      </c>
      <c r="P35" s="26" t="str">
        <f aca="false">IFERROR(IF($O35="","",IF((1-(COUNTIFS($B$2:$B$492,$B35,$O$2:$O$492,"&gt;"&amp;$O35)+1-1)/COUNTIF($B$2:$B$492,$B35))&gt;=0.85,"Top",IF((1-(COUNTIFS($B$2:$B$492,$B35,$O$2:$O$492,"&gt;"&amp;$O35)+1-1)/COUNTIF($B$2:$B$492,$B35))&gt;=0.6,"Buono",IF((1-(COUNTIFS($B$2:$B$492,$B35,$O$2:$O$492,"&gt;"&amp;$O35)+1-1)/COUNTIF($B$2:$B$492,$B35))&gt;=0.3,"Nella Media","Scommessa/Riserva")))),"")</f>
        <v>Top</v>
      </c>
      <c r="Q35" s="29" t="n">
        <f aca="false">IF($D35="",COUNTIF($D$2:$D35,""),"")</f>
        <v>34</v>
      </c>
      <c r="R35" s="29" t="str">
        <f aca="false">IF($D35='Info Lega'!$B$28,COUNTIFS($D$2:$D35,'Info Lega'!$B$28),"")</f>
        <v/>
      </c>
      <c r="S35" s="30" t="n">
        <f aca="false">IFERROR(INDEX('Input Statistiche 2025_26'!$G$3:$G$665,MATCH($A35,'Input Statistiche 2025_26'!$A$3:$A$665,0)),"")</f>
        <v>6.28</v>
      </c>
      <c r="T35" s="30" t="n">
        <f aca="false">IFERROR(INDEX('Input Statistiche 2025_26'!$H$3:$H$665,MATCH($A35,'Input Statistiche 2025_26'!$A$3:$A$665,0)),"")</f>
        <v>6.71</v>
      </c>
      <c r="U35" s="26" t="str">
        <f aca="false">IF(OR('La Mia Rosa'!$O$12="",$D35&lt;&gt;""),"",IF($F35&lt;='La Mia Rosa'!$O$12*'Parametri Modello'!$B$24,"OK",IF($F35&lt;='La Mia Rosa'!$O$12*'Parametri Modello'!$B$25,"Attenzione","Rischio Alto")))</f>
        <v>OK</v>
      </c>
      <c r="V35" s="26" t="n">
        <f aca="false">IFERROR(COUNTIFS($B$2:$B$492,$B35,$O$2:$O$492,"&gt;"&amp;$O35)+1,"")</f>
        <v>13</v>
      </c>
      <c r="W35" s="21" t="n">
        <f aca="false">'Info Lega'!$B$4-SUMIFS($M$2:$M$492,$D$2:$D$492,'Info Lega'!$B$28)</f>
        <v>1000</v>
      </c>
      <c r="X35" s="21" t="n">
        <f aca="false">('Info Lega'!$B$5-COUNTIFS($D$2:$D$492,'Info Lega'!$B$28,$B$2:$B$492,"P"))+('Info Lega'!$B$6-COUNTIFS($D$2:$D$492,'Info Lega'!$B$28,$B$2:$B$492,"D"))+('Info Lega'!$B$7-COUNTIFS($D$2:$D$492,'Info Lega'!$B$28,$B$2:$B$492,"C"))+('Info Lega'!$B$8-COUNTIFS($D$2:$D$492,'Info Lega'!$B$28,$B$2:$B$492,"A"))</f>
        <v>25</v>
      </c>
      <c r="Y35" s="21" t="n">
        <f aca="false">X35*'Parametri Modello'!$B$30</f>
        <v>25</v>
      </c>
      <c r="Z35" s="21" t="n">
        <f aca="false">MAX(0,W35-Y35)</f>
        <v>975</v>
      </c>
      <c r="AA35" s="21" t="n">
        <f aca="false">MIN(F35,Z35)</f>
        <v>55</v>
      </c>
      <c r="AB35" s="21"/>
      <c r="AC35" s="21" t="str">
        <f aca="false">IF(AB35="","",IF(AB35&gt;AA35,"PASS",IF(AB35&lt;=AA35*0.85,"BID","ATTENZIONE")))</f>
        <v/>
      </c>
      <c r="AD35" s="31" t="n">
        <f aca="false">IF(I35="","",ROUND(100*(1-EXP(-I35/30)),0))</f>
        <v>68</v>
      </c>
      <c r="AE35" s="7" t="str">
        <f aca="false">IFERROR(INDEX('Stato Asta'!$G$9:$G$12,MATCH($B35,'Stato Asta'!$A$9:$A$12,0)),"")</f>
        <v>🟡 Attesa rischiosa</v>
      </c>
    </row>
    <row r="36" customFormat="false" ht="14.25" hidden="false" customHeight="true" outlineLevel="0" collapsed="false">
      <c r="A36" s="21" t="n">
        <v>2061</v>
      </c>
      <c r="B36" s="21" t="s">
        <v>46</v>
      </c>
      <c r="C36" s="21" t="s">
        <v>557</v>
      </c>
      <c r="E36" s="26" t="str">
        <f aca="false">IF(COUNTIF('Info Strategia'!$D$2:$D$51,$C36)&gt;0,"SI","NO")</f>
        <v>NO</v>
      </c>
      <c r="F36" s="27" t="n">
        <f aca="false">IFERROR(ROUND(($G36+($H36-$G36)*'Info Strategia'!$B$6)*(1+IF($E36="SI",'Parametri Modello'!$B$7*'Info Strategia'!$B$6,0)),0),"")</f>
        <v>85</v>
      </c>
      <c r="G36" s="27" t="n">
        <f aca="false">IFERROR(ROUND(MAX(1,(IF($V36&lt;=INDEX('Parametri Modello'!$C$57:$C$60,MATCH($B36,'Parametri Modello'!$A$57:$A$60,0)),IF(INDEX('Parametri Modello'!$E$57:$E$60,MATCH($B36,'Parametri Modello'!$A$57:$A$60,0))=0,0,($O36/INDEX('Parametri Modello'!$E$57:$E$60,MATCH($B36,'Parametri Modello'!$A$57:$A$60,0)))*(INDEX('Parametri Modello'!$D$57:$D$60,MATCH($B36,'Parametri Modello'!$A$57:$A$60,0))*(INDEX('Parametri Modello'!$B$50:$B$53,MATCH($B36,'Parametri Modello'!$A$50:$A$53,0))*'Parametri Modello'!$B$44))),IF(INDEX('Parametri Modello'!$F$57:$F$60,MATCH($B36,'Parametri Modello'!$A$57:$A$60,0))=0,0,($O36/INDEX('Parametri Modello'!$F$57:$F$60,MATCH($B36,'Parametri Modello'!$A$57:$A$60,0)))*((1-INDEX('Parametri Modello'!$D$57:$D$60,MATCH($B36,'Parametri Modello'!$A$57:$A$60,0)))*(INDEX('Parametri Modello'!$B$50:$B$53,MATCH($B36,'Parametri Modello'!$A$50:$A$53,0))*'Parametri Modello'!$B$44))))*(1+IF(IF($B36="D",'Info Lega'!$B$25,IF($B36="C",'Info Lega'!$B$26,"No"))="Si",'Parametri Modello'!$B$5,0))*(1+MAX(-0.25,MIN(0.25,IF(OR($T36="",$I36="",$I36=0,INDEX('Parametri Modello'!$B$19:$B$22,MATCH($B36,'Parametri Modello'!$A$19:$A$22,0))="",INDEX('Parametri Modello'!$B$19:$B$22,MATCH($B36,'Parametri Modello'!$A$19:$A$22,0))=0),0,(($T36-INDEX('Parametri Modello'!$B$19:$B$22,MATCH($B36,'Parametri Modello'!$A$19:$A$22,0)))/INDEX('Parametri Modello'!$B$19:$B$22,MATCH($B36,'Parametri Modello'!$A$19:$A$22,0)))*'Parametri Modello'!$B$9))))*(1+IF('Parametri Modello'!$B$27="Si",MAX(-'Parametri Modello'!$B$28,MIN('Parametri Modello'!$B$28*1.5,IF(OR(INDEX('Parametri Modello'!$F$32:$F$35,MATCH($B36,'Parametri Modello'!$A$32:$A$35,0))="",INDEX('Parametri Modello'!$F$32:$F$35,MATCH($B36,'Parametri Modello'!$A$32:$A$35,0))=0),0,(1/INDEX('Parametri Modello'!$F$32:$F$35,MATCH($B36,'Parametri Modello'!$A$32:$A$35,0))-1)*'Parametri Modello'!$B$28))),0)))*(1-INDEX('Parametri Modello'!$B$12:$B$15,MATCH($B36,'Parametri Modello'!$A$12:$A$15,0)))),0),"")</f>
        <v>53</v>
      </c>
      <c r="H36" s="27" t="n">
        <f aca="false">IFERROR(ROUND((IF($V36&lt;=INDEX('Parametri Modello'!$C$57:$C$60,MATCH($B36,'Parametri Modello'!$A$57:$A$60,0)),IF(INDEX('Parametri Modello'!$E$57:$E$60,MATCH($B36,'Parametri Modello'!$A$57:$A$60,0))=0,0,($O36/INDEX('Parametri Modello'!$E$57:$E$60,MATCH($B36,'Parametri Modello'!$A$57:$A$60,0)))*(INDEX('Parametri Modello'!$D$57:$D$60,MATCH($B36,'Parametri Modello'!$A$57:$A$60,0))*(INDEX('Parametri Modello'!$B$50:$B$53,MATCH($B36,'Parametri Modello'!$A$50:$A$53,0))*'Parametri Modello'!$B$44))),IF(INDEX('Parametri Modello'!$F$57:$F$60,MATCH($B36,'Parametri Modello'!$A$57:$A$60,0))=0,0,($O36/INDEX('Parametri Modello'!$F$57:$F$60,MATCH($B36,'Parametri Modello'!$A$57:$A$60,0)))*((1-INDEX('Parametri Modello'!$D$57:$D$60,MATCH($B36,'Parametri Modello'!$A$57:$A$60,0)))*(INDEX('Parametri Modello'!$B$50:$B$53,MATCH($B36,'Parametri Modello'!$A$50:$A$53,0))*'Parametri Modello'!$B$44))))*(1+IF(IF($B36="D",'Info Lega'!$B$25,IF($B36="C",'Info Lega'!$B$26,"No"))="Si",'Parametri Modello'!$B$5,0))*(1+MAX(-0.25,MIN(0.25,IF(OR($T36="",$I36="",$I36=0,INDEX('Parametri Modello'!$B$19:$B$22,MATCH($B36,'Parametri Modello'!$A$19:$A$22,0))="",INDEX('Parametri Modello'!$B$19:$B$22,MATCH($B36,'Parametri Modello'!$A$19:$A$22,0))=0),0,(($T36-INDEX('Parametri Modello'!$B$19:$B$22,MATCH($B36,'Parametri Modello'!$A$19:$A$22,0)))/INDEX('Parametri Modello'!$B$19:$B$22,MATCH($B36,'Parametri Modello'!$A$19:$A$22,0)))*'Parametri Modello'!$B$9))))*(1+IF('Parametri Modello'!$B$27="Si",MAX(-'Parametri Modello'!$B$28,MIN('Parametri Modello'!$B$28*1.5,IF(OR(INDEX('Parametri Modello'!$F$32:$F$35,MATCH($B36,'Parametri Modello'!$A$32:$A$35,0))="",INDEX('Parametri Modello'!$F$32:$F$35,MATCH($B36,'Parametri Modello'!$A$32:$A$35,0))=0),0,(1/INDEX('Parametri Modello'!$F$32:$F$35,MATCH($B36,'Parametri Modello'!$A$32:$A$35,0))-1)*'Parametri Modello'!$B$28))),0)))*(1+INDEX('Parametri Modello'!$B$12:$B$15,MATCH($B36,'Parametri Modello'!$A$12:$A$15,0))),0),"")</f>
        <v>99</v>
      </c>
      <c r="I36" s="26" t="n">
        <f aca="false">IFERROR(INDEX('Input Statistiche 2025_26'!$F$3:$F$665,MATCH($A36,'Input Statistiche 2025_26'!$A$3:$A$665,0)),"")</f>
        <v>32</v>
      </c>
      <c r="J36" s="26" t="n">
        <f aca="false">IFERROR(IF($I36="","",MAX(0,38-$I36)),"")</f>
        <v>6</v>
      </c>
      <c r="K36" s="26" t="n">
        <f aca="false">IFERROR(INDEX('Input Statistiche 2025_26'!$I$3:$I$665,MATCH($A36,'Input Statistiche 2025_26'!$A$3:$A$665,0)),"")</f>
        <v>11</v>
      </c>
      <c r="L36" s="26" t="n">
        <f aca="false">IFERROR(INDEX('Input Statistiche 2025_26'!$O$3:$O$665,MATCH($A36,'Input Statistiche 2025_26'!$A$3:$A$665,0)),"")</f>
        <v>0</v>
      </c>
      <c r="M36" s="28"/>
      <c r="N36" s="27" t="n">
        <f aca="false">IFERROR(INDEX('Input Giocatori 2026_27'!$E$3:$E$493,MATCH($A36,'Input Giocatori 2026_27'!$A$3:$A$493,0)),"")</f>
        <v>15</v>
      </c>
      <c r="O36" s="27" t="n">
        <f aca="false">IFERROR(INDEX('Input Giocatori 2026_27'!$G$3:$G$493,MATCH($A36,'Input Giocatori 2026_27'!$A$3:$A$493,0)),"")</f>
        <v>82</v>
      </c>
      <c r="P36" s="26" t="str">
        <f aca="false">IFERROR(IF($O36="","",IF((1-(COUNTIFS($B$2:$B$492,$B36,$O$2:$O$492,"&gt;"&amp;$O36)+1-1)/COUNTIF($B$2:$B$492,$B36))&gt;=0.85,"Top",IF((1-(COUNTIFS($B$2:$B$492,$B36,$O$2:$O$492,"&gt;"&amp;$O36)+1-1)/COUNTIF($B$2:$B$492,$B36))&gt;=0.6,"Buono",IF((1-(COUNTIFS($B$2:$B$492,$B36,$O$2:$O$492,"&gt;"&amp;$O36)+1-1)/COUNTIF($B$2:$B$492,$B36))&gt;=0.3,"Nella Media","Scommessa/Riserva")))),"")</f>
        <v>Buono</v>
      </c>
      <c r="Q36" s="29" t="n">
        <f aca="false">IF($D36="",COUNTIF($D$2:$D36,""),"")</f>
        <v>35</v>
      </c>
      <c r="R36" s="29" t="str">
        <f aca="false">IF($D36='Info Lega'!$B$28,COUNTIFS($D$2:$D36,'Info Lega'!$B$28),"")</f>
        <v/>
      </c>
      <c r="S36" s="30" t="n">
        <f aca="false">IFERROR(INDEX('Input Statistiche 2025_26'!$G$3:$G$665,MATCH($A36,'Input Statistiche 2025_26'!$A$3:$A$665,0)),"")</f>
        <v>6.08</v>
      </c>
      <c r="T36" s="30" t="n">
        <f aca="false">IFERROR(INDEX('Input Statistiche 2025_26'!$H$3:$H$665,MATCH($A36,'Input Statistiche 2025_26'!$A$3:$A$665,0)),"")</f>
        <v>7.09</v>
      </c>
      <c r="U36" s="26" t="str">
        <f aca="false">IF(OR('La Mia Rosa'!$O$12="",$D36&lt;&gt;""),"",IF($F36&lt;='La Mia Rosa'!$O$12*'Parametri Modello'!$B$24,"OK",IF($F36&lt;='La Mia Rosa'!$O$12*'Parametri Modello'!$B$25,"Attenzione","Rischio Alto")))</f>
        <v>Attenzione</v>
      </c>
      <c r="V36" s="26" t="n">
        <f aca="false">IFERROR(COUNTIFS($B$2:$B$492,$B36,$O$2:$O$492,"&gt;"&amp;$O36)+1,"")</f>
        <v>20</v>
      </c>
      <c r="W36" s="21" t="n">
        <f aca="false">'Info Lega'!$B$4-SUMIFS($M$2:$M$492,$D$2:$D$492,'Info Lega'!$B$28)</f>
        <v>1000</v>
      </c>
      <c r="X36" s="21" t="n">
        <f aca="false">('Info Lega'!$B$5-COUNTIFS($D$2:$D$492,'Info Lega'!$B$28,$B$2:$B$492,"P"))+('Info Lega'!$B$6-COUNTIFS($D$2:$D$492,'Info Lega'!$B$28,$B$2:$B$492,"D"))+('Info Lega'!$B$7-COUNTIFS($D$2:$D$492,'Info Lega'!$B$28,$B$2:$B$492,"C"))+('Info Lega'!$B$8-COUNTIFS($D$2:$D$492,'Info Lega'!$B$28,$B$2:$B$492,"A"))</f>
        <v>25</v>
      </c>
      <c r="Y36" s="21" t="n">
        <f aca="false">X36*'Parametri Modello'!$B$30</f>
        <v>25</v>
      </c>
      <c r="Z36" s="21" t="n">
        <f aca="false">MAX(0,W36-Y36)</f>
        <v>975</v>
      </c>
      <c r="AA36" s="21" t="n">
        <f aca="false">MIN(F36,Z36)</f>
        <v>85</v>
      </c>
      <c r="AB36" s="21"/>
      <c r="AC36" s="21" t="str">
        <f aca="false">IF(AB36="","",IF(AB36&gt;AA36,"PASS",IF(AB36&lt;=AA36*0.85,"BID","ATTENZIONE")))</f>
        <v/>
      </c>
      <c r="AD36" s="31" t="n">
        <f aca="false">IF(I36="","",ROUND(100*(1-EXP(-I36/30)),0))</f>
        <v>66</v>
      </c>
      <c r="AE36" s="7" t="str">
        <f aca="false">IFERROR(INDEX('Stato Asta'!$G$9:$G$12,MATCH($B36,'Stato Asta'!$A$9:$A$12,0)),"")</f>
        <v>🔴 Non aspettare</v>
      </c>
    </row>
    <row r="37" customFormat="false" ht="14.25" hidden="false" customHeight="true" outlineLevel="0" collapsed="false">
      <c r="A37" s="21" t="n">
        <v>7023</v>
      </c>
      <c r="B37" s="21" t="s">
        <v>46</v>
      </c>
      <c r="C37" s="21" t="s">
        <v>555</v>
      </c>
      <c r="E37" s="26" t="str">
        <f aca="false">IF(COUNTIF('Info Strategia'!$D$2:$D$51,$C37)&gt;0,"SI","NO")</f>
        <v>NO</v>
      </c>
      <c r="F37" s="27" t="n">
        <f aca="false">IFERROR(ROUND(($G37+($H37-$G37)*'Info Strategia'!$B$6)*(1+IF($E37="SI",'Parametri Modello'!$B$7*'Info Strategia'!$B$6,0)),0),"")</f>
        <v>83</v>
      </c>
      <c r="G37" s="27" t="n">
        <f aca="false">IFERROR(ROUND(MAX(1,(IF($V37&lt;=INDEX('Parametri Modello'!$C$57:$C$60,MATCH($B37,'Parametri Modello'!$A$57:$A$60,0)),IF(INDEX('Parametri Modello'!$E$57:$E$60,MATCH($B37,'Parametri Modello'!$A$57:$A$60,0))=0,0,($O37/INDEX('Parametri Modello'!$E$57:$E$60,MATCH($B37,'Parametri Modello'!$A$57:$A$60,0)))*(INDEX('Parametri Modello'!$D$57:$D$60,MATCH($B37,'Parametri Modello'!$A$57:$A$60,0))*(INDEX('Parametri Modello'!$B$50:$B$53,MATCH($B37,'Parametri Modello'!$A$50:$A$53,0))*'Parametri Modello'!$B$44))),IF(INDEX('Parametri Modello'!$F$57:$F$60,MATCH($B37,'Parametri Modello'!$A$57:$A$60,0))=0,0,($O37/INDEX('Parametri Modello'!$F$57:$F$60,MATCH($B37,'Parametri Modello'!$A$57:$A$60,0)))*((1-INDEX('Parametri Modello'!$D$57:$D$60,MATCH($B37,'Parametri Modello'!$A$57:$A$60,0)))*(INDEX('Parametri Modello'!$B$50:$B$53,MATCH($B37,'Parametri Modello'!$A$50:$A$53,0))*'Parametri Modello'!$B$44))))*(1+IF(IF($B37="D",'Info Lega'!$B$25,IF($B37="C",'Info Lega'!$B$26,"No"))="Si",'Parametri Modello'!$B$5,0))*(1+MAX(-0.25,MIN(0.25,IF(OR($T37="",$I37="",$I37=0,INDEX('Parametri Modello'!$B$19:$B$22,MATCH($B37,'Parametri Modello'!$A$19:$A$22,0))="",INDEX('Parametri Modello'!$B$19:$B$22,MATCH($B37,'Parametri Modello'!$A$19:$A$22,0))=0),0,(($T37-INDEX('Parametri Modello'!$B$19:$B$22,MATCH($B37,'Parametri Modello'!$A$19:$A$22,0)))/INDEX('Parametri Modello'!$B$19:$B$22,MATCH($B37,'Parametri Modello'!$A$19:$A$22,0)))*'Parametri Modello'!$B$9))))*(1+IF('Parametri Modello'!$B$27="Si",MAX(-'Parametri Modello'!$B$28,MIN('Parametri Modello'!$B$28*1.5,IF(OR(INDEX('Parametri Modello'!$F$32:$F$35,MATCH($B37,'Parametri Modello'!$A$32:$A$35,0))="",INDEX('Parametri Modello'!$F$32:$F$35,MATCH($B37,'Parametri Modello'!$A$32:$A$35,0))=0),0,(1/INDEX('Parametri Modello'!$F$32:$F$35,MATCH($B37,'Parametri Modello'!$A$32:$A$35,0))-1)*'Parametri Modello'!$B$28))),0)))*(1-INDEX('Parametri Modello'!$B$12:$B$15,MATCH($B37,'Parametri Modello'!$A$12:$A$15,0)))),0),"")</f>
        <v>52</v>
      </c>
      <c r="H37" s="27" t="n">
        <f aca="false">IFERROR(ROUND((IF($V37&lt;=INDEX('Parametri Modello'!$C$57:$C$60,MATCH($B37,'Parametri Modello'!$A$57:$A$60,0)),IF(INDEX('Parametri Modello'!$E$57:$E$60,MATCH($B37,'Parametri Modello'!$A$57:$A$60,0))=0,0,($O37/INDEX('Parametri Modello'!$E$57:$E$60,MATCH($B37,'Parametri Modello'!$A$57:$A$60,0)))*(INDEX('Parametri Modello'!$D$57:$D$60,MATCH($B37,'Parametri Modello'!$A$57:$A$60,0))*(INDEX('Parametri Modello'!$B$50:$B$53,MATCH($B37,'Parametri Modello'!$A$50:$A$53,0))*'Parametri Modello'!$B$44))),IF(INDEX('Parametri Modello'!$F$57:$F$60,MATCH($B37,'Parametri Modello'!$A$57:$A$60,0))=0,0,($O37/INDEX('Parametri Modello'!$F$57:$F$60,MATCH($B37,'Parametri Modello'!$A$57:$A$60,0)))*((1-INDEX('Parametri Modello'!$D$57:$D$60,MATCH($B37,'Parametri Modello'!$A$57:$A$60,0)))*(INDEX('Parametri Modello'!$B$50:$B$53,MATCH($B37,'Parametri Modello'!$A$50:$A$53,0))*'Parametri Modello'!$B$44))))*(1+IF(IF($B37="D",'Info Lega'!$B$25,IF($B37="C",'Info Lega'!$B$26,"No"))="Si",'Parametri Modello'!$B$5,0))*(1+MAX(-0.25,MIN(0.25,IF(OR($T37="",$I37="",$I37=0,INDEX('Parametri Modello'!$B$19:$B$22,MATCH($B37,'Parametri Modello'!$A$19:$A$22,0))="",INDEX('Parametri Modello'!$B$19:$B$22,MATCH($B37,'Parametri Modello'!$A$19:$A$22,0))=0),0,(($T37-INDEX('Parametri Modello'!$B$19:$B$22,MATCH($B37,'Parametri Modello'!$A$19:$A$22,0)))/INDEX('Parametri Modello'!$B$19:$B$22,MATCH($B37,'Parametri Modello'!$A$19:$A$22,0)))*'Parametri Modello'!$B$9))))*(1+IF('Parametri Modello'!$B$27="Si",MAX(-'Parametri Modello'!$B$28,MIN('Parametri Modello'!$B$28*1.5,IF(OR(INDEX('Parametri Modello'!$F$32:$F$35,MATCH($B37,'Parametri Modello'!$A$32:$A$35,0))="",INDEX('Parametri Modello'!$F$32:$F$35,MATCH($B37,'Parametri Modello'!$A$32:$A$35,0))=0),0,(1/INDEX('Parametri Modello'!$F$32:$F$35,MATCH($B37,'Parametri Modello'!$A$32:$A$35,0))-1)*'Parametri Modello'!$B$28))),0)))*(1+INDEX('Parametri Modello'!$B$12:$B$15,MATCH($B37,'Parametri Modello'!$A$12:$A$15,0))),0),"")</f>
        <v>96</v>
      </c>
      <c r="I37" s="26" t="n">
        <f aca="false">IFERROR(INDEX('Input Statistiche 2025_26'!$F$3:$F$665,MATCH($A37,'Input Statistiche 2025_26'!$A$3:$A$665,0)),"")</f>
        <v>37</v>
      </c>
      <c r="J37" s="26" t="n">
        <f aca="false">IFERROR(IF($I37="","",MAX(0,38-$I37)),"")</f>
        <v>1</v>
      </c>
      <c r="K37" s="26" t="n">
        <f aca="false">IFERROR(INDEX('Input Statistiche 2025_26'!$I$3:$I$665,MATCH($A37,'Input Statistiche 2025_26'!$A$3:$A$665,0)),"")</f>
        <v>9</v>
      </c>
      <c r="L37" s="26" t="n">
        <f aca="false">IFERROR(INDEX('Input Statistiche 2025_26'!$O$3:$O$665,MATCH($A37,'Input Statistiche 2025_26'!$A$3:$A$665,0)),"")</f>
        <v>0</v>
      </c>
      <c r="M37" s="28"/>
      <c r="N37" s="27" t="n">
        <f aca="false">IFERROR(INDEX('Input Giocatori 2026_27'!$E$3:$E$493,MATCH($A37,'Input Giocatori 2026_27'!$A$3:$A$493,0)),"")</f>
        <v>15</v>
      </c>
      <c r="O37" s="27" t="n">
        <f aca="false">IFERROR(INDEX('Input Giocatori 2026_27'!$G$3:$G$493,MATCH($A37,'Input Giocatori 2026_27'!$A$3:$A$493,0)),"")</f>
        <v>81</v>
      </c>
      <c r="P37" s="26" t="str">
        <f aca="false">IFERROR(IF($O37="","",IF((1-(COUNTIFS($B$2:$B$492,$B37,$O$2:$O$492,"&gt;"&amp;$O37)+1-1)/COUNTIF($B$2:$B$492,$B37))&gt;=0.85,"Top",IF((1-(COUNTIFS($B$2:$B$492,$B37,$O$2:$O$492,"&gt;"&amp;$O37)+1-1)/COUNTIF($B$2:$B$492,$B37))&gt;=0.6,"Buono",IF((1-(COUNTIFS($B$2:$B$492,$B37,$O$2:$O$492,"&gt;"&amp;$O37)+1-1)/COUNTIF($B$2:$B$492,$B37))&gt;=0.3,"Nella Media","Scommessa/Riserva")))),"")</f>
        <v>Buono</v>
      </c>
      <c r="Q37" s="29" t="n">
        <f aca="false">IF($D37="",COUNTIF($D$2:$D37,""),"")</f>
        <v>36</v>
      </c>
      <c r="R37" s="29" t="str">
        <f aca="false">IF($D37='Info Lega'!$B$28,COUNTIFS($D$2:$D37,'Info Lega'!$B$28),"")</f>
        <v/>
      </c>
      <c r="S37" s="30" t="n">
        <f aca="false">IFERROR(INDEX('Input Statistiche 2025_26'!$G$3:$G$665,MATCH($A37,'Input Statistiche 2025_26'!$A$3:$A$665,0)),"")</f>
        <v>5.99</v>
      </c>
      <c r="T37" s="30" t="n">
        <f aca="false">IFERROR(INDEX('Input Statistiche 2025_26'!$H$3:$H$665,MATCH($A37,'Input Statistiche 2025_26'!$A$3:$A$665,0)),"")</f>
        <v>6.65</v>
      </c>
      <c r="U37" s="26" t="str">
        <f aca="false">IF(OR('La Mia Rosa'!$O$12="",$D37&lt;&gt;""),"",IF($F37&lt;='La Mia Rosa'!$O$12*'Parametri Modello'!$B$24,"OK",IF($F37&lt;='La Mia Rosa'!$O$12*'Parametri Modello'!$B$25,"Attenzione","Rischio Alto")))</f>
        <v>Attenzione</v>
      </c>
      <c r="V37" s="26" t="n">
        <f aca="false">IFERROR(COUNTIFS($B$2:$B$492,$B37,$O$2:$O$492,"&gt;"&amp;$O37)+1,"")</f>
        <v>21</v>
      </c>
      <c r="W37" s="21" t="n">
        <f aca="false">'Info Lega'!$B$4-SUMIFS($M$2:$M$492,$D$2:$D$492,'Info Lega'!$B$28)</f>
        <v>1000</v>
      </c>
      <c r="X37" s="21" t="n">
        <f aca="false">('Info Lega'!$B$5-COUNTIFS($D$2:$D$492,'Info Lega'!$B$28,$B$2:$B$492,"P"))+('Info Lega'!$B$6-COUNTIFS($D$2:$D$492,'Info Lega'!$B$28,$B$2:$B$492,"D"))+('Info Lega'!$B$7-COUNTIFS($D$2:$D$492,'Info Lega'!$B$28,$B$2:$B$492,"C"))+('Info Lega'!$B$8-COUNTIFS($D$2:$D$492,'Info Lega'!$B$28,$B$2:$B$492,"A"))</f>
        <v>25</v>
      </c>
      <c r="Y37" s="21" t="n">
        <f aca="false">X37*'Parametri Modello'!$B$30</f>
        <v>25</v>
      </c>
      <c r="Z37" s="21" t="n">
        <f aca="false">MAX(0,W37-Y37)</f>
        <v>975</v>
      </c>
      <c r="AA37" s="21" t="n">
        <f aca="false">MIN(F37,Z37)</f>
        <v>83</v>
      </c>
      <c r="AB37" s="21"/>
      <c r="AC37" s="21" t="str">
        <f aca="false">IF(AB37="","",IF(AB37&gt;AA37,"PASS",IF(AB37&lt;=AA37*0.85,"BID","ATTENZIONE")))</f>
        <v/>
      </c>
      <c r="AD37" s="31" t="n">
        <f aca="false">IF(I37="","",ROUND(100*(1-EXP(-I37/30)),0))</f>
        <v>71</v>
      </c>
      <c r="AE37" s="7" t="str">
        <f aca="false">IFERROR(INDEX('Stato Asta'!$G$9:$G$12,MATCH($B37,'Stato Asta'!$A$9:$A$12,0)),"")</f>
        <v>🔴 Non aspettare</v>
      </c>
    </row>
    <row r="38" customFormat="false" ht="14.25" hidden="false" customHeight="true" outlineLevel="0" collapsed="false">
      <c r="A38" s="21" t="n">
        <v>5687</v>
      </c>
      <c r="B38" s="21" t="s">
        <v>45</v>
      </c>
      <c r="C38" s="21" t="s">
        <v>380</v>
      </c>
      <c r="E38" s="26" t="str">
        <f aca="false">IF(COUNTIF('Info Strategia'!$D$2:$D$51,$C38)&gt;0,"SI","NO")</f>
        <v>NO</v>
      </c>
      <c r="F38" s="27" t="n">
        <f aca="false">IFERROR(ROUND(($G38+($H38-$G38)*'Info Strategia'!$B$6)*(1+IF($E38="SI",'Parametri Modello'!$B$7*'Info Strategia'!$B$6,0)),0),"")</f>
        <v>54</v>
      </c>
      <c r="G38" s="27" t="n">
        <f aca="false">IFERROR(ROUND(MAX(1,(IF($V38&lt;=INDEX('Parametri Modello'!$C$57:$C$60,MATCH($B38,'Parametri Modello'!$A$57:$A$60,0)),IF(INDEX('Parametri Modello'!$E$57:$E$60,MATCH($B38,'Parametri Modello'!$A$57:$A$60,0))=0,0,($O38/INDEX('Parametri Modello'!$E$57:$E$60,MATCH($B38,'Parametri Modello'!$A$57:$A$60,0)))*(INDEX('Parametri Modello'!$D$57:$D$60,MATCH($B38,'Parametri Modello'!$A$57:$A$60,0))*(INDEX('Parametri Modello'!$B$50:$B$53,MATCH($B38,'Parametri Modello'!$A$50:$A$53,0))*'Parametri Modello'!$B$44))),IF(INDEX('Parametri Modello'!$F$57:$F$60,MATCH($B38,'Parametri Modello'!$A$57:$A$60,0))=0,0,($O38/INDEX('Parametri Modello'!$F$57:$F$60,MATCH($B38,'Parametri Modello'!$A$57:$A$60,0)))*((1-INDEX('Parametri Modello'!$D$57:$D$60,MATCH($B38,'Parametri Modello'!$A$57:$A$60,0)))*(INDEX('Parametri Modello'!$B$50:$B$53,MATCH($B38,'Parametri Modello'!$A$50:$A$53,0))*'Parametri Modello'!$B$44))))*(1+IF(IF($B38="D",'Info Lega'!$B$25,IF($B38="C",'Info Lega'!$B$26,"No"))="Si",'Parametri Modello'!$B$5,0))*(1+MAX(-0.25,MIN(0.25,IF(OR($T38="",$I38="",$I38=0,INDEX('Parametri Modello'!$B$19:$B$22,MATCH($B38,'Parametri Modello'!$A$19:$A$22,0))="",INDEX('Parametri Modello'!$B$19:$B$22,MATCH($B38,'Parametri Modello'!$A$19:$A$22,0))=0),0,(($T38-INDEX('Parametri Modello'!$B$19:$B$22,MATCH($B38,'Parametri Modello'!$A$19:$A$22,0)))/INDEX('Parametri Modello'!$B$19:$B$22,MATCH($B38,'Parametri Modello'!$A$19:$A$22,0)))*'Parametri Modello'!$B$9))))*(1+IF('Parametri Modello'!$B$27="Si",MAX(-'Parametri Modello'!$B$28,MIN('Parametri Modello'!$B$28*1.5,IF(OR(INDEX('Parametri Modello'!$F$32:$F$35,MATCH($B38,'Parametri Modello'!$A$32:$A$35,0))="",INDEX('Parametri Modello'!$F$32:$F$35,MATCH($B38,'Parametri Modello'!$A$32:$A$35,0))=0),0,(1/INDEX('Parametri Modello'!$F$32:$F$35,MATCH($B38,'Parametri Modello'!$A$32:$A$35,0))-1)*'Parametri Modello'!$B$28))),0)))*(1-INDEX('Parametri Modello'!$B$12:$B$15,MATCH($B38,'Parametri Modello'!$A$12:$A$15,0)))),0),"")</f>
        <v>36</v>
      </c>
      <c r="H38" s="27" t="n">
        <f aca="false">IFERROR(ROUND((IF($V38&lt;=INDEX('Parametri Modello'!$C$57:$C$60,MATCH($B38,'Parametri Modello'!$A$57:$A$60,0)),IF(INDEX('Parametri Modello'!$E$57:$E$60,MATCH($B38,'Parametri Modello'!$A$57:$A$60,0))=0,0,($O38/INDEX('Parametri Modello'!$E$57:$E$60,MATCH($B38,'Parametri Modello'!$A$57:$A$60,0)))*(INDEX('Parametri Modello'!$D$57:$D$60,MATCH($B38,'Parametri Modello'!$A$57:$A$60,0))*(INDEX('Parametri Modello'!$B$50:$B$53,MATCH($B38,'Parametri Modello'!$A$50:$A$53,0))*'Parametri Modello'!$B$44))),IF(INDEX('Parametri Modello'!$F$57:$F$60,MATCH($B38,'Parametri Modello'!$A$57:$A$60,0))=0,0,($O38/INDEX('Parametri Modello'!$F$57:$F$60,MATCH($B38,'Parametri Modello'!$A$57:$A$60,0)))*((1-INDEX('Parametri Modello'!$D$57:$D$60,MATCH($B38,'Parametri Modello'!$A$57:$A$60,0)))*(INDEX('Parametri Modello'!$B$50:$B$53,MATCH($B38,'Parametri Modello'!$A$50:$A$53,0))*'Parametri Modello'!$B$44))))*(1+IF(IF($B38="D",'Info Lega'!$B$25,IF($B38="C",'Info Lega'!$B$26,"No"))="Si",'Parametri Modello'!$B$5,0))*(1+MAX(-0.25,MIN(0.25,IF(OR($T38="",$I38="",$I38=0,INDEX('Parametri Modello'!$B$19:$B$22,MATCH($B38,'Parametri Modello'!$A$19:$A$22,0))="",INDEX('Parametri Modello'!$B$19:$B$22,MATCH($B38,'Parametri Modello'!$A$19:$A$22,0))=0),0,(($T38-INDEX('Parametri Modello'!$B$19:$B$22,MATCH($B38,'Parametri Modello'!$A$19:$A$22,0)))/INDEX('Parametri Modello'!$B$19:$B$22,MATCH($B38,'Parametri Modello'!$A$19:$A$22,0)))*'Parametri Modello'!$B$9))))*(1+IF('Parametri Modello'!$B$27="Si",MAX(-'Parametri Modello'!$B$28,MIN('Parametri Modello'!$B$28*1.5,IF(OR(INDEX('Parametri Modello'!$F$32:$F$35,MATCH($B38,'Parametri Modello'!$A$32:$A$35,0))="",INDEX('Parametri Modello'!$F$32:$F$35,MATCH($B38,'Parametri Modello'!$A$32:$A$35,0))=0),0,(1/INDEX('Parametri Modello'!$F$32:$F$35,MATCH($B38,'Parametri Modello'!$A$32:$A$35,0))-1)*'Parametri Modello'!$B$28))),0)))*(1+INDEX('Parametri Modello'!$B$12:$B$15,MATCH($B38,'Parametri Modello'!$A$12:$A$15,0))),0),"")</f>
        <v>61</v>
      </c>
      <c r="I38" s="26" t="n">
        <f aca="false">IFERROR(INDEX('Input Statistiche 2025_26'!$F$3:$F$665,MATCH($A38,'Input Statistiche 2025_26'!$A$3:$A$665,0)),"")</f>
        <v>37</v>
      </c>
      <c r="J38" s="26" t="n">
        <f aca="false">IFERROR(IF($I38="","",MAX(0,38-$I38)),"")</f>
        <v>1</v>
      </c>
      <c r="K38" s="26" t="n">
        <f aca="false">IFERROR(INDEX('Input Statistiche 2025_26'!$I$3:$I$665,MATCH($A38,'Input Statistiche 2025_26'!$A$3:$A$665,0)),"")</f>
        <v>8</v>
      </c>
      <c r="L38" s="26" t="n">
        <f aca="false">IFERROR(INDEX('Input Statistiche 2025_26'!$O$3:$O$665,MATCH($A38,'Input Statistiche 2025_26'!$A$3:$A$665,0)),"")</f>
        <v>3</v>
      </c>
      <c r="M38" s="28"/>
      <c r="N38" s="27" t="n">
        <f aca="false">IFERROR(INDEX('Input Giocatori 2026_27'!$E$3:$E$493,MATCH($A38,'Input Giocatori 2026_27'!$A$3:$A$493,0)),"")</f>
        <v>14</v>
      </c>
      <c r="O38" s="27" t="n">
        <f aca="false">IFERROR(INDEX('Input Giocatori 2026_27'!$G$3:$G$493,MATCH($A38,'Input Giocatori 2026_27'!$A$3:$A$493,0)),"")</f>
        <v>80</v>
      </c>
      <c r="P38" s="26" t="str">
        <f aca="false">IFERROR(IF($O38="","",IF((1-(COUNTIFS($B$2:$B$492,$B38,$O$2:$O$492,"&gt;"&amp;$O38)+1-1)/COUNTIF($B$2:$B$492,$B38))&gt;=0.85,"Top",IF((1-(COUNTIFS($B$2:$B$492,$B38,$O$2:$O$492,"&gt;"&amp;$O38)+1-1)/COUNTIF($B$2:$B$492,$B38))&gt;=0.6,"Buono",IF((1-(COUNTIFS($B$2:$B$492,$B38,$O$2:$O$492,"&gt;"&amp;$O38)+1-1)/COUNTIF($B$2:$B$492,$B38))&gt;=0.3,"Nella Media","Scommessa/Riserva")))),"")</f>
        <v>Top</v>
      </c>
      <c r="Q38" s="29" t="n">
        <f aca="false">IF($D38="",COUNTIF($D$2:$D38,""),"")</f>
        <v>37</v>
      </c>
      <c r="R38" s="29" t="str">
        <f aca="false">IF($D38='Info Lega'!$B$28,COUNTIFS($D$2:$D38,'Info Lega'!$B$28),"")</f>
        <v/>
      </c>
      <c r="S38" s="30" t="n">
        <f aca="false">IFERROR(INDEX('Input Statistiche 2025_26'!$G$3:$G$665,MATCH($A38,'Input Statistiche 2025_26'!$A$3:$A$665,0)),"")</f>
        <v>6.03</v>
      </c>
      <c r="T38" s="30" t="n">
        <f aca="false">IFERROR(INDEX('Input Statistiche 2025_26'!$H$3:$H$665,MATCH($A38,'Input Statistiche 2025_26'!$A$3:$A$665,0)),"")</f>
        <v>6.66</v>
      </c>
      <c r="U38" s="26" t="str">
        <f aca="false">IF(OR('La Mia Rosa'!$O$12="",$D38&lt;&gt;""),"",IF($F38&lt;='La Mia Rosa'!$O$12*'Parametri Modello'!$B$24,"OK",IF($F38&lt;='La Mia Rosa'!$O$12*'Parametri Modello'!$B$25,"Attenzione","Rischio Alto")))</f>
        <v>OK</v>
      </c>
      <c r="V38" s="26" t="n">
        <f aca="false">IFERROR(COUNTIFS($B$2:$B$492,$B38,$O$2:$O$492,"&gt;"&amp;$O38)+1,"")</f>
        <v>14</v>
      </c>
      <c r="W38" s="21" t="n">
        <f aca="false">'Info Lega'!$B$4-SUMIFS($M$2:$M$492,$D$2:$D$492,'Info Lega'!$B$28)</f>
        <v>1000</v>
      </c>
      <c r="X38" s="21" t="n">
        <f aca="false">('Info Lega'!$B$5-COUNTIFS($D$2:$D$492,'Info Lega'!$B$28,$B$2:$B$492,"P"))+('Info Lega'!$B$6-COUNTIFS($D$2:$D$492,'Info Lega'!$B$28,$B$2:$B$492,"D"))+('Info Lega'!$B$7-COUNTIFS($D$2:$D$492,'Info Lega'!$B$28,$B$2:$B$492,"C"))+('Info Lega'!$B$8-COUNTIFS($D$2:$D$492,'Info Lega'!$B$28,$B$2:$B$492,"A"))</f>
        <v>25</v>
      </c>
      <c r="Y38" s="21" t="n">
        <f aca="false">X38*'Parametri Modello'!$B$30</f>
        <v>25</v>
      </c>
      <c r="Z38" s="21" t="n">
        <f aca="false">MAX(0,W38-Y38)</f>
        <v>975</v>
      </c>
      <c r="AA38" s="21" t="n">
        <f aca="false">MIN(F38,Z38)</f>
        <v>54</v>
      </c>
      <c r="AB38" s="21"/>
      <c r="AC38" s="21" t="str">
        <f aca="false">IF(AB38="","",IF(AB38&gt;AA38,"PASS",IF(AB38&lt;=AA38*0.85,"BID","ATTENZIONE")))</f>
        <v/>
      </c>
      <c r="AD38" s="31" t="n">
        <f aca="false">IF(I38="","",ROUND(100*(1-EXP(-I38/30)),0))</f>
        <v>71</v>
      </c>
      <c r="AE38" s="7" t="str">
        <f aca="false">IFERROR(INDEX('Stato Asta'!$G$9:$G$12,MATCH($B38,'Stato Asta'!$A$9:$A$12,0)),"")</f>
        <v>🟡 Attesa rischiosa</v>
      </c>
    </row>
    <row r="39" customFormat="false" ht="14.25" hidden="false" customHeight="true" outlineLevel="0" collapsed="false">
      <c r="A39" s="21" t="n">
        <v>4973</v>
      </c>
      <c r="B39" s="21" t="s">
        <v>45</v>
      </c>
      <c r="C39" s="21" t="s">
        <v>377</v>
      </c>
      <c r="E39" s="26" t="str">
        <f aca="false">IF(COUNTIF('Info Strategia'!$D$2:$D$51,$C39)&gt;0,"SI","NO")</f>
        <v>NO</v>
      </c>
      <c r="F39" s="27" t="n">
        <f aca="false">IFERROR(ROUND(($G39+($H39-$G39)*'Info Strategia'!$B$6)*(1+IF($E39="SI",'Parametri Modello'!$B$7*'Info Strategia'!$B$6,0)),0),"")</f>
        <v>46</v>
      </c>
      <c r="G39" s="27" t="n">
        <f aca="false">IFERROR(ROUND(MAX(1,(IF($V39&lt;=INDEX('Parametri Modello'!$C$57:$C$60,MATCH($B39,'Parametri Modello'!$A$57:$A$60,0)),IF(INDEX('Parametri Modello'!$E$57:$E$60,MATCH($B39,'Parametri Modello'!$A$57:$A$60,0))=0,0,($O39/INDEX('Parametri Modello'!$E$57:$E$60,MATCH($B39,'Parametri Modello'!$A$57:$A$60,0)))*(INDEX('Parametri Modello'!$D$57:$D$60,MATCH($B39,'Parametri Modello'!$A$57:$A$60,0))*(INDEX('Parametri Modello'!$B$50:$B$53,MATCH($B39,'Parametri Modello'!$A$50:$A$53,0))*'Parametri Modello'!$B$44))),IF(INDEX('Parametri Modello'!$F$57:$F$60,MATCH($B39,'Parametri Modello'!$A$57:$A$60,0))=0,0,($O39/INDEX('Parametri Modello'!$F$57:$F$60,MATCH($B39,'Parametri Modello'!$A$57:$A$60,0)))*((1-INDEX('Parametri Modello'!$D$57:$D$60,MATCH($B39,'Parametri Modello'!$A$57:$A$60,0)))*(INDEX('Parametri Modello'!$B$50:$B$53,MATCH($B39,'Parametri Modello'!$A$50:$A$53,0))*'Parametri Modello'!$B$44))))*(1+IF(IF($B39="D",'Info Lega'!$B$25,IF($B39="C",'Info Lega'!$B$26,"No"))="Si",'Parametri Modello'!$B$5,0))*(1+MAX(-0.25,MIN(0.25,IF(OR($T39="",$I39="",$I39=0,INDEX('Parametri Modello'!$B$19:$B$22,MATCH($B39,'Parametri Modello'!$A$19:$A$22,0))="",INDEX('Parametri Modello'!$B$19:$B$22,MATCH($B39,'Parametri Modello'!$A$19:$A$22,0))=0),0,(($T39-INDEX('Parametri Modello'!$B$19:$B$22,MATCH($B39,'Parametri Modello'!$A$19:$A$22,0)))/INDEX('Parametri Modello'!$B$19:$B$22,MATCH($B39,'Parametri Modello'!$A$19:$A$22,0)))*'Parametri Modello'!$B$9))))*(1+IF('Parametri Modello'!$B$27="Si",MAX(-'Parametri Modello'!$B$28,MIN('Parametri Modello'!$B$28*1.5,IF(OR(INDEX('Parametri Modello'!$F$32:$F$35,MATCH($B39,'Parametri Modello'!$A$32:$A$35,0))="",INDEX('Parametri Modello'!$F$32:$F$35,MATCH($B39,'Parametri Modello'!$A$32:$A$35,0))=0),0,(1/INDEX('Parametri Modello'!$F$32:$F$35,MATCH($B39,'Parametri Modello'!$A$32:$A$35,0))-1)*'Parametri Modello'!$B$28))),0)))*(1-INDEX('Parametri Modello'!$B$12:$B$15,MATCH($B39,'Parametri Modello'!$A$12:$A$15,0)))),0),"")</f>
        <v>31</v>
      </c>
      <c r="H39" s="27" t="n">
        <f aca="false">IFERROR(ROUND((IF($V39&lt;=INDEX('Parametri Modello'!$C$57:$C$60,MATCH($B39,'Parametri Modello'!$A$57:$A$60,0)),IF(INDEX('Parametri Modello'!$E$57:$E$60,MATCH($B39,'Parametri Modello'!$A$57:$A$60,0))=0,0,($O39/INDEX('Parametri Modello'!$E$57:$E$60,MATCH($B39,'Parametri Modello'!$A$57:$A$60,0)))*(INDEX('Parametri Modello'!$D$57:$D$60,MATCH($B39,'Parametri Modello'!$A$57:$A$60,0))*(INDEX('Parametri Modello'!$B$50:$B$53,MATCH($B39,'Parametri Modello'!$A$50:$A$53,0))*'Parametri Modello'!$B$44))),IF(INDEX('Parametri Modello'!$F$57:$F$60,MATCH($B39,'Parametri Modello'!$A$57:$A$60,0))=0,0,($O39/INDEX('Parametri Modello'!$F$57:$F$60,MATCH($B39,'Parametri Modello'!$A$57:$A$60,0)))*((1-INDEX('Parametri Modello'!$D$57:$D$60,MATCH($B39,'Parametri Modello'!$A$57:$A$60,0)))*(INDEX('Parametri Modello'!$B$50:$B$53,MATCH($B39,'Parametri Modello'!$A$50:$A$53,0))*'Parametri Modello'!$B$44))))*(1+IF(IF($B39="D",'Info Lega'!$B$25,IF($B39="C",'Info Lega'!$B$26,"No"))="Si",'Parametri Modello'!$B$5,0))*(1+MAX(-0.25,MIN(0.25,IF(OR($T39="",$I39="",$I39=0,INDEX('Parametri Modello'!$B$19:$B$22,MATCH($B39,'Parametri Modello'!$A$19:$A$22,0))="",INDEX('Parametri Modello'!$B$19:$B$22,MATCH($B39,'Parametri Modello'!$A$19:$A$22,0))=0),0,(($T39-INDEX('Parametri Modello'!$B$19:$B$22,MATCH($B39,'Parametri Modello'!$A$19:$A$22,0)))/INDEX('Parametri Modello'!$B$19:$B$22,MATCH($B39,'Parametri Modello'!$A$19:$A$22,0)))*'Parametri Modello'!$B$9))))*(1+IF('Parametri Modello'!$B$27="Si",MAX(-'Parametri Modello'!$B$28,MIN('Parametri Modello'!$B$28*1.5,IF(OR(INDEX('Parametri Modello'!$F$32:$F$35,MATCH($B39,'Parametri Modello'!$A$32:$A$35,0))="",INDEX('Parametri Modello'!$F$32:$F$35,MATCH($B39,'Parametri Modello'!$A$32:$A$35,0))=0),0,(1/INDEX('Parametri Modello'!$F$32:$F$35,MATCH($B39,'Parametri Modello'!$A$32:$A$35,0))-1)*'Parametri Modello'!$B$28))),0)))*(1+INDEX('Parametri Modello'!$B$12:$B$15,MATCH($B39,'Parametri Modello'!$A$12:$A$15,0))),0),"")</f>
        <v>52</v>
      </c>
      <c r="I39" s="26" t="n">
        <f aca="false">IFERROR(INDEX('Input Statistiche 2025_26'!$F$3:$F$665,MATCH($A39,'Input Statistiche 2025_26'!$A$3:$A$665,0)),"")</f>
        <v>34</v>
      </c>
      <c r="J39" s="26" t="n">
        <f aca="false">IFERROR(IF($I39="","",MAX(0,38-$I39)),"")</f>
        <v>4</v>
      </c>
      <c r="K39" s="26" t="n">
        <f aca="false">IFERROR(INDEX('Input Statistiche 2025_26'!$I$3:$I$665,MATCH($A39,'Input Statistiche 2025_26'!$A$3:$A$665,0)),"")</f>
        <v>5</v>
      </c>
      <c r="L39" s="26" t="n">
        <f aca="false">IFERROR(INDEX('Input Statistiche 2025_26'!$O$3:$O$665,MATCH($A39,'Input Statistiche 2025_26'!$A$3:$A$665,0)),"")</f>
        <v>6</v>
      </c>
      <c r="M39" s="28"/>
      <c r="N39" s="27" t="n">
        <f aca="false">IFERROR(INDEX('Input Giocatori 2026_27'!$E$3:$E$493,MATCH($A39,'Input Giocatori 2026_27'!$A$3:$A$493,0)),"")</f>
        <v>17</v>
      </c>
      <c r="O39" s="27" t="n">
        <f aca="false">IFERROR(INDEX('Input Giocatori 2026_27'!$G$3:$G$493,MATCH($A39,'Input Giocatori 2026_27'!$A$3:$A$493,0)),"")</f>
        <v>68</v>
      </c>
      <c r="P39" s="26" t="str">
        <f aca="false">IFERROR(IF($O39="","",IF((1-(COUNTIFS($B$2:$B$492,$B39,$O$2:$O$492,"&gt;"&amp;$O39)+1-1)/COUNTIF($B$2:$B$492,$B39))&gt;=0.85,"Top",IF((1-(COUNTIFS($B$2:$B$492,$B39,$O$2:$O$492,"&gt;"&amp;$O39)+1-1)/COUNTIF($B$2:$B$492,$B39))&gt;=0.6,"Buono",IF((1-(COUNTIFS($B$2:$B$492,$B39,$O$2:$O$492,"&gt;"&amp;$O39)+1-1)/COUNTIF($B$2:$B$492,$B39))&gt;=0.3,"Nella Media","Scommessa/Riserva")))),"")</f>
        <v>Top</v>
      </c>
      <c r="Q39" s="29" t="n">
        <f aca="false">IF($D39="",COUNTIF($D$2:$D39,""),"")</f>
        <v>38</v>
      </c>
      <c r="R39" s="29" t="str">
        <f aca="false">IF($D39='Info Lega'!$B$28,COUNTIFS($D$2:$D39,'Info Lega'!$B$28),"")</f>
        <v/>
      </c>
      <c r="S39" s="30" t="n">
        <f aca="false">IFERROR(INDEX('Input Statistiche 2025_26'!$G$3:$G$665,MATCH($A39,'Input Statistiche 2025_26'!$A$3:$A$665,0)),"")</f>
        <v>6.13</v>
      </c>
      <c r="T39" s="30" t="n">
        <f aca="false">IFERROR(INDEX('Input Statistiche 2025_26'!$H$3:$H$665,MATCH($A39,'Input Statistiche 2025_26'!$A$3:$A$665,0)),"")</f>
        <v>6.68</v>
      </c>
      <c r="U39" s="26" t="str">
        <f aca="false">IF(OR('La Mia Rosa'!$O$12="",$D39&lt;&gt;""),"",IF($F39&lt;='La Mia Rosa'!$O$12*'Parametri Modello'!$B$24,"OK",IF($F39&lt;='La Mia Rosa'!$O$12*'Parametri Modello'!$B$25,"Attenzione","Rischio Alto")))</f>
        <v>OK</v>
      </c>
      <c r="V39" s="26" t="n">
        <f aca="false">IFERROR(COUNTIFS($B$2:$B$492,$B39,$O$2:$O$492,"&gt;"&amp;$O39)+1,"")</f>
        <v>15</v>
      </c>
      <c r="W39" s="21" t="n">
        <f aca="false">'Info Lega'!$B$4-SUMIFS($M$2:$M$492,$D$2:$D$492,'Info Lega'!$B$28)</f>
        <v>1000</v>
      </c>
      <c r="X39" s="21" t="n">
        <f aca="false">('Info Lega'!$B$5-COUNTIFS($D$2:$D$492,'Info Lega'!$B$28,$B$2:$B$492,"P"))+('Info Lega'!$B$6-COUNTIFS($D$2:$D$492,'Info Lega'!$B$28,$B$2:$B$492,"D"))+('Info Lega'!$B$7-COUNTIFS($D$2:$D$492,'Info Lega'!$B$28,$B$2:$B$492,"C"))+('Info Lega'!$B$8-COUNTIFS($D$2:$D$492,'Info Lega'!$B$28,$B$2:$B$492,"A"))</f>
        <v>25</v>
      </c>
      <c r="Y39" s="21" t="n">
        <f aca="false">X39*'Parametri Modello'!$B$30</f>
        <v>25</v>
      </c>
      <c r="Z39" s="21" t="n">
        <f aca="false">MAX(0,W39-Y39)</f>
        <v>975</v>
      </c>
      <c r="AA39" s="21" t="n">
        <f aca="false">MIN(F39,Z39)</f>
        <v>46</v>
      </c>
      <c r="AB39" s="21"/>
      <c r="AC39" s="21" t="str">
        <f aca="false">IF(AB39="","",IF(AB39&gt;AA39,"PASS",IF(AB39&lt;=AA39*0.85,"BID","ATTENZIONE")))</f>
        <v/>
      </c>
      <c r="AD39" s="31" t="n">
        <f aca="false">IF(I39="","",ROUND(100*(1-EXP(-I39/30)),0))</f>
        <v>68</v>
      </c>
      <c r="AE39" s="7" t="str">
        <f aca="false">IFERROR(INDEX('Stato Asta'!$G$9:$G$12,MATCH($B39,'Stato Asta'!$A$9:$A$12,0)),"")</f>
        <v>🟡 Attesa rischiosa</v>
      </c>
    </row>
    <row r="40" customFormat="false" ht="14.25" hidden="false" customHeight="true" outlineLevel="0" collapsed="false">
      <c r="A40" s="21" t="n">
        <v>309</v>
      </c>
      <c r="B40" s="21" t="s">
        <v>46</v>
      </c>
      <c r="C40" s="21" t="s">
        <v>559</v>
      </c>
      <c r="E40" s="26" t="str">
        <f aca="false">IF(COUNTIF('Info Strategia'!$D$2:$D$51,$C40)&gt;0,"SI","NO")</f>
        <v>NO</v>
      </c>
      <c r="F40" s="27" t="n">
        <f aca="false">IFERROR(ROUND(($G40+($H40-$G40)*'Info Strategia'!$B$6)*(1+IF($E40="SI",'Parametri Modello'!$B$7*'Info Strategia'!$B$6,0)),0),"")</f>
        <v>69</v>
      </c>
      <c r="G40" s="27" t="n">
        <f aca="false">IFERROR(ROUND(MAX(1,(IF($V40&lt;=INDEX('Parametri Modello'!$C$57:$C$60,MATCH($B40,'Parametri Modello'!$A$57:$A$60,0)),IF(INDEX('Parametri Modello'!$E$57:$E$60,MATCH($B40,'Parametri Modello'!$A$57:$A$60,0))=0,0,($O40/INDEX('Parametri Modello'!$E$57:$E$60,MATCH($B40,'Parametri Modello'!$A$57:$A$60,0)))*(INDEX('Parametri Modello'!$D$57:$D$60,MATCH($B40,'Parametri Modello'!$A$57:$A$60,0))*(INDEX('Parametri Modello'!$B$50:$B$53,MATCH($B40,'Parametri Modello'!$A$50:$A$53,0))*'Parametri Modello'!$B$44))),IF(INDEX('Parametri Modello'!$F$57:$F$60,MATCH($B40,'Parametri Modello'!$A$57:$A$60,0))=0,0,($O40/INDEX('Parametri Modello'!$F$57:$F$60,MATCH($B40,'Parametri Modello'!$A$57:$A$60,0)))*((1-INDEX('Parametri Modello'!$D$57:$D$60,MATCH($B40,'Parametri Modello'!$A$57:$A$60,0)))*(INDEX('Parametri Modello'!$B$50:$B$53,MATCH($B40,'Parametri Modello'!$A$50:$A$53,0))*'Parametri Modello'!$B$44))))*(1+IF(IF($B40="D",'Info Lega'!$B$25,IF($B40="C",'Info Lega'!$B$26,"No"))="Si",'Parametri Modello'!$B$5,0))*(1+MAX(-0.25,MIN(0.25,IF(OR($T40="",$I40="",$I40=0,INDEX('Parametri Modello'!$B$19:$B$22,MATCH($B40,'Parametri Modello'!$A$19:$A$22,0))="",INDEX('Parametri Modello'!$B$19:$B$22,MATCH($B40,'Parametri Modello'!$A$19:$A$22,0))=0),0,(($T40-INDEX('Parametri Modello'!$B$19:$B$22,MATCH($B40,'Parametri Modello'!$A$19:$A$22,0)))/INDEX('Parametri Modello'!$B$19:$B$22,MATCH($B40,'Parametri Modello'!$A$19:$A$22,0)))*'Parametri Modello'!$B$9))))*(1+IF('Parametri Modello'!$B$27="Si",MAX(-'Parametri Modello'!$B$28,MIN('Parametri Modello'!$B$28*1.5,IF(OR(INDEX('Parametri Modello'!$F$32:$F$35,MATCH($B40,'Parametri Modello'!$A$32:$A$35,0))="",INDEX('Parametri Modello'!$F$32:$F$35,MATCH($B40,'Parametri Modello'!$A$32:$A$35,0))=0),0,(1/INDEX('Parametri Modello'!$F$32:$F$35,MATCH($B40,'Parametri Modello'!$A$32:$A$35,0))-1)*'Parametri Modello'!$B$28))),0)))*(1-INDEX('Parametri Modello'!$B$12:$B$15,MATCH($B40,'Parametri Modello'!$A$12:$A$15,0)))),0),"")</f>
        <v>43</v>
      </c>
      <c r="H40" s="27" t="n">
        <f aca="false">IFERROR(ROUND((IF($V40&lt;=INDEX('Parametri Modello'!$C$57:$C$60,MATCH($B40,'Parametri Modello'!$A$57:$A$60,0)),IF(INDEX('Parametri Modello'!$E$57:$E$60,MATCH($B40,'Parametri Modello'!$A$57:$A$60,0))=0,0,($O40/INDEX('Parametri Modello'!$E$57:$E$60,MATCH($B40,'Parametri Modello'!$A$57:$A$60,0)))*(INDEX('Parametri Modello'!$D$57:$D$60,MATCH($B40,'Parametri Modello'!$A$57:$A$60,0))*(INDEX('Parametri Modello'!$B$50:$B$53,MATCH($B40,'Parametri Modello'!$A$50:$A$53,0))*'Parametri Modello'!$B$44))),IF(INDEX('Parametri Modello'!$F$57:$F$60,MATCH($B40,'Parametri Modello'!$A$57:$A$60,0))=0,0,($O40/INDEX('Parametri Modello'!$F$57:$F$60,MATCH($B40,'Parametri Modello'!$A$57:$A$60,0)))*((1-INDEX('Parametri Modello'!$D$57:$D$60,MATCH($B40,'Parametri Modello'!$A$57:$A$60,0)))*(INDEX('Parametri Modello'!$B$50:$B$53,MATCH($B40,'Parametri Modello'!$A$50:$A$53,0))*'Parametri Modello'!$B$44))))*(1+IF(IF($B40="D",'Info Lega'!$B$25,IF($B40="C",'Info Lega'!$B$26,"No"))="Si",'Parametri Modello'!$B$5,0))*(1+MAX(-0.25,MIN(0.25,IF(OR($T40="",$I40="",$I40=0,INDEX('Parametri Modello'!$B$19:$B$22,MATCH($B40,'Parametri Modello'!$A$19:$A$22,0))="",INDEX('Parametri Modello'!$B$19:$B$22,MATCH($B40,'Parametri Modello'!$A$19:$A$22,0))=0),0,(($T40-INDEX('Parametri Modello'!$B$19:$B$22,MATCH($B40,'Parametri Modello'!$A$19:$A$22,0)))/INDEX('Parametri Modello'!$B$19:$B$22,MATCH($B40,'Parametri Modello'!$A$19:$A$22,0)))*'Parametri Modello'!$B$9))))*(1+IF('Parametri Modello'!$B$27="Si",MAX(-'Parametri Modello'!$B$28,MIN('Parametri Modello'!$B$28*1.5,IF(OR(INDEX('Parametri Modello'!$F$32:$F$35,MATCH($B40,'Parametri Modello'!$A$32:$A$35,0))="",INDEX('Parametri Modello'!$F$32:$F$35,MATCH($B40,'Parametri Modello'!$A$32:$A$35,0))=0),0,(1/INDEX('Parametri Modello'!$F$32:$F$35,MATCH($B40,'Parametri Modello'!$A$32:$A$35,0))-1)*'Parametri Modello'!$B$28))),0)))*(1+INDEX('Parametri Modello'!$B$12:$B$15,MATCH($B40,'Parametri Modello'!$A$12:$A$15,0))),0),"")</f>
        <v>80</v>
      </c>
      <c r="I40" s="26" t="n">
        <f aca="false">IFERROR(INDEX('Input Statistiche 2025_26'!$F$3:$F$665,MATCH($A40,'Input Statistiche 2025_26'!$A$3:$A$665,0)),"")</f>
        <v>21</v>
      </c>
      <c r="J40" s="26" t="n">
        <f aca="false">IFERROR(IF($I40="","",MAX(0,38-$I40)),"")</f>
        <v>17</v>
      </c>
      <c r="K40" s="26" t="n">
        <f aca="false">IFERROR(INDEX('Input Statistiche 2025_26'!$I$3:$I$665,MATCH($A40,'Input Statistiche 2025_26'!$A$3:$A$665,0)),"")</f>
        <v>2</v>
      </c>
      <c r="L40" s="26" t="n">
        <f aca="false">IFERROR(INDEX('Input Statistiche 2025_26'!$O$3:$O$665,MATCH($A40,'Input Statistiche 2025_26'!$A$3:$A$665,0)),"")</f>
        <v>7</v>
      </c>
      <c r="M40" s="28"/>
      <c r="N40" s="27" t="n">
        <f aca="false">IFERROR(INDEX('Input Giocatori 2026_27'!$E$3:$E$493,MATCH($A40,'Input Giocatori 2026_27'!$A$3:$A$493,0)),"")</f>
        <v>14</v>
      </c>
      <c r="O40" s="27" t="n">
        <f aca="false">IFERROR(INDEX('Input Giocatori 2026_27'!$G$3:$G$493,MATCH($A40,'Input Giocatori 2026_27'!$A$3:$A$493,0)),"")</f>
        <v>67</v>
      </c>
      <c r="P40" s="26" t="str">
        <f aca="false">IFERROR(IF($O40="","",IF((1-(COUNTIFS($B$2:$B$492,$B40,$O$2:$O$492,"&gt;"&amp;$O40)+1-1)/COUNTIF($B$2:$B$492,$B40))&gt;=0.85,"Top",IF((1-(COUNTIFS($B$2:$B$492,$B40,$O$2:$O$492,"&gt;"&amp;$O40)+1-1)/COUNTIF($B$2:$B$492,$B40))&gt;=0.6,"Buono",IF((1-(COUNTIFS($B$2:$B$492,$B40,$O$2:$O$492,"&gt;"&amp;$O40)+1-1)/COUNTIF($B$2:$B$492,$B40))&gt;=0.3,"Nella Media","Scommessa/Riserva")))),"")</f>
        <v>Buono</v>
      </c>
      <c r="Q40" s="29" t="n">
        <f aca="false">IF($D40="",COUNTIF($D$2:$D40,""),"")</f>
        <v>39</v>
      </c>
      <c r="R40" s="29" t="str">
        <f aca="false">IF($D40='Info Lega'!$B$28,COUNTIFS($D$2:$D40,'Info Lega'!$B$28),"")</f>
        <v/>
      </c>
      <c r="S40" s="30" t="n">
        <f aca="false">IFERROR(INDEX('Input Statistiche 2025_26'!$G$3:$G$665,MATCH($A40,'Input Statistiche 2025_26'!$A$3:$A$665,0)),"")</f>
        <v>6.26</v>
      </c>
      <c r="T40" s="30" t="n">
        <f aca="false">IFERROR(INDEX('Input Statistiche 2025_26'!$H$3:$H$665,MATCH($A40,'Input Statistiche 2025_26'!$A$3:$A$665,0)),"")</f>
        <v>6.74</v>
      </c>
      <c r="U40" s="26" t="str">
        <f aca="false">IF(OR('La Mia Rosa'!$O$12="",$D40&lt;&gt;""),"",IF($F40&lt;='La Mia Rosa'!$O$12*'Parametri Modello'!$B$24,"OK",IF($F40&lt;='La Mia Rosa'!$O$12*'Parametri Modello'!$B$25,"Attenzione","Rischio Alto")))</f>
        <v>Attenzione</v>
      </c>
      <c r="V40" s="26" t="n">
        <f aca="false">IFERROR(COUNTIFS($B$2:$B$492,$B40,$O$2:$O$492,"&gt;"&amp;$O40)+1,"")</f>
        <v>22</v>
      </c>
      <c r="W40" s="21" t="n">
        <f aca="false">'Info Lega'!$B$4-SUMIFS($M$2:$M$492,$D$2:$D$492,'Info Lega'!$B$28)</f>
        <v>1000</v>
      </c>
      <c r="X40" s="21" t="n">
        <f aca="false">('Info Lega'!$B$5-COUNTIFS($D$2:$D$492,'Info Lega'!$B$28,$B$2:$B$492,"P"))+('Info Lega'!$B$6-COUNTIFS($D$2:$D$492,'Info Lega'!$B$28,$B$2:$B$492,"D"))+('Info Lega'!$B$7-COUNTIFS($D$2:$D$492,'Info Lega'!$B$28,$B$2:$B$492,"C"))+('Info Lega'!$B$8-COUNTIFS($D$2:$D$492,'Info Lega'!$B$28,$B$2:$B$492,"A"))</f>
        <v>25</v>
      </c>
      <c r="Y40" s="21" t="n">
        <f aca="false">X40*'Parametri Modello'!$B$30</f>
        <v>25</v>
      </c>
      <c r="Z40" s="21" t="n">
        <f aca="false">MAX(0,W40-Y40)</f>
        <v>975</v>
      </c>
      <c r="AA40" s="21" t="n">
        <f aca="false">MIN(F40,Z40)</f>
        <v>69</v>
      </c>
      <c r="AB40" s="21"/>
      <c r="AC40" s="21" t="str">
        <f aca="false">IF(AB40="","",IF(AB40&gt;AA40,"PASS",IF(AB40&lt;=AA40*0.85,"BID","ATTENZIONE")))</f>
        <v/>
      </c>
      <c r="AD40" s="31" t="n">
        <f aca="false">IF(I40="","",ROUND(100*(1-EXP(-I40/30)),0))</f>
        <v>50</v>
      </c>
      <c r="AE40" s="7" t="str">
        <f aca="false">IFERROR(INDEX('Stato Asta'!$G$9:$G$12,MATCH($B40,'Stato Asta'!$A$9:$A$12,0)),"")</f>
        <v>🔴 Non aspettare</v>
      </c>
    </row>
    <row r="41" customFormat="false" ht="14.25" hidden="false" customHeight="true" outlineLevel="0" collapsed="false">
      <c r="A41" s="21" t="n">
        <v>5841</v>
      </c>
      <c r="B41" s="21" t="s">
        <v>43</v>
      </c>
      <c r="C41" s="21" t="s">
        <v>112</v>
      </c>
      <c r="E41" s="26" t="str">
        <f aca="false">IF(COUNTIF('Info Strategia'!$D$2:$D$51,$C41)&gt;0,"SI","NO")</f>
        <v>NO</v>
      </c>
      <c r="F41" s="27" t="n">
        <f aca="false">IFERROR(ROUND(($G41+($H41-$G41)*'Info Strategia'!$B$6)*(1+IF($E41="SI",'Parametri Modello'!$B$7*'Info Strategia'!$B$6,0)),0),"")</f>
        <v>110</v>
      </c>
      <c r="G41" s="27" t="n">
        <f aca="false">IFERROR(ROUND(MAX(1,(IF($V41&lt;=INDEX('Parametri Modello'!$C$57:$C$60,MATCH($B41,'Parametri Modello'!$A$57:$A$60,0)),IF(INDEX('Parametri Modello'!$E$57:$E$60,MATCH($B41,'Parametri Modello'!$A$57:$A$60,0))=0,0,($O41/INDEX('Parametri Modello'!$E$57:$E$60,MATCH($B41,'Parametri Modello'!$A$57:$A$60,0)))*(INDEX('Parametri Modello'!$D$57:$D$60,MATCH($B41,'Parametri Modello'!$A$57:$A$60,0))*(INDEX('Parametri Modello'!$B$50:$B$53,MATCH($B41,'Parametri Modello'!$A$50:$A$53,0))*'Parametri Modello'!$B$44))),IF(INDEX('Parametri Modello'!$F$57:$F$60,MATCH($B41,'Parametri Modello'!$A$57:$A$60,0))=0,0,($O41/INDEX('Parametri Modello'!$F$57:$F$60,MATCH($B41,'Parametri Modello'!$A$57:$A$60,0)))*((1-INDEX('Parametri Modello'!$D$57:$D$60,MATCH($B41,'Parametri Modello'!$A$57:$A$60,0)))*(INDEX('Parametri Modello'!$B$50:$B$53,MATCH($B41,'Parametri Modello'!$A$50:$A$53,0))*'Parametri Modello'!$B$44))))*(1+IF(IF($B41="D",'Info Lega'!$B$25,IF($B41="C",'Info Lega'!$B$26,"No"))="Si",'Parametri Modello'!$B$5,0))*(1+MAX(-0.25,MIN(0.25,IF(OR($T41="",$I41="",$I41=0,INDEX('Parametri Modello'!$B$19:$B$22,MATCH($B41,'Parametri Modello'!$A$19:$A$22,0))="",INDEX('Parametri Modello'!$B$19:$B$22,MATCH($B41,'Parametri Modello'!$A$19:$A$22,0))=0),0,(($T41-INDEX('Parametri Modello'!$B$19:$B$22,MATCH($B41,'Parametri Modello'!$A$19:$A$22,0)))/INDEX('Parametri Modello'!$B$19:$B$22,MATCH($B41,'Parametri Modello'!$A$19:$A$22,0)))*'Parametri Modello'!$B$9))))*(1+IF('Parametri Modello'!$B$27="Si",MAX(-'Parametri Modello'!$B$28,MIN('Parametri Modello'!$B$28*1.5,IF(OR(INDEX('Parametri Modello'!$F$32:$F$35,MATCH($B41,'Parametri Modello'!$A$32:$A$35,0))="",INDEX('Parametri Modello'!$F$32:$F$35,MATCH($B41,'Parametri Modello'!$A$32:$A$35,0))=0),0,(1/INDEX('Parametri Modello'!$F$32:$F$35,MATCH($B41,'Parametri Modello'!$A$32:$A$35,0))-1)*'Parametri Modello'!$B$28))),0)))*(1-INDEX('Parametri Modello'!$B$12:$B$15,MATCH($B41,'Parametri Modello'!$A$12:$A$15,0)))),0),"")</f>
        <v>88</v>
      </c>
      <c r="H41" s="27" t="n">
        <f aca="false">IFERROR(ROUND((IF($V41&lt;=INDEX('Parametri Modello'!$C$57:$C$60,MATCH($B41,'Parametri Modello'!$A$57:$A$60,0)),IF(INDEX('Parametri Modello'!$E$57:$E$60,MATCH($B41,'Parametri Modello'!$A$57:$A$60,0))=0,0,($O41/INDEX('Parametri Modello'!$E$57:$E$60,MATCH($B41,'Parametri Modello'!$A$57:$A$60,0)))*(INDEX('Parametri Modello'!$D$57:$D$60,MATCH($B41,'Parametri Modello'!$A$57:$A$60,0))*(INDEX('Parametri Modello'!$B$50:$B$53,MATCH($B41,'Parametri Modello'!$A$50:$A$53,0))*'Parametri Modello'!$B$44))),IF(INDEX('Parametri Modello'!$F$57:$F$60,MATCH($B41,'Parametri Modello'!$A$57:$A$60,0))=0,0,($O41/INDEX('Parametri Modello'!$F$57:$F$60,MATCH($B41,'Parametri Modello'!$A$57:$A$60,0)))*((1-INDEX('Parametri Modello'!$D$57:$D$60,MATCH($B41,'Parametri Modello'!$A$57:$A$60,0)))*(INDEX('Parametri Modello'!$B$50:$B$53,MATCH($B41,'Parametri Modello'!$A$50:$A$53,0))*'Parametri Modello'!$B$44))))*(1+IF(IF($B41="D",'Info Lega'!$B$25,IF($B41="C",'Info Lega'!$B$26,"No"))="Si",'Parametri Modello'!$B$5,0))*(1+MAX(-0.25,MIN(0.25,IF(OR($T41="",$I41="",$I41=0,INDEX('Parametri Modello'!$B$19:$B$22,MATCH($B41,'Parametri Modello'!$A$19:$A$22,0))="",INDEX('Parametri Modello'!$B$19:$B$22,MATCH($B41,'Parametri Modello'!$A$19:$A$22,0))=0),0,(($T41-INDEX('Parametri Modello'!$B$19:$B$22,MATCH($B41,'Parametri Modello'!$A$19:$A$22,0)))/INDEX('Parametri Modello'!$B$19:$B$22,MATCH($B41,'Parametri Modello'!$A$19:$A$22,0)))*'Parametri Modello'!$B$9))))*(1+IF('Parametri Modello'!$B$27="Si",MAX(-'Parametri Modello'!$B$28,MIN('Parametri Modello'!$B$28*1.5,IF(OR(INDEX('Parametri Modello'!$F$32:$F$35,MATCH($B41,'Parametri Modello'!$A$32:$A$35,0))="",INDEX('Parametri Modello'!$F$32:$F$35,MATCH($B41,'Parametri Modello'!$A$32:$A$35,0))=0),0,(1/INDEX('Parametri Modello'!$F$32:$F$35,MATCH($B41,'Parametri Modello'!$A$32:$A$35,0))-1)*'Parametri Modello'!$B$28))),0)))*(1+INDEX('Parametri Modello'!$B$12:$B$15,MATCH($B41,'Parametri Modello'!$A$12:$A$15,0))),0),"")</f>
        <v>119</v>
      </c>
      <c r="I41" s="26" t="n">
        <f aca="false">IFERROR(INDEX('Input Statistiche 2025_26'!$F$3:$F$665,MATCH($A41,'Input Statistiche 2025_26'!$A$3:$A$665,0)),"")</f>
        <v>38</v>
      </c>
      <c r="J41" s="26" t="n">
        <f aca="false">IFERROR(IF($I41="","",MAX(0,38-$I41)),"")</f>
        <v>0</v>
      </c>
      <c r="K41" s="26" t="n">
        <f aca="false">IFERROR(INDEX('Input Statistiche 2025_26'!$I$3:$I$665,MATCH($A41,'Input Statistiche 2025_26'!$A$3:$A$665,0)),"")</f>
        <v>0</v>
      </c>
      <c r="L41" s="26" t="n">
        <f aca="false">IFERROR(INDEX('Input Statistiche 2025_26'!$O$3:$O$665,MATCH($A41,'Input Statistiche 2025_26'!$A$3:$A$665,0)),"")</f>
        <v>0</v>
      </c>
      <c r="M41" s="28"/>
      <c r="N41" s="27" t="n">
        <f aca="false">IFERROR(INDEX('Input Giocatori 2026_27'!$E$3:$E$493,MATCH($A41,'Input Giocatori 2026_27'!$A$3:$A$493,0)),"")</f>
        <v>18</v>
      </c>
      <c r="O41" s="27" t="n">
        <f aca="false">IFERROR(INDEX('Input Giocatori 2026_27'!$G$3:$G$493,MATCH($A41,'Input Giocatori 2026_27'!$A$3:$A$493,0)),"")</f>
        <v>65</v>
      </c>
      <c r="P41" s="26" t="str">
        <f aca="false">IFERROR(IF($O41="","",IF((1-(COUNTIFS($B$2:$B$492,$B41,$O$2:$O$492,"&gt;"&amp;$O41)+1-1)/COUNTIF($B$2:$B$492,$B41))&gt;=0.85,"Top",IF((1-(COUNTIFS($B$2:$B$492,$B41,$O$2:$O$492,"&gt;"&amp;$O41)+1-1)/COUNTIF($B$2:$B$492,$B41))&gt;=0.6,"Buono",IF((1-(COUNTIFS($B$2:$B$492,$B41,$O$2:$O$492,"&gt;"&amp;$O41)+1-1)/COUNTIF($B$2:$B$492,$B41))&gt;=0.3,"Nella Media","Scommessa/Riserva")))),"")</f>
        <v>Top</v>
      </c>
      <c r="Q41" s="29" t="n">
        <f aca="false">IF($D41="",COUNTIF($D$2:$D41,""),"")</f>
        <v>40</v>
      </c>
      <c r="R41" s="29" t="str">
        <f aca="false">IF($D41='Info Lega'!$B$28,COUNTIFS($D$2:$D41,'Info Lega'!$B$28),"")</f>
        <v/>
      </c>
      <c r="S41" s="30" t="n">
        <f aca="false">IFERROR(INDEX('Input Statistiche 2025_26'!$G$3:$G$665,MATCH($A41,'Input Statistiche 2025_26'!$A$3:$A$665,0)),"")</f>
        <v>6.26</v>
      </c>
      <c r="T41" s="30" t="n">
        <f aca="false">IFERROR(INDEX('Input Statistiche 2025_26'!$H$3:$H$665,MATCH($A41,'Input Statistiche 2025_26'!$A$3:$A$665,0)),"")</f>
        <v>5.45</v>
      </c>
      <c r="U41" s="26" t="str">
        <f aca="false">IF(OR('La Mia Rosa'!$O$12="",$D41&lt;&gt;""),"",IF($F41&lt;='La Mia Rosa'!$O$12*'Parametri Modello'!$B$24,"OK",IF($F41&lt;='La Mia Rosa'!$O$12*'Parametri Modello'!$B$25,"Attenzione","Rischio Alto")))</f>
        <v>Attenzione</v>
      </c>
      <c r="V41" s="26" t="n">
        <f aca="false">IFERROR(COUNTIFS($B$2:$B$492,$B41,$O$2:$O$492,"&gt;"&amp;$O41)+1,"")</f>
        <v>1</v>
      </c>
      <c r="W41" s="21" t="n">
        <f aca="false">'Info Lega'!$B$4-SUMIFS($M$2:$M$492,$D$2:$D$492,'Info Lega'!$B$28)</f>
        <v>1000</v>
      </c>
      <c r="X41" s="21" t="n">
        <f aca="false">('Info Lega'!$B$5-COUNTIFS($D$2:$D$492,'Info Lega'!$B$28,$B$2:$B$492,"P"))+('Info Lega'!$B$6-COUNTIFS($D$2:$D$492,'Info Lega'!$B$28,$B$2:$B$492,"D"))+('Info Lega'!$B$7-COUNTIFS($D$2:$D$492,'Info Lega'!$B$28,$B$2:$B$492,"C"))+('Info Lega'!$B$8-COUNTIFS($D$2:$D$492,'Info Lega'!$B$28,$B$2:$B$492,"A"))</f>
        <v>25</v>
      </c>
      <c r="Y41" s="21" t="n">
        <f aca="false">X41*'Parametri Modello'!$B$30</f>
        <v>25</v>
      </c>
      <c r="Z41" s="21" t="n">
        <f aca="false">MAX(0,W41-Y41)</f>
        <v>975</v>
      </c>
      <c r="AA41" s="21" t="n">
        <f aca="false">MIN(F41,Z41)</f>
        <v>110</v>
      </c>
      <c r="AB41" s="21"/>
      <c r="AC41" s="21" t="str">
        <f aca="false">IF(AB41="","",IF(AB41&gt;AA41,"PASS",IF(AB41&lt;=AA41*0.85,"BID","ATTENZIONE")))</f>
        <v/>
      </c>
      <c r="AD41" s="31" t="n">
        <f aca="false">IF(I41="","",ROUND(100*(1-EXP(-I41/30)),0))</f>
        <v>72</v>
      </c>
      <c r="AE41" s="7" t="str">
        <f aca="false">IFERROR(INDEX('Stato Asta'!$G$9:$G$12,MATCH($B41,'Stato Asta'!$A$9:$A$12,0)),"")</f>
        <v>🟡 Attesa rischiosa</v>
      </c>
    </row>
    <row r="42" customFormat="false" ht="14.25" hidden="false" customHeight="true" outlineLevel="0" collapsed="false">
      <c r="A42" s="21" t="n">
        <v>7314</v>
      </c>
      <c r="B42" s="21" t="s">
        <v>45</v>
      </c>
      <c r="C42" s="21" t="s">
        <v>382</v>
      </c>
      <c r="E42" s="26" t="str">
        <f aca="false">IF(COUNTIF('Info Strategia'!$D$2:$D$51,$C42)&gt;0,"SI","NO")</f>
        <v>NO</v>
      </c>
      <c r="F42" s="27" t="n">
        <f aca="false">IFERROR(ROUND(($G42+($H42-$G42)*'Info Strategia'!$B$6)*(1+IF($E42="SI",'Parametri Modello'!$B$7*'Info Strategia'!$B$6,0)),0),"")</f>
        <v>42</v>
      </c>
      <c r="G42" s="27" t="n">
        <f aca="false">IFERROR(ROUND(MAX(1,(IF($V42&lt;=INDEX('Parametri Modello'!$C$57:$C$60,MATCH($B42,'Parametri Modello'!$A$57:$A$60,0)),IF(INDEX('Parametri Modello'!$E$57:$E$60,MATCH($B42,'Parametri Modello'!$A$57:$A$60,0))=0,0,($O42/INDEX('Parametri Modello'!$E$57:$E$60,MATCH($B42,'Parametri Modello'!$A$57:$A$60,0)))*(INDEX('Parametri Modello'!$D$57:$D$60,MATCH($B42,'Parametri Modello'!$A$57:$A$60,0))*(INDEX('Parametri Modello'!$B$50:$B$53,MATCH($B42,'Parametri Modello'!$A$50:$A$53,0))*'Parametri Modello'!$B$44))),IF(INDEX('Parametri Modello'!$F$57:$F$60,MATCH($B42,'Parametri Modello'!$A$57:$A$60,0))=0,0,($O42/INDEX('Parametri Modello'!$F$57:$F$60,MATCH($B42,'Parametri Modello'!$A$57:$A$60,0)))*((1-INDEX('Parametri Modello'!$D$57:$D$60,MATCH($B42,'Parametri Modello'!$A$57:$A$60,0)))*(INDEX('Parametri Modello'!$B$50:$B$53,MATCH($B42,'Parametri Modello'!$A$50:$A$53,0))*'Parametri Modello'!$B$44))))*(1+IF(IF($B42="D",'Info Lega'!$B$25,IF($B42="C",'Info Lega'!$B$26,"No"))="Si",'Parametri Modello'!$B$5,0))*(1+MAX(-0.25,MIN(0.25,IF(OR($T42="",$I42="",$I42=0,INDEX('Parametri Modello'!$B$19:$B$22,MATCH($B42,'Parametri Modello'!$A$19:$A$22,0))="",INDEX('Parametri Modello'!$B$19:$B$22,MATCH($B42,'Parametri Modello'!$A$19:$A$22,0))=0),0,(($T42-INDEX('Parametri Modello'!$B$19:$B$22,MATCH($B42,'Parametri Modello'!$A$19:$A$22,0)))/INDEX('Parametri Modello'!$B$19:$B$22,MATCH($B42,'Parametri Modello'!$A$19:$A$22,0)))*'Parametri Modello'!$B$9))))*(1+IF('Parametri Modello'!$B$27="Si",MAX(-'Parametri Modello'!$B$28,MIN('Parametri Modello'!$B$28*1.5,IF(OR(INDEX('Parametri Modello'!$F$32:$F$35,MATCH($B42,'Parametri Modello'!$A$32:$A$35,0))="",INDEX('Parametri Modello'!$F$32:$F$35,MATCH($B42,'Parametri Modello'!$A$32:$A$35,0))=0),0,(1/INDEX('Parametri Modello'!$F$32:$F$35,MATCH($B42,'Parametri Modello'!$A$32:$A$35,0))-1)*'Parametri Modello'!$B$28))),0)))*(1-INDEX('Parametri Modello'!$B$12:$B$15,MATCH($B42,'Parametri Modello'!$A$12:$A$15,0)))),0),"")</f>
        <v>29</v>
      </c>
      <c r="H42" s="27" t="n">
        <f aca="false">IFERROR(ROUND((IF($V42&lt;=INDEX('Parametri Modello'!$C$57:$C$60,MATCH($B42,'Parametri Modello'!$A$57:$A$60,0)),IF(INDEX('Parametri Modello'!$E$57:$E$60,MATCH($B42,'Parametri Modello'!$A$57:$A$60,0))=0,0,($O42/INDEX('Parametri Modello'!$E$57:$E$60,MATCH($B42,'Parametri Modello'!$A$57:$A$60,0)))*(INDEX('Parametri Modello'!$D$57:$D$60,MATCH($B42,'Parametri Modello'!$A$57:$A$60,0))*(INDEX('Parametri Modello'!$B$50:$B$53,MATCH($B42,'Parametri Modello'!$A$50:$A$53,0))*'Parametri Modello'!$B$44))),IF(INDEX('Parametri Modello'!$F$57:$F$60,MATCH($B42,'Parametri Modello'!$A$57:$A$60,0))=0,0,($O42/INDEX('Parametri Modello'!$F$57:$F$60,MATCH($B42,'Parametri Modello'!$A$57:$A$60,0)))*((1-INDEX('Parametri Modello'!$D$57:$D$60,MATCH($B42,'Parametri Modello'!$A$57:$A$60,0)))*(INDEX('Parametri Modello'!$B$50:$B$53,MATCH($B42,'Parametri Modello'!$A$50:$A$53,0))*'Parametri Modello'!$B$44))))*(1+IF(IF($B42="D",'Info Lega'!$B$25,IF($B42="C",'Info Lega'!$B$26,"No"))="Si",'Parametri Modello'!$B$5,0))*(1+MAX(-0.25,MIN(0.25,IF(OR($T42="",$I42="",$I42=0,INDEX('Parametri Modello'!$B$19:$B$22,MATCH($B42,'Parametri Modello'!$A$19:$A$22,0))="",INDEX('Parametri Modello'!$B$19:$B$22,MATCH($B42,'Parametri Modello'!$A$19:$A$22,0))=0),0,(($T42-INDEX('Parametri Modello'!$B$19:$B$22,MATCH($B42,'Parametri Modello'!$A$19:$A$22,0)))/INDEX('Parametri Modello'!$B$19:$B$22,MATCH($B42,'Parametri Modello'!$A$19:$A$22,0)))*'Parametri Modello'!$B$9))))*(1+IF('Parametri Modello'!$B$27="Si",MAX(-'Parametri Modello'!$B$28,MIN('Parametri Modello'!$B$28*1.5,IF(OR(INDEX('Parametri Modello'!$F$32:$F$35,MATCH($B42,'Parametri Modello'!$A$32:$A$35,0))="",INDEX('Parametri Modello'!$F$32:$F$35,MATCH($B42,'Parametri Modello'!$A$32:$A$35,0))=0),0,(1/INDEX('Parametri Modello'!$F$32:$F$35,MATCH($B42,'Parametri Modello'!$A$32:$A$35,0))-1)*'Parametri Modello'!$B$28))),0)))*(1+INDEX('Parametri Modello'!$B$12:$B$15,MATCH($B42,'Parametri Modello'!$A$12:$A$15,0))),0),"")</f>
        <v>48</v>
      </c>
      <c r="I42" s="26" t="n">
        <f aca="false">IFERROR(INDEX('Input Statistiche 2025_26'!$F$3:$F$665,MATCH($A42,'Input Statistiche 2025_26'!$A$3:$A$665,0)),"")</f>
        <v>17</v>
      </c>
      <c r="J42" s="26" t="n">
        <f aca="false">IFERROR(IF($I42="","",MAX(0,38-$I42)),"")</f>
        <v>21</v>
      </c>
      <c r="K42" s="26" t="n">
        <f aca="false">IFERROR(INDEX('Input Statistiche 2025_26'!$I$3:$I$665,MATCH($A42,'Input Statistiche 2025_26'!$A$3:$A$665,0)),"")</f>
        <v>3</v>
      </c>
      <c r="L42" s="26" t="n">
        <f aca="false">IFERROR(INDEX('Input Statistiche 2025_26'!$O$3:$O$665,MATCH($A42,'Input Statistiche 2025_26'!$A$3:$A$665,0)),"")</f>
        <v>2</v>
      </c>
      <c r="M42" s="28"/>
      <c r="N42" s="27" t="n">
        <f aca="false">IFERROR(INDEX('Input Giocatori 2026_27'!$E$3:$E$493,MATCH($A42,'Input Giocatori 2026_27'!$A$3:$A$493,0)),"")</f>
        <v>13</v>
      </c>
      <c r="O42" s="27" t="n">
        <f aca="false">IFERROR(INDEX('Input Giocatori 2026_27'!$G$3:$G$493,MATCH($A42,'Input Giocatori 2026_27'!$A$3:$A$493,0)),"")</f>
        <v>64</v>
      </c>
      <c r="P42" s="26" t="str">
        <f aca="false">IFERROR(IF($O42="","",IF((1-(COUNTIFS($B$2:$B$492,$B42,$O$2:$O$492,"&gt;"&amp;$O42)+1-1)/COUNTIF($B$2:$B$492,$B42))&gt;=0.85,"Top",IF((1-(COUNTIFS($B$2:$B$492,$B42,$O$2:$O$492,"&gt;"&amp;$O42)+1-1)/COUNTIF($B$2:$B$492,$B42))&gt;=0.6,"Buono",IF((1-(COUNTIFS($B$2:$B$492,$B42,$O$2:$O$492,"&gt;"&amp;$O42)+1-1)/COUNTIF($B$2:$B$492,$B42))&gt;=0.3,"Nella Media","Scommessa/Riserva")))),"")</f>
        <v>Top</v>
      </c>
      <c r="Q42" s="29" t="n">
        <f aca="false">IF($D42="",COUNTIF($D$2:$D42,""),"")</f>
        <v>41</v>
      </c>
      <c r="R42" s="29" t="str">
        <f aca="false">IF($D42='Info Lega'!$B$28,COUNTIFS($D$2:$D42,'Info Lega'!$B$28),"")</f>
        <v/>
      </c>
      <c r="S42" s="30" t="n">
        <f aca="false">IFERROR(INDEX('Input Statistiche 2025_26'!$G$3:$G$665,MATCH($A42,'Input Statistiche 2025_26'!$A$3:$A$665,0)),"")</f>
        <v>6.06</v>
      </c>
      <c r="T42" s="30" t="n">
        <f aca="false">IFERROR(INDEX('Input Statistiche 2025_26'!$H$3:$H$665,MATCH($A42,'Input Statistiche 2025_26'!$A$3:$A$665,0)),"")</f>
        <v>6.56</v>
      </c>
      <c r="U42" s="26" t="str">
        <f aca="false">IF(OR('La Mia Rosa'!$O$12="",$D42&lt;&gt;""),"",IF($F42&lt;='La Mia Rosa'!$O$12*'Parametri Modello'!$B$24,"OK",IF($F42&lt;='La Mia Rosa'!$O$12*'Parametri Modello'!$B$25,"Attenzione","Rischio Alto")))</f>
        <v>OK</v>
      </c>
      <c r="V42" s="26" t="n">
        <f aca="false">IFERROR(COUNTIFS($B$2:$B$492,$B42,$O$2:$O$492,"&gt;"&amp;$O42)+1,"")</f>
        <v>16</v>
      </c>
      <c r="W42" s="21" t="n">
        <f aca="false">'Info Lega'!$B$4-SUMIFS($M$2:$M$492,$D$2:$D$492,'Info Lega'!$B$28)</f>
        <v>1000</v>
      </c>
      <c r="X42" s="21" t="n">
        <f aca="false">('Info Lega'!$B$5-COUNTIFS($D$2:$D$492,'Info Lega'!$B$28,$B$2:$B$492,"P"))+('Info Lega'!$B$6-COUNTIFS($D$2:$D$492,'Info Lega'!$B$28,$B$2:$B$492,"D"))+('Info Lega'!$B$7-COUNTIFS($D$2:$D$492,'Info Lega'!$B$28,$B$2:$B$492,"C"))+('Info Lega'!$B$8-COUNTIFS($D$2:$D$492,'Info Lega'!$B$28,$B$2:$B$492,"A"))</f>
        <v>25</v>
      </c>
      <c r="Y42" s="21" t="n">
        <f aca="false">X42*'Parametri Modello'!$B$30</f>
        <v>25</v>
      </c>
      <c r="Z42" s="21" t="n">
        <f aca="false">MAX(0,W42-Y42)</f>
        <v>975</v>
      </c>
      <c r="AA42" s="21" t="n">
        <f aca="false">MIN(F42,Z42)</f>
        <v>42</v>
      </c>
      <c r="AB42" s="21"/>
      <c r="AC42" s="21" t="str">
        <f aca="false">IF(AB42="","",IF(AB42&gt;AA42,"PASS",IF(AB42&lt;=AA42*0.85,"BID","ATTENZIONE")))</f>
        <v/>
      </c>
      <c r="AD42" s="31" t="n">
        <f aca="false">IF(I42="","",ROUND(100*(1-EXP(-I42/30)),0))</f>
        <v>43</v>
      </c>
      <c r="AE42" s="7" t="str">
        <f aca="false">IFERROR(INDEX('Stato Asta'!$G$9:$G$12,MATCH($B42,'Stato Asta'!$A$9:$A$12,0)),"")</f>
        <v>🟡 Attesa rischiosa</v>
      </c>
    </row>
    <row r="43" customFormat="false" ht="14.25" hidden="false" customHeight="true" outlineLevel="0" collapsed="false">
      <c r="A43" s="21" t="n">
        <v>5116</v>
      </c>
      <c r="B43" s="21" t="s">
        <v>43</v>
      </c>
      <c r="C43" s="21" t="s">
        <v>114</v>
      </c>
      <c r="E43" s="26" t="str">
        <f aca="false">IF(COUNTIF('Info Strategia'!$D$2:$D$51,$C43)&gt;0,"SI","NO")</f>
        <v>NO</v>
      </c>
      <c r="F43" s="27" t="n">
        <f aca="false">IFERROR(ROUND(($G43+($H43-$G43)*'Info Strategia'!$B$6)*(1+IF($E43="SI",'Parametri Modello'!$B$7*'Info Strategia'!$B$6,0)),0),"")</f>
        <v>105</v>
      </c>
      <c r="G43" s="27" t="n">
        <f aca="false">IFERROR(ROUND(MAX(1,(IF($V43&lt;=INDEX('Parametri Modello'!$C$57:$C$60,MATCH($B43,'Parametri Modello'!$A$57:$A$60,0)),IF(INDEX('Parametri Modello'!$E$57:$E$60,MATCH($B43,'Parametri Modello'!$A$57:$A$60,0))=0,0,($O43/INDEX('Parametri Modello'!$E$57:$E$60,MATCH($B43,'Parametri Modello'!$A$57:$A$60,0)))*(INDEX('Parametri Modello'!$D$57:$D$60,MATCH($B43,'Parametri Modello'!$A$57:$A$60,0))*(INDEX('Parametri Modello'!$B$50:$B$53,MATCH($B43,'Parametri Modello'!$A$50:$A$53,0))*'Parametri Modello'!$B$44))),IF(INDEX('Parametri Modello'!$F$57:$F$60,MATCH($B43,'Parametri Modello'!$A$57:$A$60,0))=0,0,($O43/INDEX('Parametri Modello'!$F$57:$F$60,MATCH($B43,'Parametri Modello'!$A$57:$A$60,0)))*((1-INDEX('Parametri Modello'!$D$57:$D$60,MATCH($B43,'Parametri Modello'!$A$57:$A$60,0)))*(INDEX('Parametri Modello'!$B$50:$B$53,MATCH($B43,'Parametri Modello'!$A$50:$A$53,0))*'Parametri Modello'!$B$44))))*(1+IF(IF($B43="D",'Info Lega'!$B$25,IF($B43="C",'Info Lega'!$B$26,"No"))="Si",'Parametri Modello'!$B$5,0))*(1+MAX(-0.25,MIN(0.25,IF(OR($T43="",$I43="",$I43=0,INDEX('Parametri Modello'!$B$19:$B$22,MATCH($B43,'Parametri Modello'!$A$19:$A$22,0))="",INDEX('Parametri Modello'!$B$19:$B$22,MATCH($B43,'Parametri Modello'!$A$19:$A$22,0))=0),0,(($T43-INDEX('Parametri Modello'!$B$19:$B$22,MATCH($B43,'Parametri Modello'!$A$19:$A$22,0)))/INDEX('Parametri Modello'!$B$19:$B$22,MATCH($B43,'Parametri Modello'!$A$19:$A$22,0)))*'Parametri Modello'!$B$9))))*(1+IF('Parametri Modello'!$B$27="Si",MAX(-'Parametri Modello'!$B$28,MIN('Parametri Modello'!$B$28*1.5,IF(OR(INDEX('Parametri Modello'!$F$32:$F$35,MATCH($B43,'Parametri Modello'!$A$32:$A$35,0))="",INDEX('Parametri Modello'!$F$32:$F$35,MATCH($B43,'Parametri Modello'!$A$32:$A$35,0))=0),0,(1/INDEX('Parametri Modello'!$F$32:$F$35,MATCH($B43,'Parametri Modello'!$A$32:$A$35,0))-1)*'Parametri Modello'!$B$28))),0)))*(1-INDEX('Parametri Modello'!$B$12:$B$15,MATCH($B43,'Parametri Modello'!$A$12:$A$15,0)))),0),"")</f>
        <v>84</v>
      </c>
      <c r="H43" s="27" t="n">
        <f aca="false">IFERROR(ROUND((IF($V43&lt;=INDEX('Parametri Modello'!$C$57:$C$60,MATCH($B43,'Parametri Modello'!$A$57:$A$60,0)),IF(INDEX('Parametri Modello'!$E$57:$E$60,MATCH($B43,'Parametri Modello'!$A$57:$A$60,0))=0,0,($O43/INDEX('Parametri Modello'!$E$57:$E$60,MATCH($B43,'Parametri Modello'!$A$57:$A$60,0)))*(INDEX('Parametri Modello'!$D$57:$D$60,MATCH($B43,'Parametri Modello'!$A$57:$A$60,0))*(INDEX('Parametri Modello'!$B$50:$B$53,MATCH($B43,'Parametri Modello'!$A$50:$A$53,0))*'Parametri Modello'!$B$44))),IF(INDEX('Parametri Modello'!$F$57:$F$60,MATCH($B43,'Parametri Modello'!$A$57:$A$60,0))=0,0,($O43/INDEX('Parametri Modello'!$F$57:$F$60,MATCH($B43,'Parametri Modello'!$A$57:$A$60,0)))*((1-INDEX('Parametri Modello'!$D$57:$D$60,MATCH($B43,'Parametri Modello'!$A$57:$A$60,0)))*(INDEX('Parametri Modello'!$B$50:$B$53,MATCH($B43,'Parametri Modello'!$A$50:$A$53,0))*'Parametri Modello'!$B$44))))*(1+IF(IF($B43="D",'Info Lega'!$B$25,IF($B43="C",'Info Lega'!$B$26,"No"))="Si",'Parametri Modello'!$B$5,0))*(1+MAX(-0.25,MIN(0.25,IF(OR($T43="",$I43="",$I43=0,INDEX('Parametri Modello'!$B$19:$B$22,MATCH($B43,'Parametri Modello'!$A$19:$A$22,0))="",INDEX('Parametri Modello'!$B$19:$B$22,MATCH($B43,'Parametri Modello'!$A$19:$A$22,0))=0),0,(($T43-INDEX('Parametri Modello'!$B$19:$B$22,MATCH($B43,'Parametri Modello'!$A$19:$A$22,0)))/INDEX('Parametri Modello'!$B$19:$B$22,MATCH($B43,'Parametri Modello'!$A$19:$A$22,0)))*'Parametri Modello'!$B$9))))*(1+IF('Parametri Modello'!$B$27="Si",MAX(-'Parametri Modello'!$B$28,MIN('Parametri Modello'!$B$28*1.5,IF(OR(INDEX('Parametri Modello'!$F$32:$F$35,MATCH($B43,'Parametri Modello'!$A$32:$A$35,0))="",INDEX('Parametri Modello'!$F$32:$F$35,MATCH($B43,'Parametri Modello'!$A$32:$A$35,0))=0),0,(1/INDEX('Parametri Modello'!$F$32:$F$35,MATCH($B43,'Parametri Modello'!$A$32:$A$35,0))-1)*'Parametri Modello'!$B$28))),0)))*(1+INDEX('Parametri Modello'!$B$12:$B$15,MATCH($B43,'Parametri Modello'!$A$12:$A$15,0))),0),"")</f>
        <v>114</v>
      </c>
      <c r="I43" s="26" t="n">
        <f aca="false">IFERROR(INDEX('Input Statistiche 2025_26'!$F$3:$F$665,MATCH($A43,'Input Statistiche 2025_26'!$A$3:$A$665,0)),"")</f>
        <v>5</v>
      </c>
      <c r="J43" s="26" t="n">
        <f aca="false">IFERROR(IF($I43="","",MAX(0,38-$I43)),"")</f>
        <v>33</v>
      </c>
      <c r="K43" s="26" t="n">
        <f aca="false">IFERROR(INDEX('Input Statistiche 2025_26'!$I$3:$I$665,MATCH($A43,'Input Statistiche 2025_26'!$A$3:$A$665,0)),"")</f>
        <v>0</v>
      </c>
      <c r="L43" s="26" t="n">
        <f aca="false">IFERROR(INDEX('Input Statistiche 2025_26'!$O$3:$O$665,MATCH($A43,'Input Statistiche 2025_26'!$A$3:$A$665,0)),"")</f>
        <v>0</v>
      </c>
      <c r="M43" s="28"/>
      <c r="N43" s="27" t="n">
        <f aca="false">IFERROR(INDEX('Input Giocatori 2026_27'!$E$3:$E$493,MATCH($A43,'Input Giocatori 2026_27'!$A$3:$A$493,0)),"")</f>
        <v>17</v>
      </c>
      <c r="O43" s="27" t="n">
        <f aca="false">IFERROR(INDEX('Input Giocatori 2026_27'!$G$3:$G$493,MATCH($A43,'Input Giocatori 2026_27'!$A$3:$A$493,0)),"")</f>
        <v>63</v>
      </c>
      <c r="P43" s="26" t="str">
        <f aca="false">IFERROR(IF($O43="","",IF((1-(COUNTIFS($B$2:$B$492,$B43,$O$2:$O$492,"&gt;"&amp;$O43)+1-1)/COUNTIF($B$2:$B$492,$B43))&gt;=0.85,"Top",IF((1-(COUNTIFS($B$2:$B$492,$B43,$O$2:$O$492,"&gt;"&amp;$O43)+1-1)/COUNTIF($B$2:$B$492,$B43))&gt;=0.6,"Buono",IF((1-(COUNTIFS($B$2:$B$492,$B43,$O$2:$O$492,"&gt;"&amp;$O43)+1-1)/COUNTIF($B$2:$B$492,$B43))&gt;=0.3,"Nella Media","Scommessa/Riserva")))),"")</f>
        <v>Top</v>
      </c>
      <c r="Q43" s="29" t="n">
        <f aca="false">IF($D43="",COUNTIF($D$2:$D43,""),"")</f>
        <v>42</v>
      </c>
      <c r="R43" s="29" t="str">
        <f aca="false">IF($D43='Info Lega'!$B$28,COUNTIFS($D$2:$D43,'Info Lega'!$B$28),"")</f>
        <v/>
      </c>
      <c r="S43" s="30" t="n">
        <f aca="false">IFERROR(INDEX('Input Statistiche 2025_26'!$G$3:$G$665,MATCH($A43,'Input Statistiche 2025_26'!$A$3:$A$665,0)),"")</f>
        <v>6</v>
      </c>
      <c r="T43" s="30" t="n">
        <f aca="false">IFERROR(INDEX('Input Statistiche 2025_26'!$H$3:$H$665,MATCH($A43,'Input Statistiche 2025_26'!$A$3:$A$665,0)),"")</f>
        <v>5.2</v>
      </c>
      <c r="U43" s="26" t="str">
        <f aca="false">IF(OR('La Mia Rosa'!$O$12="",$D43&lt;&gt;""),"",IF($F43&lt;='La Mia Rosa'!$O$12*'Parametri Modello'!$B$24,"OK",IF($F43&lt;='La Mia Rosa'!$O$12*'Parametri Modello'!$B$25,"Attenzione","Rischio Alto")))</f>
        <v>Attenzione</v>
      </c>
      <c r="V43" s="26" t="n">
        <f aca="false">IFERROR(COUNTIFS($B$2:$B$492,$B43,$O$2:$O$492,"&gt;"&amp;$O43)+1,"")</f>
        <v>2</v>
      </c>
      <c r="W43" s="21" t="n">
        <f aca="false">'Info Lega'!$B$4-SUMIFS($M$2:$M$492,$D$2:$D$492,'Info Lega'!$B$28)</f>
        <v>1000</v>
      </c>
      <c r="X43" s="21" t="n">
        <f aca="false">('Info Lega'!$B$5-COUNTIFS($D$2:$D$492,'Info Lega'!$B$28,$B$2:$B$492,"P"))+('Info Lega'!$B$6-COUNTIFS($D$2:$D$492,'Info Lega'!$B$28,$B$2:$B$492,"D"))+('Info Lega'!$B$7-COUNTIFS($D$2:$D$492,'Info Lega'!$B$28,$B$2:$B$492,"C"))+('Info Lega'!$B$8-COUNTIFS($D$2:$D$492,'Info Lega'!$B$28,$B$2:$B$492,"A"))</f>
        <v>25</v>
      </c>
      <c r="Y43" s="21" t="n">
        <f aca="false">X43*'Parametri Modello'!$B$30</f>
        <v>25</v>
      </c>
      <c r="Z43" s="21" t="n">
        <f aca="false">MAX(0,W43-Y43)</f>
        <v>975</v>
      </c>
      <c r="AA43" s="21" t="n">
        <f aca="false">MIN(F43,Z43)</f>
        <v>105</v>
      </c>
      <c r="AB43" s="21"/>
      <c r="AC43" s="21" t="str">
        <f aca="false">IF(AB43="","",IF(AB43&gt;AA43,"PASS",IF(AB43&lt;=AA43*0.85,"BID","ATTENZIONE")))</f>
        <v/>
      </c>
      <c r="AD43" s="31" t="n">
        <f aca="false">IF(I43="","",ROUND(100*(1-EXP(-I43/30)),0))</f>
        <v>15</v>
      </c>
      <c r="AE43" s="7" t="str">
        <f aca="false">IFERROR(INDEX('Stato Asta'!$G$9:$G$12,MATCH($B43,'Stato Asta'!$A$9:$A$12,0)),"")</f>
        <v>🟡 Attesa rischiosa</v>
      </c>
    </row>
    <row r="44" customFormat="false" ht="14.25" hidden="false" customHeight="true" outlineLevel="0" collapsed="false">
      <c r="A44" s="21" t="n">
        <v>4923</v>
      </c>
      <c r="B44" s="21" t="s">
        <v>46</v>
      </c>
      <c r="C44" s="21" t="s">
        <v>568</v>
      </c>
      <c r="E44" s="26" t="str">
        <f aca="false">IF(COUNTIF('Info Strategia'!$D$2:$D$51,$C44)&gt;0,"SI","NO")</f>
        <v>NO</v>
      </c>
      <c r="F44" s="27" t="n">
        <f aca="false">IFERROR(ROUND(($G44+($H44-$G44)*'Info Strategia'!$B$6)*(1+IF($E44="SI",'Parametri Modello'!$B$7*'Info Strategia'!$B$6,0)),0),"")</f>
        <v>64</v>
      </c>
      <c r="G44" s="27" t="n">
        <f aca="false">IFERROR(ROUND(MAX(1,(IF($V44&lt;=INDEX('Parametri Modello'!$C$57:$C$60,MATCH($B44,'Parametri Modello'!$A$57:$A$60,0)),IF(INDEX('Parametri Modello'!$E$57:$E$60,MATCH($B44,'Parametri Modello'!$A$57:$A$60,0))=0,0,($O44/INDEX('Parametri Modello'!$E$57:$E$60,MATCH($B44,'Parametri Modello'!$A$57:$A$60,0)))*(INDEX('Parametri Modello'!$D$57:$D$60,MATCH($B44,'Parametri Modello'!$A$57:$A$60,0))*(INDEX('Parametri Modello'!$B$50:$B$53,MATCH($B44,'Parametri Modello'!$A$50:$A$53,0))*'Parametri Modello'!$B$44))),IF(INDEX('Parametri Modello'!$F$57:$F$60,MATCH($B44,'Parametri Modello'!$A$57:$A$60,0))=0,0,($O44/INDEX('Parametri Modello'!$F$57:$F$60,MATCH($B44,'Parametri Modello'!$A$57:$A$60,0)))*((1-INDEX('Parametri Modello'!$D$57:$D$60,MATCH($B44,'Parametri Modello'!$A$57:$A$60,0)))*(INDEX('Parametri Modello'!$B$50:$B$53,MATCH($B44,'Parametri Modello'!$A$50:$A$53,0))*'Parametri Modello'!$B$44))))*(1+IF(IF($B44="D",'Info Lega'!$B$25,IF($B44="C",'Info Lega'!$B$26,"No"))="Si",'Parametri Modello'!$B$5,0))*(1+MAX(-0.25,MIN(0.25,IF(OR($T44="",$I44="",$I44=0,INDEX('Parametri Modello'!$B$19:$B$22,MATCH($B44,'Parametri Modello'!$A$19:$A$22,0))="",INDEX('Parametri Modello'!$B$19:$B$22,MATCH($B44,'Parametri Modello'!$A$19:$A$22,0))=0),0,(($T44-INDEX('Parametri Modello'!$B$19:$B$22,MATCH($B44,'Parametri Modello'!$A$19:$A$22,0)))/INDEX('Parametri Modello'!$B$19:$B$22,MATCH($B44,'Parametri Modello'!$A$19:$A$22,0)))*'Parametri Modello'!$B$9))))*(1+IF('Parametri Modello'!$B$27="Si",MAX(-'Parametri Modello'!$B$28,MIN('Parametri Modello'!$B$28*1.5,IF(OR(INDEX('Parametri Modello'!$F$32:$F$35,MATCH($B44,'Parametri Modello'!$A$32:$A$35,0))="",INDEX('Parametri Modello'!$F$32:$F$35,MATCH($B44,'Parametri Modello'!$A$32:$A$35,0))=0),0,(1/INDEX('Parametri Modello'!$F$32:$F$35,MATCH($B44,'Parametri Modello'!$A$32:$A$35,0))-1)*'Parametri Modello'!$B$28))),0)))*(1-INDEX('Parametri Modello'!$B$12:$B$15,MATCH($B44,'Parametri Modello'!$A$12:$A$15,0)))),0),"")</f>
        <v>40</v>
      </c>
      <c r="H44" s="27" t="n">
        <f aca="false">IFERROR(ROUND((IF($V44&lt;=INDEX('Parametri Modello'!$C$57:$C$60,MATCH($B44,'Parametri Modello'!$A$57:$A$60,0)),IF(INDEX('Parametri Modello'!$E$57:$E$60,MATCH($B44,'Parametri Modello'!$A$57:$A$60,0))=0,0,($O44/INDEX('Parametri Modello'!$E$57:$E$60,MATCH($B44,'Parametri Modello'!$A$57:$A$60,0)))*(INDEX('Parametri Modello'!$D$57:$D$60,MATCH($B44,'Parametri Modello'!$A$57:$A$60,0))*(INDEX('Parametri Modello'!$B$50:$B$53,MATCH($B44,'Parametri Modello'!$A$50:$A$53,0))*'Parametri Modello'!$B$44))),IF(INDEX('Parametri Modello'!$F$57:$F$60,MATCH($B44,'Parametri Modello'!$A$57:$A$60,0))=0,0,($O44/INDEX('Parametri Modello'!$F$57:$F$60,MATCH($B44,'Parametri Modello'!$A$57:$A$60,0)))*((1-INDEX('Parametri Modello'!$D$57:$D$60,MATCH($B44,'Parametri Modello'!$A$57:$A$60,0)))*(INDEX('Parametri Modello'!$B$50:$B$53,MATCH($B44,'Parametri Modello'!$A$50:$A$53,0))*'Parametri Modello'!$B$44))))*(1+IF(IF($B44="D",'Info Lega'!$B$25,IF($B44="C",'Info Lega'!$B$26,"No"))="Si",'Parametri Modello'!$B$5,0))*(1+MAX(-0.25,MIN(0.25,IF(OR($T44="",$I44="",$I44=0,INDEX('Parametri Modello'!$B$19:$B$22,MATCH($B44,'Parametri Modello'!$A$19:$A$22,0))="",INDEX('Parametri Modello'!$B$19:$B$22,MATCH($B44,'Parametri Modello'!$A$19:$A$22,0))=0),0,(($T44-INDEX('Parametri Modello'!$B$19:$B$22,MATCH($B44,'Parametri Modello'!$A$19:$A$22,0)))/INDEX('Parametri Modello'!$B$19:$B$22,MATCH($B44,'Parametri Modello'!$A$19:$A$22,0)))*'Parametri Modello'!$B$9))))*(1+IF('Parametri Modello'!$B$27="Si",MAX(-'Parametri Modello'!$B$28,MIN('Parametri Modello'!$B$28*1.5,IF(OR(INDEX('Parametri Modello'!$F$32:$F$35,MATCH($B44,'Parametri Modello'!$A$32:$A$35,0))="",INDEX('Parametri Modello'!$F$32:$F$35,MATCH($B44,'Parametri Modello'!$A$32:$A$35,0))=0),0,(1/INDEX('Parametri Modello'!$F$32:$F$35,MATCH($B44,'Parametri Modello'!$A$32:$A$35,0))-1)*'Parametri Modello'!$B$28))),0)))*(1+INDEX('Parametri Modello'!$B$12:$B$15,MATCH($B44,'Parametri Modello'!$A$12:$A$15,0))),0),"")</f>
        <v>74</v>
      </c>
      <c r="I44" s="26" t="n">
        <f aca="false">IFERROR(INDEX('Input Statistiche 2025_26'!$F$3:$F$665,MATCH($A44,'Input Statistiche 2025_26'!$A$3:$A$665,0)),"")</f>
        <v>37</v>
      </c>
      <c r="J44" s="26" t="n">
        <f aca="false">IFERROR(IF($I44="","",MAX(0,38-$I44)),"")</f>
        <v>1</v>
      </c>
      <c r="K44" s="26" t="n">
        <f aca="false">IFERROR(INDEX('Input Statistiche 2025_26'!$I$3:$I$665,MATCH($A44,'Input Statistiche 2025_26'!$A$3:$A$665,0)),"")</f>
        <v>7</v>
      </c>
      <c r="L44" s="26" t="n">
        <f aca="false">IFERROR(INDEX('Input Statistiche 2025_26'!$O$3:$O$665,MATCH($A44,'Input Statistiche 2025_26'!$A$3:$A$665,0)),"")</f>
        <v>1</v>
      </c>
      <c r="M44" s="28"/>
      <c r="N44" s="27" t="n">
        <f aca="false">IFERROR(INDEX('Input Giocatori 2026_27'!$E$3:$E$493,MATCH($A44,'Input Giocatori 2026_27'!$A$3:$A$493,0)),"")</f>
        <v>11</v>
      </c>
      <c r="O44" s="27" t="n">
        <f aca="false">IFERROR(INDEX('Input Giocatori 2026_27'!$G$3:$G$493,MATCH($A44,'Input Giocatori 2026_27'!$A$3:$A$493,0)),"")</f>
        <v>63</v>
      </c>
      <c r="P44" s="26" t="str">
        <f aca="false">IFERROR(IF($O44="","",IF((1-(COUNTIFS($B$2:$B$492,$B44,$O$2:$O$492,"&gt;"&amp;$O44)+1-1)/COUNTIF($B$2:$B$492,$B44))&gt;=0.85,"Top",IF((1-(COUNTIFS($B$2:$B$492,$B44,$O$2:$O$492,"&gt;"&amp;$O44)+1-1)/COUNTIF($B$2:$B$492,$B44))&gt;=0.6,"Buono",IF((1-(COUNTIFS($B$2:$B$492,$B44,$O$2:$O$492,"&gt;"&amp;$O44)+1-1)/COUNTIF($B$2:$B$492,$B44))&gt;=0.3,"Nella Media","Scommessa/Riserva")))),"")</f>
        <v>Buono</v>
      </c>
      <c r="Q44" s="29" t="n">
        <f aca="false">IF($D44="",COUNTIF($D$2:$D44,""),"")</f>
        <v>43</v>
      </c>
      <c r="R44" s="29" t="str">
        <f aca="false">IF($D44='Info Lega'!$B$28,COUNTIFS($D$2:$D44,'Info Lega'!$B$28),"")</f>
        <v/>
      </c>
      <c r="S44" s="30" t="n">
        <f aca="false">IFERROR(INDEX('Input Statistiche 2025_26'!$G$3:$G$665,MATCH($A44,'Input Statistiche 2025_26'!$A$3:$A$665,0)),"")</f>
        <v>5.92</v>
      </c>
      <c r="T44" s="30" t="n">
        <f aca="false">IFERROR(INDEX('Input Statistiche 2025_26'!$H$3:$H$665,MATCH($A44,'Input Statistiche 2025_26'!$A$3:$A$665,0)),"")</f>
        <v>6.41</v>
      </c>
      <c r="U44" s="26" t="str">
        <f aca="false">IF(OR('La Mia Rosa'!$O$12="",$D44&lt;&gt;""),"",IF($F44&lt;='La Mia Rosa'!$O$12*'Parametri Modello'!$B$24,"OK",IF($F44&lt;='La Mia Rosa'!$O$12*'Parametri Modello'!$B$25,"Attenzione","Rischio Alto")))</f>
        <v>Attenzione</v>
      </c>
      <c r="V44" s="26" t="n">
        <f aca="false">IFERROR(COUNTIFS($B$2:$B$492,$B44,$O$2:$O$492,"&gt;"&amp;$O44)+1,"")</f>
        <v>23</v>
      </c>
      <c r="W44" s="21" t="n">
        <f aca="false">'Info Lega'!$B$4-SUMIFS($M$2:$M$492,$D$2:$D$492,'Info Lega'!$B$28)</f>
        <v>1000</v>
      </c>
      <c r="X44" s="21" t="n">
        <f aca="false">('Info Lega'!$B$5-COUNTIFS($D$2:$D$492,'Info Lega'!$B$28,$B$2:$B$492,"P"))+('Info Lega'!$B$6-COUNTIFS($D$2:$D$492,'Info Lega'!$B$28,$B$2:$B$492,"D"))+('Info Lega'!$B$7-COUNTIFS($D$2:$D$492,'Info Lega'!$B$28,$B$2:$B$492,"C"))+('Info Lega'!$B$8-COUNTIFS($D$2:$D$492,'Info Lega'!$B$28,$B$2:$B$492,"A"))</f>
        <v>25</v>
      </c>
      <c r="Y44" s="21" t="n">
        <f aca="false">X44*'Parametri Modello'!$B$30</f>
        <v>25</v>
      </c>
      <c r="Z44" s="21" t="n">
        <f aca="false">MAX(0,W44-Y44)</f>
        <v>975</v>
      </c>
      <c r="AA44" s="21" t="n">
        <f aca="false">MIN(F44,Z44)</f>
        <v>64</v>
      </c>
      <c r="AB44" s="21"/>
      <c r="AC44" s="21" t="str">
        <f aca="false">IF(AB44="","",IF(AB44&gt;AA44,"PASS",IF(AB44&lt;=AA44*0.85,"BID","ATTENZIONE")))</f>
        <v/>
      </c>
      <c r="AD44" s="31" t="n">
        <f aca="false">IF(I44="","",ROUND(100*(1-EXP(-I44/30)),0))</f>
        <v>71</v>
      </c>
      <c r="AE44" s="7" t="str">
        <f aca="false">IFERROR(INDEX('Stato Asta'!$G$9:$G$12,MATCH($B44,'Stato Asta'!$A$9:$A$12,0)),"")</f>
        <v>🔴 Non aspettare</v>
      </c>
    </row>
    <row r="45" customFormat="false" ht="14.25" hidden="false" customHeight="true" outlineLevel="0" collapsed="false">
      <c r="A45" s="21" t="n">
        <v>4371</v>
      </c>
      <c r="B45" s="21" t="s">
        <v>46</v>
      </c>
      <c r="C45" s="21" t="s">
        <v>561</v>
      </c>
      <c r="E45" s="26" t="str">
        <f aca="false">IF(COUNTIF('Info Strategia'!$D$2:$D$51,$C45)&gt;0,"SI","NO")</f>
        <v>NO</v>
      </c>
      <c r="F45" s="27" t="n">
        <f aca="false">IFERROR(ROUND(($G45+($H45-$G45)*'Info Strategia'!$B$6)*(1+IF($E45="SI",'Parametri Modello'!$B$7*'Info Strategia'!$B$6,0)),0),"")</f>
        <v>64</v>
      </c>
      <c r="G45" s="27" t="n">
        <f aca="false">IFERROR(ROUND(MAX(1,(IF($V45&lt;=INDEX('Parametri Modello'!$C$57:$C$60,MATCH($B45,'Parametri Modello'!$A$57:$A$60,0)),IF(INDEX('Parametri Modello'!$E$57:$E$60,MATCH($B45,'Parametri Modello'!$A$57:$A$60,0))=0,0,($O45/INDEX('Parametri Modello'!$E$57:$E$60,MATCH($B45,'Parametri Modello'!$A$57:$A$60,0)))*(INDEX('Parametri Modello'!$D$57:$D$60,MATCH($B45,'Parametri Modello'!$A$57:$A$60,0))*(INDEX('Parametri Modello'!$B$50:$B$53,MATCH($B45,'Parametri Modello'!$A$50:$A$53,0))*'Parametri Modello'!$B$44))),IF(INDEX('Parametri Modello'!$F$57:$F$60,MATCH($B45,'Parametri Modello'!$A$57:$A$60,0))=0,0,($O45/INDEX('Parametri Modello'!$F$57:$F$60,MATCH($B45,'Parametri Modello'!$A$57:$A$60,0)))*((1-INDEX('Parametri Modello'!$D$57:$D$60,MATCH($B45,'Parametri Modello'!$A$57:$A$60,0)))*(INDEX('Parametri Modello'!$B$50:$B$53,MATCH($B45,'Parametri Modello'!$A$50:$A$53,0))*'Parametri Modello'!$B$44))))*(1+IF(IF($B45="D",'Info Lega'!$B$25,IF($B45="C",'Info Lega'!$B$26,"No"))="Si",'Parametri Modello'!$B$5,0))*(1+MAX(-0.25,MIN(0.25,IF(OR($T45="",$I45="",$I45=0,INDEX('Parametri Modello'!$B$19:$B$22,MATCH($B45,'Parametri Modello'!$A$19:$A$22,0))="",INDEX('Parametri Modello'!$B$19:$B$22,MATCH($B45,'Parametri Modello'!$A$19:$A$22,0))=0),0,(($T45-INDEX('Parametri Modello'!$B$19:$B$22,MATCH($B45,'Parametri Modello'!$A$19:$A$22,0)))/INDEX('Parametri Modello'!$B$19:$B$22,MATCH($B45,'Parametri Modello'!$A$19:$A$22,0)))*'Parametri Modello'!$B$9))))*(1+IF('Parametri Modello'!$B$27="Si",MAX(-'Parametri Modello'!$B$28,MIN('Parametri Modello'!$B$28*1.5,IF(OR(INDEX('Parametri Modello'!$F$32:$F$35,MATCH($B45,'Parametri Modello'!$A$32:$A$35,0))="",INDEX('Parametri Modello'!$F$32:$F$35,MATCH($B45,'Parametri Modello'!$A$32:$A$35,0))=0),0,(1/INDEX('Parametri Modello'!$F$32:$F$35,MATCH($B45,'Parametri Modello'!$A$32:$A$35,0))-1)*'Parametri Modello'!$B$28))),0)))*(1-INDEX('Parametri Modello'!$B$12:$B$15,MATCH($B45,'Parametri Modello'!$A$12:$A$15,0)))),0),"")</f>
        <v>40</v>
      </c>
      <c r="H45" s="27" t="n">
        <f aca="false">IFERROR(ROUND((IF($V45&lt;=INDEX('Parametri Modello'!$C$57:$C$60,MATCH($B45,'Parametri Modello'!$A$57:$A$60,0)),IF(INDEX('Parametri Modello'!$E$57:$E$60,MATCH($B45,'Parametri Modello'!$A$57:$A$60,0))=0,0,($O45/INDEX('Parametri Modello'!$E$57:$E$60,MATCH($B45,'Parametri Modello'!$A$57:$A$60,0)))*(INDEX('Parametri Modello'!$D$57:$D$60,MATCH($B45,'Parametri Modello'!$A$57:$A$60,0))*(INDEX('Parametri Modello'!$B$50:$B$53,MATCH($B45,'Parametri Modello'!$A$50:$A$53,0))*'Parametri Modello'!$B$44))),IF(INDEX('Parametri Modello'!$F$57:$F$60,MATCH($B45,'Parametri Modello'!$A$57:$A$60,0))=0,0,($O45/INDEX('Parametri Modello'!$F$57:$F$60,MATCH($B45,'Parametri Modello'!$A$57:$A$60,0)))*((1-INDEX('Parametri Modello'!$D$57:$D$60,MATCH($B45,'Parametri Modello'!$A$57:$A$60,0)))*(INDEX('Parametri Modello'!$B$50:$B$53,MATCH($B45,'Parametri Modello'!$A$50:$A$53,0))*'Parametri Modello'!$B$44))))*(1+IF(IF($B45="D",'Info Lega'!$B$25,IF($B45="C",'Info Lega'!$B$26,"No"))="Si",'Parametri Modello'!$B$5,0))*(1+MAX(-0.25,MIN(0.25,IF(OR($T45="",$I45="",$I45=0,INDEX('Parametri Modello'!$B$19:$B$22,MATCH($B45,'Parametri Modello'!$A$19:$A$22,0))="",INDEX('Parametri Modello'!$B$19:$B$22,MATCH($B45,'Parametri Modello'!$A$19:$A$22,0))=0),0,(($T45-INDEX('Parametri Modello'!$B$19:$B$22,MATCH($B45,'Parametri Modello'!$A$19:$A$22,0)))/INDEX('Parametri Modello'!$B$19:$B$22,MATCH($B45,'Parametri Modello'!$A$19:$A$22,0)))*'Parametri Modello'!$B$9))))*(1+IF('Parametri Modello'!$B$27="Si",MAX(-'Parametri Modello'!$B$28,MIN('Parametri Modello'!$B$28*1.5,IF(OR(INDEX('Parametri Modello'!$F$32:$F$35,MATCH($B45,'Parametri Modello'!$A$32:$A$35,0))="",INDEX('Parametri Modello'!$F$32:$F$35,MATCH($B45,'Parametri Modello'!$A$32:$A$35,0))=0),0,(1/INDEX('Parametri Modello'!$F$32:$F$35,MATCH($B45,'Parametri Modello'!$A$32:$A$35,0))-1)*'Parametri Modello'!$B$28))),0)))*(1+INDEX('Parametri Modello'!$B$12:$B$15,MATCH($B45,'Parametri Modello'!$A$12:$A$15,0))),0),"")</f>
        <v>74</v>
      </c>
      <c r="I45" s="26" t="n">
        <f aca="false">IFERROR(INDEX('Input Statistiche 2025_26'!$F$3:$F$665,MATCH($A45,'Input Statistiche 2025_26'!$A$3:$A$665,0)),"")</f>
        <v>13</v>
      </c>
      <c r="J45" s="26" t="n">
        <f aca="false">IFERROR(IF($I45="","",MAX(0,38-$I45)),"")</f>
        <v>25</v>
      </c>
      <c r="K45" s="26" t="n">
        <f aca="false">IFERROR(INDEX('Input Statistiche 2025_26'!$I$3:$I$665,MATCH($A45,'Input Statistiche 2025_26'!$A$3:$A$665,0)),"")</f>
        <v>3</v>
      </c>
      <c r="L45" s="26" t="n">
        <f aca="false">IFERROR(INDEX('Input Statistiche 2025_26'!$O$3:$O$665,MATCH($A45,'Input Statistiche 2025_26'!$A$3:$A$665,0)),"")</f>
        <v>1</v>
      </c>
      <c r="M45" s="28"/>
      <c r="N45" s="27" t="n">
        <f aca="false">IFERROR(INDEX('Input Giocatori 2026_27'!$E$3:$E$493,MATCH($A45,'Input Giocatori 2026_27'!$A$3:$A$493,0)),"")</f>
        <v>13</v>
      </c>
      <c r="O45" s="27" t="n">
        <f aca="false">IFERROR(INDEX('Input Giocatori 2026_27'!$G$3:$G$493,MATCH($A45,'Input Giocatori 2026_27'!$A$3:$A$493,0)),"")</f>
        <v>62</v>
      </c>
      <c r="P45" s="26" t="str">
        <f aca="false">IFERROR(IF($O45="","",IF((1-(COUNTIFS($B$2:$B$492,$B45,$O$2:$O$492,"&gt;"&amp;$O45)+1-1)/COUNTIF($B$2:$B$492,$B45))&gt;=0.85,"Top",IF((1-(COUNTIFS($B$2:$B$492,$B45,$O$2:$O$492,"&gt;"&amp;$O45)+1-1)/COUNTIF($B$2:$B$492,$B45))&gt;=0.6,"Buono",IF((1-(COUNTIFS($B$2:$B$492,$B45,$O$2:$O$492,"&gt;"&amp;$O45)+1-1)/COUNTIF($B$2:$B$492,$B45))&gt;=0.3,"Nella Media","Scommessa/Riserva")))),"")</f>
        <v>Buono</v>
      </c>
      <c r="Q45" s="29" t="n">
        <f aca="false">IF($D45="",COUNTIF($D$2:$D45,""),"")</f>
        <v>44</v>
      </c>
      <c r="R45" s="29" t="str">
        <f aca="false">IF($D45='Info Lega'!$B$28,COUNTIFS($D$2:$D45,'Info Lega'!$B$28),"")</f>
        <v/>
      </c>
      <c r="S45" s="30" t="n">
        <f aca="false">IFERROR(INDEX('Input Statistiche 2025_26'!$G$3:$G$665,MATCH($A45,'Input Statistiche 2025_26'!$A$3:$A$665,0)),"")</f>
        <v>6.12</v>
      </c>
      <c r="T45" s="30" t="n">
        <f aca="false">IFERROR(INDEX('Input Statistiche 2025_26'!$H$3:$H$665,MATCH($A45,'Input Statistiche 2025_26'!$A$3:$A$665,0)),"")</f>
        <v>6.88</v>
      </c>
      <c r="U45" s="26" t="str">
        <f aca="false">IF(OR('La Mia Rosa'!$O$12="",$D45&lt;&gt;""),"",IF($F45&lt;='La Mia Rosa'!$O$12*'Parametri Modello'!$B$24,"OK",IF($F45&lt;='La Mia Rosa'!$O$12*'Parametri Modello'!$B$25,"Attenzione","Rischio Alto")))</f>
        <v>Attenzione</v>
      </c>
      <c r="V45" s="26" t="n">
        <f aca="false">IFERROR(COUNTIFS($B$2:$B$492,$B45,$O$2:$O$492,"&gt;"&amp;$O45)+1,"")</f>
        <v>24</v>
      </c>
      <c r="W45" s="21" t="n">
        <f aca="false">'Info Lega'!$B$4-SUMIFS($M$2:$M$492,$D$2:$D$492,'Info Lega'!$B$28)</f>
        <v>1000</v>
      </c>
      <c r="X45" s="21" t="n">
        <f aca="false">('Info Lega'!$B$5-COUNTIFS($D$2:$D$492,'Info Lega'!$B$28,$B$2:$B$492,"P"))+('Info Lega'!$B$6-COUNTIFS($D$2:$D$492,'Info Lega'!$B$28,$B$2:$B$492,"D"))+('Info Lega'!$B$7-COUNTIFS($D$2:$D$492,'Info Lega'!$B$28,$B$2:$B$492,"C"))+('Info Lega'!$B$8-COUNTIFS($D$2:$D$492,'Info Lega'!$B$28,$B$2:$B$492,"A"))</f>
        <v>25</v>
      </c>
      <c r="Y45" s="21" t="n">
        <f aca="false">X45*'Parametri Modello'!$B$30</f>
        <v>25</v>
      </c>
      <c r="Z45" s="21" t="n">
        <f aca="false">MAX(0,W45-Y45)</f>
        <v>975</v>
      </c>
      <c r="AA45" s="21" t="n">
        <f aca="false">MIN(F45,Z45)</f>
        <v>64</v>
      </c>
      <c r="AB45" s="21"/>
      <c r="AC45" s="21" t="str">
        <f aca="false">IF(AB45="","",IF(AB45&gt;AA45,"PASS",IF(AB45&lt;=AA45*0.85,"BID","ATTENZIONE")))</f>
        <v/>
      </c>
      <c r="AD45" s="31" t="n">
        <f aca="false">IF(I45="","",ROUND(100*(1-EXP(-I45/30)),0))</f>
        <v>35</v>
      </c>
      <c r="AE45" s="7" t="str">
        <f aca="false">IFERROR(INDEX('Stato Asta'!$G$9:$G$12,MATCH($B45,'Stato Asta'!$A$9:$A$12,0)),"")</f>
        <v>🔴 Non aspettare</v>
      </c>
    </row>
    <row r="46" customFormat="false" ht="14.25" hidden="false" customHeight="true" outlineLevel="0" collapsed="false">
      <c r="A46" s="21" t="n">
        <v>5800</v>
      </c>
      <c r="B46" s="21" t="s">
        <v>45</v>
      </c>
      <c r="C46" s="21" t="s">
        <v>381</v>
      </c>
      <c r="E46" s="26" t="str">
        <f aca="false">IF(COUNTIF('Info Strategia'!$D$2:$D$51,$C46)&gt;0,"SI","NO")</f>
        <v>NO</v>
      </c>
      <c r="F46" s="27" t="n">
        <f aca="false">IFERROR(ROUND(($G46+($H46-$G46)*'Info Strategia'!$B$6)*(1+IF($E46="SI",'Parametri Modello'!$B$7*'Info Strategia'!$B$6,0)),0),"")</f>
        <v>41</v>
      </c>
      <c r="G46" s="27" t="n">
        <f aca="false">IFERROR(ROUND(MAX(1,(IF($V46&lt;=INDEX('Parametri Modello'!$C$57:$C$60,MATCH($B46,'Parametri Modello'!$A$57:$A$60,0)),IF(INDEX('Parametri Modello'!$E$57:$E$60,MATCH($B46,'Parametri Modello'!$A$57:$A$60,0))=0,0,($O46/INDEX('Parametri Modello'!$E$57:$E$60,MATCH($B46,'Parametri Modello'!$A$57:$A$60,0)))*(INDEX('Parametri Modello'!$D$57:$D$60,MATCH($B46,'Parametri Modello'!$A$57:$A$60,0))*(INDEX('Parametri Modello'!$B$50:$B$53,MATCH($B46,'Parametri Modello'!$A$50:$A$53,0))*'Parametri Modello'!$B$44))),IF(INDEX('Parametri Modello'!$F$57:$F$60,MATCH($B46,'Parametri Modello'!$A$57:$A$60,0))=0,0,($O46/INDEX('Parametri Modello'!$F$57:$F$60,MATCH($B46,'Parametri Modello'!$A$57:$A$60,0)))*((1-INDEX('Parametri Modello'!$D$57:$D$60,MATCH($B46,'Parametri Modello'!$A$57:$A$60,0)))*(INDEX('Parametri Modello'!$B$50:$B$53,MATCH($B46,'Parametri Modello'!$A$50:$A$53,0))*'Parametri Modello'!$B$44))))*(1+IF(IF($B46="D",'Info Lega'!$B$25,IF($B46="C",'Info Lega'!$B$26,"No"))="Si",'Parametri Modello'!$B$5,0))*(1+MAX(-0.25,MIN(0.25,IF(OR($T46="",$I46="",$I46=0,INDEX('Parametri Modello'!$B$19:$B$22,MATCH($B46,'Parametri Modello'!$A$19:$A$22,0))="",INDEX('Parametri Modello'!$B$19:$B$22,MATCH($B46,'Parametri Modello'!$A$19:$A$22,0))=0),0,(($T46-INDEX('Parametri Modello'!$B$19:$B$22,MATCH($B46,'Parametri Modello'!$A$19:$A$22,0)))/INDEX('Parametri Modello'!$B$19:$B$22,MATCH($B46,'Parametri Modello'!$A$19:$A$22,0)))*'Parametri Modello'!$B$9))))*(1+IF('Parametri Modello'!$B$27="Si",MAX(-'Parametri Modello'!$B$28,MIN('Parametri Modello'!$B$28*1.5,IF(OR(INDEX('Parametri Modello'!$F$32:$F$35,MATCH($B46,'Parametri Modello'!$A$32:$A$35,0))="",INDEX('Parametri Modello'!$F$32:$F$35,MATCH($B46,'Parametri Modello'!$A$32:$A$35,0))=0),0,(1/INDEX('Parametri Modello'!$F$32:$F$35,MATCH($B46,'Parametri Modello'!$A$32:$A$35,0))-1)*'Parametri Modello'!$B$28))),0)))*(1-INDEX('Parametri Modello'!$B$12:$B$15,MATCH($B46,'Parametri Modello'!$A$12:$A$15,0)))),0),"")</f>
        <v>28</v>
      </c>
      <c r="H46" s="27" t="n">
        <f aca="false">IFERROR(ROUND((IF($V46&lt;=INDEX('Parametri Modello'!$C$57:$C$60,MATCH($B46,'Parametri Modello'!$A$57:$A$60,0)),IF(INDEX('Parametri Modello'!$E$57:$E$60,MATCH($B46,'Parametri Modello'!$A$57:$A$60,0))=0,0,($O46/INDEX('Parametri Modello'!$E$57:$E$60,MATCH($B46,'Parametri Modello'!$A$57:$A$60,0)))*(INDEX('Parametri Modello'!$D$57:$D$60,MATCH($B46,'Parametri Modello'!$A$57:$A$60,0))*(INDEX('Parametri Modello'!$B$50:$B$53,MATCH($B46,'Parametri Modello'!$A$50:$A$53,0))*'Parametri Modello'!$B$44))),IF(INDEX('Parametri Modello'!$F$57:$F$60,MATCH($B46,'Parametri Modello'!$A$57:$A$60,0))=0,0,($O46/INDEX('Parametri Modello'!$F$57:$F$60,MATCH($B46,'Parametri Modello'!$A$57:$A$60,0)))*((1-INDEX('Parametri Modello'!$D$57:$D$60,MATCH($B46,'Parametri Modello'!$A$57:$A$60,0)))*(INDEX('Parametri Modello'!$B$50:$B$53,MATCH($B46,'Parametri Modello'!$A$50:$A$53,0))*'Parametri Modello'!$B$44))))*(1+IF(IF($B46="D",'Info Lega'!$B$25,IF($B46="C",'Info Lega'!$B$26,"No"))="Si",'Parametri Modello'!$B$5,0))*(1+MAX(-0.25,MIN(0.25,IF(OR($T46="",$I46="",$I46=0,INDEX('Parametri Modello'!$B$19:$B$22,MATCH($B46,'Parametri Modello'!$A$19:$A$22,0))="",INDEX('Parametri Modello'!$B$19:$B$22,MATCH($B46,'Parametri Modello'!$A$19:$A$22,0))=0),0,(($T46-INDEX('Parametri Modello'!$B$19:$B$22,MATCH($B46,'Parametri Modello'!$A$19:$A$22,0)))/INDEX('Parametri Modello'!$B$19:$B$22,MATCH($B46,'Parametri Modello'!$A$19:$A$22,0)))*'Parametri Modello'!$B$9))))*(1+IF('Parametri Modello'!$B$27="Si",MAX(-'Parametri Modello'!$B$28,MIN('Parametri Modello'!$B$28*1.5,IF(OR(INDEX('Parametri Modello'!$F$32:$F$35,MATCH($B46,'Parametri Modello'!$A$32:$A$35,0))="",INDEX('Parametri Modello'!$F$32:$F$35,MATCH($B46,'Parametri Modello'!$A$32:$A$35,0))=0),0,(1/INDEX('Parametri Modello'!$F$32:$F$35,MATCH($B46,'Parametri Modello'!$A$32:$A$35,0))-1)*'Parametri Modello'!$B$28))),0)))*(1+INDEX('Parametri Modello'!$B$12:$B$15,MATCH($B46,'Parametri Modello'!$A$12:$A$15,0))),0),"")</f>
        <v>46</v>
      </c>
      <c r="I46" s="26" t="n">
        <f aca="false">IFERROR(INDEX('Input Statistiche 2025_26'!$F$3:$F$665,MATCH($A46,'Input Statistiche 2025_26'!$A$3:$A$665,0)),"")</f>
        <v>32</v>
      </c>
      <c r="J46" s="26" t="n">
        <f aca="false">IFERROR(IF($I46="","",MAX(0,38-$I46)),"")</f>
        <v>6</v>
      </c>
      <c r="K46" s="26" t="n">
        <f aca="false">IFERROR(INDEX('Input Statistiche 2025_26'!$I$3:$I$665,MATCH($A46,'Input Statistiche 2025_26'!$A$3:$A$665,0)),"")</f>
        <v>5</v>
      </c>
      <c r="L46" s="26" t="n">
        <f aca="false">IFERROR(INDEX('Input Statistiche 2025_26'!$O$3:$O$665,MATCH($A46,'Input Statistiche 2025_26'!$A$3:$A$665,0)),"")</f>
        <v>3</v>
      </c>
      <c r="M46" s="28"/>
      <c r="N46" s="27" t="n">
        <f aca="false">IFERROR(INDEX('Input Giocatori 2026_27'!$E$3:$E$493,MATCH($A46,'Input Giocatori 2026_27'!$A$3:$A$493,0)),"")</f>
        <v>13</v>
      </c>
      <c r="O46" s="27" t="n">
        <f aca="false">IFERROR(INDEX('Input Giocatori 2026_27'!$G$3:$G$493,MATCH($A46,'Input Giocatori 2026_27'!$A$3:$A$493,0)),"")</f>
        <v>61</v>
      </c>
      <c r="P46" s="26" t="str">
        <f aca="false">IFERROR(IF($O46="","",IF((1-(COUNTIFS($B$2:$B$492,$B46,$O$2:$O$492,"&gt;"&amp;$O46)+1-1)/COUNTIF($B$2:$B$492,$B46))&gt;=0.85,"Top",IF((1-(COUNTIFS($B$2:$B$492,$B46,$O$2:$O$492,"&gt;"&amp;$O46)+1-1)/COUNTIF($B$2:$B$492,$B46))&gt;=0.6,"Buono",IF((1-(COUNTIFS($B$2:$B$492,$B46,$O$2:$O$492,"&gt;"&amp;$O46)+1-1)/COUNTIF($B$2:$B$492,$B46))&gt;=0.3,"Nella Media","Scommessa/Riserva")))),"")</f>
        <v>Top</v>
      </c>
      <c r="Q46" s="29" t="n">
        <f aca="false">IF($D46="",COUNTIF($D$2:$D46,""),"")</f>
        <v>45</v>
      </c>
      <c r="R46" s="29" t="str">
        <f aca="false">IF($D46='Info Lega'!$B$28,COUNTIFS($D$2:$D46,'Info Lega'!$B$28),"")</f>
        <v/>
      </c>
      <c r="S46" s="30" t="n">
        <f aca="false">IFERROR(INDEX('Input Statistiche 2025_26'!$G$3:$G$665,MATCH($A46,'Input Statistiche 2025_26'!$A$3:$A$665,0)),"")</f>
        <v>5.88</v>
      </c>
      <c r="T46" s="30" t="n">
        <f aca="false">IFERROR(INDEX('Input Statistiche 2025_26'!$H$3:$H$665,MATCH($A46,'Input Statistiche 2025_26'!$A$3:$A$665,0)),"")</f>
        <v>6.34</v>
      </c>
      <c r="U46" s="26" t="str">
        <f aca="false">IF(OR('La Mia Rosa'!$O$12="",$D46&lt;&gt;""),"",IF($F46&lt;='La Mia Rosa'!$O$12*'Parametri Modello'!$B$24,"OK",IF($F46&lt;='La Mia Rosa'!$O$12*'Parametri Modello'!$B$25,"Attenzione","Rischio Alto")))</f>
        <v>OK</v>
      </c>
      <c r="V46" s="26" t="n">
        <f aca="false">IFERROR(COUNTIFS($B$2:$B$492,$B46,$O$2:$O$492,"&gt;"&amp;$O46)+1,"")</f>
        <v>17</v>
      </c>
      <c r="W46" s="21" t="n">
        <f aca="false">'Info Lega'!$B$4-SUMIFS($M$2:$M$492,$D$2:$D$492,'Info Lega'!$B$28)</f>
        <v>1000</v>
      </c>
      <c r="X46" s="21" t="n">
        <f aca="false">('Info Lega'!$B$5-COUNTIFS($D$2:$D$492,'Info Lega'!$B$28,$B$2:$B$492,"P"))+('Info Lega'!$B$6-COUNTIFS($D$2:$D$492,'Info Lega'!$B$28,$B$2:$B$492,"D"))+('Info Lega'!$B$7-COUNTIFS($D$2:$D$492,'Info Lega'!$B$28,$B$2:$B$492,"C"))+('Info Lega'!$B$8-COUNTIFS($D$2:$D$492,'Info Lega'!$B$28,$B$2:$B$492,"A"))</f>
        <v>25</v>
      </c>
      <c r="Y46" s="21" t="n">
        <f aca="false">X46*'Parametri Modello'!$B$30</f>
        <v>25</v>
      </c>
      <c r="Z46" s="21" t="n">
        <f aca="false">MAX(0,W46-Y46)</f>
        <v>975</v>
      </c>
      <c r="AA46" s="21" t="n">
        <f aca="false">MIN(F46,Z46)</f>
        <v>41</v>
      </c>
      <c r="AB46" s="21"/>
      <c r="AC46" s="21" t="str">
        <f aca="false">IF(AB46="","",IF(AB46&gt;AA46,"PASS",IF(AB46&lt;=AA46*0.85,"BID","ATTENZIONE")))</f>
        <v/>
      </c>
      <c r="AD46" s="31" t="n">
        <f aca="false">IF(I46="","",ROUND(100*(1-EXP(-I46/30)),0))</f>
        <v>66</v>
      </c>
      <c r="AE46" s="7" t="str">
        <f aca="false">IFERROR(INDEX('Stato Asta'!$G$9:$G$12,MATCH($B46,'Stato Asta'!$A$9:$A$12,0)),"")</f>
        <v>🟡 Attesa rischiosa</v>
      </c>
    </row>
    <row r="47" customFormat="false" ht="14.25" hidden="false" customHeight="true" outlineLevel="0" collapsed="false">
      <c r="A47" s="21" t="n">
        <v>6884</v>
      </c>
      <c r="B47" s="21" t="s">
        <v>45</v>
      </c>
      <c r="C47" s="21" t="s">
        <v>387</v>
      </c>
      <c r="E47" s="26" t="str">
        <f aca="false">IF(COUNTIF('Info Strategia'!$D$2:$D$51,$C47)&gt;0,"SI","NO")</f>
        <v>NO</v>
      </c>
      <c r="F47" s="27" t="n">
        <f aca="false">IFERROR(ROUND(($G47+($H47-$G47)*'Info Strategia'!$B$6)*(1+IF($E47="SI",'Parametri Modello'!$B$7*'Info Strategia'!$B$6,0)),0),"")</f>
        <v>40</v>
      </c>
      <c r="G47" s="27" t="n">
        <f aca="false">IFERROR(ROUND(MAX(1,(IF($V47&lt;=INDEX('Parametri Modello'!$C$57:$C$60,MATCH($B47,'Parametri Modello'!$A$57:$A$60,0)),IF(INDEX('Parametri Modello'!$E$57:$E$60,MATCH($B47,'Parametri Modello'!$A$57:$A$60,0))=0,0,($O47/INDEX('Parametri Modello'!$E$57:$E$60,MATCH($B47,'Parametri Modello'!$A$57:$A$60,0)))*(INDEX('Parametri Modello'!$D$57:$D$60,MATCH($B47,'Parametri Modello'!$A$57:$A$60,0))*(INDEX('Parametri Modello'!$B$50:$B$53,MATCH($B47,'Parametri Modello'!$A$50:$A$53,0))*'Parametri Modello'!$B$44))),IF(INDEX('Parametri Modello'!$F$57:$F$60,MATCH($B47,'Parametri Modello'!$A$57:$A$60,0))=0,0,($O47/INDEX('Parametri Modello'!$F$57:$F$60,MATCH($B47,'Parametri Modello'!$A$57:$A$60,0)))*((1-INDEX('Parametri Modello'!$D$57:$D$60,MATCH($B47,'Parametri Modello'!$A$57:$A$60,0)))*(INDEX('Parametri Modello'!$B$50:$B$53,MATCH($B47,'Parametri Modello'!$A$50:$A$53,0))*'Parametri Modello'!$B$44))))*(1+IF(IF($B47="D",'Info Lega'!$B$25,IF($B47="C",'Info Lega'!$B$26,"No"))="Si",'Parametri Modello'!$B$5,0))*(1+MAX(-0.25,MIN(0.25,IF(OR($T47="",$I47="",$I47=0,INDEX('Parametri Modello'!$B$19:$B$22,MATCH($B47,'Parametri Modello'!$A$19:$A$22,0))="",INDEX('Parametri Modello'!$B$19:$B$22,MATCH($B47,'Parametri Modello'!$A$19:$A$22,0))=0),0,(($T47-INDEX('Parametri Modello'!$B$19:$B$22,MATCH($B47,'Parametri Modello'!$A$19:$A$22,0)))/INDEX('Parametri Modello'!$B$19:$B$22,MATCH($B47,'Parametri Modello'!$A$19:$A$22,0)))*'Parametri Modello'!$B$9))))*(1+IF('Parametri Modello'!$B$27="Si",MAX(-'Parametri Modello'!$B$28,MIN('Parametri Modello'!$B$28*1.5,IF(OR(INDEX('Parametri Modello'!$F$32:$F$35,MATCH($B47,'Parametri Modello'!$A$32:$A$35,0))="",INDEX('Parametri Modello'!$F$32:$F$35,MATCH($B47,'Parametri Modello'!$A$32:$A$35,0))=0),0,(1/INDEX('Parametri Modello'!$F$32:$F$35,MATCH($B47,'Parametri Modello'!$A$32:$A$35,0))-1)*'Parametri Modello'!$B$28))),0)))*(1-INDEX('Parametri Modello'!$B$12:$B$15,MATCH($B47,'Parametri Modello'!$A$12:$A$15,0)))),0),"")</f>
        <v>27</v>
      </c>
      <c r="H47" s="27" t="n">
        <f aca="false">IFERROR(ROUND((IF($V47&lt;=INDEX('Parametri Modello'!$C$57:$C$60,MATCH($B47,'Parametri Modello'!$A$57:$A$60,0)),IF(INDEX('Parametri Modello'!$E$57:$E$60,MATCH($B47,'Parametri Modello'!$A$57:$A$60,0))=0,0,($O47/INDEX('Parametri Modello'!$E$57:$E$60,MATCH($B47,'Parametri Modello'!$A$57:$A$60,0)))*(INDEX('Parametri Modello'!$D$57:$D$60,MATCH($B47,'Parametri Modello'!$A$57:$A$60,0))*(INDEX('Parametri Modello'!$B$50:$B$53,MATCH($B47,'Parametri Modello'!$A$50:$A$53,0))*'Parametri Modello'!$B$44))),IF(INDEX('Parametri Modello'!$F$57:$F$60,MATCH($B47,'Parametri Modello'!$A$57:$A$60,0))=0,0,($O47/INDEX('Parametri Modello'!$F$57:$F$60,MATCH($B47,'Parametri Modello'!$A$57:$A$60,0)))*((1-INDEX('Parametri Modello'!$D$57:$D$60,MATCH($B47,'Parametri Modello'!$A$57:$A$60,0)))*(INDEX('Parametri Modello'!$B$50:$B$53,MATCH($B47,'Parametri Modello'!$A$50:$A$53,0))*'Parametri Modello'!$B$44))))*(1+IF(IF($B47="D",'Info Lega'!$B$25,IF($B47="C",'Info Lega'!$B$26,"No"))="Si",'Parametri Modello'!$B$5,0))*(1+MAX(-0.25,MIN(0.25,IF(OR($T47="",$I47="",$I47=0,INDEX('Parametri Modello'!$B$19:$B$22,MATCH($B47,'Parametri Modello'!$A$19:$A$22,0))="",INDEX('Parametri Modello'!$B$19:$B$22,MATCH($B47,'Parametri Modello'!$A$19:$A$22,0))=0),0,(($T47-INDEX('Parametri Modello'!$B$19:$B$22,MATCH($B47,'Parametri Modello'!$A$19:$A$22,0)))/INDEX('Parametri Modello'!$B$19:$B$22,MATCH($B47,'Parametri Modello'!$A$19:$A$22,0)))*'Parametri Modello'!$B$9))))*(1+IF('Parametri Modello'!$B$27="Si",MAX(-'Parametri Modello'!$B$28,MIN('Parametri Modello'!$B$28*1.5,IF(OR(INDEX('Parametri Modello'!$F$32:$F$35,MATCH($B47,'Parametri Modello'!$A$32:$A$35,0))="",INDEX('Parametri Modello'!$F$32:$F$35,MATCH($B47,'Parametri Modello'!$A$32:$A$35,0))=0),0,(1/INDEX('Parametri Modello'!$F$32:$F$35,MATCH($B47,'Parametri Modello'!$A$32:$A$35,0))-1)*'Parametri Modello'!$B$28))),0)))*(1+INDEX('Parametri Modello'!$B$12:$B$15,MATCH($B47,'Parametri Modello'!$A$12:$A$15,0))),0),"")</f>
        <v>46</v>
      </c>
      <c r="I47" s="26" t="n">
        <f aca="false">IFERROR(INDEX('Input Statistiche 2025_26'!$F$3:$F$665,MATCH($A47,'Input Statistiche 2025_26'!$A$3:$A$665,0)),"")</f>
        <v>30</v>
      </c>
      <c r="J47" s="26" t="n">
        <f aca="false">IFERROR(IF($I47="","",MAX(0,38-$I47)),"")</f>
        <v>8</v>
      </c>
      <c r="K47" s="26" t="n">
        <f aca="false">IFERROR(INDEX('Input Statistiche 2025_26'!$I$3:$I$665,MATCH($A47,'Input Statistiche 2025_26'!$A$3:$A$665,0)),"")</f>
        <v>3</v>
      </c>
      <c r="L47" s="26" t="n">
        <f aca="false">IFERROR(INDEX('Input Statistiche 2025_26'!$O$3:$O$665,MATCH($A47,'Input Statistiche 2025_26'!$A$3:$A$665,0)),"")</f>
        <v>5</v>
      </c>
      <c r="M47" s="28"/>
      <c r="N47" s="27" t="n">
        <f aca="false">IFERROR(INDEX('Input Giocatori 2026_27'!$E$3:$E$493,MATCH($A47,'Input Giocatori 2026_27'!$A$3:$A$493,0)),"")</f>
        <v>12</v>
      </c>
      <c r="O47" s="27" t="n">
        <f aca="false">IFERROR(INDEX('Input Giocatori 2026_27'!$G$3:$G$493,MATCH($A47,'Input Giocatori 2026_27'!$A$3:$A$493,0)),"")</f>
        <v>60</v>
      </c>
      <c r="P47" s="26" t="str">
        <f aca="false">IFERROR(IF($O47="","",IF((1-(COUNTIFS($B$2:$B$492,$B47,$O$2:$O$492,"&gt;"&amp;$O47)+1-1)/COUNTIF($B$2:$B$492,$B47))&gt;=0.85,"Top",IF((1-(COUNTIFS($B$2:$B$492,$B47,$O$2:$O$492,"&gt;"&amp;$O47)+1-1)/COUNTIF($B$2:$B$492,$B47))&gt;=0.6,"Buono",IF((1-(COUNTIFS($B$2:$B$492,$B47,$O$2:$O$492,"&gt;"&amp;$O47)+1-1)/COUNTIF($B$2:$B$492,$B47))&gt;=0.3,"Nella Media","Scommessa/Riserva")))),"")</f>
        <v>Top</v>
      </c>
      <c r="Q47" s="29" t="n">
        <f aca="false">IF($D47="",COUNTIF($D$2:$D47,""),"")</f>
        <v>46</v>
      </c>
      <c r="R47" s="29" t="str">
        <f aca="false">IF($D47='Info Lega'!$B$28,COUNTIFS($D$2:$D47,'Info Lega'!$B$28),"")</f>
        <v/>
      </c>
      <c r="S47" s="30" t="n">
        <f aca="false">IFERROR(INDEX('Input Statistiche 2025_26'!$G$3:$G$665,MATCH($A47,'Input Statistiche 2025_26'!$A$3:$A$665,0)),"")</f>
        <v>6.28</v>
      </c>
      <c r="T47" s="30" t="n">
        <f aca="false">IFERROR(INDEX('Input Statistiche 2025_26'!$H$3:$H$665,MATCH($A47,'Input Statistiche 2025_26'!$A$3:$A$665,0)),"")</f>
        <v>6.7</v>
      </c>
      <c r="U47" s="26" t="str">
        <f aca="false">IF(OR('La Mia Rosa'!$O$12="",$D47&lt;&gt;""),"",IF($F47&lt;='La Mia Rosa'!$O$12*'Parametri Modello'!$B$24,"OK",IF($F47&lt;='La Mia Rosa'!$O$12*'Parametri Modello'!$B$25,"Attenzione","Rischio Alto")))</f>
        <v>OK</v>
      </c>
      <c r="V47" s="26" t="n">
        <f aca="false">IFERROR(COUNTIFS($B$2:$B$492,$B47,$O$2:$O$492,"&gt;"&amp;$O47)+1,"")</f>
        <v>18</v>
      </c>
      <c r="W47" s="21" t="n">
        <f aca="false">'Info Lega'!$B$4-SUMIFS($M$2:$M$492,$D$2:$D$492,'Info Lega'!$B$28)</f>
        <v>1000</v>
      </c>
      <c r="X47" s="21" t="n">
        <f aca="false">('Info Lega'!$B$5-COUNTIFS($D$2:$D$492,'Info Lega'!$B$28,$B$2:$B$492,"P"))+('Info Lega'!$B$6-COUNTIFS($D$2:$D$492,'Info Lega'!$B$28,$B$2:$B$492,"D"))+('Info Lega'!$B$7-COUNTIFS($D$2:$D$492,'Info Lega'!$B$28,$B$2:$B$492,"C"))+('Info Lega'!$B$8-COUNTIFS($D$2:$D$492,'Info Lega'!$B$28,$B$2:$B$492,"A"))</f>
        <v>25</v>
      </c>
      <c r="Y47" s="21" t="n">
        <f aca="false">X47*'Parametri Modello'!$B$30</f>
        <v>25</v>
      </c>
      <c r="Z47" s="21" t="n">
        <f aca="false">MAX(0,W47-Y47)</f>
        <v>975</v>
      </c>
      <c r="AA47" s="21" t="n">
        <f aca="false">MIN(F47,Z47)</f>
        <v>40</v>
      </c>
      <c r="AB47" s="21"/>
      <c r="AC47" s="21" t="str">
        <f aca="false">IF(AB47="","",IF(AB47&gt;AA47,"PASS",IF(AB47&lt;=AA47*0.85,"BID","ATTENZIONE")))</f>
        <v/>
      </c>
      <c r="AD47" s="31" t="n">
        <f aca="false">IF(I47="","",ROUND(100*(1-EXP(-I47/30)),0))</f>
        <v>63</v>
      </c>
      <c r="AE47" s="7" t="str">
        <f aca="false">IFERROR(INDEX('Stato Asta'!$G$9:$G$12,MATCH($B47,'Stato Asta'!$A$9:$A$12,0)),"")</f>
        <v>🟡 Attesa rischiosa</v>
      </c>
    </row>
    <row r="48" customFormat="false" ht="14.25" hidden="false" customHeight="true" outlineLevel="0" collapsed="false">
      <c r="A48" s="21" t="n">
        <v>7351</v>
      </c>
      <c r="B48" s="21" t="s">
        <v>46</v>
      </c>
      <c r="C48" s="21" t="s">
        <v>558</v>
      </c>
      <c r="E48" s="26" t="str">
        <f aca="false">IF(COUNTIF('Info Strategia'!$D$2:$D$51,$C48)&gt;0,"SI","NO")</f>
        <v>NO</v>
      </c>
      <c r="F48" s="27" t="n">
        <f aca="false">IFERROR(ROUND(($G48+($H48-$G48)*'Info Strategia'!$B$6)*(1+IF($E48="SI",'Parametri Modello'!$B$7*'Info Strategia'!$B$6,0)),0),"")</f>
        <v>20</v>
      </c>
      <c r="G48" s="27" t="n">
        <f aca="false">IFERROR(ROUND(MAX(1,(IF($V48&lt;=INDEX('Parametri Modello'!$C$57:$C$60,MATCH($B48,'Parametri Modello'!$A$57:$A$60,0)),IF(INDEX('Parametri Modello'!$E$57:$E$60,MATCH($B48,'Parametri Modello'!$A$57:$A$60,0))=0,0,($O48/INDEX('Parametri Modello'!$E$57:$E$60,MATCH($B48,'Parametri Modello'!$A$57:$A$60,0)))*(INDEX('Parametri Modello'!$D$57:$D$60,MATCH($B48,'Parametri Modello'!$A$57:$A$60,0))*(INDEX('Parametri Modello'!$B$50:$B$53,MATCH($B48,'Parametri Modello'!$A$50:$A$53,0))*'Parametri Modello'!$B$44))),IF(INDEX('Parametri Modello'!$F$57:$F$60,MATCH($B48,'Parametri Modello'!$A$57:$A$60,0))=0,0,($O48/INDEX('Parametri Modello'!$F$57:$F$60,MATCH($B48,'Parametri Modello'!$A$57:$A$60,0)))*((1-INDEX('Parametri Modello'!$D$57:$D$60,MATCH($B48,'Parametri Modello'!$A$57:$A$60,0)))*(INDEX('Parametri Modello'!$B$50:$B$53,MATCH($B48,'Parametri Modello'!$A$50:$A$53,0))*'Parametri Modello'!$B$44))))*(1+IF(IF($B48="D",'Info Lega'!$B$25,IF($B48="C",'Info Lega'!$B$26,"No"))="Si",'Parametri Modello'!$B$5,0))*(1+MAX(-0.25,MIN(0.25,IF(OR($T48="",$I48="",$I48=0,INDEX('Parametri Modello'!$B$19:$B$22,MATCH($B48,'Parametri Modello'!$A$19:$A$22,0))="",INDEX('Parametri Modello'!$B$19:$B$22,MATCH($B48,'Parametri Modello'!$A$19:$A$22,0))=0),0,(($T48-INDEX('Parametri Modello'!$B$19:$B$22,MATCH($B48,'Parametri Modello'!$A$19:$A$22,0)))/INDEX('Parametri Modello'!$B$19:$B$22,MATCH($B48,'Parametri Modello'!$A$19:$A$22,0)))*'Parametri Modello'!$B$9))))*(1+IF('Parametri Modello'!$B$27="Si",MAX(-'Parametri Modello'!$B$28,MIN('Parametri Modello'!$B$28*1.5,IF(OR(INDEX('Parametri Modello'!$F$32:$F$35,MATCH($B48,'Parametri Modello'!$A$32:$A$35,0))="",INDEX('Parametri Modello'!$F$32:$F$35,MATCH($B48,'Parametri Modello'!$A$32:$A$35,0))=0),0,(1/INDEX('Parametri Modello'!$F$32:$F$35,MATCH($B48,'Parametri Modello'!$A$32:$A$35,0))-1)*'Parametri Modello'!$B$28))),0)))*(1-INDEX('Parametri Modello'!$B$12:$B$15,MATCH($B48,'Parametri Modello'!$A$12:$A$15,0)))),0),"")</f>
        <v>12</v>
      </c>
      <c r="H48" s="27" t="n">
        <f aca="false">IFERROR(ROUND((IF($V48&lt;=INDEX('Parametri Modello'!$C$57:$C$60,MATCH($B48,'Parametri Modello'!$A$57:$A$60,0)),IF(INDEX('Parametri Modello'!$E$57:$E$60,MATCH($B48,'Parametri Modello'!$A$57:$A$60,0))=0,0,($O48/INDEX('Parametri Modello'!$E$57:$E$60,MATCH($B48,'Parametri Modello'!$A$57:$A$60,0)))*(INDEX('Parametri Modello'!$D$57:$D$60,MATCH($B48,'Parametri Modello'!$A$57:$A$60,0))*(INDEX('Parametri Modello'!$B$50:$B$53,MATCH($B48,'Parametri Modello'!$A$50:$A$53,0))*'Parametri Modello'!$B$44))),IF(INDEX('Parametri Modello'!$F$57:$F$60,MATCH($B48,'Parametri Modello'!$A$57:$A$60,0))=0,0,($O48/INDEX('Parametri Modello'!$F$57:$F$60,MATCH($B48,'Parametri Modello'!$A$57:$A$60,0)))*((1-INDEX('Parametri Modello'!$D$57:$D$60,MATCH($B48,'Parametri Modello'!$A$57:$A$60,0)))*(INDEX('Parametri Modello'!$B$50:$B$53,MATCH($B48,'Parametri Modello'!$A$50:$A$53,0))*'Parametri Modello'!$B$44))))*(1+IF(IF($B48="D",'Info Lega'!$B$25,IF($B48="C",'Info Lega'!$B$26,"No"))="Si",'Parametri Modello'!$B$5,0))*(1+MAX(-0.25,MIN(0.25,IF(OR($T48="",$I48="",$I48=0,INDEX('Parametri Modello'!$B$19:$B$22,MATCH($B48,'Parametri Modello'!$A$19:$A$22,0))="",INDEX('Parametri Modello'!$B$19:$B$22,MATCH($B48,'Parametri Modello'!$A$19:$A$22,0))=0),0,(($T48-INDEX('Parametri Modello'!$B$19:$B$22,MATCH($B48,'Parametri Modello'!$A$19:$A$22,0)))/INDEX('Parametri Modello'!$B$19:$B$22,MATCH($B48,'Parametri Modello'!$A$19:$A$22,0)))*'Parametri Modello'!$B$9))))*(1+IF('Parametri Modello'!$B$27="Si",MAX(-'Parametri Modello'!$B$28,MIN('Parametri Modello'!$B$28*1.5,IF(OR(INDEX('Parametri Modello'!$F$32:$F$35,MATCH($B48,'Parametri Modello'!$A$32:$A$35,0))="",INDEX('Parametri Modello'!$F$32:$F$35,MATCH($B48,'Parametri Modello'!$A$32:$A$35,0))=0),0,(1/INDEX('Parametri Modello'!$F$32:$F$35,MATCH($B48,'Parametri Modello'!$A$32:$A$35,0))-1)*'Parametri Modello'!$B$28))),0)))*(1+INDEX('Parametri Modello'!$B$12:$B$15,MATCH($B48,'Parametri Modello'!$A$12:$A$15,0))),0),"")</f>
        <v>23</v>
      </c>
      <c r="I48" s="26" t="n">
        <f aca="false">IFERROR(INDEX('Input Statistiche 2025_26'!$F$3:$F$665,MATCH($A48,'Input Statistiche 2025_26'!$A$3:$A$665,0)),"")</f>
        <v>13</v>
      </c>
      <c r="J48" s="26" t="n">
        <f aca="false">IFERROR(IF($I48="","",MAX(0,38-$I48)),"")</f>
        <v>25</v>
      </c>
      <c r="K48" s="26" t="n">
        <f aca="false">IFERROR(INDEX('Input Statistiche 2025_26'!$I$3:$I$665,MATCH($A48,'Input Statistiche 2025_26'!$A$3:$A$665,0)),"")</f>
        <v>4</v>
      </c>
      <c r="L48" s="26" t="n">
        <f aca="false">IFERROR(INDEX('Input Statistiche 2025_26'!$O$3:$O$665,MATCH($A48,'Input Statistiche 2025_26'!$A$3:$A$665,0)),"")</f>
        <v>0</v>
      </c>
      <c r="M48" s="28"/>
      <c r="N48" s="27" t="n">
        <f aca="false">IFERROR(INDEX('Input Giocatori 2026_27'!$E$3:$E$493,MATCH($A48,'Input Giocatori 2026_27'!$A$3:$A$493,0)),"")</f>
        <v>14</v>
      </c>
      <c r="O48" s="27" t="n">
        <f aca="false">IFERROR(INDEX('Input Giocatori 2026_27'!$G$3:$G$493,MATCH($A48,'Input Giocatori 2026_27'!$A$3:$A$493,0)),"")</f>
        <v>60</v>
      </c>
      <c r="P48" s="26" t="str">
        <f aca="false">IFERROR(IF($O48="","",IF((1-(COUNTIFS($B$2:$B$492,$B48,$O$2:$O$492,"&gt;"&amp;$O48)+1-1)/COUNTIF($B$2:$B$492,$B48))&gt;=0.85,"Top",IF((1-(COUNTIFS($B$2:$B$492,$B48,$O$2:$O$492,"&gt;"&amp;$O48)+1-1)/COUNTIF($B$2:$B$492,$B48))&gt;=0.6,"Buono",IF((1-(COUNTIFS($B$2:$B$492,$B48,$O$2:$O$492,"&gt;"&amp;$O48)+1-1)/COUNTIF($B$2:$B$492,$B48))&gt;=0.3,"Nella Media","Scommessa/Riserva")))),"")</f>
        <v>Buono</v>
      </c>
      <c r="Q48" s="29" t="n">
        <f aca="false">IF($D48="",COUNTIF($D$2:$D48,""),"")</f>
        <v>47</v>
      </c>
      <c r="R48" s="29" t="str">
        <f aca="false">IF($D48='Info Lega'!$B$28,COUNTIFS($D$2:$D48,'Info Lega'!$B$28),"")</f>
        <v/>
      </c>
      <c r="S48" s="30" t="n">
        <f aca="false">IFERROR(INDEX('Input Statistiche 2025_26'!$G$3:$G$665,MATCH($A48,'Input Statistiche 2025_26'!$A$3:$A$665,0)),"")</f>
        <v>6.35</v>
      </c>
      <c r="T48" s="30" t="n">
        <f aca="false">IFERROR(INDEX('Input Statistiche 2025_26'!$H$3:$H$665,MATCH($A48,'Input Statistiche 2025_26'!$A$3:$A$665,0)),"")</f>
        <v>7.23</v>
      </c>
      <c r="U48" s="26" t="str">
        <f aca="false">IF(OR('La Mia Rosa'!$O$12="",$D48&lt;&gt;""),"",IF($F48&lt;='La Mia Rosa'!$O$12*'Parametri Modello'!$B$24,"OK",IF($F48&lt;='La Mia Rosa'!$O$12*'Parametri Modello'!$B$25,"Attenzione","Rischio Alto")))</f>
        <v>OK</v>
      </c>
      <c r="V48" s="26" t="n">
        <f aca="false">IFERROR(COUNTIFS($B$2:$B$492,$B48,$O$2:$O$492,"&gt;"&amp;$O48)+1,"")</f>
        <v>25</v>
      </c>
      <c r="W48" s="21" t="n">
        <f aca="false">'Info Lega'!$B$4-SUMIFS($M$2:$M$492,$D$2:$D$492,'Info Lega'!$B$28)</f>
        <v>1000</v>
      </c>
      <c r="X48" s="21" t="n">
        <f aca="false">('Info Lega'!$B$5-COUNTIFS($D$2:$D$492,'Info Lega'!$B$28,$B$2:$B$492,"P"))+('Info Lega'!$B$6-COUNTIFS($D$2:$D$492,'Info Lega'!$B$28,$B$2:$B$492,"D"))+('Info Lega'!$B$7-COUNTIFS($D$2:$D$492,'Info Lega'!$B$28,$B$2:$B$492,"C"))+('Info Lega'!$B$8-COUNTIFS($D$2:$D$492,'Info Lega'!$B$28,$B$2:$B$492,"A"))</f>
        <v>25</v>
      </c>
      <c r="Y48" s="21" t="n">
        <f aca="false">X48*'Parametri Modello'!$B$30</f>
        <v>25</v>
      </c>
      <c r="Z48" s="21" t="n">
        <f aca="false">MAX(0,W48-Y48)</f>
        <v>975</v>
      </c>
      <c r="AA48" s="21" t="n">
        <f aca="false">MIN(F48,Z48)</f>
        <v>20</v>
      </c>
      <c r="AB48" s="21"/>
      <c r="AC48" s="21" t="str">
        <f aca="false">IF(AB48="","",IF(AB48&gt;AA48,"PASS",IF(AB48&lt;=AA48*0.85,"BID","ATTENZIONE")))</f>
        <v/>
      </c>
      <c r="AD48" s="31" t="n">
        <f aca="false">IF(I48="","",ROUND(100*(1-EXP(-I48/30)),0))</f>
        <v>35</v>
      </c>
      <c r="AE48" s="7" t="str">
        <f aca="false">IFERROR(INDEX('Stato Asta'!$G$9:$G$12,MATCH($B48,'Stato Asta'!$A$9:$A$12,0)),"")</f>
        <v>🔴 Non aspettare</v>
      </c>
    </row>
    <row r="49" customFormat="false" ht="14.25" hidden="false" customHeight="true" outlineLevel="0" collapsed="false">
      <c r="A49" s="21" t="n">
        <v>2038</v>
      </c>
      <c r="B49" s="21" t="s">
        <v>46</v>
      </c>
      <c r="C49" s="21" t="s">
        <v>564</v>
      </c>
      <c r="E49" s="26" t="str">
        <f aca="false">IF(COUNTIF('Info Strategia'!$D$2:$D$51,$C49)&gt;0,"SI","NO")</f>
        <v>NO</v>
      </c>
      <c r="F49" s="27" t="n">
        <f aca="false">IFERROR(ROUND(($G49+($H49-$G49)*'Info Strategia'!$B$6)*(1+IF($E49="SI",'Parametri Modello'!$B$7*'Info Strategia'!$B$6,0)),0),"")</f>
        <v>19</v>
      </c>
      <c r="G49" s="27" t="n">
        <f aca="false">IFERROR(ROUND(MAX(1,(IF($V49&lt;=INDEX('Parametri Modello'!$C$57:$C$60,MATCH($B49,'Parametri Modello'!$A$57:$A$60,0)),IF(INDEX('Parametri Modello'!$E$57:$E$60,MATCH($B49,'Parametri Modello'!$A$57:$A$60,0))=0,0,($O49/INDEX('Parametri Modello'!$E$57:$E$60,MATCH($B49,'Parametri Modello'!$A$57:$A$60,0)))*(INDEX('Parametri Modello'!$D$57:$D$60,MATCH($B49,'Parametri Modello'!$A$57:$A$60,0))*(INDEX('Parametri Modello'!$B$50:$B$53,MATCH($B49,'Parametri Modello'!$A$50:$A$53,0))*'Parametri Modello'!$B$44))),IF(INDEX('Parametri Modello'!$F$57:$F$60,MATCH($B49,'Parametri Modello'!$A$57:$A$60,0))=0,0,($O49/INDEX('Parametri Modello'!$F$57:$F$60,MATCH($B49,'Parametri Modello'!$A$57:$A$60,0)))*((1-INDEX('Parametri Modello'!$D$57:$D$60,MATCH($B49,'Parametri Modello'!$A$57:$A$60,0)))*(INDEX('Parametri Modello'!$B$50:$B$53,MATCH($B49,'Parametri Modello'!$A$50:$A$53,0))*'Parametri Modello'!$B$44))))*(1+IF(IF($B49="D",'Info Lega'!$B$25,IF($B49="C",'Info Lega'!$B$26,"No"))="Si",'Parametri Modello'!$B$5,0))*(1+MAX(-0.25,MIN(0.25,IF(OR($T49="",$I49="",$I49=0,INDEX('Parametri Modello'!$B$19:$B$22,MATCH($B49,'Parametri Modello'!$A$19:$A$22,0))="",INDEX('Parametri Modello'!$B$19:$B$22,MATCH($B49,'Parametri Modello'!$A$19:$A$22,0))=0),0,(($T49-INDEX('Parametri Modello'!$B$19:$B$22,MATCH($B49,'Parametri Modello'!$A$19:$A$22,0)))/INDEX('Parametri Modello'!$B$19:$B$22,MATCH($B49,'Parametri Modello'!$A$19:$A$22,0)))*'Parametri Modello'!$B$9))))*(1+IF('Parametri Modello'!$B$27="Si",MAX(-'Parametri Modello'!$B$28,MIN('Parametri Modello'!$B$28*1.5,IF(OR(INDEX('Parametri Modello'!$F$32:$F$35,MATCH($B49,'Parametri Modello'!$A$32:$A$35,0))="",INDEX('Parametri Modello'!$F$32:$F$35,MATCH($B49,'Parametri Modello'!$A$32:$A$35,0))=0),0,(1/INDEX('Parametri Modello'!$F$32:$F$35,MATCH($B49,'Parametri Modello'!$A$32:$A$35,0))-1)*'Parametri Modello'!$B$28))),0)))*(1-INDEX('Parametri Modello'!$B$12:$B$15,MATCH($B49,'Parametri Modello'!$A$12:$A$15,0)))),0),"")</f>
        <v>12</v>
      </c>
      <c r="H49" s="27" t="n">
        <f aca="false">IFERROR(ROUND((IF($V49&lt;=INDEX('Parametri Modello'!$C$57:$C$60,MATCH($B49,'Parametri Modello'!$A$57:$A$60,0)),IF(INDEX('Parametri Modello'!$E$57:$E$60,MATCH($B49,'Parametri Modello'!$A$57:$A$60,0))=0,0,($O49/INDEX('Parametri Modello'!$E$57:$E$60,MATCH($B49,'Parametri Modello'!$A$57:$A$60,0)))*(INDEX('Parametri Modello'!$D$57:$D$60,MATCH($B49,'Parametri Modello'!$A$57:$A$60,0))*(INDEX('Parametri Modello'!$B$50:$B$53,MATCH($B49,'Parametri Modello'!$A$50:$A$53,0))*'Parametri Modello'!$B$44))),IF(INDEX('Parametri Modello'!$F$57:$F$60,MATCH($B49,'Parametri Modello'!$A$57:$A$60,0))=0,0,($O49/INDEX('Parametri Modello'!$F$57:$F$60,MATCH($B49,'Parametri Modello'!$A$57:$A$60,0)))*((1-INDEX('Parametri Modello'!$D$57:$D$60,MATCH($B49,'Parametri Modello'!$A$57:$A$60,0)))*(INDEX('Parametri Modello'!$B$50:$B$53,MATCH($B49,'Parametri Modello'!$A$50:$A$53,0))*'Parametri Modello'!$B$44))))*(1+IF(IF($B49="D",'Info Lega'!$B$25,IF($B49="C",'Info Lega'!$B$26,"No"))="Si",'Parametri Modello'!$B$5,0))*(1+MAX(-0.25,MIN(0.25,IF(OR($T49="",$I49="",$I49=0,INDEX('Parametri Modello'!$B$19:$B$22,MATCH($B49,'Parametri Modello'!$A$19:$A$22,0))="",INDEX('Parametri Modello'!$B$19:$B$22,MATCH($B49,'Parametri Modello'!$A$19:$A$22,0))=0),0,(($T49-INDEX('Parametri Modello'!$B$19:$B$22,MATCH($B49,'Parametri Modello'!$A$19:$A$22,0)))/INDEX('Parametri Modello'!$B$19:$B$22,MATCH($B49,'Parametri Modello'!$A$19:$A$22,0)))*'Parametri Modello'!$B$9))))*(1+IF('Parametri Modello'!$B$27="Si",MAX(-'Parametri Modello'!$B$28,MIN('Parametri Modello'!$B$28*1.5,IF(OR(INDEX('Parametri Modello'!$F$32:$F$35,MATCH($B49,'Parametri Modello'!$A$32:$A$35,0))="",INDEX('Parametri Modello'!$F$32:$F$35,MATCH($B49,'Parametri Modello'!$A$32:$A$35,0))=0),0,(1/INDEX('Parametri Modello'!$F$32:$F$35,MATCH($B49,'Parametri Modello'!$A$32:$A$35,0))-1)*'Parametri Modello'!$B$28))),0)))*(1+INDEX('Parametri Modello'!$B$12:$B$15,MATCH($B49,'Parametri Modello'!$A$12:$A$15,0))),0),"")</f>
        <v>22</v>
      </c>
      <c r="I49" s="26" t="n">
        <f aca="false">IFERROR(INDEX('Input Statistiche 2025_26'!$F$3:$F$665,MATCH($A49,'Input Statistiche 2025_26'!$A$3:$A$665,0)),"")</f>
        <v>34</v>
      </c>
      <c r="J49" s="26" t="n">
        <f aca="false">IFERROR(IF($I49="","",MAX(0,38-$I49)),"")</f>
        <v>4</v>
      </c>
      <c r="K49" s="26" t="n">
        <f aca="false">IFERROR(INDEX('Input Statistiche 2025_26'!$I$3:$I$665,MATCH($A49,'Input Statistiche 2025_26'!$A$3:$A$665,0)),"")</f>
        <v>9</v>
      </c>
      <c r="L49" s="26" t="n">
        <f aca="false">IFERROR(INDEX('Input Statistiche 2025_26'!$O$3:$O$665,MATCH($A49,'Input Statistiche 2025_26'!$A$3:$A$665,0)),"")</f>
        <v>3</v>
      </c>
      <c r="M49" s="28"/>
      <c r="N49" s="27" t="n">
        <f aca="false">IFERROR(INDEX('Input Giocatori 2026_27'!$E$3:$E$493,MATCH($A49,'Input Giocatori 2026_27'!$A$3:$A$493,0)),"")</f>
        <v>13</v>
      </c>
      <c r="O49" s="27" t="n">
        <f aca="false">IFERROR(INDEX('Input Giocatori 2026_27'!$G$3:$G$493,MATCH($A49,'Input Giocatori 2026_27'!$A$3:$A$493,0)),"")</f>
        <v>58</v>
      </c>
      <c r="P49" s="26" t="str">
        <f aca="false">IFERROR(IF($O49="","",IF((1-(COUNTIFS($B$2:$B$492,$B49,$O$2:$O$492,"&gt;"&amp;$O49)+1-1)/COUNTIF($B$2:$B$492,$B49))&gt;=0.85,"Top",IF((1-(COUNTIFS($B$2:$B$492,$B49,$O$2:$O$492,"&gt;"&amp;$O49)+1-1)/COUNTIF($B$2:$B$492,$B49))&gt;=0.6,"Buono",IF((1-(COUNTIFS($B$2:$B$492,$B49,$O$2:$O$492,"&gt;"&amp;$O49)+1-1)/COUNTIF($B$2:$B$492,$B49))&gt;=0.3,"Nella Media","Scommessa/Riserva")))),"")</f>
        <v>Buono</v>
      </c>
      <c r="Q49" s="29" t="n">
        <f aca="false">IF($D49="",COUNTIF($D$2:$D49,""),"")</f>
        <v>48</v>
      </c>
      <c r="R49" s="29" t="str">
        <f aca="false">IF($D49='Info Lega'!$B$28,COUNTIFS($D$2:$D49,'Info Lega'!$B$28),"")</f>
        <v/>
      </c>
      <c r="S49" s="30" t="n">
        <f aca="false">IFERROR(INDEX('Input Statistiche 2025_26'!$G$3:$G$665,MATCH($A49,'Input Statistiche 2025_26'!$A$3:$A$665,0)),"")</f>
        <v>5.88</v>
      </c>
      <c r="T49" s="30" t="n">
        <f aca="false">IFERROR(INDEX('Input Statistiche 2025_26'!$H$3:$H$665,MATCH($A49,'Input Statistiche 2025_26'!$A$3:$A$665,0)),"")</f>
        <v>6.62</v>
      </c>
      <c r="U49" s="26" t="str">
        <f aca="false">IF(OR('La Mia Rosa'!$O$12="",$D49&lt;&gt;""),"",IF($F49&lt;='La Mia Rosa'!$O$12*'Parametri Modello'!$B$24,"OK",IF($F49&lt;='La Mia Rosa'!$O$12*'Parametri Modello'!$B$25,"Attenzione","Rischio Alto")))</f>
        <v>OK</v>
      </c>
      <c r="V49" s="26" t="n">
        <f aca="false">IFERROR(COUNTIFS($B$2:$B$492,$B49,$O$2:$O$492,"&gt;"&amp;$O49)+1,"")</f>
        <v>26</v>
      </c>
      <c r="W49" s="21" t="n">
        <f aca="false">'Info Lega'!$B$4-SUMIFS($M$2:$M$492,$D$2:$D$492,'Info Lega'!$B$28)</f>
        <v>1000</v>
      </c>
      <c r="X49" s="21" t="n">
        <f aca="false">('Info Lega'!$B$5-COUNTIFS($D$2:$D$492,'Info Lega'!$B$28,$B$2:$B$492,"P"))+('Info Lega'!$B$6-COUNTIFS($D$2:$D$492,'Info Lega'!$B$28,$B$2:$B$492,"D"))+('Info Lega'!$B$7-COUNTIFS($D$2:$D$492,'Info Lega'!$B$28,$B$2:$B$492,"C"))+('Info Lega'!$B$8-COUNTIFS($D$2:$D$492,'Info Lega'!$B$28,$B$2:$B$492,"A"))</f>
        <v>25</v>
      </c>
      <c r="Y49" s="21" t="n">
        <f aca="false">X49*'Parametri Modello'!$B$30</f>
        <v>25</v>
      </c>
      <c r="Z49" s="21" t="n">
        <f aca="false">MAX(0,W49-Y49)</f>
        <v>975</v>
      </c>
      <c r="AA49" s="21" t="n">
        <f aca="false">MIN(F49,Z49)</f>
        <v>19</v>
      </c>
      <c r="AB49" s="21"/>
      <c r="AC49" s="21" t="str">
        <f aca="false">IF(AB49="","",IF(AB49&gt;AA49,"PASS",IF(AB49&lt;=AA49*0.85,"BID","ATTENZIONE")))</f>
        <v/>
      </c>
      <c r="AD49" s="31" t="n">
        <f aca="false">IF(I49="","",ROUND(100*(1-EXP(-I49/30)),0))</f>
        <v>68</v>
      </c>
      <c r="AE49" s="7" t="str">
        <f aca="false">IFERROR(INDEX('Stato Asta'!$G$9:$G$12,MATCH($B49,'Stato Asta'!$A$9:$A$12,0)),"")</f>
        <v>🔴 Non aspettare</v>
      </c>
    </row>
    <row r="50" customFormat="false" ht="14.25" hidden="false" customHeight="true" outlineLevel="0" collapsed="false">
      <c r="A50" s="21" t="n">
        <v>7436</v>
      </c>
      <c r="B50" s="21" t="s">
        <v>45</v>
      </c>
      <c r="C50" s="21" t="s">
        <v>386</v>
      </c>
      <c r="E50" s="26" t="str">
        <f aca="false">IF(COUNTIF('Info Strategia'!$D$2:$D$51,$C50)&gt;0,"SI","NO")</f>
        <v>NO</v>
      </c>
      <c r="F50" s="27" t="n">
        <f aca="false">IFERROR(ROUND(($G50+($H50-$G50)*'Info Strategia'!$B$6)*(1+IF($E50="SI",'Parametri Modello'!$B$7*'Info Strategia'!$B$6,0)),0),"")</f>
        <v>38</v>
      </c>
      <c r="G50" s="27" t="n">
        <f aca="false">IFERROR(ROUND(MAX(1,(IF($V50&lt;=INDEX('Parametri Modello'!$C$57:$C$60,MATCH($B50,'Parametri Modello'!$A$57:$A$60,0)),IF(INDEX('Parametri Modello'!$E$57:$E$60,MATCH($B50,'Parametri Modello'!$A$57:$A$60,0))=0,0,($O50/INDEX('Parametri Modello'!$E$57:$E$60,MATCH($B50,'Parametri Modello'!$A$57:$A$60,0)))*(INDEX('Parametri Modello'!$D$57:$D$60,MATCH($B50,'Parametri Modello'!$A$57:$A$60,0))*(INDEX('Parametri Modello'!$B$50:$B$53,MATCH($B50,'Parametri Modello'!$A$50:$A$53,0))*'Parametri Modello'!$B$44))),IF(INDEX('Parametri Modello'!$F$57:$F$60,MATCH($B50,'Parametri Modello'!$A$57:$A$60,0))=0,0,($O50/INDEX('Parametri Modello'!$F$57:$F$60,MATCH($B50,'Parametri Modello'!$A$57:$A$60,0)))*((1-INDEX('Parametri Modello'!$D$57:$D$60,MATCH($B50,'Parametri Modello'!$A$57:$A$60,0)))*(INDEX('Parametri Modello'!$B$50:$B$53,MATCH($B50,'Parametri Modello'!$A$50:$A$53,0))*'Parametri Modello'!$B$44))))*(1+IF(IF($B50="D",'Info Lega'!$B$25,IF($B50="C",'Info Lega'!$B$26,"No"))="Si",'Parametri Modello'!$B$5,0))*(1+MAX(-0.25,MIN(0.25,IF(OR($T50="",$I50="",$I50=0,INDEX('Parametri Modello'!$B$19:$B$22,MATCH($B50,'Parametri Modello'!$A$19:$A$22,0))="",INDEX('Parametri Modello'!$B$19:$B$22,MATCH($B50,'Parametri Modello'!$A$19:$A$22,0))=0),0,(($T50-INDEX('Parametri Modello'!$B$19:$B$22,MATCH($B50,'Parametri Modello'!$A$19:$A$22,0)))/INDEX('Parametri Modello'!$B$19:$B$22,MATCH($B50,'Parametri Modello'!$A$19:$A$22,0)))*'Parametri Modello'!$B$9))))*(1+IF('Parametri Modello'!$B$27="Si",MAX(-'Parametri Modello'!$B$28,MIN('Parametri Modello'!$B$28*1.5,IF(OR(INDEX('Parametri Modello'!$F$32:$F$35,MATCH($B50,'Parametri Modello'!$A$32:$A$35,0))="",INDEX('Parametri Modello'!$F$32:$F$35,MATCH($B50,'Parametri Modello'!$A$32:$A$35,0))=0),0,(1/INDEX('Parametri Modello'!$F$32:$F$35,MATCH($B50,'Parametri Modello'!$A$32:$A$35,0))-1)*'Parametri Modello'!$B$28))),0)))*(1-INDEX('Parametri Modello'!$B$12:$B$15,MATCH($B50,'Parametri Modello'!$A$12:$A$15,0)))),0),"")</f>
        <v>26</v>
      </c>
      <c r="H50" s="27" t="n">
        <f aca="false">IFERROR(ROUND((IF($V50&lt;=INDEX('Parametri Modello'!$C$57:$C$60,MATCH($B50,'Parametri Modello'!$A$57:$A$60,0)),IF(INDEX('Parametri Modello'!$E$57:$E$60,MATCH($B50,'Parametri Modello'!$A$57:$A$60,0))=0,0,($O50/INDEX('Parametri Modello'!$E$57:$E$60,MATCH($B50,'Parametri Modello'!$A$57:$A$60,0)))*(INDEX('Parametri Modello'!$D$57:$D$60,MATCH($B50,'Parametri Modello'!$A$57:$A$60,0))*(INDEX('Parametri Modello'!$B$50:$B$53,MATCH($B50,'Parametri Modello'!$A$50:$A$53,0))*'Parametri Modello'!$B$44))),IF(INDEX('Parametri Modello'!$F$57:$F$60,MATCH($B50,'Parametri Modello'!$A$57:$A$60,0))=0,0,($O50/INDEX('Parametri Modello'!$F$57:$F$60,MATCH($B50,'Parametri Modello'!$A$57:$A$60,0)))*((1-INDEX('Parametri Modello'!$D$57:$D$60,MATCH($B50,'Parametri Modello'!$A$57:$A$60,0)))*(INDEX('Parametri Modello'!$B$50:$B$53,MATCH($B50,'Parametri Modello'!$A$50:$A$53,0))*'Parametri Modello'!$B$44))))*(1+IF(IF($B50="D",'Info Lega'!$B$25,IF($B50="C",'Info Lega'!$B$26,"No"))="Si",'Parametri Modello'!$B$5,0))*(1+MAX(-0.25,MIN(0.25,IF(OR($T50="",$I50="",$I50=0,INDEX('Parametri Modello'!$B$19:$B$22,MATCH($B50,'Parametri Modello'!$A$19:$A$22,0))="",INDEX('Parametri Modello'!$B$19:$B$22,MATCH($B50,'Parametri Modello'!$A$19:$A$22,0))=0),0,(($T50-INDEX('Parametri Modello'!$B$19:$B$22,MATCH($B50,'Parametri Modello'!$A$19:$A$22,0)))/INDEX('Parametri Modello'!$B$19:$B$22,MATCH($B50,'Parametri Modello'!$A$19:$A$22,0)))*'Parametri Modello'!$B$9))))*(1+IF('Parametri Modello'!$B$27="Si",MAX(-'Parametri Modello'!$B$28,MIN('Parametri Modello'!$B$28*1.5,IF(OR(INDEX('Parametri Modello'!$F$32:$F$35,MATCH($B50,'Parametri Modello'!$A$32:$A$35,0))="",INDEX('Parametri Modello'!$F$32:$F$35,MATCH($B50,'Parametri Modello'!$A$32:$A$35,0))=0),0,(1/INDEX('Parametri Modello'!$F$32:$F$35,MATCH($B50,'Parametri Modello'!$A$32:$A$35,0))-1)*'Parametri Modello'!$B$28))),0)))*(1+INDEX('Parametri Modello'!$B$12:$B$15,MATCH($B50,'Parametri Modello'!$A$12:$A$15,0))),0),"")</f>
        <v>43</v>
      </c>
      <c r="I50" s="26" t="str">
        <f aca="false">IFERROR(INDEX('Input Statistiche 2025_26'!$F$3:$F$665,MATCH($A50,'Input Statistiche 2025_26'!$A$3:$A$665,0)),"")</f>
        <v/>
      </c>
      <c r="J50" s="26" t="str">
        <f aca="false">IFERROR(IF($I50="","",MAX(0,38-$I50)),"")</f>
        <v/>
      </c>
      <c r="K50" s="26" t="str">
        <f aca="false">IFERROR(INDEX('Input Statistiche 2025_26'!$I$3:$I$665,MATCH($A50,'Input Statistiche 2025_26'!$A$3:$A$665,0)),"")</f>
        <v/>
      </c>
      <c r="L50" s="26" t="str">
        <f aca="false">IFERROR(INDEX('Input Statistiche 2025_26'!$O$3:$O$665,MATCH($A50,'Input Statistiche 2025_26'!$A$3:$A$665,0)),"")</f>
        <v/>
      </c>
      <c r="M50" s="28"/>
      <c r="N50" s="27" t="n">
        <f aca="false">IFERROR(INDEX('Input Giocatori 2026_27'!$E$3:$E$493,MATCH($A50,'Input Giocatori 2026_27'!$A$3:$A$493,0)),"")</f>
        <v>12</v>
      </c>
      <c r="O50" s="27" t="n">
        <f aca="false">IFERROR(INDEX('Input Giocatori 2026_27'!$G$3:$G$493,MATCH($A50,'Input Giocatori 2026_27'!$A$3:$A$493,0)),"")</f>
        <v>57</v>
      </c>
      <c r="P50" s="26" t="str">
        <f aca="false">IFERROR(IF($O50="","",IF((1-(COUNTIFS($B$2:$B$492,$B50,$O$2:$O$492,"&gt;"&amp;$O50)+1-1)/COUNTIF($B$2:$B$492,$B50))&gt;=0.85,"Top",IF((1-(COUNTIFS($B$2:$B$492,$B50,$O$2:$O$492,"&gt;"&amp;$O50)+1-1)/COUNTIF($B$2:$B$492,$B50))&gt;=0.6,"Buono",IF((1-(COUNTIFS($B$2:$B$492,$B50,$O$2:$O$492,"&gt;"&amp;$O50)+1-1)/COUNTIF($B$2:$B$492,$B50))&gt;=0.3,"Nella Media","Scommessa/Riserva")))),"")</f>
        <v>Top</v>
      </c>
      <c r="Q50" s="29" t="n">
        <f aca="false">IF($D50="",COUNTIF($D$2:$D50,""),"")</f>
        <v>49</v>
      </c>
      <c r="R50" s="29" t="str">
        <f aca="false">IF($D50='Info Lega'!$B$28,COUNTIFS($D$2:$D50,'Info Lega'!$B$28),"")</f>
        <v/>
      </c>
      <c r="S50" s="30" t="str">
        <f aca="false">IFERROR(INDEX('Input Statistiche 2025_26'!$G$3:$G$665,MATCH($A50,'Input Statistiche 2025_26'!$A$3:$A$665,0)),"")</f>
        <v/>
      </c>
      <c r="T50" s="30" t="str">
        <f aca="false">IFERROR(INDEX('Input Statistiche 2025_26'!$H$3:$H$665,MATCH($A50,'Input Statistiche 2025_26'!$A$3:$A$665,0)),"")</f>
        <v/>
      </c>
      <c r="U50" s="26" t="str">
        <f aca="false">IF(OR('La Mia Rosa'!$O$12="",$D50&lt;&gt;""),"",IF($F50&lt;='La Mia Rosa'!$O$12*'Parametri Modello'!$B$24,"OK",IF($F50&lt;='La Mia Rosa'!$O$12*'Parametri Modello'!$B$25,"Attenzione","Rischio Alto")))</f>
        <v>OK</v>
      </c>
      <c r="V50" s="26" t="n">
        <f aca="false">IFERROR(COUNTIFS($B$2:$B$492,$B50,$O$2:$O$492,"&gt;"&amp;$O50)+1,"")</f>
        <v>19</v>
      </c>
      <c r="W50" s="21" t="n">
        <f aca="false">'Info Lega'!$B$4-SUMIFS($M$2:$M$492,$D$2:$D$492,'Info Lega'!$B$28)</f>
        <v>1000</v>
      </c>
      <c r="X50" s="21" t="n">
        <f aca="false">('Info Lega'!$B$5-COUNTIFS($D$2:$D$492,'Info Lega'!$B$28,$B$2:$B$492,"P"))+('Info Lega'!$B$6-COUNTIFS($D$2:$D$492,'Info Lega'!$B$28,$B$2:$B$492,"D"))+('Info Lega'!$B$7-COUNTIFS($D$2:$D$492,'Info Lega'!$B$28,$B$2:$B$492,"C"))+('Info Lega'!$B$8-COUNTIFS($D$2:$D$492,'Info Lega'!$B$28,$B$2:$B$492,"A"))</f>
        <v>25</v>
      </c>
      <c r="Y50" s="21" t="n">
        <f aca="false">X50*'Parametri Modello'!$B$30</f>
        <v>25</v>
      </c>
      <c r="Z50" s="21" t="n">
        <f aca="false">MAX(0,W50-Y50)</f>
        <v>975</v>
      </c>
      <c r="AA50" s="21" t="n">
        <f aca="false">MIN(F50,Z50)</f>
        <v>38</v>
      </c>
      <c r="AB50" s="21"/>
      <c r="AC50" s="21" t="str">
        <f aca="false">IF(AB50="","",IF(AB50&gt;AA50,"PASS",IF(AB50&lt;=AA50*0.85,"BID","ATTENZIONE")))</f>
        <v/>
      </c>
      <c r="AD50" s="31" t="str">
        <f aca="false">IF(I50="","",ROUND(100*(1-EXP(-I50/30)),0))</f>
        <v/>
      </c>
      <c r="AE50" s="7" t="str">
        <f aca="false">IFERROR(INDEX('Stato Asta'!$G$9:$G$12,MATCH($B50,'Stato Asta'!$A$9:$A$12,0)),"")</f>
        <v>🟡 Attesa rischiosa</v>
      </c>
    </row>
    <row r="51" customFormat="false" ht="14.25" hidden="false" customHeight="true" outlineLevel="0" collapsed="false">
      <c r="A51" s="21" t="n">
        <v>6966</v>
      </c>
      <c r="B51" s="21" t="s">
        <v>43</v>
      </c>
      <c r="C51" s="21" t="s">
        <v>118</v>
      </c>
      <c r="E51" s="26" t="str">
        <f aca="false">IF(COUNTIF('Info Strategia'!$D$2:$D$51,$C51)&gt;0,"SI","NO")</f>
        <v>NO</v>
      </c>
      <c r="F51" s="27" t="n">
        <f aca="false">IFERROR(ROUND(($G51+($H51-$G51)*'Info Strategia'!$B$6)*(1+IF($E51="SI",'Parametri Modello'!$B$7*'Info Strategia'!$B$6,0)),0),"")</f>
        <v>94</v>
      </c>
      <c r="G51" s="27" t="n">
        <f aca="false">IFERROR(ROUND(MAX(1,(IF($V51&lt;=INDEX('Parametri Modello'!$C$57:$C$60,MATCH($B51,'Parametri Modello'!$A$57:$A$60,0)),IF(INDEX('Parametri Modello'!$E$57:$E$60,MATCH($B51,'Parametri Modello'!$A$57:$A$60,0))=0,0,($O51/INDEX('Parametri Modello'!$E$57:$E$60,MATCH($B51,'Parametri Modello'!$A$57:$A$60,0)))*(INDEX('Parametri Modello'!$D$57:$D$60,MATCH($B51,'Parametri Modello'!$A$57:$A$60,0))*(INDEX('Parametri Modello'!$B$50:$B$53,MATCH($B51,'Parametri Modello'!$A$50:$A$53,0))*'Parametri Modello'!$B$44))),IF(INDEX('Parametri Modello'!$F$57:$F$60,MATCH($B51,'Parametri Modello'!$A$57:$A$60,0))=0,0,($O51/INDEX('Parametri Modello'!$F$57:$F$60,MATCH($B51,'Parametri Modello'!$A$57:$A$60,0)))*((1-INDEX('Parametri Modello'!$D$57:$D$60,MATCH($B51,'Parametri Modello'!$A$57:$A$60,0)))*(INDEX('Parametri Modello'!$B$50:$B$53,MATCH($B51,'Parametri Modello'!$A$50:$A$53,0))*'Parametri Modello'!$B$44))))*(1+IF(IF($B51="D",'Info Lega'!$B$25,IF($B51="C",'Info Lega'!$B$26,"No"))="Si",'Parametri Modello'!$B$5,0))*(1+MAX(-0.25,MIN(0.25,IF(OR($T51="",$I51="",$I51=0,INDEX('Parametri Modello'!$B$19:$B$22,MATCH($B51,'Parametri Modello'!$A$19:$A$22,0))="",INDEX('Parametri Modello'!$B$19:$B$22,MATCH($B51,'Parametri Modello'!$A$19:$A$22,0))=0),0,(($T51-INDEX('Parametri Modello'!$B$19:$B$22,MATCH($B51,'Parametri Modello'!$A$19:$A$22,0)))/INDEX('Parametri Modello'!$B$19:$B$22,MATCH($B51,'Parametri Modello'!$A$19:$A$22,0)))*'Parametri Modello'!$B$9))))*(1+IF('Parametri Modello'!$B$27="Si",MAX(-'Parametri Modello'!$B$28,MIN('Parametri Modello'!$B$28*1.5,IF(OR(INDEX('Parametri Modello'!$F$32:$F$35,MATCH($B51,'Parametri Modello'!$A$32:$A$35,0))="",INDEX('Parametri Modello'!$F$32:$F$35,MATCH($B51,'Parametri Modello'!$A$32:$A$35,0))=0),0,(1/INDEX('Parametri Modello'!$F$32:$F$35,MATCH($B51,'Parametri Modello'!$A$32:$A$35,0))-1)*'Parametri Modello'!$B$28))),0)))*(1-INDEX('Parametri Modello'!$B$12:$B$15,MATCH($B51,'Parametri Modello'!$A$12:$A$15,0)))),0),"")</f>
        <v>76</v>
      </c>
      <c r="H51" s="27" t="n">
        <f aca="false">IFERROR(ROUND((IF($V51&lt;=INDEX('Parametri Modello'!$C$57:$C$60,MATCH($B51,'Parametri Modello'!$A$57:$A$60,0)),IF(INDEX('Parametri Modello'!$E$57:$E$60,MATCH($B51,'Parametri Modello'!$A$57:$A$60,0))=0,0,($O51/INDEX('Parametri Modello'!$E$57:$E$60,MATCH($B51,'Parametri Modello'!$A$57:$A$60,0)))*(INDEX('Parametri Modello'!$D$57:$D$60,MATCH($B51,'Parametri Modello'!$A$57:$A$60,0))*(INDEX('Parametri Modello'!$B$50:$B$53,MATCH($B51,'Parametri Modello'!$A$50:$A$53,0))*'Parametri Modello'!$B$44))),IF(INDEX('Parametri Modello'!$F$57:$F$60,MATCH($B51,'Parametri Modello'!$A$57:$A$60,0))=0,0,($O51/INDEX('Parametri Modello'!$F$57:$F$60,MATCH($B51,'Parametri Modello'!$A$57:$A$60,0)))*((1-INDEX('Parametri Modello'!$D$57:$D$60,MATCH($B51,'Parametri Modello'!$A$57:$A$60,0)))*(INDEX('Parametri Modello'!$B$50:$B$53,MATCH($B51,'Parametri Modello'!$A$50:$A$53,0))*'Parametri Modello'!$B$44))))*(1+IF(IF($B51="D",'Info Lega'!$B$25,IF($B51="C",'Info Lega'!$B$26,"No"))="Si",'Parametri Modello'!$B$5,0))*(1+MAX(-0.25,MIN(0.25,IF(OR($T51="",$I51="",$I51=0,INDEX('Parametri Modello'!$B$19:$B$22,MATCH($B51,'Parametri Modello'!$A$19:$A$22,0))="",INDEX('Parametri Modello'!$B$19:$B$22,MATCH($B51,'Parametri Modello'!$A$19:$A$22,0))=0),0,(($T51-INDEX('Parametri Modello'!$B$19:$B$22,MATCH($B51,'Parametri Modello'!$A$19:$A$22,0)))/INDEX('Parametri Modello'!$B$19:$B$22,MATCH($B51,'Parametri Modello'!$A$19:$A$22,0)))*'Parametri Modello'!$B$9))))*(1+IF('Parametri Modello'!$B$27="Si",MAX(-'Parametri Modello'!$B$28,MIN('Parametri Modello'!$B$28*1.5,IF(OR(INDEX('Parametri Modello'!$F$32:$F$35,MATCH($B51,'Parametri Modello'!$A$32:$A$35,0))="",INDEX('Parametri Modello'!$F$32:$F$35,MATCH($B51,'Parametri Modello'!$A$32:$A$35,0))=0),0,(1/INDEX('Parametri Modello'!$F$32:$F$35,MATCH($B51,'Parametri Modello'!$A$32:$A$35,0))-1)*'Parametri Modello'!$B$28))),0)))*(1+INDEX('Parametri Modello'!$B$12:$B$15,MATCH($B51,'Parametri Modello'!$A$12:$A$15,0))),0),"")</f>
        <v>102</v>
      </c>
      <c r="I51" s="26" t="n">
        <f aca="false">IFERROR(INDEX('Input Statistiche 2025_26'!$F$3:$F$665,MATCH($A51,'Input Statistiche 2025_26'!$A$3:$A$665,0)),"")</f>
        <v>38</v>
      </c>
      <c r="J51" s="26" t="n">
        <f aca="false">IFERROR(IF($I51="","",MAX(0,38-$I51)),"")</f>
        <v>0</v>
      </c>
      <c r="K51" s="26" t="n">
        <f aca="false">IFERROR(INDEX('Input Statistiche 2025_26'!$I$3:$I$665,MATCH($A51,'Input Statistiche 2025_26'!$A$3:$A$665,0)),"")</f>
        <v>0</v>
      </c>
      <c r="L51" s="26" t="n">
        <f aca="false">IFERROR(INDEX('Input Statistiche 2025_26'!$O$3:$O$665,MATCH($A51,'Input Statistiche 2025_26'!$A$3:$A$665,0)),"")</f>
        <v>1</v>
      </c>
      <c r="M51" s="28"/>
      <c r="N51" s="27" t="n">
        <f aca="false">IFERROR(INDEX('Input Giocatori 2026_27'!$E$3:$E$493,MATCH($A51,'Input Giocatori 2026_27'!$A$3:$A$493,0)),"")</f>
        <v>16</v>
      </c>
      <c r="O51" s="27" t="n">
        <f aca="false">IFERROR(INDEX('Input Giocatori 2026_27'!$G$3:$G$493,MATCH($A51,'Input Giocatori 2026_27'!$A$3:$A$493,0)),"")</f>
        <v>56</v>
      </c>
      <c r="P51" s="26" t="str">
        <f aca="false">IFERROR(IF($O51="","",IF((1-(COUNTIFS($B$2:$B$492,$B51,$O$2:$O$492,"&gt;"&amp;$O51)+1-1)/COUNTIF($B$2:$B$492,$B51))&gt;=0.85,"Top",IF((1-(COUNTIFS($B$2:$B$492,$B51,$O$2:$O$492,"&gt;"&amp;$O51)+1-1)/COUNTIF($B$2:$B$492,$B51))&gt;=0.6,"Buono",IF((1-(COUNTIFS($B$2:$B$492,$B51,$O$2:$O$492,"&gt;"&amp;$O51)+1-1)/COUNTIF($B$2:$B$492,$B51))&gt;=0.3,"Nella Media","Scommessa/Riserva")))),"")</f>
        <v>Top</v>
      </c>
      <c r="Q51" s="29" t="n">
        <f aca="false">IF($D51="",COUNTIF($D$2:$D51,""),"")</f>
        <v>50</v>
      </c>
      <c r="R51" s="29" t="str">
        <f aca="false">IF($D51='Info Lega'!$B$28,COUNTIFS($D$2:$D51,'Info Lega'!$B$28),"")</f>
        <v/>
      </c>
      <c r="S51" s="30" t="n">
        <f aca="false">IFERROR(INDEX('Input Statistiche 2025_26'!$G$3:$G$665,MATCH($A51,'Input Statistiche 2025_26'!$A$3:$A$665,0)),"")</f>
        <v>6.07</v>
      </c>
      <c r="T51" s="30" t="n">
        <f aca="false">IFERROR(INDEX('Input Statistiche 2025_26'!$H$3:$H$665,MATCH($A51,'Input Statistiche 2025_26'!$A$3:$A$665,0)),"")</f>
        <v>5.37</v>
      </c>
      <c r="U51" s="26" t="str">
        <f aca="false">IF(OR('La Mia Rosa'!$O$12="",$D51&lt;&gt;""),"",IF($F51&lt;='La Mia Rosa'!$O$12*'Parametri Modello'!$B$24,"OK",IF($F51&lt;='La Mia Rosa'!$O$12*'Parametri Modello'!$B$25,"Attenzione","Rischio Alto")))</f>
        <v>Attenzione</v>
      </c>
      <c r="V51" s="26" t="n">
        <f aca="false">IFERROR(COUNTIFS($B$2:$B$492,$B51,$O$2:$O$492,"&gt;"&amp;$O51)+1,"")</f>
        <v>3</v>
      </c>
      <c r="W51" s="21" t="n">
        <f aca="false">'Info Lega'!$B$4-SUMIFS($M$2:$M$492,$D$2:$D$492,'Info Lega'!$B$28)</f>
        <v>1000</v>
      </c>
      <c r="X51" s="21" t="n">
        <f aca="false">('Info Lega'!$B$5-COUNTIFS($D$2:$D$492,'Info Lega'!$B$28,$B$2:$B$492,"P"))+('Info Lega'!$B$6-COUNTIFS($D$2:$D$492,'Info Lega'!$B$28,$B$2:$B$492,"D"))+('Info Lega'!$B$7-COUNTIFS($D$2:$D$492,'Info Lega'!$B$28,$B$2:$B$492,"C"))+('Info Lega'!$B$8-COUNTIFS($D$2:$D$492,'Info Lega'!$B$28,$B$2:$B$492,"A"))</f>
        <v>25</v>
      </c>
      <c r="Y51" s="21" t="n">
        <f aca="false">X51*'Parametri Modello'!$B$30</f>
        <v>25</v>
      </c>
      <c r="Z51" s="21" t="n">
        <f aca="false">MAX(0,W51-Y51)</f>
        <v>975</v>
      </c>
      <c r="AA51" s="21" t="n">
        <f aca="false">MIN(F51,Z51)</f>
        <v>94</v>
      </c>
      <c r="AB51" s="21"/>
      <c r="AC51" s="21" t="str">
        <f aca="false">IF(AB51="","",IF(AB51&gt;AA51,"PASS",IF(AB51&lt;=AA51*0.85,"BID","ATTENZIONE")))</f>
        <v/>
      </c>
      <c r="AD51" s="31" t="n">
        <f aca="false">IF(I51="","",ROUND(100*(1-EXP(-I51/30)),0))</f>
        <v>72</v>
      </c>
      <c r="AE51" s="7" t="str">
        <f aca="false">IFERROR(INDEX('Stato Asta'!$G$9:$G$12,MATCH($B51,'Stato Asta'!$A$9:$A$12,0)),"")</f>
        <v>🟡 Attesa rischiosa</v>
      </c>
    </row>
    <row r="52" customFormat="false" ht="14.25" hidden="false" customHeight="true" outlineLevel="0" collapsed="false">
      <c r="A52" s="21" t="n">
        <v>4159</v>
      </c>
      <c r="B52" s="21" t="s">
        <v>44</v>
      </c>
      <c r="C52" s="21" t="s">
        <v>193</v>
      </c>
      <c r="E52" s="26" t="str">
        <f aca="false">IF(COUNTIF('Info Strategia'!$D$2:$D$51,$C52)&gt;0,"SI","NO")</f>
        <v>NO</v>
      </c>
      <c r="F52" s="27" t="n">
        <f aca="false">IFERROR(ROUND(($G52+($H52-$G52)*'Info Strategia'!$B$6)*(1+IF($E52="SI",'Parametri Modello'!$B$7*'Info Strategia'!$B$6,0)),0),"")</f>
        <v>38</v>
      </c>
      <c r="G52" s="27" t="n">
        <f aca="false">IFERROR(ROUND(MAX(1,(IF($V52&lt;=INDEX('Parametri Modello'!$C$57:$C$60,MATCH($B52,'Parametri Modello'!$A$57:$A$60,0)),IF(INDEX('Parametri Modello'!$E$57:$E$60,MATCH($B52,'Parametri Modello'!$A$57:$A$60,0))=0,0,($O52/INDEX('Parametri Modello'!$E$57:$E$60,MATCH($B52,'Parametri Modello'!$A$57:$A$60,0)))*(INDEX('Parametri Modello'!$D$57:$D$60,MATCH($B52,'Parametri Modello'!$A$57:$A$60,0))*(INDEX('Parametri Modello'!$B$50:$B$53,MATCH($B52,'Parametri Modello'!$A$50:$A$53,0))*'Parametri Modello'!$B$44))),IF(INDEX('Parametri Modello'!$F$57:$F$60,MATCH($B52,'Parametri Modello'!$A$57:$A$60,0))=0,0,($O52/INDEX('Parametri Modello'!$F$57:$F$60,MATCH($B52,'Parametri Modello'!$A$57:$A$60,0)))*((1-INDEX('Parametri Modello'!$D$57:$D$60,MATCH($B52,'Parametri Modello'!$A$57:$A$60,0)))*(INDEX('Parametri Modello'!$B$50:$B$53,MATCH($B52,'Parametri Modello'!$A$50:$A$53,0))*'Parametri Modello'!$B$44))))*(1+IF(IF($B52="D",'Info Lega'!$B$25,IF($B52="C",'Info Lega'!$B$26,"No"))="Si",'Parametri Modello'!$B$5,0))*(1+MAX(-0.25,MIN(0.25,IF(OR($T52="",$I52="",$I52=0,INDEX('Parametri Modello'!$B$19:$B$22,MATCH($B52,'Parametri Modello'!$A$19:$A$22,0))="",INDEX('Parametri Modello'!$B$19:$B$22,MATCH($B52,'Parametri Modello'!$A$19:$A$22,0))=0),0,(($T52-INDEX('Parametri Modello'!$B$19:$B$22,MATCH($B52,'Parametri Modello'!$A$19:$A$22,0)))/INDEX('Parametri Modello'!$B$19:$B$22,MATCH($B52,'Parametri Modello'!$A$19:$A$22,0)))*'Parametri Modello'!$B$9))))*(1+IF('Parametri Modello'!$B$27="Si",MAX(-'Parametri Modello'!$B$28,MIN('Parametri Modello'!$B$28*1.5,IF(OR(INDEX('Parametri Modello'!$F$32:$F$35,MATCH($B52,'Parametri Modello'!$A$32:$A$35,0))="",INDEX('Parametri Modello'!$F$32:$F$35,MATCH($B52,'Parametri Modello'!$A$32:$A$35,0))=0),0,(1/INDEX('Parametri Modello'!$F$32:$F$35,MATCH($B52,'Parametri Modello'!$A$32:$A$35,0))-1)*'Parametri Modello'!$B$28))),0)))*(1-INDEX('Parametri Modello'!$B$12:$B$15,MATCH($B52,'Parametri Modello'!$A$12:$A$15,0)))),0),"")</f>
        <v>28</v>
      </c>
      <c r="H52" s="27" t="n">
        <f aca="false">IFERROR(ROUND((IF($V52&lt;=INDEX('Parametri Modello'!$C$57:$C$60,MATCH($B52,'Parametri Modello'!$A$57:$A$60,0)),IF(INDEX('Parametri Modello'!$E$57:$E$60,MATCH($B52,'Parametri Modello'!$A$57:$A$60,0))=0,0,($O52/INDEX('Parametri Modello'!$E$57:$E$60,MATCH($B52,'Parametri Modello'!$A$57:$A$60,0)))*(INDEX('Parametri Modello'!$D$57:$D$60,MATCH($B52,'Parametri Modello'!$A$57:$A$60,0))*(INDEX('Parametri Modello'!$B$50:$B$53,MATCH($B52,'Parametri Modello'!$A$50:$A$53,0))*'Parametri Modello'!$B$44))),IF(INDEX('Parametri Modello'!$F$57:$F$60,MATCH($B52,'Parametri Modello'!$A$57:$A$60,0))=0,0,($O52/INDEX('Parametri Modello'!$F$57:$F$60,MATCH($B52,'Parametri Modello'!$A$57:$A$60,0)))*((1-INDEX('Parametri Modello'!$D$57:$D$60,MATCH($B52,'Parametri Modello'!$A$57:$A$60,0)))*(INDEX('Parametri Modello'!$B$50:$B$53,MATCH($B52,'Parametri Modello'!$A$50:$A$53,0))*'Parametri Modello'!$B$44))))*(1+IF(IF($B52="D",'Info Lega'!$B$25,IF($B52="C",'Info Lega'!$B$26,"No"))="Si",'Parametri Modello'!$B$5,0))*(1+MAX(-0.25,MIN(0.25,IF(OR($T52="",$I52="",$I52=0,INDEX('Parametri Modello'!$B$19:$B$22,MATCH($B52,'Parametri Modello'!$A$19:$A$22,0))="",INDEX('Parametri Modello'!$B$19:$B$22,MATCH($B52,'Parametri Modello'!$A$19:$A$22,0))=0),0,(($T52-INDEX('Parametri Modello'!$B$19:$B$22,MATCH($B52,'Parametri Modello'!$A$19:$A$22,0)))/INDEX('Parametri Modello'!$B$19:$B$22,MATCH($B52,'Parametri Modello'!$A$19:$A$22,0)))*'Parametri Modello'!$B$9))))*(1+IF('Parametri Modello'!$B$27="Si",MAX(-'Parametri Modello'!$B$28,MIN('Parametri Modello'!$B$28*1.5,IF(OR(INDEX('Parametri Modello'!$F$32:$F$35,MATCH($B52,'Parametri Modello'!$A$32:$A$35,0))="",INDEX('Parametri Modello'!$F$32:$F$35,MATCH($B52,'Parametri Modello'!$A$32:$A$35,0))=0),0,(1/INDEX('Parametri Modello'!$F$32:$F$35,MATCH($B52,'Parametri Modello'!$A$32:$A$35,0))-1)*'Parametri Modello'!$B$28))),0)))*(1+INDEX('Parametri Modello'!$B$12:$B$15,MATCH($B52,'Parametri Modello'!$A$12:$A$15,0))),0),"")</f>
        <v>42</v>
      </c>
      <c r="I52" s="26" t="n">
        <f aca="false">IFERROR(INDEX('Input Statistiche 2025_26'!$F$3:$F$665,MATCH($A52,'Input Statistiche 2025_26'!$A$3:$A$665,0)),"")</f>
        <v>32</v>
      </c>
      <c r="J52" s="26" t="n">
        <f aca="false">IFERROR(IF($I52="","",MAX(0,38-$I52)),"")</f>
        <v>6</v>
      </c>
      <c r="K52" s="26" t="n">
        <f aca="false">IFERROR(INDEX('Input Statistiche 2025_26'!$I$3:$I$665,MATCH($A52,'Input Statistiche 2025_26'!$A$3:$A$665,0)),"")</f>
        <v>2</v>
      </c>
      <c r="L52" s="26" t="n">
        <f aca="false">IFERROR(INDEX('Input Statistiche 2025_26'!$O$3:$O$665,MATCH($A52,'Input Statistiche 2025_26'!$A$3:$A$665,0)),"")</f>
        <v>0</v>
      </c>
      <c r="M52" s="28"/>
      <c r="N52" s="27" t="n">
        <f aca="false">IFERROR(INDEX('Input Giocatori 2026_27'!$E$3:$E$493,MATCH($A52,'Input Giocatori 2026_27'!$A$3:$A$493,0)),"")</f>
        <v>16</v>
      </c>
      <c r="O52" s="27" t="n">
        <f aca="false">IFERROR(INDEX('Input Giocatori 2026_27'!$G$3:$G$493,MATCH($A52,'Input Giocatori 2026_27'!$A$3:$A$493,0)),"")</f>
        <v>55</v>
      </c>
      <c r="P52" s="26" t="str">
        <f aca="false">IFERROR(IF($O52="","",IF((1-(COUNTIFS($B$2:$B$492,$B52,$O$2:$O$492,"&gt;"&amp;$O52)+1-1)/COUNTIF($B$2:$B$492,$B52))&gt;=0.85,"Top",IF((1-(COUNTIFS($B$2:$B$492,$B52,$O$2:$O$492,"&gt;"&amp;$O52)+1-1)/COUNTIF($B$2:$B$492,$B52))&gt;=0.6,"Buono",IF((1-(COUNTIFS($B$2:$B$492,$B52,$O$2:$O$492,"&gt;"&amp;$O52)+1-1)/COUNTIF($B$2:$B$492,$B52))&gt;=0.3,"Nella Media","Scommessa/Riserva")))),"")</f>
        <v>Top</v>
      </c>
      <c r="Q52" s="29" t="n">
        <f aca="false">IF($D52="",COUNTIF($D$2:$D52,""),"")</f>
        <v>51</v>
      </c>
      <c r="R52" s="29" t="str">
        <f aca="false">IF($D52='Info Lega'!$B$28,COUNTIFS($D$2:$D52,'Info Lega'!$B$28),"")</f>
        <v/>
      </c>
      <c r="S52" s="30" t="n">
        <f aca="false">IFERROR(INDEX('Input Statistiche 2025_26'!$G$3:$G$665,MATCH($A52,'Input Statistiche 2025_26'!$A$3:$A$665,0)),"")</f>
        <v>6.28</v>
      </c>
      <c r="T52" s="30" t="n">
        <f aca="false">IFERROR(INDEX('Input Statistiche 2025_26'!$H$3:$H$665,MATCH($A52,'Input Statistiche 2025_26'!$A$3:$A$665,0)),"")</f>
        <v>6.41</v>
      </c>
      <c r="U52" s="26" t="str">
        <f aca="false">IF(OR('La Mia Rosa'!$O$12="",$D52&lt;&gt;""),"",IF($F52&lt;='La Mia Rosa'!$O$12*'Parametri Modello'!$B$24,"OK",IF($F52&lt;='La Mia Rosa'!$O$12*'Parametri Modello'!$B$25,"Attenzione","Rischio Alto")))</f>
        <v>OK</v>
      </c>
      <c r="V52" s="26" t="n">
        <f aca="false">IFERROR(COUNTIFS($B$2:$B$492,$B52,$O$2:$O$492,"&gt;"&amp;$O52)+1,"")</f>
        <v>3</v>
      </c>
      <c r="W52" s="21" t="n">
        <f aca="false">'Info Lega'!$B$4-SUMIFS($M$2:$M$492,$D$2:$D$492,'Info Lega'!$B$28)</f>
        <v>1000</v>
      </c>
      <c r="X52" s="21" t="n">
        <f aca="false">('Info Lega'!$B$5-COUNTIFS($D$2:$D$492,'Info Lega'!$B$28,$B$2:$B$492,"P"))+('Info Lega'!$B$6-COUNTIFS($D$2:$D$492,'Info Lega'!$B$28,$B$2:$B$492,"D"))+('Info Lega'!$B$7-COUNTIFS($D$2:$D$492,'Info Lega'!$B$28,$B$2:$B$492,"C"))+('Info Lega'!$B$8-COUNTIFS($D$2:$D$492,'Info Lega'!$B$28,$B$2:$B$492,"A"))</f>
        <v>25</v>
      </c>
      <c r="Y52" s="21" t="n">
        <f aca="false">X52*'Parametri Modello'!$B$30</f>
        <v>25</v>
      </c>
      <c r="Z52" s="21" t="n">
        <f aca="false">MAX(0,W52-Y52)</f>
        <v>975</v>
      </c>
      <c r="AA52" s="21" t="n">
        <f aca="false">MIN(F52,Z52)</f>
        <v>38</v>
      </c>
      <c r="AB52" s="21"/>
      <c r="AC52" s="21" t="str">
        <f aca="false">IF(AB52="","",IF(AB52&gt;AA52,"PASS",IF(AB52&lt;=AA52*0.85,"BID","ATTENZIONE")))</f>
        <v/>
      </c>
      <c r="AD52" s="31" t="n">
        <f aca="false">IF(I52="","",ROUND(100*(1-EXP(-I52/30)),0))</f>
        <v>66</v>
      </c>
      <c r="AE52" s="7" t="str">
        <f aca="false">IFERROR(INDEX('Stato Asta'!$G$9:$G$12,MATCH($B52,'Stato Asta'!$A$9:$A$12,0)),"")</f>
        <v>🟡 Attesa rischiosa</v>
      </c>
    </row>
    <row r="53" customFormat="false" ht="14.25" hidden="false" customHeight="true" outlineLevel="0" collapsed="false">
      <c r="A53" s="21" t="n">
        <v>4220</v>
      </c>
      <c r="B53" s="21" t="s">
        <v>45</v>
      </c>
      <c r="C53" s="21" t="s">
        <v>391</v>
      </c>
      <c r="E53" s="26" t="str">
        <f aca="false">IF(COUNTIF('Info Strategia'!$D$2:$D$51,$C53)&gt;0,"SI","NO")</f>
        <v>NO</v>
      </c>
      <c r="F53" s="27" t="n">
        <f aca="false">IFERROR(ROUND(($G53+($H53-$G53)*'Info Strategia'!$B$6)*(1+IF($E53="SI",'Parametri Modello'!$B$7*'Info Strategia'!$B$6,0)),0),"")</f>
        <v>37</v>
      </c>
      <c r="G53" s="27" t="n">
        <f aca="false">IFERROR(ROUND(MAX(1,(IF($V53&lt;=INDEX('Parametri Modello'!$C$57:$C$60,MATCH($B53,'Parametri Modello'!$A$57:$A$60,0)),IF(INDEX('Parametri Modello'!$E$57:$E$60,MATCH($B53,'Parametri Modello'!$A$57:$A$60,0))=0,0,($O53/INDEX('Parametri Modello'!$E$57:$E$60,MATCH($B53,'Parametri Modello'!$A$57:$A$60,0)))*(INDEX('Parametri Modello'!$D$57:$D$60,MATCH($B53,'Parametri Modello'!$A$57:$A$60,0))*(INDEX('Parametri Modello'!$B$50:$B$53,MATCH($B53,'Parametri Modello'!$A$50:$A$53,0))*'Parametri Modello'!$B$44))),IF(INDEX('Parametri Modello'!$F$57:$F$60,MATCH($B53,'Parametri Modello'!$A$57:$A$60,0))=0,0,($O53/INDEX('Parametri Modello'!$F$57:$F$60,MATCH($B53,'Parametri Modello'!$A$57:$A$60,0)))*((1-INDEX('Parametri Modello'!$D$57:$D$60,MATCH($B53,'Parametri Modello'!$A$57:$A$60,0)))*(INDEX('Parametri Modello'!$B$50:$B$53,MATCH($B53,'Parametri Modello'!$A$50:$A$53,0))*'Parametri Modello'!$B$44))))*(1+IF(IF($B53="D",'Info Lega'!$B$25,IF($B53="C",'Info Lega'!$B$26,"No"))="Si",'Parametri Modello'!$B$5,0))*(1+MAX(-0.25,MIN(0.25,IF(OR($T53="",$I53="",$I53=0,INDEX('Parametri Modello'!$B$19:$B$22,MATCH($B53,'Parametri Modello'!$A$19:$A$22,0))="",INDEX('Parametri Modello'!$B$19:$B$22,MATCH($B53,'Parametri Modello'!$A$19:$A$22,0))=0),0,(($T53-INDEX('Parametri Modello'!$B$19:$B$22,MATCH($B53,'Parametri Modello'!$A$19:$A$22,0)))/INDEX('Parametri Modello'!$B$19:$B$22,MATCH($B53,'Parametri Modello'!$A$19:$A$22,0)))*'Parametri Modello'!$B$9))))*(1+IF('Parametri Modello'!$B$27="Si",MAX(-'Parametri Modello'!$B$28,MIN('Parametri Modello'!$B$28*1.5,IF(OR(INDEX('Parametri Modello'!$F$32:$F$35,MATCH($B53,'Parametri Modello'!$A$32:$A$35,0))="",INDEX('Parametri Modello'!$F$32:$F$35,MATCH($B53,'Parametri Modello'!$A$32:$A$35,0))=0),0,(1/INDEX('Parametri Modello'!$F$32:$F$35,MATCH($B53,'Parametri Modello'!$A$32:$A$35,0))-1)*'Parametri Modello'!$B$28))),0)))*(1-INDEX('Parametri Modello'!$B$12:$B$15,MATCH($B53,'Parametri Modello'!$A$12:$A$15,0)))),0),"")</f>
        <v>25</v>
      </c>
      <c r="H53" s="27" t="n">
        <f aca="false">IFERROR(ROUND((IF($V53&lt;=INDEX('Parametri Modello'!$C$57:$C$60,MATCH($B53,'Parametri Modello'!$A$57:$A$60,0)),IF(INDEX('Parametri Modello'!$E$57:$E$60,MATCH($B53,'Parametri Modello'!$A$57:$A$60,0))=0,0,($O53/INDEX('Parametri Modello'!$E$57:$E$60,MATCH($B53,'Parametri Modello'!$A$57:$A$60,0)))*(INDEX('Parametri Modello'!$D$57:$D$60,MATCH($B53,'Parametri Modello'!$A$57:$A$60,0))*(INDEX('Parametri Modello'!$B$50:$B$53,MATCH($B53,'Parametri Modello'!$A$50:$A$53,0))*'Parametri Modello'!$B$44))),IF(INDEX('Parametri Modello'!$F$57:$F$60,MATCH($B53,'Parametri Modello'!$A$57:$A$60,0))=0,0,($O53/INDEX('Parametri Modello'!$F$57:$F$60,MATCH($B53,'Parametri Modello'!$A$57:$A$60,0)))*((1-INDEX('Parametri Modello'!$D$57:$D$60,MATCH($B53,'Parametri Modello'!$A$57:$A$60,0)))*(INDEX('Parametri Modello'!$B$50:$B$53,MATCH($B53,'Parametri Modello'!$A$50:$A$53,0))*'Parametri Modello'!$B$44))))*(1+IF(IF($B53="D",'Info Lega'!$B$25,IF($B53="C",'Info Lega'!$B$26,"No"))="Si",'Parametri Modello'!$B$5,0))*(1+MAX(-0.25,MIN(0.25,IF(OR($T53="",$I53="",$I53=0,INDEX('Parametri Modello'!$B$19:$B$22,MATCH($B53,'Parametri Modello'!$A$19:$A$22,0))="",INDEX('Parametri Modello'!$B$19:$B$22,MATCH($B53,'Parametri Modello'!$A$19:$A$22,0))=0),0,(($T53-INDEX('Parametri Modello'!$B$19:$B$22,MATCH($B53,'Parametri Modello'!$A$19:$A$22,0)))/INDEX('Parametri Modello'!$B$19:$B$22,MATCH($B53,'Parametri Modello'!$A$19:$A$22,0)))*'Parametri Modello'!$B$9))))*(1+IF('Parametri Modello'!$B$27="Si",MAX(-'Parametri Modello'!$B$28,MIN('Parametri Modello'!$B$28*1.5,IF(OR(INDEX('Parametri Modello'!$F$32:$F$35,MATCH($B53,'Parametri Modello'!$A$32:$A$35,0))="",INDEX('Parametri Modello'!$F$32:$F$35,MATCH($B53,'Parametri Modello'!$A$32:$A$35,0))=0),0,(1/INDEX('Parametri Modello'!$F$32:$F$35,MATCH($B53,'Parametri Modello'!$A$32:$A$35,0))-1)*'Parametri Modello'!$B$28))),0)))*(1+INDEX('Parametri Modello'!$B$12:$B$15,MATCH($B53,'Parametri Modello'!$A$12:$A$15,0))),0),"")</f>
        <v>42</v>
      </c>
      <c r="I53" s="26" t="n">
        <f aca="false">IFERROR(INDEX('Input Statistiche 2025_26'!$F$3:$F$665,MATCH($A53,'Input Statistiche 2025_26'!$A$3:$A$665,0)),"")</f>
        <v>18</v>
      </c>
      <c r="J53" s="26" t="n">
        <f aca="false">IFERROR(IF($I53="","",MAX(0,38-$I53)),"")</f>
        <v>20</v>
      </c>
      <c r="K53" s="26" t="n">
        <f aca="false">IFERROR(INDEX('Input Statistiche 2025_26'!$I$3:$I$665,MATCH($A53,'Input Statistiche 2025_26'!$A$3:$A$665,0)),"")</f>
        <v>4</v>
      </c>
      <c r="L53" s="26" t="n">
        <f aca="false">IFERROR(INDEX('Input Statistiche 2025_26'!$O$3:$O$665,MATCH($A53,'Input Statistiche 2025_26'!$A$3:$A$665,0)),"")</f>
        <v>1</v>
      </c>
      <c r="M53" s="28"/>
      <c r="N53" s="27" t="n">
        <f aca="false">IFERROR(INDEX('Input Giocatori 2026_27'!$E$3:$E$493,MATCH($A53,'Input Giocatori 2026_27'!$A$3:$A$493,0)),"")</f>
        <v>11</v>
      </c>
      <c r="O53" s="27" t="n">
        <f aca="false">IFERROR(INDEX('Input Giocatori 2026_27'!$G$3:$G$493,MATCH($A53,'Input Giocatori 2026_27'!$A$3:$A$493,0)),"")</f>
        <v>55</v>
      </c>
      <c r="P53" s="26" t="str">
        <f aca="false">IFERROR(IF($O53="","",IF((1-(COUNTIFS($B$2:$B$492,$B53,$O$2:$O$492,"&gt;"&amp;$O53)+1-1)/COUNTIF($B$2:$B$492,$B53))&gt;=0.85,"Top",IF((1-(COUNTIFS($B$2:$B$492,$B53,$O$2:$O$492,"&gt;"&amp;$O53)+1-1)/COUNTIF($B$2:$B$492,$B53))&gt;=0.6,"Buono",IF((1-(COUNTIFS($B$2:$B$492,$B53,$O$2:$O$492,"&gt;"&amp;$O53)+1-1)/COUNTIF($B$2:$B$492,$B53))&gt;=0.3,"Nella Media","Scommessa/Riserva")))),"")</f>
        <v>Top</v>
      </c>
      <c r="Q53" s="29" t="n">
        <f aca="false">IF($D53="",COUNTIF($D$2:$D53,""),"")</f>
        <v>52</v>
      </c>
      <c r="R53" s="29" t="str">
        <f aca="false">IF($D53='Info Lega'!$B$28,COUNTIFS($D$2:$D53,'Info Lega'!$B$28),"")</f>
        <v/>
      </c>
      <c r="S53" s="30" t="n">
        <f aca="false">IFERROR(INDEX('Input Statistiche 2025_26'!$G$3:$G$665,MATCH($A53,'Input Statistiche 2025_26'!$A$3:$A$665,0)),"")</f>
        <v>6.17</v>
      </c>
      <c r="T53" s="30" t="n">
        <f aca="false">IFERROR(INDEX('Input Statistiche 2025_26'!$H$3:$H$665,MATCH($A53,'Input Statistiche 2025_26'!$A$3:$A$665,0)),"")</f>
        <v>6.86</v>
      </c>
      <c r="U53" s="26" t="str">
        <f aca="false">IF(OR('La Mia Rosa'!$O$12="",$D53&lt;&gt;""),"",IF($F53&lt;='La Mia Rosa'!$O$12*'Parametri Modello'!$B$24,"OK",IF($F53&lt;='La Mia Rosa'!$O$12*'Parametri Modello'!$B$25,"Attenzione","Rischio Alto")))</f>
        <v>OK</v>
      </c>
      <c r="V53" s="26" t="n">
        <f aca="false">IFERROR(COUNTIFS($B$2:$B$492,$B53,$O$2:$O$492,"&gt;"&amp;$O53)+1,"")</f>
        <v>20</v>
      </c>
      <c r="W53" s="21" t="n">
        <f aca="false">'Info Lega'!$B$4-SUMIFS($M$2:$M$492,$D$2:$D$492,'Info Lega'!$B$28)</f>
        <v>1000</v>
      </c>
      <c r="X53" s="21" t="n">
        <f aca="false">('Info Lega'!$B$5-COUNTIFS($D$2:$D$492,'Info Lega'!$B$28,$B$2:$B$492,"P"))+('Info Lega'!$B$6-COUNTIFS($D$2:$D$492,'Info Lega'!$B$28,$B$2:$B$492,"D"))+('Info Lega'!$B$7-COUNTIFS($D$2:$D$492,'Info Lega'!$B$28,$B$2:$B$492,"C"))+('Info Lega'!$B$8-COUNTIFS($D$2:$D$492,'Info Lega'!$B$28,$B$2:$B$492,"A"))</f>
        <v>25</v>
      </c>
      <c r="Y53" s="21" t="n">
        <f aca="false">X53*'Parametri Modello'!$B$30</f>
        <v>25</v>
      </c>
      <c r="Z53" s="21" t="n">
        <f aca="false">MAX(0,W53-Y53)</f>
        <v>975</v>
      </c>
      <c r="AA53" s="21" t="n">
        <f aca="false">MIN(F53,Z53)</f>
        <v>37</v>
      </c>
      <c r="AB53" s="21"/>
      <c r="AC53" s="21" t="str">
        <f aca="false">IF(AB53="","",IF(AB53&gt;AA53,"PASS",IF(AB53&lt;=AA53*0.85,"BID","ATTENZIONE")))</f>
        <v/>
      </c>
      <c r="AD53" s="31" t="n">
        <f aca="false">IF(I53="","",ROUND(100*(1-EXP(-I53/30)),0))</f>
        <v>45</v>
      </c>
      <c r="AE53" s="7" t="str">
        <f aca="false">IFERROR(INDEX('Stato Asta'!$G$9:$G$12,MATCH($B53,'Stato Asta'!$A$9:$A$12,0)),"")</f>
        <v>🟡 Attesa rischiosa</v>
      </c>
    </row>
    <row r="54" customFormat="false" ht="14.25" hidden="false" customHeight="true" outlineLevel="0" collapsed="false">
      <c r="A54" s="21" t="n">
        <v>5734</v>
      </c>
      <c r="B54" s="21" t="s">
        <v>46</v>
      </c>
      <c r="C54" s="21" t="s">
        <v>565</v>
      </c>
      <c r="E54" s="26" t="str">
        <f aca="false">IF(COUNTIF('Info Strategia'!$D$2:$D$51,$C54)&gt;0,"SI","NO")</f>
        <v>NO</v>
      </c>
      <c r="F54" s="27" t="n">
        <f aca="false">IFERROR(ROUND(($G54+($H54-$G54)*'Info Strategia'!$B$6)*(1+IF($E54="SI",'Parametri Modello'!$B$7*'Info Strategia'!$B$6,0)),0),"")</f>
        <v>18</v>
      </c>
      <c r="G54" s="27" t="n">
        <f aca="false">IFERROR(ROUND(MAX(1,(IF($V54&lt;=INDEX('Parametri Modello'!$C$57:$C$60,MATCH($B54,'Parametri Modello'!$A$57:$A$60,0)),IF(INDEX('Parametri Modello'!$E$57:$E$60,MATCH($B54,'Parametri Modello'!$A$57:$A$60,0))=0,0,($O54/INDEX('Parametri Modello'!$E$57:$E$60,MATCH($B54,'Parametri Modello'!$A$57:$A$60,0)))*(INDEX('Parametri Modello'!$D$57:$D$60,MATCH($B54,'Parametri Modello'!$A$57:$A$60,0))*(INDEX('Parametri Modello'!$B$50:$B$53,MATCH($B54,'Parametri Modello'!$A$50:$A$53,0))*'Parametri Modello'!$B$44))),IF(INDEX('Parametri Modello'!$F$57:$F$60,MATCH($B54,'Parametri Modello'!$A$57:$A$60,0))=0,0,($O54/INDEX('Parametri Modello'!$F$57:$F$60,MATCH($B54,'Parametri Modello'!$A$57:$A$60,0)))*((1-INDEX('Parametri Modello'!$D$57:$D$60,MATCH($B54,'Parametri Modello'!$A$57:$A$60,0)))*(INDEX('Parametri Modello'!$B$50:$B$53,MATCH($B54,'Parametri Modello'!$A$50:$A$53,0))*'Parametri Modello'!$B$44))))*(1+IF(IF($B54="D",'Info Lega'!$B$25,IF($B54="C",'Info Lega'!$B$26,"No"))="Si",'Parametri Modello'!$B$5,0))*(1+MAX(-0.25,MIN(0.25,IF(OR($T54="",$I54="",$I54=0,INDEX('Parametri Modello'!$B$19:$B$22,MATCH($B54,'Parametri Modello'!$A$19:$A$22,0))="",INDEX('Parametri Modello'!$B$19:$B$22,MATCH($B54,'Parametri Modello'!$A$19:$A$22,0))=0),0,(($T54-INDEX('Parametri Modello'!$B$19:$B$22,MATCH($B54,'Parametri Modello'!$A$19:$A$22,0)))/INDEX('Parametri Modello'!$B$19:$B$22,MATCH($B54,'Parametri Modello'!$A$19:$A$22,0)))*'Parametri Modello'!$B$9))))*(1+IF('Parametri Modello'!$B$27="Si",MAX(-'Parametri Modello'!$B$28,MIN('Parametri Modello'!$B$28*1.5,IF(OR(INDEX('Parametri Modello'!$F$32:$F$35,MATCH($B54,'Parametri Modello'!$A$32:$A$35,0))="",INDEX('Parametri Modello'!$F$32:$F$35,MATCH($B54,'Parametri Modello'!$A$32:$A$35,0))=0),0,(1/INDEX('Parametri Modello'!$F$32:$F$35,MATCH($B54,'Parametri Modello'!$A$32:$A$35,0))-1)*'Parametri Modello'!$B$28))),0)))*(1-INDEX('Parametri Modello'!$B$12:$B$15,MATCH($B54,'Parametri Modello'!$A$12:$A$15,0)))),0),"")</f>
        <v>11</v>
      </c>
      <c r="H54" s="27" t="n">
        <f aca="false">IFERROR(ROUND((IF($V54&lt;=INDEX('Parametri Modello'!$C$57:$C$60,MATCH($B54,'Parametri Modello'!$A$57:$A$60,0)),IF(INDEX('Parametri Modello'!$E$57:$E$60,MATCH($B54,'Parametri Modello'!$A$57:$A$60,0))=0,0,($O54/INDEX('Parametri Modello'!$E$57:$E$60,MATCH($B54,'Parametri Modello'!$A$57:$A$60,0)))*(INDEX('Parametri Modello'!$D$57:$D$60,MATCH($B54,'Parametri Modello'!$A$57:$A$60,0))*(INDEX('Parametri Modello'!$B$50:$B$53,MATCH($B54,'Parametri Modello'!$A$50:$A$53,0))*'Parametri Modello'!$B$44))),IF(INDEX('Parametri Modello'!$F$57:$F$60,MATCH($B54,'Parametri Modello'!$A$57:$A$60,0))=0,0,($O54/INDEX('Parametri Modello'!$F$57:$F$60,MATCH($B54,'Parametri Modello'!$A$57:$A$60,0)))*((1-INDEX('Parametri Modello'!$D$57:$D$60,MATCH($B54,'Parametri Modello'!$A$57:$A$60,0)))*(INDEX('Parametri Modello'!$B$50:$B$53,MATCH($B54,'Parametri Modello'!$A$50:$A$53,0))*'Parametri Modello'!$B$44))))*(1+IF(IF($B54="D",'Info Lega'!$B$25,IF($B54="C",'Info Lega'!$B$26,"No"))="Si",'Parametri Modello'!$B$5,0))*(1+MAX(-0.25,MIN(0.25,IF(OR($T54="",$I54="",$I54=0,INDEX('Parametri Modello'!$B$19:$B$22,MATCH($B54,'Parametri Modello'!$A$19:$A$22,0))="",INDEX('Parametri Modello'!$B$19:$B$22,MATCH($B54,'Parametri Modello'!$A$19:$A$22,0))=0),0,(($T54-INDEX('Parametri Modello'!$B$19:$B$22,MATCH($B54,'Parametri Modello'!$A$19:$A$22,0)))/INDEX('Parametri Modello'!$B$19:$B$22,MATCH($B54,'Parametri Modello'!$A$19:$A$22,0)))*'Parametri Modello'!$B$9))))*(1+IF('Parametri Modello'!$B$27="Si",MAX(-'Parametri Modello'!$B$28,MIN('Parametri Modello'!$B$28*1.5,IF(OR(INDEX('Parametri Modello'!$F$32:$F$35,MATCH($B54,'Parametri Modello'!$A$32:$A$35,0))="",INDEX('Parametri Modello'!$F$32:$F$35,MATCH($B54,'Parametri Modello'!$A$32:$A$35,0))=0),0,(1/INDEX('Parametri Modello'!$F$32:$F$35,MATCH($B54,'Parametri Modello'!$A$32:$A$35,0))-1)*'Parametri Modello'!$B$28))),0)))*(1+INDEX('Parametri Modello'!$B$12:$B$15,MATCH($B54,'Parametri Modello'!$A$12:$A$15,0))),0),"")</f>
        <v>21</v>
      </c>
      <c r="I54" s="26" t="n">
        <f aca="false">IFERROR(INDEX('Input Statistiche 2025_26'!$F$3:$F$665,MATCH($A54,'Input Statistiche 2025_26'!$A$3:$A$665,0)),"")</f>
        <v>32</v>
      </c>
      <c r="J54" s="26" t="n">
        <f aca="false">IFERROR(IF($I54="","",MAX(0,38-$I54)),"")</f>
        <v>6</v>
      </c>
      <c r="K54" s="26" t="n">
        <f aca="false">IFERROR(INDEX('Input Statistiche 2025_26'!$I$3:$I$665,MATCH($A54,'Input Statistiche 2025_26'!$A$3:$A$665,0)),"")</f>
        <v>6</v>
      </c>
      <c r="L54" s="26" t="n">
        <f aca="false">IFERROR(INDEX('Input Statistiche 2025_26'!$O$3:$O$665,MATCH($A54,'Input Statistiche 2025_26'!$A$3:$A$665,0)),"")</f>
        <v>5</v>
      </c>
      <c r="M54" s="28"/>
      <c r="N54" s="27" t="n">
        <f aca="false">IFERROR(INDEX('Input Giocatori 2026_27'!$E$3:$E$493,MATCH($A54,'Input Giocatori 2026_27'!$A$3:$A$493,0)),"")</f>
        <v>12</v>
      </c>
      <c r="O54" s="27" t="n">
        <f aca="false">IFERROR(INDEX('Input Giocatori 2026_27'!$G$3:$G$493,MATCH($A54,'Input Giocatori 2026_27'!$A$3:$A$493,0)),"")</f>
        <v>55</v>
      </c>
      <c r="P54" s="26" t="str">
        <f aca="false">IFERROR(IF($O54="","",IF((1-(COUNTIFS($B$2:$B$492,$B54,$O$2:$O$492,"&gt;"&amp;$O54)+1-1)/COUNTIF($B$2:$B$492,$B54))&gt;=0.85,"Top",IF((1-(COUNTIFS($B$2:$B$492,$B54,$O$2:$O$492,"&gt;"&amp;$O54)+1-1)/COUNTIF($B$2:$B$492,$B54))&gt;=0.6,"Buono",IF((1-(COUNTIFS($B$2:$B$492,$B54,$O$2:$O$492,"&gt;"&amp;$O54)+1-1)/COUNTIF($B$2:$B$492,$B54))&gt;=0.3,"Nella Media","Scommessa/Riserva")))),"")</f>
        <v>Buono</v>
      </c>
      <c r="Q54" s="29" t="n">
        <f aca="false">IF($D54="",COUNTIF($D$2:$D54,""),"")</f>
        <v>53</v>
      </c>
      <c r="R54" s="29" t="str">
        <f aca="false">IF($D54='Info Lega'!$B$28,COUNTIFS($D$2:$D54,'Info Lega'!$B$28),"")</f>
        <v/>
      </c>
      <c r="S54" s="30" t="n">
        <f aca="false">IFERROR(INDEX('Input Statistiche 2025_26'!$G$3:$G$665,MATCH($A54,'Input Statistiche 2025_26'!$A$3:$A$665,0)),"")</f>
        <v>6.12</v>
      </c>
      <c r="T54" s="30" t="n">
        <f aca="false">IFERROR(INDEX('Input Statistiche 2025_26'!$H$3:$H$665,MATCH($A54,'Input Statistiche 2025_26'!$A$3:$A$665,0)),"")</f>
        <v>6.83</v>
      </c>
      <c r="U54" s="26" t="str">
        <f aca="false">IF(OR('La Mia Rosa'!$O$12="",$D54&lt;&gt;""),"",IF($F54&lt;='La Mia Rosa'!$O$12*'Parametri Modello'!$B$24,"OK",IF($F54&lt;='La Mia Rosa'!$O$12*'Parametri Modello'!$B$25,"Attenzione","Rischio Alto")))</f>
        <v>OK</v>
      </c>
      <c r="V54" s="26" t="n">
        <f aca="false">IFERROR(COUNTIFS($B$2:$B$492,$B54,$O$2:$O$492,"&gt;"&amp;$O54)+1,"")</f>
        <v>27</v>
      </c>
      <c r="W54" s="21" t="n">
        <f aca="false">'Info Lega'!$B$4-SUMIFS($M$2:$M$492,$D$2:$D$492,'Info Lega'!$B$28)</f>
        <v>1000</v>
      </c>
      <c r="X54" s="21" t="n">
        <f aca="false">('Info Lega'!$B$5-COUNTIFS($D$2:$D$492,'Info Lega'!$B$28,$B$2:$B$492,"P"))+('Info Lega'!$B$6-COUNTIFS($D$2:$D$492,'Info Lega'!$B$28,$B$2:$B$492,"D"))+('Info Lega'!$B$7-COUNTIFS($D$2:$D$492,'Info Lega'!$B$28,$B$2:$B$492,"C"))+('Info Lega'!$B$8-COUNTIFS($D$2:$D$492,'Info Lega'!$B$28,$B$2:$B$492,"A"))</f>
        <v>25</v>
      </c>
      <c r="Y54" s="21" t="n">
        <f aca="false">X54*'Parametri Modello'!$B$30</f>
        <v>25</v>
      </c>
      <c r="Z54" s="21" t="n">
        <f aca="false">MAX(0,W54-Y54)</f>
        <v>975</v>
      </c>
      <c r="AA54" s="21" t="n">
        <f aca="false">MIN(F54,Z54)</f>
        <v>18</v>
      </c>
      <c r="AB54" s="21"/>
      <c r="AC54" s="21" t="str">
        <f aca="false">IF(AB54="","",IF(AB54&gt;AA54,"PASS",IF(AB54&lt;=AA54*0.85,"BID","ATTENZIONE")))</f>
        <v/>
      </c>
      <c r="AD54" s="31" t="n">
        <f aca="false">IF(I54="","",ROUND(100*(1-EXP(-I54/30)),0))</f>
        <v>66</v>
      </c>
      <c r="AE54" s="7" t="str">
        <f aca="false">IFERROR(INDEX('Stato Asta'!$G$9:$G$12,MATCH($B54,'Stato Asta'!$A$9:$A$12,0)),"")</f>
        <v>🔴 Non aspettare</v>
      </c>
    </row>
    <row r="55" customFormat="false" ht="14.25" hidden="false" customHeight="true" outlineLevel="0" collapsed="false">
      <c r="A55" s="21" t="n">
        <v>4431</v>
      </c>
      <c r="B55" s="21" t="s">
        <v>43</v>
      </c>
      <c r="C55" s="21" t="s">
        <v>116</v>
      </c>
      <c r="E55" s="26" t="str">
        <f aca="false">IF(COUNTIF('Info Strategia'!$D$2:$D$51,$C55)&gt;0,"SI","NO")</f>
        <v>NO</v>
      </c>
      <c r="F55" s="27" t="n">
        <f aca="false">IFERROR(ROUND(($G55+($H55-$G55)*'Info Strategia'!$B$6)*(1+IF($E55="SI",'Parametri Modello'!$B$7*'Info Strategia'!$B$6,0)),0),"")</f>
        <v>89</v>
      </c>
      <c r="G55" s="27" t="n">
        <f aca="false">IFERROR(ROUND(MAX(1,(IF($V55&lt;=INDEX('Parametri Modello'!$C$57:$C$60,MATCH($B55,'Parametri Modello'!$A$57:$A$60,0)),IF(INDEX('Parametri Modello'!$E$57:$E$60,MATCH($B55,'Parametri Modello'!$A$57:$A$60,0))=0,0,($O55/INDEX('Parametri Modello'!$E$57:$E$60,MATCH($B55,'Parametri Modello'!$A$57:$A$60,0)))*(INDEX('Parametri Modello'!$D$57:$D$60,MATCH($B55,'Parametri Modello'!$A$57:$A$60,0))*(INDEX('Parametri Modello'!$B$50:$B$53,MATCH($B55,'Parametri Modello'!$A$50:$A$53,0))*'Parametri Modello'!$B$44))),IF(INDEX('Parametri Modello'!$F$57:$F$60,MATCH($B55,'Parametri Modello'!$A$57:$A$60,0))=0,0,($O55/INDEX('Parametri Modello'!$F$57:$F$60,MATCH($B55,'Parametri Modello'!$A$57:$A$60,0)))*((1-INDEX('Parametri Modello'!$D$57:$D$60,MATCH($B55,'Parametri Modello'!$A$57:$A$60,0)))*(INDEX('Parametri Modello'!$B$50:$B$53,MATCH($B55,'Parametri Modello'!$A$50:$A$53,0))*'Parametri Modello'!$B$44))))*(1+IF(IF($B55="D",'Info Lega'!$B$25,IF($B55="C",'Info Lega'!$B$26,"No"))="Si",'Parametri Modello'!$B$5,0))*(1+MAX(-0.25,MIN(0.25,IF(OR($T55="",$I55="",$I55=0,INDEX('Parametri Modello'!$B$19:$B$22,MATCH($B55,'Parametri Modello'!$A$19:$A$22,0))="",INDEX('Parametri Modello'!$B$19:$B$22,MATCH($B55,'Parametri Modello'!$A$19:$A$22,0))=0),0,(($T55-INDEX('Parametri Modello'!$B$19:$B$22,MATCH($B55,'Parametri Modello'!$A$19:$A$22,0)))/INDEX('Parametri Modello'!$B$19:$B$22,MATCH($B55,'Parametri Modello'!$A$19:$A$22,0)))*'Parametri Modello'!$B$9))))*(1+IF('Parametri Modello'!$B$27="Si",MAX(-'Parametri Modello'!$B$28,MIN('Parametri Modello'!$B$28*1.5,IF(OR(INDEX('Parametri Modello'!$F$32:$F$35,MATCH($B55,'Parametri Modello'!$A$32:$A$35,0))="",INDEX('Parametri Modello'!$F$32:$F$35,MATCH($B55,'Parametri Modello'!$A$32:$A$35,0))=0),0,(1/INDEX('Parametri Modello'!$F$32:$F$35,MATCH($B55,'Parametri Modello'!$A$32:$A$35,0))-1)*'Parametri Modello'!$B$28))),0)))*(1-INDEX('Parametri Modello'!$B$12:$B$15,MATCH($B55,'Parametri Modello'!$A$12:$A$15,0)))),0),"")</f>
        <v>71</v>
      </c>
      <c r="H55" s="27" t="n">
        <f aca="false">IFERROR(ROUND((IF($V55&lt;=INDEX('Parametri Modello'!$C$57:$C$60,MATCH($B55,'Parametri Modello'!$A$57:$A$60,0)),IF(INDEX('Parametri Modello'!$E$57:$E$60,MATCH($B55,'Parametri Modello'!$A$57:$A$60,0))=0,0,($O55/INDEX('Parametri Modello'!$E$57:$E$60,MATCH($B55,'Parametri Modello'!$A$57:$A$60,0)))*(INDEX('Parametri Modello'!$D$57:$D$60,MATCH($B55,'Parametri Modello'!$A$57:$A$60,0))*(INDEX('Parametri Modello'!$B$50:$B$53,MATCH($B55,'Parametri Modello'!$A$50:$A$53,0))*'Parametri Modello'!$B$44))),IF(INDEX('Parametri Modello'!$F$57:$F$60,MATCH($B55,'Parametri Modello'!$A$57:$A$60,0))=0,0,($O55/INDEX('Parametri Modello'!$F$57:$F$60,MATCH($B55,'Parametri Modello'!$A$57:$A$60,0)))*((1-INDEX('Parametri Modello'!$D$57:$D$60,MATCH($B55,'Parametri Modello'!$A$57:$A$60,0)))*(INDEX('Parametri Modello'!$B$50:$B$53,MATCH($B55,'Parametri Modello'!$A$50:$A$53,0))*'Parametri Modello'!$B$44))))*(1+IF(IF($B55="D",'Info Lega'!$B$25,IF($B55="C",'Info Lega'!$B$26,"No"))="Si",'Parametri Modello'!$B$5,0))*(1+MAX(-0.25,MIN(0.25,IF(OR($T55="",$I55="",$I55=0,INDEX('Parametri Modello'!$B$19:$B$22,MATCH($B55,'Parametri Modello'!$A$19:$A$22,0))="",INDEX('Parametri Modello'!$B$19:$B$22,MATCH($B55,'Parametri Modello'!$A$19:$A$22,0))=0),0,(($T55-INDEX('Parametri Modello'!$B$19:$B$22,MATCH($B55,'Parametri Modello'!$A$19:$A$22,0)))/INDEX('Parametri Modello'!$B$19:$B$22,MATCH($B55,'Parametri Modello'!$A$19:$A$22,0)))*'Parametri Modello'!$B$9))))*(1+IF('Parametri Modello'!$B$27="Si",MAX(-'Parametri Modello'!$B$28,MIN('Parametri Modello'!$B$28*1.5,IF(OR(INDEX('Parametri Modello'!$F$32:$F$35,MATCH($B55,'Parametri Modello'!$A$32:$A$35,0))="",INDEX('Parametri Modello'!$F$32:$F$35,MATCH($B55,'Parametri Modello'!$A$32:$A$35,0))=0),0,(1/INDEX('Parametri Modello'!$F$32:$F$35,MATCH($B55,'Parametri Modello'!$A$32:$A$35,0))-1)*'Parametri Modello'!$B$28))),0)))*(1+INDEX('Parametri Modello'!$B$12:$B$15,MATCH($B55,'Parametri Modello'!$A$12:$A$15,0))),0),"")</f>
        <v>96</v>
      </c>
      <c r="I55" s="26" t="n">
        <f aca="false">IFERROR(INDEX('Input Statistiche 2025_26'!$F$3:$F$665,MATCH($A55,'Input Statistiche 2025_26'!$A$3:$A$665,0)),"")</f>
        <v>37</v>
      </c>
      <c r="J55" s="26" t="n">
        <f aca="false">IFERROR(IF($I55="","",MAX(0,38-$I55)),"")</f>
        <v>1</v>
      </c>
      <c r="K55" s="26" t="n">
        <f aca="false">IFERROR(INDEX('Input Statistiche 2025_26'!$I$3:$I$665,MATCH($A55,'Input Statistiche 2025_26'!$A$3:$A$665,0)),"")</f>
        <v>0</v>
      </c>
      <c r="L55" s="26" t="n">
        <f aca="false">IFERROR(INDEX('Input Statistiche 2025_26'!$O$3:$O$665,MATCH($A55,'Input Statistiche 2025_26'!$A$3:$A$665,0)),"")</f>
        <v>0</v>
      </c>
      <c r="M55" s="28"/>
      <c r="N55" s="27" t="n">
        <f aca="false">IFERROR(INDEX('Input Giocatori 2026_27'!$E$3:$E$493,MATCH($A55,'Input Giocatori 2026_27'!$A$3:$A$493,0)),"")</f>
        <v>16</v>
      </c>
      <c r="O55" s="27" t="n">
        <f aca="false">IFERROR(INDEX('Input Giocatori 2026_27'!$G$3:$G$493,MATCH($A55,'Input Giocatori 2026_27'!$A$3:$A$493,0)),"")</f>
        <v>52</v>
      </c>
      <c r="P55" s="26" t="str">
        <f aca="false">IFERROR(IF($O55="","",IF((1-(COUNTIFS($B$2:$B$492,$B55,$O$2:$O$492,"&gt;"&amp;$O55)+1-1)/COUNTIF($B$2:$B$492,$B55))&gt;=0.85,"Top",IF((1-(COUNTIFS($B$2:$B$492,$B55,$O$2:$O$492,"&gt;"&amp;$O55)+1-1)/COUNTIF($B$2:$B$492,$B55))&gt;=0.6,"Buono",IF((1-(COUNTIFS($B$2:$B$492,$B55,$O$2:$O$492,"&gt;"&amp;$O55)+1-1)/COUNTIF($B$2:$B$492,$B55))&gt;=0.3,"Nella Media","Scommessa/Riserva")))),"")</f>
        <v>Top</v>
      </c>
      <c r="Q55" s="29" t="n">
        <f aca="false">IF($D55="",COUNTIF($D$2:$D55,""),"")</f>
        <v>54</v>
      </c>
      <c r="R55" s="29" t="str">
        <f aca="false">IF($D55='Info Lega'!$B$28,COUNTIFS($D$2:$D55,'Info Lega'!$B$28),"")</f>
        <v/>
      </c>
      <c r="S55" s="30" t="n">
        <f aca="false">IFERROR(INDEX('Input Statistiche 2025_26'!$G$3:$G$665,MATCH($A55,'Input Statistiche 2025_26'!$A$3:$A$665,0)),"")</f>
        <v>6.36</v>
      </c>
      <c r="T55" s="30" t="n">
        <f aca="false">IFERROR(INDEX('Input Statistiche 2025_26'!$H$3:$H$665,MATCH($A55,'Input Statistiche 2025_26'!$A$3:$A$665,0)),"")</f>
        <v>5.58</v>
      </c>
      <c r="U55" s="26" t="str">
        <f aca="false">IF(OR('La Mia Rosa'!$O$12="",$D55&lt;&gt;""),"",IF($F55&lt;='La Mia Rosa'!$O$12*'Parametri Modello'!$B$24,"OK",IF($F55&lt;='La Mia Rosa'!$O$12*'Parametri Modello'!$B$25,"Attenzione","Rischio Alto")))</f>
        <v>Attenzione</v>
      </c>
      <c r="V55" s="26" t="n">
        <f aca="false">IFERROR(COUNTIFS($B$2:$B$492,$B55,$O$2:$O$492,"&gt;"&amp;$O55)+1,"")</f>
        <v>4</v>
      </c>
      <c r="W55" s="21" t="n">
        <f aca="false">'Info Lega'!$B$4-SUMIFS($M$2:$M$492,$D$2:$D$492,'Info Lega'!$B$28)</f>
        <v>1000</v>
      </c>
      <c r="X55" s="21" t="n">
        <f aca="false">('Info Lega'!$B$5-COUNTIFS($D$2:$D$492,'Info Lega'!$B$28,$B$2:$B$492,"P"))+('Info Lega'!$B$6-COUNTIFS($D$2:$D$492,'Info Lega'!$B$28,$B$2:$B$492,"D"))+('Info Lega'!$B$7-COUNTIFS($D$2:$D$492,'Info Lega'!$B$28,$B$2:$B$492,"C"))+('Info Lega'!$B$8-COUNTIFS($D$2:$D$492,'Info Lega'!$B$28,$B$2:$B$492,"A"))</f>
        <v>25</v>
      </c>
      <c r="Y55" s="21" t="n">
        <f aca="false">X55*'Parametri Modello'!$B$30</f>
        <v>25</v>
      </c>
      <c r="Z55" s="21" t="n">
        <f aca="false">MAX(0,W55-Y55)</f>
        <v>975</v>
      </c>
      <c r="AA55" s="21" t="n">
        <f aca="false">MIN(F55,Z55)</f>
        <v>89</v>
      </c>
      <c r="AB55" s="21"/>
      <c r="AC55" s="21" t="str">
        <f aca="false">IF(AB55="","",IF(AB55&gt;AA55,"PASS",IF(AB55&lt;=AA55*0.85,"BID","ATTENZIONE")))</f>
        <v/>
      </c>
      <c r="AD55" s="31" t="n">
        <f aca="false">IF(I55="","",ROUND(100*(1-EXP(-I55/30)),0))</f>
        <v>71</v>
      </c>
      <c r="AE55" s="7" t="str">
        <f aca="false">IFERROR(INDEX('Stato Asta'!$G$9:$G$12,MATCH($B55,'Stato Asta'!$A$9:$A$12,0)),"")</f>
        <v>🟡 Attesa rischiosa</v>
      </c>
    </row>
    <row r="56" customFormat="false" ht="14.25" hidden="false" customHeight="true" outlineLevel="0" collapsed="false">
      <c r="A56" s="21" t="n">
        <v>4728</v>
      </c>
      <c r="B56" s="21" t="s">
        <v>46</v>
      </c>
      <c r="C56" s="21" t="s">
        <v>563</v>
      </c>
      <c r="E56" s="26" t="str">
        <f aca="false">IF(COUNTIF('Info Strategia'!$D$2:$D$51,$C56)&gt;0,"SI","NO")</f>
        <v>NO</v>
      </c>
      <c r="F56" s="27" t="n">
        <f aca="false">IFERROR(ROUND(($G56+($H56-$G56)*'Info Strategia'!$B$6)*(1+IF($E56="SI",'Parametri Modello'!$B$7*'Info Strategia'!$B$6,0)),0),"")</f>
        <v>17</v>
      </c>
      <c r="G56" s="27" t="n">
        <f aca="false">IFERROR(ROUND(MAX(1,(IF($V56&lt;=INDEX('Parametri Modello'!$C$57:$C$60,MATCH($B56,'Parametri Modello'!$A$57:$A$60,0)),IF(INDEX('Parametri Modello'!$E$57:$E$60,MATCH($B56,'Parametri Modello'!$A$57:$A$60,0))=0,0,($O56/INDEX('Parametri Modello'!$E$57:$E$60,MATCH($B56,'Parametri Modello'!$A$57:$A$60,0)))*(INDEX('Parametri Modello'!$D$57:$D$60,MATCH($B56,'Parametri Modello'!$A$57:$A$60,0))*(INDEX('Parametri Modello'!$B$50:$B$53,MATCH($B56,'Parametri Modello'!$A$50:$A$53,0))*'Parametri Modello'!$B$44))),IF(INDEX('Parametri Modello'!$F$57:$F$60,MATCH($B56,'Parametri Modello'!$A$57:$A$60,0))=0,0,($O56/INDEX('Parametri Modello'!$F$57:$F$60,MATCH($B56,'Parametri Modello'!$A$57:$A$60,0)))*((1-INDEX('Parametri Modello'!$D$57:$D$60,MATCH($B56,'Parametri Modello'!$A$57:$A$60,0)))*(INDEX('Parametri Modello'!$B$50:$B$53,MATCH($B56,'Parametri Modello'!$A$50:$A$53,0))*'Parametri Modello'!$B$44))))*(1+IF(IF($B56="D",'Info Lega'!$B$25,IF($B56="C",'Info Lega'!$B$26,"No"))="Si",'Parametri Modello'!$B$5,0))*(1+MAX(-0.25,MIN(0.25,IF(OR($T56="",$I56="",$I56=0,INDEX('Parametri Modello'!$B$19:$B$22,MATCH($B56,'Parametri Modello'!$A$19:$A$22,0))="",INDEX('Parametri Modello'!$B$19:$B$22,MATCH($B56,'Parametri Modello'!$A$19:$A$22,0))=0),0,(($T56-INDEX('Parametri Modello'!$B$19:$B$22,MATCH($B56,'Parametri Modello'!$A$19:$A$22,0)))/INDEX('Parametri Modello'!$B$19:$B$22,MATCH($B56,'Parametri Modello'!$A$19:$A$22,0)))*'Parametri Modello'!$B$9))))*(1+IF('Parametri Modello'!$B$27="Si",MAX(-'Parametri Modello'!$B$28,MIN('Parametri Modello'!$B$28*1.5,IF(OR(INDEX('Parametri Modello'!$F$32:$F$35,MATCH($B56,'Parametri Modello'!$A$32:$A$35,0))="",INDEX('Parametri Modello'!$F$32:$F$35,MATCH($B56,'Parametri Modello'!$A$32:$A$35,0))=0),0,(1/INDEX('Parametri Modello'!$F$32:$F$35,MATCH($B56,'Parametri Modello'!$A$32:$A$35,0))-1)*'Parametri Modello'!$B$28))),0)))*(1-INDEX('Parametri Modello'!$B$12:$B$15,MATCH($B56,'Parametri Modello'!$A$12:$A$15,0)))),0),"")</f>
        <v>11</v>
      </c>
      <c r="H56" s="27" t="n">
        <f aca="false">IFERROR(ROUND((IF($V56&lt;=INDEX('Parametri Modello'!$C$57:$C$60,MATCH($B56,'Parametri Modello'!$A$57:$A$60,0)),IF(INDEX('Parametri Modello'!$E$57:$E$60,MATCH($B56,'Parametri Modello'!$A$57:$A$60,0))=0,0,($O56/INDEX('Parametri Modello'!$E$57:$E$60,MATCH($B56,'Parametri Modello'!$A$57:$A$60,0)))*(INDEX('Parametri Modello'!$D$57:$D$60,MATCH($B56,'Parametri Modello'!$A$57:$A$60,0))*(INDEX('Parametri Modello'!$B$50:$B$53,MATCH($B56,'Parametri Modello'!$A$50:$A$53,0))*'Parametri Modello'!$B$44))),IF(INDEX('Parametri Modello'!$F$57:$F$60,MATCH($B56,'Parametri Modello'!$A$57:$A$60,0))=0,0,($O56/INDEX('Parametri Modello'!$F$57:$F$60,MATCH($B56,'Parametri Modello'!$A$57:$A$60,0)))*((1-INDEX('Parametri Modello'!$D$57:$D$60,MATCH($B56,'Parametri Modello'!$A$57:$A$60,0)))*(INDEX('Parametri Modello'!$B$50:$B$53,MATCH($B56,'Parametri Modello'!$A$50:$A$53,0))*'Parametri Modello'!$B$44))))*(1+IF(IF($B56="D",'Info Lega'!$B$25,IF($B56="C",'Info Lega'!$B$26,"No"))="Si",'Parametri Modello'!$B$5,0))*(1+MAX(-0.25,MIN(0.25,IF(OR($T56="",$I56="",$I56=0,INDEX('Parametri Modello'!$B$19:$B$22,MATCH($B56,'Parametri Modello'!$A$19:$A$22,0))="",INDEX('Parametri Modello'!$B$19:$B$22,MATCH($B56,'Parametri Modello'!$A$19:$A$22,0))=0),0,(($T56-INDEX('Parametri Modello'!$B$19:$B$22,MATCH($B56,'Parametri Modello'!$A$19:$A$22,0)))/INDEX('Parametri Modello'!$B$19:$B$22,MATCH($B56,'Parametri Modello'!$A$19:$A$22,0)))*'Parametri Modello'!$B$9))))*(1+IF('Parametri Modello'!$B$27="Si",MAX(-'Parametri Modello'!$B$28,MIN('Parametri Modello'!$B$28*1.5,IF(OR(INDEX('Parametri Modello'!$F$32:$F$35,MATCH($B56,'Parametri Modello'!$A$32:$A$35,0))="",INDEX('Parametri Modello'!$F$32:$F$35,MATCH($B56,'Parametri Modello'!$A$32:$A$35,0))=0),0,(1/INDEX('Parametri Modello'!$F$32:$F$35,MATCH($B56,'Parametri Modello'!$A$32:$A$35,0))-1)*'Parametri Modello'!$B$28))),0)))*(1+INDEX('Parametri Modello'!$B$12:$B$15,MATCH($B56,'Parametri Modello'!$A$12:$A$15,0))),0),"")</f>
        <v>20</v>
      </c>
      <c r="I56" s="26" t="n">
        <f aca="false">IFERROR(INDEX('Input Statistiche 2025_26'!$F$3:$F$665,MATCH($A56,'Input Statistiche 2025_26'!$A$3:$A$665,0)),"")</f>
        <v>26</v>
      </c>
      <c r="J56" s="26" t="n">
        <f aca="false">IFERROR(IF($I56="","",MAX(0,38-$I56)),"")</f>
        <v>12</v>
      </c>
      <c r="K56" s="26" t="n">
        <f aca="false">IFERROR(INDEX('Input Statistiche 2025_26'!$I$3:$I$665,MATCH($A56,'Input Statistiche 2025_26'!$A$3:$A$665,0)),"")</f>
        <v>7</v>
      </c>
      <c r="L56" s="26" t="n">
        <f aca="false">IFERROR(INDEX('Input Statistiche 2025_26'!$O$3:$O$665,MATCH($A56,'Input Statistiche 2025_26'!$A$3:$A$665,0)),"")</f>
        <v>3</v>
      </c>
      <c r="M56" s="28"/>
      <c r="N56" s="27" t="n">
        <f aca="false">IFERROR(INDEX('Input Giocatori 2026_27'!$E$3:$E$493,MATCH($A56,'Input Giocatori 2026_27'!$A$3:$A$493,0)),"")</f>
        <v>13</v>
      </c>
      <c r="O56" s="27" t="n">
        <f aca="false">IFERROR(INDEX('Input Giocatori 2026_27'!$G$3:$G$493,MATCH($A56,'Input Giocatori 2026_27'!$A$3:$A$493,0)),"")</f>
        <v>52</v>
      </c>
      <c r="P56" s="26" t="str">
        <f aca="false">IFERROR(IF($O56="","",IF((1-(COUNTIFS($B$2:$B$492,$B56,$O$2:$O$492,"&gt;"&amp;$O56)+1-1)/COUNTIF($B$2:$B$492,$B56))&gt;=0.85,"Top",IF((1-(COUNTIFS($B$2:$B$492,$B56,$O$2:$O$492,"&gt;"&amp;$O56)+1-1)/COUNTIF($B$2:$B$492,$B56))&gt;=0.6,"Buono",IF((1-(COUNTIFS($B$2:$B$492,$B56,$O$2:$O$492,"&gt;"&amp;$O56)+1-1)/COUNTIF($B$2:$B$492,$B56))&gt;=0.3,"Nella Media","Scommessa/Riserva")))),"")</f>
        <v>Buono</v>
      </c>
      <c r="Q56" s="29" t="n">
        <f aca="false">IF($D56="",COUNTIF($D$2:$D56,""),"")</f>
        <v>55</v>
      </c>
      <c r="R56" s="29" t="str">
        <f aca="false">IF($D56='Info Lega'!$B$28,COUNTIFS($D$2:$D56,'Info Lega'!$B$28),"")</f>
        <v/>
      </c>
      <c r="S56" s="30" t="n">
        <f aca="false">IFERROR(INDEX('Input Statistiche 2025_26'!$G$3:$G$665,MATCH($A56,'Input Statistiche 2025_26'!$A$3:$A$665,0)),"")</f>
        <v>5.94</v>
      </c>
      <c r="T56" s="30" t="n">
        <f aca="false">IFERROR(INDEX('Input Statistiche 2025_26'!$H$3:$H$665,MATCH($A56,'Input Statistiche 2025_26'!$A$3:$A$665,0)),"")</f>
        <v>6.87</v>
      </c>
      <c r="U56" s="26" t="str">
        <f aca="false">IF(OR('La Mia Rosa'!$O$12="",$D56&lt;&gt;""),"",IF($F56&lt;='La Mia Rosa'!$O$12*'Parametri Modello'!$B$24,"OK",IF($F56&lt;='La Mia Rosa'!$O$12*'Parametri Modello'!$B$25,"Attenzione","Rischio Alto")))</f>
        <v>OK</v>
      </c>
      <c r="V56" s="26" t="n">
        <f aca="false">IFERROR(COUNTIFS($B$2:$B$492,$B56,$O$2:$O$492,"&gt;"&amp;$O56)+1,"")</f>
        <v>28</v>
      </c>
      <c r="W56" s="21" t="n">
        <f aca="false">'Info Lega'!$B$4-SUMIFS($M$2:$M$492,$D$2:$D$492,'Info Lega'!$B$28)</f>
        <v>1000</v>
      </c>
      <c r="X56" s="21" t="n">
        <f aca="false">('Info Lega'!$B$5-COUNTIFS($D$2:$D$492,'Info Lega'!$B$28,$B$2:$B$492,"P"))+('Info Lega'!$B$6-COUNTIFS($D$2:$D$492,'Info Lega'!$B$28,$B$2:$B$492,"D"))+('Info Lega'!$B$7-COUNTIFS($D$2:$D$492,'Info Lega'!$B$28,$B$2:$B$492,"C"))+('Info Lega'!$B$8-COUNTIFS($D$2:$D$492,'Info Lega'!$B$28,$B$2:$B$492,"A"))</f>
        <v>25</v>
      </c>
      <c r="Y56" s="21" t="n">
        <f aca="false">X56*'Parametri Modello'!$B$30</f>
        <v>25</v>
      </c>
      <c r="Z56" s="21" t="n">
        <f aca="false">MAX(0,W56-Y56)</f>
        <v>975</v>
      </c>
      <c r="AA56" s="21" t="n">
        <f aca="false">MIN(F56,Z56)</f>
        <v>17</v>
      </c>
      <c r="AB56" s="21"/>
      <c r="AC56" s="21" t="str">
        <f aca="false">IF(AB56="","",IF(AB56&gt;AA56,"PASS",IF(AB56&lt;=AA56*0.85,"BID","ATTENZIONE")))</f>
        <v/>
      </c>
      <c r="AD56" s="31" t="n">
        <f aca="false">IF(I56="","",ROUND(100*(1-EXP(-I56/30)),0))</f>
        <v>58</v>
      </c>
      <c r="AE56" s="7" t="str">
        <f aca="false">IFERROR(INDEX('Stato Asta'!$G$9:$G$12,MATCH($B56,'Stato Asta'!$A$9:$A$12,0)),"")</f>
        <v>🔴 Non aspettare</v>
      </c>
    </row>
    <row r="57" customFormat="false" ht="14.25" hidden="false" customHeight="true" outlineLevel="0" collapsed="false">
      <c r="A57" s="21" t="n">
        <v>7484</v>
      </c>
      <c r="B57" s="21" t="s">
        <v>46</v>
      </c>
      <c r="C57" s="21" t="s">
        <v>566</v>
      </c>
      <c r="E57" s="26" t="str">
        <f aca="false">IF(COUNTIF('Info Strategia'!$D$2:$D$51,$C57)&gt;0,"SI","NO")</f>
        <v>NO</v>
      </c>
      <c r="F57" s="27" t="n">
        <f aca="false">IFERROR(ROUND(($G57+($H57-$G57)*'Info Strategia'!$B$6)*(1+IF($E57="SI",'Parametri Modello'!$B$7*'Info Strategia'!$B$6,0)),0),"")</f>
        <v>16</v>
      </c>
      <c r="G57" s="27" t="n">
        <f aca="false">IFERROR(ROUND(MAX(1,(IF($V57&lt;=INDEX('Parametri Modello'!$C$57:$C$60,MATCH($B57,'Parametri Modello'!$A$57:$A$60,0)),IF(INDEX('Parametri Modello'!$E$57:$E$60,MATCH($B57,'Parametri Modello'!$A$57:$A$60,0))=0,0,($O57/INDEX('Parametri Modello'!$E$57:$E$60,MATCH($B57,'Parametri Modello'!$A$57:$A$60,0)))*(INDEX('Parametri Modello'!$D$57:$D$60,MATCH($B57,'Parametri Modello'!$A$57:$A$60,0))*(INDEX('Parametri Modello'!$B$50:$B$53,MATCH($B57,'Parametri Modello'!$A$50:$A$53,0))*'Parametri Modello'!$B$44))),IF(INDEX('Parametri Modello'!$F$57:$F$60,MATCH($B57,'Parametri Modello'!$A$57:$A$60,0))=0,0,($O57/INDEX('Parametri Modello'!$F$57:$F$60,MATCH($B57,'Parametri Modello'!$A$57:$A$60,0)))*((1-INDEX('Parametri Modello'!$D$57:$D$60,MATCH($B57,'Parametri Modello'!$A$57:$A$60,0)))*(INDEX('Parametri Modello'!$B$50:$B$53,MATCH($B57,'Parametri Modello'!$A$50:$A$53,0))*'Parametri Modello'!$B$44))))*(1+IF(IF($B57="D",'Info Lega'!$B$25,IF($B57="C",'Info Lega'!$B$26,"No"))="Si",'Parametri Modello'!$B$5,0))*(1+MAX(-0.25,MIN(0.25,IF(OR($T57="",$I57="",$I57=0,INDEX('Parametri Modello'!$B$19:$B$22,MATCH($B57,'Parametri Modello'!$A$19:$A$22,0))="",INDEX('Parametri Modello'!$B$19:$B$22,MATCH($B57,'Parametri Modello'!$A$19:$A$22,0))=0),0,(($T57-INDEX('Parametri Modello'!$B$19:$B$22,MATCH($B57,'Parametri Modello'!$A$19:$A$22,0)))/INDEX('Parametri Modello'!$B$19:$B$22,MATCH($B57,'Parametri Modello'!$A$19:$A$22,0)))*'Parametri Modello'!$B$9))))*(1+IF('Parametri Modello'!$B$27="Si",MAX(-'Parametri Modello'!$B$28,MIN('Parametri Modello'!$B$28*1.5,IF(OR(INDEX('Parametri Modello'!$F$32:$F$35,MATCH($B57,'Parametri Modello'!$A$32:$A$35,0))="",INDEX('Parametri Modello'!$F$32:$F$35,MATCH($B57,'Parametri Modello'!$A$32:$A$35,0))=0),0,(1/INDEX('Parametri Modello'!$F$32:$F$35,MATCH($B57,'Parametri Modello'!$A$32:$A$35,0))-1)*'Parametri Modello'!$B$28))),0)))*(1-INDEX('Parametri Modello'!$B$12:$B$15,MATCH($B57,'Parametri Modello'!$A$12:$A$15,0)))),0),"")</f>
        <v>10</v>
      </c>
      <c r="H57" s="27" t="n">
        <f aca="false">IFERROR(ROUND((IF($V57&lt;=INDEX('Parametri Modello'!$C$57:$C$60,MATCH($B57,'Parametri Modello'!$A$57:$A$60,0)),IF(INDEX('Parametri Modello'!$E$57:$E$60,MATCH($B57,'Parametri Modello'!$A$57:$A$60,0))=0,0,($O57/INDEX('Parametri Modello'!$E$57:$E$60,MATCH($B57,'Parametri Modello'!$A$57:$A$60,0)))*(INDEX('Parametri Modello'!$D$57:$D$60,MATCH($B57,'Parametri Modello'!$A$57:$A$60,0))*(INDEX('Parametri Modello'!$B$50:$B$53,MATCH($B57,'Parametri Modello'!$A$50:$A$53,0))*'Parametri Modello'!$B$44))),IF(INDEX('Parametri Modello'!$F$57:$F$60,MATCH($B57,'Parametri Modello'!$A$57:$A$60,0))=0,0,($O57/INDEX('Parametri Modello'!$F$57:$F$60,MATCH($B57,'Parametri Modello'!$A$57:$A$60,0)))*((1-INDEX('Parametri Modello'!$D$57:$D$60,MATCH($B57,'Parametri Modello'!$A$57:$A$60,0)))*(INDEX('Parametri Modello'!$B$50:$B$53,MATCH($B57,'Parametri Modello'!$A$50:$A$53,0))*'Parametri Modello'!$B$44))))*(1+IF(IF($B57="D",'Info Lega'!$B$25,IF($B57="C",'Info Lega'!$B$26,"No"))="Si",'Parametri Modello'!$B$5,0))*(1+MAX(-0.25,MIN(0.25,IF(OR($T57="",$I57="",$I57=0,INDEX('Parametri Modello'!$B$19:$B$22,MATCH($B57,'Parametri Modello'!$A$19:$A$22,0))="",INDEX('Parametri Modello'!$B$19:$B$22,MATCH($B57,'Parametri Modello'!$A$19:$A$22,0))=0),0,(($T57-INDEX('Parametri Modello'!$B$19:$B$22,MATCH($B57,'Parametri Modello'!$A$19:$A$22,0)))/INDEX('Parametri Modello'!$B$19:$B$22,MATCH($B57,'Parametri Modello'!$A$19:$A$22,0)))*'Parametri Modello'!$B$9))))*(1+IF('Parametri Modello'!$B$27="Si",MAX(-'Parametri Modello'!$B$28,MIN('Parametri Modello'!$B$28*1.5,IF(OR(INDEX('Parametri Modello'!$F$32:$F$35,MATCH($B57,'Parametri Modello'!$A$32:$A$35,0))="",INDEX('Parametri Modello'!$F$32:$F$35,MATCH($B57,'Parametri Modello'!$A$32:$A$35,0))=0),0,(1/INDEX('Parametri Modello'!$F$32:$F$35,MATCH($B57,'Parametri Modello'!$A$32:$A$35,0))-1)*'Parametri Modello'!$B$28))),0)))*(1+INDEX('Parametri Modello'!$B$12:$B$15,MATCH($B57,'Parametri Modello'!$A$12:$A$15,0))),0),"")</f>
        <v>19</v>
      </c>
      <c r="I57" s="26" t="str">
        <f aca="false">IFERROR(INDEX('Input Statistiche 2025_26'!$F$3:$F$665,MATCH($A57,'Input Statistiche 2025_26'!$A$3:$A$665,0)),"")</f>
        <v/>
      </c>
      <c r="J57" s="26" t="str">
        <f aca="false">IFERROR(IF($I57="","",MAX(0,38-$I57)),"")</f>
        <v/>
      </c>
      <c r="K57" s="26" t="str">
        <f aca="false">IFERROR(INDEX('Input Statistiche 2025_26'!$I$3:$I$665,MATCH($A57,'Input Statistiche 2025_26'!$A$3:$A$665,0)),"")</f>
        <v/>
      </c>
      <c r="L57" s="26" t="str">
        <f aca="false">IFERROR(INDEX('Input Statistiche 2025_26'!$O$3:$O$665,MATCH($A57,'Input Statistiche 2025_26'!$A$3:$A$665,0)),"")</f>
        <v/>
      </c>
      <c r="M57" s="28"/>
      <c r="N57" s="27" t="n">
        <f aca="false">IFERROR(INDEX('Input Giocatori 2026_27'!$E$3:$E$493,MATCH($A57,'Input Giocatori 2026_27'!$A$3:$A$493,0)),"")</f>
        <v>12</v>
      </c>
      <c r="O57" s="27" t="n">
        <f aca="false">IFERROR(INDEX('Input Giocatori 2026_27'!$G$3:$G$493,MATCH($A57,'Input Giocatori 2026_27'!$A$3:$A$493,0)),"")</f>
        <v>52</v>
      </c>
      <c r="P57" s="26" t="str">
        <f aca="false">IFERROR(IF($O57="","",IF((1-(COUNTIFS($B$2:$B$492,$B57,$O$2:$O$492,"&gt;"&amp;$O57)+1-1)/COUNTIF($B$2:$B$492,$B57))&gt;=0.85,"Top",IF((1-(COUNTIFS($B$2:$B$492,$B57,$O$2:$O$492,"&gt;"&amp;$O57)+1-1)/COUNTIF($B$2:$B$492,$B57))&gt;=0.6,"Buono",IF((1-(COUNTIFS($B$2:$B$492,$B57,$O$2:$O$492,"&gt;"&amp;$O57)+1-1)/COUNTIF($B$2:$B$492,$B57))&gt;=0.3,"Nella Media","Scommessa/Riserva")))),"")</f>
        <v>Buono</v>
      </c>
      <c r="Q57" s="29" t="n">
        <f aca="false">IF($D57="",COUNTIF($D$2:$D57,""),"")</f>
        <v>56</v>
      </c>
      <c r="R57" s="29" t="str">
        <f aca="false">IF($D57='Info Lega'!$B$28,COUNTIFS($D$2:$D57,'Info Lega'!$B$28),"")</f>
        <v/>
      </c>
      <c r="S57" s="30" t="str">
        <f aca="false">IFERROR(INDEX('Input Statistiche 2025_26'!$G$3:$G$665,MATCH($A57,'Input Statistiche 2025_26'!$A$3:$A$665,0)),"")</f>
        <v/>
      </c>
      <c r="T57" s="30" t="str">
        <f aca="false">IFERROR(INDEX('Input Statistiche 2025_26'!$H$3:$H$665,MATCH($A57,'Input Statistiche 2025_26'!$A$3:$A$665,0)),"")</f>
        <v/>
      </c>
      <c r="U57" s="26" t="str">
        <f aca="false">IF(OR('La Mia Rosa'!$O$12="",$D57&lt;&gt;""),"",IF($F57&lt;='La Mia Rosa'!$O$12*'Parametri Modello'!$B$24,"OK",IF($F57&lt;='La Mia Rosa'!$O$12*'Parametri Modello'!$B$25,"Attenzione","Rischio Alto")))</f>
        <v>OK</v>
      </c>
      <c r="V57" s="26" t="n">
        <f aca="false">IFERROR(COUNTIFS($B$2:$B$492,$B57,$O$2:$O$492,"&gt;"&amp;$O57)+1,"")</f>
        <v>28</v>
      </c>
      <c r="W57" s="21" t="n">
        <f aca="false">'Info Lega'!$B$4-SUMIFS($M$2:$M$492,$D$2:$D$492,'Info Lega'!$B$28)</f>
        <v>1000</v>
      </c>
      <c r="X57" s="21" t="n">
        <f aca="false">('Info Lega'!$B$5-COUNTIFS($D$2:$D$492,'Info Lega'!$B$28,$B$2:$B$492,"P"))+('Info Lega'!$B$6-COUNTIFS($D$2:$D$492,'Info Lega'!$B$28,$B$2:$B$492,"D"))+('Info Lega'!$B$7-COUNTIFS($D$2:$D$492,'Info Lega'!$B$28,$B$2:$B$492,"C"))+('Info Lega'!$B$8-COUNTIFS($D$2:$D$492,'Info Lega'!$B$28,$B$2:$B$492,"A"))</f>
        <v>25</v>
      </c>
      <c r="Y57" s="21" t="n">
        <f aca="false">X57*'Parametri Modello'!$B$30</f>
        <v>25</v>
      </c>
      <c r="Z57" s="21" t="n">
        <f aca="false">MAX(0,W57-Y57)</f>
        <v>975</v>
      </c>
      <c r="AA57" s="21" t="n">
        <f aca="false">MIN(F57,Z57)</f>
        <v>16</v>
      </c>
      <c r="AB57" s="21"/>
      <c r="AC57" s="21" t="str">
        <f aca="false">IF(AB57="","",IF(AB57&gt;AA57,"PASS",IF(AB57&lt;=AA57*0.85,"BID","ATTENZIONE")))</f>
        <v/>
      </c>
      <c r="AD57" s="31" t="str">
        <f aca="false">IF(I57="","",ROUND(100*(1-EXP(-I57/30)),0))</f>
        <v/>
      </c>
      <c r="AE57" s="7" t="str">
        <f aca="false">IFERROR(INDEX('Stato Asta'!$G$9:$G$12,MATCH($B57,'Stato Asta'!$A$9:$A$12,0)),"")</f>
        <v>🔴 Non aspettare</v>
      </c>
    </row>
    <row r="58" customFormat="false" ht="14.25" hidden="false" customHeight="true" outlineLevel="0" collapsed="false">
      <c r="A58" s="21" t="n">
        <v>4312</v>
      </c>
      <c r="B58" s="21" t="s">
        <v>43</v>
      </c>
      <c r="C58" s="21" t="s">
        <v>120</v>
      </c>
      <c r="E58" s="26" t="str">
        <f aca="false">IF(COUNTIF('Info Strategia'!$D$2:$D$51,$C58)&gt;0,"SI","NO")</f>
        <v>NO</v>
      </c>
      <c r="F58" s="27" t="n">
        <f aca="false">IFERROR(ROUND(($G58+($H58-$G58)*'Info Strategia'!$B$6)*(1+IF($E58="SI",'Parametri Modello'!$B$7*'Info Strategia'!$B$6,0)),0),"")</f>
        <v>84</v>
      </c>
      <c r="G58" s="27" t="n">
        <f aca="false">IFERROR(ROUND(MAX(1,(IF($V58&lt;=INDEX('Parametri Modello'!$C$57:$C$60,MATCH($B58,'Parametri Modello'!$A$57:$A$60,0)),IF(INDEX('Parametri Modello'!$E$57:$E$60,MATCH($B58,'Parametri Modello'!$A$57:$A$60,0))=0,0,($O58/INDEX('Parametri Modello'!$E$57:$E$60,MATCH($B58,'Parametri Modello'!$A$57:$A$60,0)))*(INDEX('Parametri Modello'!$D$57:$D$60,MATCH($B58,'Parametri Modello'!$A$57:$A$60,0))*(INDEX('Parametri Modello'!$B$50:$B$53,MATCH($B58,'Parametri Modello'!$A$50:$A$53,0))*'Parametri Modello'!$B$44))),IF(INDEX('Parametri Modello'!$F$57:$F$60,MATCH($B58,'Parametri Modello'!$A$57:$A$60,0))=0,0,($O58/INDEX('Parametri Modello'!$F$57:$F$60,MATCH($B58,'Parametri Modello'!$A$57:$A$60,0)))*((1-INDEX('Parametri Modello'!$D$57:$D$60,MATCH($B58,'Parametri Modello'!$A$57:$A$60,0)))*(INDEX('Parametri Modello'!$B$50:$B$53,MATCH($B58,'Parametri Modello'!$A$50:$A$53,0))*'Parametri Modello'!$B$44))))*(1+IF(IF($B58="D",'Info Lega'!$B$25,IF($B58="C",'Info Lega'!$B$26,"No"))="Si",'Parametri Modello'!$B$5,0))*(1+MAX(-0.25,MIN(0.25,IF(OR($T58="",$I58="",$I58=0,INDEX('Parametri Modello'!$B$19:$B$22,MATCH($B58,'Parametri Modello'!$A$19:$A$22,0))="",INDEX('Parametri Modello'!$B$19:$B$22,MATCH($B58,'Parametri Modello'!$A$19:$A$22,0))=0),0,(($T58-INDEX('Parametri Modello'!$B$19:$B$22,MATCH($B58,'Parametri Modello'!$A$19:$A$22,0)))/INDEX('Parametri Modello'!$B$19:$B$22,MATCH($B58,'Parametri Modello'!$A$19:$A$22,0)))*'Parametri Modello'!$B$9))))*(1+IF('Parametri Modello'!$B$27="Si",MAX(-'Parametri Modello'!$B$28,MIN('Parametri Modello'!$B$28*1.5,IF(OR(INDEX('Parametri Modello'!$F$32:$F$35,MATCH($B58,'Parametri Modello'!$A$32:$A$35,0))="",INDEX('Parametri Modello'!$F$32:$F$35,MATCH($B58,'Parametri Modello'!$A$32:$A$35,0))=0),0,(1/INDEX('Parametri Modello'!$F$32:$F$35,MATCH($B58,'Parametri Modello'!$A$32:$A$35,0))-1)*'Parametri Modello'!$B$28))),0)))*(1-INDEX('Parametri Modello'!$B$12:$B$15,MATCH($B58,'Parametri Modello'!$A$12:$A$15,0)))),0),"")</f>
        <v>68</v>
      </c>
      <c r="H58" s="27" t="n">
        <f aca="false">IFERROR(ROUND((IF($V58&lt;=INDEX('Parametri Modello'!$C$57:$C$60,MATCH($B58,'Parametri Modello'!$A$57:$A$60,0)),IF(INDEX('Parametri Modello'!$E$57:$E$60,MATCH($B58,'Parametri Modello'!$A$57:$A$60,0))=0,0,($O58/INDEX('Parametri Modello'!$E$57:$E$60,MATCH($B58,'Parametri Modello'!$A$57:$A$60,0)))*(INDEX('Parametri Modello'!$D$57:$D$60,MATCH($B58,'Parametri Modello'!$A$57:$A$60,0))*(INDEX('Parametri Modello'!$B$50:$B$53,MATCH($B58,'Parametri Modello'!$A$50:$A$53,0))*'Parametri Modello'!$B$44))),IF(INDEX('Parametri Modello'!$F$57:$F$60,MATCH($B58,'Parametri Modello'!$A$57:$A$60,0))=0,0,($O58/INDEX('Parametri Modello'!$F$57:$F$60,MATCH($B58,'Parametri Modello'!$A$57:$A$60,0)))*((1-INDEX('Parametri Modello'!$D$57:$D$60,MATCH($B58,'Parametri Modello'!$A$57:$A$60,0)))*(INDEX('Parametri Modello'!$B$50:$B$53,MATCH($B58,'Parametri Modello'!$A$50:$A$53,0))*'Parametri Modello'!$B$44))))*(1+IF(IF($B58="D",'Info Lega'!$B$25,IF($B58="C",'Info Lega'!$B$26,"No"))="Si",'Parametri Modello'!$B$5,0))*(1+MAX(-0.25,MIN(0.25,IF(OR($T58="",$I58="",$I58=0,INDEX('Parametri Modello'!$B$19:$B$22,MATCH($B58,'Parametri Modello'!$A$19:$A$22,0))="",INDEX('Parametri Modello'!$B$19:$B$22,MATCH($B58,'Parametri Modello'!$A$19:$A$22,0))=0),0,(($T58-INDEX('Parametri Modello'!$B$19:$B$22,MATCH($B58,'Parametri Modello'!$A$19:$A$22,0)))/INDEX('Parametri Modello'!$B$19:$B$22,MATCH($B58,'Parametri Modello'!$A$19:$A$22,0)))*'Parametri Modello'!$B$9))))*(1+IF('Parametri Modello'!$B$27="Si",MAX(-'Parametri Modello'!$B$28,MIN('Parametri Modello'!$B$28*1.5,IF(OR(INDEX('Parametri Modello'!$F$32:$F$35,MATCH($B58,'Parametri Modello'!$A$32:$A$35,0))="",INDEX('Parametri Modello'!$F$32:$F$35,MATCH($B58,'Parametri Modello'!$A$32:$A$35,0))=0),0,(1/INDEX('Parametri Modello'!$F$32:$F$35,MATCH($B58,'Parametri Modello'!$A$32:$A$35,0))-1)*'Parametri Modello'!$B$28))),0)))*(1+INDEX('Parametri Modello'!$B$12:$B$15,MATCH($B58,'Parametri Modello'!$A$12:$A$15,0))),0),"")</f>
        <v>91</v>
      </c>
      <c r="I58" s="26" t="n">
        <f aca="false">IFERROR(INDEX('Input Statistiche 2025_26'!$F$3:$F$665,MATCH($A58,'Input Statistiche 2025_26'!$A$3:$A$665,0)),"")</f>
        <v>37</v>
      </c>
      <c r="J58" s="26" t="n">
        <f aca="false">IFERROR(IF($I58="","",MAX(0,38-$I58)),"")</f>
        <v>1</v>
      </c>
      <c r="K58" s="26" t="n">
        <f aca="false">IFERROR(INDEX('Input Statistiche 2025_26'!$I$3:$I$665,MATCH($A58,'Input Statistiche 2025_26'!$A$3:$A$665,0)),"")</f>
        <v>0</v>
      </c>
      <c r="L58" s="26" t="n">
        <f aca="false">IFERROR(INDEX('Input Statistiche 2025_26'!$O$3:$O$665,MATCH($A58,'Input Statistiche 2025_26'!$A$3:$A$665,0)),"")</f>
        <v>0</v>
      </c>
      <c r="M58" s="28"/>
      <c r="N58" s="27" t="n">
        <f aca="false">IFERROR(INDEX('Input Giocatori 2026_27'!$E$3:$E$493,MATCH($A58,'Input Giocatori 2026_27'!$A$3:$A$493,0)),"")</f>
        <v>15</v>
      </c>
      <c r="O58" s="27" t="n">
        <f aca="false">IFERROR(INDEX('Input Giocatori 2026_27'!$G$3:$G$493,MATCH($A58,'Input Giocatori 2026_27'!$A$3:$A$493,0)),"")</f>
        <v>50</v>
      </c>
      <c r="P58" s="26" t="str">
        <f aca="false">IFERROR(IF($O58="","",IF((1-(COUNTIFS($B$2:$B$492,$B58,$O$2:$O$492,"&gt;"&amp;$O58)+1-1)/COUNTIF($B$2:$B$492,$B58))&gt;=0.85,"Top",IF((1-(COUNTIFS($B$2:$B$492,$B58,$O$2:$O$492,"&gt;"&amp;$O58)+1-1)/COUNTIF($B$2:$B$492,$B58))&gt;=0.6,"Buono",IF((1-(COUNTIFS($B$2:$B$492,$B58,$O$2:$O$492,"&gt;"&amp;$O58)+1-1)/COUNTIF($B$2:$B$492,$B58))&gt;=0.3,"Nella Media","Scommessa/Riserva")))),"")</f>
        <v>Top</v>
      </c>
      <c r="Q58" s="29" t="n">
        <f aca="false">IF($D58="",COUNTIF($D$2:$D58,""),"")</f>
        <v>57</v>
      </c>
      <c r="R58" s="29" t="str">
        <f aca="false">IF($D58='Info Lega'!$B$28,COUNTIFS($D$2:$D58,'Info Lega'!$B$28),"")</f>
        <v/>
      </c>
      <c r="S58" s="30" t="n">
        <f aca="false">IFERROR(INDEX('Input Statistiche 2025_26'!$G$3:$G$665,MATCH($A58,'Input Statistiche 2025_26'!$A$3:$A$665,0)),"")</f>
        <v>6.26</v>
      </c>
      <c r="T58" s="30" t="n">
        <f aca="false">IFERROR(INDEX('Input Statistiche 2025_26'!$H$3:$H$665,MATCH($A58,'Input Statistiche 2025_26'!$A$3:$A$665,0)),"")</f>
        <v>5.42</v>
      </c>
      <c r="U58" s="26" t="str">
        <f aca="false">IF(OR('La Mia Rosa'!$O$12="",$D58&lt;&gt;""),"",IF($F58&lt;='La Mia Rosa'!$O$12*'Parametri Modello'!$B$24,"OK",IF($F58&lt;='La Mia Rosa'!$O$12*'Parametri Modello'!$B$25,"Attenzione","Rischio Alto")))</f>
        <v>Attenzione</v>
      </c>
      <c r="V58" s="26" t="n">
        <f aca="false">IFERROR(COUNTIFS($B$2:$B$492,$B58,$O$2:$O$492,"&gt;"&amp;$O58)+1,"")</f>
        <v>5</v>
      </c>
      <c r="W58" s="21" t="n">
        <f aca="false">'Info Lega'!$B$4-SUMIFS($M$2:$M$492,$D$2:$D$492,'Info Lega'!$B$28)</f>
        <v>1000</v>
      </c>
      <c r="X58" s="21" t="n">
        <f aca="false">('Info Lega'!$B$5-COUNTIFS($D$2:$D$492,'Info Lega'!$B$28,$B$2:$B$492,"P"))+('Info Lega'!$B$6-COUNTIFS($D$2:$D$492,'Info Lega'!$B$28,$B$2:$B$492,"D"))+('Info Lega'!$B$7-COUNTIFS($D$2:$D$492,'Info Lega'!$B$28,$B$2:$B$492,"C"))+('Info Lega'!$B$8-COUNTIFS($D$2:$D$492,'Info Lega'!$B$28,$B$2:$B$492,"A"))</f>
        <v>25</v>
      </c>
      <c r="Y58" s="21" t="n">
        <f aca="false">X58*'Parametri Modello'!$B$30</f>
        <v>25</v>
      </c>
      <c r="Z58" s="21" t="n">
        <f aca="false">MAX(0,W58-Y58)</f>
        <v>975</v>
      </c>
      <c r="AA58" s="21" t="n">
        <f aca="false">MIN(F58,Z58)</f>
        <v>84</v>
      </c>
      <c r="AB58" s="21"/>
      <c r="AC58" s="21" t="str">
        <f aca="false">IF(AB58="","",IF(AB58&gt;AA58,"PASS",IF(AB58&lt;=AA58*0.85,"BID","ATTENZIONE")))</f>
        <v/>
      </c>
      <c r="AD58" s="31" t="n">
        <f aca="false">IF(I58="","",ROUND(100*(1-EXP(-I58/30)),0))</f>
        <v>71</v>
      </c>
      <c r="AE58" s="7" t="str">
        <f aca="false">IFERROR(INDEX('Stato Asta'!$G$9:$G$12,MATCH($B58,'Stato Asta'!$A$9:$A$12,0)),"")</f>
        <v>🟡 Attesa rischiosa</v>
      </c>
    </row>
    <row r="59" customFormat="false" ht="14.25" hidden="false" customHeight="true" outlineLevel="0" collapsed="false">
      <c r="A59" s="21" t="n">
        <v>2788</v>
      </c>
      <c r="B59" s="21" t="s">
        <v>44</v>
      </c>
      <c r="C59" s="21" t="s">
        <v>194</v>
      </c>
      <c r="E59" s="26" t="str">
        <f aca="false">IF(COUNTIF('Info Strategia'!$D$2:$D$51,$C59)&gt;0,"SI","NO")</f>
        <v>NO</v>
      </c>
      <c r="F59" s="27" t="n">
        <f aca="false">IFERROR(ROUND(($G59+($H59-$G59)*'Info Strategia'!$B$6)*(1+IF($E59="SI",'Parametri Modello'!$B$7*'Info Strategia'!$B$6,0)),0),"")</f>
        <v>35</v>
      </c>
      <c r="G59" s="27" t="n">
        <f aca="false">IFERROR(ROUND(MAX(1,(IF($V59&lt;=INDEX('Parametri Modello'!$C$57:$C$60,MATCH($B59,'Parametri Modello'!$A$57:$A$60,0)),IF(INDEX('Parametri Modello'!$E$57:$E$60,MATCH($B59,'Parametri Modello'!$A$57:$A$60,0))=0,0,($O59/INDEX('Parametri Modello'!$E$57:$E$60,MATCH($B59,'Parametri Modello'!$A$57:$A$60,0)))*(INDEX('Parametri Modello'!$D$57:$D$60,MATCH($B59,'Parametri Modello'!$A$57:$A$60,0))*(INDEX('Parametri Modello'!$B$50:$B$53,MATCH($B59,'Parametri Modello'!$A$50:$A$53,0))*'Parametri Modello'!$B$44))),IF(INDEX('Parametri Modello'!$F$57:$F$60,MATCH($B59,'Parametri Modello'!$A$57:$A$60,0))=0,0,($O59/INDEX('Parametri Modello'!$F$57:$F$60,MATCH($B59,'Parametri Modello'!$A$57:$A$60,0)))*((1-INDEX('Parametri Modello'!$D$57:$D$60,MATCH($B59,'Parametri Modello'!$A$57:$A$60,0)))*(INDEX('Parametri Modello'!$B$50:$B$53,MATCH($B59,'Parametri Modello'!$A$50:$A$53,0))*'Parametri Modello'!$B$44))))*(1+IF(IF($B59="D",'Info Lega'!$B$25,IF($B59="C",'Info Lega'!$B$26,"No"))="Si",'Parametri Modello'!$B$5,0))*(1+MAX(-0.25,MIN(0.25,IF(OR($T59="",$I59="",$I59=0,INDEX('Parametri Modello'!$B$19:$B$22,MATCH($B59,'Parametri Modello'!$A$19:$A$22,0))="",INDEX('Parametri Modello'!$B$19:$B$22,MATCH($B59,'Parametri Modello'!$A$19:$A$22,0))=0),0,(($T59-INDEX('Parametri Modello'!$B$19:$B$22,MATCH($B59,'Parametri Modello'!$A$19:$A$22,0)))/INDEX('Parametri Modello'!$B$19:$B$22,MATCH($B59,'Parametri Modello'!$A$19:$A$22,0)))*'Parametri Modello'!$B$9))))*(1+IF('Parametri Modello'!$B$27="Si",MAX(-'Parametri Modello'!$B$28,MIN('Parametri Modello'!$B$28*1.5,IF(OR(INDEX('Parametri Modello'!$F$32:$F$35,MATCH($B59,'Parametri Modello'!$A$32:$A$35,0))="",INDEX('Parametri Modello'!$F$32:$F$35,MATCH($B59,'Parametri Modello'!$A$32:$A$35,0))=0),0,(1/INDEX('Parametri Modello'!$F$32:$F$35,MATCH($B59,'Parametri Modello'!$A$32:$A$35,0))-1)*'Parametri Modello'!$B$28))),0)))*(1-INDEX('Parametri Modello'!$B$12:$B$15,MATCH($B59,'Parametri Modello'!$A$12:$A$15,0)))),0),"")</f>
        <v>26</v>
      </c>
      <c r="H59" s="27" t="n">
        <f aca="false">IFERROR(ROUND((IF($V59&lt;=INDEX('Parametri Modello'!$C$57:$C$60,MATCH($B59,'Parametri Modello'!$A$57:$A$60,0)),IF(INDEX('Parametri Modello'!$E$57:$E$60,MATCH($B59,'Parametri Modello'!$A$57:$A$60,0))=0,0,($O59/INDEX('Parametri Modello'!$E$57:$E$60,MATCH($B59,'Parametri Modello'!$A$57:$A$60,0)))*(INDEX('Parametri Modello'!$D$57:$D$60,MATCH($B59,'Parametri Modello'!$A$57:$A$60,0))*(INDEX('Parametri Modello'!$B$50:$B$53,MATCH($B59,'Parametri Modello'!$A$50:$A$53,0))*'Parametri Modello'!$B$44))),IF(INDEX('Parametri Modello'!$F$57:$F$60,MATCH($B59,'Parametri Modello'!$A$57:$A$60,0))=0,0,($O59/INDEX('Parametri Modello'!$F$57:$F$60,MATCH($B59,'Parametri Modello'!$A$57:$A$60,0)))*((1-INDEX('Parametri Modello'!$D$57:$D$60,MATCH($B59,'Parametri Modello'!$A$57:$A$60,0)))*(INDEX('Parametri Modello'!$B$50:$B$53,MATCH($B59,'Parametri Modello'!$A$50:$A$53,0))*'Parametri Modello'!$B$44))))*(1+IF(IF($B59="D",'Info Lega'!$B$25,IF($B59="C",'Info Lega'!$B$26,"No"))="Si",'Parametri Modello'!$B$5,0))*(1+MAX(-0.25,MIN(0.25,IF(OR($T59="",$I59="",$I59=0,INDEX('Parametri Modello'!$B$19:$B$22,MATCH($B59,'Parametri Modello'!$A$19:$A$22,0))="",INDEX('Parametri Modello'!$B$19:$B$22,MATCH($B59,'Parametri Modello'!$A$19:$A$22,0))=0),0,(($T59-INDEX('Parametri Modello'!$B$19:$B$22,MATCH($B59,'Parametri Modello'!$A$19:$A$22,0)))/INDEX('Parametri Modello'!$B$19:$B$22,MATCH($B59,'Parametri Modello'!$A$19:$A$22,0)))*'Parametri Modello'!$B$9))))*(1+IF('Parametri Modello'!$B$27="Si",MAX(-'Parametri Modello'!$B$28,MIN('Parametri Modello'!$B$28*1.5,IF(OR(INDEX('Parametri Modello'!$F$32:$F$35,MATCH($B59,'Parametri Modello'!$A$32:$A$35,0))="",INDEX('Parametri Modello'!$F$32:$F$35,MATCH($B59,'Parametri Modello'!$A$32:$A$35,0))=0),0,(1/INDEX('Parametri Modello'!$F$32:$F$35,MATCH($B59,'Parametri Modello'!$A$32:$A$35,0))-1)*'Parametri Modello'!$B$28))),0)))*(1+INDEX('Parametri Modello'!$B$12:$B$15,MATCH($B59,'Parametri Modello'!$A$12:$A$15,0))),0),"")</f>
        <v>39</v>
      </c>
      <c r="I59" s="26" t="n">
        <f aca="false">IFERROR(INDEX('Input Statistiche 2025_26'!$F$3:$F$665,MATCH($A59,'Input Statistiche 2025_26'!$A$3:$A$665,0)),"")</f>
        <v>26</v>
      </c>
      <c r="J59" s="26" t="n">
        <f aca="false">IFERROR(IF($I59="","",MAX(0,38-$I59)),"")</f>
        <v>12</v>
      </c>
      <c r="K59" s="26" t="n">
        <f aca="false">IFERROR(INDEX('Input Statistiche 2025_26'!$I$3:$I$665,MATCH($A59,'Input Statistiche 2025_26'!$A$3:$A$665,0)),"")</f>
        <v>4</v>
      </c>
      <c r="L59" s="26" t="n">
        <f aca="false">IFERROR(INDEX('Input Statistiche 2025_26'!$O$3:$O$665,MATCH($A59,'Input Statistiche 2025_26'!$A$3:$A$665,0)),"")</f>
        <v>3</v>
      </c>
      <c r="M59" s="28"/>
      <c r="N59" s="27" t="n">
        <f aca="false">IFERROR(INDEX('Input Giocatori 2026_27'!$E$3:$E$493,MATCH($A59,'Input Giocatori 2026_27'!$A$3:$A$493,0)),"")</f>
        <v>15</v>
      </c>
      <c r="O59" s="27" t="n">
        <f aca="false">IFERROR(INDEX('Input Giocatori 2026_27'!$G$3:$G$493,MATCH($A59,'Input Giocatori 2026_27'!$A$3:$A$493,0)),"")</f>
        <v>50</v>
      </c>
      <c r="P59" s="26" t="str">
        <f aca="false">IFERROR(IF($O59="","",IF((1-(COUNTIFS($B$2:$B$492,$B59,$O$2:$O$492,"&gt;"&amp;$O59)+1-1)/COUNTIF($B$2:$B$492,$B59))&gt;=0.85,"Top",IF((1-(COUNTIFS($B$2:$B$492,$B59,$O$2:$O$492,"&gt;"&amp;$O59)+1-1)/COUNTIF($B$2:$B$492,$B59))&gt;=0.6,"Buono",IF((1-(COUNTIFS($B$2:$B$492,$B59,$O$2:$O$492,"&gt;"&amp;$O59)+1-1)/COUNTIF($B$2:$B$492,$B59))&gt;=0.3,"Nella Media","Scommessa/Riserva")))),"")</f>
        <v>Top</v>
      </c>
      <c r="Q59" s="29" t="n">
        <f aca="false">IF($D59="",COUNTIF($D$2:$D59,""),"")</f>
        <v>58</v>
      </c>
      <c r="R59" s="29" t="str">
        <f aca="false">IF($D59='Info Lega'!$B$28,COUNTIFS($D$2:$D59,'Info Lega'!$B$28),"")</f>
        <v/>
      </c>
      <c r="S59" s="30" t="n">
        <f aca="false">IFERROR(INDEX('Input Statistiche 2025_26'!$G$3:$G$665,MATCH($A59,'Input Statistiche 2025_26'!$A$3:$A$665,0)),"")</f>
        <v>6.33</v>
      </c>
      <c r="T59" s="30" t="n">
        <f aca="false">IFERROR(INDEX('Input Statistiche 2025_26'!$H$3:$H$665,MATCH($A59,'Input Statistiche 2025_26'!$A$3:$A$665,0)),"")</f>
        <v>6.81</v>
      </c>
      <c r="U59" s="26" t="str">
        <f aca="false">IF(OR('La Mia Rosa'!$O$12="",$D59&lt;&gt;""),"",IF($F59&lt;='La Mia Rosa'!$O$12*'Parametri Modello'!$B$24,"OK",IF($F59&lt;='La Mia Rosa'!$O$12*'Parametri Modello'!$B$25,"Attenzione","Rischio Alto")))</f>
        <v>OK</v>
      </c>
      <c r="V59" s="26" t="n">
        <f aca="false">IFERROR(COUNTIFS($B$2:$B$492,$B59,$O$2:$O$492,"&gt;"&amp;$O59)+1,"")</f>
        <v>4</v>
      </c>
      <c r="W59" s="21" t="n">
        <f aca="false">'Info Lega'!$B$4-SUMIFS($M$2:$M$492,$D$2:$D$492,'Info Lega'!$B$28)</f>
        <v>1000</v>
      </c>
      <c r="X59" s="21" t="n">
        <f aca="false">('Info Lega'!$B$5-COUNTIFS($D$2:$D$492,'Info Lega'!$B$28,$B$2:$B$492,"P"))+('Info Lega'!$B$6-COUNTIFS($D$2:$D$492,'Info Lega'!$B$28,$B$2:$B$492,"D"))+('Info Lega'!$B$7-COUNTIFS($D$2:$D$492,'Info Lega'!$B$28,$B$2:$B$492,"C"))+('Info Lega'!$B$8-COUNTIFS($D$2:$D$492,'Info Lega'!$B$28,$B$2:$B$492,"A"))</f>
        <v>25</v>
      </c>
      <c r="Y59" s="21" t="n">
        <f aca="false">X59*'Parametri Modello'!$B$30</f>
        <v>25</v>
      </c>
      <c r="Z59" s="21" t="n">
        <f aca="false">MAX(0,W59-Y59)</f>
        <v>975</v>
      </c>
      <c r="AA59" s="21" t="n">
        <f aca="false">MIN(F59,Z59)</f>
        <v>35</v>
      </c>
      <c r="AB59" s="21"/>
      <c r="AC59" s="21" t="str">
        <f aca="false">IF(AB59="","",IF(AB59&gt;AA59,"PASS",IF(AB59&lt;=AA59*0.85,"BID","ATTENZIONE")))</f>
        <v/>
      </c>
      <c r="AD59" s="31" t="n">
        <f aca="false">IF(I59="","",ROUND(100*(1-EXP(-I59/30)),0))</f>
        <v>58</v>
      </c>
      <c r="AE59" s="7" t="str">
        <f aca="false">IFERROR(INDEX('Stato Asta'!$G$9:$G$12,MATCH($B59,'Stato Asta'!$A$9:$A$12,0)),"")</f>
        <v>🟡 Attesa rischiosa</v>
      </c>
    </row>
    <row r="60" customFormat="false" ht="14.25" hidden="false" customHeight="true" outlineLevel="0" collapsed="false">
      <c r="A60" s="21" t="n">
        <v>2606</v>
      </c>
      <c r="B60" s="21" t="s">
        <v>45</v>
      </c>
      <c r="C60" s="21" t="s">
        <v>388</v>
      </c>
      <c r="E60" s="26" t="str">
        <f aca="false">IF(COUNTIF('Info Strategia'!$D$2:$D$51,$C60)&gt;0,"SI","NO")</f>
        <v>NO</v>
      </c>
      <c r="F60" s="27" t="n">
        <f aca="false">IFERROR(ROUND(($G60+($H60-$G60)*'Info Strategia'!$B$6)*(1+IF($E60="SI",'Parametri Modello'!$B$7*'Info Strategia'!$B$6,0)),0),"")</f>
        <v>34</v>
      </c>
      <c r="G60" s="27" t="n">
        <f aca="false">IFERROR(ROUND(MAX(1,(IF($V60&lt;=INDEX('Parametri Modello'!$C$57:$C$60,MATCH($B60,'Parametri Modello'!$A$57:$A$60,0)),IF(INDEX('Parametri Modello'!$E$57:$E$60,MATCH($B60,'Parametri Modello'!$A$57:$A$60,0))=0,0,($O60/INDEX('Parametri Modello'!$E$57:$E$60,MATCH($B60,'Parametri Modello'!$A$57:$A$60,0)))*(INDEX('Parametri Modello'!$D$57:$D$60,MATCH($B60,'Parametri Modello'!$A$57:$A$60,0))*(INDEX('Parametri Modello'!$B$50:$B$53,MATCH($B60,'Parametri Modello'!$A$50:$A$53,0))*'Parametri Modello'!$B$44))),IF(INDEX('Parametri Modello'!$F$57:$F$60,MATCH($B60,'Parametri Modello'!$A$57:$A$60,0))=0,0,($O60/INDEX('Parametri Modello'!$F$57:$F$60,MATCH($B60,'Parametri Modello'!$A$57:$A$60,0)))*((1-INDEX('Parametri Modello'!$D$57:$D$60,MATCH($B60,'Parametri Modello'!$A$57:$A$60,0)))*(INDEX('Parametri Modello'!$B$50:$B$53,MATCH($B60,'Parametri Modello'!$A$50:$A$53,0))*'Parametri Modello'!$B$44))))*(1+IF(IF($B60="D",'Info Lega'!$B$25,IF($B60="C",'Info Lega'!$B$26,"No"))="Si",'Parametri Modello'!$B$5,0))*(1+MAX(-0.25,MIN(0.25,IF(OR($T60="",$I60="",$I60=0,INDEX('Parametri Modello'!$B$19:$B$22,MATCH($B60,'Parametri Modello'!$A$19:$A$22,0))="",INDEX('Parametri Modello'!$B$19:$B$22,MATCH($B60,'Parametri Modello'!$A$19:$A$22,0))=0),0,(($T60-INDEX('Parametri Modello'!$B$19:$B$22,MATCH($B60,'Parametri Modello'!$A$19:$A$22,0)))/INDEX('Parametri Modello'!$B$19:$B$22,MATCH($B60,'Parametri Modello'!$A$19:$A$22,0)))*'Parametri Modello'!$B$9))))*(1+IF('Parametri Modello'!$B$27="Si",MAX(-'Parametri Modello'!$B$28,MIN('Parametri Modello'!$B$28*1.5,IF(OR(INDEX('Parametri Modello'!$F$32:$F$35,MATCH($B60,'Parametri Modello'!$A$32:$A$35,0))="",INDEX('Parametri Modello'!$F$32:$F$35,MATCH($B60,'Parametri Modello'!$A$32:$A$35,0))=0),0,(1/INDEX('Parametri Modello'!$F$32:$F$35,MATCH($B60,'Parametri Modello'!$A$32:$A$35,0))-1)*'Parametri Modello'!$B$28))),0)))*(1-INDEX('Parametri Modello'!$B$12:$B$15,MATCH($B60,'Parametri Modello'!$A$12:$A$15,0)))),0),"")</f>
        <v>23</v>
      </c>
      <c r="H60" s="27" t="n">
        <f aca="false">IFERROR(ROUND((IF($V60&lt;=INDEX('Parametri Modello'!$C$57:$C$60,MATCH($B60,'Parametri Modello'!$A$57:$A$60,0)),IF(INDEX('Parametri Modello'!$E$57:$E$60,MATCH($B60,'Parametri Modello'!$A$57:$A$60,0))=0,0,($O60/INDEX('Parametri Modello'!$E$57:$E$60,MATCH($B60,'Parametri Modello'!$A$57:$A$60,0)))*(INDEX('Parametri Modello'!$D$57:$D$60,MATCH($B60,'Parametri Modello'!$A$57:$A$60,0))*(INDEX('Parametri Modello'!$B$50:$B$53,MATCH($B60,'Parametri Modello'!$A$50:$A$53,0))*'Parametri Modello'!$B$44))),IF(INDEX('Parametri Modello'!$F$57:$F$60,MATCH($B60,'Parametri Modello'!$A$57:$A$60,0))=0,0,($O60/INDEX('Parametri Modello'!$F$57:$F$60,MATCH($B60,'Parametri Modello'!$A$57:$A$60,0)))*((1-INDEX('Parametri Modello'!$D$57:$D$60,MATCH($B60,'Parametri Modello'!$A$57:$A$60,0)))*(INDEX('Parametri Modello'!$B$50:$B$53,MATCH($B60,'Parametri Modello'!$A$50:$A$53,0))*'Parametri Modello'!$B$44))))*(1+IF(IF($B60="D",'Info Lega'!$B$25,IF($B60="C",'Info Lega'!$B$26,"No"))="Si",'Parametri Modello'!$B$5,0))*(1+MAX(-0.25,MIN(0.25,IF(OR($T60="",$I60="",$I60=0,INDEX('Parametri Modello'!$B$19:$B$22,MATCH($B60,'Parametri Modello'!$A$19:$A$22,0))="",INDEX('Parametri Modello'!$B$19:$B$22,MATCH($B60,'Parametri Modello'!$A$19:$A$22,0))=0),0,(($T60-INDEX('Parametri Modello'!$B$19:$B$22,MATCH($B60,'Parametri Modello'!$A$19:$A$22,0)))/INDEX('Parametri Modello'!$B$19:$B$22,MATCH($B60,'Parametri Modello'!$A$19:$A$22,0)))*'Parametri Modello'!$B$9))))*(1+IF('Parametri Modello'!$B$27="Si",MAX(-'Parametri Modello'!$B$28,MIN('Parametri Modello'!$B$28*1.5,IF(OR(INDEX('Parametri Modello'!$F$32:$F$35,MATCH($B60,'Parametri Modello'!$A$32:$A$35,0))="",INDEX('Parametri Modello'!$F$32:$F$35,MATCH($B60,'Parametri Modello'!$A$32:$A$35,0))=0),0,(1/INDEX('Parametri Modello'!$F$32:$F$35,MATCH($B60,'Parametri Modello'!$A$32:$A$35,0))-1)*'Parametri Modello'!$B$28))),0)))*(1+INDEX('Parametri Modello'!$B$12:$B$15,MATCH($B60,'Parametri Modello'!$A$12:$A$15,0))),0),"")</f>
        <v>38</v>
      </c>
      <c r="I60" s="26" t="n">
        <f aca="false">IFERROR(INDEX('Input Statistiche 2025_26'!$F$3:$F$665,MATCH($A60,'Input Statistiche 2025_26'!$A$3:$A$665,0)),"")</f>
        <v>33</v>
      </c>
      <c r="J60" s="26" t="n">
        <f aca="false">IFERROR(IF($I60="","",MAX(0,38-$I60)),"")</f>
        <v>5</v>
      </c>
      <c r="K60" s="26" t="n">
        <f aca="false">IFERROR(INDEX('Input Statistiche 2025_26'!$I$3:$I$665,MATCH($A60,'Input Statistiche 2025_26'!$A$3:$A$665,0)),"")</f>
        <v>2</v>
      </c>
      <c r="L60" s="26" t="n">
        <f aca="false">IFERROR(INDEX('Input Statistiche 2025_26'!$O$3:$O$665,MATCH($A60,'Input Statistiche 2025_26'!$A$3:$A$665,0)),"")</f>
        <v>3</v>
      </c>
      <c r="M60" s="28"/>
      <c r="N60" s="27" t="n">
        <f aca="false">IFERROR(INDEX('Input Giocatori 2026_27'!$E$3:$E$493,MATCH($A60,'Input Giocatori 2026_27'!$A$3:$A$493,0)),"")</f>
        <v>12</v>
      </c>
      <c r="O60" s="27" t="n">
        <f aca="false">IFERROR(INDEX('Input Giocatori 2026_27'!$G$3:$G$493,MATCH($A60,'Input Giocatori 2026_27'!$A$3:$A$493,0)),"")</f>
        <v>50</v>
      </c>
      <c r="P60" s="26" t="str">
        <f aca="false">IFERROR(IF($O60="","",IF((1-(COUNTIFS($B$2:$B$492,$B60,$O$2:$O$492,"&gt;"&amp;$O60)+1-1)/COUNTIF($B$2:$B$492,$B60))&gt;=0.85,"Top",IF((1-(COUNTIFS($B$2:$B$492,$B60,$O$2:$O$492,"&gt;"&amp;$O60)+1-1)/COUNTIF($B$2:$B$492,$B60))&gt;=0.6,"Buono",IF((1-(COUNTIFS($B$2:$B$492,$B60,$O$2:$O$492,"&gt;"&amp;$O60)+1-1)/COUNTIF($B$2:$B$492,$B60))&gt;=0.3,"Nella Media","Scommessa/Riserva")))),"")</f>
        <v>Top</v>
      </c>
      <c r="Q60" s="29" t="n">
        <f aca="false">IF($D60="",COUNTIF($D$2:$D60,""),"")</f>
        <v>59</v>
      </c>
      <c r="R60" s="29" t="str">
        <f aca="false">IF($D60='Info Lega'!$B$28,COUNTIFS($D$2:$D60,'Info Lega'!$B$28),"")</f>
        <v/>
      </c>
      <c r="S60" s="30" t="n">
        <f aca="false">IFERROR(INDEX('Input Statistiche 2025_26'!$G$3:$G$665,MATCH($A60,'Input Statistiche 2025_26'!$A$3:$A$665,0)),"")</f>
        <v>6.45</v>
      </c>
      <c r="T60" s="30" t="n">
        <f aca="false">IFERROR(INDEX('Input Statistiche 2025_26'!$H$3:$H$665,MATCH($A60,'Input Statistiche 2025_26'!$A$3:$A$665,0)),"")</f>
        <v>6.67</v>
      </c>
      <c r="U60" s="26" t="str">
        <f aca="false">IF(OR('La Mia Rosa'!$O$12="",$D60&lt;&gt;""),"",IF($F60&lt;='La Mia Rosa'!$O$12*'Parametri Modello'!$B$24,"OK",IF($F60&lt;='La Mia Rosa'!$O$12*'Parametri Modello'!$B$25,"Attenzione","Rischio Alto")))</f>
        <v>OK</v>
      </c>
      <c r="V60" s="26" t="n">
        <f aca="false">IFERROR(COUNTIFS($B$2:$B$492,$B60,$O$2:$O$492,"&gt;"&amp;$O60)+1,"")</f>
        <v>21</v>
      </c>
      <c r="W60" s="21" t="n">
        <f aca="false">'Info Lega'!$B$4-SUMIFS($M$2:$M$492,$D$2:$D$492,'Info Lega'!$B$28)</f>
        <v>1000</v>
      </c>
      <c r="X60" s="21" t="n">
        <f aca="false">('Info Lega'!$B$5-COUNTIFS($D$2:$D$492,'Info Lega'!$B$28,$B$2:$B$492,"P"))+('Info Lega'!$B$6-COUNTIFS($D$2:$D$492,'Info Lega'!$B$28,$B$2:$B$492,"D"))+('Info Lega'!$B$7-COUNTIFS($D$2:$D$492,'Info Lega'!$B$28,$B$2:$B$492,"C"))+('Info Lega'!$B$8-COUNTIFS($D$2:$D$492,'Info Lega'!$B$28,$B$2:$B$492,"A"))</f>
        <v>25</v>
      </c>
      <c r="Y60" s="21" t="n">
        <f aca="false">X60*'Parametri Modello'!$B$30</f>
        <v>25</v>
      </c>
      <c r="Z60" s="21" t="n">
        <f aca="false">MAX(0,W60-Y60)</f>
        <v>975</v>
      </c>
      <c r="AA60" s="21" t="n">
        <f aca="false">MIN(F60,Z60)</f>
        <v>34</v>
      </c>
      <c r="AB60" s="21"/>
      <c r="AC60" s="21" t="str">
        <f aca="false">IF(AB60="","",IF(AB60&gt;AA60,"PASS",IF(AB60&lt;=AA60*0.85,"BID","ATTENZIONE")))</f>
        <v/>
      </c>
      <c r="AD60" s="31" t="n">
        <f aca="false">IF(I60="","",ROUND(100*(1-EXP(-I60/30)),0))</f>
        <v>67</v>
      </c>
      <c r="AE60" s="7" t="str">
        <f aca="false">IFERROR(INDEX('Stato Asta'!$G$9:$G$12,MATCH($B60,'Stato Asta'!$A$9:$A$12,0)),"")</f>
        <v>🟡 Attesa rischiosa</v>
      </c>
    </row>
    <row r="61" customFormat="false" ht="14.25" hidden="false" customHeight="true" outlineLevel="0" collapsed="false">
      <c r="A61" s="21" t="n">
        <v>4463</v>
      </c>
      <c r="B61" s="21" t="s">
        <v>46</v>
      </c>
      <c r="C61" s="21" t="s">
        <v>562</v>
      </c>
      <c r="E61" s="26" t="str">
        <f aca="false">IF(COUNTIF('Info Strategia'!$D$2:$D$51,$C61)&gt;0,"SI","NO")</f>
        <v>NO</v>
      </c>
      <c r="F61" s="27" t="n">
        <f aca="false">IFERROR(ROUND(($G61+($H61-$G61)*'Info Strategia'!$B$6)*(1+IF($E61="SI",'Parametri Modello'!$B$7*'Info Strategia'!$B$6,0)),0),"")</f>
        <v>16</v>
      </c>
      <c r="G61" s="27" t="n">
        <f aca="false">IFERROR(ROUND(MAX(1,(IF($V61&lt;=INDEX('Parametri Modello'!$C$57:$C$60,MATCH($B61,'Parametri Modello'!$A$57:$A$60,0)),IF(INDEX('Parametri Modello'!$E$57:$E$60,MATCH($B61,'Parametri Modello'!$A$57:$A$60,0))=0,0,($O61/INDEX('Parametri Modello'!$E$57:$E$60,MATCH($B61,'Parametri Modello'!$A$57:$A$60,0)))*(INDEX('Parametri Modello'!$D$57:$D$60,MATCH($B61,'Parametri Modello'!$A$57:$A$60,0))*(INDEX('Parametri Modello'!$B$50:$B$53,MATCH($B61,'Parametri Modello'!$A$50:$A$53,0))*'Parametri Modello'!$B$44))),IF(INDEX('Parametri Modello'!$F$57:$F$60,MATCH($B61,'Parametri Modello'!$A$57:$A$60,0))=0,0,($O61/INDEX('Parametri Modello'!$F$57:$F$60,MATCH($B61,'Parametri Modello'!$A$57:$A$60,0)))*((1-INDEX('Parametri Modello'!$D$57:$D$60,MATCH($B61,'Parametri Modello'!$A$57:$A$60,0)))*(INDEX('Parametri Modello'!$B$50:$B$53,MATCH($B61,'Parametri Modello'!$A$50:$A$53,0))*'Parametri Modello'!$B$44))))*(1+IF(IF($B61="D",'Info Lega'!$B$25,IF($B61="C",'Info Lega'!$B$26,"No"))="Si",'Parametri Modello'!$B$5,0))*(1+MAX(-0.25,MIN(0.25,IF(OR($T61="",$I61="",$I61=0,INDEX('Parametri Modello'!$B$19:$B$22,MATCH($B61,'Parametri Modello'!$A$19:$A$22,0))="",INDEX('Parametri Modello'!$B$19:$B$22,MATCH($B61,'Parametri Modello'!$A$19:$A$22,0))=0),0,(($T61-INDEX('Parametri Modello'!$B$19:$B$22,MATCH($B61,'Parametri Modello'!$A$19:$A$22,0)))/INDEX('Parametri Modello'!$B$19:$B$22,MATCH($B61,'Parametri Modello'!$A$19:$A$22,0)))*'Parametri Modello'!$B$9))))*(1+IF('Parametri Modello'!$B$27="Si",MAX(-'Parametri Modello'!$B$28,MIN('Parametri Modello'!$B$28*1.5,IF(OR(INDEX('Parametri Modello'!$F$32:$F$35,MATCH($B61,'Parametri Modello'!$A$32:$A$35,0))="",INDEX('Parametri Modello'!$F$32:$F$35,MATCH($B61,'Parametri Modello'!$A$32:$A$35,0))=0),0,(1/INDEX('Parametri Modello'!$F$32:$F$35,MATCH($B61,'Parametri Modello'!$A$32:$A$35,0))-1)*'Parametri Modello'!$B$28))),0)))*(1-INDEX('Parametri Modello'!$B$12:$B$15,MATCH($B61,'Parametri Modello'!$A$12:$A$15,0)))),0),"")</f>
        <v>10</v>
      </c>
      <c r="H61" s="27" t="n">
        <f aca="false">IFERROR(ROUND((IF($V61&lt;=INDEX('Parametri Modello'!$C$57:$C$60,MATCH($B61,'Parametri Modello'!$A$57:$A$60,0)),IF(INDEX('Parametri Modello'!$E$57:$E$60,MATCH($B61,'Parametri Modello'!$A$57:$A$60,0))=0,0,($O61/INDEX('Parametri Modello'!$E$57:$E$60,MATCH($B61,'Parametri Modello'!$A$57:$A$60,0)))*(INDEX('Parametri Modello'!$D$57:$D$60,MATCH($B61,'Parametri Modello'!$A$57:$A$60,0))*(INDEX('Parametri Modello'!$B$50:$B$53,MATCH($B61,'Parametri Modello'!$A$50:$A$53,0))*'Parametri Modello'!$B$44))),IF(INDEX('Parametri Modello'!$F$57:$F$60,MATCH($B61,'Parametri Modello'!$A$57:$A$60,0))=0,0,($O61/INDEX('Parametri Modello'!$F$57:$F$60,MATCH($B61,'Parametri Modello'!$A$57:$A$60,0)))*((1-INDEX('Parametri Modello'!$D$57:$D$60,MATCH($B61,'Parametri Modello'!$A$57:$A$60,0)))*(INDEX('Parametri Modello'!$B$50:$B$53,MATCH($B61,'Parametri Modello'!$A$50:$A$53,0))*'Parametri Modello'!$B$44))))*(1+IF(IF($B61="D",'Info Lega'!$B$25,IF($B61="C",'Info Lega'!$B$26,"No"))="Si",'Parametri Modello'!$B$5,0))*(1+MAX(-0.25,MIN(0.25,IF(OR($T61="",$I61="",$I61=0,INDEX('Parametri Modello'!$B$19:$B$22,MATCH($B61,'Parametri Modello'!$A$19:$A$22,0))="",INDEX('Parametri Modello'!$B$19:$B$22,MATCH($B61,'Parametri Modello'!$A$19:$A$22,0))=0),0,(($T61-INDEX('Parametri Modello'!$B$19:$B$22,MATCH($B61,'Parametri Modello'!$A$19:$A$22,0)))/INDEX('Parametri Modello'!$B$19:$B$22,MATCH($B61,'Parametri Modello'!$A$19:$A$22,0)))*'Parametri Modello'!$B$9))))*(1+IF('Parametri Modello'!$B$27="Si",MAX(-'Parametri Modello'!$B$28,MIN('Parametri Modello'!$B$28*1.5,IF(OR(INDEX('Parametri Modello'!$F$32:$F$35,MATCH($B61,'Parametri Modello'!$A$32:$A$35,0))="",INDEX('Parametri Modello'!$F$32:$F$35,MATCH($B61,'Parametri Modello'!$A$32:$A$35,0))=0),0,(1/INDEX('Parametri Modello'!$F$32:$F$35,MATCH($B61,'Parametri Modello'!$A$32:$A$35,0))-1)*'Parametri Modello'!$B$28))),0)))*(1+INDEX('Parametri Modello'!$B$12:$B$15,MATCH($B61,'Parametri Modello'!$A$12:$A$15,0))),0),"")</f>
        <v>19</v>
      </c>
      <c r="I61" s="26" t="n">
        <f aca="false">IFERROR(INDEX('Input Statistiche 2025_26'!$F$3:$F$665,MATCH($A61,'Input Statistiche 2025_26'!$A$3:$A$665,0)),"")</f>
        <v>36</v>
      </c>
      <c r="J61" s="26" t="n">
        <f aca="false">IFERROR(IF($I61="","",MAX(0,38-$I61)),"")</f>
        <v>2</v>
      </c>
      <c r="K61" s="26" t="n">
        <f aca="false">IFERROR(INDEX('Input Statistiche 2025_26'!$I$3:$I$665,MATCH($A61,'Input Statistiche 2025_26'!$A$3:$A$665,0)),"")</f>
        <v>7</v>
      </c>
      <c r="L61" s="26" t="n">
        <f aca="false">IFERROR(INDEX('Input Statistiche 2025_26'!$O$3:$O$665,MATCH($A61,'Input Statistiche 2025_26'!$A$3:$A$665,0)),"")</f>
        <v>4</v>
      </c>
      <c r="M61" s="28"/>
      <c r="N61" s="27" t="n">
        <f aca="false">IFERROR(INDEX('Input Giocatori 2026_27'!$E$3:$E$493,MATCH($A61,'Input Giocatori 2026_27'!$A$3:$A$493,0)),"")</f>
        <v>13</v>
      </c>
      <c r="O61" s="27" t="n">
        <f aca="false">IFERROR(INDEX('Input Giocatori 2026_27'!$G$3:$G$493,MATCH($A61,'Input Giocatori 2026_27'!$A$3:$A$493,0)),"")</f>
        <v>50</v>
      </c>
      <c r="P61" s="26" t="str">
        <f aca="false">IFERROR(IF($O61="","",IF((1-(COUNTIFS($B$2:$B$492,$B61,$O$2:$O$492,"&gt;"&amp;$O61)+1-1)/COUNTIF($B$2:$B$492,$B61))&gt;=0.85,"Top",IF((1-(COUNTIFS($B$2:$B$492,$B61,$O$2:$O$492,"&gt;"&amp;$O61)+1-1)/COUNTIF($B$2:$B$492,$B61))&gt;=0.6,"Buono",IF((1-(COUNTIFS($B$2:$B$492,$B61,$O$2:$O$492,"&gt;"&amp;$O61)+1-1)/COUNTIF($B$2:$B$492,$B61))&gt;=0.3,"Nella Media","Scommessa/Riserva")))),"")</f>
        <v>Buono</v>
      </c>
      <c r="Q61" s="29" t="n">
        <f aca="false">IF($D61="",COUNTIF($D$2:$D61,""),"")</f>
        <v>60</v>
      </c>
      <c r="R61" s="29" t="str">
        <f aca="false">IF($D61='Info Lega'!$B$28,COUNTIFS($D$2:$D61,'Info Lega'!$B$28),"")</f>
        <v/>
      </c>
      <c r="S61" s="30" t="n">
        <f aca="false">IFERROR(INDEX('Input Statistiche 2025_26'!$G$3:$G$665,MATCH($A61,'Input Statistiche 2025_26'!$A$3:$A$665,0)),"")</f>
        <v>6.26</v>
      </c>
      <c r="T61" s="30" t="n">
        <f aca="false">IFERROR(INDEX('Input Statistiche 2025_26'!$H$3:$H$665,MATCH($A61,'Input Statistiche 2025_26'!$A$3:$A$665,0)),"")</f>
        <v>6.88</v>
      </c>
      <c r="U61" s="26" t="str">
        <f aca="false">IF(OR('La Mia Rosa'!$O$12="",$D61&lt;&gt;""),"",IF($F61&lt;='La Mia Rosa'!$O$12*'Parametri Modello'!$B$24,"OK",IF($F61&lt;='La Mia Rosa'!$O$12*'Parametri Modello'!$B$25,"Attenzione","Rischio Alto")))</f>
        <v>OK</v>
      </c>
      <c r="V61" s="26" t="n">
        <f aca="false">IFERROR(COUNTIFS($B$2:$B$492,$B61,$O$2:$O$492,"&gt;"&amp;$O61)+1,"")</f>
        <v>30</v>
      </c>
      <c r="W61" s="21" t="n">
        <f aca="false">'Info Lega'!$B$4-SUMIFS($M$2:$M$492,$D$2:$D$492,'Info Lega'!$B$28)</f>
        <v>1000</v>
      </c>
      <c r="X61" s="21" t="n">
        <f aca="false">('Info Lega'!$B$5-COUNTIFS($D$2:$D$492,'Info Lega'!$B$28,$B$2:$B$492,"P"))+('Info Lega'!$B$6-COUNTIFS($D$2:$D$492,'Info Lega'!$B$28,$B$2:$B$492,"D"))+('Info Lega'!$B$7-COUNTIFS($D$2:$D$492,'Info Lega'!$B$28,$B$2:$B$492,"C"))+('Info Lega'!$B$8-COUNTIFS($D$2:$D$492,'Info Lega'!$B$28,$B$2:$B$492,"A"))</f>
        <v>25</v>
      </c>
      <c r="Y61" s="21" t="n">
        <f aca="false">X61*'Parametri Modello'!$B$30</f>
        <v>25</v>
      </c>
      <c r="Z61" s="21" t="n">
        <f aca="false">MAX(0,W61-Y61)</f>
        <v>975</v>
      </c>
      <c r="AA61" s="21" t="n">
        <f aca="false">MIN(F61,Z61)</f>
        <v>16</v>
      </c>
      <c r="AB61" s="21"/>
      <c r="AC61" s="21" t="str">
        <f aca="false">IF(AB61="","",IF(AB61&gt;AA61,"PASS",IF(AB61&lt;=AA61*0.85,"BID","ATTENZIONE")))</f>
        <v/>
      </c>
      <c r="AD61" s="31" t="n">
        <f aca="false">IF(I61="","",ROUND(100*(1-EXP(-I61/30)),0))</f>
        <v>70</v>
      </c>
      <c r="AE61" s="7" t="str">
        <f aca="false">IFERROR(INDEX('Stato Asta'!$G$9:$G$12,MATCH($B61,'Stato Asta'!$A$9:$A$12,0)),"")</f>
        <v>🔴 Non aspettare</v>
      </c>
    </row>
    <row r="62" customFormat="false" ht="14.25" hidden="false" customHeight="true" outlineLevel="0" collapsed="false">
      <c r="A62" s="21" t="n">
        <v>6967</v>
      </c>
      <c r="B62" s="21" t="s">
        <v>46</v>
      </c>
      <c r="C62" s="21" t="s">
        <v>567</v>
      </c>
      <c r="E62" s="26" t="str">
        <f aca="false">IF(COUNTIF('Info Strategia'!$D$2:$D$51,$C62)&gt;0,"SI","NO")</f>
        <v>NO</v>
      </c>
      <c r="F62" s="27" t="n">
        <f aca="false">IFERROR(ROUND(($G62+($H62-$G62)*'Info Strategia'!$B$6)*(1+IF($E62="SI",'Parametri Modello'!$B$7*'Info Strategia'!$B$6,0)),0),"")</f>
        <v>16</v>
      </c>
      <c r="G62" s="27" t="n">
        <f aca="false">IFERROR(ROUND(MAX(1,(IF($V62&lt;=INDEX('Parametri Modello'!$C$57:$C$60,MATCH($B62,'Parametri Modello'!$A$57:$A$60,0)),IF(INDEX('Parametri Modello'!$E$57:$E$60,MATCH($B62,'Parametri Modello'!$A$57:$A$60,0))=0,0,($O62/INDEX('Parametri Modello'!$E$57:$E$60,MATCH($B62,'Parametri Modello'!$A$57:$A$60,0)))*(INDEX('Parametri Modello'!$D$57:$D$60,MATCH($B62,'Parametri Modello'!$A$57:$A$60,0))*(INDEX('Parametri Modello'!$B$50:$B$53,MATCH($B62,'Parametri Modello'!$A$50:$A$53,0))*'Parametri Modello'!$B$44))),IF(INDEX('Parametri Modello'!$F$57:$F$60,MATCH($B62,'Parametri Modello'!$A$57:$A$60,0))=0,0,($O62/INDEX('Parametri Modello'!$F$57:$F$60,MATCH($B62,'Parametri Modello'!$A$57:$A$60,0)))*((1-INDEX('Parametri Modello'!$D$57:$D$60,MATCH($B62,'Parametri Modello'!$A$57:$A$60,0)))*(INDEX('Parametri Modello'!$B$50:$B$53,MATCH($B62,'Parametri Modello'!$A$50:$A$53,0))*'Parametri Modello'!$B$44))))*(1+IF(IF($B62="D",'Info Lega'!$B$25,IF($B62="C",'Info Lega'!$B$26,"No"))="Si",'Parametri Modello'!$B$5,0))*(1+MAX(-0.25,MIN(0.25,IF(OR($T62="",$I62="",$I62=0,INDEX('Parametri Modello'!$B$19:$B$22,MATCH($B62,'Parametri Modello'!$A$19:$A$22,0))="",INDEX('Parametri Modello'!$B$19:$B$22,MATCH($B62,'Parametri Modello'!$A$19:$A$22,0))=0),0,(($T62-INDEX('Parametri Modello'!$B$19:$B$22,MATCH($B62,'Parametri Modello'!$A$19:$A$22,0)))/INDEX('Parametri Modello'!$B$19:$B$22,MATCH($B62,'Parametri Modello'!$A$19:$A$22,0)))*'Parametri Modello'!$B$9))))*(1+IF('Parametri Modello'!$B$27="Si",MAX(-'Parametri Modello'!$B$28,MIN('Parametri Modello'!$B$28*1.5,IF(OR(INDEX('Parametri Modello'!$F$32:$F$35,MATCH($B62,'Parametri Modello'!$A$32:$A$35,0))="",INDEX('Parametri Modello'!$F$32:$F$35,MATCH($B62,'Parametri Modello'!$A$32:$A$35,0))=0),0,(1/INDEX('Parametri Modello'!$F$32:$F$35,MATCH($B62,'Parametri Modello'!$A$32:$A$35,0))-1)*'Parametri Modello'!$B$28))),0)))*(1-INDEX('Parametri Modello'!$B$12:$B$15,MATCH($B62,'Parametri Modello'!$A$12:$A$15,0)))),0),"")</f>
        <v>10</v>
      </c>
      <c r="H62" s="27" t="n">
        <f aca="false">IFERROR(ROUND((IF($V62&lt;=INDEX('Parametri Modello'!$C$57:$C$60,MATCH($B62,'Parametri Modello'!$A$57:$A$60,0)),IF(INDEX('Parametri Modello'!$E$57:$E$60,MATCH($B62,'Parametri Modello'!$A$57:$A$60,0))=0,0,($O62/INDEX('Parametri Modello'!$E$57:$E$60,MATCH($B62,'Parametri Modello'!$A$57:$A$60,0)))*(INDEX('Parametri Modello'!$D$57:$D$60,MATCH($B62,'Parametri Modello'!$A$57:$A$60,0))*(INDEX('Parametri Modello'!$B$50:$B$53,MATCH($B62,'Parametri Modello'!$A$50:$A$53,0))*'Parametri Modello'!$B$44))),IF(INDEX('Parametri Modello'!$F$57:$F$60,MATCH($B62,'Parametri Modello'!$A$57:$A$60,0))=0,0,($O62/INDEX('Parametri Modello'!$F$57:$F$60,MATCH($B62,'Parametri Modello'!$A$57:$A$60,0)))*((1-INDEX('Parametri Modello'!$D$57:$D$60,MATCH($B62,'Parametri Modello'!$A$57:$A$60,0)))*(INDEX('Parametri Modello'!$B$50:$B$53,MATCH($B62,'Parametri Modello'!$A$50:$A$53,0))*'Parametri Modello'!$B$44))))*(1+IF(IF($B62="D",'Info Lega'!$B$25,IF($B62="C",'Info Lega'!$B$26,"No"))="Si",'Parametri Modello'!$B$5,0))*(1+MAX(-0.25,MIN(0.25,IF(OR($T62="",$I62="",$I62=0,INDEX('Parametri Modello'!$B$19:$B$22,MATCH($B62,'Parametri Modello'!$A$19:$A$22,0))="",INDEX('Parametri Modello'!$B$19:$B$22,MATCH($B62,'Parametri Modello'!$A$19:$A$22,0))=0),0,(($T62-INDEX('Parametri Modello'!$B$19:$B$22,MATCH($B62,'Parametri Modello'!$A$19:$A$22,0)))/INDEX('Parametri Modello'!$B$19:$B$22,MATCH($B62,'Parametri Modello'!$A$19:$A$22,0)))*'Parametri Modello'!$B$9))))*(1+IF('Parametri Modello'!$B$27="Si",MAX(-'Parametri Modello'!$B$28,MIN('Parametri Modello'!$B$28*1.5,IF(OR(INDEX('Parametri Modello'!$F$32:$F$35,MATCH($B62,'Parametri Modello'!$A$32:$A$35,0))="",INDEX('Parametri Modello'!$F$32:$F$35,MATCH($B62,'Parametri Modello'!$A$32:$A$35,0))=0),0,(1/INDEX('Parametri Modello'!$F$32:$F$35,MATCH($B62,'Parametri Modello'!$A$32:$A$35,0))-1)*'Parametri Modello'!$B$28))),0)))*(1+INDEX('Parametri Modello'!$B$12:$B$15,MATCH($B62,'Parametri Modello'!$A$12:$A$15,0))),0),"")</f>
        <v>19</v>
      </c>
      <c r="I62" s="26" t="n">
        <f aca="false">IFERROR(INDEX('Input Statistiche 2025_26'!$F$3:$F$665,MATCH($A62,'Input Statistiche 2025_26'!$A$3:$A$665,0)),"")</f>
        <v>16</v>
      </c>
      <c r="J62" s="26" t="n">
        <f aca="false">IFERROR(IF($I62="","",MAX(0,38-$I62)),"")</f>
        <v>22</v>
      </c>
      <c r="K62" s="26" t="n">
        <f aca="false">IFERROR(INDEX('Input Statistiche 2025_26'!$I$3:$I$665,MATCH($A62,'Input Statistiche 2025_26'!$A$3:$A$665,0)),"")</f>
        <v>2</v>
      </c>
      <c r="L62" s="26" t="n">
        <f aca="false">IFERROR(INDEX('Input Statistiche 2025_26'!$O$3:$O$665,MATCH($A62,'Input Statistiche 2025_26'!$A$3:$A$665,0)),"")</f>
        <v>1</v>
      </c>
      <c r="M62" s="28"/>
      <c r="N62" s="27" t="n">
        <f aca="false">IFERROR(INDEX('Input Giocatori 2026_27'!$E$3:$E$493,MATCH($A62,'Input Giocatori 2026_27'!$A$3:$A$493,0)),"")</f>
        <v>11</v>
      </c>
      <c r="O62" s="27" t="n">
        <f aca="false">IFERROR(INDEX('Input Giocatori 2026_27'!$G$3:$G$493,MATCH($A62,'Input Giocatori 2026_27'!$A$3:$A$493,0)),"")</f>
        <v>50</v>
      </c>
      <c r="P62" s="26" t="str">
        <f aca="false">IFERROR(IF($O62="","",IF((1-(COUNTIFS($B$2:$B$492,$B62,$O$2:$O$492,"&gt;"&amp;$O62)+1-1)/COUNTIF($B$2:$B$492,$B62))&gt;=0.85,"Top",IF((1-(COUNTIFS($B$2:$B$492,$B62,$O$2:$O$492,"&gt;"&amp;$O62)+1-1)/COUNTIF($B$2:$B$492,$B62))&gt;=0.6,"Buono",IF((1-(COUNTIFS($B$2:$B$492,$B62,$O$2:$O$492,"&gt;"&amp;$O62)+1-1)/COUNTIF($B$2:$B$492,$B62))&gt;=0.3,"Nella Media","Scommessa/Riserva")))),"")</f>
        <v>Buono</v>
      </c>
      <c r="Q62" s="29" t="n">
        <f aca="false">IF($D62="",COUNTIF($D$2:$D62,""),"")</f>
        <v>61</v>
      </c>
      <c r="R62" s="29" t="str">
        <f aca="false">IF($D62='Info Lega'!$B$28,COUNTIFS($D$2:$D62,'Info Lega'!$B$28),"")</f>
        <v/>
      </c>
      <c r="S62" s="30" t="n">
        <f aca="false">IFERROR(INDEX('Input Statistiche 2025_26'!$G$3:$G$665,MATCH($A62,'Input Statistiche 2025_26'!$A$3:$A$665,0)),"")</f>
        <v>6</v>
      </c>
      <c r="T62" s="30" t="n">
        <f aca="false">IFERROR(INDEX('Input Statistiche 2025_26'!$H$3:$H$665,MATCH($A62,'Input Statistiche 2025_26'!$A$3:$A$665,0)),"")</f>
        <v>6.38</v>
      </c>
      <c r="U62" s="26" t="str">
        <f aca="false">IF(OR('La Mia Rosa'!$O$12="",$D62&lt;&gt;""),"",IF($F62&lt;='La Mia Rosa'!$O$12*'Parametri Modello'!$B$24,"OK",IF($F62&lt;='La Mia Rosa'!$O$12*'Parametri Modello'!$B$25,"Attenzione","Rischio Alto")))</f>
        <v>OK</v>
      </c>
      <c r="V62" s="26" t="n">
        <f aca="false">IFERROR(COUNTIFS($B$2:$B$492,$B62,$O$2:$O$492,"&gt;"&amp;$O62)+1,"")</f>
        <v>30</v>
      </c>
      <c r="W62" s="21" t="n">
        <f aca="false">'Info Lega'!$B$4-SUMIFS($M$2:$M$492,$D$2:$D$492,'Info Lega'!$B$28)</f>
        <v>1000</v>
      </c>
      <c r="X62" s="21" t="n">
        <f aca="false">('Info Lega'!$B$5-COUNTIFS($D$2:$D$492,'Info Lega'!$B$28,$B$2:$B$492,"P"))+('Info Lega'!$B$6-COUNTIFS($D$2:$D$492,'Info Lega'!$B$28,$B$2:$B$492,"D"))+('Info Lega'!$B$7-COUNTIFS($D$2:$D$492,'Info Lega'!$B$28,$B$2:$B$492,"C"))+('Info Lega'!$B$8-COUNTIFS($D$2:$D$492,'Info Lega'!$B$28,$B$2:$B$492,"A"))</f>
        <v>25</v>
      </c>
      <c r="Y62" s="21" t="n">
        <f aca="false">X62*'Parametri Modello'!$B$30</f>
        <v>25</v>
      </c>
      <c r="Z62" s="21" t="n">
        <f aca="false">MAX(0,W62-Y62)</f>
        <v>975</v>
      </c>
      <c r="AA62" s="21" t="n">
        <f aca="false">MIN(F62,Z62)</f>
        <v>16</v>
      </c>
      <c r="AB62" s="21"/>
      <c r="AC62" s="21" t="str">
        <f aca="false">IF(AB62="","",IF(AB62&gt;AA62,"PASS",IF(AB62&lt;=AA62*0.85,"BID","ATTENZIONE")))</f>
        <v/>
      </c>
      <c r="AD62" s="31" t="n">
        <f aca="false">IF(I62="","",ROUND(100*(1-EXP(-I62/30)),0))</f>
        <v>41</v>
      </c>
      <c r="AE62" s="7" t="str">
        <f aca="false">IFERROR(INDEX('Stato Asta'!$G$9:$G$12,MATCH($B62,'Stato Asta'!$A$9:$A$12,0)),"")</f>
        <v>🔴 Non aspettare</v>
      </c>
    </row>
    <row r="63" customFormat="false" ht="14.25" hidden="false" customHeight="true" outlineLevel="0" collapsed="false">
      <c r="A63" s="21" t="n">
        <v>2296</v>
      </c>
      <c r="B63" s="21" t="s">
        <v>44</v>
      </c>
      <c r="C63" s="21" t="s">
        <v>195</v>
      </c>
      <c r="E63" s="26" t="str">
        <f aca="false">IF(COUNTIF('Info Strategia'!$D$2:$D$51,$C63)&gt;0,"SI","NO")</f>
        <v>NO</v>
      </c>
      <c r="F63" s="27" t="n">
        <f aca="false">IFERROR(ROUND(($G63+($H63-$G63)*'Info Strategia'!$B$6)*(1+IF($E63="SI",'Parametri Modello'!$B$7*'Info Strategia'!$B$6,0)),0),"")</f>
        <v>34</v>
      </c>
      <c r="G63" s="27" t="n">
        <f aca="false">IFERROR(ROUND(MAX(1,(IF($V63&lt;=INDEX('Parametri Modello'!$C$57:$C$60,MATCH($B63,'Parametri Modello'!$A$57:$A$60,0)),IF(INDEX('Parametri Modello'!$E$57:$E$60,MATCH($B63,'Parametri Modello'!$A$57:$A$60,0))=0,0,($O63/INDEX('Parametri Modello'!$E$57:$E$60,MATCH($B63,'Parametri Modello'!$A$57:$A$60,0)))*(INDEX('Parametri Modello'!$D$57:$D$60,MATCH($B63,'Parametri Modello'!$A$57:$A$60,0))*(INDEX('Parametri Modello'!$B$50:$B$53,MATCH($B63,'Parametri Modello'!$A$50:$A$53,0))*'Parametri Modello'!$B$44))),IF(INDEX('Parametri Modello'!$F$57:$F$60,MATCH($B63,'Parametri Modello'!$A$57:$A$60,0))=0,0,($O63/INDEX('Parametri Modello'!$F$57:$F$60,MATCH($B63,'Parametri Modello'!$A$57:$A$60,0)))*((1-INDEX('Parametri Modello'!$D$57:$D$60,MATCH($B63,'Parametri Modello'!$A$57:$A$60,0)))*(INDEX('Parametri Modello'!$B$50:$B$53,MATCH($B63,'Parametri Modello'!$A$50:$A$53,0))*'Parametri Modello'!$B$44))))*(1+IF(IF($B63="D",'Info Lega'!$B$25,IF($B63="C",'Info Lega'!$B$26,"No"))="Si",'Parametri Modello'!$B$5,0))*(1+MAX(-0.25,MIN(0.25,IF(OR($T63="",$I63="",$I63=0,INDEX('Parametri Modello'!$B$19:$B$22,MATCH($B63,'Parametri Modello'!$A$19:$A$22,0))="",INDEX('Parametri Modello'!$B$19:$B$22,MATCH($B63,'Parametri Modello'!$A$19:$A$22,0))=0),0,(($T63-INDEX('Parametri Modello'!$B$19:$B$22,MATCH($B63,'Parametri Modello'!$A$19:$A$22,0)))/INDEX('Parametri Modello'!$B$19:$B$22,MATCH($B63,'Parametri Modello'!$A$19:$A$22,0)))*'Parametri Modello'!$B$9))))*(1+IF('Parametri Modello'!$B$27="Si",MAX(-'Parametri Modello'!$B$28,MIN('Parametri Modello'!$B$28*1.5,IF(OR(INDEX('Parametri Modello'!$F$32:$F$35,MATCH($B63,'Parametri Modello'!$A$32:$A$35,0))="",INDEX('Parametri Modello'!$F$32:$F$35,MATCH($B63,'Parametri Modello'!$A$32:$A$35,0))=0),0,(1/INDEX('Parametri Modello'!$F$32:$F$35,MATCH($B63,'Parametri Modello'!$A$32:$A$35,0))-1)*'Parametri Modello'!$B$28))),0)))*(1-INDEX('Parametri Modello'!$B$12:$B$15,MATCH($B63,'Parametri Modello'!$A$12:$A$15,0)))),0),"")</f>
        <v>25</v>
      </c>
      <c r="H63" s="27" t="n">
        <f aca="false">IFERROR(ROUND((IF($V63&lt;=INDEX('Parametri Modello'!$C$57:$C$60,MATCH($B63,'Parametri Modello'!$A$57:$A$60,0)),IF(INDEX('Parametri Modello'!$E$57:$E$60,MATCH($B63,'Parametri Modello'!$A$57:$A$60,0))=0,0,($O63/INDEX('Parametri Modello'!$E$57:$E$60,MATCH($B63,'Parametri Modello'!$A$57:$A$60,0)))*(INDEX('Parametri Modello'!$D$57:$D$60,MATCH($B63,'Parametri Modello'!$A$57:$A$60,0))*(INDEX('Parametri Modello'!$B$50:$B$53,MATCH($B63,'Parametri Modello'!$A$50:$A$53,0))*'Parametri Modello'!$B$44))),IF(INDEX('Parametri Modello'!$F$57:$F$60,MATCH($B63,'Parametri Modello'!$A$57:$A$60,0))=0,0,($O63/INDEX('Parametri Modello'!$F$57:$F$60,MATCH($B63,'Parametri Modello'!$A$57:$A$60,0)))*((1-INDEX('Parametri Modello'!$D$57:$D$60,MATCH($B63,'Parametri Modello'!$A$57:$A$60,0)))*(INDEX('Parametri Modello'!$B$50:$B$53,MATCH($B63,'Parametri Modello'!$A$50:$A$53,0))*'Parametri Modello'!$B$44))))*(1+IF(IF($B63="D",'Info Lega'!$B$25,IF($B63="C",'Info Lega'!$B$26,"No"))="Si",'Parametri Modello'!$B$5,0))*(1+MAX(-0.25,MIN(0.25,IF(OR($T63="",$I63="",$I63=0,INDEX('Parametri Modello'!$B$19:$B$22,MATCH($B63,'Parametri Modello'!$A$19:$A$22,0))="",INDEX('Parametri Modello'!$B$19:$B$22,MATCH($B63,'Parametri Modello'!$A$19:$A$22,0))=0),0,(($T63-INDEX('Parametri Modello'!$B$19:$B$22,MATCH($B63,'Parametri Modello'!$A$19:$A$22,0)))/INDEX('Parametri Modello'!$B$19:$B$22,MATCH($B63,'Parametri Modello'!$A$19:$A$22,0)))*'Parametri Modello'!$B$9))))*(1+IF('Parametri Modello'!$B$27="Si",MAX(-'Parametri Modello'!$B$28,MIN('Parametri Modello'!$B$28*1.5,IF(OR(INDEX('Parametri Modello'!$F$32:$F$35,MATCH($B63,'Parametri Modello'!$A$32:$A$35,0))="",INDEX('Parametri Modello'!$F$32:$F$35,MATCH($B63,'Parametri Modello'!$A$32:$A$35,0))=0),0,(1/INDEX('Parametri Modello'!$F$32:$F$35,MATCH($B63,'Parametri Modello'!$A$32:$A$35,0))-1)*'Parametri Modello'!$B$28))),0)))*(1+INDEX('Parametri Modello'!$B$12:$B$15,MATCH($B63,'Parametri Modello'!$A$12:$A$15,0))),0),"")</f>
        <v>38</v>
      </c>
      <c r="I63" s="26" t="n">
        <f aca="false">IFERROR(INDEX('Input Statistiche 2025_26'!$F$3:$F$665,MATCH($A63,'Input Statistiche 2025_26'!$A$3:$A$665,0)),"")</f>
        <v>36</v>
      </c>
      <c r="J63" s="26" t="n">
        <f aca="false">IFERROR(IF($I63="","",MAX(0,38-$I63)),"")</f>
        <v>2</v>
      </c>
      <c r="K63" s="26" t="n">
        <f aca="false">IFERROR(INDEX('Input Statistiche 2025_26'!$I$3:$I$665,MATCH($A63,'Input Statistiche 2025_26'!$A$3:$A$665,0)),"")</f>
        <v>4</v>
      </c>
      <c r="L63" s="26" t="n">
        <f aca="false">IFERROR(INDEX('Input Statistiche 2025_26'!$O$3:$O$665,MATCH($A63,'Input Statistiche 2025_26'!$A$3:$A$665,0)),"")</f>
        <v>2</v>
      </c>
      <c r="M63" s="28"/>
      <c r="N63" s="27" t="n">
        <f aca="false">IFERROR(INDEX('Input Giocatori 2026_27'!$E$3:$E$493,MATCH($A63,'Input Giocatori 2026_27'!$A$3:$A$493,0)),"")</f>
        <v>15</v>
      </c>
      <c r="O63" s="27" t="n">
        <f aca="false">IFERROR(INDEX('Input Giocatori 2026_27'!$G$3:$G$493,MATCH($A63,'Input Giocatori 2026_27'!$A$3:$A$493,0)),"")</f>
        <v>49</v>
      </c>
      <c r="P63" s="26" t="str">
        <f aca="false">IFERROR(IF($O63="","",IF((1-(COUNTIFS($B$2:$B$492,$B63,$O$2:$O$492,"&gt;"&amp;$O63)+1-1)/COUNTIF($B$2:$B$492,$B63))&gt;=0.85,"Top",IF((1-(COUNTIFS($B$2:$B$492,$B63,$O$2:$O$492,"&gt;"&amp;$O63)+1-1)/COUNTIF($B$2:$B$492,$B63))&gt;=0.6,"Buono",IF((1-(COUNTIFS($B$2:$B$492,$B63,$O$2:$O$492,"&gt;"&amp;$O63)+1-1)/COUNTIF($B$2:$B$492,$B63))&gt;=0.3,"Nella Media","Scommessa/Riserva")))),"")</f>
        <v>Top</v>
      </c>
      <c r="Q63" s="29" t="n">
        <f aca="false">IF($D63="",COUNTIF($D$2:$D63,""),"")</f>
        <v>62</v>
      </c>
      <c r="R63" s="29" t="str">
        <f aca="false">IF($D63='Info Lega'!$B$28,COUNTIFS($D$2:$D63,'Info Lega'!$B$28),"")</f>
        <v/>
      </c>
      <c r="S63" s="30" t="n">
        <f aca="false">IFERROR(INDEX('Input Statistiche 2025_26'!$G$3:$G$665,MATCH($A63,'Input Statistiche 2025_26'!$A$3:$A$665,0)),"")</f>
        <v>6.25</v>
      </c>
      <c r="T63" s="30" t="n">
        <f aca="false">IFERROR(INDEX('Input Statistiche 2025_26'!$H$3:$H$665,MATCH($A63,'Input Statistiche 2025_26'!$A$3:$A$665,0)),"")</f>
        <v>6.51</v>
      </c>
      <c r="U63" s="26" t="str">
        <f aca="false">IF(OR('La Mia Rosa'!$O$12="",$D63&lt;&gt;""),"",IF($F63&lt;='La Mia Rosa'!$O$12*'Parametri Modello'!$B$24,"OK",IF($F63&lt;='La Mia Rosa'!$O$12*'Parametri Modello'!$B$25,"Attenzione","Rischio Alto")))</f>
        <v>OK</v>
      </c>
      <c r="V63" s="26" t="n">
        <f aca="false">IFERROR(COUNTIFS($B$2:$B$492,$B63,$O$2:$O$492,"&gt;"&amp;$O63)+1,"")</f>
        <v>5</v>
      </c>
      <c r="W63" s="21" t="n">
        <f aca="false">'Info Lega'!$B$4-SUMIFS($M$2:$M$492,$D$2:$D$492,'Info Lega'!$B$28)</f>
        <v>1000</v>
      </c>
      <c r="X63" s="21" t="n">
        <f aca="false">('Info Lega'!$B$5-COUNTIFS($D$2:$D$492,'Info Lega'!$B$28,$B$2:$B$492,"P"))+('Info Lega'!$B$6-COUNTIFS($D$2:$D$492,'Info Lega'!$B$28,$B$2:$B$492,"D"))+('Info Lega'!$B$7-COUNTIFS($D$2:$D$492,'Info Lega'!$B$28,$B$2:$B$492,"C"))+('Info Lega'!$B$8-COUNTIFS($D$2:$D$492,'Info Lega'!$B$28,$B$2:$B$492,"A"))</f>
        <v>25</v>
      </c>
      <c r="Y63" s="21" t="n">
        <f aca="false">X63*'Parametri Modello'!$B$30</f>
        <v>25</v>
      </c>
      <c r="Z63" s="21" t="n">
        <f aca="false">MAX(0,W63-Y63)</f>
        <v>975</v>
      </c>
      <c r="AA63" s="21" t="n">
        <f aca="false">MIN(F63,Z63)</f>
        <v>34</v>
      </c>
      <c r="AB63" s="21"/>
      <c r="AC63" s="21" t="str">
        <f aca="false">IF(AB63="","",IF(AB63&gt;AA63,"PASS",IF(AB63&lt;=AA63*0.85,"BID","ATTENZIONE")))</f>
        <v/>
      </c>
      <c r="AD63" s="31" t="n">
        <f aca="false">IF(I63="","",ROUND(100*(1-EXP(-I63/30)),0))</f>
        <v>70</v>
      </c>
      <c r="AE63" s="7" t="str">
        <f aca="false">IFERROR(INDEX('Stato Asta'!$G$9:$G$12,MATCH($B63,'Stato Asta'!$A$9:$A$12,0)),"")</f>
        <v>🟡 Attesa rischiosa</v>
      </c>
    </row>
    <row r="64" customFormat="false" ht="14.25" hidden="false" customHeight="true" outlineLevel="0" collapsed="false">
      <c r="A64" s="21" t="n">
        <v>5022</v>
      </c>
      <c r="B64" s="21" t="s">
        <v>44</v>
      </c>
      <c r="C64" s="21" t="s">
        <v>197</v>
      </c>
      <c r="E64" s="26" t="str">
        <f aca="false">IF(COUNTIF('Info Strategia'!$D$2:$D$51,$C64)&gt;0,"SI","NO")</f>
        <v>NO</v>
      </c>
      <c r="F64" s="27" t="n">
        <f aca="false">IFERROR(ROUND(($G64+($H64-$G64)*'Info Strategia'!$B$6)*(1+IF($E64="SI",'Parametri Modello'!$B$7*'Info Strategia'!$B$6,0)),0),"")</f>
        <v>33</v>
      </c>
      <c r="G64" s="27" t="n">
        <f aca="false">IFERROR(ROUND(MAX(1,(IF($V64&lt;=INDEX('Parametri Modello'!$C$57:$C$60,MATCH($B64,'Parametri Modello'!$A$57:$A$60,0)),IF(INDEX('Parametri Modello'!$E$57:$E$60,MATCH($B64,'Parametri Modello'!$A$57:$A$60,0))=0,0,($O64/INDEX('Parametri Modello'!$E$57:$E$60,MATCH($B64,'Parametri Modello'!$A$57:$A$60,0)))*(INDEX('Parametri Modello'!$D$57:$D$60,MATCH($B64,'Parametri Modello'!$A$57:$A$60,0))*(INDEX('Parametri Modello'!$B$50:$B$53,MATCH($B64,'Parametri Modello'!$A$50:$A$53,0))*'Parametri Modello'!$B$44))),IF(INDEX('Parametri Modello'!$F$57:$F$60,MATCH($B64,'Parametri Modello'!$A$57:$A$60,0))=0,0,($O64/INDEX('Parametri Modello'!$F$57:$F$60,MATCH($B64,'Parametri Modello'!$A$57:$A$60,0)))*((1-INDEX('Parametri Modello'!$D$57:$D$60,MATCH($B64,'Parametri Modello'!$A$57:$A$60,0)))*(INDEX('Parametri Modello'!$B$50:$B$53,MATCH($B64,'Parametri Modello'!$A$50:$A$53,0))*'Parametri Modello'!$B$44))))*(1+IF(IF($B64="D",'Info Lega'!$B$25,IF($B64="C",'Info Lega'!$B$26,"No"))="Si",'Parametri Modello'!$B$5,0))*(1+MAX(-0.25,MIN(0.25,IF(OR($T64="",$I64="",$I64=0,INDEX('Parametri Modello'!$B$19:$B$22,MATCH($B64,'Parametri Modello'!$A$19:$A$22,0))="",INDEX('Parametri Modello'!$B$19:$B$22,MATCH($B64,'Parametri Modello'!$A$19:$A$22,0))=0),0,(($T64-INDEX('Parametri Modello'!$B$19:$B$22,MATCH($B64,'Parametri Modello'!$A$19:$A$22,0)))/INDEX('Parametri Modello'!$B$19:$B$22,MATCH($B64,'Parametri Modello'!$A$19:$A$22,0)))*'Parametri Modello'!$B$9))))*(1+IF('Parametri Modello'!$B$27="Si",MAX(-'Parametri Modello'!$B$28,MIN('Parametri Modello'!$B$28*1.5,IF(OR(INDEX('Parametri Modello'!$F$32:$F$35,MATCH($B64,'Parametri Modello'!$A$32:$A$35,0))="",INDEX('Parametri Modello'!$F$32:$F$35,MATCH($B64,'Parametri Modello'!$A$32:$A$35,0))=0),0,(1/INDEX('Parametri Modello'!$F$32:$F$35,MATCH($B64,'Parametri Modello'!$A$32:$A$35,0))-1)*'Parametri Modello'!$B$28))),0)))*(1-INDEX('Parametri Modello'!$B$12:$B$15,MATCH($B64,'Parametri Modello'!$A$12:$A$15,0)))),0),"")</f>
        <v>25</v>
      </c>
      <c r="H64" s="27" t="n">
        <f aca="false">IFERROR(ROUND((IF($V64&lt;=INDEX('Parametri Modello'!$C$57:$C$60,MATCH($B64,'Parametri Modello'!$A$57:$A$60,0)),IF(INDEX('Parametri Modello'!$E$57:$E$60,MATCH($B64,'Parametri Modello'!$A$57:$A$60,0))=0,0,($O64/INDEX('Parametri Modello'!$E$57:$E$60,MATCH($B64,'Parametri Modello'!$A$57:$A$60,0)))*(INDEX('Parametri Modello'!$D$57:$D$60,MATCH($B64,'Parametri Modello'!$A$57:$A$60,0))*(INDEX('Parametri Modello'!$B$50:$B$53,MATCH($B64,'Parametri Modello'!$A$50:$A$53,0))*'Parametri Modello'!$B$44))),IF(INDEX('Parametri Modello'!$F$57:$F$60,MATCH($B64,'Parametri Modello'!$A$57:$A$60,0))=0,0,($O64/INDEX('Parametri Modello'!$F$57:$F$60,MATCH($B64,'Parametri Modello'!$A$57:$A$60,0)))*((1-INDEX('Parametri Modello'!$D$57:$D$60,MATCH($B64,'Parametri Modello'!$A$57:$A$60,0)))*(INDEX('Parametri Modello'!$B$50:$B$53,MATCH($B64,'Parametri Modello'!$A$50:$A$53,0))*'Parametri Modello'!$B$44))))*(1+IF(IF($B64="D",'Info Lega'!$B$25,IF($B64="C",'Info Lega'!$B$26,"No"))="Si",'Parametri Modello'!$B$5,0))*(1+MAX(-0.25,MIN(0.25,IF(OR($T64="",$I64="",$I64=0,INDEX('Parametri Modello'!$B$19:$B$22,MATCH($B64,'Parametri Modello'!$A$19:$A$22,0))="",INDEX('Parametri Modello'!$B$19:$B$22,MATCH($B64,'Parametri Modello'!$A$19:$A$22,0))=0),0,(($T64-INDEX('Parametri Modello'!$B$19:$B$22,MATCH($B64,'Parametri Modello'!$A$19:$A$22,0)))/INDEX('Parametri Modello'!$B$19:$B$22,MATCH($B64,'Parametri Modello'!$A$19:$A$22,0)))*'Parametri Modello'!$B$9))))*(1+IF('Parametri Modello'!$B$27="Si",MAX(-'Parametri Modello'!$B$28,MIN('Parametri Modello'!$B$28*1.5,IF(OR(INDEX('Parametri Modello'!$F$32:$F$35,MATCH($B64,'Parametri Modello'!$A$32:$A$35,0))="",INDEX('Parametri Modello'!$F$32:$F$35,MATCH($B64,'Parametri Modello'!$A$32:$A$35,0))=0),0,(1/INDEX('Parametri Modello'!$F$32:$F$35,MATCH($B64,'Parametri Modello'!$A$32:$A$35,0))-1)*'Parametri Modello'!$B$28))),0)))*(1+INDEX('Parametri Modello'!$B$12:$B$15,MATCH($B64,'Parametri Modello'!$A$12:$A$15,0))),0),"")</f>
        <v>37</v>
      </c>
      <c r="I64" s="26" t="n">
        <f aca="false">IFERROR(INDEX('Input Statistiche 2025_26'!$F$3:$F$665,MATCH($A64,'Input Statistiche 2025_26'!$A$3:$A$665,0)),"")</f>
        <v>34</v>
      </c>
      <c r="J64" s="26" t="n">
        <f aca="false">IFERROR(IF($I64="","",MAX(0,38-$I64)),"")</f>
        <v>4</v>
      </c>
      <c r="K64" s="26" t="n">
        <f aca="false">IFERROR(INDEX('Input Statistiche 2025_26'!$I$3:$I$665,MATCH($A64,'Input Statistiche 2025_26'!$A$3:$A$665,0)),"")</f>
        <v>5</v>
      </c>
      <c r="L64" s="26" t="n">
        <f aca="false">IFERROR(INDEX('Input Statistiche 2025_26'!$O$3:$O$665,MATCH($A64,'Input Statistiche 2025_26'!$A$3:$A$665,0)),"")</f>
        <v>0</v>
      </c>
      <c r="M64" s="28"/>
      <c r="N64" s="27" t="n">
        <f aca="false">IFERROR(INDEX('Input Giocatori 2026_27'!$E$3:$E$493,MATCH($A64,'Input Giocatori 2026_27'!$A$3:$A$493,0)),"")</f>
        <v>14</v>
      </c>
      <c r="O64" s="27" t="n">
        <f aca="false">IFERROR(INDEX('Input Giocatori 2026_27'!$G$3:$G$493,MATCH($A64,'Input Giocatori 2026_27'!$A$3:$A$493,0)),"")</f>
        <v>48</v>
      </c>
      <c r="P64" s="26" t="str">
        <f aca="false">IFERROR(IF($O64="","",IF((1-(COUNTIFS($B$2:$B$492,$B64,$O$2:$O$492,"&gt;"&amp;$O64)+1-1)/COUNTIF($B$2:$B$492,$B64))&gt;=0.85,"Top",IF((1-(COUNTIFS($B$2:$B$492,$B64,$O$2:$O$492,"&gt;"&amp;$O64)+1-1)/COUNTIF($B$2:$B$492,$B64))&gt;=0.6,"Buono",IF((1-(COUNTIFS($B$2:$B$492,$B64,$O$2:$O$492,"&gt;"&amp;$O64)+1-1)/COUNTIF($B$2:$B$492,$B64))&gt;=0.3,"Nella Media","Scommessa/Riserva")))),"")</f>
        <v>Top</v>
      </c>
      <c r="Q64" s="29" t="n">
        <f aca="false">IF($D64="",COUNTIF($D$2:$D64,""),"")</f>
        <v>63</v>
      </c>
      <c r="R64" s="29" t="str">
        <f aca="false">IF($D64='Info Lega'!$B$28,COUNTIFS($D$2:$D64,'Info Lega'!$B$28),"")</f>
        <v/>
      </c>
      <c r="S64" s="30" t="n">
        <f aca="false">IFERROR(INDEX('Input Statistiche 2025_26'!$G$3:$G$665,MATCH($A64,'Input Statistiche 2025_26'!$A$3:$A$665,0)),"")</f>
        <v>6.24</v>
      </c>
      <c r="T64" s="30" t="n">
        <f aca="false">IFERROR(INDEX('Input Statistiche 2025_26'!$H$3:$H$665,MATCH($A64,'Input Statistiche 2025_26'!$A$3:$A$665,0)),"")</f>
        <v>6.62</v>
      </c>
      <c r="U64" s="26" t="str">
        <f aca="false">IF(OR('La Mia Rosa'!$O$12="",$D64&lt;&gt;""),"",IF($F64&lt;='La Mia Rosa'!$O$12*'Parametri Modello'!$B$24,"OK",IF($F64&lt;='La Mia Rosa'!$O$12*'Parametri Modello'!$B$25,"Attenzione","Rischio Alto")))</f>
        <v>OK</v>
      </c>
      <c r="V64" s="26" t="n">
        <f aca="false">IFERROR(COUNTIFS($B$2:$B$492,$B64,$O$2:$O$492,"&gt;"&amp;$O64)+1,"")</f>
        <v>6</v>
      </c>
      <c r="W64" s="21" t="n">
        <f aca="false">'Info Lega'!$B$4-SUMIFS($M$2:$M$492,$D$2:$D$492,'Info Lega'!$B$28)</f>
        <v>1000</v>
      </c>
      <c r="X64" s="21" t="n">
        <f aca="false">('Info Lega'!$B$5-COUNTIFS($D$2:$D$492,'Info Lega'!$B$28,$B$2:$B$492,"P"))+('Info Lega'!$B$6-COUNTIFS($D$2:$D$492,'Info Lega'!$B$28,$B$2:$B$492,"D"))+('Info Lega'!$B$7-COUNTIFS($D$2:$D$492,'Info Lega'!$B$28,$B$2:$B$492,"C"))+('Info Lega'!$B$8-COUNTIFS($D$2:$D$492,'Info Lega'!$B$28,$B$2:$B$492,"A"))</f>
        <v>25</v>
      </c>
      <c r="Y64" s="21" t="n">
        <f aca="false">X64*'Parametri Modello'!$B$30</f>
        <v>25</v>
      </c>
      <c r="Z64" s="21" t="n">
        <f aca="false">MAX(0,W64-Y64)</f>
        <v>975</v>
      </c>
      <c r="AA64" s="21" t="n">
        <f aca="false">MIN(F64,Z64)</f>
        <v>33</v>
      </c>
      <c r="AB64" s="21"/>
      <c r="AC64" s="21" t="str">
        <f aca="false">IF(AB64="","",IF(AB64&gt;AA64,"PASS",IF(AB64&lt;=AA64*0.85,"BID","ATTENZIONE")))</f>
        <v/>
      </c>
      <c r="AD64" s="31" t="n">
        <f aca="false">IF(I64="","",ROUND(100*(1-EXP(-I64/30)),0))</f>
        <v>68</v>
      </c>
      <c r="AE64" s="7" t="str">
        <f aca="false">IFERROR(INDEX('Stato Asta'!$G$9:$G$12,MATCH($B64,'Stato Asta'!$A$9:$A$12,0)),"")</f>
        <v>🟡 Attesa rischiosa</v>
      </c>
    </row>
    <row r="65" customFormat="false" ht="14.25" hidden="false" customHeight="true" outlineLevel="0" collapsed="false">
      <c r="A65" s="21" t="n">
        <v>4409</v>
      </c>
      <c r="B65" s="21" t="s">
        <v>44</v>
      </c>
      <c r="C65" s="21" t="s">
        <v>198</v>
      </c>
      <c r="E65" s="26" t="str">
        <f aca="false">IF(COUNTIF('Info Strategia'!$D$2:$D$51,$C65)&gt;0,"SI","NO")</f>
        <v>NO</v>
      </c>
      <c r="F65" s="27" t="n">
        <f aca="false">IFERROR(ROUND(($G65+($H65-$G65)*'Info Strategia'!$B$6)*(1+IF($E65="SI",'Parametri Modello'!$B$7*'Info Strategia'!$B$6,0)),0),"")</f>
        <v>32</v>
      </c>
      <c r="G65" s="27" t="n">
        <f aca="false">IFERROR(ROUND(MAX(1,(IF($V65&lt;=INDEX('Parametri Modello'!$C$57:$C$60,MATCH($B65,'Parametri Modello'!$A$57:$A$60,0)),IF(INDEX('Parametri Modello'!$E$57:$E$60,MATCH($B65,'Parametri Modello'!$A$57:$A$60,0))=0,0,($O65/INDEX('Parametri Modello'!$E$57:$E$60,MATCH($B65,'Parametri Modello'!$A$57:$A$60,0)))*(INDEX('Parametri Modello'!$D$57:$D$60,MATCH($B65,'Parametri Modello'!$A$57:$A$60,0))*(INDEX('Parametri Modello'!$B$50:$B$53,MATCH($B65,'Parametri Modello'!$A$50:$A$53,0))*'Parametri Modello'!$B$44))),IF(INDEX('Parametri Modello'!$F$57:$F$60,MATCH($B65,'Parametri Modello'!$A$57:$A$60,0))=0,0,($O65/INDEX('Parametri Modello'!$F$57:$F$60,MATCH($B65,'Parametri Modello'!$A$57:$A$60,0)))*((1-INDEX('Parametri Modello'!$D$57:$D$60,MATCH($B65,'Parametri Modello'!$A$57:$A$60,0)))*(INDEX('Parametri Modello'!$B$50:$B$53,MATCH($B65,'Parametri Modello'!$A$50:$A$53,0))*'Parametri Modello'!$B$44))))*(1+IF(IF($B65="D",'Info Lega'!$B$25,IF($B65="C",'Info Lega'!$B$26,"No"))="Si",'Parametri Modello'!$B$5,0))*(1+MAX(-0.25,MIN(0.25,IF(OR($T65="",$I65="",$I65=0,INDEX('Parametri Modello'!$B$19:$B$22,MATCH($B65,'Parametri Modello'!$A$19:$A$22,0))="",INDEX('Parametri Modello'!$B$19:$B$22,MATCH($B65,'Parametri Modello'!$A$19:$A$22,0))=0),0,(($T65-INDEX('Parametri Modello'!$B$19:$B$22,MATCH($B65,'Parametri Modello'!$A$19:$A$22,0)))/INDEX('Parametri Modello'!$B$19:$B$22,MATCH($B65,'Parametri Modello'!$A$19:$A$22,0)))*'Parametri Modello'!$B$9))))*(1+IF('Parametri Modello'!$B$27="Si",MAX(-'Parametri Modello'!$B$28,MIN('Parametri Modello'!$B$28*1.5,IF(OR(INDEX('Parametri Modello'!$F$32:$F$35,MATCH($B65,'Parametri Modello'!$A$32:$A$35,0))="",INDEX('Parametri Modello'!$F$32:$F$35,MATCH($B65,'Parametri Modello'!$A$32:$A$35,0))=0),0,(1/INDEX('Parametri Modello'!$F$32:$F$35,MATCH($B65,'Parametri Modello'!$A$32:$A$35,0))-1)*'Parametri Modello'!$B$28))),0)))*(1-INDEX('Parametri Modello'!$B$12:$B$15,MATCH($B65,'Parametri Modello'!$A$12:$A$15,0)))),0),"")</f>
        <v>24</v>
      </c>
      <c r="H65" s="27" t="n">
        <f aca="false">IFERROR(ROUND((IF($V65&lt;=INDEX('Parametri Modello'!$C$57:$C$60,MATCH($B65,'Parametri Modello'!$A$57:$A$60,0)),IF(INDEX('Parametri Modello'!$E$57:$E$60,MATCH($B65,'Parametri Modello'!$A$57:$A$60,0))=0,0,($O65/INDEX('Parametri Modello'!$E$57:$E$60,MATCH($B65,'Parametri Modello'!$A$57:$A$60,0)))*(INDEX('Parametri Modello'!$D$57:$D$60,MATCH($B65,'Parametri Modello'!$A$57:$A$60,0))*(INDEX('Parametri Modello'!$B$50:$B$53,MATCH($B65,'Parametri Modello'!$A$50:$A$53,0))*'Parametri Modello'!$B$44))),IF(INDEX('Parametri Modello'!$F$57:$F$60,MATCH($B65,'Parametri Modello'!$A$57:$A$60,0))=0,0,($O65/INDEX('Parametri Modello'!$F$57:$F$60,MATCH($B65,'Parametri Modello'!$A$57:$A$60,0)))*((1-INDEX('Parametri Modello'!$D$57:$D$60,MATCH($B65,'Parametri Modello'!$A$57:$A$60,0)))*(INDEX('Parametri Modello'!$B$50:$B$53,MATCH($B65,'Parametri Modello'!$A$50:$A$53,0))*'Parametri Modello'!$B$44))))*(1+IF(IF($B65="D",'Info Lega'!$B$25,IF($B65="C",'Info Lega'!$B$26,"No"))="Si",'Parametri Modello'!$B$5,0))*(1+MAX(-0.25,MIN(0.25,IF(OR($T65="",$I65="",$I65=0,INDEX('Parametri Modello'!$B$19:$B$22,MATCH($B65,'Parametri Modello'!$A$19:$A$22,0))="",INDEX('Parametri Modello'!$B$19:$B$22,MATCH($B65,'Parametri Modello'!$A$19:$A$22,0))=0),0,(($T65-INDEX('Parametri Modello'!$B$19:$B$22,MATCH($B65,'Parametri Modello'!$A$19:$A$22,0)))/INDEX('Parametri Modello'!$B$19:$B$22,MATCH($B65,'Parametri Modello'!$A$19:$A$22,0)))*'Parametri Modello'!$B$9))))*(1+IF('Parametri Modello'!$B$27="Si",MAX(-'Parametri Modello'!$B$28,MIN('Parametri Modello'!$B$28*1.5,IF(OR(INDEX('Parametri Modello'!$F$32:$F$35,MATCH($B65,'Parametri Modello'!$A$32:$A$35,0))="",INDEX('Parametri Modello'!$F$32:$F$35,MATCH($B65,'Parametri Modello'!$A$32:$A$35,0))=0),0,(1/INDEX('Parametri Modello'!$F$32:$F$35,MATCH($B65,'Parametri Modello'!$A$32:$A$35,0))-1)*'Parametri Modello'!$B$28))),0)))*(1+INDEX('Parametri Modello'!$B$12:$B$15,MATCH($B65,'Parametri Modello'!$A$12:$A$15,0))),0),"")</f>
        <v>36</v>
      </c>
      <c r="I65" s="26" t="n">
        <f aca="false">IFERROR(INDEX('Input Statistiche 2025_26'!$F$3:$F$665,MATCH($A65,'Input Statistiche 2025_26'!$A$3:$A$665,0)),"")</f>
        <v>21</v>
      </c>
      <c r="J65" s="26" t="n">
        <f aca="false">IFERROR(IF($I65="","",MAX(0,38-$I65)),"")</f>
        <v>17</v>
      </c>
      <c r="K65" s="26" t="n">
        <f aca="false">IFERROR(INDEX('Input Statistiche 2025_26'!$I$3:$I$665,MATCH($A65,'Input Statistiche 2025_26'!$A$3:$A$665,0)),"")</f>
        <v>2</v>
      </c>
      <c r="L65" s="26" t="n">
        <f aca="false">IFERROR(INDEX('Input Statistiche 2025_26'!$O$3:$O$665,MATCH($A65,'Input Statistiche 2025_26'!$A$3:$A$665,0)),"")</f>
        <v>0</v>
      </c>
      <c r="M65" s="28"/>
      <c r="N65" s="27" t="n">
        <f aca="false">IFERROR(INDEX('Input Giocatori 2026_27'!$E$3:$E$493,MATCH($A65,'Input Giocatori 2026_27'!$A$3:$A$493,0)),"")</f>
        <v>14</v>
      </c>
      <c r="O65" s="27" t="n">
        <f aca="false">IFERROR(INDEX('Input Giocatori 2026_27'!$G$3:$G$493,MATCH($A65,'Input Giocatori 2026_27'!$A$3:$A$493,0)),"")</f>
        <v>47</v>
      </c>
      <c r="P65" s="26" t="str">
        <f aca="false">IFERROR(IF($O65="","",IF((1-(COUNTIFS($B$2:$B$492,$B65,$O$2:$O$492,"&gt;"&amp;$O65)+1-1)/COUNTIF($B$2:$B$492,$B65))&gt;=0.85,"Top",IF((1-(COUNTIFS($B$2:$B$492,$B65,$O$2:$O$492,"&gt;"&amp;$O65)+1-1)/COUNTIF($B$2:$B$492,$B65))&gt;=0.6,"Buono",IF((1-(COUNTIFS($B$2:$B$492,$B65,$O$2:$O$492,"&gt;"&amp;$O65)+1-1)/COUNTIF($B$2:$B$492,$B65))&gt;=0.3,"Nella Media","Scommessa/Riserva")))),"")</f>
        <v>Top</v>
      </c>
      <c r="Q65" s="29" t="n">
        <f aca="false">IF($D65="",COUNTIF($D$2:$D65,""),"")</f>
        <v>64</v>
      </c>
      <c r="R65" s="29" t="str">
        <f aca="false">IF($D65='Info Lega'!$B$28,COUNTIFS($D$2:$D65,'Info Lega'!$B$28),"")</f>
        <v/>
      </c>
      <c r="S65" s="30" t="n">
        <f aca="false">IFERROR(INDEX('Input Statistiche 2025_26'!$G$3:$G$665,MATCH($A65,'Input Statistiche 2025_26'!$A$3:$A$665,0)),"")</f>
        <v>6.24</v>
      </c>
      <c r="T65" s="30" t="n">
        <f aca="false">IFERROR(INDEX('Input Statistiche 2025_26'!$H$3:$H$665,MATCH($A65,'Input Statistiche 2025_26'!$A$3:$A$665,0)),"")</f>
        <v>6.45</v>
      </c>
      <c r="U65" s="26" t="str">
        <f aca="false">IF(OR('La Mia Rosa'!$O$12="",$D65&lt;&gt;""),"",IF($F65&lt;='La Mia Rosa'!$O$12*'Parametri Modello'!$B$24,"OK",IF($F65&lt;='La Mia Rosa'!$O$12*'Parametri Modello'!$B$25,"Attenzione","Rischio Alto")))</f>
        <v>OK</v>
      </c>
      <c r="V65" s="26" t="n">
        <f aca="false">IFERROR(COUNTIFS($B$2:$B$492,$B65,$O$2:$O$492,"&gt;"&amp;$O65)+1,"")</f>
        <v>7</v>
      </c>
      <c r="W65" s="21" t="n">
        <f aca="false">'Info Lega'!$B$4-SUMIFS($M$2:$M$492,$D$2:$D$492,'Info Lega'!$B$28)</f>
        <v>1000</v>
      </c>
      <c r="X65" s="21" t="n">
        <f aca="false">('Info Lega'!$B$5-COUNTIFS($D$2:$D$492,'Info Lega'!$B$28,$B$2:$B$492,"P"))+('Info Lega'!$B$6-COUNTIFS($D$2:$D$492,'Info Lega'!$B$28,$B$2:$B$492,"D"))+('Info Lega'!$B$7-COUNTIFS($D$2:$D$492,'Info Lega'!$B$28,$B$2:$B$492,"C"))+('Info Lega'!$B$8-COUNTIFS($D$2:$D$492,'Info Lega'!$B$28,$B$2:$B$492,"A"))</f>
        <v>25</v>
      </c>
      <c r="Y65" s="21" t="n">
        <f aca="false">X65*'Parametri Modello'!$B$30</f>
        <v>25</v>
      </c>
      <c r="Z65" s="21" t="n">
        <f aca="false">MAX(0,W65-Y65)</f>
        <v>975</v>
      </c>
      <c r="AA65" s="21" t="n">
        <f aca="false">MIN(F65,Z65)</f>
        <v>32</v>
      </c>
      <c r="AB65" s="21"/>
      <c r="AC65" s="21" t="str">
        <f aca="false">IF(AB65="","",IF(AB65&gt;AA65,"PASS",IF(AB65&lt;=AA65*0.85,"BID","ATTENZIONE")))</f>
        <v/>
      </c>
      <c r="AD65" s="31" t="n">
        <f aca="false">IF(I65="","",ROUND(100*(1-EXP(-I65/30)),0))</f>
        <v>50</v>
      </c>
      <c r="AE65" s="7" t="str">
        <f aca="false">IFERROR(INDEX('Stato Asta'!$G$9:$G$12,MATCH($B65,'Stato Asta'!$A$9:$A$12,0)),"")</f>
        <v>🟡 Attesa rischiosa</v>
      </c>
    </row>
    <row r="66" customFormat="false" ht="14.25" hidden="false" customHeight="true" outlineLevel="0" collapsed="false">
      <c r="A66" s="21" t="n">
        <v>536</v>
      </c>
      <c r="B66" s="21" t="s">
        <v>45</v>
      </c>
      <c r="C66" s="21" t="s">
        <v>396</v>
      </c>
      <c r="E66" s="26" t="str">
        <f aca="false">IF(COUNTIF('Info Strategia'!$D$2:$D$51,$C66)&gt;0,"SI","NO")</f>
        <v>NO</v>
      </c>
      <c r="F66" s="27" t="n">
        <f aca="false">IFERROR(ROUND(($G66+($H66-$G66)*'Info Strategia'!$B$6)*(1+IF($E66="SI",'Parametri Modello'!$B$7*'Info Strategia'!$B$6,0)),0),"")</f>
        <v>31</v>
      </c>
      <c r="G66" s="27" t="n">
        <f aca="false">IFERROR(ROUND(MAX(1,(IF($V66&lt;=INDEX('Parametri Modello'!$C$57:$C$60,MATCH($B66,'Parametri Modello'!$A$57:$A$60,0)),IF(INDEX('Parametri Modello'!$E$57:$E$60,MATCH($B66,'Parametri Modello'!$A$57:$A$60,0))=0,0,($O66/INDEX('Parametri Modello'!$E$57:$E$60,MATCH($B66,'Parametri Modello'!$A$57:$A$60,0)))*(INDEX('Parametri Modello'!$D$57:$D$60,MATCH($B66,'Parametri Modello'!$A$57:$A$60,0))*(INDEX('Parametri Modello'!$B$50:$B$53,MATCH($B66,'Parametri Modello'!$A$50:$A$53,0))*'Parametri Modello'!$B$44))),IF(INDEX('Parametri Modello'!$F$57:$F$60,MATCH($B66,'Parametri Modello'!$A$57:$A$60,0))=0,0,($O66/INDEX('Parametri Modello'!$F$57:$F$60,MATCH($B66,'Parametri Modello'!$A$57:$A$60,0)))*((1-INDEX('Parametri Modello'!$D$57:$D$60,MATCH($B66,'Parametri Modello'!$A$57:$A$60,0)))*(INDEX('Parametri Modello'!$B$50:$B$53,MATCH($B66,'Parametri Modello'!$A$50:$A$53,0))*'Parametri Modello'!$B$44))))*(1+IF(IF($B66="D",'Info Lega'!$B$25,IF($B66="C",'Info Lega'!$B$26,"No"))="Si",'Parametri Modello'!$B$5,0))*(1+MAX(-0.25,MIN(0.25,IF(OR($T66="",$I66="",$I66=0,INDEX('Parametri Modello'!$B$19:$B$22,MATCH($B66,'Parametri Modello'!$A$19:$A$22,0))="",INDEX('Parametri Modello'!$B$19:$B$22,MATCH($B66,'Parametri Modello'!$A$19:$A$22,0))=0),0,(($T66-INDEX('Parametri Modello'!$B$19:$B$22,MATCH($B66,'Parametri Modello'!$A$19:$A$22,0)))/INDEX('Parametri Modello'!$B$19:$B$22,MATCH($B66,'Parametri Modello'!$A$19:$A$22,0)))*'Parametri Modello'!$B$9))))*(1+IF('Parametri Modello'!$B$27="Si",MAX(-'Parametri Modello'!$B$28,MIN('Parametri Modello'!$B$28*1.5,IF(OR(INDEX('Parametri Modello'!$F$32:$F$35,MATCH($B66,'Parametri Modello'!$A$32:$A$35,0))="",INDEX('Parametri Modello'!$F$32:$F$35,MATCH($B66,'Parametri Modello'!$A$32:$A$35,0))=0),0,(1/INDEX('Parametri Modello'!$F$32:$F$35,MATCH($B66,'Parametri Modello'!$A$32:$A$35,0))-1)*'Parametri Modello'!$B$28))),0)))*(1-INDEX('Parametri Modello'!$B$12:$B$15,MATCH($B66,'Parametri Modello'!$A$12:$A$15,0)))),0),"")</f>
        <v>21</v>
      </c>
      <c r="H66" s="27" t="n">
        <f aca="false">IFERROR(ROUND((IF($V66&lt;=INDEX('Parametri Modello'!$C$57:$C$60,MATCH($B66,'Parametri Modello'!$A$57:$A$60,0)),IF(INDEX('Parametri Modello'!$E$57:$E$60,MATCH($B66,'Parametri Modello'!$A$57:$A$60,0))=0,0,($O66/INDEX('Parametri Modello'!$E$57:$E$60,MATCH($B66,'Parametri Modello'!$A$57:$A$60,0)))*(INDEX('Parametri Modello'!$D$57:$D$60,MATCH($B66,'Parametri Modello'!$A$57:$A$60,0))*(INDEX('Parametri Modello'!$B$50:$B$53,MATCH($B66,'Parametri Modello'!$A$50:$A$53,0))*'Parametri Modello'!$B$44))),IF(INDEX('Parametri Modello'!$F$57:$F$60,MATCH($B66,'Parametri Modello'!$A$57:$A$60,0))=0,0,($O66/INDEX('Parametri Modello'!$F$57:$F$60,MATCH($B66,'Parametri Modello'!$A$57:$A$60,0)))*((1-INDEX('Parametri Modello'!$D$57:$D$60,MATCH($B66,'Parametri Modello'!$A$57:$A$60,0)))*(INDEX('Parametri Modello'!$B$50:$B$53,MATCH($B66,'Parametri Modello'!$A$50:$A$53,0))*'Parametri Modello'!$B$44))))*(1+IF(IF($B66="D",'Info Lega'!$B$25,IF($B66="C",'Info Lega'!$B$26,"No"))="Si",'Parametri Modello'!$B$5,0))*(1+MAX(-0.25,MIN(0.25,IF(OR($T66="",$I66="",$I66=0,INDEX('Parametri Modello'!$B$19:$B$22,MATCH($B66,'Parametri Modello'!$A$19:$A$22,0))="",INDEX('Parametri Modello'!$B$19:$B$22,MATCH($B66,'Parametri Modello'!$A$19:$A$22,0))=0),0,(($T66-INDEX('Parametri Modello'!$B$19:$B$22,MATCH($B66,'Parametri Modello'!$A$19:$A$22,0)))/INDEX('Parametri Modello'!$B$19:$B$22,MATCH($B66,'Parametri Modello'!$A$19:$A$22,0)))*'Parametri Modello'!$B$9))))*(1+IF('Parametri Modello'!$B$27="Si",MAX(-'Parametri Modello'!$B$28,MIN('Parametri Modello'!$B$28*1.5,IF(OR(INDEX('Parametri Modello'!$F$32:$F$35,MATCH($B66,'Parametri Modello'!$A$32:$A$35,0))="",INDEX('Parametri Modello'!$F$32:$F$35,MATCH($B66,'Parametri Modello'!$A$32:$A$35,0))=0),0,(1/INDEX('Parametri Modello'!$F$32:$F$35,MATCH($B66,'Parametri Modello'!$A$32:$A$35,0))-1)*'Parametri Modello'!$B$28))),0)))*(1+INDEX('Parametri Modello'!$B$12:$B$15,MATCH($B66,'Parametri Modello'!$A$12:$A$15,0))),0),"")</f>
        <v>35</v>
      </c>
      <c r="I66" s="26" t="n">
        <f aca="false">IFERROR(INDEX('Input Statistiche 2025_26'!$F$3:$F$665,MATCH($A66,'Input Statistiche 2025_26'!$A$3:$A$665,0)),"")</f>
        <v>33</v>
      </c>
      <c r="J66" s="26" t="n">
        <f aca="false">IFERROR(IF($I66="","",MAX(0,38-$I66)),"")</f>
        <v>5</v>
      </c>
      <c r="K66" s="26" t="n">
        <f aca="false">IFERROR(INDEX('Input Statistiche 2025_26'!$I$3:$I$665,MATCH($A66,'Input Statistiche 2025_26'!$A$3:$A$665,0)),"")</f>
        <v>2</v>
      </c>
      <c r="L66" s="26" t="n">
        <f aca="false">IFERROR(INDEX('Input Statistiche 2025_26'!$O$3:$O$665,MATCH($A66,'Input Statistiche 2025_26'!$A$3:$A$665,0)),"")</f>
        <v>5</v>
      </c>
      <c r="M66" s="28"/>
      <c r="N66" s="27" t="n">
        <f aca="false">IFERROR(INDEX('Input Giocatori 2026_27'!$E$3:$E$493,MATCH($A66,'Input Giocatori 2026_27'!$A$3:$A$493,0)),"")</f>
        <v>10</v>
      </c>
      <c r="O66" s="27" t="n">
        <f aca="false">IFERROR(INDEX('Input Giocatori 2026_27'!$G$3:$G$493,MATCH($A66,'Input Giocatori 2026_27'!$A$3:$A$493,0)),"")</f>
        <v>47</v>
      </c>
      <c r="P66" s="26" t="str">
        <f aca="false">IFERROR(IF($O66="","",IF((1-(COUNTIFS($B$2:$B$492,$B66,$O$2:$O$492,"&gt;"&amp;$O66)+1-1)/COUNTIF($B$2:$B$492,$B66))&gt;=0.85,"Top",IF((1-(COUNTIFS($B$2:$B$492,$B66,$O$2:$O$492,"&gt;"&amp;$O66)+1-1)/COUNTIF($B$2:$B$492,$B66))&gt;=0.6,"Buono",IF((1-(COUNTIFS($B$2:$B$492,$B66,$O$2:$O$492,"&gt;"&amp;$O66)+1-1)/COUNTIF($B$2:$B$492,$B66))&gt;=0.3,"Nella Media","Scommessa/Riserva")))),"")</f>
        <v>Top</v>
      </c>
      <c r="Q66" s="29" t="n">
        <f aca="false">IF($D66="",COUNTIF($D$2:$D66,""),"")</f>
        <v>65</v>
      </c>
      <c r="R66" s="29" t="str">
        <f aca="false">IF($D66='Info Lega'!$B$28,COUNTIFS($D$2:$D66,'Info Lega'!$B$28),"")</f>
        <v/>
      </c>
      <c r="S66" s="30" t="n">
        <f aca="false">IFERROR(INDEX('Input Statistiche 2025_26'!$G$3:$G$665,MATCH($A66,'Input Statistiche 2025_26'!$A$3:$A$665,0)),"")</f>
        <v>6.09</v>
      </c>
      <c r="T66" s="30" t="n">
        <f aca="false">IFERROR(INDEX('Input Statistiche 2025_26'!$H$3:$H$665,MATCH($A66,'Input Statistiche 2025_26'!$A$3:$A$665,0)),"")</f>
        <v>6.36</v>
      </c>
      <c r="U66" s="26" t="str">
        <f aca="false">IF(OR('La Mia Rosa'!$O$12="",$D66&lt;&gt;""),"",IF($F66&lt;='La Mia Rosa'!$O$12*'Parametri Modello'!$B$24,"OK",IF($F66&lt;='La Mia Rosa'!$O$12*'Parametri Modello'!$B$25,"Attenzione","Rischio Alto")))</f>
        <v>OK</v>
      </c>
      <c r="V66" s="26" t="n">
        <f aca="false">IFERROR(COUNTIFS($B$2:$B$492,$B66,$O$2:$O$492,"&gt;"&amp;$O66)+1,"")</f>
        <v>22</v>
      </c>
      <c r="W66" s="21" t="n">
        <f aca="false">'Info Lega'!$B$4-SUMIFS($M$2:$M$492,$D$2:$D$492,'Info Lega'!$B$28)</f>
        <v>1000</v>
      </c>
      <c r="X66" s="21" t="n">
        <f aca="false">('Info Lega'!$B$5-COUNTIFS($D$2:$D$492,'Info Lega'!$B$28,$B$2:$B$492,"P"))+('Info Lega'!$B$6-COUNTIFS($D$2:$D$492,'Info Lega'!$B$28,$B$2:$B$492,"D"))+('Info Lega'!$B$7-COUNTIFS($D$2:$D$492,'Info Lega'!$B$28,$B$2:$B$492,"C"))+('Info Lega'!$B$8-COUNTIFS($D$2:$D$492,'Info Lega'!$B$28,$B$2:$B$492,"A"))</f>
        <v>25</v>
      </c>
      <c r="Y66" s="21" t="n">
        <f aca="false">X66*'Parametri Modello'!$B$30</f>
        <v>25</v>
      </c>
      <c r="Z66" s="21" t="n">
        <f aca="false">MAX(0,W66-Y66)</f>
        <v>975</v>
      </c>
      <c r="AA66" s="21" t="n">
        <f aca="false">MIN(F66,Z66)</f>
        <v>31</v>
      </c>
      <c r="AB66" s="21"/>
      <c r="AC66" s="21" t="str">
        <f aca="false">IF(AB66="","",IF(AB66&gt;AA66,"PASS",IF(AB66&lt;=AA66*0.85,"BID","ATTENZIONE")))</f>
        <v/>
      </c>
      <c r="AD66" s="31" t="n">
        <f aca="false">IF(I66="","",ROUND(100*(1-EXP(-I66/30)),0))</f>
        <v>67</v>
      </c>
      <c r="AE66" s="7" t="str">
        <f aca="false">IFERROR(INDEX('Stato Asta'!$G$9:$G$12,MATCH($B66,'Stato Asta'!$A$9:$A$12,0)),"")</f>
        <v>🟡 Attesa rischiosa</v>
      </c>
    </row>
    <row r="67" customFormat="false" ht="14.25" hidden="false" customHeight="true" outlineLevel="0" collapsed="false">
      <c r="A67" s="21" t="n">
        <v>4976</v>
      </c>
      <c r="B67" s="21" t="s">
        <v>44</v>
      </c>
      <c r="C67" s="21" t="s">
        <v>199</v>
      </c>
      <c r="E67" s="26" t="str">
        <f aca="false">IF(COUNTIF('Info Strategia'!$D$2:$D$51,$C67)&gt;0,"SI","NO")</f>
        <v>NO</v>
      </c>
      <c r="F67" s="27" t="n">
        <f aca="false">IFERROR(ROUND(($G67+($H67-$G67)*'Info Strategia'!$B$6)*(1+IF($E67="SI",'Parametri Modello'!$B$7*'Info Strategia'!$B$6,0)),0),"")</f>
        <v>31</v>
      </c>
      <c r="G67" s="27" t="n">
        <f aca="false">IFERROR(ROUND(MAX(1,(IF($V67&lt;=INDEX('Parametri Modello'!$C$57:$C$60,MATCH($B67,'Parametri Modello'!$A$57:$A$60,0)),IF(INDEX('Parametri Modello'!$E$57:$E$60,MATCH($B67,'Parametri Modello'!$A$57:$A$60,0))=0,0,($O67/INDEX('Parametri Modello'!$E$57:$E$60,MATCH($B67,'Parametri Modello'!$A$57:$A$60,0)))*(INDEX('Parametri Modello'!$D$57:$D$60,MATCH($B67,'Parametri Modello'!$A$57:$A$60,0))*(INDEX('Parametri Modello'!$B$50:$B$53,MATCH($B67,'Parametri Modello'!$A$50:$A$53,0))*'Parametri Modello'!$B$44))),IF(INDEX('Parametri Modello'!$F$57:$F$60,MATCH($B67,'Parametri Modello'!$A$57:$A$60,0))=0,0,($O67/INDEX('Parametri Modello'!$F$57:$F$60,MATCH($B67,'Parametri Modello'!$A$57:$A$60,0)))*((1-INDEX('Parametri Modello'!$D$57:$D$60,MATCH($B67,'Parametri Modello'!$A$57:$A$60,0)))*(INDEX('Parametri Modello'!$B$50:$B$53,MATCH($B67,'Parametri Modello'!$A$50:$A$53,0))*'Parametri Modello'!$B$44))))*(1+IF(IF($B67="D",'Info Lega'!$B$25,IF($B67="C",'Info Lega'!$B$26,"No"))="Si",'Parametri Modello'!$B$5,0))*(1+MAX(-0.25,MIN(0.25,IF(OR($T67="",$I67="",$I67=0,INDEX('Parametri Modello'!$B$19:$B$22,MATCH($B67,'Parametri Modello'!$A$19:$A$22,0))="",INDEX('Parametri Modello'!$B$19:$B$22,MATCH($B67,'Parametri Modello'!$A$19:$A$22,0))=0),0,(($T67-INDEX('Parametri Modello'!$B$19:$B$22,MATCH($B67,'Parametri Modello'!$A$19:$A$22,0)))/INDEX('Parametri Modello'!$B$19:$B$22,MATCH($B67,'Parametri Modello'!$A$19:$A$22,0)))*'Parametri Modello'!$B$9))))*(1+IF('Parametri Modello'!$B$27="Si",MAX(-'Parametri Modello'!$B$28,MIN('Parametri Modello'!$B$28*1.5,IF(OR(INDEX('Parametri Modello'!$F$32:$F$35,MATCH($B67,'Parametri Modello'!$A$32:$A$35,0))="",INDEX('Parametri Modello'!$F$32:$F$35,MATCH($B67,'Parametri Modello'!$A$32:$A$35,0))=0),0,(1/INDEX('Parametri Modello'!$F$32:$F$35,MATCH($B67,'Parametri Modello'!$A$32:$A$35,0))-1)*'Parametri Modello'!$B$28))),0)))*(1-INDEX('Parametri Modello'!$B$12:$B$15,MATCH($B67,'Parametri Modello'!$A$12:$A$15,0)))),0),"")</f>
        <v>23</v>
      </c>
      <c r="H67" s="27" t="n">
        <f aca="false">IFERROR(ROUND((IF($V67&lt;=INDEX('Parametri Modello'!$C$57:$C$60,MATCH($B67,'Parametri Modello'!$A$57:$A$60,0)),IF(INDEX('Parametri Modello'!$E$57:$E$60,MATCH($B67,'Parametri Modello'!$A$57:$A$60,0))=0,0,($O67/INDEX('Parametri Modello'!$E$57:$E$60,MATCH($B67,'Parametri Modello'!$A$57:$A$60,0)))*(INDEX('Parametri Modello'!$D$57:$D$60,MATCH($B67,'Parametri Modello'!$A$57:$A$60,0))*(INDEX('Parametri Modello'!$B$50:$B$53,MATCH($B67,'Parametri Modello'!$A$50:$A$53,0))*'Parametri Modello'!$B$44))),IF(INDEX('Parametri Modello'!$F$57:$F$60,MATCH($B67,'Parametri Modello'!$A$57:$A$60,0))=0,0,($O67/INDEX('Parametri Modello'!$F$57:$F$60,MATCH($B67,'Parametri Modello'!$A$57:$A$60,0)))*((1-INDEX('Parametri Modello'!$D$57:$D$60,MATCH($B67,'Parametri Modello'!$A$57:$A$60,0)))*(INDEX('Parametri Modello'!$B$50:$B$53,MATCH($B67,'Parametri Modello'!$A$50:$A$53,0))*'Parametri Modello'!$B$44))))*(1+IF(IF($B67="D",'Info Lega'!$B$25,IF($B67="C",'Info Lega'!$B$26,"No"))="Si",'Parametri Modello'!$B$5,0))*(1+MAX(-0.25,MIN(0.25,IF(OR($T67="",$I67="",$I67=0,INDEX('Parametri Modello'!$B$19:$B$22,MATCH($B67,'Parametri Modello'!$A$19:$A$22,0))="",INDEX('Parametri Modello'!$B$19:$B$22,MATCH($B67,'Parametri Modello'!$A$19:$A$22,0))=0),0,(($T67-INDEX('Parametri Modello'!$B$19:$B$22,MATCH($B67,'Parametri Modello'!$A$19:$A$22,0)))/INDEX('Parametri Modello'!$B$19:$B$22,MATCH($B67,'Parametri Modello'!$A$19:$A$22,0)))*'Parametri Modello'!$B$9))))*(1+IF('Parametri Modello'!$B$27="Si",MAX(-'Parametri Modello'!$B$28,MIN('Parametri Modello'!$B$28*1.5,IF(OR(INDEX('Parametri Modello'!$F$32:$F$35,MATCH($B67,'Parametri Modello'!$A$32:$A$35,0))="",INDEX('Parametri Modello'!$F$32:$F$35,MATCH($B67,'Parametri Modello'!$A$32:$A$35,0))=0),0,(1/INDEX('Parametri Modello'!$F$32:$F$35,MATCH($B67,'Parametri Modello'!$A$32:$A$35,0))-1)*'Parametri Modello'!$B$28))),0)))*(1+INDEX('Parametri Modello'!$B$12:$B$15,MATCH($B67,'Parametri Modello'!$A$12:$A$15,0))),0),"")</f>
        <v>35</v>
      </c>
      <c r="I67" s="26" t="n">
        <f aca="false">IFERROR(INDEX('Input Statistiche 2025_26'!$F$3:$F$665,MATCH($A67,'Input Statistiche 2025_26'!$A$3:$A$665,0)),"")</f>
        <v>37</v>
      </c>
      <c r="J67" s="26" t="n">
        <f aca="false">IFERROR(IF($I67="","",MAX(0,38-$I67)),"")</f>
        <v>1</v>
      </c>
      <c r="K67" s="26" t="n">
        <f aca="false">IFERROR(INDEX('Input Statistiche 2025_26'!$I$3:$I$665,MATCH($A67,'Input Statistiche 2025_26'!$A$3:$A$665,0)),"")</f>
        <v>2</v>
      </c>
      <c r="L67" s="26" t="n">
        <f aca="false">IFERROR(INDEX('Input Statistiche 2025_26'!$O$3:$O$665,MATCH($A67,'Input Statistiche 2025_26'!$A$3:$A$665,0)),"")</f>
        <v>4</v>
      </c>
      <c r="M67" s="28"/>
      <c r="N67" s="27" t="n">
        <f aca="false">IFERROR(INDEX('Input Giocatori 2026_27'!$E$3:$E$493,MATCH($A67,'Input Giocatori 2026_27'!$A$3:$A$493,0)),"")</f>
        <v>13</v>
      </c>
      <c r="O67" s="27" t="n">
        <f aca="false">IFERROR(INDEX('Input Giocatori 2026_27'!$G$3:$G$493,MATCH($A67,'Input Giocatori 2026_27'!$A$3:$A$493,0)),"")</f>
        <v>46</v>
      </c>
      <c r="P67" s="26" t="str">
        <f aca="false">IFERROR(IF($O67="","",IF((1-(COUNTIFS($B$2:$B$492,$B67,$O$2:$O$492,"&gt;"&amp;$O67)+1-1)/COUNTIF($B$2:$B$492,$B67))&gt;=0.85,"Top",IF((1-(COUNTIFS($B$2:$B$492,$B67,$O$2:$O$492,"&gt;"&amp;$O67)+1-1)/COUNTIF($B$2:$B$492,$B67))&gt;=0.6,"Buono",IF((1-(COUNTIFS($B$2:$B$492,$B67,$O$2:$O$492,"&gt;"&amp;$O67)+1-1)/COUNTIF($B$2:$B$492,$B67))&gt;=0.3,"Nella Media","Scommessa/Riserva")))),"")</f>
        <v>Top</v>
      </c>
      <c r="Q67" s="29" t="n">
        <f aca="false">IF($D67="",COUNTIF($D$2:$D67,""),"")</f>
        <v>66</v>
      </c>
      <c r="R67" s="29" t="str">
        <f aca="false">IF($D67='Info Lega'!$B$28,COUNTIFS($D$2:$D67,'Info Lega'!$B$28),"")</f>
        <v/>
      </c>
      <c r="S67" s="30" t="n">
        <f aca="false">IFERROR(INDEX('Input Statistiche 2025_26'!$G$3:$G$665,MATCH($A67,'Input Statistiche 2025_26'!$A$3:$A$665,0)),"")</f>
        <v>6.14</v>
      </c>
      <c r="T67" s="30" t="n">
        <f aca="false">IFERROR(INDEX('Input Statistiche 2025_26'!$H$3:$H$665,MATCH($A67,'Input Statistiche 2025_26'!$A$3:$A$665,0)),"")</f>
        <v>6.35</v>
      </c>
      <c r="U67" s="26" t="str">
        <f aca="false">IF(OR('La Mia Rosa'!$O$12="",$D67&lt;&gt;""),"",IF($F67&lt;='La Mia Rosa'!$O$12*'Parametri Modello'!$B$24,"OK",IF($F67&lt;='La Mia Rosa'!$O$12*'Parametri Modello'!$B$25,"Attenzione","Rischio Alto")))</f>
        <v>OK</v>
      </c>
      <c r="V67" s="26" t="n">
        <f aca="false">IFERROR(COUNTIFS($B$2:$B$492,$B67,$O$2:$O$492,"&gt;"&amp;$O67)+1,"")</f>
        <v>8</v>
      </c>
      <c r="W67" s="21" t="n">
        <f aca="false">'Info Lega'!$B$4-SUMIFS($M$2:$M$492,$D$2:$D$492,'Info Lega'!$B$28)</f>
        <v>1000</v>
      </c>
      <c r="X67" s="21" t="n">
        <f aca="false">('Info Lega'!$B$5-COUNTIFS($D$2:$D$492,'Info Lega'!$B$28,$B$2:$B$492,"P"))+('Info Lega'!$B$6-COUNTIFS($D$2:$D$492,'Info Lega'!$B$28,$B$2:$B$492,"D"))+('Info Lega'!$B$7-COUNTIFS($D$2:$D$492,'Info Lega'!$B$28,$B$2:$B$492,"C"))+('Info Lega'!$B$8-COUNTIFS($D$2:$D$492,'Info Lega'!$B$28,$B$2:$B$492,"A"))</f>
        <v>25</v>
      </c>
      <c r="Y67" s="21" t="n">
        <f aca="false">X67*'Parametri Modello'!$B$30</f>
        <v>25</v>
      </c>
      <c r="Z67" s="21" t="n">
        <f aca="false">MAX(0,W67-Y67)</f>
        <v>975</v>
      </c>
      <c r="AA67" s="21" t="n">
        <f aca="false">MIN(F67,Z67)</f>
        <v>31</v>
      </c>
      <c r="AB67" s="21"/>
      <c r="AC67" s="21" t="str">
        <f aca="false">IF(AB67="","",IF(AB67&gt;AA67,"PASS",IF(AB67&lt;=AA67*0.85,"BID","ATTENZIONE")))</f>
        <v/>
      </c>
      <c r="AD67" s="31" t="n">
        <f aca="false">IF(I67="","",ROUND(100*(1-EXP(-I67/30)),0))</f>
        <v>71</v>
      </c>
      <c r="AE67" s="7" t="str">
        <f aca="false">IFERROR(INDEX('Stato Asta'!$G$9:$G$12,MATCH($B67,'Stato Asta'!$A$9:$A$12,0)),"")</f>
        <v>🟡 Attesa rischiosa</v>
      </c>
    </row>
    <row r="68" customFormat="false" ht="14.25" hidden="false" customHeight="true" outlineLevel="0" collapsed="false">
      <c r="A68" s="21" t="n">
        <v>6956</v>
      </c>
      <c r="B68" s="21" t="s">
        <v>44</v>
      </c>
      <c r="C68" s="21" t="s">
        <v>201</v>
      </c>
      <c r="E68" s="26" t="str">
        <f aca="false">IF(COUNTIF('Info Strategia'!$D$2:$D$51,$C68)&gt;0,"SI","NO")</f>
        <v>NO</v>
      </c>
      <c r="F68" s="27" t="n">
        <f aca="false">IFERROR(ROUND(($G68+($H68-$G68)*'Info Strategia'!$B$6)*(1+IF($E68="SI",'Parametri Modello'!$B$7*'Info Strategia'!$B$6,0)),0),"")</f>
        <v>31</v>
      </c>
      <c r="G68" s="27" t="n">
        <f aca="false">IFERROR(ROUND(MAX(1,(IF($V68&lt;=INDEX('Parametri Modello'!$C$57:$C$60,MATCH($B68,'Parametri Modello'!$A$57:$A$60,0)),IF(INDEX('Parametri Modello'!$E$57:$E$60,MATCH($B68,'Parametri Modello'!$A$57:$A$60,0))=0,0,($O68/INDEX('Parametri Modello'!$E$57:$E$60,MATCH($B68,'Parametri Modello'!$A$57:$A$60,0)))*(INDEX('Parametri Modello'!$D$57:$D$60,MATCH($B68,'Parametri Modello'!$A$57:$A$60,0))*(INDEX('Parametri Modello'!$B$50:$B$53,MATCH($B68,'Parametri Modello'!$A$50:$A$53,0))*'Parametri Modello'!$B$44))),IF(INDEX('Parametri Modello'!$F$57:$F$60,MATCH($B68,'Parametri Modello'!$A$57:$A$60,0))=0,0,($O68/INDEX('Parametri Modello'!$F$57:$F$60,MATCH($B68,'Parametri Modello'!$A$57:$A$60,0)))*((1-INDEX('Parametri Modello'!$D$57:$D$60,MATCH($B68,'Parametri Modello'!$A$57:$A$60,0)))*(INDEX('Parametri Modello'!$B$50:$B$53,MATCH($B68,'Parametri Modello'!$A$50:$A$53,0))*'Parametri Modello'!$B$44))))*(1+IF(IF($B68="D",'Info Lega'!$B$25,IF($B68="C",'Info Lega'!$B$26,"No"))="Si",'Parametri Modello'!$B$5,0))*(1+MAX(-0.25,MIN(0.25,IF(OR($T68="",$I68="",$I68=0,INDEX('Parametri Modello'!$B$19:$B$22,MATCH($B68,'Parametri Modello'!$A$19:$A$22,0))="",INDEX('Parametri Modello'!$B$19:$B$22,MATCH($B68,'Parametri Modello'!$A$19:$A$22,0))=0),0,(($T68-INDEX('Parametri Modello'!$B$19:$B$22,MATCH($B68,'Parametri Modello'!$A$19:$A$22,0)))/INDEX('Parametri Modello'!$B$19:$B$22,MATCH($B68,'Parametri Modello'!$A$19:$A$22,0)))*'Parametri Modello'!$B$9))))*(1+IF('Parametri Modello'!$B$27="Si",MAX(-'Parametri Modello'!$B$28,MIN('Parametri Modello'!$B$28*1.5,IF(OR(INDEX('Parametri Modello'!$F$32:$F$35,MATCH($B68,'Parametri Modello'!$A$32:$A$35,0))="",INDEX('Parametri Modello'!$F$32:$F$35,MATCH($B68,'Parametri Modello'!$A$32:$A$35,0))=0),0,(1/INDEX('Parametri Modello'!$F$32:$F$35,MATCH($B68,'Parametri Modello'!$A$32:$A$35,0))-1)*'Parametri Modello'!$B$28))),0)))*(1-INDEX('Parametri Modello'!$B$12:$B$15,MATCH($B68,'Parametri Modello'!$A$12:$A$15,0)))),0),"")</f>
        <v>23</v>
      </c>
      <c r="H68" s="27" t="n">
        <f aca="false">IFERROR(ROUND((IF($V68&lt;=INDEX('Parametri Modello'!$C$57:$C$60,MATCH($B68,'Parametri Modello'!$A$57:$A$60,0)),IF(INDEX('Parametri Modello'!$E$57:$E$60,MATCH($B68,'Parametri Modello'!$A$57:$A$60,0))=0,0,($O68/INDEX('Parametri Modello'!$E$57:$E$60,MATCH($B68,'Parametri Modello'!$A$57:$A$60,0)))*(INDEX('Parametri Modello'!$D$57:$D$60,MATCH($B68,'Parametri Modello'!$A$57:$A$60,0))*(INDEX('Parametri Modello'!$B$50:$B$53,MATCH($B68,'Parametri Modello'!$A$50:$A$53,0))*'Parametri Modello'!$B$44))),IF(INDEX('Parametri Modello'!$F$57:$F$60,MATCH($B68,'Parametri Modello'!$A$57:$A$60,0))=0,0,($O68/INDEX('Parametri Modello'!$F$57:$F$60,MATCH($B68,'Parametri Modello'!$A$57:$A$60,0)))*((1-INDEX('Parametri Modello'!$D$57:$D$60,MATCH($B68,'Parametri Modello'!$A$57:$A$60,0)))*(INDEX('Parametri Modello'!$B$50:$B$53,MATCH($B68,'Parametri Modello'!$A$50:$A$53,0))*'Parametri Modello'!$B$44))))*(1+IF(IF($B68="D",'Info Lega'!$B$25,IF($B68="C",'Info Lega'!$B$26,"No"))="Si",'Parametri Modello'!$B$5,0))*(1+MAX(-0.25,MIN(0.25,IF(OR($T68="",$I68="",$I68=0,INDEX('Parametri Modello'!$B$19:$B$22,MATCH($B68,'Parametri Modello'!$A$19:$A$22,0))="",INDEX('Parametri Modello'!$B$19:$B$22,MATCH($B68,'Parametri Modello'!$A$19:$A$22,0))=0),0,(($T68-INDEX('Parametri Modello'!$B$19:$B$22,MATCH($B68,'Parametri Modello'!$A$19:$A$22,0)))/INDEX('Parametri Modello'!$B$19:$B$22,MATCH($B68,'Parametri Modello'!$A$19:$A$22,0)))*'Parametri Modello'!$B$9))))*(1+IF('Parametri Modello'!$B$27="Si",MAX(-'Parametri Modello'!$B$28,MIN('Parametri Modello'!$B$28*1.5,IF(OR(INDEX('Parametri Modello'!$F$32:$F$35,MATCH($B68,'Parametri Modello'!$A$32:$A$35,0))="",INDEX('Parametri Modello'!$F$32:$F$35,MATCH($B68,'Parametri Modello'!$A$32:$A$35,0))=0),0,(1/INDEX('Parametri Modello'!$F$32:$F$35,MATCH($B68,'Parametri Modello'!$A$32:$A$35,0))-1)*'Parametri Modello'!$B$28))),0)))*(1+INDEX('Parametri Modello'!$B$12:$B$15,MATCH($B68,'Parametri Modello'!$A$12:$A$15,0))),0),"")</f>
        <v>35</v>
      </c>
      <c r="I68" s="26" t="n">
        <f aca="false">IFERROR(INDEX('Input Statistiche 2025_26'!$F$3:$F$665,MATCH($A68,'Input Statistiche 2025_26'!$A$3:$A$665,0)),"")</f>
        <v>34</v>
      </c>
      <c r="J68" s="26" t="n">
        <f aca="false">IFERROR(IF($I68="","",MAX(0,38-$I68)),"")</f>
        <v>4</v>
      </c>
      <c r="K68" s="26" t="n">
        <f aca="false">IFERROR(INDEX('Input Statistiche 2025_26'!$I$3:$I$665,MATCH($A68,'Input Statistiche 2025_26'!$A$3:$A$665,0)),"")</f>
        <v>3</v>
      </c>
      <c r="L68" s="26" t="n">
        <f aca="false">IFERROR(INDEX('Input Statistiche 2025_26'!$O$3:$O$665,MATCH($A68,'Input Statistiche 2025_26'!$A$3:$A$665,0)),"")</f>
        <v>1</v>
      </c>
      <c r="M68" s="28"/>
      <c r="N68" s="27" t="n">
        <f aca="false">IFERROR(INDEX('Input Giocatori 2026_27'!$E$3:$E$493,MATCH($A68,'Input Giocatori 2026_27'!$A$3:$A$493,0)),"")</f>
        <v>13</v>
      </c>
      <c r="O68" s="27" t="n">
        <f aca="false">IFERROR(INDEX('Input Giocatori 2026_27'!$G$3:$G$493,MATCH($A68,'Input Giocatori 2026_27'!$A$3:$A$493,0)),"")</f>
        <v>46</v>
      </c>
      <c r="P68" s="26" t="str">
        <f aca="false">IFERROR(IF($O68="","",IF((1-(COUNTIFS($B$2:$B$492,$B68,$O$2:$O$492,"&gt;"&amp;$O68)+1-1)/COUNTIF($B$2:$B$492,$B68))&gt;=0.85,"Top",IF((1-(COUNTIFS($B$2:$B$492,$B68,$O$2:$O$492,"&gt;"&amp;$O68)+1-1)/COUNTIF($B$2:$B$492,$B68))&gt;=0.6,"Buono",IF((1-(COUNTIFS($B$2:$B$492,$B68,$O$2:$O$492,"&gt;"&amp;$O68)+1-1)/COUNTIF($B$2:$B$492,$B68))&gt;=0.3,"Nella Media","Scommessa/Riserva")))),"")</f>
        <v>Top</v>
      </c>
      <c r="Q68" s="29" t="n">
        <f aca="false">IF($D68="",COUNTIF($D$2:$D68,""),"")</f>
        <v>67</v>
      </c>
      <c r="R68" s="29" t="str">
        <f aca="false">IF($D68='Info Lega'!$B$28,COUNTIFS($D$2:$D68,'Info Lega'!$B$28),"")</f>
        <v/>
      </c>
      <c r="S68" s="30" t="n">
        <f aca="false">IFERROR(INDEX('Input Statistiche 2025_26'!$G$3:$G$665,MATCH($A68,'Input Statistiche 2025_26'!$A$3:$A$665,0)),"")</f>
        <v>6.18</v>
      </c>
      <c r="T68" s="30" t="n">
        <f aca="false">IFERROR(INDEX('Input Statistiche 2025_26'!$H$3:$H$665,MATCH($A68,'Input Statistiche 2025_26'!$A$3:$A$665,0)),"")</f>
        <v>6.4</v>
      </c>
      <c r="U68" s="26" t="str">
        <f aca="false">IF(OR('La Mia Rosa'!$O$12="",$D68&lt;&gt;""),"",IF($F68&lt;='La Mia Rosa'!$O$12*'Parametri Modello'!$B$24,"OK",IF($F68&lt;='La Mia Rosa'!$O$12*'Parametri Modello'!$B$25,"Attenzione","Rischio Alto")))</f>
        <v>OK</v>
      </c>
      <c r="V68" s="26" t="n">
        <f aca="false">IFERROR(COUNTIFS($B$2:$B$492,$B68,$O$2:$O$492,"&gt;"&amp;$O68)+1,"")</f>
        <v>8</v>
      </c>
      <c r="W68" s="21" t="n">
        <f aca="false">'Info Lega'!$B$4-SUMIFS($M$2:$M$492,$D$2:$D$492,'Info Lega'!$B$28)</f>
        <v>1000</v>
      </c>
      <c r="X68" s="21" t="n">
        <f aca="false">('Info Lega'!$B$5-COUNTIFS($D$2:$D$492,'Info Lega'!$B$28,$B$2:$B$492,"P"))+('Info Lega'!$B$6-COUNTIFS($D$2:$D$492,'Info Lega'!$B$28,$B$2:$B$492,"D"))+('Info Lega'!$B$7-COUNTIFS($D$2:$D$492,'Info Lega'!$B$28,$B$2:$B$492,"C"))+('Info Lega'!$B$8-COUNTIFS($D$2:$D$492,'Info Lega'!$B$28,$B$2:$B$492,"A"))</f>
        <v>25</v>
      </c>
      <c r="Y68" s="21" t="n">
        <f aca="false">X68*'Parametri Modello'!$B$30</f>
        <v>25</v>
      </c>
      <c r="Z68" s="21" t="n">
        <f aca="false">MAX(0,W68-Y68)</f>
        <v>975</v>
      </c>
      <c r="AA68" s="21" t="n">
        <f aca="false">MIN(F68,Z68)</f>
        <v>31</v>
      </c>
      <c r="AB68" s="21"/>
      <c r="AC68" s="21" t="str">
        <f aca="false">IF(AB68="","",IF(AB68&gt;AA68,"PASS",IF(AB68&lt;=AA68*0.85,"BID","ATTENZIONE")))</f>
        <v/>
      </c>
      <c r="AD68" s="31" t="n">
        <f aca="false">IF(I68="","",ROUND(100*(1-EXP(-I68/30)),0))</f>
        <v>68</v>
      </c>
      <c r="AE68" s="7" t="str">
        <f aca="false">IFERROR(INDEX('Stato Asta'!$G$9:$G$12,MATCH($B68,'Stato Asta'!$A$9:$A$12,0)),"")</f>
        <v>🟡 Attesa rischiosa</v>
      </c>
    </row>
    <row r="69" customFormat="false" ht="14.25" hidden="false" customHeight="true" outlineLevel="0" collapsed="false">
      <c r="A69" s="21" t="n">
        <v>2521</v>
      </c>
      <c r="B69" s="21" t="s">
        <v>43</v>
      </c>
      <c r="C69" s="21" t="s">
        <v>122</v>
      </c>
      <c r="E69" s="26" t="str">
        <f aca="false">IF(COUNTIF('Info Strategia'!$D$2:$D$51,$C69)&gt;0,"SI","NO")</f>
        <v>NO</v>
      </c>
      <c r="F69" s="27" t="n">
        <f aca="false">IFERROR(ROUND(($G69+($H69-$G69)*'Info Strategia'!$B$6)*(1+IF($E69="SI",'Parametri Modello'!$B$7*'Info Strategia'!$B$6,0)),0),"")</f>
        <v>75</v>
      </c>
      <c r="G69" s="27" t="n">
        <f aca="false">IFERROR(ROUND(MAX(1,(IF($V69&lt;=INDEX('Parametri Modello'!$C$57:$C$60,MATCH($B69,'Parametri Modello'!$A$57:$A$60,0)),IF(INDEX('Parametri Modello'!$E$57:$E$60,MATCH($B69,'Parametri Modello'!$A$57:$A$60,0))=0,0,($O69/INDEX('Parametri Modello'!$E$57:$E$60,MATCH($B69,'Parametri Modello'!$A$57:$A$60,0)))*(INDEX('Parametri Modello'!$D$57:$D$60,MATCH($B69,'Parametri Modello'!$A$57:$A$60,0))*(INDEX('Parametri Modello'!$B$50:$B$53,MATCH($B69,'Parametri Modello'!$A$50:$A$53,0))*'Parametri Modello'!$B$44))),IF(INDEX('Parametri Modello'!$F$57:$F$60,MATCH($B69,'Parametri Modello'!$A$57:$A$60,0))=0,0,($O69/INDEX('Parametri Modello'!$F$57:$F$60,MATCH($B69,'Parametri Modello'!$A$57:$A$60,0)))*((1-INDEX('Parametri Modello'!$D$57:$D$60,MATCH($B69,'Parametri Modello'!$A$57:$A$60,0)))*(INDEX('Parametri Modello'!$B$50:$B$53,MATCH($B69,'Parametri Modello'!$A$50:$A$53,0))*'Parametri Modello'!$B$44))))*(1+IF(IF($B69="D",'Info Lega'!$B$25,IF($B69="C",'Info Lega'!$B$26,"No"))="Si",'Parametri Modello'!$B$5,0))*(1+MAX(-0.25,MIN(0.25,IF(OR($T69="",$I69="",$I69=0,INDEX('Parametri Modello'!$B$19:$B$22,MATCH($B69,'Parametri Modello'!$A$19:$A$22,0))="",INDEX('Parametri Modello'!$B$19:$B$22,MATCH($B69,'Parametri Modello'!$A$19:$A$22,0))=0),0,(($T69-INDEX('Parametri Modello'!$B$19:$B$22,MATCH($B69,'Parametri Modello'!$A$19:$A$22,0)))/INDEX('Parametri Modello'!$B$19:$B$22,MATCH($B69,'Parametri Modello'!$A$19:$A$22,0)))*'Parametri Modello'!$B$9))))*(1+IF('Parametri Modello'!$B$27="Si",MAX(-'Parametri Modello'!$B$28,MIN('Parametri Modello'!$B$28*1.5,IF(OR(INDEX('Parametri Modello'!$F$32:$F$35,MATCH($B69,'Parametri Modello'!$A$32:$A$35,0))="",INDEX('Parametri Modello'!$F$32:$F$35,MATCH($B69,'Parametri Modello'!$A$32:$A$35,0))=0),0,(1/INDEX('Parametri Modello'!$F$32:$F$35,MATCH($B69,'Parametri Modello'!$A$32:$A$35,0))-1)*'Parametri Modello'!$B$28))),0)))*(1-INDEX('Parametri Modello'!$B$12:$B$15,MATCH($B69,'Parametri Modello'!$A$12:$A$15,0)))),0),"")</f>
        <v>60</v>
      </c>
      <c r="H69" s="27" t="n">
        <f aca="false">IFERROR(ROUND((IF($V69&lt;=INDEX('Parametri Modello'!$C$57:$C$60,MATCH($B69,'Parametri Modello'!$A$57:$A$60,0)),IF(INDEX('Parametri Modello'!$E$57:$E$60,MATCH($B69,'Parametri Modello'!$A$57:$A$60,0))=0,0,($O69/INDEX('Parametri Modello'!$E$57:$E$60,MATCH($B69,'Parametri Modello'!$A$57:$A$60,0)))*(INDEX('Parametri Modello'!$D$57:$D$60,MATCH($B69,'Parametri Modello'!$A$57:$A$60,0))*(INDEX('Parametri Modello'!$B$50:$B$53,MATCH($B69,'Parametri Modello'!$A$50:$A$53,0))*'Parametri Modello'!$B$44))),IF(INDEX('Parametri Modello'!$F$57:$F$60,MATCH($B69,'Parametri Modello'!$A$57:$A$60,0))=0,0,($O69/INDEX('Parametri Modello'!$F$57:$F$60,MATCH($B69,'Parametri Modello'!$A$57:$A$60,0)))*((1-INDEX('Parametri Modello'!$D$57:$D$60,MATCH($B69,'Parametri Modello'!$A$57:$A$60,0)))*(INDEX('Parametri Modello'!$B$50:$B$53,MATCH($B69,'Parametri Modello'!$A$50:$A$53,0))*'Parametri Modello'!$B$44))))*(1+IF(IF($B69="D",'Info Lega'!$B$25,IF($B69="C",'Info Lega'!$B$26,"No"))="Si",'Parametri Modello'!$B$5,0))*(1+MAX(-0.25,MIN(0.25,IF(OR($T69="",$I69="",$I69=0,INDEX('Parametri Modello'!$B$19:$B$22,MATCH($B69,'Parametri Modello'!$A$19:$A$22,0))="",INDEX('Parametri Modello'!$B$19:$B$22,MATCH($B69,'Parametri Modello'!$A$19:$A$22,0))=0),0,(($T69-INDEX('Parametri Modello'!$B$19:$B$22,MATCH($B69,'Parametri Modello'!$A$19:$A$22,0)))/INDEX('Parametri Modello'!$B$19:$B$22,MATCH($B69,'Parametri Modello'!$A$19:$A$22,0)))*'Parametri Modello'!$B$9))))*(1+IF('Parametri Modello'!$B$27="Si",MAX(-'Parametri Modello'!$B$28,MIN('Parametri Modello'!$B$28*1.5,IF(OR(INDEX('Parametri Modello'!$F$32:$F$35,MATCH($B69,'Parametri Modello'!$A$32:$A$35,0))="",INDEX('Parametri Modello'!$F$32:$F$35,MATCH($B69,'Parametri Modello'!$A$32:$A$35,0))=0),0,(1/INDEX('Parametri Modello'!$F$32:$F$35,MATCH($B69,'Parametri Modello'!$A$32:$A$35,0))-1)*'Parametri Modello'!$B$28))),0)))*(1+INDEX('Parametri Modello'!$B$12:$B$15,MATCH($B69,'Parametri Modello'!$A$12:$A$15,0))),0),"")</f>
        <v>81</v>
      </c>
      <c r="I69" s="26" t="n">
        <f aca="false">IFERROR(INDEX('Input Statistiche 2025_26'!$F$3:$F$665,MATCH($A69,'Input Statistiche 2025_26'!$A$3:$A$665,0)),"")</f>
        <v>37</v>
      </c>
      <c r="J69" s="26" t="n">
        <f aca="false">IFERROR(IF($I69="","",MAX(0,38-$I69)),"")</f>
        <v>1</v>
      </c>
      <c r="K69" s="26" t="n">
        <f aca="false">IFERROR(INDEX('Input Statistiche 2025_26'!$I$3:$I$665,MATCH($A69,'Input Statistiche 2025_26'!$A$3:$A$665,0)),"")</f>
        <v>0</v>
      </c>
      <c r="L69" s="26" t="n">
        <f aca="false">IFERROR(INDEX('Input Statistiche 2025_26'!$O$3:$O$665,MATCH($A69,'Input Statistiche 2025_26'!$A$3:$A$665,0)),"")</f>
        <v>0</v>
      </c>
      <c r="M69" s="28"/>
      <c r="N69" s="27" t="n">
        <f aca="false">IFERROR(INDEX('Input Giocatori 2026_27'!$E$3:$E$493,MATCH($A69,'Input Giocatori 2026_27'!$A$3:$A$493,0)),"")</f>
        <v>13</v>
      </c>
      <c r="O69" s="27" t="n">
        <f aca="false">IFERROR(INDEX('Input Giocatori 2026_27'!$G$3:$G$493,MATCH($A69,'Input Giocatori 2026_27'!$A$3:$A$493,0)),"")</f>
        <v>45</v>
      </c>
      <c r="P69" s="26" t="str">
        <f aca="false">IFERROR(IF($O69="","",IF((1-(COUNTIFS($B$2:$B$492,$B69,$O$2:$O$492,"&gt;"&amp;$O69)+1-1)/COUNTIF($B$2:$B$492,$B69))&gt;=0.85,"Top",IF((1-(COUNTIFS($B$2:$B$492,$B69,$O$2:$O$492,"&gt;"&amp;$O69)+1-1)/COUNTIF($B$2:$B$492,$B69))&gt;=0.6,"Buono",IF((1-(COUNTIFS($B$2:$B$492,$B69,$O$2:$O$492,"&gt;"&amp;$O69)+1-1)/COUNTIF($B$2:$B$492,$B69))&gt;=0.3,"Nella Media","Scommessa/Riserva")))),"")</f>
        <v>Top</v>
      </c>
      <c r="Q69" s="29" t="n">
        <f aca="false">IF($D69="",COUNTIF($D$2:$D69,""),"")</f>
        <v>68</v>
      </c>
      <c r="R69" s="29" t="str">
        <f aca="false">IF($D69='Info Lega'!$B$28,COUNTIFS($D$2:$D69,'Info Lega'!$B$28),"")</f>
        <v/>
      </c>
      <c r="S69" s="30" t="n">
        <f aca="false">IFERROR(INDEX('Input Statistiche 2025_26'!$G$3:$G$665,MATCH($A69,'Input Statistiche 2025_26'!$A$3:$A$665,0)),"")</f>
        <v>6.24</v>
      </c>
      <c r="T69" s="30" t="n">
        <f aca="false">IFERROR(INDEX('Input Statistiche 2025_26'!$H$3:$H$665,MATCH($A69,'Input Statistiche 2025_26'!$A$3:$A$665,0)),"")</f>
        <v>5</v>
      </c>
      <c r="U69" s="26" t="str">
        <f aca="false">IF(OR('La Mia Rosa'!$O$12="",$D69&lt;&gt;""),"",IF($F69&lt;='La Mia Rosa'!$O$12*'Parametri Modello'!$B$24,"OK",IF($F69&lt;='La Mia Rosa'!$O$12*'Parametri Modello'!$B$25,"Attenzione","Rischio Alto")))</f>
        <v>Attenzione</v>
      </c>
      <c r="V69" s="26" t="n">
        <f aca="false">IFERROR(COUNTIFS($B$2:$B$492,$B69,$O$2:$O$492,"&gt;"&amp;$O69)+1,"")</f>
        <v>6</v>
      </c>
      <c r="W69" s="21" t="n">
        <f aca="false">'Info Lega'!$B$4-SUMIFS($M$2:$M$492,$D$2:$D$492,'Info Lega'!$B$28)</f>
        <v>1000</v>
      </c>
      <c r="X69" s="21" t="n">
        <f aca="false">('Info Lega'!$B$5-COUNTIFS($D$2:$D$492,'Info Lega'!$B$28,$B$2:$B$492,"P"))+('Info Lega'!$B$6-COUNTIFS($D$2:$D$492,'Info Lega'!$B$28,$B$2:$B$492,"D"))+('Info Lega'!$B$7-COUNTIFS($D$2:$D$492,'Info Lega'!$B$28,$B$2:$B$492,"C"))+('Info Lega'!$B$8-COUNTIFS($D$2:$D$492,'Info Lega'!$B$28,$B$2:$B$492,"A"))</f>
        <v>25</v>
      </c>
      <c r="Y69" s="21" t="n">
        <f aca="false">X69*'Parametri Modello'!$B$30</f>
        <v>25</v>
      </c>
      <c r="Z69" s="21" t="n">
        <f aca="false">MAX(0,W69-Y69)</f>
        <v>975</v>
      </c>
      <c r="AA69" s="21" t="n">
        <f aca="false">MIN(F69,Z69)</f>
        <v>75</v>
      </c>
      <c r="AB69" s="21"/>
      <c r="AC69" s="21" t="str">
        <f aca="false">IF(AB69="","",IF(AB69&gt;AA69,"PASS",IF(AB69&lt;=AA69*0.85,"BID","ATTENZIONE")))</f>
        <v/>
      </c>
      <c r="AD69" s="31" t="n">
        <f aca="false">IF(I69="","",ROUND(100*(1-EXP(-I69/30)),0))</f>
        <v>71</v>
      </c>
      <c r="AE69" s="7" t="str">
        <f aca="false">IFERROR(INDEX('Stato Asta'!$G$9:$G$12,MATCH($B69,'Stato Asta'!$A$9:$A$12,0)),"")</f>
        <v>🟡 Attesa rischiosa</v>
      </c>
    </row>
    <row r="70" customFormat="false" ht="14.25" hidden="false" customHeight="true" outlineLevel="0" collapsed="false">
      <c r="A70" s="21" t="n">
        <v>572</v>
      </c>
      <c r="B70" s="21" t="s">
        <v>43</v>
      </c>
      <c r="C70" s="21" t="s">
        <v>124</v>
      </c>
      <c r="E70" s="26" t="str">
        <f aca="false">IF(COUNTIF('Info Strategia'!$D$2:$D$51,$C70)&gt;0,"SI","NO")</f>
        <v>NO</v>
      </c>
      <c r="F70" s="27" t="n">
        <f aca="false">IFERROR(ROUND(($G70+($H70-$G70)*'Info Strategia'!$B$6)*(1+IF($E70="SI",'Parametri Modello'!$B$7*'Info Strategia'!$B$6,0)),0),"")</f>
        <v>75</v>
      </c>
      <c r="G70" s="27" t="n">
        <f aca="false">IFERROR(ROUND(MAX(1,(IF($V70&lt;=INDEX('Parametri Modello'!$C$57:$C$60,MATCH($B70,'Parametri Modello'!$A$57:$A$60,0)),IF(INDEX('Parametri Modello'!$E$57:$E$60,MATCH($B70,'Parametri Modello'!$A$57:$A$60,0))=0,0,($O70/INDEX('Parametri Modello'!$E$57:$E$60,MATCH($B70,'Parametri Modello'!$A$57:$A$60,0)))*(INDEX('Parametri Modello'!$D$57:$D$60,MATCH($B70,'Parametri Modello'!$A$57:$A$60,0))*(INDEX('Parametri Modello'!$B$50:$B$53,MATCH($B70,'Parametri Modello'!$A$50:$A$53,0))*'Parametri Modello'!$B$44))),IF(INDEX('Parametri Modello'!$F$57:$F$60,MATCH($B70,'Parametri Modello'!$A$57:$A$60,0))=0,0,($O70/INDEX('Parametri Modello'!$F$57:$F$60,MATCH($B70,'Parametri Modello'!$A$57:$A$60,0)))*((1-INDEX('Parametri Modello'!$D$57:$D$60,MATCH($B70,'Parametri Modello'!$A$57:$A$60,0)))*(INDEX('Parametri Modello'!$B$50:$B$53,MATCH($B70,'Parametri Modello'!$A$50:$A$53,0))*'Parametri Modello'!$B$44))))*(1+IF(IF($B70="D",'Info Lega'!$B$25,IF($B70="C",'Info Lega'!$B$26,"No"))="Si",'Parametri Modello'!$B$5,0))*(1+MAX(-0.25,MIN(0.25,IF(OR($T70="",$I70="",$I70=0,INDEX('Parametri Modello'!$B$19:$B$22,MATCH($B70,'Parametri Modello'!$A$19:$A$22,0))="",INDEX('Parametri Modello'!$B$19:$B$22,MATCH($B70,'Parametri Modello'!$A$19:$A$22,0))=0),0,(($T70-INDEX('Parametri Modello'!$B$19:$B$22,MATCH($B70,'Parametri Modello'!$A$19:$A$22,0)))/INDEX('Parametri Modello'!$B$19:$B$22,MATCH($B70,'Parametri Modello'!$A$19:$A$22,0)))*'Parametri Modello'!$B$9))))*(1+IF('Parametri Modello'!$B$27="Si",MAX(-'Parametri Modello'!$B$28,MIN('Parametri Modello'!$B$28*1.5,IF(OR(INDEX('Parametri Modello'!$F$32:$F$35,MATCH($B70,'Parametri Modello'!$A$32:$A$35,0))="",INDEX('Parametri Modello'!$F$32:$F$35,MATCH($B70,'Parametri Modello'!$A$32:$A$35,0))=0),0,(1/INDEX('Parametri Modello'!$F$32:$F$35,MATCH($B70,'Parametri Modello'!$A$32:$A$35,0))-1)*'Parametri Modello'!$B$28))),0)))*(1-INDEX('Parametri Modello'!$B$12:$B$15,MATCH($B70,'Parametri Modello'!$A$12:$A$15,0)))),0),"")</f>
        <v>60</v>
      </c>
      <c r="H70" s="27" t="n">
        <f aca="false">IFERROR(ROUND((IF($V70&lt;=INDEX('Parametri Modello'!$C$57:$C$60,MATCH($B70,'Parametri Modello'!$A$57:$A$60,0)),IF(INDEX('Parametri Modello'!$E$57:$E$60,MATCH($B70,'Parametri Modello'!$A$57:$A$60,0))=0,0,($O70/INDEX('Parametri Modello'!$E$57:$E$60,MATCH($B70,'Parametri Modello'!$A$57:$A$60,0)))*(INDEX('Parametri Modello'!$D$57:$D$60,MATCH($B70,'Parametri Modello'!$A$57:$A$60,0))*(INDEX('Parametri Modello'!$B$50:$B$53,MATCH($B70,'Parametri Modello'!$A$50:$A$53,0))*'Parametri Modello'!$B$44))),IF(INDEX('Parametri Modello'!$F$57:$F$60,MATCH($B70,'Parametri Modello'!$A$57:$A$60,0))=0,0,($O70/INDEX('Parametri Modello'!$F$57:$F$60,MATCH($B70,'Parametri Modello'!$A$57:$A$60,0)))*((1-INDEX('Parametri Modello'!$D$57:$D$60,MATCH($B70,'Parametri Modello'!$A$57:$A$60,0)))*(INDEX('Parametri Modello'!$B$50:$B$53,MATCH($B70,'Parametri Modello'!$A$50:$A$53,0))*'Parametri Modello'!$B$44))))*(1+IF(IF($B70="D",'Info Lega'!$B$25,IF($B70="C",'Info Lega'!$B$26,"No"))="Si",'Parametri Modello'!$B$5,0))*(1+MAX(-0.25,MIN(0.25,IF(OR($T70="",$I70="",$I70=0,INDEX('Parametri Modello'!$B$19:$B$22,MATCH($B70,'Parametri Modello'!$A$19:$A$22,0))="",INDEX('Parametri Modello'!$B$19:$B$22,MATCH($B70,'Parametri Modello'!$A$19:$A$22,0))=0),0,(($T70-INDEX('Parametri Modello'!$B$19:$B$22,MATCH($B70,'Parametri Modello'!$A$19:$A$22,0)))/INDEX('Parametri Modello'!$B$19:$B$22,MATCH($B70,'Parametri Modello'!$A$19:$A$22,0)))*'Parametri Modello'!$B$9))))*(1+IF('Parametri Modello'!$B$27="Si",MAX(-'Parametri Modello'!$B$28,MIN('Parametri Modello'!$B$28*1.5,IF(OR(INDEX('Parametri Modello'!$F$32:$F$35,MATCH($B70,'Parametri Modello'!$A$32:$A$35,0))="",INDEX('Parametri Modello'!$F$32:$F$35,MATCH($B70,'Parametri Modello'!$A$32:$A$35,0))=0),0,(1/INDEX('Parametri Modello'!$F$32:$F$35,MATCH($B70,'Parametri Modello'!$A$32:$A$35,0))-1)*'Parametri Modello'!$B$28))),0)))*(1+INDEX('Parametri Modello'!$B$12:$B$15,MATCH($B70,'Parametri Modello'!$A$12:$A$15,0))),0),"")</f>
        <v>82</v>
      </c>
      <c r="I70" s="26" t="n">
        <f aca="false">IFERROR(INDEX('Input Statistiche 2025_26'!$F$3:$F$665,MATCH($A70,'Input Statistiche 2025_26'!$A$3:$A$665,0)),"")</f>
        <v>11</v>
      </c>
      <c r="J70" s="26" t="n">
        <f aca="false">IFERROR(IF($I70="","",MAX(0,38-$I70)),"")</f>
        <v>27</v>
      </c>
      <c r="K70" s="26" t="n">
        <f aca="false">IFERROR(INDEX('Input Statistiche 2025_26'!$I$3:$I$665,MATCH($A70,'Input Statistiche 2025_26'!$A$3:$A$665,0)),"")</f>
        <v>0</v>
      </c>
      <c r="L70" s="26" t="n">
        <f aca="false">IFERROR(INDEX('Input Statistiche 2025_26'!$O$3:$O$665,MATCH($A70,'Input Statistiche 2025_26'!$A$3:$A$665,0)),"")</f>
        <v>1</v>
      </c>
      <c r="M70" s="28"/>
      <c r="N70" s="27" t="n">
        <f aca="false">IFERROR(INDEX('Input Giocatori 2026_27'!$E$3:$E$493,MATCH($A70,'Input Giocatori 2026_27'!$A$3:$A$493,0)),"")</f>
        <v>11</v>
      </c>
      <c r="O70" s="27" t="n">
        <f aca="false">IFERROR(INDEX('Input Giocatori 2026_27'!$G$3:$G$493,MATCH($A70,'Input Giocatori 2026_27'!$A$3:$A$493,0)),"")</f>
        <v>45</v>
      </c>
      <c r="P70" s="26" t="str">
        <f aca="false">IFERROR(IF($O70="","",IF((1-(COUNTIFS($B$2:$B$492,$B70,$O$2:$O$492,"&gt;"&amp;$O70)+1-1)/COUNTIF($B$2:$B$492,$B70))&gt;=0.85,"Top",IF((1-(COUNTIFS($B$2:$B$492,$B70,$O$2:$O$492,"&gt;"&amp;$O70)+1-1)/COUNTIF($B$2:$B$492,$B70))&gt;=0.6,"Buono",IF((1-(COUNTIFS($B$2:$B$492,$B70,$O$2:$O$492,"&gt;"&amp;$O70)+1-1)/COUNTIF($B$2:$B$492,$B70))&gt;=0.3,"Nella Media","Scommessa/Riserva")))),"")</f>
        <v>Top</v>
      </c>
      <c r="Q70" s="29" t="n">
        <f aca="false">IF($D70="",COUNTIF($D$2:$D70,""),"")</f>
        <v>69</v>
      </c>
      <c r="R70" s="29" t="str">
        <f aca="false">IF($D70='Info Lega'!$B$28,COUNTIFS($D$2:$D70,'Info Lega'!$B$28),"")</f>
        <v/>
      </c>
      <c r="S70" s="30" t="n">
        <f aca="false">IFERROR(INDEX('Input Statistiche 2025_26'!$G$3:$G$665,MATCH($A70,'Input Statistiche 2025_26'!$A$3:$A$665,0)),"")</f>
        <v>6.23</v>
      </c>
      <c r="T70" s="30" t="n">
        <f aca="false">IFERROR(INDEX('Input Statistiche 2025_26'!$H$3:$H$665,MATCH($A70,'Input Statistiche 2025_26'!$A$3:$A$665,0)),"")</f>
        <v>5.18</v>
      </c>
      <c r="U70" s="26" t="str">
        <f aca="false">IF(OR('La Mia Rosa'!$O$12="",$D70&lt;&gt;""),"",IF($F70&lt;='La Mia Rosa'!$O$12*'Parametri Modello'!$B$24,"OK",IF($F70&lt;='La Mia Rosa'!$O$12*'Parametri Modello'!$B$25,"Attenzione","Rischio Alto")))</f>
        <v>Attenzione</v>
      </c>
      <c r="V70" s="26" t="n">
        <f aca="false">IFERROR(COUNTIFS($B$2:$B$492,$B70,$O$2:$O$492,"&gt;"&amp;$O70)+1,"")</f>
        <v>6</v>
      </c>
      <c r="W70" s="21" t="n">
        <f aca="false">'Info Lega'!$B$4-SUMIFS($M$2:$M$492,$D$2:$D$492,'Info Lega'!$B$28)</f>
        <v>1000</v>
      </c>
      <c r="X70" s="21" t="n">
        <f aca="false">('Info Lega'!$B$5-COUNTIFS($D$2:$D$492,'Info Lega'!$B$28,$B$2:$B$492,"P"))+('Info Lega'!$B$6-COUNTIFS($D$2:$D$492,'Info Lega'!$B$28,$B$2:$B$492,"D"))+('Info Lega'!$B$7-COUNTIFS($D$2:$D$492,'Info Lega'!$B$28,$B$2:$B$492,"C"))+('Info Lega'!$B$8-COUNTIFS($D$2:$D$492,'Info Lega'!$B$28,$B$2:$B$492,"A"))</f>
        <v>25</v>
      </c>
      <c r="Y70" s="21" t="n">
        <f aca="false">X70*'Parametri Modello'!$B$30</f>
        <v>25</v>
      </c>
      <c r="Z70" s="21" t="n">
        <f aca="false">MAX(0,W70-Y70)</f>
        <v>975</v>
      </c>
      <c r="AA70" s="21" t="n">
        <f aca="false">MIN(F70,Z70)</f>
        <v>75</v>
      </c>
      <c r="AB70" s="21"/>
      <c r="AC70" s="21" t="str">
        <f aca="false">IF(AB70="","",IF(AB70&gt;AA70,"PASS",IF(AB70&lt;=AA70*0.85,"BID","ATTENZIONE")))</f>
        <v/>
      </c>
      <c r="AD70" s="31" t="n">
        <f aca="false">IF(I70="","",ROUND(100*(1-EXP(-I70/30)),0))</f>
        <v>31</v>
      </c>
      <c r="AE70" s="7" t="str">
        <f aca="false">IFERROR(INDEX('Stato Asta'!$G$9:$G$12,MATCH($B70,'Stato Asta'!$A$9:$A$12,0)),"")</f>
        <v>🟡 Attesa rischiosa</v>
      </c>
    </row>
    <row r="71" customFormat="false" ht="14.25" hidden="false" customHeight="true" outlineLevel="0" collapsed="false">
      <c r="A71" s="21" t="n">
        <v>5792</v>
      </c>
      <c r="B71" s="21" t="s">
        <v>45</v>
      </c>
      <c r="C71" s="21" t="s">
        <v>383</v>
      </c>
      <c r="E71" s="26" t="str">
        <f aca="false">IF(COUNTIF('Info Strategia'!$D$2:$D$51,$C71)&gt;0,"SI","NO")</f>
        <v>NO</v>
      </c>
      <c r="F71" s="27" t="n">
        <f aca="false">IFERROR(ROUND(($G71+($H71-$G71)*'Info Strategia'!$B$6)*(1+IF($E71="SI",'Parametri Modello'!$B$7*'Info Strategia'!$B$6,0)),0),"")</f>
        <v>30</v>
      </c>
      <c r="G71" s="27" t="n">
        <f aca="false">IFERROR(ROUND(MAX(1,(IF($V71&lt;=INDEX('Parametri Modello'!$C$57:$C$60,MATCH($B71,'Parametri Modello'!$A$57:$A$60,0)),IF(INDEX('Parametri Modello'!$E$57:$E$60,MATCH($B71,'Parametri Modello'!$A$57:$A$60,0))=0,0,($O71/INDEX('Parametri Modello'!$E$57:$E$60,MATCH($B71,'Parametri Modello'!$A$57:$A$60,0)))*(INDEX('Parametri Modello'!$D$57:$D$60,MATCH($B71,'Parametri Modello'!$A$57:$A$60,0))*(INDEX('Parametri Modello'!$B$50:$B$53,MATCH($B71,'Parametri Modello'!$A$50:$A$53,0))*'Parametri Modello'!$B$44))),IF(INDEX('Parametri Modello'!$F$57:$F$60,MATCH($B71,'Parametri Modello'!$A$57:$A$60,0))=0,0,($O71/INDEX('Parametri Modello'!$F$57:$F$60,MATCH($B71,'Parametri Modello'!$A$57:$A$60,0)))*((1-INDEX('Parametri Modello'!$D$57:$D$60,MATCH($B71,'Parametri Modello'!$A$57:$A$60,0)))*(INDEX('Parametri Modello'!$B$50:$B$53,MATCH($B71,'Parametri Modello'!$A$50:$A$53,0))*'Parametri Modello'!$B$44))))*(1+IF(IF($B71="D",'Info Lega'!$B$25,IF($B71="C",'Info Lega'!$B$26,"No"))="Si",'Parametri Modello'!$B$5,0))*(1+MAX(-0.25,MIN(0.25,IF(OR($T71="",$I71="",$I71=0,INDEX('Parametri Modello'!$B$19:$B$22,MATCH($B71,'Parametri Modello'!$A$19:$A$22,0))="",INDEX('Parametri Modello'!$B$19:$B$22,MATCH($B71,'Parametri Modello'!$A$19:$A$22,0))=0),0,(($T71-INDEX('Parametri Modello'!$B$19:$B$22,MATCH($B71,'Parametri Modello'!$A$19:$A$22,0)))/INDEX('Parametri Modello'!$B$19:$B$22,MATCH($B71,'Parametri Modello'!$A$19:$A$22,0)))*'Parametri Modello'!$B$9))))*(1+IF('Parametri Modello'!$B$27="Si",MAX(-'Parametri Modello'!$B$28,MIN('Parametri Modello'!$B$28*1.5,IF(OR(INDEX('Parametri Modello'!$F$32:$F$35,MATCH($B71,'Parametri Modello'!$A$32:$A$35,0))="",INDEX('Parametri Modello'!$F$32:$F$35,MATCH($B71,'Parametri Modello'!$A$32:$A$35,0))=0),0,(1/INDEX('Parametri Modello'!$F$32:$F$35,MATCH($B71,'Parametri Modello'!$A$32:$A$35,0))-1)*'Parametri Modello'!$B$28))),0)))*(1-INDEX('Parametri Modello'!$B$12:$B$15,MATCH($B71,'Parametri Modello'!$A$12:$A$15,0)))),0),"")</f>
        <v>20</v>
      </c>
      <c r="H71" s="27" t="n">
        <f aca="false">IFERROR(ROUND((IF($V71&lt;=INDEX('Parametri Modello'!$C$57:$C$60,MATCH($B71,'Parametri Modello'!$A$57:$A$60,0)),IF(INDEX('Parametri Modello'!$E$57:$E$60,MATCH($B71,'Parametri Modello'!$A$57:$A$60,0))=0,0,($O71/INDEX('Parametri Modello'!$E$57:$E$60,MATCH($B71,'Parametri Modello'!$A$57:$A$60,0)))*(INDEX('Parametri Modello'!$D$57:$D$60,MATCH($B71,'Parametri Modello'!$A$57:$A$60,0))*(INDEX('Parametri Modello'!$B$50:$B$53,MATCH($B71,'Parametri Modello'!$A$50:$A$53,0))*'Parametri Modello'!$B$44))),IF(INDEX('Parametri Modello'!$F$57:$F$60,MATCH($B71,'Parametri Modello'!$A$57:$A$60,0))=0,0,($O71/INDEX('Parametri Modello'!$F$57:$F$60,MATCH($B71,'Parametri Modello'!$A$57:$A$60,0)))*((1-INDEX('Parametri Modello'!$D$57:$D$60,MATCH($B71,'Parametri Modello'!$A$57:$A$60,0)))*(INDEX('Parametri Modello'!$B$50:$B$53,MATCH($B71,'Parametri Modello'!$A$50:$A$53,0))*'Parametri Modello'!$B$44))))*(1+IF(IF($B71="D",'Info Lega'!$B$25,IF($B71="C",'Info Lega'!$B$26,"No"))="Si",'Parametri Modello'!$B$5,0))*(1+MAX(-0.25,MIN(0.25,IF(OR($T71="",$I71="",$I71=0,INDEX('Parametri Modello'!$B$19:$B$22,MATCH($B71,'Parametri Modello'!$A$19:$A$22,0))="",INDEX('Parametri Modello'!$B$19:$B$22,MATCH($B71,'Parametri Modello'!$A$19:$A$22,0))=0),0,(($T71-INDEX('Parametri Modello'!$B$19:$B$22,MATCH($B71,'Parametri Modello'!$A$19:$A$22,0)))/INDEX('Parametri Modello'!$B$19:$B$22,MATCH($B71,'Parametri Modello'!$A$19:$A$22,0)))*'Parametri Modello'!$B$9))))*(1+IF('Parametri Modello'!$B$27="Si",MAX(-'Parametri Modello'!$B$28,MIN('Parametri Modello'!$B$28*1.5,IF(OR(INDEX('Parametri Modello'!$F$32:$F$35,MATCH($B71,'Parametri Modello'!$A$32:$A$35,0))="",INDEX('Parametri Modello'!$F$32:$F$35,MATCH($B71,'Parametri Modello'!$A$32:$A$35,0))=0),0,(1/INDEX('Parametri Modello'!$F$32:$F$35,MATCH($B71,'Parametri Modello'!$A$32:$A$35,0))-1)*'Parametri Modello'!$B$28))),0)))*(1+INDEX('Parametri Modello'!$B$12:$B$15,MATCH($B71,'Parametri Modello'!$A$12:$A$15,0))),0),"")</f>
        <v>34</v>
      </c>
      <c r="I71" s="26" t="n">
        <f aca="false">IFERROR(INDEX('Input Statistiche 2025_26'!$F$3:$F$665,MATCH($A71,'Input Statistiche 2025_26'!$A$3:$A$665,0)),"")</f>
        <v>30</v>
      </c>
      <c r="J71" s="26" t="n">
        <f aca="false">IFERROR(IF($I71="","",MAX(0,38-$I71)),"")</f>
        <v>8</v>
      </c>
      <c r="K71" s="26" t="n">
        <f aca="false">IFERROR(INDEX('Input Statistiche 2025_26'!$I$3:$I$665,MATCH($A71,'Input Statistiche 2025_26'!$A$3:$A$665,0)),"")</f>
        <v>2</v>
      </c>
      <c r="L71" s="26" t="n">
        <f aca="false">IFERROR(INDEX('Input Statistiche 2025_26'!$O$3:$O$665,MATCH($A71,'Input Statistiche 2025_26'!$A$3:$A$665,0)),"")</f>
        <v>1</v>
      </c>
      <c r="M71" s="28"/>
      <c r="N71" s="27" t="n">
        <f aca="false">IFERROR(INDEX('Input Giocatori 2026_27'!$E$3:$E$493,MATCH($A71,'Input Giocatori 2026_27'!$A$3:$A$493,0)),"")</f>
        <v>12</v>
      </c>
      <c r="O71" s="27" t="n">
        <f aca="false">IFERROR(INDEX('Input Giocatori 2026_27'!$G$3:$G$493,MATCH($A71,'Input Giocatori 2026_27'!$A$3:$A$493,0)),"")</f>
        <v>45</v>
      </c>
      <c r="P71" s="26" t="str">
        <f aca="false">IFERROR(IF($O71="","",IF((1-(COUNTIFS($B$2:$B$492,$B71,$O$2:$O$492,"&gt;"&amp;$O71)+1-1)/COUNTIF($B$2:$B$492,$B71))&gt;=0.85,"Top",IF((1-(COUNTIFS($B$2:$B$492,$B71,$O$2:$O$492,"&gt;"&amp;$O71)+1-1)/COUNTIF($B$2:$B$492,$B71))&gt;=0.6,"Buono",IF((1-(COUNTIFS($B$2:$B$492,$B71,$O$2:$O$492,"&gt;"&amp;$O71)+1-1)/COUNTIF($B$2:$B$492,$B71))&gt;=0.3,"Nella Media","Scommessa/Riserva")))),"")</f>
        <v>Top</v>
      </c>
      <c r="Q71" s="29" t="n">
        <f aca="false">IF($D71="",COUNTIF($D$2:$D71,""),"")</f>
        <v>70</v>
      </c>
      <c r="R71" s="29" t="str">
        <f aca="false">IF($D71='Info Lega'!$B$28,COUNTIFS($D$2:$D71,'Info Lega'!$B$28),"")</f>
        <v/>
      </c>
      <c r="S71" s="30" t="n">
        <f aca="false">IFERROR(INDEX('Input Statistiche 2025_26'!$G$3:$G$665,MATCH($A71,'Input Statistiche 2025_26'!$A$3:$A$665,0)),"")</f>
        <v>6.25</v>
      </c>
      <c r="T71" s="30" t="n">
        <f aca="false">IFERROR(INDEX('Input Statistiche 2025_26'!$H$3:$H$665,MATCH($A71,'Input Statistiche 2025_26'!$A$3:$A$665,0)),"")</f>
        <v>6.43</v>
      </c>
      <c r="U71" s="26" t="str">
        <f aca="false">IF(OR('La Mia Rosa'!$O$12="",$D71&lt;&gt;""),"",IF($F71&lt;='La Mia Rosa'!$O$12*'Parametri Modello'!$B$24,"OK",IF($F71&lt;='La Mia Rosa'!$O$12*'Parametri Modello'!$B$25,"Attenzione","Rischio Alto")))</f>
        <v>OK</v>
      </c>
      <c r="V71" s="26" t="n">
        <f aca="false">IFERROR(COUNTIFS($B$2:$B$492,$B71,$O$2:$O$492,"&gt;"&amp;$O71)+1,"")</f>
        <v>23</v>
      </c>
      <c r="W71" s="21" t="n">
        <f aca="false">'Info Lega'!$B$4-SUMIFS($M$2:$M$492,$D$2:$D$492,'Info Lega'!$B$28)</f>
        <v>1000</v>
      </c>
      <c r="X71" s="21" t="n">
        <f aca="false">('Info Lega'!$B$5-COUNTIFS($D$2:$D$492,'Info Lega'!$B$28,$B$2:$B$492,"P"))+('Info Lega'!$B$6-COUNTIFS($D$2:$D$492,'Info Lega'!$B$28,$B$2:$B$492,"D"))+('Info Lega'!$B$7-COUNTIFS($D$2:$D$492,'Info Lega'!$B$28,$B$2:$B$492,"C"))+('Info Lega'!$B$8-COUNTIFS($D$2:$D$492,'Info Lega'!$B$28,$B$2:$B$492,"A"))</f>
        <v>25</v>
      </c>
      <c r="Y71" s="21" t="n">
        <f aca="false">X71*'Parametri Modello'!$B$30</f>
        <v>25</v>
      </c>
      <c r="Z71" s="21" t="n">
        <f aca="false">MAX(0,W71-Y71)</f>
        <v>975</v>
      </c>
      <c r="AA71" s="21" t="n">
        <f aca="false">MIN(F71,Z71)</f>
        <v>30</v>
      </c>
      <c r="AB71" s="21"/>
      <c r="AC71" s="21" t="str">
        <f aca="false">IF(AB71="","",IF(AB71&gt;AA71,"PASS",IF(AB71&lt;=AA71*0.85,"BID","ATTENZIONE")))</f>
        <v/>
      </c>
      <c r="AD71" s="31" t="n">
        <f aca="false">IF(I71="","",ROUND(100*(1-EXP(-I71/30)),0))</f>
        <v>63</v>
      </c>
      <c r="AE71" s="7" t="str">
        <f aca="false">IFERROR(INDEX('Stato Asta'!$G$9:$G$12,MATCH($B71,'Stato Asta'!$A$9:$A$12,0)),"")</f>
        <v>🟡 Attesa rischiosa</v>
      </c>
    </row>
    <row r="72" customFormat="false" ht="14.25" hidden="false" customHeight="true" outlineLevel="0" collapsed="false">
      <c r="A72" s="21" t="n">
        <v>2531</v>
      </c>
      <c r="B72" s="21" t="s">
        <v>46</v>
      </c>
      <c r="C72" s="21" t="s">
        <v>571</v>
      </c>
      <c r="E72" s="26" t="str">
        <f aca="false">IF(COUNTIF('Info Strategia'!$D$2:$D$51,$C72)&gt;0,"SI","NO")</f>
        <v>NO</v>
      </c>
      <c r="F72" s="27" t="n">
        <f aca="false">IFERROR(ROUND(($G72+($H72-$G72)*'Info Strategia'!$B$6)*(1+IF($E72="SI",'Parametri Modello'!$B$7*'Info Strategia'!$B$6,0)),0),"")</f>
        <v>16</v>
      </c>
      <c r="G72" s="27" t="n">
        <f aca="false">IFERROR(ROUND(MAX(1,(IF($V72&lt;=INDEX('Parametri Modello'!$C$57:$C$60,MATCH($B72,'Parametri Modello'!$A$57:$A$60,0)),IF(INDEX('Parametri Modello'!$E$57:$E$60,MATCH($B72,'Parametri Modello'!$A$57:$A$60,0))=0,0,($O72/INDEX('Parametri Modello'!$E$57:$E$60,MATCH($B72,'Parametri Modello'!$A$57:$A$60,0)))*(INDEX('Parametri Modello'!$D$57:$D$60,MATCH($B72,'Parametri Modello'!$A$57:$A$60,0))*(INDEX('Parametri Modello'!$B$50:$B$53,MATCH($B72,'Parametri Modello'!$A$50:$A$53,0))*'Parametri Modello'!$B$44))),IF(INDEX('Parametri Modello'!$F$57:$F$60,MATCH($B72,'Parametri Modello'!$A$57:$A$60,0))=0,0,($O72/INDEX('Parametri Modello'!$F$57:$F$60,MATCH($B72,'Parametri Modello'!$A$57:$A$60,0)))*((1-INDEX('Parametri Modello'!$D$57:$D$60,MATCH($B72,'Parametri Modello'!$A$57:$A$60,0)))*(INDEX('Parametri Modello'!$B$50:$B$53,MATCH($B72,'Parametri Modello'!$A$50:$A$53,0))*'Parametri Modello'!$B$44))))*(1+IF(IF($B72="D",'Info Lega'!$B$25,IF($B72="C",'Info Lega'!$B$26,"No"))="Si",'Parametri Modello'!$B$5,0))*(1+MAX(-0.25,MIN(0.25,IF(OR($T72="",$I72="",$I72=0,INDEX('Parametri Modello'!$B$19:$B$22,MATCH($B72,'Parametri Modello'!$A$19:$A$22,0))="",INDEX('Parametri Modello'!$B$19:$B$22,MATCH($B72,'Parametri Modello'!$A$19:$A$22,0))=0),0,(($T72-INDEX('Parametri Modello'!$B$19:$B$22,MATCH($B72,'Parametri Modello'!$A$19:$A$22,0)))/INDEX('Parametri Modello'!$B$19:$B$22,MATCH($B72,'Parametri Modello'!$A$19:$A$22,0)))*'Parametri Modello'!$B$9))))*(1+IF('Parametri Modello'!$B$27="Si",MAX(-'Parametri Modello'!$B$28,MIN('Parametri Modello'!$B$28*1.5,IF(OR(INDEX('Parametri Modello'!$F$32:$F$35,MATCH($B72,'Parametri Modello'!$A$32:$A$35,0))="",INDEX('Parametri Modello'!$F$32:$F$35,MATCH($B72,'Parametri Modello'!$A$32:$A$35,0))=0),0,(1/INDEX('Parametri Modello'!$F$32:$F$35,MATCH($B72,'Parametri Modello'!$A$32:$A$35,0))-1)*'Parametri Modello'!$B$28))),0)))*(1-INDEX('Parametri Modello'!$B$12:$B$15,MATCH($B72,'Parametri Modello'!$A$12:$A$15,0)))),0),"")</f>
        <v>10</v>
      </c>
      <c r="H72" s="27" t="n">
        <f aca="false">IFERROR(ROUND((IF($V72&lt;=INDEX('Parametri Modello'!$C$57:$C$60,MATCH($B72,'Parametri Modello'!$A$57:$A$60,0)),IF(INDEX('Parametri Modello'!$E$57:$E$60,MATCH($B72,'Parametri Modello'!$A$57:$A$60,0))=0,0,($O72/INDEX('Parametri Modello'!$E$57:$E$60,MATCH($B72,'Parametri Modello'!$A$57:$A$60,0)))*(INDEX('Parametri Modello'!$D$57:$D$60,MATCH($B72,'Parametri Modello'!$A$57:$A$60,0))*(INDEX('Parametri Modello'!$B$50:$B$53,MATCH($B72,'Parametri Modello'!$A$50:$A$53,0))*'Parametri Modello'!$B$44))),IF(INDEX('Parametri Modello'!$F$57:$F$60,MATCH($B72,'Parametri Modello'!$A$57:$A$60,0))=0,0,($O72/INDEX('Parametri Modello'!$F$57:$F$60,MATCH($B72,'Parametri Modello'!$A$57:$A$60,0)))*((1-INDEX('Parametri Modello'!$D$57:$D$60,MATCH($B72,'Parametri Modello'!$A$57:$A$60,0)))*(INDEX('Parametri Modello'!$B$50:$B$53,MATCH($B72,'Parametri Modello'!$A$50:$A$53,0))*'Parametri Modello'!$B$44))))*(1+IF(IF($B72="D",'Info Lega'!$B$25,IF($B72="C",'Info Lega'!$B$26,"No"))="Si",'Parametri Modello'!$B$5,0))*(1+MAX(-0.25,MIN(0.25,IF(OR($T72="",$I72="",$I72=0,INDEX('Parametri Modello'!$B$19:$B$22,MATCH($B72,'Parametri Modello'!$A$19:$A$22,0))="",INDEX('Parametri Modello'!$B$19:$B$22,MATCH($B72,'Parametri Modello'!$A$19:$A$22,0))=0),0,(($T72-INDEX('Parametri Modello'!$B$19:$B$22,MATCH($B72,'Parametri Modello'!$A$19:$A$22,0)))/INDEX('Parametri Modello'!$B$19:$B$22,MATCH($B72,'Parametri Modello'!$A$19:$A$22,0)))*'Parametri Modello'!$B$9))))*(1+IF('Parametri Modello'!$B$27="Si",MAX(-'Parametri Modello'!$B$28,MIN('Parametri Modello'!$B$28*1.5,IF(OR(INDEX('Parametri Modello'!$F$32:$F$35,MATCH($B72,'Parametri Modello'!$A$32:$A$35,0))="",INDEX('Parametri Modello'!$F$32:$F$35,MATCH($B72,'Parametri Modello'!$A$32:$A$35,0))=0),0,(1/INDEX('Parametri Modello'!$F$32:$F$35,MATCH($B72,'Parametri Modello'!$A$32:$A$35,0))-1)*'Parametri Modello'!$B$28))),0)))*(1+INDEX('Parametri Modello'!$B$12:$B$15,MATCH($B72,'Parametri Modello'!$A$12:$A$15,0))),0),"")</f>
        <v>18</v>
      </c>
      <c r="I72" s="26" t="n">
        <f aca="false">IFERROR(INDEX('Input Statistiche 2025_26'!$F$3:$F$665,MATCH($A72,'Input Statistiche 2025_26'!$A$3:$A$665,0)),"")</f>
        <v>1</v>
      </c>
      <c r="J72" s="26" t="n">
        <f aca="false">IFERROR(IF($I72="","",MAX(0,38-$I72)),"")</f>
        <v>37</v>
      </c>
      <c r="K72" s="26" t="n">
        <f aca="false">IFERROR(INDEX('Input Statistiche 2025_26'!$I$3:$I$665,MATCH($A72,'Input Statistiche 2025_26'!$A$3:$A$665,0)),"")</f>
        <v>1</v>
      </c>
      <c r="L72" s="26" t="n">
        <f aca="false">IFERROR(INDEX('Input Statistiche 2025_26'!$O$3:$O$665,MATCH($A72,'Input Statistiche 2025_26'!$A$3:$A$665,0)),"")</f>
        <v>0</v>
      </c>
      <c r="M72" s="28"/>
      <c r="N72" s="27" t="n">
        <f aca="false">IFERROR(INDEX('Input Giocatori 2026_27'!$E$3:$E$493,MATCH($A72,'Input Giocatori 2026_27'!$A$3:$A$493,0)),"")</f>
        <v>10</v>
      </c>
      <c r="O72" s="27" t="n">
        <f aca="false">IFERROR(INDEX('Input Giocatori 2026_27'!$G$3:$G$493,MATCH($A72,'Input Giocatori 2026_27'!$A$3:$A$493,0)),"")</f>
        <v>45</v>
      </c>
      <c r="P72" s="26" t="str">
        <f aca="false">IFERROR(IF($O72="","",IF((1-(COUNTIFS($B$2:$B$492,$B72,$O$2:$O$492,"&gt;"&amp;$O72)+1-1)/COUNTIF($B$2:$B$492,$B72))&gt;=0.85,"Top",IF((1-(COUNTIFS($B$2:$B$492,$B72,$O$2:$O$492,"&gt;"&amp;$O72)+1-1)/COUNTIF($B$2:$B$492,$B72))&gt;=0.6,"Buono",IF((1-(COUNTIFS($B$2:$B$492,$B72,$O$2:$O$492,"&gt;"&amp;$O72)+1-1)/COUNTIF($B$2:$B$492,$B72))&gt;=0.3,"Nella Media","Scommessa/Riserva")))),"")</f>
        <v>Buono</v>
      </c>
      <c r="Q72" s="29" t="n">
        <f aca="false">IF($D72="",COUNTIF($D$2:$D72,""),"")</f>
        <v>71</v>
      </c>
      <c r="R72" s="29" t="str">
        <f aca="false">IF($D72='Info Lega'!$B$28,COUNTIFS($D$2:$D72,'Info Lega'!$B$28),"")</f>
        <v/>
      </c>
      <c r="S72" s="30" t="n">
        <f aca="false">IFERROR(INDEX('Input Statistiche 2025_26'!$G$3:$G$665,MATCH($A72,'Input Statistiche 2025_26'!$A$3:$A$665,0)),"")</f>
        <v>7</v>
      </c>
      <c r="T72" s="30" t="n">
        <f aca="false">IFERROR(INDEX('Input Statistiche 2025_26'!$H$3:$H$665,MATCH($A72,'Input Statistiche 2025_26'!$A$3:$A$665,0)),"")</f>
        <v>9.5</v>
      </c>
      <c r="U72" s="26" t="str">
        <f aca="false">IF(OR('La Mia Rosa'!$O$12="",$D72&lt;&gt;""),"",IF($F72&lt;='La Mia Rosa'!$O$12*'Parametri Modello'!$B$24,"OK",IF($F72&lt;='La Mia Rosa'!$O$12*'Parametri Modello'!$B$25,"Attenzione","Rischio Alto")))</f>
        <v>OK</v>
      </c>
      <c r="V72" s="26" t="n">
        <f aca="false">IFERROR(COUNTIFS($B$2:$B$492,$B72,$O$2:$O$492,"&gt;"&amp;$O72)+1,"")</f>
        <v>32</v>
      </c>
      <c r="W72" s="21" t="n">
        <f aca="false">'Info Lega'!$B$4-SUMIFS($M$2:$M$492,$D$2:$D$492,'Info Lega'!$B$28)</f>
        <v>1000</v>
      </c>
      <c r="X72" s="21" t="n">
        <f aca="false">('Info Lega'!$B$5-COUNTIFS($D$2:$D$492,'Info Lega'!$B$28,$B$2:$B$492,"P"))+('Info Lega'!$B$6-COUNTIFS($D$2:$D$492,'Info Lega'!$B$28,$B$2:$B$492,"D"))+('Info Lega'!$B$7-COUNTIFS($D$2:$D$492,'Info Lega'!$B$28,$B$2:$B$492,"C"))+('Info Lega'!$B$8-COUNTIFS($D$2:$D$492,'Info Lega'!$B$28,$B$2:$B$492,"A"))</f>
        <v>25</v>
      </c>
      <c r="Y72" s="21" t="n">
        <f aca="false">X72*'Parametri Modello'!$B$30</f>
        <v>25</v>
      </c>
      <c r="Z72" s="21" t="n">
        <f aca="false">MAX(0,W72-Y72)</f>
        <v>975</v>
      </c>
      <c r="AA72" s="21" t="n">
        <f aca="false">MIN(F72,Z72)</f>
        <v>16</v>
      </c>
      <c r="AB72" s="21"/>
      <c r="AC72" s="21" t="str">
        <f aca="false">IF(AB72="","",IF(AB72&gt;AA72,"PASS",IF(AB72&lt;=AA72*0.85,"BID","ATTENZIONE")))</f>
        <v/>
      </c>
      <c r="AD72" s="31" t="n">
        <f aca="false">IF(I72="","",ROUND(100*(1-EXP(-I72/30)),0))</f>
        <v>3</v>
      </c>
      <c r="AE72" s="7" t="str">
        <f aca="false">IFERROR(INDEX('Stato Asta'!$G$9:$G$12,MATCH($B72,'Stato Asta'!$A$9:$A$12,0)),"")</f>
        <v>🔴 Non aspettare</v>
      </c>
    </row>
    <row r="73" customFormat="false" ht="14.25" hidden="false" customHeight="true" outlineLevel="0" collapsed="false">
      <c r="A73" s="21" t="n">
        <v>2120</v>
      </c>
      <c r="B73" s="21" t="s">
        <v>44</v>
      </c>
      <c r="C73" s="21" t="s">
        <v>196</v>
      </c>
      <c r="E73" s="26" t="str">
        <f aca="false">IF(COUNTIF('Info Strategia'!$D$2:$D$51,$C73)&gt;0,"SI","NO")</f>
        <v>NO</v>
      </c>
      <c r="F73" s="27" t="n">
        <f aca="false">IFERROR(ROUND(($G73+($H73-$G73)*'Info Strategia'!$B$6)*(1+IF($E73="SI",'Parametri Modello'!$B$7*'Info Strategia'!$B$6,0)),0),"")</f>
        <v>30</v>
      </c>
      <c r="G73" s="27" t="n">
        <f aca="false">IFERROR(ROUND(MAX(1,(IF($V73&lt;=INDEX('Parametri Modello'!$C$57:$C$60,MATCH($B73,'Parametri Modello'!$A$57:$A$60,0)),IF(INDEX('Parametri Modello'!$E$57:$E$60,MATCH($B73,'Parametri Modello'!$A$57:$A$60,0))=0,0,($O73/INDEX('Parametri Modello'!$E$57:$E$60,MATCH($B73,'Parametri Modello'!$A$57:$A$60,0)))*(INDEX('Parametri Modello'!$D$57:$D$60,MATCH($B73,'Parametri Modello'!$A$57:$A$60,0))*(INDEX('Parametri Modello'!$B$50:$B$53,MATCH($B73,'Parametri Modello'!$A$50:$A$53,0))*'Parametri Modello'!$B$44))),IF(INDEX('Parametri Modello'!$F$57:$F$60,MATCH($B73,'Parametri Modello'!$A$57:$A$60,0))=0,0,($O73/INDEX('Parametri Modello'!$F$57:$F$60,MATCH($B73,'Parametri Modello'!$A$57:$A$60,0)))*((1-INDEX('Parametri Modello'!$D$57:$D$60,MATCH($B73,'Parametri Modello'!$A$57:$A$60,0)))*(INDEX('Parametri Modello'!$B$50:$B$53,MATCH($B73,'Parametri Modello'!$A$50:$A$53,0))*'Parametri Modello'!$B$44))))*(1+IF(IF($B73="D",'Info Lega'!$B$25,IF($B73="C",'Info Lega'!$B$26,"No"))="Si",'Parametri Modello'!$B$5,0))*(1+MAX(-0.25,MIN(0.25,IF(OR($T73="",$I73="",$I73=0,INDEX('Parametri Modello'!$B$19:$B$22,MATCH($B73,'Parametri Modello'!$A$19:$A$22,0))="",INDEX('Parametri Modello'!$B$19:$B$22,MATCH($B73,'Parametri Modello'!$A$19:$A$22,0))=0),0,(($T73-INDEX('Parametri Modello'!$B$19:$B$22,MATCH($B73,'Parametri Modello'!$A$19:$A$22,0)))/INDEX('Parametri Modello'!$B$19:$B$22,MATCH($B73,'Parametri Modello'!$A$19:$A$22,0)))*'Parametri Modello'!$B$9))))*(1+IF('Parametri Modello'!$B$27="Si",MAX(-'Parametri Modello'!$B$28,MIN('Parametri Modello'!$B$28*1.5,IF(OR(INDEX('Parametri Modello'!$F$32:$F$35,MATCH($B73,'Parametri Modello'!$A$32:$A$35,0))="",INDEX('Parametri Modello'!$F$32:$F$35,MATCH($B73,'Parametri Modello'!$A$32:$A$35,0))=0),0,(1/INDEX('Parametri Modello'!$F$32:$F$35,MATCH($B73,'Parametri Modello'!$A$32:$A$35,0))-1)*'Parametri Modello'!$B$28))),0)))*(1-INDEX('Parametri Modello'!$B$12:$B$15,MATCH($B73,'Parametri Modello'!$A$12:$A$15,0)))),0),"")</f>
        <v>22</v>
      </c>
      <c r="H73" s="27" t="n">
        <f aca="false">IFERROR(ROUND((IF($V73&lt;=INDEX('Parametri Modello'!$C$57:$C$60,MATCH($B73,'Parametri Modello'!$A$57:$A$60,0)),IF(INDEX('Parametri Modello'!$E$57:$E$60,MATCH($B73,'Parametri Modello'!$A$57:$A$60,0))=0,0,($O73/INDEX('Parametri Modello'!$E$57:$E$60,MATCH($B73,'Parametri Modello'!$A$57:$A$60,0)))*(INDEX('Parametri Modello'!$D$57:$D$60,MATCH($B73,'Parametri Modello'!$A$57:$A$60,0))*(INDEX('Parametri Modello'!$B$50:$B$53,MATCH($B73,'Parametri Modello'!$A$50:$A$53,0))*'Parametri Modello'!$B$44))),IF(INDEX('Parametri Modello'!$F$57:$F$60,MATCH($B73,'Parametri Modello'!$A$57:$A$60,0))=0,0,($O73/INDEX('Parametri Modello'!$F$57:$F$60,MATCH($B73,'Parametri Modello'!$A$57:$A$60,0)))*((1-INDEX('Parametri Modello'!$D$57:$D$60,MATCH($B73,'Parametri Modello'!$A$57:$A$60,0)))*(INDEX('Parametri Modello'!$B$50:$B$53,MATCH($B73,'Parametri Modello'!$A$50:$A$53,0))*'Parametri Modello'!$B$44))))*(1+IF(IF($B73="D",'Info Lega'!$B$25,IF($B73="C",'Info Lega'!$B$26,"No"))="Si",'Parametri Modello'!$B$5,0))*(1+MAX(-0.25,MIN(0.25,IF(OR($T73="",$I73="",$I73=0,INDEX('Parametri Modello'!$B$19:$B$22,MATCH($B73,'Parametri Modello'!$A$19:$A$22,0))="",INDEX('Parametri Modello'!$B$19:$B$22,MATCH($B73,'Parametri Modello'!$A$19:$A$22,0))=0),0,(($T73-INDEX('Parametri Modello'!$B$19:$B$22,MATCH($B73,'Parametri Modello'!$A$19:$A$22,0)))/INDEX('Parametri Modello'!$B$19:$B$22,MATCH($B73,'Parametri Modello'!$A$19:$A$22,0)))*'Parametri Modello'!$B$9))))*(1+IF('Parametri Modello'!$B$27="Si",MAX(-'Parametri Modello'!$B$28,MIN('Parametri Modello'!$B$28*1.5,IF(OR(INDEX('Parametri Modello'!$F$32:$F$35,MATCH($B73,'Parametri Modello'!$A$32:$A$35,0))="",INDEX('Parametri Modello'!$F$32:$F$35,MATCH($B73,'Parametri Modello'!$A$32:$A$35,0))=0),0,(1/INDEX('Parametri Modello'!$F$32:$F$35,MATCH($B73,'Parametri Modello'!$A$32:$A$35,0))-1)*'Parametri Modello'!$B$28))),0)))*(1+INDEX('Parametri Modello'!$B$12:$B$15,MATCH($B73,'Parametri Modello'!$A$12:$A$15,0))),0),"")</f>
        <v>34</v>
      </c>
      <c r="I73" s="26" t="n">
        <f aca="false">IFERROR(INDEX('Input Statistiche 2025_26'!$F$3:$F$665,MATCH($A73,'Input Statistiche 2025_26'!$A$3:$A$665,0)),"")</f>
        <v>28</v>
      </c>
      <c r="J73" s="26" t="n">
        <f aca="false">IFERROR(IF($I73="","",MAX(0,38-$I73)),"")</f>
        <v>10</v>
      </c>
      <c r="K73" s="26" t="n">
        <f aca="false">IFERROR(INDEX('Input Statistiche 2025_26'!$I$3:$I$665,MATCH($A73,'Input Statistiche 2025_26'!$A$3:$A$665,0)),"")</f>
        <v>1</v>
      </c>
      <c r="L73" s="26" t="n">
        <f aca="false">IFERROR(INDEX('Input Statistiche 2025_26'!$O$3:$O$665,MATCH($A73,'Input Statistiche 2025_26'!$A$3:$A$665,0)),"")</f>
        <v>4</v>
      </c>
      <c r="M73" s="28"/>
      <c r="N73" s="27" t="n">
        <f aca="false">IFERROR(INDEX('Input Giocatori 2026_27'!$E$3:$E$493,MATCH($A73,'Input Giocatori 2026_27'!$A$3:$A$493,0)),"")</f>
        <v>14</v>
      </c>
      <c r="O73" s="27" t="n">
        <f aca="false">IFERROR(INDEX('Input Giocatori 2026_27'!$G$3:$G$493,MATCH($A73,'Input Giocatori 2026_27'!$A$3:$A$493,0)),"")</f>
        <v>44</v>
      </c>
      <c r="P73" s="26" t="str">
        <f aca="false">IFERROR(IF($O73="","",IF((1-(COUNTIFS($B$2:$B$492,$B73,$O$2:$O$492,"&gt;"&amp;$O73)+1-1)/COUNTIF($B$2:$B$492,$B73))&gt;=0.85,"Top",IF((1-(COUNTIFS($B$2:$B$492,$B73,$O$2:$O$492,"&gt;"&amp;$O73)+1-1)/COUNTIF($B$2:$B$492,$B73))&gt;=0.6,"Buono",IF((1-(COUNTIFS($B$2:$B$492,$B73,$O$2:$O$492,"&gt;"&amp;$O73)+1-1)/COUNTIF($B$2:$B$492,$B73))&gt;=0.3,"Nella Media","Scommessa/Riserva")))),"")</f>
        <v>Top</v>
      </c>
      <c r="Q73" s="29" t="n">
        <f aca="false">IF($D73="",COUNTIF($D$2:$D73,""),"")</f>
        <v>72</v>
      </c>
      <c r="R73" s="29" t="str">
        <f aca="false">IF($D73='Info Lega'!$B$28,COUNTIFS($D$2:$D73,'Info Lega'!$B$28),"")</f>
        <v/>
      </c>
      <c r="S73" s="30" t="n">
        <f aca="false">IFERROR(INDEX('Input Statistiche 2025_26'!$G$3:$G$665,MATCH($A73,'Input Statistiche 2025_26'!$A$3:$A$665,0)),"")</f>
        <v>6.2</v>
      </c>
      <c r="T73" s="30" t="n">
        <f aca="false">IFERROR(INDEX('Input Statistiche 2025_26'!$H$3:$H$665,MATCH($A73,'Input Statistiche 2025_26'!$A$3:$A$665,0)),"")</f>
        <v>6.34</v>
      </c>
      <c r="U73" s="26" t="str">
        <f aca="false">IF(OR('La Mia Rosa'!$O$12="",$D73&lt;&gt;""),"",IF($F73&lt;='La Mia Rosa'!$O$12*'Parametri Modello'!$B$24,"OK",IF($F73&lt;='La Mia Rosa'!$O$12*'Parametri Modello'!$B$25,"Attenzione","Rischio Alto")))</f>
        <v>OK</v>
      </c>
      <c r="V73" s="26" t="n">
        <f aca="false">IFERROR(COUNTIFS($B$2:$B$492,$B73,$O$2:$O$492,"&gt;"&amp;$O73)+1,"")</f>
        <v>10</v>
      </c>
      <c r="W73" s="21" t="n">
        <f aca="false">'Info Lega'!$B$4-SUMIFS($M$2:$M$492,$D$2:$D$492,'Info Lega'!$B$28)</f>
        <v>1000</v>
      </c>
      <c r="X73" s="21" t="n">
        <f aca="false">('Info Lega'!$B$5-COUNTIFS($D$2:$D$492,'Info Lega'!$B$28,$B$2:$B$492,"P"))+('Info Lega'!$B$6-COUNTIFS($D$2:$D$492,'Info Lega'!$B$28,$B$2:$B$492,"D"))+('Info Lega'!$B$7-COUNTIFS($D$2:$D$492,'Info Lega'!$B$28,$B$2:$B$492,"C"))+('Info Lega'!$B$8-COUNTIFS($D$2:$D$492,'Info Lega'!$B$28,$B$2:$B$492,"A"))</f>
        <v>25</v>
      </c>
      <c r="Y73" s="21" t="n">
        <f aca="false">X73*'Parametri Modello'!$B$30</f>
        <v>25</v>
      </c>
      <c r="Z73" s="21" t="n">
        <f aca="false">MAX(0,W73-Y73)</f>
        <v>975</v>
      </c>
      <c r="AA73" s="21" t="n">
        <f aca="false">MIN(F73,Z73)</f>
        <v>30</v>
      </c>
      <c r="AB73" s="21"/>
      <c r="AC73" s="21" t="str">
        <f aca="false">IF(AB73="","",IF(AB73&gt;AA73,"PASS",IF(AB73&lt;=AA73*0.85,"BID","ATTENZIONE")))</f>
        <v/>
      </c>
      <c r="AD73" s="31" t="n">
        <f aca="false">IF(I73="","",ROUND(100*(1-EXP(-I73/30)),0))</f>
        <v>61</v>
      </c>
      <c r="AE73" s="7" t="str">
        <f aca="false">IFERROR(INDEX('Stato Asta'!$G$9:$G$12,MATCH($B73,'Stato Asta'!$A$9:$A$12,0)),"")</f>
        <v>🟡 Attesa rischiosa</v>
      </c>
    </row>
    <row r="74" customFormat="false" ht="14.25" hidden="false" customHeight="true" outlineLevel="0" collapsed="false">
      <c r="A74" s="21" t="n">
        <v>4317</v>
      </c>
      <c r="B74" s="21" t="s">
        <v>44</v>
      </c>
      <c r="C74" s="21" t="s">
        <v>200</v>
      </c>
      <c r="E74" s="26" t="str">
        <f aca="false">IF(COUNTIF('Info Strategia'!$D$2:$D$51,$C74)&gt;0,"SI","NO")</f>
        <v>NO</v>
      </c>
      <c r="F74" s="27" t="n">
        <f aca="false">IFERROR(ROUND(($G74+($H74-$G74)*'Info Strategia'!$B$6)*(1+IF($E74="SI",'Parametri Modello'!$B$7*'Info Strategia'!$B$6,0)),0),"")</f>
        <v>30</v>
      </c>
      <c r="G74" s="27" t="n">
        <f aca="false">IFERROR(ROUND(MAX(1,(IF($V74&lt;=INDEX('Parametri Modello'!$C$57:$C$60,MATCH($B74,'Parametri Modello'!$A$57:$A$60,0)),IF(INDEX('Parametri Modello'!$E$57:$E$60,MATCH($B74,'Parametri Modello'!$A$57:$A$60,0))=0,0,($O74/INDEX('Parametri Modello'!$E$57:$E$60,MATCH($B74,'Parametri Modello'!$A$57:$A$60,0)))*(INDEX('Parametri Modello'!$D$57:$D$60,MATCH($B74,'Parametri Modello'!$A$57:$A$60,0))*(INDEX('Parametri Modello'!$B$50:$B$53,MATCH($B74,'Parametri Modello'!$A$50:$A$53,0))*'Parametri Modello'!$B$44))),IF(INDEX('Parametri Modello'!$F$57:$F$60,MATCH($B74,'Parametri Modello'!$A$57:$A$60,0))=0,0,($O74/INDEX('Parametri Modello'!$F$57:$F$60,MATCH($B74,'Parametri Modello'!$A$57:$A$60,0)))*((1-INDEX('Parametri Modello'!$D$57:$D$60,MATCH($B74,'Parametri Modello'!$A$57:$A$60,0)))*(INDEX('Parametri Modello'!$B$50:$B$53,MATCH($B74,'Parametri Modello'!$A$50:$A$53,0))*'Parametri Modello'!$B$44))))*(1+IF(IF($B74="D",'Info Lega'!$B$25,IF($B74="C",'Info Lega'!$B$26,"No"))="Si",'Parametri Modello'!$B$5,0))*(1+MAX(-0.25,MIN(0.25,IF(OR($T74="",$I74="",$I74=0,INDEX('Parametri Modello'!$B$19:$B$22,MATCH($B74,'Parametri Modello'!$A$19:$A$22,0))="",INDEX('Parametri Modello'!$B$19:$B$22,MATCH($B74,'Parametri Modello'!$A$19:$A$22,0))=0),0,(($T74-INDEX('Parametri Modello'!$B$19:$B$22,MATCH($B74,'Parametri Modello'!$A$19:$A$22,0)))/INDEX('Parametri Modello'!$B$19:$B$22,MATCH($B74,'Parametri Modello'!$A$19:$A$22,0)))*'Parametri Modello'!$B$9))))*(1+IF('Parametri Modello'!$B$27="Si",MAX(-'Parametri Modello'!$B$28,MIN('Parametri Modello'!$B$28*1.5,IF(OR(INDEX('Parametri Modello'!$F$32:$F$35,MATCH($B74,'Parametri Modello'!$A$32:$A$35,0))="",INDEX('Parametri Modello'!$F$32:$F$35,MATCH($B74,'Parametri Modello'!$A$32:$A$35,0))=0),0,(1/INDEX('Parametri Modello'!$F$32:$F$35,MATCH($B74,'Parametri Modello'!$A$32:$A$35,0))-1)*'Parametri Modello'!$B$28))),0)))*(1-INDEX('Parametri Modello'!$B$12:$B$15,MATCH($B74,'Parametri Modello'!$A$12:$A$15,0)))),0),"")</f>
        <v>22</v>
      </c>
      <c r="H74" s="27" t="n">
        <f aca="false">IFERROR(ROUND((IF($V74&lt;=INDEX('Parametri Modello'!$C$57:$C$60,MATCH($B74,'Parametri Modello'!$A$57:$A$60,0)),IF(INDEX('Parametri Modello'!$E$57:$E$60,MATCH($B74,'Parametri Modello'!$A$57:$A$60,0))=0,0,($O74/INDEX('Parametri Modello'!$E$57:$E$60,MATCH($B74,'Parametri Modello'!$A$57:$A$60,0)))*(INDEX('Parametri Modello'!$D$57:$D$60,MATCH($B74,'Parametri Modello'!$A$57:$A$60,0))*(INDEX('Parametri Modello'!$B$50:$B$53,MATCH($B74,'Parametri Modello'!$A$50:$A$53,0))*'Parametri Modello'!$B$44))),IF(INDEX('Parametri Modello'!$F$57:$F$60,MATCH($B74,'Parametri Modello'!$A$57:$A$60,0))=0,0,($O74/INDEX('Parametri Modello'!$F$57:$F$60,MATCH($B74,'Parametri Modello'!$A$57:$A$60,0)))*((1-INDEX('Parametri Modello'!$D$57:$D$60,MATCH($B74,'Parametri Modello'!$A$57:$A$60,0)))*(INDEX('Parametri Modello'!$B$50:$B$53,MATCH($B74,'Parametri Modello'!$A$50:$A$53,0))*'Parametri Modello'!$B$44))))*(1+IF(IF($B74="D",'Info Lega'!$B$25,IF($B74="C",'Info Lega'!$B$26,"No"))="Si",'Parametri Modello'!$B$5,0))*(1+MAX(-0.25,MIN(0.25,IF(OR($T74="",$I74="",$I74=0,INDEX('Parametri Modello'!$B$19:$B$22,MATCH($B74,'Parametri Modello'!$A$19:$A$22,0))="",INDEX('Parametri Modello'!$B$19:$B$22,MATCH($B74,'Parametri Modello'!$A$19:$A$22,0))=0),0,(($T74-INDEX('Parametri Modello'!$B$19:$B$22,MATCH($B74,'Parametri Modello'!$A$19:$A$22,0)))/INDEX('Parametri Modello'!$B$19:$B$22,MATCH($B74,'Parametri Modello'!$A$19:$A$22,0)))*'Parametri Modello'!$B$9))))*(1+IF('Parametri Modello'!$B$27="Si",MAX(-'Parametri Modello'!$B$28,MIN('Parametri Modello'!$B$28*1.5,IF(OR(INDEX('Parametri Modello'!$F$32:$F$35,MATCH($B74,'Parametri Modello'!$A$32:$A$35,0))="",INDEX('Parametri Modello'!$F$32:$F$35,MATCH($B74,'Parametri Modello'!$A$32:$A$35,0))=0),0,(1/INDEX('Parametri Modello'!$F$32:$F$35,MATCH($B74,'Parametri Modello'!$A$32:$A$35,0))-1)*'Parametri Modello'!$B$28))),0)))*(1+INDEX('Parametri Modello'!$B$12:$B$15,MATCH($B74,'Parametri Modello'!$A$12:$A$15,0))),0),"")</f>
        <v>34</v>
      </c>
      <c r="I74" s="26" t="n">
        <f aca="false">IFERROR(INDEX('Input Statistiche 2025_26'!$F$3:$F$665,MATCH($A74,'Input Statistiche 2025_26'!$A$3:$A$665,0)),"")</f>
        <v>31</v>
      </c>
      <c r="J74" s="26" t="n">
        <f aca="false">IFERROR(IF($I74="","",MAX(0,38-$I74)),"")</f>
        <v>7</v>
      </c>
      <c r="K74" s="26" t="n">
        <f aca="false">IFERROR(INDEX('Input Statistiche 2025_26'!$I$3:$I$665,MATCH($A74,'Input Statistiche 2025_26'!$A$3:$A$665,0)),"")</f>
        <v>3</v>
      </c>
      <c r="L74" s="26" t="n">
        <f aca="false">IFERROR(INDEX('Input Statistiche 2025_26'!$O$3:$O$665,MATCH($A74,'Input Statistiche 2025_26'!$A$3:$A$665,0)),"")</f>
        <v>1</v>
      </c>
      <c r="M74" s="28"/>
      <c r="N74" s="27" t="n">
        <f aca="false">IFERROR(INDEX('Input Giocatori 2026_27'!$E$3:$E$493,MATCH($A74,'Input Giocatori 2026_27'!$A$3:$A$493,0)),"")</f>
        <v>13</v>
      </c>
      <c r="O74" s="27" t="n">
        <f aca="false">IFERROR(INDEX('Input Giocatori 2026_27'!$G$3:$G$493,MATCH($A74,'Input Giocatori 2026_27'!$A$3:$A$493,0)),"")</f>
        <v>44</v>
      </c>
      <c r="P74" s="26" t="str">
        <f aca="false">IFERROR(IF($O74="","",IF((1-(COUNTIFS($B$2:$B$492,$B74,$O$2:$O$492,"&gt;"&amp;$O74)+1-1)/COUNTIF($B$2:$B$492,$B74))&gt;=0.85,"Top",IF((1-(COUNTIFS($B$2:$B$492,$B74,$O$2:$O$492,"&gt;"&amp;$O74)+1-1)/COUNTIF($B$2:$B$492,$B74))&gt;=0.6,"Buono",IF((1-(COUNTIFS($B$2:$B$492,$B74,$O$2:$O$492,"&gt;"&amp;$O74)+1-1)/COUNTIF($B$2:$B$492,$B74))&gt;=0.3,"Nella Media","Scommessa/Riserva")))),"")</f>
        <v>Top</v>
      </c>
      <c r="Q74" s="29" t="n">
        <f aca="false">IF($D74="",COUNTIF($D$2:$D74,""),"")</f>
        <v>73</v>
      </c>
      <c r="R74" s="29" t="str">
        <f aca="false">IF($D74='Info Lega'!$B$28,COUNTIFS($D$2:$D74,'Info Lega'!$B$28),"")</f>
        <v/>
      </c>
      <c r="S74" s="30" t="n">
        <f aca="false">IFERROR(INDEX('Input Statistiche 2025_26'!$G$3:$G$665,MATCH($A74,'Input Statistiche 2025_26'!$A$3:$A$665,0)),"")</f>
        <v>6.08</v>
      </c>
      <c r="T74" s="30" t="n">
        <f aca="false">IFERROR(INDEX('Input Statistiche 2025_26'!$H$3:$H$665,MATCH($A74,'Input Statistiche 2025_26'!$A$3:$A$665,0)),"")</f>
        <v>6.32</v>
      </c>
      <c r="U74" s="26" t="str">
        <f aca="false">IF(OR('La Mia Rosa'!$O$12="",$D74&lt;&gt;""),"",IF($F74&lt;='La Mia Rosa'!$O$12*'Parametri Modello'!$B$24,"OK",IF($F74&lt;='La Mia Rosa'!$O$12*'Parametri Modello'!$B$25,"Attenzione","Rischio Alto")))</f>
        <v>OK</v>
      </c>
      <c r="V74" s="26" t="n">
        <f aca="false">IFERROR(COUNTIFS($B$2:$B$492,$B74,$O$2:$O$492,"&gt;"&amp;$O74)+1,"")</f>
        <v>10</v>
      </c>
      <c r="W74" s="21" t="n">
        <f aca="false">'Info Lega'!$B$4-SUMIFS($M$2:$M$492,$D$2:$D$492,'Info Lega'!$B$28)</f>
        <v>1000</v>
      </c>
      <c r="X74" s="21" t="n">
        <f aca="false">('Info Lega'!$B$5-COUNTIFS($D$2:$D$492,'Info Lega'!$B$28,$B$2:$B$492,"P"))+('Info Lega'!$B$6-COUNTIFS($D$2:$D$492,'Info Lega'!$B$28,$B$2:$B$492,"D"))+('Info Lega'!$B$7-COUNTIFS($D$2:$D$492,'Info Lega'!$B$28,$B$2:$B$492,"C"))+('Info Lega'!$B$8-COUNTIFS($D$2:$D$492,'Info Lega'!$B$28,$B$2:$B$492,"A"))</f>
        <v>25</v>
      </c>
      <c r="Y74" s="21" t="n">
        <f aca="false">X74*'Parametri Modello'!$B$30</f>
        <v>25</v>
      </c>
      <c r="Z74" s="21" t="n">
        <f aca="false">MAX(0,W74-Y74)</f>
        <v>975</v>
      </c>
      <c r="AA74" s="21" t="n">
        <f aca="false">MIN(F74,Z74)</f>
        <v>30</v>
      </c>
      <c r="AB74" s="21"/>
      <c r="AC74" s="21" t="str">
        <f aca="false">IF(AB74="","",IF(AB74&gt;AA74,"PASS",IF(AB74&lt;=AA74*0.85,"BID","ATTENZIONE")))</f>
        <v/>
      </c>
      <c r="AD74" s="31" t="n">
        <f aca="false">IF(I74="","",ROUND(100*(1-EXP(-I74/30)),0))</f>
        <v>64</v>
      </c>
      <c r="AE74" s="7" t="str">
        <f aca="false">IFERROR(INDEX('Stato Asta'!$G$9:$G$12,MATCH($B74,'Stato Asta'!$A$9:$A$12,0)),"")</f>
        <v>🟡 Attesa rischiosa</v>
      </c>
    </row>
    <row r="75" customFormat="false" ht="14.25" hidden="false" customHeight="true" outlineLevel="0" collapsed="false">
      <c r="A75" s="21" t="n">
        <v>4892</v>
      </c>
      <c r="B75" s="21" t="s">
        <v>45</v>
      </c>
      <c r="C75" s="21" t="s">
        <v>395</v>
      </c>
      <c r="E75" s="26" t="str">
        <f aca="false">IF(COUNTIF('Info Strategia'!$D$2:$D$51,$C75)&gt;0,"SI","NO")</f>
        <v>NO</v>
      </c>
      <c r="F75" s="27" t="n">
        <f aca="false">IFERROR(ROUND(($G75+($H75-$G75)*'Info Strategia'!$B$6)*(1+IF($E75="SI",'Parametri Modello'!$B$7*'Info Strategia'!$B$6,0)),0),"")</f>
        <v>28</v>
      </c>
      <c r="G75" s="27" t="n">
        <f aca="false">IFERROR(ROUND(MAX(1,(IF($V75&lt;=INDEX('Parametri Modello'!$C$57:$C$60,MATCH($B75,'Parametri Modello'!$A$57:$A$60,0)),IF(INDEX('Parametri Modello'!$E$57:$E$60,MATCH($B75,'Parametri Modello'!$A$57:$A$60,0))=0,0,($O75/INDEX('Parametri Modello'!$E$57:$E$60,MATCH($B75,'Parametri Modello'!$A$57:$A$60,0)))*(INDEX('Parametri Modello'!$D$57:$D$60,MATCH($B75,'Parametri Modello'!$A$57:$A$60,0))*(INDEX('Parametri Modello'!$B$50:$B$53,MATCH($B75,'Parametri Modello'!$A$50:$A$53,0))*'Parametri Modello'!$B$44))),IF(INDEX('Parametri Modello'!$F$57:$F$60,MATCH($B75,'Parametri Modello'!$A$57:$A$60,0))=0,0,($O75/INDEX('Parametri Modello'!$F$57:$F$60,MATCH($B75,'Parametri Modello'!$A$57:$A$60,0)))*((1-INDEX('Parametri Modello'!$D$57:$D$60,MATCH($B75,'Parametri Modello'!$A$57:$A$60,0)))*(INDEX('Parametri Modello'!$B$50:$B$53,MATCH($B75,'Parametri Modello'!$A$50:$A$53,0))*'Parametri Modello'!$B$44))))*(1+IF(IF($B75="D",'Info Lega'!$B$25,IF($B75="C",'Info Lega'!$B$26,"No"))="Si",'Parametri Modello'!$B$5,0))*(1+MAX(-0.25,MIN(0.25,IF(OR($T75="",$I75="",$I75=0,INDEX('Parametri Modello'!$B$19:$B$22,MATCH($B75,'Parametri Modello'!$A$19:$A$22,0))="",INDEX('Parametri Modello'!$B$19:$B$22,MATCH($B75,'Parametri Modello'!$A$19:$A$22,0))=0),0,(($T75-INDEX('Parametri Modello'!$B$19:$B$22,MATCH($B75,'Parametri Modello'!$A$19:$A$22,0)))/INDEX('Parametri Modello'!$B$19:$B$22,MATCH($B75,'Parametri Modello'!$A$19:$A$22,0)))*'Parametri Modello'!$B$9))))*(1+IF('Parametri Modello'!$B$27="Si",MAX(-'Parametri Modello'!$B$28,MIN('Parametri Modello'!$B$28*1.5,IF(OR(INDEX('Parametri Modello'!$F$32:$F$35,MATCH($B75,'Parametri Modello'!$A$32:$A$35,0))="",INDEX('Parametri Modello'!$F$32:$F$35,MATCH($B75,'Parametri Modello'!$A$32:$A$35,0))=0),0,(1/INDEX('Parametri Modello'!$F$32:$F$35,MATCH($B75,'Parametri Modello'!$A$32:$A$35,0))-1)*'Parametri Modello'!$B$28))),0)))*(1-INDEX('Parametri Modello'!$B$12:$B$15,MATCH($B75,'Parametri Modello'!$A$12:$A$15,0)))),0),"")</f>
        <v>19</v>
      </c>
      <c r="H75" s="27" t="n">
        <f aca="false">IFERROR(ROUND((IF($V75&lt;=INDEX('Parametri Modello'!$C$57:$C$60,MATCH($B75,'Parametri Modello'!$A$57:$A$60,0)),IF(INDEX('Parametri Modello'!$E$57:$E$60,MATCH($B75,'Parametri Modello'!$A$57:$A$60,0))=0,0,($O75/INDEX('Parametri Modello'!$E$57:$E$60,MATCH($B75,'Parametri Modello'!$A$57:$A$60,0)))*(INDEX('Parametri Modello'!$D$57:$D$60,MATCH($B75,'Parametri Modello'!$A$57:$A$60,0))*(INDEX('Parametri Modello'!$B$50:$B$53,MATCH($B75,'Parametri Modello'!$A$50:$A$53,0))*'Parametri Modello'!$B$44))),IF(INDEX('Parametri Modello'!$F$57:$F$60,MATCH($B75,'Parametri Modello'!$A$57:$A$60,0))=0,0,($O75/INDEX('Parametri Modello'!$F$57:$F$60,MATCH($B75,'Parametri Modello'!$A$57:$A$60,0)))*((1-INDEX('Parametri Modello'!$D$57:$D$60,MATCH($B75,'Parametri Modello'!$A$57:$A$60,0)))*(INDEX('Parametri Modello'!$B$50:$B$53,MATCH($B75,'Parametri Modello'!$A$50:$A$53,0))*'Parametri Modello'!$B$44))))*(1+IF(IF($B75="D",'Info Lega'!$B$25,IF($B75="C",'Info Lega'!$B$26,"No"))="Si",'Parametri Modello'!$B$5,0))*(1+MAX(-0.25,MIN(0.25,IF(OR($T75="",$I75="",$I75=0,INDEX('Parametri Modello'!$B$19:$B$22,MATCH($B75,'Parametri Modello'!$A$19:$A$22,0))="",INDEX('Parametri Modello'!$B$19:$B$22,MATCH($B75,'Parametri Modello'!$A$19:$A$22,0))=0),0,(($T75-INDEX('Parametri Modello'!$B$19:$B$22,MATCH($B75,'Parametri Modello'!$A$19:$A$22,0)))/INDEX('Parametri Modello'!$B$19:$B$22,MATCH($B75,'Parametri Modello'!$A$19:$A$22,0)))*'Parametri Modello'!$B$9))))*(1+IF('Parametri Modello'!$B$27="Si",MAX(-'Parametri Modello'!$B$28,MIN('Parametri Modello'!$B$28*1.5,IF(OR(INDEX('Parametri Modello'!$F$32:$F$35,MATCH($B75,'Parametri Modello'!$A$32:$A$35,0))="",INDEX('Parametri Modello'!$F$32:$F$35,MATCH($B75,'Parametri Modello'!$A$32:$A$35,0))=0),0,(1/INDEX('Parametri Modello'!$F$32:$F$35,MATCH($B75,'Parametri Modello'!$A$32:$A$35,0))-1)*'Parametri Modello'!$B$28))),0)))*(1+INDEX('Parametri Modello'!$B$12:$B$15,MATCH($B75,'Parametri Modello'!$A$12:$A$15,0))),0),"")</f>
        <v>32</v>
      </c>
      <c r="I75" s="26" t="n">
        <f aca="false">IFERROR(INDEX('Input Statistiche 2025_26'!$F$3:$F$665,MATCH($A75,'Input Statistiche 2025_26'!$A$3:$A$665,0)),"")</f>
        <v>35</v>
      </c>
      <c r="J75" s="26" t="n">
        <f aca="false">IFERROR(IF($I75="","",MAX(0,38-$I75)),"")</f>
        <v>3</v>
      </c>
      <c r="K75" s="26" t="n">
        <f aca="false">IFERROR(INDEX('Input Statistiche 2025_26'!$I$3:$I$665,MATCH($A75,'Input Statistiche 2025_26'!$A$3:$A$665,0)),"")</f>
        <v>3</v>
      </c>
      <c r="L75" s="26" t="n">
        <f aca="false">IFERROR(INDEX('Input Statistiche 2025_26'!$O$3:$O$665,MATCH($A75,'Input Statistiche 2025_26'!$A$3:$A$665,0)),"")</f>
        <v>3</v>
      </c>
      <c r="M75" s="28"/>
      <c r="N75" s="27" t="n">
        <f aca="false">IFERROR(INDEX('Input Giocatori 2026_27'!$E$3:$E$493,MATCH($A75,'Input Giocatori 2026_27'!$A$3:$A$493,0)),"")</f>
        <v>10</v>
      </c>
      <c r="O75" s="27" t="n">
        <f aca="false">IFERROR(INDEX('Input Giocatori 2026_27'!$G$3:$G$493,MATCH($A75,'Input Giocatori 2026_27'!$A$3:$A$493,0)),"")</f>
        <v>43</v>
      </c>
      <c r="P75" s="26" t="str">
        <f aca="false">IFERROR(IF($O75="","",IF((1-(COUNTIFS($B$2:$B$492,$B75,$O$2:$O$492,"&gt;"&amp;$O75)+1-1)/COUNTIF($B$2:$B$492,$B75))&gt;=0.85,"Top",IF((1-(COUNTIFS($B$2:$B$492,$B75,$O$2:$O$492,"&gt;"&amp;$O75)+1-1)/COUNTIF($B$2:$B$492,$B75))&gt;=0.6,"Buono",IF((1-(COUNTIFS($B$2:$B$492,$B75,$O$2:$O$492,"&gt;"&amp;$O75)+1-1)/COUNTIF($B$2:$B$492,$B75))&gt;=0.3,"Nella Media","Scommessa/Riserva")))),"")</f>
        <v>Top</v>
      </c>
      <c r="Q75" s="29" t="n">
        <f aca="false">IF($D75="",COUNTIF($D$2:$D75,""),"")</f>
        <v>74</v>
      </c>
      <c r="R75" s="29" t="str">
        <f aca="false">IF($D75='Info Lega'!$B$28,COUNTIFS($D$2:$D75,'Info Lega'!$B$28),"")</f>
        <v/>
      </c>
      <c r="S75" s="30" t="n">
        <f aca="false">IFERROR(INDEX('Input Statistiche 2025_26'!$G$3:$G$665,MATCH($A75,'Input Statistiche 2025_26'!$A$3:$A$665,0)),"")</f>
        <v>6.14</v>
      </c>
      <c r="T75" s="30" t="n">
        <f aca="false">IFERROR(INDEX('Input Statistiche 2025_26'!$H$3:$H$665,MATCH($A75,'Input Statistiche 2025_26'!$A$3:$A$665,0)),"")</f>
        <v>6.41</v>
      </c>
      <c r="U75" s="26" t="str">
        <f aca="false">IF(OR('La Mia Rosa'!$O$12="",$D75&lt;&gt;""),"",IF($F75&lt;='La Mia Rosa'!$O$12*'Parametri Modello'!$B$24,"OK",IF($F75&lt;='La Mia Rosa'!$O$12*'Parametri Modello'!$B$25,"Attenzione","Rischio Alto")))</f>
        <v>OK</v>
      </c>
      <c r="V75" s="26" t="n">
        <f aca="false">IFERROR(COUNTIFS($B$2:$B$492,$B75,$O$2:$O$492,"&gt;"&amp;$O75)+1,"")</f>
        <v>24</v>
      </c>
      <c r="W75" s="21" t="n">
        <f aca="false">'Info Lega'!$B$4-SUMIFS($M$2:$M$492,$D$2:$D$492,'Info Lega'!$B$28)</f>
        <v>1000</v>
      </c>
      <c r="X75" s="21" t="n">
        <f aca="false">('Info Lega'!$B$5-COUNTIFS($D$2:$D$492,'Info Lega'!$B$28,$B$2:$B$492,"P"))+('Info Lega'!$B$6-COUNTIFS($D$2:$D$492,'Info Lega'!$B$28,$B$2:$B$492,"D"))+('Info Lega'!$B$7-COUNTIFS($D$2:$D$492,'Info Lega'!$B$28,$B$2:$B$492,"C"))+('Info Lega'!$B$8-COUNTIFS($D$2:$D$492,'Info Lega'!$B$28,$B$2:$B$492,"A"))</f>
        <v>25</v>
      </c>
      <c r="Y75" s="21" t="n">
        <f aca="false">X75*'Parametri Modello'!$B$30</f>
        <v>25</v>
      </c>
      <c r="Z75" s="21" t="n">
        <f aca="false">MAX(0,W75-Y75)</f>
        <v>975</v>
      </c>
      <c r="AA75" s="21" t="n">
        <f aca="false">MIN(F75,Z75)</f>
        <v>28</v>
      </c>
      <c r="AB75" s="21"/>
      <c r="AC75" s="21" t="str">
        <f aca="false">IF(AB75="","",IF(AB75&gt;AA75,"PASS",IF(AB75&lt;=AA75*0.85,"BID","ATTENZIONE")))</f>
        <v/>
      </c>
      <c r="AD75" s="31" t="n">
        <f aca="false">IF(I75="","",ROUND(100*(1-EXP(-I75/30)),0))</f>
        <v>69</v>
      </c>
      <c r="AE75" s="7" t="str">
        <f aca="false">IFERROR(INDEX('Stato Asta'!$G$9:$G$12,MATCH($B75,'Stato Asta'!$A$9:$A$12,0)),"")</f>
        <v>🟡 Attesa rischiosa</v>
      </c>
    </row>
    <row r="76" customFormat="false" ht="14.25" hidden="false" customHeight="true" outlineLevel="0" collapsed="false">
      <c r="A76" s="21" t="n">
        <v>5119</v>
      </c>
      <c r="B76" s="21" t="s">
        <v>45</v>
      </c>
      <c r="C76" s="21" t="s">
        <v>384</v>
      </c>
      <c r="E76" s="26" t="str">
        <f aca="false">IF(COUNTIF('Info Strategia'!$D$2:$D$51,$C76)&gt;0,"SI","NO")</f>
        <v>NO</v>
      </c>
      <c r="F76" s="27" t="n">
        <f aca="false">IFERROR(ROUND(($G76+($H76-$G76)*'Info Strategia'!$B$6)*(1+IF($E76="SI",'Parametri Modello'!$B$7*'Info Strategia'!$B$6,0)),0),"")</f>
        <v>28</v>
      </c>
      <c r="G76" s="27" t="n">
        <f aca="false">IFERROR(ROUND(MAX(1,(IF($V76&lt;=INDEX('Parametri Modello'!$C$57:$C$60,MATCH($B76,'Parametri Modello'!$A$57:$A$60,0)),IF(INDEX('Parametri Modello'!$E$57:$E$60,MATCH($B76,'Parametri Modello'!$A$57:$A$60,0))=0,0,($O76/INDEX('Parametri Modello'!$E$57:$E$60,MATCH($B76,'Parametri Modello'!$A$57:$A$60,0)))*(INDEX('Parametri Modello'!$D$57:$D$60,MATCH($B76,'Parametri Modello'!$A$57:$A$60,0))*(INDEX('Parametri Modello'!$B$50:$B$53,MATCH($B76,'Parametri Modello'!$A$50:$A$53,0))*'Parametri Modello'!$B$44))),IF(INDEX('Parametri Modello'!$F$57:$F$60,MATCH($B76,'Parametri Modello'!$A$57:$A$60,0))=0,0,($O76/INDEX('Parametri Modello'!$F$57:$F$60,MATCH($B76,'Parametri Modello'!$A$57:$A$60,0)))*((1-INDEX('Parametri Modello'!$D$57:$D$60,MATCH($B76,'Parametri Modello'!$A$57:$A$60,0)))*(INDEX('Parametri Modello'!$B$50:$B$53,MATCH($B76,'Parametri Modello'!$A$50:$A$53,0))*'Parametri Modello'!$B$44))))*(1+IF(IF($B76="D",'Info Lega'!$B$25,IF($B76="C",'Info Lega'!$B$26,"No"))="Si",'Parametri Modello'!$B$5,0))*(1+MAX(-0.25,MIN(0.25,IF(OR($T76="",$I76="",$I76=0,INDEX('Parametri Modello'!$B$19:$B$22,MATCH($B76,'Parametri Modello'!$A$19:$A$22,0))="",INDEX('Parametri Modello'!$B$19:$B$22,MATCH($B76,'Parametri Modello'!$A$19:$A$22,0))=0),0,(($T76-INDEX('Parametri Modello'!$B$19:$B$22,MATCH($B76,'Parametri Modello'!$A$19:$A$22,0)))/INDEX('Parametri Modello'!$B$19:$B$22,MATCH($B76,'Parametri Modello'!$A$19:$A$22,0)))*'Parametri Modello'!$B$9))))*(1+IF('Parametri Modello'!$B$27="Si",MAX(-'Parametri Modello'!$B$28,MIN('Parametri Modello'!$B$28*1.5,IF(OR(INDEX('Parametri Modello'!$F$32:$F$35,MATCH($B76,'Parametri Modello'!$A$32:$A$35,0))="",INDEX('Parametri Modello'!$F$32:$F$35,MATCH($B76,'Parametri Modello'!$A$32:$A$35,0))=0),0,(1/INDEX('Parametri Modello'!$F$32:$F$35,MATCH($B76,'Parametri Modello'!$A$32:$A$35,0))-1)*'Parametri Modello'!$B$28))),0)))*(1-INDEX('Parametri Modello'!$B$12:$B$15,MATCH($B76,'Parametri Modello'!$A$12:$A$15,0)))),0),"")</f>
        <v>19</v>
      </c>
      <c r="H76" s="27" t="n">
        <f aca="false">IFERROR(ROUND((IF($V76&lt;=INDEX('Parametri Modello'!$C$57:$C$60,MATCH($B76,'Parametri Modello'!$A$57:$A$60,0)),IF(INDEX('Parametri Modello'!$E$57:$E$60,MATCH($B76,'Parametri Modello'!$A$57:$A$60,0))=0,0,($O76/INDEX('Parametri Modello'!$E$57:$E$60,MATCH($B76,'Parametri Modello'!$A$57:$A$60,0)))*(INDEX('Parametri Modello'!$D$57:$D$60,MATCH($B76,'Parametri Modello'!$A$57:$A$60,0))*(INDEX('Parametri Modello'!$B$50:$B$53,MATCH($B76,'Parametri Modello'!$A$50:$A$53,0))*'Parametri Modello'!$B$44))),IF(INDEX('Parametri Modello'!$F$57:$F$60,MATCH($B76,'Parametri Modello'!$A$57:$A$60,0))=0,0,($O76/INDEX('Parametri Modello'!$F$57:$F$60,MATCH($B76,'Parametri Modello'!$A$57:$A$60,0)))*((1-INDEX('Parametri Modello'!$D$57:$D$60,MATCH($B76,'Parametri Modello'!$A$57:$A$60,0)))*(INDEX('Parametri Modello'!$B$50:$B$53,MATCH($B76,'Parametri Modello'!$A$50:$A$53,0))*'Parametri Modello'!$B$44))))*(1+IF(IF($B76="D",'Info Lega'!$B$25,IF($B76="C",'Info Lega'!$B$26,"No"))="Si",'Parametri Modello'!$B$5,0))*(1+MAX(-0.25,MIN(0.25,IF(OR($T76="",$I76="",$I76=0,INDEX('Parametri Modello'!$B$19:$B$22,MATCH($B76,'Parametri Modello'!$A$19:$A$22,0))="",INDEX('Parametri Modello'!$B$19:$B$22,MATCH($B76,'Parametri Modello'!$A$19:$A$22,0))=0),0,(($T76-INDEX('Parametri Modello'!$B$19:$B$22,MATCH($B76,'Parametri Modello'!$A$19:$A$22,0)))/INDEX('Parametri Modello'!$B$19:$B$22,MATCH($B76,'Parametri Modello'!$A$19:$A$22,0)))*'Parametri Modello'!$B$9))))*(1+IF('Parametri Modello'!$B$27="Si",MAX(-'Parametri Modello'!$B$28,MIN('Parametri Modello'!$B$28*1.5,IF(OR(INDEX('Parametri Modello'!$F$32:$F$35,MATCH($B76,'Parametri Modello'!$A$32:$A$35,0))="",INDEX('Parametri Modello'!$F$32:$F$35,MATCH($B76,'Parametri Modello'!$A$32:$A$35,0))=0),0,(1/INDEX('Parametri Modello'!$F$32:$F$35,MATCH($B76,'Parametri Modello'!$A$32:$A$35,0))-1)*'Parametri Modello'!$B$28))),0)))*(1+INDEX('Parametri Modello'!$B$12:$B$15,MATCH($B76,'Parametri Modello'!$A$12:$A$15,0))),0),"")</f>
        <v>32</v>
      </c>
      <c r="I76" s="26" t="n">
        <f aca="false">IFERROR(INDEX('Input Statistiche 2025_26'!$F$3:$F$665,MATCH($A76,'Input Statistiche 2025_26'!$A$3:$A$665,0)),"")</f>
        <v>21</v>
      </c>
      <c r="J76" s="26" t="n">
        <f aca="false">IFERROR(IF($I76="","",MAX(0,38-$I76)),"")</f>
        <v>17</v>
      </c>
      <c r="K76" s="26" t="n">
        <f aca="false">IFERROR(INDEX('Input Statistiche 2025_26'!$I$3:$I$665,MATCH($A76,'Input Statistiche 2025_26'!$A$3:$A$665,0)),"")</f>
        <v>2</v>
      </c>
      <c r="L76" s="26" t="n">
        <f aca="false">IFERROR(INDEX('Input Statistiche 2025_26'!$O$3:$O$665,MATCH($A76,'Input Statistiche 2025_26'!$A$3:$A$665,0)),"")</f>
        <v>2</v>
      </c>
      <c r="M76" s="28"/>
      <c r="N76" s="27" t="n">
        <f aca="false">IFERROR(INDEX('Input Giocatori 2026_27'!$E$3:$E$493,MATCH($A76,'Input Giocatori 2026_27'!$A$3:$A$493,0)),"")</f>
        <v>12</v>
      </c>
      <c r="O76" s="27" t="n">
        <f aca="false">IFERROR(INDEX('Input Giocatori 2026_27'!$G$3:$G$493,MATCH($A76,'Input Giocatori 2026_27'!$A$3:$A$493,0)),"")</f>
        <v>42</v>
      </c>
      <c r="P76" s="26" t="str">
        <f aca="false">IFERROR(IF($O76="","",IF((1-(COUNTIFS($B$2:$B$492,$B76,$O$2:$O$492,"&gt;"&amp;$O76)+1-1)/COUNTIF($B$2:$B$492,$B76))&gt;=0.85,"Top",IF((1-(COUNTIFS($B$2:$B$492,$B76,$O$2:$O$492,"&gt;"&amp;$O76)+1-1)/COUNTIF($B$2:$B$492,$B76))&gt;=0.6,"Buono",IF((1-(COUNTIFS($B$2:$B$492,$B76,$O$2:$O$492,"&gt;"&amp;$O76)+1-1)/COUNTIF($B$2:$B$492,$B76))&gt;=0.3,"Nella Media","Scommessa/Riserva")))),"")</f>
        <v>Top</v>
      </c>
      <c r="Q76" s="29" t="n">
        <f aca="false">IF($D76="",COUNTIF($D$2:$D76,""),"")</f>
        <v>75</v>
      </c>
      <c r="R76" s="29" t="str">
        <f aca="false">IF($D76='Info Lega'!$B$28,COUNTIFS($D$2:$D76,'Info Lega'!$B$28),"")</f>
        <v/>
      </c>
      <c r="S76" s="30" t="n">
        <f aca="false">IFERROR(INDEX('Input Statistiche 2025_26'!$G$3:$G$665,MATCH($A76,'Input Statistiche 2025_26'!$A$3:$A$665,0)),"")</f>
        <v>5.93</v>
      </c>
      <c r="T76" s="30" t="n">
        <f aca="false">IFERROR(INDEX('Input Statistiche 2025_26'!$H$3:$H$665,MATCH($A76,'Input Statistiche 2025_26'!$A$3:$A$665,0)),"")</f>
        <v>6.29</v>
      </c>
      <c r="U76" s="26" t="str">
        <f aca="false">IF(OR('La Mia Rosa'!$O$12="",$D76&lt;&gt;""),"",IF($F76&lt;='La Mia Rosa'!$O$12*'Parametri Modello'!$B$24,"OK",IF($F76&lt;='La Mia Rosa'!$O$12*'Parametri Modello'!$B$25,"Attenzione","Rischio Alto")))</f>
        <v>OK</v>
      </c>
      <c r="V76" s="26" t="n">
        <f aca="false">IFERROR(COUNTIFS($B$2:$B$492,$B76,$O$2:$O$492,"&gt;"&amp;$O76)+1,"")</f>
        <v>25</v>
      </c>
      <c r="W76" s="21" t="n">
        <f aca="false">'Info Lega'!$B$4-SUMIFS($M$2:$M$492,$D$2:$D$492,'Info Lega'!$B$28)</f>
        <v>1000</v>
      </c>
      <c r="X76" s="21" t="n">
        <f aca="false">('Info Lega'!$B$5-COUNTIFS($D$2:$D$492,'Info Lega'!$B$28,$B$2:$B$492,"P"))+('Info Lega'!$B$6-COUNTIFS($D$2:$D$492,'Info Lega'!$B$28,$B$2:$B$492,"D"))+('Info Lega'!$B$7-COUNTIFS($D$2:$D$492,'Info Lega'!$B$28,$B$2:$B$492,"C"))+('Info Lega'!$B$8-COUNTIFS($D$2:$D$492,'Info Lega'!$B$28,$B$2:$B$492,"A"))</f>
        <v>25</v>
      </c>
      <c r="Y76" s="21" t="n">
        <f aca="false">X76*'Parametri Modello'!$B$30</f>
        <v>25</v>
      </c>
      <c r="Z76" s="21" t="n">
        <f aca="false">MAX(0,W76-Y76)</f>
        <v>975</v>
      </c>
      <c r="AA76" s="21" t="n">
        <f aca="false">MIN(F76,Z76)</f>
        <v>28</v>
      </c>
      <c r="AB76" s="21"/>
      <c r="AC76" s="21" t="str">
        <f aca="false">IF(AB76="","",IF(AB76&gt;AA76,"PASS",IF(AB76&lt;=AA76*0.85,"BID","ATTENZIONE")))</f>
        <v/>
      </c>
      <c r="AD76" s="31" t="n">
        <f aca="false">IF(I76="","",ROUND(100*(1-EXP(-I76/30)),0))</f>
        <v>50</v>
      </c>
      <c r="AE76" s="7" t="str">
        <f aca="false">IFERROR(INDEX('Stato Asta'!$G$9:$G$12,MATCH($B76,'Stato Asta'!$A$9:$A$12,0)),"")</f>
        <v>🟡 Attesa rischiosa</v>
      </c>
    </row>
    <row r="77" customFormat="false" ht="14.25" hidden="false" customHeight="true" outlineLevel="0" collapsed="false">
      <c r="A77" s="21" t="n">
        <v>5589</v>
      </c>
      <c r="B77" s="21" t="s">
        <v>45</v>
      </c>
      <c r="C77" s="21" t="s">
        <v>397</v>
      </c>
      <c r="E77" s="26" t="str">
        <f aca="false">IF(COUNTIF('Info Strategia'!$D$2:$D$51,$C77)&gt;0,"SI","NO")</f>
        <v>NO</v>
      </c>
      <c r="F77" s="27" t="n">
        <f aca="false">IFERROR(ROUND(($G77+($H77-$G77)*'Info Strategia'!$B$6)*(1+IF($E77="SI",'Parametri Modello'!$B$7*'Info Strategia'!$B$6,0)),0),"")</f>
        <v>28</v>
      </c>
      <c r="G77" s="27" t="n">
        <f aca="false">IFERROR(ROUND(MAX(1,(IF($V77&lt;=INDEX('Parametri Modello'!$C$57:$C$60,MATCH($B77,'Parametri Modello'!$A$57:$A$60,0)),IF(INDEX('Parametri Modello'!$E$57:$E$60,MATCH($B77,'Parametri Modello'!$A$57:$A$60,0))=0,0,($O77/INDEX('Parametri Modello'!$E$57:$E$60,MATCH($B77,'Parametri Modello'!$A$57:$A$60,0)))*(INDEX('Parametri Modello'!$D$57:$D$60,MATCH($B77,'Parametri Modello'!$A$57:$A$60,0))*(INDEX('Parametri Modello'!$B$50:$B$53,MATCH($B77,'Parametri Modello'!$A$50:$A$53,0))*'Parametri Modello'!$B$44))),IF(INDEX('Parametri Modello'!$F$57:$F$60,MATCH($B77,'Parametri Modello'!$A$57:$A$60,0))=0,0,($O77/INDEX('Parametri Modello'!$F$57:$F$60,MATCH($B77,'Parametri Modello'!$A$57:$A$60,0)))*((1-INDEX('Parametri Modello'!$D$57:$D$60,MATCH($B77,'Parametri Modello'!$A$57:$A$60,0)))*(INDEX('Parametri Modello'!$B$50:$B$53,MATCH($B77,'Parametri Modello'!$A$50:$A$53,0))*'Parametri Modello'!$B$44))))*(1+IF(IF($B77="D",'Info Lega'!$B$25,IF($B77="C",'Info Lega'!$B$26,"No"))="Si",'Parametri Modello'!$B$5,0))*(1+MAX(-0.25,MIN(0.25,IF(OR($T77="",$I77="",$I77=0,INDEX('Parametri Modello'!$B$19:$B$22,MATCH($B77,'Parametri Modello'!$A$19:$A$22,0))="",INDEX('Parametri Modello'!$B$19:$B$22,MATCH($B77,'Parametri Modello'!$A$19:$A$22,0))=0),0,(($T77-INDEX('Parametri Modello'!$B$19:$B$22,MATCH($B77,'Parametri Modello'!$A$19:$A$22,0)))/INDEX('Parametri Modello'!$B$19:$B$22,MATCH($B77,'Parametri Modello'!$A$19:$A$22,0)))*'Parametri Modello'!$B$9))))*(1+IF('Parametri Modello'!$B$27="Si",MAX(-'Parametri Modello'!$B$28,MIN('Parametri Modello'!$B$28*1.5,IF(OR(INDEX('Parametri Modello'!$F$32:$F$35,MATCH($B77,'Parametri Modello'!$A$32:$A$35,0))="",INDEX('Parametri Modello'!$F$32:$F$35,MATCH($B77,'Parametri Modello'!$A$32:$A$35,0))=0),0,(1/INDEX('Parametri Modello'!$F$32:$F$35,MATCH($B77,'Parametri Modello'!$A$32:$A$35,0))-1)*'Parametri Modello'!$B$28))),0)))*(1-INDEX('Parametri Modello'!$B$12:$B$15,MATCH($B77,'Parametri Modello'!$A$12:$A$15,0)))),0),"")</f>
        <v>19</v>
      </c>
      <c r="H77" s="27" t="n">
        <f aca="false">IFERROR(ROUND((IF($V77&lt;=INDEX('Parametri Modello'!$C$57:$C$60,MATCH($B77,'Parametri Modello'!$A$57:$A$60,0)),IF(INDEX('Parametri Modello'!$E$57:$E$60,MATCH($B77,'Parametri Modello'!$A$57:$A$60,0))=0,0,($O77/INDEX('Parametri Modello'!$E$57:$E$60,MATCH($B77,'Parametri Modello'!$A$57:$A$60,0)))*(INDEX('Parametri Modello'!$D$57:$D$60,MATCH($B77,'Parametri Modello'!$A$57:$A$60,0))*(INDEX('Parametri Modello'!$B$50:$B$53,MATCH($B77,'Parametri Modello'!$A$50:$A$53,0))*'Parametri Modello'!$B$44))),IF(INDEX('Parametri Modello'!$F$57:$F$60,MATCH($B77,'Parametri Modello'!$A$57:$A$60,0))=0,0,($O77/INDEX('Parametri Modello'!$F$57:$F$60,MATCH($B77,'Parametri Modello'!$A$57:$A$60,0)))*((1-INDEX('Parametri Modello'!$D$57:$D$60,MATCH($B77,'Parametri Modello'!$A$57:$A$60,0)))*(INDEX('Parametri Modello'!$B$50:$B$53,MATCH($B77,'Parametri Modello'!$A$50:$A$53,0))*'Parametri Modello'!$B$44))))*(1+IF(IF($B77="D",'Info Lega'!$B$25,IF($B77="C",'Info Lega'!$B$26,"No"))="Si",'Parametri Modello'!$B$5,0))*(1+MAX(-0.25,MIN(0.25,IF(OR($T77="",$I77="",$I77=0,INDEX('Parametri Modello'!$B$19:$B$22,MATCH($B77,'Parametri Modello'!$A$19:$A$22,0))="",INDEX('Parametri Modello'!$B$19:$B$22,MATCH($B77,'Parametri Modello'!$A$19:$A$22,0))=0),0,(($T77-INDEX('Parametri Modello'!$B$19:$B$22,MATCH($B77,'Parametri Modello'!$A$19:$A$22,0)))/INDEX('Parametri Modello'!$B$19:$B$22,MATCH($B77,'Parametri Modello'!$A$19:$A$22,0)))*'Parametri Modello'!$B$9))))*(1+IF('Parametri Modello'!$B$27="Si",MAX(-'Parametri Modello'!$B$28,MIN('Parametri Modello'!$B$28*1.5,IF(OR(INDEX('Parametri Modello'!$F$32:$F$35,MATCH($B77,'Parametri Modello'!$A$32:$A$35,0))="",INDEX('Parametri Modello'!$F$32:$F$35,MATCH($B77,'Parametri Modello'!$A$32:$A$35,0))=0),0,(1/INDEX('Parametri Modello'!$F$32:$F$35,MATCH($B77,'Parametri Modello'!$A$32:$A$35,0))-1)*'Parametri Modello'!$B$28))),0)))*(1+INDEX('Parametri Modello'!$B$12:$B$15,MATCH($B77,'Parametri Modello'!$A$12:$A$15,0))),0),"")</f>
        <v>32</v>
      </c>
      <c r="I77" s="26" t="n">
        <f aca="false">IFERROR(INDEX('Input Statistiche 2025_26'!$F$3:$F$665,MATCH($A77,'Input Statistiche 2025_26'!$A$3:$A$665,0)),"")</f>
        <v>29</v>
      </c>
      <c r="J77" s="26" t="n">
        <f aca="false">IFERROR(IF($I77="","",MAX(0,38-$I77)),"")</f>
        <v>9</v>
      </c>
      <c r="K77" s="26" t="n">
        <f aca="false">IFERROR(INDEX('Input Statistiche 2025_26'!$I$3:$I$665,MATCH($A77,'Input Statistiche 2025_26'!$A$3:$A$665,0)),"")</f>
        <v>2</v>
      </c>
      <c r="L77" s="26" t="n">
        <f aca="false">IFERROR(INDEX('Input Statistiche 2025_26'!$O$3:$O$665,MATCH($A77,'Input Statistiche 2025_26'!$A$3:$A$665,0)),"")</f>
        <v>3</v>
      </c>
      <c r="M77" s="28"/>
      <c r="N77" s="27" t="n">
        <f aca="false">IFERROR(INDEX('Input Giocatori 2026_27'!$E$3:$E$493,MATCH($A77,'Input Giocatori 2026_27'!$A$3:$A$493,0)),"")</f>
        <v>10</v>
      </c>
      <c r="O77" s="27" t="n">
        <f aca="false">IFERROR(INDEX('Input Giocatori 2026_27'!$G$3:$G$493,MATCH($A77,'Input Giocatori 2026_27'!$A$3:$A$493,0)),"")</f>
        <v>42</v>
      </c>
      <c r="P77" s="26" t="str">
        <f aca="false">IFERROR(IF($O77="","",IF((1-(COUNTIFS($B$2:$B$492,$B77,$O$2:$O$492,"&gt;"&amp;$O77)+1-1)/COUNTIF($B$2:$B$492,$B77))&gt;=0.85,"Top",IF((1-(COUNTIFS($B$2:$B$492,$B77,$O$2:$O$492,"&gt;"&amp;$O77)+1-1)/COUNTIF($B$2:$B$492,$B77))&gt;=0.6,"Buono",IF((1-(COUNTIFS($B$2:$B$492,$B77,$O$2:$O$492,"&gt;"&amp;$O77)+1-1)/COUNTIF($B$2:$B$492,$B77))&gt;=0.3,"Nella Media","Scommessa/Riserva")))),"")</f>
        <v>Top</v>
      </c>
      <c r="Q77" s="29" t="n">
        <f aca="false">IF($D77="",COUNTIF($D$2:$D77,""),"")</f>
        <v>76</v>
      </c>
      <c r="R77" s="29" t="str">
        <f aca="false">IF($D77='Info Lega'!$B$28,COUNTIFS($D$2:$D77,'Info Lega'!$B$28),"")</f>
        <v/>
      </c>
      <c r="S77" s="30" t="n">
        <f aca="false">IFERROR(INDEX('Input Statistiche 2025_26'!$G$3:$G$665,MATCH($A77,'Input Statistiche 2025_26'!$A$3:$A$665,0)),"")</f>
        <v>6.26</v>
      </c>
      <c r="T77" s="30" t="n">
        <f aca="false">IFERROR(INDEX('Input Statistiche 2025_26'!$H$3:$H$665,MATCH($A77,'Input Statistiche 2025_26'!$A$3:$A$665,0)),"")</f>
        <v>6.53</v>
      </c>
      <c r="U77" s="26" t="str">
        <f aca="false">IF(OR('La Mia Rosa'!$O$12="",$D77&lt;&gt;""),"",IF($F77&lt;='La Mia Rosa'!$O$12*'Parametri Modello'!$B$24,"OK",IF($F77&lt;='La Mia Rosa'!$O$12*'Parametri Modello'!$B$25,"Attenzione","Rischio Alto")))</f>
        <v>OK</v>
      </c>
      <c r="V77" s="26" t="n">
        <f aca="false">IFERROR(COUNTIFS($B$2:$B$492,$B77,$O$2:$O$492,"&gt;"&amp;$O77)+1,"")</f>
        <v>25</v>
      </c>
      <c r="W77" s="21" t="n">
        <f aca="false">'Info Lega'!$B$4-SUMIFS($M$2:$M$492,$D$2:$D$492,'Info Lega'!$B$28)</f>
        <v>1000</v>
      </c>
      <c r="X77" s="21" t="n">
        <f aca="false">('Info Lega'!$B$5-COUNTIFS($D$2:$D$492,'Info Lega'!$B$28,$B$2:$B$492,"P"))+('Info Lega'!$B$6-COUNTIFS($D$2:$D$492,'Info Lega'!$B$28,$B$2:$B$492,"D"))+('Info Lega'!$B$7-COUNTIFS($D$2:$D$492,'Info Lega'!$B$28,$B$2:$B$492,"C"))+('Info Lega'!$B$8-COUNTIFS($D$2:$D$492,'Info Lega'!$B$28,$B$2:$B$492,"A"))</f>
        <v>25</v>
      </c>
      <c r="Y77" s="21" t="n">
        <f aca="false">X77*'Parametri Modello'!$B$30</f>
        <v>25</v>
      </c>
      <c r="Z77" s="21" t="n">
        <f aca="false">MAX(0,W77-Y77)</f>
        <v>975</v>
      </c>
      <c r="AA77" s="21" t="n">
        <f aca="false">MIN(F77,Z77)</f>
        <v>28</v>
      </c>
      <c r="AB77" s="21"/>
      <c r="AC77" s="21" t="str">
        <f aca="false">IF(AB77="","",IF(AB77&gt;AA77,"PASS",IF(AB77&lt;=AA77*0.85,"BID","ATTENZIONE")))</f>
        <v/>
      </c>
      <c r="AD77" s="31" t="n">
        <f aca="false">IF(I77="","",ROUND(100*(1-EXP(-I77/30)),0))</f>
        <v>62</v>
      </c>
      <c r="AE77" s="7" t="str">
        <f aca="false">IFERROR(INDEX('Stato Asta'!$G$9:$G$12,MATCH($B77,'Stato Asta'!$A$9:$A$12,0)),"")</f>
        <v>🟡 Attesa rischiosa</v>
      </c>
    </row>
    <row r="78" customFormat="false" ht="14.25" hidden="false" customHeight="true" outlineLevel="0" collapsed="false">
      <c r="A78" s="21" t="n">
        <v>152</v>
      </c>
      <c r="B78" s="21" t="s">
        <v>45</v>
      </c>
      <c r="C78" s="21" t="s">
        <v>393</v>
      </c>
      <c r="E78" s="26" t="str">
        <f aca="false">IF(COUNTIF('Info Strategia'!$D$2:$D$51,$C78)&gt;0,"SI","NO")</f>
        <v>NO</v>
      </c>
      <c r="F78" s="27" t="n">
        <f aca="false">IFERROR(ROUND(($G78+($H78-$G78)*'Info Strategia'!$B$6)*(1+IF($E78="SI",'Parametri Modello'!$B$7*'Info Strategia'!$B$6,0)),0),"")</f>
        <v>27</v>
      </c>
      <c r="G78" s="27" t="n">
        <f aca="false">IFERROR(ROUND(MAX(1,(IF($V78&lt;=INDEX('Parametri Modello'!$C$57:$C$60,MATCH($B78,'Parametri Modello'!$A$57:$A$60,0)),IF(INDEX('Parametri Modello'!$E$57:$E$60,MATCH($B78,'Parametri Modello'!$A$57:$A$60,0))=0,0,($O78/INDEX('Parametri Modello'!$E$57:$E$60,MATCH($B78,'Parametri Modello'!$A$57:$A$60,0)))*(INDEX('Parametri Modello'!$D$57:$D$60,MATCH($B78,'Parametri Modello'!$A$57:$A$60,0))*(INDEX('Parametri Modello'!$B$50:$B$53,MATCH($B78,'Parametri Modello'!$A$50:$A$53,0))*'Parametri Modello'!$B$44))),IF(INDEX('Parametri Modello'!$F$57:$F$60,MATCH($B78,'Parametri Modello'!$A$57:$A$60,0))=0,0,($O78/INDEX('Parametri Modello'!$F$57:$F$60,MATCH($B78,'Parametri Modello'!$A$57:$A$60,0)))*((1-INDEX('Parametri Modello'!$D$57:$D$60,MATCH($B78,'Parametri Modello'!$A$57:$A$60,0)))*(INDEX('Parametri Modello'!$B$50:$B$53,MATCH($B78,'Parametri Modello'!$A$50:$A$53,0))*'Parametri Modello'!$B$44))))*(1+IF(IF($B78="D",'Info Lega'!$B$25,IF($B78="C",'Info Lega'!$B$26,"No"))="Si",'Parametri Modello'!$B$5,0))*(1+MAX(-0.25,MIN(0.25,IF(OR($T78="",$I78="",$I78=0,INDEX('Parametri Modello'!$B$19:$B$22,MATCH($B78,'Parametri Modello'!$A$19:$A$22,0))="",INDEX('Parametri Modello'!$B$19:$B$22,MATCH($B78,'Parametri Modello'!$A$19:$A$22,0))=0),0,(($T78-INDEX('Parametri Modello'!$B$19:$B$22,MATCH($B78,'Parametri Modello'!$A$19:$A$22,0)))/INDEX('Parametri Modello'!$B$19:$B$22,MATCH($B78,'Parametri Modello'!$A$19:$A$22,0)))*'Parametri Modello'!$B$9))))*(1+IF('Parametri Modello'!$B$27="Si",MAX(-'Parametri Modello'!$B$28,MIN('Parametri Modello'!$B$28*1.5,IF(OR(INDEX('Parametri Modello'!$F$32:$F$35,MATCH($B78,'Parametri Modello'!$A$32:$A$35,0))="",INDEX('Parametri Modello'!$F$32:$F$35,MATCH($B78,'Parametri Modello'!$A$32:$A$35,0))=0),0,(1/INDEX('Parametri Modello'!$F$32:$F$35,MATCH($B78,'Parametri Modello'!$A$32:$A$35,0))-1)*'Parametri Modello'!$B$28))),0)))*(1-INDEX('Parametri Modello'!$B$12:$B$15,MATCH($B78,'Parametri Modello'!$A$12:$A$15,0)))),0),"")</f>
        <v>19</v>
      </c>
      <c r="H78" s="27" t="n">
        <f aca="false">IFERROR(ROUND((IF($V78&lt;=INDEX('Parametri Modello'!$C$57:$C$60,MATCH($B78,'Parametri Modello'!$A$57:$A$60,0)),IF(INDEX('Parametri Modello'!$E$57:$E$60,MATCH($B78,'Parametri Modello'!$A$57:$A$60,0))=0,0,($O78/INDEX('Parametri Modello'!$E$57:$E$60,MATCH($B78,'Parametri Modello'!$A$57:$A$60,0)))*(INDEX('Parametri Modello'!$D$57:$D$60,MATCH($B78,'Parametri Modello'!$A$57:$A$60,0))*(INDEX('Parametri Modello'!$B$50:$B$53,MATCH($B78,'Parametri Modello'!$A$50:$A$53,0))*'Parametri Modello'!$B$44))),IF(INDEX('Parametri Modello'!$F$57:$F$60,MATCH($B78,'Parametri Modello'!$A$57:$A$60,0))=0,0,($O78/INDEX('Parametri Modello'!$F$57:$F$60,MATCH($B78,'Parametri Modello'!$A$57:$A$60,0)))*((1-INDEX('Parametri Modello'!$D$57:$D$60,MATCH($B78,'Parametri Modello'!$A$57:$A$60,0)))*(INDEX('Parametri Modello'!$B$50:$B$53,MATCH($B78,'Parametri Modello'!$A$50:$A$53,0))*'Parametri Modello'!$B$44))))*(1+IF(IF($B78="D",'Info Lega'!$B$25,IF($B78="C",'Info Lega'!$B$26,"No"))="Si",'Parametri Modello'!$B$5,0))*(1+MAX(-0.25,MIN(0.25,IF(OR($T78="",$I78="",$I78=0,INDEX('Parametri Modello'!$B$19:$B$22,MATCH($B78,'Parametri Modello'!$A$19:$A$22,0))="",INDEX('Parametri Modello'!$B$19:$B$22,MATCH($B78,'Parametri Modello'!$A$19:$A$22,0))=0),0,(($T78-INDEX('Parametri Modello'!$B$19:$B$22,MATCH($B78,'Parametri Modello'!$A$19:$A$22,0)))/INDEX('Parametri Modello'!$B$19:$B$22,MATCH($B78,'Parametri Modello'!$A$19:$A$22,0)))*'Parametri Modello'!$B$9))))*(1+IF('Parametri Modello'!$B$27="Si",MAX(-'Parametri Modello'!$B$28,MIN('Parametri Modello'!$B$28*1.5,IF(OR(INDEX('Parametri Modello'!$F$32:$F$35,MATCH($B78,'Parametri Modello'!$A$32:$A$35,0))="",INDEX('Parametri Modello'!$F$32:$F$35,MATCH($B78,'Parametri Modello'!$A$32:$A$35,0))=0),0,(1/INDEX('Parametri Modello'!$F$32:$F$35,MATCH($B78,'Parametri Modello'!$A$32:$A$35,0))-1)*'Parametri Modello'!$B$28))),0)))*(1+INDEX('Parametri Modello'!$B$12:$B$15,MATCH($B78,'Parametri Modello'!$A$12:$A$15,0))),0),"")</f>
        <v>31</v>
      </c>
      <c r="I78" s="26" t="n">
        <f aca="false">IFERROR(INDEX('Input Statistiche 2025_26'!$F$3:$F$665,MATCH($A78,'Input Statistiche 2025_26'!$A$3:$A$665,0)),"")</f>
        <v>30</v>
      </c>
      <c r="J78" s="26" t="n">
        <f aca="false">IFERROR(IF($I78="","",MAX(0,38-$I78)),"")</f>
        <v>8</v>
      </c>
      <c r="K78" s="26" t="n">
        <f aca="false">IFERROR(INDEX('Input Statistiche 2025_26'!$I$3:$I$665,MATCH($A78,'Input Statistiche 2025_26'!$A$3:$A$665,0)),"")</f>
        <v>6</v>
      </c>
      <c r="L78" s="26" t="n">
        <f aca="false">IFERROR(INDEX('Input Statistiche 2025_26'!$O$3:$O$665,MATCH($A78,'Input Statistiche 2025_26'!$A$3:$A$665,0)),"")</f>
        <v>2</v>
      </c>
      <c r="M78" s="28"/>
      <c r="N78" s="27" t="n">
        <f aca="false">IFERROR(INDEX('Input Giocatori 2026_27'!$E$3:$E$493,MATCH($A78,'Input Giocatori 2026_27'!$A$3:$A$493,0)),"")</f>
        <v>10</v>
      </c>
      <c r="O78" s="27" t="n">
        <f aca="false">IFERROR(INDEX('Input Giocatori 2026_27'!$G$3:$G$493,MATCH($A78,'Input Giocatori 2026_27'!$A$3:$A$493,0)),"")</f>
        <v>41</v>
      </c>
      <c r="P78" s="26" t="str">
        <f aca="false">IFERROR(IF($O78="","",IF((1-(COUNTIFS($B$2:$B$492,$B78,$O$2:$O$492,"&gt;"&amp;$O78)+1-1)/COUNTIF($B$2:$B$492,$B78))&gt;=0.85,"Top",IF((1-(COUNTIFS($B$2:$B$492,$B78,$O$2:$O$492,"&gt;"&amp;$O78)+1-1)/COUNTIF($B$2:$B$492,$B78))&gt;=0.6,"Buono",IF((1-(COUNTIFS($B$2:$B$492,$B78,$O$2:$O$492,"&gt;"&amp;$O78)+1-1)/COUNTIF($B$2:$B$492,$B78))&gt;=0.3,"Nella Media","Scommessa/Riserva")))),"")</f>
        <v>Buono</v>
      </c>
      <c r="Q78" s="29" t="n">
        <f aca="false">IF($D78="",COUNTIF($D$2:$D78,""),"")</f>
        <v>77</v>
      </c>
      <c r="R78" s="29" t="str">
        <f aca="false">IF($D78='Info Lega'!$B$28,COUNTIFS($D$2:$D78,'Info Lega'!$B$28),"")</f>
        <v/>
      </c>
      <c r="S78" s="30" t="n">
        <f aca="false">IFERROR(INDEX('Input Statistiche 2025_26'!$G$3:$G$665,MATCH($A78,'Input Statistiche 2025_26'!$A$3:$A$665,0)),"")</f>
        <v>6.25</v>
      </c>
      <c r="T78" s="30" t="n">
        <f aca="false">IFERROR(INDEX('Input Statistiche 2025_26'!$H$3:$H$665,MATCH($A78,'Input Statistiche 2025_26'!$A$3:$A$665,0)),"")</f>
        <v>6.8</v>
      </c>
      <c r="U78" s="26" t="str">
        <f aca="false">IF(OR('La Mia Rosa'!$O$12="",$D78&lt;&gt;""),"",IF($F78&lt;='La Mia Rosa'!$O$12*'Parametri Modello'!$B$24,"OK",IF($F78&lt;='La Mia Rosa'!$O$12*'Parametri Modello'!$B$25,"Attenzione","Rischio Alto")))</f>
        <v>OK</v>
      </c>
      <c r="V78" s="26" t="n">
        <f aca="false">IFERROR(COUNTIFS($B$2:$B$492,$B78,$O$2:$O$492,"&gt;"&amp;$O78)+1,"")</f>
        <v>27</v>
      </c>
      <c r="W78" s="21" t="n">
        <f aca="false">'Info Lega'!$B$4-SUMIFS($M$2:$M$492,$D$2:$D$492,'Info Lega'!$B$28)</f>
        <v>1000</v>
      </c>
      <c r="X78" s="21" t="n">
        <f aca="false">('Info Lega'!$B$5-COUNTIFS($D$2:$D$492,'Info Lega'!$B$28,$B$2:$B$492,"P"))+('Info Lega'!$B$6-COUNTIFS($D$2:$D$492,'Info Lega'!$B$28,$B$2:$B$492,"D"))+('Info Lega'!$B$7-COUNTIFS($D$2:$D$492,'Info Lega'!$B$28,$B$2:$B$492,"C"))+('Info Lega'!$B$8-COUNTIFS($D$2:$D$492,'Info Lega'!$B$28,$B$2:$B$492,"A"))</f>
        <v>25</v>
      </c>
      <c r="Y78" s="21" t="n">
        <f aca="false">X78*'Parametri Modello'!$B$30</f>
        <v>25</v>
      </c>
      <c r="Z78" s="21" t="n">
        <f aca="false">MAX(0,W78-Y78)</f>
        <v>975</v>
      </c>
      <c r="AA78" s="21" t="n">
        <f aca="false">MIN(F78,Z78)</f>
        <v>27</v>
      </c>
      <c r="AB78" s="21"/>
      <c r="AC78" s="21" t="str">
        <f aca="false">IF(AB78="","",IF(AB78&gt;AA78,"PASS",IF(AB78&lt;=AA78*0.85,"BID","ATTENZIONE")))</f>
        <v/>
      </c>
      <c r="AD78" s="31" t="n">
        <f aca="false">IF(I78="","",ROUND(100*(1-EXP(-I78/30)),0))</f>
        <v>63</v>
      </c>
      <c r="AE78" s="7" t="str">
        <f aca="false">IFERROR(INDEX('Stato Asta'!$G$9:$G$12,MATCH($B78,'Stato Asta'!$A$9:$A$12,0)),"")</f>
        <v>🟡 Attesa rischiosa</v>
      </c>
    </row>
    <row r="79" customFormat="false" ht="14.25" hidden="false" customHeight="true" outlineLevel="0" collapsed="false">
      <c r="A79" s="21" t="n">
        <v>5562</v>
      </c>
      <c r="B79" s="21" t="s">
        <v>45</v>
      </c>
      <c r="C79" s="21" t="s">
        <v>394</v>
      </c>
      <c r="E79" s="26" t="str">
        <f aca="false">IF(COUNTIF('Info Strategia'!$D$2:$D$51,$C79)&gt;0,"SI","NO")</f>
        <v>NO</v>
      </c>
      <c r="F79" s="27" t="n">
        <f aca="false">IFERROR(ROUND(($G79+($H79-$G79)*'Info Strategia'!$B$6)*(1+IF($E79="SI",'Parametri Modello'!$B$7*'Info Strategia'!$B$6,0)),0),"")</f>
        <v>27</v>
      </c>
      <c r="G79" s="27" t="n">
        <f aca="false">IFERROR(ROUND(MAX(1,(IF($V79&lt;=INDEX('Parametri Modello'!$C$57:$C$60,MATCH($B79,'Parametri Modello'!$A$57:$A$60,0)),IF(INDEX('Parametri Modello'!$E$57:$E$60,MATCH($B79,'Parametri Modello'!$A$57:$A$60,0))=0,0,($O79/INDEX('Parametri Modello'!$E$57:$E$60,MATCH($B79,'Parametri Modello'!$A$57:$A$60,0)))*(INDEX('Parametri Modello'!$D$57:$D$60,MATCH($B79,'Parametri Modello'!$A$57:$A$60,0))*(INDEX('Parametri Modello'!$B$50:$B$53,MATCH($B79,'Parametri Modello'!$A$50:$A$53,0))*'Parametri Modello'!$B$44))),IF(INDEX('Parametri Modello'!$F$57:$F$60,MATCH($B79,'Parametri Modello'!$A$57:$A$60,0))=0,0,($O79/INDEX('Parametri Modello'!$F$57:$F$60,MATCH($B79,'Parametri Modello'!$A$57:$A$60,0)))*((1-INDEX('Parametri Modello'!$D$57:$D$60,MATCH($B79,'Parametri Modello'!$A$57:$A$60,0)))*(INDEX('Parametri Modello'!$B$50:$B$53,MATCH($B79,'Parametri Modello'!$A$50:$A$53,0))*'Parametri Modello'!$B$44))))*(1+IF(IF($B79="D",'Info Lega'!$B$25,IF($B79="C",'Info Lega'!$B$26,"No"))="Si",'Parametri Modello'!$B$5,0))*(1+MAX(-0.25,MIN(0.25,IF(OR($T79="",$I79="",$I79=0,INDEX('Parametri Modello'!$B$19:$B$22,MATCH($B79,'Parametri Modello'!$A$19:$A$22,0))="",INDEX('Parametri Modello'!$B$19:$B$22,MATCH($B79,'Parametri Modello'!$A$19:$A$22,0))=0),0,(($T79-INDEX('Parametri Modello'!$B$19:$B$22,MATCH($B79,'Parametri Modello'!$A$19:$A$22,0)))/INDEX('Parametri Modello'!$B$19:$B$22,MATCH($B79,'Parametri Modello'!$A$19:$A$22,0)))*'Parametri Modello'!$B$9))))*(1+IF('Parametri Modello'!$B$27="Si",MAX(-'Parametri Modello'!$B$28,MIN('Parametri Modello'!$B$28*1.5,IF(OR(INDEX('Parametri Modello'!$F$32:$F$35,MATCH($B79,'Parametri Modello'!$A$32:$A$35,0))="",INDEX('Parametri Modello'!$F$32:$F$35,MATCH($B79,'Parametri Modello'!$A$32:$A$35,0))=0),0,(1/INDEX('Parametri Modello'!$F$32:$F$35,MATCH($B79,'Parametri Modello'!$A$32:$A$35,0))-1)*'Parametri Modello'!$B$28))),0)))*(1-INDEX('Parametri Modello'!$B$12:$B$15,MATCH($B79,'Parametri Modello'!$A$12:$A$15,0)))),0),"")</f>
        <v>19</v>
      </c>
      <c r="H79" s="27" t="n">
        <f aca="false">IFERROR(ROUND((IF($V79&lt;=INDEX('Parametri Modello'!$C$57:$C$60,MATCH($B79,'Parametri Modello'!$A$57:$A$60,0)),IF(INDEX('Parametri Modello'!$E$57:$E$60,MATCH($B79,'Parametri Modello'!$A$57:$A$60,0))=0,0,($O79/INDEX('Parametri Modello'!$E$57:$E$60,MATCH($B79,'Parametri Modello'!$A$57:$A$60,0)))*(INDEX('Parametri Modello'!$D$57:$D$60,MATCH($B79,'Parametri Modello'!$A$57:$A$60,0))*(INDEX('Parametri Modello'!$B$50:$B$53,MATCH($B79,'Parametri Modello'!$A$50:$A$53,0))*'Parametri Modello'!$B$44))),IF(INDEX('Parametri Modello'!$F$57:$F$60,MATCH($B79,'Parametri Modello'!$A$57:$A$60,0))=0,0,($O79/INDEX('Parametri Modello'!$F$57:$F$60,MATCH($B79,'Parametri Modello'!$A$57:$A$60,0)))*((1-INDEX('Parametri Modello'!$D$57:$D$60,MATCH($B79,'Parametri Modello'!$A$57:$A$60,0)))*(INDEX('Parametri Modello'!$B$50:$B$53,MATCH($B79,'Parametri Modello'!$A$50:$A$53,0))*'Parametri Modello'!$B$44))))*(1+IF(IF($B79="D",'Info Lega'!$B$25,IF($B79="C",'Info Lega'!$B$26,"No"))="Si",'Parametri Modello'!$B$5,0))*(1+MAX(-0.25,MIN(0.25,IF(OR($T79="",$I79="",$I79=0,INDEX('Parametri Modello'!$B$19:$B$22,MATCH($B79,'Parametri Modello'!$A$19:$A$22,0))="",INDEX('Parametri Modello'!$B$19:$B$22,MATCH($B79,'Parametri Modello'!$A$19:$A$22,0))=0),0,(($T79-INDEX('Parametri Modello'!$B$19:$B$22,MATCH($B79,'Parametri Modello'!$A$19:$A$22,0)))/INDEX('Parametri Modello'!$B$19:$B$22,MATCH($B79,'Parametri Modello'!$A$19:$A$22,0)))*'Parametri Modello'!$B$9))))*(1+IF('Parametri Modello'!$B$27="Si",MAX(-'Parametri Modello'!$B$28,MIN('Parametri Modello'!$B$28*1.5,IF(OR(INDEX('Parametri Modello'!$F$32:$F$35,MATCH($B79,'Parametri Modello'!$A$32:$A$35,0))="",INDEX('Parametri Modello'!$F$32:$F$35,MATCH($B79,'Parametri Modello'!$A$32:$A$35,0))=0),0,(1/INDEX('Parametri Modello'!$F$32:$F$35,MATCH($B79,'Parametri Modello'!$A$32:$A$35,0))-1)*'Parametri Modello'!$B$28))),0)))*(1+INDEX('Parametri Modello'!$B$12:$B$15,MATCH($B79,'Parametri Modello'!$A$12:$A$15,0))),0),"")</f>
        <v>31</v>
      </c>
      <c r="I79" s="26" t="n">
        <f aca="false">IFERROR(INDEX('Input Statistiche 2025_26'!$F$3:$F$665,MATCH($A79,'Input Statistiche 2025_26'!$A$3:$A$665,0)),"")</f>
        <v>34</v>
      </c>
      <c r="J79" s="26" t="n">
        <f aca="false">IFERROR(IF($I79="","",MAX(0,38-$I79)),"")</f>
        <v>4</v>
      </c>
      <c r="K79" s="26" t="n">
        <f aca="false">IFERROR(INDEX('Input Statistiche 2025_26'!$I$3:$I$665,MATCH($A79,'Input Statistiche 2025_26'!$A$3:$A$665,0)),"")</f>
        <v>3</v>
      </c>
      <c r="L79" s="26" t="n">
        <f aca="false">IFERROR(INDEX('Input Statistiche 2025_26'!$O$3:$O$665,MATCH($A79,'Input Statistiche 2025_26'!$A$3:$A$665,0)),"")</f>
        <v>2</v>
      </c>
      <c r="M79" s="28"/>
      <c r="N79" s="27" t="n">
        <f aca="false">IFERROR(INDEX('Input Giocatori 2026_27'!$E$3:$E$493,MATCH($A79,'Input Giocatori 2026_27'!$A$3:$A$493,0)),"")</f>
        <v>10</v>
      </c>
      <c r="O79" s="27" t="n">
        <f aca="false">IFERROR(INDEX('Input Giocatori 2026_27'!$G$3:$G$493,MATCH($A79,'Input Giocatori 2026_27'!$A$3:$A$493,0)),"")</f>
        <v>41</v>
      </c>
      <c r="P79" s="26" t="str">
        <f aca="false">IFERROR(IF($O79="","",IF((1-(COUNTIFS($B$2:$B$492,$B79,$O$2:$O$492,"&gt;"&amp;$O79)+1-1)/COUNTIF($B$2:$B$492,$B79))&gt;=0.85,"Top",IF((1-(COUNTIFS($B$2:$B$492,$B79,$O$2:$O$492,"&gt;"&amp;$O79)+1-1)/COUNTIF($B$2:$B$492,$B79))&gt;=0.6,"Buono",IF((1-(COUNTIFS($B$2:$B$492,$B79,$O$2:$O$492,"&gt;"&amp;$O79)+1-1)/COUNTIF($B$2:$B$492,$B79))&gt;=0.3,"Nella Media","Scommessa/Riserva")))),"")</f>
        <v>Buono</v>
      </c>
      <c r="Q79" s="29" t="n">
        <f aca="false">IF($D79="",COUNTIF($D$2:$D79,""),"")</f>
        <v>78</v>
      </c>
      <c r="R79" s="29" t="str">
        <f aca="false">IF($D79='Info Lega'!$B$28,COUNTIFS($D$2:$D79,'Info Lega'!$B$28),"")</f>
        <v/>
      </c>
      <c r="S79" s="30" t="n">
        <f aca="false">IFERROR(INDEX('Input Statistiche 2025_26'!$G$3:$G$665,MATCH($A79,'Input Statistiche 2025_26'!$A$3:$A$665,0)),"")</f>
        <v>6.1</v>
      </c>
      <c r="T79" s="30" t="n">
        <f aca="false">IFERROR(INDEX('Input Statistiche 2025_26'!$H$3:$H$665,MATCH($A79,'Input Statistiche 2025_26'!$A$3:$A$665,0)),"")</f>
        <v>6.4</v>
      </c>
      <c r="U79" s="26" t="str">
        <f aca="false">IF(OR('La Mia Rosa'!$O$12="",$D79&lt;&gt;""),"",IF($F79&lt;='La Mia Rosa'!$O$12*'Parametri Modello'!$B$24,"OK",IF($F79&lt;='La Mia Rosa'!$O$12*'Parametri Modello'!$B$25,"Attenzione","Rischio Alto")))</f>
        <v>OK</v>
      </c>
      <c r="V79" s="26" t="n">
        <f aca="false">IFERROR(COUNTIFS($B$2:$B$492,$B79,$O$2:$O$492,"&gt;"&amp;$O79)+1,"")</f>
        <v>27</v>
      </c>
      <c r="W79" s="21" t="n">
        <f aca="false">'Info Lega'!$B$4-SUMIFS($M$2:$M$492,$D$2:$D$492,'Info Lega'!$B$28)</f>
        <v>1000</v>
      </c>
      <c r="X79" s="21" t="n">
        <f aca="false">('Info Lega'!$B$5-COUNTIFS($D$2:$D$492,'Info Lega'!$B$28,$B$2:$B$492,"P"))+('Info Lega'!$B$6-COUNTIFS($D$2:$D$492,'Info Lega'!$B$28,$B$2:$B$492,"D"))+('Info Lega'!$B$7-COUNTIFS($D$2:$D$492,'Info Lega'!$B$28,$B$2:$B$492,"C"))+('Info Lega'!$B$8-COUNTIFS($D$2:$D$492,'Info Lega'!$B$28,$B$2:$B$492,"A"))</f>
        <v>25</v>
      </c>
      <c r="Y79" s="21" t="n">
        <f aca="false">X79*'Parametri Modello'!$B$30</f>
        <v>25</v>
      </c>
      <c r="Z79" s="21" t="n">
        <f aca="false">MAX(0,W79-Y79)</f>
        <v>975</v>
      </c>
      <c r="AA79" s="21" t="n">
        <f aca="false">MIN(F79,Z79)</f>
        <v>27</v>
      </c>
      <c r="AB79" s="21"/>
      <c r="AC79" s="21" t="str">
        <f aca="false">IF(AB79="","",IF(AB79&gt;AA79,"PASS",IF(AB79&lt;=AA79*0.85,"BID","ATTENZIONE")))</f>
        <v/>
      </c>
      <c r="AD79" s="31" t="n">
        <f aca="false">IF(I79="","",ROUND(100*(1-EXP(-I79/30)),0))</f>
        <v>68</v>
      </c>
      <c r="AE79" s="7" t="str">
        <f aca="false">IFERROR(INDEX('Stato Asta'!$G$9:$G$12,MATCH($B79,'Stato Asta'!$A$9:$A$12,0)),"")</f>
        <v>🟡 Attesa rischiosa</v>
      </c>
    </row>
    <row r="80" customFormat="false" ht="14.25" hidden="false" customHeight="true" outlineLevel="0" collapsed="false">
      <c r="A80" s="21" t="n">
        <v>5844</v>
      </c>
      <c r="B80" s="21" t="s">
        <v>45</v>
      </c>
      <c r="C80" s="21" t="s">
        <v>398</v>
      </c>
      <c r="E80" s="26" t="str">
        <f aca="false">IF(COUNTIF('Info Strategia'!$D$2:$D$51,$C80)&gt;0,"SI","NO")</f>
        <v>NO</v>
      </c>
      <c r="F80" s="27" t="n">
        <f aca="false">IFERROR(ROUND(($G80+($H80-$G80)*'Info Strategia'!$B$6)*(1+IF($E80="SI",'Parametri Modello'!$B$7*'Info Strategia'!$B$6,0)),0),"")</f>
        <v>27</v>
      </c>
      <c r="G80" s="27" t="n">
        <f aca="false">IFERROR(ROUND(MAX(1,(IF($V80&lt;=INDEX('Parametri Modello'!$C$57:$C$60,MATCH($B80,'Parametri Modello'!$A$57:$A$60,0)),IF(INDEX('Parametri Modello'!$E$57:$E$60,MATCH($B80,'Parametri Modello'!$A$57:$A$60,0))=0,0,($O80/INDEX('Parametri Modello'!$E$57:$E$60,MATCH($B80,'Parametri Modello'!$A$57:$A$60,0)))*(INDEX('Parametri Modello'!$D$57:$D$60,MATCH($B80,'Parametri Modello'!$A$57:$A$60,0))*(INDEX('Parametri Modello'!$B$50:$B$53,MATCH($B80,'Parametri Modello'!$A$50:$A$53,0))*'Parametri Modello'!$B$44))),IF(INDEX('Parametri Modello'!$F$57:$F$60,MATCH($B80,'Parametri Modello'!$A$57:$A$60,0))=0,0,($O80/INDEX('Parametri Modello'!$F$57:$F$60,MATCH($B80,'Parametri Modello'!$A$57:$A$60,0)))*((1-INDEX('Parametri Modello'!$D$57:$D$60,MATCH($B80,'Parametri Modello'!$A$57:$A$60,0)))*(INDEX('Parametri Modello'!$B$50:$B$53,MATCH($B80,'Parametri Modello'!$A$50:$A$53,0))*'Parametri Modello'!$B$44))))*(1+IF(IF($B80="D",'Info Lega'!$B$25,IF($B80="C",'Info Lega'!$B$26,"No"))="Si",'Parametri Modello'!$B$5,0))*(1+MAX(-0.25,MIN(0.25,IF(OR($T80="",$I80="",$I80=0,INDEX('Parametri Modello'!$B$19:$B$22,MATCH($B80,'Parametri Modello'!$A$19:$A$22,0))="",INDEX('Parametri Modello'!$B$19:$B$22,MATCH($B80,'Parametri Modello'!$A$19:$A$22,0))=0),0,(($T80-INDEX('Parametri Modello'!$B$19:$B$22,MATCH($B80,'Parametri Modello'!$A$19:$A$22,0)))/INDEX('Parametri Modello'!$B$19:$B$22,MATCH($B80,'Parametri Modello'!$A$19:$A$22,0)))*'Parametri Modello'!$B$9))))*(1+IF('Parametri Modello'!$B$27="Si",MAX(-'Parametri Modello'!$B$28,MIN('Parametri Modello'!$B$28*1.5,IF(OR(INDEX('Parametri Modello'!$F$32:$F$35,MATCH($B80,'Parametri Modello'!$A$32:$A$35,0))="",INDEX('Parametri Modello'!$F$32:$F$35,MATCH($B80,'Parametri Modello'!$A$32:$A$35,0))=0),0,(1/INDEX('Parametri Modello'!$F$32:$F$35,MATCH($B80,'Parametri Modello'!$A$32:$A$35,0))-1)*'Parametri Modello'!$B$28))),0)))*(1-INDEX('Parametri Modello'!$B$12:$B$15,MATCH($B80,'Parametri Modello'!$A$12:$A$15,0)))),0),"")</f>
        <v>19</v>
      </c>
      <c r="H80" s="27" t="n">
        <f aca="false">IFERROR(ROUND((IF($V80&lt;=INDEX('Parametri Modello'!$C$57:$C$60,MATCH($B80,'Parametri Modello'!$A$57:$A$60,0)),IF(INDEX('Parametri Modello'!$E$57:$E$60,MATCH($B80,'Parametri Modello'!$A$57:$A$60,0))=0,0,($O80/INDEX('Parametri Modello'!$E$57:$E$60,MATCH($B80,'Parametri Modello'!$A$57:$A$60,0)))*(INDEX('Parametri Modello'!$D$57:$D$60,MATCH($B80,'Parametri Modello'!$A$57:$A$60,0))*(INDEX('Parametri Modello'!$B$50:$B$53,MATCH($B80,'Parametri Modello'!$A$50:$A$53,0))*'Parametri Modello'!$B$44))),IF(INDEX('Parametri Modello'!$F$57:$F$60,MATCH($B80,'Parametri Modello'!$A$57:$A$60,0))=0,0,($O80/INDEX('Parametri Modello'!$F$57:$F$60,MATCH($B80,'Parametri Modello'!$A$57:$A$60,0)))*((1-INDEX('Parametri Modello'!$D$57:$D$60,MATCH($B80,'Parametri Modello'!$A$57:$A$60,0)))*(INDEX('Parametri Modello'!$B$50:$B$53,MATCH($B80,'Parametri Modello'!$A$50:$A$53,0))*'Parametri Modello'!$B$44))))*(1+IF(IF($B80="D",'Info Lega'!$B$25,IF($B80="C",'Info Lega'!$B$26,"No"))="Si",'Parametri Modello'!$B$5,0))*(1+MAX(-0.25,MIN(0.25,IF(OR($T80="",$I80="",$I80=0,INDEX('Parametri Modello'!$B$19:$B$22,MATCH($B80,'Parametri Modello'!$A$19:$A$22,0))="",INDEX('Parametri Modello'!$B$19:$B$22,MATCH($B80,'Parametri Modello'!$A$19:$A$22,0))=0),0,(($T80-INDEX('Parametri Modello'!$B$19:$B$22,MATCH($B80,'Parametri Modello'!$A$19:$A$22,0)))/INDEX('Parametri Modello'!$B$19:$B$22,MATCH($B80,'Parametri Modello'!$A$19:$A$22,0)))*'Parametri Modello'!$B$9))))*(1+IF('Parametri Modello'!$B$27="Si",MAX(-'Parametri Modello'!$B$28,MIN('Parametri Modello'!$B$28*1.5,IF(OR(INDEX('Parametri Modello'!$F$32:$F$35,MATCH($B80,'Parametri Modello'!$A$32:$A$35,0))="",INDEX('Parametri Modello'!$F$32:$F$35,MATCH($B80,'Parametri Modello'!$A$32:$A$35,0))=0),0,(1/INDEX('Parametri Modello'!$F$32:$F$35,MATCH($B80,'Parametri Modello'!$A$32:$A$35,0))-1)*'Parametri Modello'!$B$28))),0)))*(1+INDEX('Parametri Modello'!$B$12:$B$15,MATCH($B80,'Parametri Modello'!$A$12:$A$15,0))),0),"")</f>
        <v>31</v>
      </c>
      <c r="I80" s="26" t="n">
        <f aca="false">IFERROR(INDEX('Input Statistiche 2025_26'!$F$3:$F$665,MATCH($A80,'Input Statistiche 2025_26'!$A$3:$A$665,0)),"")</f>
        <v>31</v>
      </c>
      <c r="J80" s="26" t="n">
        <f aca="false">IFERROR(IF($I80="","",MAX(0,38-$I80)),"")</f>
        <v>7</v>
      </c>
      <c r="K80" s="26" t="n">
        <f aca="false">IFERROR(INDEX('Input Statistiche 2025_26'!$I$3:$I$665,MATCH($A80,'Input Statistiche 2025_26'!$A$3:$A$665,0)),"")</f>
        <v>4</v>
      </c>
      <c r="L80" s="26" t="n">
        <f aca="false">IFERROR(INDEX('Input Statistiche 2025_26'!$O$3:$O$665,MATCH($A80,'Input Statistiche 2025_26'!$A$3:$A$665,0)),"")</f>
        <v>3</v>
      </c>
      <c r="M80" s="28"/>
      <c r="N80" s="27" t="n">
        <f aca="false">IFERROR(INDEX('Input Giocatori 2026_27'!$E$3:$E$493,MATCH($A80,'Input Giocatori 2026_27'!$A$3:$A$493,0)),"")</f>
        <v>10</v>
      </c>
      <c r="O80" s="27" t="n">
        <f aca="false">IFERROR(INDEX('Input Giocatori 2026_27'!$G$3:$G$493,MATCH($A80,'Input Giocatori 2026_27'!$A$3:$A$493,0)),"")</f>
        <v>41</v>
      </c>
      <c r="P80" s="26" t="str">
        <f aca="false">IFERROR(IF($O80="","",IF((1-(COUNTIFS($B$2:$B$492,$B80,$O$2:$O$492,"&gt;"&amp;$O80)+1-1)/COUNTIF($B$2:$B$492,$B80))&gt;=0.85,"Top",IF((1-(COUNTIFS($B$2:$B$492,$B80,$O$2:$O$492,"&gt;"&amp;$O80)+1-1)/COUNTIF($B$2:$B$492,$B80))&gt;=0.6,"Buono",IF((1-(COUNTIFS($B$2:$B$492,$B80,$O$2:$O$492,"&gt;"&amp;$O80)+1-1)/COUNTIF($B$2:$B$492,$B80))&gt;=0.3,"Nella Media","Scommessa/Riserva")))),"")</f>
        <v>Buono</v>
      </c>
      <c r="Q80" s="29" t="n">
        <f aca="false">IF($D80="",COUNTIF($D$2:$D80,""),"")</f>
        <v>79</v>
      </c>
      <c r="R80" s="29" t="str">
        <f aca="false">IF($D80='Info Lega'!$B$28,COUNTIFS($D$2:$D80,'Info Lega'!$B$28),"")</f>
        <v/>
      </c>
      <c r="S80" s="30" t="n">
        <f aca="false">IFERROR(INDEX('Input Statistiche 2025_26'!$G$3:$G$665,MATCH($A80,'Input Statistiche 2025_26'!$A$3:$A$665,0)),"")</f>
        <v>6.15</v>
      </c>
      <c r="T80" s="30" t="n">
        <f aca="false">IFERROR(INDEX('Input Statistiche 2025_26'!$H$3:$H$665,MATCH($A80,'Input Statistiche 2025_26'!$A$3:$A$665,0)),"")</f>
        <v>6.48</v>
      </c>
      <c r="U80" s="26" t="str">
        <f aca="false">IF(OR('La Mia Rosa'!$O$12="",$D80&lt;&gt;""),"",IF($F80&lt;='La Mia Rosa'!$O$12*'Parametri Modello'!$B$24,"OK",IF($F80&lt;='La Mia Rosa'!$O$12*'Parametri Modello'!$B$25,"Attenzione","Rischio Alto")))</f>
        <v>OK</v>
      </c>
      <c r="V80" s="26" t="n">
        <f aca="false">IFERROR(COUNTIFS($B$2:$B$492,$B80,$O$2:$O$492,"&gt;"&amp;$O80)+1,"")</f>
        <v>27</v>
      </c>
      <c r="W80" s="21" t="n">
        <f aca="false">'Info Lega'!$B$4-SUMIFS($M$2:$M$492,$D$2:$D$492,'Info Lega'!$B$28)</f>
        <v>1000</v>
      </c>
      <c r="X80" s="21" t="n">
        <f aca="false">('Info Lega'!$B$5-COUNTIFS($D$2:$D$492,'Info Lega'!$B$28,$B$2:$B$492,"P"))+('Info Lega'!$B$6-COUNTIFS($D$2:$D$492,'Info Lega'!$B$28,$B$2:$B$492,"D"))+('Info Lega'!$B$7-COUNTIFS($D$2:$D$492,'Info Lega'!$B$28,$B$2:$B$492,"C"))+('Info Lega'!$B$8-COUNTIFS($D$2:$D$492,'Info Lega'!$B$28,$B$2:$B$492,"A"))</f>
        <v>25</v>
      </c>
      <c r="Y80" s="21" t="n">
        <f aca="false">X80*'Parametri Modello'!$B$30</f>
        <v>25</v>
      </c>
      <c r="Z80" s="21" t="n">
        <f aca="false">MAX(0,W80-Y80)</f>
        <v>975</v>
      </c>
      <c r="AA80" s="21" t="n">
        <f aca="false">MIN(F80,Z80)</f>
        <v>27</v>
      </c>
      <c r="AB80" s="21"/>
      <c r="AC80" s="21" t="str">
        <f aca="false">IF(AB80="","",IF(AB80&gt;AA80,"PASS",IF(AB80&lt;=AA80*0.85,"BID","ATTENZIONE")))</f>
        <v/>
      </c>
      <c r="AD80" s="31" t="n">
        <f aca="false">IF(I80="","",ROUND(100*(1-EXP(-I80/30)),0))</f>
        <v>64</v>
      </c>
      <c r="AE80" s="7" t="str">
        <f aca="false">IFERROR(INDEX('Stato Asta'!$G$9:$G$12,MATCH($B80,'Stato Asta'!$A$9:$A$12,0)),"")</f>
        <v>🟡 Attesa rischiosa</v>
      </c>
    </row>
    <row r="81" customFormat="false" ht="14.25" hidden="false" customHeight="true" outlineLevel="0" collapsed="false">
      <c r="A81" s="21" t="n">
        <v>6684</v>
      </c>
      <c r="B81" s="21" t="s">
        <v>45</v>
      </c>
      <c r="C81" s="21" t="s">
        <v>400</v>
      </c>
      <c r="E81" s="26" t="str">
        <f aca="false">IF(COUNTIF('Info Strategia'!$D$2:$D$51,$C81)&gt;0,"SI","NO")</f>
        <v>NO</v>
      </c>
      <c r="F81" s="27" t="n">
        <f aca="false">IFERROR(ROUND(($G81+($H81-$G81)*'Info Strategia'!$B$6)*(1+IF($E81="SI",'Parametri Modello'!$B$7*'Info Strategia'!$B$6,0)),0),"")</f>
        <v>27</v>
      </c>
      <c r="G81" s="27" t="n">
        <f aca="false">IFERROR(ROUND(MAX(1,(IF($V81&lt;=INDEX('Parametri Modello'!$C$57:$C$60,MATCH($B81,'Parametri Modello'!$A$57:$A$60,0)),IF(INDEX('Parametri Modello'!$E$57:$E$60,MATCH($B81,'Parametri Modello'!$A$57:$A$60,0))=0,0,($O81/INDEX('Parametri Modello'!$E$57:$E$60,MATCH($B81,'Parametri Modello'!$A$57:$A$60,0)))*(INDEX('Parametri Modello'!$D$57:$D$60,MATCH($B81,'Parametri Modello'!$A$57:$A$60,0))*(INDEX('Parametri Modello'!$B$50:$B$53,MATCH($B81,'Parametri Modello'!$A$50:$A$53,0))*'Parametri Modello'!$B$44))),IF(INDEX('Parametri Modello'!$F$57:$F$60,MATCH($B81,'Parametri Modello'!$A$57:$A$60,0))=0,0,($O81/INDEX('Parametri Modello'!$F$57:$F$60,MATCH($B81,'Parametri Modello'!$A$57:$A$60,0)))*((1-INDEX('Parametri Modello'!$D$57:$D$60,MATCH($B81,'Parametri Modello'!$A$57:$A$60,0)))*(INDEX('Parametri Modello'!$B$50:$B$53,MATCH($B81,'Parametri Modello'!$A$50:$A$53,0))*'Parametri Modello'!$B$44))))*(1+IF(IF($B81="D",'Info Lega'!$B$25,IF($B81="C",'Info Lega'!$B$26,"No"))="Si",'Parametri Modello'!$B$5,0))*(1+MAX(-0.25,MIN(0.25,IF(OR($T81="",$I81="",$I81=0,INDEX('Parametri Modello'!$B$19:$B$22,MATCH($B81,'Parametri Modello'!$A$19:$A$22,0))="",INDEX('Parametri Modello'!$B$19:$B$22,MATCH($B81,'Parametri Modello'!$A$19:$A$22,0))=0),0,(($T81-INDEX('Parametri Modello'!$B$19:$B$22,MATCH($B81,'Parametri Modello'!$A$19:$A$22,0)))/INDEX('Parametri Modello'!$B$19:$B$22,MATCH($B81,'Parametri Modello'!$A$19:$A$22,0)))*'Parametri Modello'!$B$9))))*(1+IF('Parametri Modello'!$B$27="Si",MAX(-'Parametri Modello'!$B$28,MIN('Parametri Modello'!$B$28*1.5,IF(OR(INDEX('Parametri Modello'!$F$32:$F$35,MATCH($B81,'Parametri Modello'!$A$32:$A$35,0))="",INDEX('Parametri Modello'!$F$32:$F$35,MATCH($B81,'Parametri Modello'!$A$32:$A$35,0))=0),0,(1/INDEX('Parametri Modello'!$F$32:$F$35,MATCH($B81,'Parametri Modello'!$A$32:$A$35,0))-1)*'Parametri Modello'!$B$28))),0)))*(1-INDEX('Parametri Modello'!$B$12:$B$15,MATCH($B81,'Parametri Modello'!$A$12:$A$15,0)))),0),"")</f>
        <v>19</v>
      </c>
      <c r="H81" s="27" t="n">
        <f aca="false">IFERROR(ROUND((IF($V81&lt;=INDEX('Parametri Modello'!$C$57:$C$60,MATCH($B81,'Parametri Modello'!$A$57:$A$60,0)),IF(INDEX('Parametri Modello'!$E$57:$E$60,MATCH($B81,'Parametri Modello'!$A$57:$A$60,0))=0,0,($O81/INDEX('Parametri Modello'!$E$57:$E$60,MATCH($B81,'Parametri Modello'!$A$57:$A$60,0)))*(INDEX('Parametri Modello'!$D$57:$D$60,MATCH($B81,'Parametri Modello'!$A$57:$A$60,0))*(INDEX('Parametri Modello'!$B$50:$B$53,MATCH($B81,'Parametri Modello'!$A$50:$A$53,0))*'Parametri Modello'!$B$44))),IF(INDEX('Parametri Modello'!$F$57:$F$60,MATCH($B81,'Parametri Modello'!$A$57:$A$60,0))=0,0,($O81/INDEX('Parametri Modello'!$F$57:$F$60,MATCH($B81,'Parametri Modello'!$A$57:$A$60,0)))*((1-INDEX('Parametri Modello'!$D$57:$D$60,MATCH($B81,'Parametri Modello'!$A$57:$A$60,0)))*(INDEX('Parametri Modello'!$B$50:$B$53,MATCH($B81,'Parametri Modello'!$A$50:$A$53,0))*'Parametri Modello'!$B$44))))*(1+IF(IF($B81="D",'Info Lega'!$B$25,IF($B81="C",'Info Lega'!$B$26,"No"))="Si",'Parametri Modello'!$B$5,0))*(1+MAX(-0.25,MIN(0.25,IF(OR($T81="",$I81="",$I81=0,INDEX('Parametri Modello'!$B$19:$B$22,MATCH($B81,'Parametri Modello'!$A$19:$A$22,0))="",INDEX('Parametri Modello'!$B$19:$B$22,MATCH($B81,'Parametri Modello'!$A$19:$A$22,0))=0),0,(($T81-INDEX('Parametri Modello'!$B$19:$B$22,MATCH($B81,'Parametri Modello'!$A$19:$A$22,0)))/INDEX('Parametri Modello'!$B$19:$B$22,MATCH($B81,'Parametri Modello'!$A$19:$A$22,0)))*'Parametri Modello'!$B$9))))*(1+IF('Parametri Modello'!$B$27="Si",MAX(-'Parametri Modello'!$B$28,MIN('Parametri Modello'!$B$28*1.5,IF(OR(INDEX('Parametri Modello'!$F$32:$F$35,MATCH($B81,'Parametri Modello'!$A$32:$A$35,0))="",INDEX('Parametri Modello'!$F$32:$F$35,MATCH($B81,'Parametri Modello'!$A$32:$A$35,0))=0),0,(1/INDEX('Parametri Modello'!$F$32:$F$35,MATCH($B81,'Parametri Modello'!$A$32:$A$35,0))-1)*'Parametri Modello'!$B$28))),0)))*(1+INDEX('Parametri Modello'!$B$12:$B$15,MATCH($B81,'Parametri Modello'!$A$12:$A$15,0))),0),"")</f>
        <v>31</v>
      </c>
      <c r="I81" s="26" t="n">
        <f aca="false">IFERROR(INDEX('Input Statistiche 2025_26'!$F$3:$F$665,MATCH($A81,'Input Statistiche 2025_26'!$A$3:$A$665,0)),"")</f>
        <v>31</v>
      </c>
      <c r="J81" s="26" t="n">
        <f aca="false">IFERROR(IF($I81="","",MAX(0,38-$I81)),"")</f>
        <v>7</v>
      </c>
      <c r="K81" s="26" t="n">
        <f aca="false">IFERROR(INDEX('Input Statistiche 2025_26'!$I$3:$I$665,MATCH($A81,'Input Statistiche 2025_26'!$A$3:$A$665,0)),"")</f>
        <v>5</v>
      </c>
      <c r="L81" s="26" t="n">
        <f aca="false">IFERROR(INDEX('Input Statistiche 2025_26'!$O$3:$O$665,MATCH($A81,'Input Statistiche 2025_26'!$A$3:$A$665,0)),"")</f>
        <v>3</v>
      </c>
      <c r="M81" s="28"/>
      <c r="N81" s="27" t="n">
        <f aca="false">IFERROR(INDEX('Input Giocatori 2026_27'!$E$3:$E$493,MATCH($A81,'Input Giocatori 2026_27'!$A$3:$A$493,0)),"")</f>
        <v>10</v>
      </c>
      <c r="O81" s="27" t="n">
        <f aca="false">IFERROR(INDEX('Input Giocatori 2026_27'!$G$3:$G$493,MATCH($A81,'Input Giocatori 2026_27'!$A$3:$A$493,0)),"")</f>
        <v>41</v>
      </c>
      <c r="P81" s="26" t="str">
        <f aca="false">IFERROR(IF($O81="","",IF((1-(COUNTIFS($B$2:$B$492,$B81,$O$2:$O$492,"&gt;"&amp;$O81)+1-1)/COUNTIF($B$2:$B$492,$B81))&gt;=0.85,"Top",IF((1-(COUNTIFS($B$2:$B$492,$B81,$O$2:$O$492,"&gt;"&amp;$O81)+1-1)/COUNTIF($B$2:$B$492,$B81))&gt;=0.6,"Buono",IF((1-(COUNTIFS($B$2:$B$492,$B81,$O$2:$O$492,"&gt;"&amp;$O81)+1-1)/COUNTIF($B$2:$B$492,$B81))&gt;=0.3,"Nella Media","Scommessa/Riserva")))),"")</f>
        <v>Buono</v>
      </c>
      <c r="Q81" s="29" t="n">
        <f aca="false">IF($D81="",COUNTIF($D$2:$D81,""),"")</f>
        <v>80</v>
      </c>
      <c r="R81" s="29" t="str">
        <f aca="false">IF($D81='Info Lega'!$B$28,COUNTIFS($D$2:$D81,'Info Lega'!$B$28),"")</f>
        <v/>
      </c>
      <c r="S81" s="30" t="n">
        <f aca="false">IFERROR(INDEX('Input Statistiche 2025_26'!$G$3:$G$665,MATCH($A81,'Input Statistiche 2025_26'!$A$3:$A$665,0)),"")</f>
        <v>6.05</v>
      </c>
      <c r="T81" s="30" t="n">
        <f aca="false">IFERROR(INDEX('Input Statistiche 2025_26'!$H$3:$H$665,MATCH($A81,'Input Statistiche 2025_26'!$A$3:$A$665,0)),"")</f>
        <v>6.61</v>
      </c>
      <c r="U81" s="26" t="str">
        <f aca="false">IF(OR('La Mia Rosa'!$O$12="",$D81&lt;&gt;""),"",IF($F81&lt;='La Mia Rosa'!$O$12*'Parametri Modello'!$B$24,"OK",IF($F81&lt;='La Mia Rosa'!$O$12*'Parametri Modello'!$B$25,"Attenzione","Rischio Alto")))</f>
        <v>OK</v>
      </c>
      <c r="V81" s="26" t="n">
        <f aca="false">IFERROR(COUNTIFS($B$2:$B$492,$B81,$O$2:$O$492,"&gt;"&amp;$O81)+1,"")</f>
        <v>27</v>
      </c>
      <c r="W81" s="21" t="n">
        <f aca="false">'Info Lega'!$B$4-SUMIFS($M$2:$M$492,$D$2:$D$492,'Info Lega'!$B$28)</f>
        <v>1000</v>
      </c>
      <c r="X81" s="21" t="n">
        <f aca="false">('Info Lega'!$B$5-COUNTIFS($D$2:$D$492,'Info Lega'!$B$28,$B$2:$B$492,"P"))+('Info Lega'!$B$6-COUNTIFS($D$2:$D$492,'Info Lega'!$B$28,$B$2:$B$492,"D"))+('Info Lega'!$B$7-COUNTIFS($D$2:$D$492,'Info Lega'!$B$28,$B$2:$B$492,"C"))+('Info Lega'!$B$8-COUNTIFS($D$2:$D$492,'Info Lega'!$B$28,$B$2:$B$492,"A"))</f>
        <v>25</v>
      </c>
      <c r="Y81" s="21" t="n">
        <f aca="false">X81*'Parametri Modello'!$B$30</f>
        <v>25</v>
      </c>
      <c r="Z81" s="21" t="n">
        <f aca="false">MAX(0,W81-Y81)</f>
        <v>975</v>
      </c>
      <c r="AA81" s="21" t="n">
        <f aca="false">MIN(F81,Z81)</f>
        <v>27</v>
      </c>
      <c r="AB81" s="21"/>
      <c r="AC81" s="21" t="str">
        <f aca="false">IF(AB81="","",IF(AB81&gt;AA81,"PASS",IF(AB81&lt;=AA81*0.85,"BID","ATTENZIONE")))</f>
        <v/>
      </c>
      <c r="AD81" s="31" t="n">
        <f aca="false">IF(I81="","",ROUND(100*(1-EXP(-I81/30)),0))</f>
        <v>64</v>
      </c>
      <c r="AE81" s="7" t="str">
        <f aca="false">IFERROR(INDEX('Stato Asta'!$G$9:$G$12,MATCH($B81,'Stato Asta'!$A$9:$A$12,0)),"")</f>
        <v>🟡 Attesa rischiosa</v>
      </c>
    </row>
    <row r="82" customFormat="false" ht="14.25" hidden="false" customHeight="true" outlineLevel="0" collapsed="false">
      <c r="A82" s="21" t="n">
        <v>5876</v>
      </c>
      <c r="B82" s="21" t="s">
        <v>43</v>
      </c>
      <c r="C82" s="21" t="s">
        <v>130</v>
      </c>
      <c r="E82" s="26" t="str">
        <f aca="false">IF(COUNTIF('Info Strategia'!$D$2:$D$51,$C82)&gt;0,"SI","NO")</f>
        <v>NO</v>
      </c>
      <c r="F82" s="27" t="n">
        <f aca="false">IFERROR(ROUND(($G82+($H82-$G82)*'Info Strategia'!$B$6)*(1+IF($E82="SI",'Parametri Modello'!$B$7*'Info Strategia'!$B$6,0)),0),"")</f>
        <v>67</v>
      </c>
      <c r="G82" s="27" t="n">
        <f aca="false">IFERROR(ROUND(MAX(1,(IF($V82&lt;=INDEX('Parametri Modello'!$C$57:$C$60,MATCH($B82,'Parametri Modello'!$A$57:$A$60,0)),IF(INDEX('Parametri Modello'!$E$57:$E$60,MATCH($B82,'Parametri Modello'!$A$57:$A$60,0))=0,0,($O82/INDEX('Parametri Modello'!$E$57:$E$60,MATCH($B82,'Parametri Modello'!$A$57:$A$60,0)))*(INDEX('Parametri Modello'!$D$57:$D$60,MATCH($B82,'Parametri Modello'!$A$57:$A$60,0))*(INDEX('Parametri Modello'!$B$50:$B$53,MATCH($B82,'Parametri Modello'!$A$50:$A$53,0))*'Parametri Modello'!$B$44))),IF(INDEX('Parametri Modello'!$F$57:$F$60,MATCH($B82,'Parametri Modello'!$A$57:$A$60,0))=0,0,($O82/INDEX('Parametri Modello'!$F$57:$F$60,MATCH($B82,'Parametri Modello'!$A$57:$A$60,0)))*((1-INDEX('Parametri Modello'!$D$57:$D$60,MATCH($B82,'Parametri Modello'!$A$57:$A$60,0)))*(INDEX('Parametri Modello'!$B$50:$B$53,MATCH($B82,'Parametri Modello'!$A$50:$A$53,0))*'Parametri Modello'!$B$44))))*(1+IF(IF($B82="D",'Info Lega'!$B$25,IF($B82="C",'Info Lega'!$B$26,"No"))="Si",'Parametri Modello'!$B$5,0))*(1+MAX(-0.25,MIN(0.25,IF(OR($T82="",$I82="",$I82=0,INDEX('Parametri Modello'!$B$19:$B$22,MATCH($B82,'Parametri Modello'!$A$19:$A$22,0))="",INDEX('Parametri Modello'!$B$19:$B$22,MATCH($B82,'Parametri Modello'!$A$19:$A$22,0))=0),0,(($T82-INDEX('Parametri Modello'!$B$19:$B$22,MATCH($B82,'Parametri Modello'!$A$19:$A$22,0)))/INDEX('Parametri Modello'!$B$19:$B$22,MATCH($B82,'Parametri Modello'!$A$19:$A$22,0)))*'Parametri Modello'!$B$9))))*(1+IF('Parametri Modello'!$B$27="Si",MAX(-'Parametri Modello'!$B$28,MIN('Parametri Modello'!$B$28*1.5,IF(OR(INDEX('Parametri Modello'!$F$32:$F$35,MATCH($B82,'Parametri Modello'!$A$32:$A$35,0))="",INDEX('Parametri Modello'!$F$32:$F$35,MATCH($B82,'Parametri Modello'!$A$32:$A$35,0))=0),0,(1/INDEX('Parametri Modello'!$F$32:$F$35,MATCH($B82,'Parametri Modello'!$A$32:$A$35,0))-1)*'Parametri Modello'!$B$28))),0)))*(1-INDEX('Parametri Modello'!$B$12:$B$15,MATCH($B82,'Parametri Modello'!$A$12:$A$15,0)))),0),"")</f>
        <v>54</v>
      </c>
      <c r="H82" s="27" t="n">
        <f aca="false">IFERROR(ROUND((IF($V82&lt;=INDEX('Parametri Modello'!$C$57:$C$60,MATCH($B82,'Parametri Modello'!$A$57:$A$60,0)),IF(INDEX('Parametri Modello'!$E$57:$E$60,MATCH($B82,'Parametri Modello'!$A$57:$A$60,0))=0,0,($O82/INDEX('Parametri Modello'!$E$57:$E$60,MATCH($B82,'Parametri Modello'!$A$57:$A$60,0)))*(INDEX('Parametri Modello'!$D$57:$D$60,MATCH($B82,'Parametri Modello'!$A$57:$A$60,0))*(INDEX('Parametri Modello'!$B$50:$B$53,MATCH($B82,'Parametri Modello'!$A$50:$A$53,0))*'Parametri Modello'!$B$44))),IF(INDEX('Parametri Modello'!$F$57:$F$60,MATCH($B82,'Parametri Modello'!$A$57:$A$60,0))=0,0,($O82/INDEX('Parametri Modello'!$F$57:$F$60,MATCH($B82,'Parametri Modello'!$A$57:$A$60,0)))*((1-INDEX('Parametri Modello'!$D$57:$D$60,MATCH($B82,'Parametri Modello'!$A$57:$A$60,0)))*(INDEX('Parametri Modello'!$B$50:$B$53,MATCH($B82,'Parametri Modello'!$A$50:$A$53,0))*'Parametri Modello'!$B$44))))*(1+IF(IF($B82="D",'Info Lega'!$B$25,IF($B82="C",'Info Lega'!$B$26,"No"))="Si",'Parametri Modello'!$B$5,0))*(1+MAX(-0.25,MIN(0.25,IF(OR($T82="",$I82="",$I82=0,INDEX('Parametri Modello'!$B$19:$B$22,MATCH($B82,'Parametri Modello'!$A$19:$A$22,0))="",INDEX('Parametri Modello'!$B$19:$B$22,MATCH($B82,'Parametri Modello'!$A$19:$A$22,0))=0),0,(($T82-INDEX('Parametri Modello'!$B$19:$B$22,MATCH($B82,'Parametri Modello'!$A$19:$A$22,0)))/INDEX('Parametri Modello'!$B$19:$B$22,MATCH($B82,'Parametri Modello'!$A$19:$A$22,0)))*'Parametri Modello'!$B$9))))*(1+IF('Parametri Modello'!$B$27="Si",MAX(-'Parametri Modello'!$B$28,MIN('Parametri Modello'!$B$28*1.5,IF(OR(INDEX('Parametri Modello'!$F$32:$F$35,MATCH($B82,'Parametri Modello'!$A$32:$A$35,0))="",INDEX('Parametri Modello'!$F$32:$F$35,MATCH($B82,'Parametri Modello'!$A$32:$A$35,0))=0),0,(1/INDEX('Parametri Modello'!$F$32:$F$35,MATCH($B82,'Parametri Modello'!$A$32:$A$35,0))-1)*'Parametri Modello'!$B$28))),0)))*(1+INDEX('Parametri Modello'!$B$12:$B$15,MATCH($B82,'Parametri Modello'!$A$12:$A$15,0))),0),"")</f>
        <v>73</v>
      </c>
      <c r="I82" s="26" t="n">
        <f aca="false">IFERROR(INDEX('Input Statistiche 2025_26'!$F$3:$F$665,MATCH($A82,'Input Statistiche 2025_26'!$A$3:$A$665,0)),"")</f>
        <v>30</v>
      </c>
      <c r="J82" s="26" t="n">
        <f aca="false">IFERROR(IF($I82="","",MAX(0,38-$I82)),"")</f>
        <v>8</v>
      </c>
      <c r="K82" s="26" t="n">
        <f aca="false">IFERROR(INDEX('Input Statistiche 2025_26'!$I$3:$I$665,MATCH($A82,'Input Statistiche 2025_26'!$A$3:$A$665,0)),"")</f>
        <v>0</v>
      </c>
      <c r="L82" s="26" t="n">
        <f aca="false">IFERROR(INDEX('Input Statistiche 2025_26'!$O$3:$O$665,MATCH($A82,'Input Statistiche 2025_26'!$A$3:$A$665,0)),"")</f>
        <v>0</v>
      </c>
      <c r="M82" s="28"/>
      <c r="N82" s="27" t="n">
        <f aca="false">IFERROR(INDEX('Input Giocatori 2026_27'!$E$3:$E$493,MATCH($A82,'Input Giocatori 2026_27'!$A$3:$A$493,0)),"")</f>
        <v>9</v>
      </c>
      <c r="O82" s="27" t="n">
        <f aca="false">IFERROR(INDEX('Input Giocatori 2026_27'!$G$3:$G$493,MATCH($A82,'Input Giocatori 2026_27'!$A$3:$A$493,0)),"")</f>
        <v>40</v>
      </c>
      <c r="P82" s="26" t="str">
        <f aca="false">IFERROR(IF($O82="","",IF((1-(COUNTIFS($B$2:$B$492,$B82,$O$2:$O$492,"&gt;"&amp;$O82)+1-1)/COUNTIF($B$2:$B$492,$B82))&gt;=0.85,"Top",IF((1-(COUNTIFS($B$2:$B$492,$B82,$O$2:$O$492,"&gt;"&amp;$O82)+1-1)/COUNTIF($B$2:$B$492,$B82))&gt;=0.6,"Buono",IF((1-(COUNTIFS($B$2:$B$492,$B82,$O$2:$O$492,"&gt;"&amp;$O82)+1-1)/COUNTIF($B$2:$B$492,$B82))&gt;=0.3,"Nella Media","Scommessa/Riserva")))),"")</f>
        <v>Top</v>
      </c>
      <c r="Q82" s="29" t="n">
        <f aca="false">IF($D82="",COUNTIF($D$2:$D82,""),"")</f>
        <v>81</v>
      </c>
      <c r="R82" s="29" t="str">
        <f aca="false">IF($D82='Info Lega'!$B$28,COUNTIFS($D$2:$D82,'Info Lega'!$B$28),"")</f>
        <v/>
      </c>
      <c r="S82" s="30" t="n">
        <f aca="false">IFERROR(INDEX('Input Statistiche 2025_26'!$G$3:$G$665,MATCH($A82,'Input Statistiche 2025_26'!$A$3:$A$665,0)),"")</f>
        <v>6.08</v>
      </c>
      <c r="T82" s="30" t="n">
        <f aca="false">IFERROR(INDEX('Input Statistiche 2025_26'!$H$3:$H$665,MATCH($A82,'Input Statistiche 2025_26'!$A$3:$A$665,0)),"")</f>
        <v>5.33</v>
      </c>
      <c r="U82" s="26" t="str">
        <f aca="false">IF(OR('La Mia Rosa'!$O$12="",$D82&lt;&gt;""),"",IF($F82&lt;='La Mia Rosa'!$O$12*'Parametri Modello'!$B$24,"OK",IF($F82&lt;='La Mia Rosa'!$O$12*'Parametri Modello'!$B$25,"Attenzione","Rischio Alto")))</f>
        <v>Attenzione</v>
      </c>
      <c r="V82" s="26" t="n">
        <f aca="false">IFERROR(COUNTIFS($B$2:$B$492,$B82,$O$2:$O$492,"&gt;"&amp;$O82)+1,"")</f>
        <v>8</v>
      </c>
      <c r="W82" s="21" t="n">
        <f aca="false">'Info Lega'!$B$4-SUMIFS($M$2:$M$492,$D$2:$D$492,'Info Lega'!$B$28)</f>
        <v>1000</v>
      </c>
      <c r="X82" s="21" t="n">
        <f aca="false">('Info Lega'!$B$5-COUNTIFS($D$2:$D$492,'Info Lega'!$B$28,$B$2:$B$492,"P"))+('Info Lega'!$B$6-COUNTIFS($D$2:$D$492,'Info Lega'!$B$28,$B$2:$B$492,"D"))+('Info Lega'!$B$7-COUNTIFS($D$2:$D$492,'Info Lega'!$B$28,$B$2:$B$492,"C"))+('Info Lega'!$B$8-COUNTIFS($D$2:$D$492,'Info Lega'!$B$28,$B$2:$B$492,"A"))</f>
        <v>25</v>
      </c>
      <c r="Y82" s="21" t="n">
        <f aca="false">X82*'Parametri Modello'!$B$30</f>
        <v>25</v>
      </c>
      <c r="Z82" s="21" t="n">
        <f aca="false">MAX(0,W82-Y82)</f>
        <v>975</v>
      </c>
      <c r="AA82" s="21" t="n">
        <f aca="false">MIN(F82,Z82)</f>
        <v>67</v>
      </c>
      <c r="AB82" s="21"/>
      <c r="AC82" s="21" t="str">
        <f aca="false">IF(AB82="","",IF(AB82&gt;AA82,"PASS",IF(AB82&lt;=AA82*0.85,"BID","ATTENZIONE")))</f>
        <v/>
      </c>
      <c r="AD82" s="31" t="n">
        <f aca="false">IF(I82="","",ROUND(100*(1-EXP(-I82/30)),0))</f>
        <v>63</v>
      </c>
      <c r="AE82" s="7" t="str">
        <f aca="false">IFERROR(INDEX('Stato Asta'!$G$9:$G$12,MATCH($B82,'Stato Asta'!$A$9:$A$12,0)),"")</f>
        <v>🟡 Attesa rischiosa</v>
      </c>
    </row>
    <row r="83" customFormat="false" ht="14.25" hidden="false" customHeight="true" outlineLevel="0" collapsed="false">
      <c r="A83" s="21" t="n">
        <v>2816</v>
      </c>
      <c r="B83" s="21" t="s">
        <v>44</v>
      </c>
      <c r="C83" s="21" t="s">
        <v>204</v>
      </c>
      <c r="E83" s="26" t="str">
        <f aca="false">IF(COUNTIF('Info Strategia'!$D$2:$D$51,$C83)&gt;0,"SI","NO")</f>
        <v>NO</v>
      </c>
      <c r="F83" s="27" t="n">
        <f aca="false">IFERROR(ROUND(($G83+($H83-$G83)*'Info Strategia'!$B$6)*(1+IF($E83="SI",'Parametri Modello'!$B$7*'Info Strategia'!$B$6,0)),0),"")</f>
        <v>28</v>
      </c>
      <c r="G83" s="27" t="n">
        <f aca="false">IFERROR(ROUND(MAX(1,(IF($V83&lt;=INDEX('Parametri Modello'!$C$57:$C$60,MATCH($B83,'Parametri Modello'!$A$57:$A$60,0)),IF(INDEX('Parametri Modello'!$E$57:$E$60,MATCH($B83,'Parametri Modello'!$A$57:$A$60,0))=0,0,($O83/INDEX('Parametri Modello'!$E$57:$E$60,MATCH($B83,'Parametri Modello'!$A$57:$A$60,0)))*(INDEX('Parametri Modello'!$D$57:$D$60,MATCH($B83,'Parametri Modello'!$A$57:$A$60,0))*(INDEX('Parametri Modello'!$B$50:$B$53,MATCH($B83,'Parametri Modello'!$A$50:$A$53,0))*'Parametri Modello'!$B$44))),IF(INDEX('Parametri Modello'!$F$57:$F$60,MATCH($B83,'Parametri Modello'!$A$57:$A$60,0))=0,0,($O83/INDEX('Parametri Modello'!$F$57:$F$60,MATCH($B83,'Parametri Modello'!$A$57:$A$60,0)))*((1-INDEX('Parametri Modello'!$D$57:$D$60,MATCH($B83,'Parametri Modello'!$A$57:$A$60,0)))*(INDEX('Parametri Modello'!$B$50:$B$53,MATCH($B83,'Parametri Modello'!$A$50:$A$53,0))*'Parametri Modello'!$B$44))))*(1+IF(IF($B83="D",'Info Lega'!$B$25,IF($B83="C",'Info Lega'!$B$26,"No"))="Si",'Parametri Modello'!$B$5,0))*(1+MAX(-0.25,MIN(0.25,IF(OR($T83="",$I83="",$I83=0,INDEX('Parametri Modello'!$B$19:$B$22,MATCH($B83,'Parametri Modello'!$A$19:$A$22,0))="",INDEX('Parametri Modello'!$B$19:$B$22,MATCH($B83,'Parametri Modello'!$A$19:$A$22,0))=0),0,(($T83-INDEX('Parametri Modello'!$B$19:$B$22,MATCH($B83,'Parametri Modello'!$A$19:$A$22,0)))/INDEX('Parametri Modello'!$B$19:$B$22,MATCH($B83,'Parametri Modello'!$A$19:$A$22,0)))*'Parametri Modello'!$B$9))))*(1+IF('Parametri Modello'!$B$27="Si",MAX(-'Parametri Modello'!$B$28,MIN('Parametri Modello'!$B$28*1.5,IF(OR(INDEX('Parametri Modello'!$F$32:$F$35,MATCH($B83,'Parametri Modello'!$A$32:$A$35,0))="",INDEX('Parametri Modello'!$F$32:$F$35,MATCH($B83,'Parametri Modello'!$A$32:$A$35,0))=0),0,(1/INDEX('Parametri Modello'!$F$32:$F$35,MATCH($B83,'Parametri Modello'!$A$32:$A$35,0))-1)*'Parametri Modello'!$B$28))),0)))*(1-INDEX('Parametri Modello'!$B$12:$B$15,MATCH($B83,'Parametri Modello'!$A$12:$A$15,0)))),0),"")</f>
        <v>20</v>
      </c>
      <c r="H83" s="27" t="n">
        <f aca="false">IFERROR(ROUND((IF($V83&lt;=INDEX('Parametri Modello'!$C$57:$C$60,MATCH($B83,'Parametri Modello'!$A$57:$A$60,0)),IF(INDEX('Parametri Modello'!$E$57:$E$60,MATCH($B83,'Parametri Modello'!$A$57:$A$60,0))=0,0,($O83/INDEX('Parametri Modello'!$E$57:$E$60,MATCH($B83,'Parametri Modello'!$A$57:$A$60,0)))*(INDEX('Parametri Modello'!$D$57:$D$60,MATCH($B83,'Parametri Modello'!$A$57:$A$60,0))*(INDEX('Parametri Modello'!$B$50:$B$53,MATCH($B83,'Parametri Modello'!$A$50:$A$53,0))*'Parametri Modello'!$B$44))),IF(INDEX('Parametri Modello'!$F$57:$F$60,MATCH($B83,'Parametri Modello'!$A$57:$A$60,0))=0,0,($O83/INDEX('Parametri Modello'!$F$57:$F$60,MATCH($B83,'Parametri Modello'!$A$57:$A$60,0)))*((1-INDEX('Parametri Modello'!$D$57:$D$60,MATCH($B83,'Parametri Modello'!$A$57:$A$60,0)))*(INDEX('Parametri Modello'!$B$50:$B$53,MATCH($B83,'Parametri Modello'!$A$50:$A$53,0))*'Parametri Modello'!$B$44))))*(1+IF(IF($B83="D",'Info Lega'!$B$25,IF($B83="C",'Info Lega'!$B$26,"No"))="Si",'Parametri Modello'!$B$5,0))*(1+MAX(-0.25,MIN(0.25,IF(OR($T83="",$I83="",$I83=0,INDEX('Parametri Modello'!$B$19:$B$22,MATCH($B83,'Parametri Modello'!$A$19:$A$22,0))="",INDEX('Parametri Modello'!$B$19:$B$22,MATCH($B83,'Parametri Modello'!$A$19:$A$22,0))=0),0,(($T83-INDEX('Parametri Modello'!$B$19:$B$22,MATCH($B83,'Parametri Modello'!$A$19:$A$22,0)))/INDEX('Parametri Modello'!$B$19:$B$22,MATCH($B83,'Parametri Modello'!$A$19:$A$22,0)))*'Parametri Modello'!$B$9))))*(1+IF('Parametri Modello'!$B$27="Si",MAX(-'Parametri Modello'!$B$28,MIN('Parametri Modello'!$B$28*1.5,IF(OR(INDEX('Parametri Modello'!$F$32:$F$35,MATCH($B83,'Parametri Modello'!$A$32:$A$35,0))="",INDEX('Parametri Modello'!$F$32:$F$35,MATCH($B83,'Parametri Modello'!$A$32:$A$35,0))=0),0,(1/INDEX('Parametri Modello'!$F$32:$F$35,MATCH($B83,'Parametri Modello'!$A$32:$A$35,0))-1)*'Parametri Modello'!$B$28))),0)))*(1+INDEX('Parametri Modello'!$B$12:$B$15,MATCH($B83,'Parametri Modello'!$A$12:$A$15,0))),0),"")</f>
        <v>31</v>
      </c>
      <c r="I83" s="26" t="n">
        <f aca="false">IFERROR(INDEX('Input Statistiche 2025_26'!$F$3:$F$665,MATCH($A83,'Input Statistiche 2025_26'!$A$3:$A$665,0)),"")</f>
        <v>26</v>
      </c>
      <c r="J83" s="26" t="n">
        <f aca="false">IFERROR(IF($I83="","",MAX(0,38-$I83)),"")</f>
        <v>12</v>
      </c>
      <c r="K83" s="26" t="n">
        <f aca="false">IFERROR(INDEX('Input Statistiche 2025_26'!$I$3:$I$665,MATCH($A83,'Input Statistiche 2025_26'!$A$3:$A$665,0)),"")</f>
        <v>2</v>
      </c>
      <c r="L83" s="26" t="n">
        <f aca="false">IFERROR(INDEX('Input Statistiche 2025_26'!$O$3:$O$665,MATCH($A83,'Input Statistiche 2025_26'!$A$3:$A$665,0)),"")</f>
        <v>1</v>
      </c>
      <c r="M83" s="28"/>
      <c r="N83" s="27" t="n">
        <f aca="false">IFERROR(INDEX('Input Giocatori 2026_27'!$E$3:$E$493,MATCH($A83,'Input Giocatori 2026_27'!$A$3:$A$493,0)),"")</f>
        <v>12</v>
      </c>
      <c r="O83" s="27" t="n">
        <f aca="false">IFERROR(INDEX('Input Giocatori 2026_27'!$G$3:$G$493,MATCH($A83,'Input Giocatori 2026_27'!$A$3:$A$493,0)),"")</f>
        <v>40</v>
      </c>
      <c r="P83" s="26" t="str">
        <f aca="false">IFERROR(IF($O83="","",IF((1-(COUNTIFS($B$2:$B$492,$B83,$O$2:$O$492,"&gt;"&amp;$O83)+1-1)/COUNTIF($B$2:$B$492,$B83))&gt;=0.85,"Top",IF((1-(COUNTIFS($B$2:$B$492,$B83,$O$2:$O$492,"&gt;"&amp;$O83)+1-1)/COUNTIF($B$2:$B$492,$B83))&gt;=0.6,"Buono",IF((1-(COUNTIFS($B$2:$B$492,$B83,$O$2:$O$492,"&gt;"&amp;$O83)+1-1)/COUNTIF($B$2:$B$492,$B83))&gt;=0.3,"Nella Media","Scommessa/Riserva")))),"")</f>
        <v>Top</v>
      </c>
      <c r="Q83" s="29" t="n">
        <f aca="false">IF($D83="",COUNTIF($D$2:$D83,""),"")</f>
        <v>82</v>
      </c>
      <c r="R83" s="29" t="str">
        <f aca="false">IF($D83='Info Lega'!$B$28,COUNTIFS($D$2:$D83,'Info Lega'!$B$28),"")</f>
        <v/>
      </c>
      <c r="S83" s="30" t="n">
        <f aca="false">IFERROR(INDEX('Input Statistiche 2025_26'!$G$3:$G$665,MATCH($A83,'Input Statistiche 2025_26'!$A$3:$A$665,0)),"")</f>
        <v>6.08</v>
      </c>
      <c r="T83" s="30" t="n">
        <f aca="false">IFERROR(INDEX('Input Statistiche 2025_26'!$H$3:$H$665,MATCH($A83,'Input Statistiche 2025_26'!$A$3:$A$665,0)),"")</f>
        <v>6.33</v>
      </c>
      <c r="U83" s="26" t="str">
        <f aca="false">IF(OR('La Mia Rosa'!$O$12="",$D83&lt;&gt;""),"",IF($F83&lt;='La Mia Rosa'!$O$12*'Parametri Modello'!$B$24,"OK",IF($F83&lt;='La Mia Rosa'!$O$12*'Parametri Modello'!$B$25,"Attenzione","Rischio Alto")))</f>
        <v>OK</v>
      </c>
      <c r="V83" s="26" t="n">
        <f aca="false">IFERROR(COUNTIFS($B$2:$B$492,$B83,$O$2:$O$492,"&gt;"&amp;$O83)+1,"")</f>
        <v>12</v>
      </c>
      <c r="W83" s="21" t="n">
        <f aca="false">'Info Lega'!$B$4-SUMIFS($M$2:$M$492,$D$2:$D$492,'Info Lega'!$B$28)</f>
        <v>1000</v>
      </c>
      <c r="X83" s="21" t="n">
        <f aca="false">('Info Lega'!$B$5-COUNTIFS($D$2:$D$492,'Info Lega'!$B$28,$B$2:$B$492,"P"))+('Info Lega'!$B$6-COUNTIFS($D$2:$D$492,'Info Lega'!$B$28,$B$2:$B$492,"D"))+('Info Lega'!$B$7-COUNTIFS($D$2:$D$492,'Info Lega'!$B$28,$B$2:$B$492,"C"))+('Info Lega'!$B$8-COUNTIFS($D$2:$D$492,'Info Lega'!$B$28,$B$2:$B$492,"A"))</f>
        <v>25</v>
      </c>
      <c r="Y83" s="21" t="n">
        <f aca="false">X83*'Parametri Modello'!$B$30</f>
        <v>25</v>
      </c>
      <c r="Z83" s="21" t="n">
        <f aca="false">MAX(0,W83-Y83)</f>
        <v>975</v>
      </c>
      <c r="AA83" s="21" t="n">
        <f aca="false">MIN(F83,Z83)</f>
        <v>28</v>
      </c>
      <c r="AB83" s="21"/>
      <c r="AC83" s="21" t="str">
        <f aca="false">IF(AB83="","",IF(AB83&gt;AA83,"PASS",IF(AB83&lt;=AA83*0.85,"BID","ATTENZIONE")))</f>
        <v/>
      </c>
      <c r="AD83" s="31" t="n">
        <f aca="false">IF(I83="","",ROUND(100*(1-EXP(-I83/30)),0))</f>
        <v>58</v>
      </c>
      <c r="AE83" s="7" t="str">
        <f aca="false">IFERROR(INDEX('Stato Asta'!$G$9:$G$12,MATCH($B83,'Stato Asta'!$A$9:$A$12,0)),"")</f>
        <v>🟡 Attesa rischiosa</v>
      </c>
    </row>
    <row r="84" customFormat="false" ht="14.25" hidden="false" customHeight="true" outlineLevel="0" collapsed="false">
      <c r="A84" s="21" t="n">
        <v>5750</v>
      </c>
      <c r="B84" s="21" t="s">
        <v>44</v>
      </c>
      <c r="C84" s="21" t="s">
        <v>205</v>
      </c>
      <c r="E84" s="26" t="str">
        <f aca="false">IF(COUNTIF('Info Strategia'!$D$2:$D$51,$C84)&gt;0,"SI","NO")</f>
        <v>NO</v>
      </c>
      <c r="F84" s="27" t="n">
        <f aca="false">IFERROR(ROUND(($G84+($H84-$G84)*'Info Strategia'!$B$6)*(1+IF($E84="SI",'Parametri Modello'!$B$7*'Info Strategia'!$B$6,0)),0),"")</f>
        <v>28</v>
      </c>
      <c r="G84" s="27" t="n">
        <f aca="false">IFERROR(ROUND(MAX(1,(IF($V84&lt;=INDEX('Parametri Modello'!$C$57:$C$60,MATCH($B84,'Parametri Modello'!$A$57:$A$60,0)),IF(INDEX('Parametri Modello'!$E$57:$E$60,MATCH($B84,'Parametri Modello'!$A$57:$A$60,0))=0,0,($O84/INDEX('Parametri Modello'!$E$57:$E$60,MATCH($B84,'Parametri Modello'!$A$57:$A$60,0)))*(INDEX('Parametri Modello'!$D$57:$D$60,MATCH($B84,'Parametri Modello'!$A$57:$A$60,0))*(INDEX('Parametri Modello'!$B$50:$B$53,MATCH($B84,'Parametri Modello'!$A$50:$A$53,0))*'Parametri Modello'!$B$44))),IF(INDEX('Parametri Modello'!$F$57:$F$60,MATCH($B84,'Parametri Modello'!$A$57:$A$60,0))=0,0,($O84/INDEX('Parametri Modello'!$F$57:$F$60,MATCH($B84,'Parametri Modello'!$A$57:$A$60,0)))*((1-INDEX('Parametri Modello'!$D$57:$D$60,MATCH($B84,'Parametri Modello'!$A$57:$A$60,0)))*(INDEX('Parametri Modello'!$B$50:$B$53,MATCH($B84,'Parametri Modello'!$A$50:$A$53,0))*'Parametri Modello'!$B$44))))*(1+IF(IF($B84="D",'Info Lega'!$B$25,IF($B84="C",'Info Lega'!$B$26,"No"))="Si",'Parametri Modello'!$B$5,0))*(1+MAX(-0.25,MIN(0.25,IF(OR($T84="",$I84="",$I84=0,INDEX('Parametri Modello'!$B$19:$B$22,MATCH($B84,'Parametri Modello'!$A$19:$A$22,0))="",INDEX('Parametri Modello'!$B$19:$B$22,MATCH($B84,'Parametri Modello'!$A$19:$A$22,0))=0),0,(($T84-INDEX('Parametri Modello'!$B$19:$B$22,MATCH($B84,'Parametri Modello'!$A$19:$A$22,0)))/INDEX('Parametri Modello'!$B$19:$B$22,MATCH($B84,'Parametri Modello'!$A$19:$A$22,0)))*'Parametri Modello'!$B$9))))*(1+IF('Parametri Modello'!$B$27="Si",MAX(-'Parametri Modello'!$B$28,MIN('Parametri Modello'!$B$28*1.5,IF(OR(INDEX('Parametri Modello'!$F$32:$F$35,MATCH($B84,'Parametri Modello'!$A$32:$A$35,0))="",INDEX('Parametri Modello'!$F$32:$F$35,MATCH($B84,'Parametri Modello'!$A$32:$A$35,0))=0),0,(1/INDEX('Parametri Modello'!$F$32:$F$35,MATCH($B84,'Parametri Modello'!$A$32:$A$35,0))-1)*'Parametri Modello'!$B$28))),0)))*(1-INDEX('Parametri Modello'!$B$12:$B$15,MATCH($B84,'Parametri Modello'!$A$12:$A$15,0)))),0),"")</f>
        <v>20</v>
      </c>
      <c r="H84" s="27" t="n">
        <f aca="false">IFERROR(ROUND((IF($V84&lt;=INDEX('Parametri Modello'!$C$57:$C$60,MATCH($B84,'Parametri Modello'!$A$57:$A$60,0)),IF(INDEX('Parametri Modello'!$E$57:$E$60,MATCH($B84,'Parametri Modello'!$A$57:$A$60,0))=0,0,($O84/INDEX('Parametri Modello'!$E$57:$E$60,MATCH($B84,'Parametri Modello'!$A$57:$A$60,0)))*(INDEX('Parametri Modello'!$D$57:$D$60,MATCH($B84,'Parametri Modello'!$A$57:$A$60,0))*(INDEX('Parametri Modello'!$B$50:$B$53,MATCH($B84,'Parametri Modello'!$A$50:$A$53,0))*'Parametri Modello'!$B$44))),IF(INDEX('Parametri Modello'!$F$57:$F$60,MATCH($B84,'Parametri Modello'!$A$57:$A$60,0))=0,0,($O84/INDEX('Parametri Modello'!$F$57:$F$60,MATCH($B84,'Parametri Modello'!$A$57:$A$60,0)))*((1-INDEX('Parametri Modello'!$D$57:$D$60,MATCH($B84,'Parametri Modello'!$A$57:$A$60,0)))*(INDEX('Parametri Modello'!$B$50:$B$53,MATCH($B84,'Parametri Modello'!$A$50:$A$53,0))*'Parametri Modello'!$B$44))))*(1+IF(IF($B84="D",'Info Lega'!$B$25,IF($B84="C",'Info Lega'!$B$26,"No"))="Si",'Parametri Modello'!$B$5,0))*(1+MAX(-0.25,MIN(0.25,IF(OR($T84="",$I84="",$I84=0,INDEX('Parametri Modello'!$B$19:$B$22,MATCH($B84,'Parametri Modello'!$A$19:$A$22,0))="",INDEX('Parametri Modello'!$B$19:$B$22,MATCH($B84,'Parametri Modello'!$A$19:$A$22,0))=0),0,(($T84-INDEX('Parametri Modello'!$B$19:$B$22,MATCH($B84,'Parametri Modello'!$A$19:$A$22,0)))/INDEX('Parametri Modello'!$B$19:$B$22,MATCH($B84,'Parametri Modello'!$A$19:$A$22,0)))*'Parametri Modello'!$B$9))))*(1+IF('Parametri Modello'!$B$27="Si",MAX(-'Parametri Modello'!$B$28,MIN('Parametri Modello'!$B$28*1.5,IF(OR(INDEX('Parametri Modello'!$F$32:$F$35,MATCH($B84,'Parametri Modello'!$A$32:$A$35,0))="",INDEX('Parametri Modello'!$F$32:$F$35,MATCH($B84,'Parametri Modello'!$A$32:$A$35,0))=0),0,(1/INDEX('Parametri Modello'!$F$32:$F$35,MATCH($B84,'Parametri Modello'!$A$32:$A$35,0))-1)*'Parametri Modello'!$B$28))),0)))*(1+INDEX('Parametri Modello'!$B$12:$B$15,MATCH($B84,'Parametri Modello'!$A$12:$A$15,0))),0),"")</f>
        <v>31</v>
      </c>
      <c r="I84" s="26" t="n">
        <f aca="false">IFERROR(INDEX('Input Statistiche 2025_26'!$F$3:$F$665,MATCH($A84,'Input Statistiche 2025_26'!$A$3:$A$665,0)),"")</f>
        <v>30</v>
      </c>
      <c r="J84" s="26" t="n">
        <f aca="false">IFERROR(IF($I84="","",MAX(0,38-$I84)),"")</f>
        <v>8</v>
      </c>
      <c r="K84" s="26" t="n">
        <f aca="false">IFERROR(INDEX('Input Statistiche 2025_26'!$I$3:$I$665,MATCH($A84,'Input Statistiche 2025_26'!$A$3:$A$665,0)),"")</f>
        <v>5</v>
      </c>
      <c r="L84" s="26" t="n">
        <f aca="false">IFERROR(INDEX('Input Statistiche 2025_26'!$O$3:$O$665,MATCH($A84,'Input Statistiche 2025_26'!$A$3:$A$665,0)),"")</f>
        <v>0</v>
      </c>
      <c r="M84" s="28"/>
      <c r="N84" s="27" t="n">
        <f aca="false">IFERROR(INDEX('Input Giocatori 2026_27'!$E$3:$E$493,MATCH($A84,'Input Giocatori 2026_27'!$A$3:$A$493,0)),"")</f>
        <v>11</v>
      </c>
      <c r="O84" s="27" t="n">
        <f aca="false">IFERROR(INDEX('Input Giocatori 2026_27'!$G$3:$G$493,MATCH($A84,'Input Giocatori 2026_27'!$A$3:$A$493,0)),"")</f>
        <v>40</v>
      </c>
      <c r="P84" s="26" t="str">
        <f aca="false">IFERROR(IF($O84="","",IF((1-(COUNTIFS($B$2:$B$492,$B84,$O$2:$O$492,"&gt;"&amp;$O84)+1-1)/COUNTIF($B$2:$B$492,$B84))&gt;=0.85,"Top",IF((1-(COUNTIFS($B$2:$B$492,$B84,$O$2:$O$492,"&gt;"&amp;$O84)+1-1)/COUNTIF($B$2:$B$492,$B84))&gt;=0.6,"Buono",IF((1-(COUNTIFS($B$2:$B$492,$B84,$O$2:$O$492,"&gt;"&amp;$O84)+1-1)/COUNTIF($B$2:$B$492,$B84))&gt;=0.3,"Nella Media","Scommessa/Riserva")))),"")</f>
        <v>Top</v>
      </c>
      <c r="Q84" s="29" t="n">
        <f aca="false">IF($D84="",COUNTIF($D$2:$D84,""),"")</f>
        <v>83</v>
      </c>
      <c r="R84" s="29" t="str">
        <f aca="false">IF($D84='Info Lega'!$B$28,COUNTIFS($D$2:$D84,'Info Lega'!$B$28),"")</f>
        <v/>
      </c>
      <c r="S84" s="30" t="n">
        <f aca="false">IFERROR(INDEX('Input Statistiche 2025_26'!$G$3:$G$665,MATCH($A84,'Input Statistiche 2025_26'!$A$3:$A$665,0)),"")</f>
        <v>6.13</v>
      </c>
      <c r="T84" s="30" t="n">
        <f aca="false">IFERROR(INDEX('Input Statistiche 2025_26'!$H$3:$H$665,MATCH($A84,'Input Statistiche 2025_26'!$A$3:$A$665,0)),"")</f>
        <v>6.52</v>
      </c>
      <c r="U84" s="26" t="str">
        <f aca="false">IF(OR('La Mia Rosa'!$O$12="",$D84&lt;&gt;""),"",IF($F84&lt;='La Mia Rosa'!$O$12*'Parametri Modello'!$B$24,"OK",IF($F84&lt;='La Mia Rosa'!$O$12*'Parametri Modello'!$B$25,"Attenzione","Rischio Alto")))</f>
        <v>OK</v>
      </c>
      <c r="V84" s="26" t="n">
        <f aca="false">IFERROR(COUNTIFS($B$2:$B$492,$B84,$O$2:$O$492,"&gt;"&amp;$O84)+1,"")</f>
        <v>12</v>
      </c>
      <c r="W84" s="21" t="n">
        <f aca="false">'Info Lega'!$B$4-SUMIFS($M$2:$M$492,$D$2:$D$492,'Info Lega'!$B$28)</f>
        <v>1000</v>
      </c>
      <c r="X84" s="21" t="n">
        <f aca="false">('Info Lega'!$B$5-COUNTIFS($D$2:$D$492,'Info Lega'!$B$28,$B$2:$B$492,"P"))+('Info Lega'!$B$6-COUNTIFS($D$2:$D$492,'Info Lega'!$B$28,$B$2:$B$492,"D"))+('Info Lega'!$B$7-COUNTIFS($D$2:$D$492,'Info Lega'!$B$28,$B$2:$B$492,"C"))+('Info Lega'!$B$8-COUNTIFS($D$2:$D$492,'Info Lega'!$B$28,$B$2:$B$492,"A"))</f>
        <v>25</v>
      </c>
      <c r="Y84" s="21" t="n">
        <f aca="false">X84*'Parametri Modello'!$B$30</f>
        <v>25</v>
      </c>
      <c r="Z84" s="21" t="n">
        <f aca="false">MAX(0,W84-Y84)</f>
        <v>975</v>
      </c>
      <c r="AA84" s="21" t="n">
        <f aca="false">MIN(F84,Z84)</f>
        <v>28</v>
      </c>
      <c r="AB84" s="21"/>
      <c r="AC84" s="21" t="str">
        <f aca="false">IF(AB84="","",IF(AB84&gt;AA84,"PASS",IF(AB84&lt;=AA84*0.85,"BID","ATTENZIONE")))</f>
        <v/>
      </c>
      <c r="AD84" s="31" t="n">
        <f aca="false">IF(I84="","",ROUND(100*(1-EXP(-I84/30)),0))</f>
        <v>63</v>
      </c>
      <c r="AE84" s="7" t="str">
        <f aca="false">IFERROR(INDEX('Stato Asta'!$G$9:$G$12,MATCH($B84,'Stato Asta'!$A$9:$A$12,0)),"")</f>
        <v>🟡 Attesa rischiosa</v>
      </c>
    </row>
    <row r="85" customFormat="false" ht="14.25" hidden="false" customHeight="true" outlineLevel="0" collapsed="false">
      <c r="A85" s="21" t="n">
        <v>5544</v>
      </c>
      <c r="B85" s="21" t="s">
        <v>46</v>
      </c>
      <c r="C85" s="21" t="s">
        <v>574</v>
      </c>
      <c r="E85" s="26" t="str">
        <f aca="false">IF(COUNTIF('Info Strategia'!$D$2:$D$51,$C85)&gt;0,"SI","NO")</f>
        <v>NO</v>
      </c>
      <c r="F85" s="27" t="n">
        <f aca="false">IFERROR(ROUND(($G85+($H85-$G85)*'Info Strategia'!$B$6)*(1+IF($E85="SI",'Parametri Modello'!$B$7*'Info Strategia'!$B$6,0)),0),"")</f>
        <v>13</v>
      </c>
      <c r="G85" s="27" t="n">
        <f aca="false">IFERROR(ROUND(MAX(1,(IF($V85&lt;=INDEX('Parametri Modello'!$C$57:$C$60,MATCH($B85,'Parametri Modello'!$A$57:$A$60,0)),IF(INDEX('Parametri Modello'!$E$57:$E$60,MATCH($B85,'Parametri Modello'!$A$57:$A$60,0))=0,0,($O85/INDEX('Parametri Modello'!$E$57:$E$60,MATCH($B85,'Parametri Modello'!$A$57:$A$60,0)))*(INDEX('Parametri Modello'!$D$57:$D$60,MATCH($B85,'Parametri Modello'!$A$57:$A$60,0))*(INDEX('Parametri Modello'!$B$50:$B$53,MATCH($B85,'Parametri Modello'!$A$50:$A$53,0))*'Parametri Modello'!$B$44))),IF(INDEX('Parametri Modello'!$F$57:$F$60,MATCH($B85,'Parametri Modello'!$A$57:$A$60,0))=0,0,($O85/INDEX('Parametri Modello'!$F$57:$F$60,MATCH($B85,'Parametri Modello'!$A$57:$A$60,0)))*((1-INDEX('Parametri Modello'!$D$57:$D$60,MATCH($B85,'Parametri Modello'!$A$57:$A$60,0)))*(INDEX('Parametri Modello'!$B$50:$B$53,MATCH($B85,'Parametri Modello'!$A$50:$A$53,0))*'Parametri Modello'!$B$44))))*(1+IF(IF($B85="D",'Info Lega'!$B$25,IF($B85="C",'Info Lega'!$B$26,"No"))="Si",'Parametri Modello'!$B$5,0))*(1+MAX(-0.25,MIN(0.25,IF(OR($T85="",$I85="",$I85=0,INDEX('Parametri Modello'!$B$19:$B$22,MATCH($B85,'Parametri Modello'!$A$19:$A$22,0))="",INDEX('Parametri Modello'!$B$19:$B$22,MATCH($B85,'Parametri Modello'!$A$19:$A$22,0))=0),0,(($T85-INDEX('Parametri Modello'!$B$19:$B$22,MATCH($B85,'Parametri Modello'!$A$19:$A$22,0)))/INDEX('Parametri Modello'!$B$19:$B$22,MATCH($B85,'Parametri Modello'!$A$19:$A$22,0)))*'Parametri Modello'!$B$9))))*(1+IF('Parametri Modello'!$B$27="Si",MAX(-'Parametri Modello'!$B$28,MIN('Parametri Modello'!$B$28*1.5,IF(OR(INDEX('Parametri Modello'!$F$32:$F$35,MATCH($B85,'Parametri Modello'!$A$32:$A$35,0))="",INDEX('Parametri Modello'!$F$32:$F$35,MATCH($B85,'Parametri Modello'!$A$32:$A$35,0))=0),0,(1/INDEX('Parametri Modello'!$F$32:$F$35,MATCH($B85,'Parametri Modello'!$A$32:$A$35,0))-1)*'Parametri Modello'!$B$28))),0)))*(1-INDEX('Parametri Modello'!$B$12:$B$15,MATCH($B85,'Parametri Modello'!$A$12:$A$15,0)))),0),"")</f>
        <v>8</v>
      </c>
      <c r="H85" s="27" t="n">
        <f aca="false">IFERROR(ROUND((IF($V85&lt;=INDEX('Parametri Modello'!$C$57:$C$60,MATCH($B85,'Parametri Modello'!$A$57:$A$60,0)),IF(INDEX('Parametri Modello'!$E$57:$E$60,MATCH($B85,'Parametri Modello'!$A$57:$A$60,0))=0,0,($O85/INDEX('Parametri Modello'!$E$57:$E$60,MATCH($B85,'Parametri Modello'!$A$57:$A$60,0)))*(INDEX('Parametri Modello'!$D$57:$D$60,MATCH($B85,'Parametri Modello'!$A$57:$A$60,0))*(INDEX('Parametri Modello'!$B$50:$B$53,MATCH($B85,'Parametri Modello'!$A$50:$A$53,0))*'Parametri Modello'!$B$44))),IF(INDEX('Parametri Modello'!$F$57:$F$60,MATCH($B85,'Parametri Modello'!$A$57:$A$60,0))=0,0,($O85/INDEX('Parametri Modello'!$F$57:$F$60,MATCH($B85,'Parametri Modello'!$A$57:$A$60,0)))*((1-INDEX('Parametri Modello'!$D$57:$D$60,MATCH($B85,'Parametri Modello'!$A$57:$A$60,0)))*(INDEX('Parametri Modello'!$B$50:$B$53,MATCH($B85,'Parametri Modello'!$A$50:$A$53,0))*'Parametri Modello'!$B$44))))*(1+IF(IF($B85="D",'Info Lega'!$B$25,IF($B85="C",'Info Lega'!$B$26,"No"))="Si",'Parametri Modello'!$B$5,0))*(1+MAX(-0.25,MIN(0.25,IF(OR($T85="",$I85="",$I85=0,INDEX('Parametri Modello'!$B$19:$B$22,MATCH($B85,'Parametri Modello'!$A$19:$A$22,0))="",INDEX('Parametri Modello'!$B$19:$B$22,MATCH($B85,'Parametri Modello'!$A$19:$A$22,0))=0),0,(($T85-INDEX('Parametri Modello'!$B$19:$B$22,MATCH($B85,'Parametri Modello'!$A$19:$A$22,0)))/INDEX('Parametri Modello'!$B$19:$B$22,MATCH($B85,'Parametri Modello'!$A$19:$A$22,0)))*'Parametri Modello'!$B$9))))*(1+IF('Parametri Modello'!$B$27="Si",MAX(-'Parametri Modello'!$B$28,MIN('Parametri Modello'!$B$28*1.5,IF(OR(INDEX('Parametri Modello'!$F$32:$F$35,MATCH($B85,'Parametri Modello'!$A$32:$A$35,0))="",INDEX('Parametri Modello'!$F$32:$F$35,MATCH($B85,'Parametri Modello'!$A$32:$A$35,0))=0),0,(1/INDEX('Parametri Modello'!$F$32:$F$35,MATCH($B85,'Parametri Modello'!$A$32:$A$35,0))-1)*'Parametri Modello'!$B$28))),0)))*(1+INDEX('Parametri Modello'!$B$12:$B$15,MATCH($B85,'Parametri Modello'!$A$12:$A$15,0))),0),"")</f>
        <v>15</v>
      </c>
      <c r="I85" s="26" t="n">
        <f aca="false">IFERROR(INDEX('Input Statistiche 2025_26'!$F$3:$F$665,MATCH($A85,'Input Statistiche 2025_26'!$A$3:$A$665,0)),"")</f>
        <v>30</v>
      </c>
      <c r="J85" s="26" t="n">
        <f aca="false">IFERROR(IF($I85="","",MAX(0,38-$I85)),"")</f>
        <v>8</v>
      </c>
      <c r="K85" s="26" t="n">
        <f aca="false">IFERROR(INDEX('Input Statistiche 2025_26'!$I$3:$I$665,MATCH($A85,'Input Statistiche 2025_26'!$A$3:$A$665,0)),"")</f>
        <v>6</v>
      </c>
      <c r="L85" s="26" t="n">
        <f aca="false">IFERROR(INDEX('Input Statistiche 2025_26'!$O$3:$O$665,MATCH($A85,'Input Statistiche 2025_26'!$A$3:$A$665,0)),"")</f>
        <v>2</v>
      </c>
      <c r="M85" s="28"/>
      <c r="N85" s="27" t="n">
        <f aca="false">IFERROR(INDEX('Input Giocatori 2026_27'!$E$3:$E$493,MATCH($A85,'Input Giocatori 2026_27'!$A$3:$A$493,0)),"")</f>
        <v>9</v>
      </c>
      <c r="O85" s="27" t="n">
        <f aca="false">IFERROR(INDEX('Input Giocatori 2026_27'!$G$3:$G$493,MATCH($A85,'Input Giocatori 2026_27'!$A$3:$A$493,0)),"")</f>
        <v>40</v>
      </c>
      <c r="P85" s="26" t="str">
        <f aca="false">IFERROR(IF($O85="","",IF((1-(COUNTIFS($B$2:$B$492,$B85,$O$2:$O$492,"&gt;"&amp;$O85)+1-1)/COUNTIF($B$2:$B$492,$B85))&gt;=0.85,"Top",IF((1-(COUNTIFS($B$2:$B$492,$B85,$O$2:$O$492,"&gt;"&amp;$O85)+1-1)/COUNTIF($B$2:$B$492,$B85))&gt;=0.6,"Buono",IF((1-(COUNTIFS($B$2:$B$492,$B85,$O$2:$O$492,"&gt;"&amp;$O85)+1-1)/COUNTIF($B$2:$B$492,$B85))&gt;=0.3,"Nella Media","Scommessa/Riserva")))),"")</f>
        <v>Buono</v>
      </c>
      <c r="Q85" s="29" t="n">
        <f aca="false">IF($D85="",COUNTIF($D$2:$D85,""),"")</f>
        <v>84</v>
      </c>
      <c r="R85" s="29" t="str">
        <f aca="false">IF($D85='Info Lega'!$B$28,COUNTIFS($D$2:$D85,'Info Lega'!$B$28),"")</f>
        <v/>
      </c>
      <c r="S85" s="30" t="n">
        <f aca="false">IFERROR(INDEX('Input Statistiche 2025_26'!$G$3:$G$665,MATCH($A85,'Input Statistiche 2025_26'!$A$3:$A$665,0)),"")</f>
        <v>5.77</v>
      </c>
      <c r="T85" s="30" t="n">
        <f aca="false">IFERROR(INDEX('Input Statistiche 2025_26'!$H$3:$H$665,MATCH($A85,'Input Statistiche 2025_26'!$A$3:$A$665,0)),"")</f>
        <v>6.33</v>
      </c>
      <c r="U85" s="26" t="str">
        <f aca="false">IF(OR('La Mia Rosa'!$O$12="",$D85&lt;&gt;""),"",IF($F85&lt;='La Mia Rosa'!$O$12*'Parametri Modello'!$B$24,"OK",IF($F85&lt;='La Mia Rosa'!$O$12*'Parametri Modello'!$B$25,"Attenzione","Rischio Alto")))</f>
        <v>OK</v>
      </c>
      <c r="V85" s="26" t="n">
        <f aca="false">IFERROR(COUNTIFS($B$2:$B$492,$B85,$O$2:$O$492,"&gt;"&amp;$O85)+1,"")</f>
        <v>33</v>
      </c>
      <c r="W85" s="21" t="n">
        <f aca="false">'Info Lega'!$B$4-SUMIFS($M$2:$M$492,$D$2:$D$492,'Info Lega'!$B$28)</f>
        <v>1000</v>
      </c>
      <c r="X85" s="21" t="n">
        <f aca="false">('Info Lega'!$B$5-COUNTIFS($D$2:$D$492,'Info Lega'!$B$28,$B$2:$B$492,"P"))+('Info Lega'!$B$6-COUNTIFS($D$2:$D$492,'Info Lega'!$B$28,$B$2:$B$492,"D"))+('Info Lega'!$B$7-COUNTIFS($D$2:$D$492,'Info Lega'!$B$28,$B$2:$B$492,"C"))+('Info Lega'!$B$8-COUNTIFS($D$2:$D$492,'Info Lega'!$B$28,$B$2:$B$492,"A"))</f>
        <v>25</v>
      </c>
      <c r="Y85" s="21" t="n">
        <f aca="false">X85*'Parametri Modello'!$B$30</f>
        <v>25</v>
      </c>
      <c r="Z85" s="21" t="n">
        <f aca="false">MAX(0,W85-Y85)</f>
        <v>975</v>
      </c>
      <c r="AA85" s="21" t="n">
        <f aca="false">MIN(F85,Z85)</f>
        <v>13</v>
      </c>
      <c r="AB85" s="21"/>
      <c r="AC85" s="21" t="str">
        <f aca="false">IF(AB85="","",IF(AB85&gt;AA85,"PASS",IF(AB85&lt;=AA85*0.85,"BID","ATTENZIONE")))</f>
        <v/>
      </c>
      <c r="AD85" s="31" t="n">
        <f aca="false">IF(I85="","",ROUND(100*(1-EXP(-I85/30)),0))</f>
        <v>63</v>
      </c>
      <c r="AE85" s="7" t="str">
        <f aca="false">IFERROR(INDEX('Stato Asta'!$G$9:$G$12,MATCH($B85,'Stato Asta'!$A$9:$A$12,0)),"")</f>
        <v>🔴 Non aspettare</v>
      </c>
    </row>
    <row r="86" customFormat="false" ht="14.25" hidden="false" customHeight="true" outlineLevel="0" collapsed="false">
      <c r="A86" s="21" t="n">
        <v>7347</v>
      </c>
      <c r="B86" s="21" t="s">
        <v>46</v>
      </c>
      <c r="C86" s="21" t="s">
        <v>572</v>
      </c>
      <c r="E86" s="26" t="str">
        <f aca="false">IF(COUNTIF('Info Strategia'!$D$2:$D$51,$C86)&gt;0,"SI","NO")</f>
        <v>NO</v>
      </c>
      <c r="F86" s="27" t="n">
        <f aca="false">IFERROR(ROUND(($G86+($H86-$G86)*'Info Strategia'!$B$6)*(1+IF($E86="SI",'Parametri Modello'!$B$7*'Info Strategia'!$B$6,0)),0),"")</f>
        <v>13</v>
      </c>
      <c r="G86" s="27" t="n">
        <f aca="false">IFERROR(ROUND(MAX(1,(IF($V86&lt;=INDEX('Parametri Modello'!$C$57:$C$60,MATCH($B86,'Parametri Modello'!$A$57:$A$60,0)),IF(INDEX('Parametri Modello'!$E$57:$E$60,MATCH($B86,'Parametri Modello'!$A$57:$A$60,0))=0,0,($O86/INDEX('Parametri Modello'!$E$57:$E$60,MATCH($B86,'Parametri Modello'!$A$57:$A$60,0)))*(INDEX('Parametri Modello'!$D$57:$D$60,MATCH($B86,'Parametri Modello'!$A$57:$A$60,0))*(INDEX('Parametri Modello'!$B$50:$B$53,MATCH($B86,'Parametri Modello'!$A$50:$A$53,0))*'Parametri Modello'!$B$44))),IF(INDEX('Parametri Modello'!$F$57:$F$60,MATCH($B86,'Parametri Modello'!$A$57:$A$60,0))=0,0,($O86/INDEX('Parametri Modello'!$F$57:$F$60,MATCH($B86,'Parametri Modello'!$A$57:$A$60,0)))*((1-INDEX('Parametri Modello'!$D$57:$D$60,MATCH($B86,'Parametri Modello'!$A$57:$A$60,0)))*(INDEX('Parametri Modello'!$B$50:$B$53,MATCH($B86,'Parametri Modello'!$A$50:$A$53,0))*'Parametri Modello'!$B$44))))*(1+IF(IF($B86="D",'Info Lega'!$B$25,IF($B86="C",'Info Lega'!$B$26,"No"))="Si",'Parametri Modello'!$B$5,0))*(1+MAX(-0.25,MIN(0.25,IF(OR($T86="",$I86="",$I86=0,INDEX('Parametri Modello'!$B$19:$B$22,MATCH($B86,'Parametri Modello'!$A$19:$A$22,0))="",INDEX('Parametri Modello'!$B$19:$B$22,MATCH($B86,'Parametri Modello'!$A$19:$A$22,0))=0),0,(($T86-INDEX('Parametri Modello'!$B$19:$B$22,MATCH($B86,'Parametri Modello'!$A$19:$A$22,0)))/INDEX('Parametri Modello'!$B$19:$B$22,MATCH($B86,'Parametri Modello'!$A$19:$A$22,0)))*'Parametri Modello'!$B$9))))*(1+IF('Parametri Modello'!$B$27="Si",MAX(-'Parametri Modello'!$B$28,MIN('Parametri Modello'!$B$28*1.5,IF(OR(INDEX('Parametri Modello'!$F$32:$F$35,MATCH($B86,'Parametri Modello'!$A$32:$A$35,0))="",INDEX('Parametri Modello'!$F$32:$F$35,MATCH($B86,'Parametri Modello'!$A$32:$A$35,0))=0),0,(1/INDEX('Parametri Modello'!$F$32:$F$35,MATCH($B86,'Parametri Modello'!$A$32:$A$35,0))-1)*'Parametri Modello'!$B$28))),0)))*(1-INDEX('Parametri Modello'!$B$12:$B$15,MATCH($B86,'Parametri Modello'!$A$12:$A$15,0)))),0),"")</f>
        <v>8</v>
      </c>
      <c r="H86" s="27" t="n">
        <f aca="false">IFERROR(ROUND((IF($V86&lt;=INDEX('Parametri Modello'!$C$57:$C$60,MATCH($B86,'Parametri Modello'!$A$57:$A$60,0)),IF(INDEX('Parametri Modello'!$E$57:$E$60,MATCH($B86,'Parametri Modello'!$A$57:$A$60,0))=0,0,($O86/INDEX('Parametri Modello'!$E$57:$E$60,MATCH($B86,'Parametri Modello'!$A$57:$A$60,0)))*(INDEX('Parametri Modello'!$D$57:$D$60,MATCH($B86,'Parametri Modello'!$A$57:$A$60,0))*(INDEX('Parametri Modello'!$B$50:$B$53,MATCH($B86,'Parametri Modello'!$A$50:$A$53,0))*'Parametri Modello'!$B$44))),IF(INDEX('Parametri Modello'!$F$57:$F$60,MATCH($B86,'Parametri Modello'!$A$57:$A$60,0))=0,0,($O86/INDEX('Parametri Modello'!$F$57:$F$60,MATCH($B86,'Parametri Modello'!$A$57:$A$60,0)))*((1-INDEX('Parametri Modello'!$D$57:$D$60,MATCH($B86,'Parametri Modello'!$A$57:$A$60,0)))*(INDEX('Parametri Modello'!$B$50:$B$53,MATCH($B86,'Parametri Modello'!$A$50:$A$53,0))*'Parametri Modello'!$B$44))))*(1+IF(IF($B86="D",'Info Lega'!$B$25,IF($B86="C",'Info Lega'!$B$26,"No"))="Si",'Parametri Modello'!$B$5,0))*(1+MAX(-0.25,MIN(0.25,IF(OR($T86="",$I86="",$I86=0,INDEX('Parametri Modello'!$B$19:$B$22,MATCH($B86,'Parametri Modello'!$A$19:$A$22,0))="",INDEX('Parametri Modello'!$B$19:$B$22,MATCH($B86,'Parametri Modello'!$A$19:$A$22,0))=0),0,(($T86-INDEX('Parametri Modello'!$B$19:$B$22,MATCH($B86,'Parametri Modello'!$A$19:$A$22,0)))/INDEX('Parametri Modello'!$B$19:$B$22,MATCH($B86,'Parametri Modello'!$A$19:$A$22,0)))*'Parametri Modello'!$B$9))))*(1+IF('Parametri Modello'!$B$27="Si",MAX(-'Parametri Modello'!$B$28,MIN('Parametri Modello'!$B$28*1.5,IF(OR(INDEX('Parametri Modello'!$F$32:$F$35,MATCH($B86,'Parametri Modello'!$A$32:$A$35,0))="",INDEX('Parametri Modello'!$F$32:$F$35,MATCH($B86,'Parametri Modello'!$A$32:$A$35,0))=0),0,(1/INDEX('Parametri Modello'!$F$32:$F$35,MATCH($B86,'Parametri Modello'!$A$32:$A$35,0))-1)*'Parametri Modello'!$B$28))),0)))*(1+INDEX('Parametri Modello'!$B$12:$B$15,MATCH($B86,'Parametri Modello'!$A$12:$A$15,0))),0),"")</f>
        <v>15</v>
      </c>
      <c r="I86" s="26" t="n">
        <f aca="false">IFERROR(INDEX('Input Statistiche 2025_26'!$F$3:$F$665,MATCH($A86,'Input Statistiche 2025_26'!$A$3:$A$665,0)),"")</f>
        <v>14</v>
      </c>
      <c r="J86" s="26" t="n">
        <f aca="false">IFERROR(IF($I86="","",MAX(0,38-$I86)),"")</f>
        <v>24</v>
      </c>
      <c r="K86" s="26" t="n">
        <f aca="false">IFERROR(INDEX('Input Statistiche 2025_26'!$I$3:$I$665,MATCH($A86,'Input Statistiche 2025_26'!$A$3:$A$665,0)),"")</f>
        <v>4</v>
      </c>
      <c r="L86" s="26" t="n">
        <f aca="false">IFERROR(INDEX('Input Statistiche 2025_26'!$O$3:$O$665,MATCH($A86,'Input Statistiche 2025_26'!$A$3:$A$665,0)),"")</f>
        <v>0</v>
      </c>
      <c r="M86" s="28"/>
      <c r="N86" s="27" t="n">
        <f aca="false">IFERROR(INDEX('Input Giocatori 2026_27'!$E$3:$E$493,MATCH($A86,'Input Giocatori 2026_27'!$A$3:$A$493,0)),"")</f>
        <v>10</v>
      </c>
      <c r="O86" s="27" t="n">
        <f aca="false">IFERROR(INDEX('Input Giocatori 2026_27'!$G$3:$G$493,MATCH($A86,'Input Giocatori 2026_27'!$A$3:$A$493,0)),"")</f>
        <v>39</v>
      </c>
      <c r="P86" s="26" t="str">
        <f aca="false">IFERROR(IF($O86="","",IF((1-(COUNTIFS($B$2:$B$492,$B86,$O$2:$O$492,"&gt;"&amp;$O86)+1-1)/COUNTIF($B$2:$B$492,$B86))&gt;=0.85,"Top",IF((1-(COUNTIFS($B$2:$B$492,$B86,$O$2:$O$492,"&gt;"&amp;$O86)+1-1)/COUNTIF($B$2:$B$492,$B86))&gt;=0.6,"Buono",IF((1-(COUNTIFS($B$2:$B$492,$B86,$O$2:$O$492,"&gt;"&amp;$O86)+1-1)/COUNTIF($B$2:$B$492,$B86))&gt;=0.3,"Nella Media","Scommessa/Riserva")))),"")</f>
        <v>Buono</v>
      </c>
      <c r="Q86" s="29" t="n">
        <f aca="false">IF($D86="",COUNTIF($D$2:$D86,""),"")</f>
        <v>85</v>
      </c>
      <c r="R86" s="29" t="str">
        <f aca="false">IF($D86='Info Lega'!$B$28,COUNTIFS($D$2:$D86,'Info Lega'!$B$28),"")</f>
        <v/>
      </c>
      <c r="S86" s="30" t="n">
        <f aca="false">IFERROR(INDEX('Input Statistiche 2025_26'!$G$3:$G$665,MATCH($A86,'Input Statistiche 2025_26'!$A$3:$A$665,0)),"")</f>
        <v>5.96</v>
      </c>
      <c r="T86" s="30" t="n">
        <f aca="false">IFERROR(INDEX('Input Statistiche 2025_26'!$H$3:$H$665,MATCH($A86,'Input Statistiche 2025_26'!$A$3:$A$665,0)),"")</f>
        <v>6.79</v>
      </c>
      <c r="U86" s="26" t="str">
        <f aca="false">IF(OR('La Mia Rosa'!$O$12="",$D86&lt;&gt;""),"",IF($F86&lt;='La Mia Rosa'!$O$12*'Parametri Modello'!$B$24,"OK",IF($F86&lt;='La Mia Rosa'!$O$12*'Parametri Modello'!$B$25,"Attenzione","Rischio Alto")))</f>
        <v>OK</v>
      </c>
      <c r="V86" s="26" t="n">
        <f aca="false">IFERROR(COUNTIFS($B$2:$B$492,$B86,$O$2:$O$492,"&gt;"&amp;$O86)+1,"")</f>
        <v>34</v>
      </c>
      <c r="W86" s="21" t="n">
        <f aca="false">'Info Lega'!$B$4-SUMIFS($M$2:$M$492,$D$2:$D$492,'Info Lega'!$B$28)</f>
        <v>1000</v>
      </c>
      <c r="X86" s="21" t="n">
        <f aca="false">('Info Lega'!$B$5-COUNTIFS($D$2:$D$492,'Info Lega'!$B$28,$B$2:$B$492,"P"))+('Info Lega'!$B$6-COUNTIFS($D$2:$D$492,'Info Lega'!$B$28,$B$2:$B$492,"D"))+('Info Lega'!$B$7-COUNTIFS($D$2:$D$492,'Info Lega'!$B$28,$B$2:$B$492,"C"))+('Info Lega'!$B$8-COUNTIFS($D$2:$D$492,'Info Lega'!$B$28,$B$2:$B$492,"A"))</f>
        <v>25</v>
      </c>
      <c r="Y86" s="21" t="n">
        <f aca="false">X86*'Parametri Modello'!$B$30</f>
        <v>25</v>
      </c>
      <c r="Z86" s="21" t="n">
        <f aca="false">MAX(0,W86-Y86)</f>
        <v>975</v>
      </c>
      <c r="AA86" s="21" t="n">
        <f aca="false">MIN(F86,Z86)</f>
        <v>13</v>
      </c>
      <c r="AB86" s="21"/>
      <c r="AC86" s="21" t="str">
        <f aca="false">IF(AB86="","",IF(AB86&gt;AA86,"PASS",IF(AB86&lt;=AA86*0.85,"BID","ATTENZIONE")))</f>
        <v/>
      </c>
      <c r="AD86" s="31" t="n">
        <f aca="false">IF(I86="","",ROUND(100*(1-EXP(-I86/30)),0))</f>
        <v>37</v>
      </c>
      <c r="AE86" s="7" t="str">
        <f aca="false">IFERROR(INDEX('Stato Asta'!$G$9:$G$12,MATCH($B86,'Stato Asta'!$A$9:$A$12,0)),"")</f>
        <v>🔴 Non aspettare</v>
      </c>
    </row>
    <row r="87" customFormat="false" ht="14.25" hidden="false" customHeight="true" outlineLevel="0" collapsed="false">
      <c r="A87" s="21" t="n">
        <v>2514</v>
      </c>
      <c r="B87" s="21" t="s">
        <v>44</v>
      </c>
      <c r="C87" s="21" t="s">
        <v>202</v>
      </c>
      <c r="E87" s="26" t="str">
        <f aca="false">IF(COUNTIF('Info Strategia'!$D$2:$D$51,$C87)&gt;0,"SI","NO")</f>
        <v>NO</v>
      </c>
      <c r="F87" s="27" t="n">
        <f aca="false">IFERROR(ROUND(($G87+($H87-$G87)*'Info Strategia'!$B$6)*(1+IF($E87="SI",'Parametri Modello'!$B$7*'Info Strategia'!$B$6,0)),0),"")</f>
        <v>26</v>
      </c>
      <c r="G87" s="27" t="n">
        <f aca="false">IFERROR(ROUND(MAX(1,(IF($V87&lt;=INDEX('Parametri Modello'!$C$57:$C$60,MATCH($B87,'Parametri Modello'!$A$57:$A$60,0)),IF(INDEX('Parametri Modello'!$E$57:$E$60,MATCH($B87,'Parametri Modello'!$A$57:$A$60,0))=0,0,($O87/INDEX('Parametri Modello'!$E$57:$E$60,MATCH($B87,'Parametri Modello'!$A$57:$A$60,0)))*(INDEX('Parametri Modello'!$D$57:$D$60,MATCH($B87,'Parametri Modello'!$A$57:$A$60,0))*(INDEX('Parametri Modello'!$B$50:$B$53,MATCH($B87,'Parametri Modello'!$A$50:$A$53,0))*'Parametri Modello'!$B$44))),IF(INDEX('Parametri Modello'!$F$57:$F$60,MATCH($B87,'Parametri Modello'!$A$57:$A$60,0))=0,0,($O87/INDEX('Parametri Modello'!$F$57:$F$60,MATCH($B87,'Parametri Modello'!$A$57:$A$60,0)))*((1-INDEX('Parametri Modello'!$D$57:$D$60,MATCH($B87,'Parametri Modello'!$A$57:$A$60,0)))*(INDEX('Parametri Modello'!$B$50:$B$53,MATCH($B87,'Parametri Modello'!$A$50:$A$53,0))*'Parametri Modello'!$B$44))))*(1+IF(IF($B87="D",'Info Lega'!$B$25,IF($B87="C",'Info Lega'!$B$26,"No"))="Si",'Parametri Modello'!$B$5,0))*(1+MAX(-0.25,MIN(0.25,IF(OR($T87="",$I87="",$I87=0,INDEX('Parametri Modello'!$B$19:$B$22,MATCH($B87,'Parametri Modello'!$A$19:$A$22,0))="",INDEX('Parametri Modello'!$B$19:$B$22,MATCH($B87,'Parametri Modello'!$A$19:$A$22,0))=0),0,(($T87-INDEX('Parametri Modello'!$B$19:$B$22,MATCH($B87,'Parametri Modello'!$A$19:$A$22,0)))/INDEX('Parametri Modello'!$B$19:$B$22,MATCH($B87,'Parametri Modello'!$A$19:$A$22,0)))*'Parametri Modello'!$B$9))))*(1+IF('Parametri Modello'!$B$27="Si",MAX(-'Parametri Modello'!$B$28,MIN('Parametri Modello'!$B$28*1.5,IF(OR(INDEX('Parametri Modello'!$F$32:$F$35,MATCH($B87,'Parametri Modello'!$A$32:$A$35,0))="",INDEX('Parametri Modello'!$F$32:$F$35,MATCH($B87,'Parametri Modello'!$A$32:$A$35,0))=0),0,(1/INDEX('Parametri Modello'!$F$32:$F$35,MATCH($B87,'Parametri Modello'!$A$32:$A$35,0))-1)*'Parametri Modello'!$B$28))),0)))*(1-INDEX('Parametri Modello'!$B$12:$B$15,MATCH($B87,'Parametri Modello'!$A$12:$A$15,0)))),0),"")</f>
        <v>19</v>
      </c>
      <c r="H87" s="27" t="n">
        <f aca="false">IFERROR(ROUND((IF($V87&lt;=INDEX('Parametri Modello'!$C$57:$C$60,MATCH($B87,'Parametri Modello'!$A$57:$A$60,0)),IF(INDEX('Parametri Modello'!$E$57:$E$60,MATCH($B87,'Parametri Modello'!$A$57:$A$60,0))=0,0,($O87/INDEX('Parametri Modello'!$E$57:$E$60,MATCH($B87,'Parametri Modello'!$A$57:$A$60,0)))*(INDEX('Parametri Modello'!$D$57:$D$60,MATCH($B87,'Parametri Modello'!$A$57:$A$60,0))*(INDEX('Parametri Modello'!$B$50:$B$53,MATCH($B87,'Parametri Modello'!$A$50:$A$53,0))*'Parametri Modello'!$B$44))),IF(INDEX('Parametri Modello'!$F$57:$F$60,MATCH($B87,'Parametri Modello'!$A$57:$A$60,0))=0,0,($O87/INDEX('Parametri Modello'!$F$57:$F$60,MATCH($B87,'Parametri Modello'!$A$57:$A$60,0)))*((1-INDEX('Parametri Modello'!$D$57:$D$60,MATCH($B87,'Parametri Modello'!$A$57:$A$60,0)))*(INDEX('Parametri Modello'!$B$50:$B$53,MATCH($B87,'Parametri Modello'!$A$50:$A$53,0))*'Parametri Modello'!$B$44))))*(1+IF(IF($B87="D",'Info Lega'!$B$25,IF($B87="C",'Info Lega'!$B$26,"No"))="Si",'Parametri Modello'!$B$5,0))*(1+MAX(-0.25,MIN(0.25,IF(OR($T87="",$I87="",$I87=0,INDEX('Parametri Modello'!$B$19:$B$22,MATCH($B87,'Parametri Modello'!$A$19:$A$22,0))="",INDEX('Parametri Modello'!$B$19:$B$22,MATCH($B87,'Parametri Modello'!$A$19:$A$22,0))=0),0,(($T87-INDEX('Parametri Modello'!$B$19:$B$22,MATCH($B87,'Parametri Modello'!$A$19:$A$22,0)))/INDEX('Parametri Modello'!$B$19:$B$22,MATCH($B87,'Parametri Modello'!$A$19:$A$22,0)))*'Parametri Modello'!$B$9))))*(1+IF('Parametri Modello'!$B$27="Si",MAX(-'Parametri Modello'!$B$28,MIN('Parametri Modello'!$B$28*1.5,IF(OR(INDEX('Parametri Modello'!$F$32:$F$35,MATCH($B87,'Parametri Modello'!$A$32:$A$35,0))="",INDEX('Parametri Modello'!$F$32:$F$35,MATCH($B87,'Parametri Modello'!$A$32:$A$35,0))=0),0,(1/INDEX('Parametri Modello'!$F$32:$F$35,MATCH($B87,'Parametri Modello'!$A$32:$A$35,0))-1)*'Parametri Modello'!$B$28))),0)))*(1+INDEX('Parametri Modello'!$B$12:$B$15,MATCH($B87,'Parametri Modello'!$A$12:$A$15,0))),0),"")</f>
        <v>29</v>
      </c>
      <c r="I87" s="26" t="str">
        <f aca="false">IFERROR(INDEX('Input Statistiche 2025_26'!$F$3:$F$665,MATCH($A87,'Input Statistiche 2025_26'!$A$3:$A$665,0)),"")</f>
        <v/>
      </c>
      <c r="J87" s="26" t="str">
        <f aca="false">IFERROR(IF($I87="","",MAX(0,38-$I87)),"")</f>
        <v/>
      </c>
      <c r="K87" s="26" t="str">
        <f aca="false">IFERROR(INDEX('Input Statistiche 2025_26'!$I$3:$I$665,MATCH($A87,'Input Statistiche 2025_26'!$A$3:$A$665,0)),"")</f>
        <v/>
      </c>
      <c r="L87" s="26" t="str">
        <f aca="false">IFERROR(INDEX('Input Statistiche 2025_26'!$O$3:$O$665,MATCH($A87,'Input Statistiche 2025_26'!$A$3:$A$665,0)),"")</f>
        <v/>
      </c>
      <c r="M87" s="28"/>
      <c r="N87" s="27" t="n">
        <f aca="false">IFERROR(INDEX('Input Giocatori 2026_27'!$E$3:$E$493,MATCH($A87,'Input Giocatori 2026_27'!$A$3:$A$493,0)),"")</f>
        <v>12</v>
      </c>
      <c r="O87" s="27" t="n">
        <f aca="false">IFERROR(INDEX('Input Giocatori 2026_27'!$G$3:$G$493,MATCH($A87,'Input Giocatori 2026_27'!$A$3:$A$493,0)),"")</f>
        <v>38</v>
      </c>
      <c r="P87" s="26" t="str">
        <f aca="false">IFERROR(IF($O87="","",IF((1-(COUNTIFS($B$2:$B$492,$B87,$O$2:$O$492,"&gt;"&amp;$O87)+1-1)/COUNTIF($B$2:$B$492,$B87))&gt;=0.85,"Top",IF((1-(COUNTIFS($B$2:$B$492,$B87,$O$2:$O$492,"&gt;"&amp;$O87)+1-1)/COUNTIF($B$2:$B$492,$B87))&gt;=0.6,"Buono",IF((1-(COUNTIFS($B$2:$B$492,$B87,$O$2:$O$492,"&gt;"&amp;$O87)+1-1)/COUNTIF($B$2:$B$492,$B87))&gt;=0.3,"Nella Media","Scommessa/Riserva")))),"")</f>
        <v>Top</v>
      </c>
      <c r="Q87" s="29" t="n">
        <f aca="false">IF($D87="",COUNTIF($D$2:$D87,""),"")</f>
        <v>86</v>
      </c>
      <c r="R87" s="29" t="str">
        <f aca="false">IF($D87='Info Lega'!$B$28,COUNTIFS($D$2:$D87,'Info Lega'!$B$28),"")</f>
        <v/>
      </c>
      <c r="S87" s="30" t="str">
        <f aca="false">IFERROR(INDEX('Input Statistiche 2025_26'!$G$3:$G$665,MATCH($A87,'Input Statistiche 2025_26'!$A$3:$A$665,0)),"")</f>
        <v/>
      </c>
      <c r="T87" s="30" t="str">
        <f aca="false">IFERROR(INDEX('Input Statistiche 2025_26'!$H$3:$H$665,MATCH($A87,'Input Statistiche 2025_26'!$A$3:$A$665,0)),"")</f>
        <v/>
      </c>
      <c r="U87" s="26" t="str">
        <f aca="false">IF(OR('La Mia Rosa'!$O$12="",$D87&lt;&gt;""),"",IF($F87&lt;='La Mia Rosa'!$O$12*'Parametri Modello'!$B$24,"OK",IF($F87&lt;='La Mia Rosa'!$O$12*'Parametri Modello'!$B$25,"Attenzione","Rischio Alto")))</f>
        <v>OK</v>
      </c>
      <c r="V87" s="26" t="n">
        <f aca="false">IFERROR(COUNTIFS($B$2:$B$492,$B87,$O$2:$O$492,"&gt;"&amp;$O87)+1,"")</f>
        <v>14</v>
      </c>
      <c r="W87" s="21" t="n">
        <f aca="false">'Info Lega'!$B$4-SUMIFS($M$2:$M$492,$D$2:$D$492,'Info Lega'!$B$28)</f>
        <v>1000</v>
      </c>
      <c r="X87" s="21" t="n">
        <f aca="false">('Info Lega'!$B$5-COUNTIFS($D$2:$D$492,'Info Lega'!$B$28,$B$2:$B$492,"P"))+('Info Lega'!$B$6-COUNTIFS($D$2:$D$492,'Info Lega'!$B$28,$B$2:$B$492,"D"))+('Info Lega'!$B$7-COUNTIFS($D$2:$D$492,'Info Lega'!$B$28,$B$2:$B$492,"C"))+('Info Lega'!$B$8-COUNTIFS($D$2:$D$492,'Info Lega'!$B$28,$B$2:$B$492,"A"))</f>
        <v>25</v>
      </c>
      <c r="Y87" s="21" t="n">
        <f aca="false">X87*'Parametri Modello'!$B$30</f>
        <v>25</v>
      </c>
      <c r="Z87" s="21" t="n">
        <f aca="false">MAX(0,W87-Y87)</f>
        <v>975</v>
      </c>
      <c r="AA87" s="21" t="n">
        <f aca="false">MIN(F87,Z87)</f>
        <v>26</v>
      </c>
      <c r="AB87" s="21"/>
      <c r="AC87" s="21" t="str">
        <f aca="false">IF(AB87="","",IF(AB87&gt;AA87,"PASS",IF(AB87&lt;=AA87*0.85,"BID","ATTENZIONE")))</f>
        <v/>
      </c>
      <c r="AD87" s="31" t="str">
        <f aca="false">IF(I87="","",ROUND(100*(1-EXP(-I87/30)),0))</f>
        <v/>
      </c>
      <c r="AE87" s="7" t="str">
        <f aca="false">IFERROR(INDEX('Stato Asta'!$G$9:$G$12,MATCH($B87,'Stato Asta'!$A$9:$A$12,0)),"")</f>
        <v>🟡 Attesa rischiosa</v>
      </c>
    </row>
    <row r="88" customFormat="false" ht="14.25" hidden="false" customHeight="true" outlineLevel="0" collapsed="false">
      <c r="A88" s="21" t="n">
        <v>6151</v>
      </c>
      <c r="B88" s="21" t="s">
        <v>45</v>
      </c>
      <c r="C88" s="21" t="s">
        <v>392</v>
      </c>
      <c r="E88" s="26" t="str">
        <f aca="false">IF(COUNTIF('Info Strategia'!$D$2:$D$51,$C88)&gt;0,"SI","NO")</f>
        <v>NO</v>
      </c>
      <c r="F88" s="27" t="n">
        <f aca="false">IFERROR(ROUND(($G88+($H88-$G88)*'Info Strategia'!$B$6)*(1+IF($E88="SI",'Parametri Modello'!$B$7*'Info Strategia'!$B$6,0)),0),"")</f>
        <v>25</v>
      </c>
      <c r="G88" s="27" t="n">
        <f aca="false">IFERROR(ROUND(MAX(1,(IF($V88&lt;=INDEX('Parametri Modello'!$C$57:$C$60,MATCH($B88,'Parametri Modello'!$A$57:$A$60,0)),IF(INDEX('Parametri Modello'!$E$57:$E$60,MATCH($B88,'Parametri Modello'!$A$57:$A$60,0))=0,0,($O88/INDEX('Parametri Modello'!$E$57:$E$60,MATCH($B88,'Parametri Modello'!$A$57:$A$60,0)))*(INDEX('Parametri Modello'!$D$57:$D$60,MATCH($B88,'Parametri Modello'!$A$57:$A$60,0))*(INDEX('Parametri Modello'!$B$50:$B$53,MATCH($B88,'Parametri Modello'!$A$50:$A$53,0))*'Parametri Modello'!$B$44))),IF(INDEX('Parametri Modello'!$F$57:$F$60,MATCH($B88,'Parametri Modello'!$A$57:$A$60,0))=0,0,($O88/INDEX('Parametri Modello'!$F$57:$F$60,MATCH($B88,'Parametri Modello'!$A$57:$A$60,0)))*((1-INDEX('Parametri Modello'!$D$57:$D$60,MATCH($B88,'Parametri Modello'!$A$57:$A$60,0)))*(INDEX('Parametri Modello'!$B$50:$B$53,MATCH($B88,'Parametri Modello'!$A$50:$A$53,0))*'Parametri Modello'!$B$44))))*(1+IF(IF($B88="D",'Info Lega'!$B$25,IF($B88="C",'Info Lega'!$B$26,"No"))="Si",'Parametri Modello'!$B$5,0))*(1+MAX(-0.25,MIN(0.25,IF(OR($T88="",$I88="",$I88=0,INDEX('Parametri Modello'!$B$19:$B$22,MATCH($B88,'Parametri Modello'!$A$19:$A$22,0))="",INDEX('Parametri Modello'!$B$19:$B$22,MATCH($B88,'Parametri Modello'!$A$19:$A$22,0))=0),0,(($T88-INDEX('Parametri Modello'!$B$19:$B$22,MATCH($B88,'Parametri Modello'!$A$19:$A$22,0)))/INDEX('Parametri Modello'!$B$19:$B$22,MATCH($B88,'Parametri Modello'!$A$19:$A$22,0)))*'Parametri Modello'!$B$9))))*(1+IF('Parametri Modello'!$B$27="Si",MAX(-'Parametri Modello'!$B$28,MIN('Parametri Modello'!$B$28*1.5,IF(OR(INDEX('Parametri Modello'!$F$32:$F$35,MATCH($B88,'Parametri Modello'!$A$32:$A$35,0))="",INDEX('Parametri Modello'!$F$32:$F$35,MATCH($B88,'Parametri Modello'!$A$32:$A$35,0))=0),0,(1/INDEX('Parametri Modello'!$F$32:$F$35,MATCH($B88,'Parametri Modello'!$A$32:$A$35,0))-1)*'Parametri Modello'!$B$28))),0)))*(1-INDEX('Parametri Modello'!$B$12:$B$15,MATCH($B88,'Parametri Modello'!$A$12:$A$15,0)))),0),"")</f>
        <v>17</v>
      </c>
      <c r="H88" s="27" t="n">
        <f aca="false">IFERROR(ROUND((IF($V88&lt;=INDEX('Parametri Modello'!$C$57:$C$60,MATCH($B88,'Parametri Modello'!$A$57:$A$60,0)),IF(INDEX('Parametri Modello'!$E$57:$E$60,MATCH($B88,'Parametri Modello'!$A$57:$A$60,0))=0,0,($O88/INDEX('Parametri Modello'!$E$57:$E$60,MATCH($B88,'Parametri Modello'!$A$57:$A$60,0)))*(INDEX('Parametri Modello'!$D$57:$D$60,MATCH($B88,'Parametri Modello'!$A$57:$A$60,0))*(INDEX('Parametri Modello'!$B$50:$B$53,MATCH($B88,'Parametri Modello'!$A$50:$A$53,0))*'Parametri Modello'!$B$44))),IF(INDEX('Parametri Modello'!$F$57:$F$60,MATCH($B88,'Parametri Modello'!$A$57:$A$60,0))=0,0,($O88/INDEX('Parametri Modello'!$F$57:$F$60,MATCH($B88,'Parametri Modello'!$A$57:$A$60,0)))*((1-INDEX('Parametri Modello'!$D$57:$D$60,MATCH($B88,'Parametri Modello'!$A$57:$A$60,0)))*(INDEX('Parametri Modello'!$B$50:$B$53,MATCH($B88,'Parametri Modello'!$A$50:$A$53,0))*'Parametri Modello'!$B$44))))*(1+IF(IF($B88="D",'Info Lega'!$B$25,IF($B88="C",'Info Lega'!$B$26,"No"))="Si",'Parametri Modello'!$B$5,0))*(1+MAX(-0.25,MIN(0.25,IF(OR($T88="",$I88="",$I88=0,INDEX('Parametri Modello'!$B$19:$B$22,MATCH($B88,'Parametri Modello'!$A$19:$A$22,0))="",INDEX('Parametri Modello'!$B$19:$B$22,MATCH($B88,'Parametri Modello'!$A$19:$A$22,0))=0),0,(($T88-INDEX('Parametri Modello'!$B$19:$B$22,MATCH($B88,'Parametri Modello'!$A$19:$A$22,0)))/INDEX('Parametri Modello'!$B$19:$B$22,MATCH($B88,'Parametri Modello'!$A$19:$A$22,0)))*'Parametri Modello'!$B$9))))*(1+IF('Parametri Modello'!$B$27="Si",MAX(-'Parametri Modello'!$B$28,MIN('Parametri Modello'!$B$28*1.5,IF(OR(INDEX('Parametri Modello'!$F$32:$F$35,MATCH($B88,'Parametri Modello'!$A$32:$A$35,0))="",INDEX('Parametri Modello'!$F$32:$F$35,MATCH($B88,'Parametri Modello'!$A$32:$A$35,0))=0),0,(1/INDEX('Parametri Modello'!$F$32:$F$35,MATCH($B88,'Parametri Modello'!$A$32:$A$35,0))-1)*'Parametri Modello'!$B$28))),0)))*(1+INDEX('Parametri Modello'!$B$12:$B$15,MATCH($B88,'Parametri Modello'!$A$12:$A$15,0))),0),"")</f>
        <v>29</v>
      </c>
      <c r="I88" s="26" t="n">
        <f aca="false">IFERROR(INDEX('Input Statistiche 2025_26'!$F$3:$F$665,MATCH($A88,'Input Statistiche 2025_26'!$A$3:$A$665,0)),"")</f>
        <v>36</v>
      </c>
      <c r="J88" s="26" t="n">
        <f aca="false">IFERROR(IF($I88="","",MAX(0,38-$I88)),"")</f>
        <v>2</v>
      </c>
      <c r="K88" s="26" t="n">
        <f aca="false">IFERROR(INDEX('Input Statistiche 2025_26'!$I$3:$I$665,MATCH($A88,'Input Statistiche 2025_26'!$A$3:$A$665,0)),"")</f>
        <v>3</v>
      </c>
      <c r="L88" s="26" t="n">
        <f aca="false">IFERROR(INDEX('Input Statistiche 2025_26'!$O$3:$O$665,MATCH($A88,'Input Statistiche 2025_26'!$A$3:$A$665,0)),"")</f>
        <v>4</v>
      </c>
      <c r="M88" s="28"/>
      <c r="N88" s="27" t="n">
        <f aca="false">IFERROR(INDEX('Input Giocatori 2026_27'!$E$3:$E$493,MATCH($A88,'Input Giocatori 2026_27'!$A$3:$A$493,0)),"")</f>
        <v>10</v>
      </c>
      <c r="O88" s="27" t="n">
        <f aca="false">IFERROR(INDEX('Input Giocatori 2026_27'!$G$3:$G$493,MATCH($A88,'Input Giocatori 2026_27'!$A$3:$A$493,0)),"")</f>
        <v>38</v>
      </c>
      <c r="P88" s="26" t="str">
        <f aca="false">IFERROR(IF($O88="","",IF((1-(COUNTIFS($B$2:$B$492,$B88,$O$2:$O$492,"&gt;"&amp;$O88)+1-1)/COUNTIF($B$2:$B$492,$B88))&gt;=0.85,"Top",IF((1-(COUNTIFS($B$2:$B$492,$B88,$O$2:$O$492,"&gt;"&amp;$O88)+1-1)/COUNTIF($B$2:$B$492,$B88))&gt;=0.6,"Buono",IF((1-(COUNTIFS($B$2:$B$492,$B88,$O$2:$O$492,"&gt;"&amp;$O88)+1-1)/COUNTIF($B$2:$B$492,$B88))&gt;=0.3,"Nella Media","Scommessa/Riserva")))),"")</f>
        <v>Buono</v>
      </c>
      <c r="Q88" s="29" t="n">
        <f aca="false">IF($D88="",COUNTIF($D$2:$D88,""),"")</f>
        <v>87</v>
      </c>
      <c r="R88" s="29" t="str">
        <f aca="false">IF($D88='Info Lega'!$B$28,COUNTIFS($D$2:$D88,'Info Lega'!$B$28),"")</f>
        <v/>
      </c>
      <c r="S88" s="30" t="n">
        <f aca="false">IFERROR(INDEX('Input Statistiche 2025_26'!$G$3:$G$665,MATCH($A88,'Input Statistiche 2025_26'!$A$3:$A$665,0)),"")</f>
        <v>6.22</v>
      </c>
      <c r="T88" s="30" t="n">
        <f aca="false">IFERROR(INDEX('Input Statistiche 2025_26'!$H$3:$H$665,MATCH($A88,'Input Statistiche 2025_26'!$A$3:$A$665,0)),"")</f>
        <v>6.47</v>
      </c>
      <c r="U88" s="26" t="str">
        <f aca="false">IF(OR('La Mia Rosa'!$O$12="",$D88&lt;&gt;""),"",IF($F88&lt;='La Mia Rosa'!$O$12*'Parametri Modello'!$B$24,"OK",IF($F88&lt;='La Mia Rosa'!$O$12*'Parametri Modello'!$B$25,"Attenzione","Rischio Alto")))</f>
        <v>OK</v>
      </c>
      <c r="V88" s="26" t="n">
        <f aca="false">IFERROR(COUNTIFS($B$2:$B$492,$B88,$O$2:$O$492,"&gt;"&amp;$O88)+1,"")</f>
        <v>31</v>
      </c>
      <c r="W88" s="21" t="n">
        <f aca="false">'Info Lega'!$B$4-SUMIFS($M$2:$M$492,$D$2:$D$492,'Info Lega'!$B$28)</f>
        <v>1000</v>
      </c>
      <c r="X88" s="21" t="n">
        <f aca="false">('Info Lega'!$B$5-COUNTIFS($D$2:$D$492,'Info Lega'!$B$28,$B$2:$B$492,"P"))+('Info Lega'!$B$6-COUNTIFS($D$2:$D$492,'Info Lega'!$B$28,$B$2:$B$492,"D"))+('Info Lega'!$B$7-COUNTIFS($D$2:$D$492,'Info Lega'!$B$28,$B$2:$B$492,"C"))+('Info Lega'!$B$8-COUNTIFS($D$2:$D$492,'Info Lega'!$B$28,$B$2:$B$492,"A"))</f>
        <v>25</v>
      </c>
      <c r="Y88" s="21" t="n">
        <f aca="false">X88*'Parametri Modello'!$B$30</f>
        <v>25</v>
      </c>
      <c r="Z88" s="21" t="n">
        <f aca="false">MAX(0,W88-Y88)</f>
        <v>975</v>
      </c>
      <c r="AA88" s="21" t="n">
        <f aca="false">MIN(F88,Z88)</f>
        <v>25</v>
      </c>
      <c r="AB88" s="21"/>
      <c r="AC88" s="21" t="str">
        <f aca="false">IF(AB88="","",IF(AB88&gt;AA88,"PASS",IF(AB88&lt;=AA88*0.85,"BID","ATTENZIONE")))</f>
        <v/>
      </c>
      <c r="AD88" s="31" t="n">
        <f aca="false">IF(I88="","",ROUND(100*(1-EXP(-I88/30)),0))</f>
        <v>70</v>
      </c>
      <c r="AE88" s="7" t="str">
        <f aca="false">IFERROR(INDEX('Stato Asta'!$G$9:$G$12,MATCH($B88,'Stato Asta'!$A$9:$A$12,0)),"")</f>
        <v>🟡 Attesa rischiosa</v>
      </c>
    </row>
    <row r="89" customFormat="false" ht="14.25" hidden="false" customHeight="true" outlineLevel="0" collapsed="false">
      <c r="A89" s="21" t="n">
        <v>133</v>
      </c>
      <c r="B89" s="21" t="s">
        <v>43</v>
      </c>
      <c r="C89" s="21" t="s">
        <v>126</v>
      </c>
      <c r="E89" s="26" t="str">
        <f aca="false">IF(COUNTIF('Info Strategia'!$D$2:$D$51,$C89)&gt;0,"SI","NO")</f>
        <v>NO</v>
      </c>
      <c r="F89" s="27" t="n">
        <f aca="false">IFERROR(ROUND(($G89+($H89-$G89)*'Info Strategia'!$B$6)*(1+IF($E89="SI",'Parametri Modello'!$B$7*'Info Strategia'!$B$6,0)),0),"")</f>
        <v>13</v>
      </c>
      <c r="G89" s="27" t="n">
        <f aca="false">IFERROR(ROUND(MAX(1,(IF($V89&lt;=INDEX('Parametri Modello'!$C$57:$C$60,MATCH($B89,'Parametri Modello'!$A$57:$A$60,0)),IF(INDEX('Parametri Modello'!$E$57:$E$60,MATCH($B89,'Parametri Modello'!$A$57:$A$60,0))=0,0,($O89/INDEX('Parametri Modello'!$E$57:$E$60,MATCH($B89,'Parametri Modello'!$A$57:$A$60,0)))*(INDEX('Parametri Modello'!$D$57:$D$60,MATCH($B89,'Parametri Modello'!$A$57:$A$60,0))*(INDEX('Parametri Modello'!$B$50:$B$53,MATCH($B89,'Parametri Modello'!$A$50:$A$53,0))*'Parametri Modello'!$B$44))),IF(INDEX('Parametri Modello'!$F$57:$F$60,MATCH($B89,'Parametri Modello'!$A$57:$A$60,0))=0,0,($O89/INDEX('Parametri Modello'!$F$57:$F$60,MATCH($B89,'Parametri Modello'!$A$57:$A$60,0)))*((1-INDEX('Parametri Modello'!$D$57:$D$60,MATCH($B89,'Parametri Modello'!$A$57:$A$60,0)))*(INDEX('Parametri Modello'!$B$50:$B$53,MATCH($B89,'Parametri Modello'!$A$50:$A$53,0))*'Parametri Modello'!$B$44))))*(1+IF(IF($B89="D",'Info Lega'!$B$25,IF($B89="C",'Info Lega'!$B$26,"No"))="Si",'Parametri Modello'!$B$5,0))*(1+MAX(-0.25,MIN(0.25,IF(OR($T89="",$I89="",$I89=0,INDEX('Parametri Modello'!$B$19:$B$22,MATCH($B89,'Parametri Modello'!$A$19:$A$22,0))="",INDEX('Parametri Modello'!$B$19:$B$22,MATCH($B89,'Parametri Modello'!$A$19:$A$22,0))=0),0,(($T89-INDEX('Parametri Modello'!$B$19:$B$22,MATCH($B89,'Parametri Modello'!$A$19:$A$22,0)))/INDEX('Parametri Modello'!$B$19:$B$22,MATCH($B89,'Parametri Modello'!$A$19:$A$22,0)))*'Parametri Modello'!$B$9))))*(1+IF('Parametri Modello'!$B$27="Si",MAX(-'Parametri Modello'!$B$28,MIN('Parametri Modello'!$B$28*1.5,IF(OR(INDEX('Parametri Modello'!$F$32:$F$35,MATCH($B89,'Parametri Modello'!$A$32:$A$35,0))="",INDEX('Parametri Modello'!$F$32:$F$35,MATCH($B89,'Parametri Modello'!$A$32:$A$35,0))=0),0,(1/INDEX('Parametri Modello'!$F$32:$F$35,MATCH($B89,'Parametri Modello'!$A$32:$A$35,0))-1)*'Parametri Modello'!$B$28))),0)))*(1-INDEX('Parametri Modello'!$B$12:$B$15,MATCH($B89,'Parametri Modello'!$A$12:$A$15,0)))),0),"")</f>
        <v>10</v>
      </c>
      <c r="H89" s="27" t="n">
        <f aca="false">IFERROR(ROUND((IF($V89&lt;=INDEX('Parametri Modello'!$C$57:$C$60,MATCH($B89,'Parametri Modello'!$A$57:$A$60,0)),IF(INDEX('Parametri Modello'!$E$57:$E$60,MATCH($B89,'Parametri Modello'!$A$57:$A$60,0))=0,0,($O89/INDEX('Parametri Modello'!$E$57:$E$60,MATCH($B89,'Parametri Modello'!$A$57:$A$60,0)))*(INDEX('Parametri Modello'!$D$57:$D$60,MATCH($B89,'Parametri Modello'!$A$57:$A$60,0))*(INDEX('Parametri Modello'!$B$50:$B$53,MATCH($B89,'Parametri Modello'!$A$50:$A$53,0))*'Parametri Modello'!$B$44))),IF(INDEX('Parametri Modello'!$F$57:$F$60,MATCH($B89,'Parametri Modello'!$A$57:$A$60,0))=0,0,($O89/INDEX('Parametri Modello'!$F$57:$F$60,MATCH($B89,'Parametri Modello'!$A$57:$A$60,0)))*((1-INDEX('Parametri Modello'!$D$57:$D$60,MATCH($B89,'Parametri Modello'!$A$57:$A$60,0)))*(INDEX('Parametri Modello'!$B$50:$B$53,MATCH($B89,'Parametri Modello'!$A$50:$A$53,0))*'Parametri Modello'!$B$44))))*(1+IF(IF($B89="D",'Info Lega'!$B$25,IF($B89="C",'Info Lega'!$B$26,"No"))="Si",'Parametri Modello'!$B$5,0))*(1+MAX(-0.25,MIN(0.25,IF(OR($T89="",$I89="",$I89=0,INDEX('Parametri Modello'!$B$19:$B$22,MATCH($B89,'Parametri Modello'!$A$19:$A$22,0))="",INDEX('Parametri Modello'!$B$19:$B$22,MATCH($B89,'Parametri Modello'!$A$19:$A$22,0))=0),0,(($T89-INDEX('Parametri Modello'!$B$19:$B$22,MATCH($B89,'Parametri Modello'!$A$19:$A$22,0)))/INDEX('Parametri Modello'!$B$19:$B$22,MATCH($B89,'Parametri Modello'!$A$19:$A$22,0)))*'Parametri Modello'!$B$9))))*(1+IF('Parametri Modello'!$B$27="Si",MAX(-'Parametri Modello'!$B$28,MIN('Parametri Modello'!$B$28*1.5,IF(OR(INDEX('Parametri Modello'!$F$32:$F$35,MATCH($B89,'Parametri Modello'!$A$32:$A$35,0))="",INDEX('Parametri Modello'!$F$32:$F$35,MATCH($B89,'Parametri Modello'!$A$32:$A$35,0))=0),0,(1/INDEX('Parametri Modello'!$F$32:$F$35,MATCH($B89,'Parametri Modello'!$A$32:$A$35,0))-1)*'Parametri Modello'!$B$28))),0)))*(1+INDEX('Parametri Modello'!$B$12:$B$15,MATCH($B89,'Parametri Modello'!$A$12:$A$15,0))),0),"")</f>
        <v>14</v>
      </c>
      <c r="I89" s="26" t="n">
        <f aca="false">IFERROR(INDEX('Input Statistiche 2025_26'!$F$3:$F$665,MATCH($A89,'Input Statistiche 2025_26'!$A$3:$A$665,0)),"")</f>
        <v>18</v>
      </c>
      <c r="J89" s="26" t="n">
        <f aca="false">IFERROR(IF($I89="","",MAX(0,38-$I89)),"")</f>
        <v>20</v>
      </c>
      <c r="K89" s="26" t="n">
        <f aca="false">IFERROR(INDEX('Input Statistiche 2025_26'!$I$3:$I$665,MATCH($A89,'Input Statistiche 2025_26'!$A$3:$A$665,0)),"")</f>
        <v>0</v>
      </c>
      <c r="L89" s="26" t="n">
        <f aca="false">IFERROR(INDEX('Input Statistiche 2025_26'!$O$3:$O$665,MATCH($A89,'Input Statistiche 2025_26'!$A$3:$A$665,0)),"")</f>
        <v>0</v>
      </c>
      <c r="M89" s="28"/>
      <c r="N89" s="27" t="n">
        <f aca="false">IFERROR(INDEX('Input Giocatori 2026_27'!$E$3:$E$493,MATCH($A89,'Input Giocatori 2026_27'!$A$3:$A$493,0)),"")</f>
        <v>10</v>
      </c>
      <c r="O89" s="27" t="n">
        <f aca="false">IFERROR(INDEX('Input Giocatori 2026_27'!$G$3:$G$493,MATCH($A89,'Input Giocatori 2026_27'!$A$3:$A$493,0)),"")</f>
        <v>37</v>
      </c>
      <c r="P89" s="26" t="str">
        <f aca="false">IFERROR(IF($O89="","",IF((1-(COUNTIFS($B$2:$B$492,$B89,$O$2:$O$492,"&gt;"&amp;$O89)+1-1)/COUNTIF($B$2:$B$492,$B89))&gt;=0.85,"Top",IF((1-(COUNTIFS($B$2:$B$492,$B89,$O$2:$O$492,"&gt;"&amp;$O89)+1-1)/COUNTIF($B$2:$B$492,$B89))&gt;=0.6,"Buono",IF((1-(COUNTIFS($B$2:$B$492,$B89,$O$2:$O$492,"&gt;"&amp;$O89)+1-1)/COUNTIF($B$2:$B$492,$B89))&gt;=0.3,"Nella Media","Scommessa/Riserva")))),"")</f>
        <v>Top</v>
      </c>
      <c r="Q89" s="29" t="n">
        <f aca="false">IF($D89="",COUNTIF($D$2:$D89,""),"")</f>
        <v>88</v>
      </c>
      <c r="R89" s="29" t="str">
        <f aca="false">IF($D89='Info Lega'!$B$28,COUNTIFS($D$2:$D89,'Info Lega'!$B$28),"")</f>
        <v/>
      </c>
      <c r="S89" s="30" t="n">
        <f aca="false">IFERROR(INDEX('Input Statistiche 2025_26'!$G$3:$G$665,MATCH($A89,'Input Statistiche 2025_26'!$A$3:$A$665,0)),"")</f>
        <v>6.19</v>
      </c>
      <c r="T89" s="30" t="n">
        <f aca="false">IFERROR(INDEX('Input Statistiche 2025_26'!$H$3:$H$665,MATCH($A89,'Input Statistiche 2025_26'!$A$3:$A$665,0)),"")</f>
        <v>5.28</v>
      </c>
      <c r="U89" s="26" t="str">
        <f aca="false">IF(OR('La Mia Rosa'!$O$12="",$D89&lt;&gt;""),"",IF($F89&lt;='La Mia Rosa'!$O$12*'Parametri Modello'!$B$24,"OK",IF($F89&lt;='La Mia Rosa'!$O$12*'Parametri Modello'!$B$25,"Attenzione","Rischio Alto")))</f>
        <v>OK</v>
      </c>
      <c r="V89" s="26" t="n">
        <f aca="false">IFERROR(COUNTIFS($B$2:$B$492,$B89,$O$2:$O$492,"&gt;"&amp;$O89)+1,"")</f>
        <v>9</v>
      </c>
      <c r="W89" s="21" t="n">
        <f aca="false">'Info Lega'!$B$4-SUMIFS($M$2:$M$492,$D$2:$D$492,'Info Lega'!$B$28)</f>
        <v>1000</v>
      </c>
      <c r="X89" s="21" t="n">
        <f aca="false">('Info Lega'!$B$5-COUNTIFS($D$2:$D$492,'Info Lega'!$B$28,$B$2:$B$492,"P"))+('Info Lega'!$B$6-COUNTIFS($D$2:$D$492,'Info Lega'!$B$28,$B$2:$B$492,"D"))+('Info Lega'!$B$7-COUNTIFS($D$2:$D$492,'Info Lega'!$B$28,$B$2:$B$492,"C"))+('Info Lega'!$B$8-COUNTIFS($D$2:$D$492,'Info Lega'!$B$28,$B$2:$B$492,"A"))</f>
        <v>25</v>
      </c>
      <c r="Y89" s="21" t="n">
        <f aca="false">X89*'Parametri Modello'!$B$30</f>
        <v>25</v>
      </c>
      <c r="Z89" s="21" t="n">
        <f aca="false">MAX(0,W89-Y89)</f>
        <v>975</v>
      </c>
      <c r="AA89" s="21" t="n">
        <f aca="false">MIN(F89,Z89)</f>
        <v>13</v>
      </c>
      <c r="AB89" s="21"/>
      <c r="AC89" s="21" t="str">
        <f aca="false">IF(AB89="","",IF(AB89&gt;AA89,"PASS",IF(AB89&lt;=AA89*0.85,"BID","ATTENZIONE")))</f>
        <v/>
      </c>
      <c r="AD89" s="31" t="n">
        <f aca="false">IF(I89="","",ROUND(100*(1-EXP(-I89/30)),0))</f>
        <v>45</v>
      </c>
      <c r="AE89" s="7" t="str">
        <f aca="false">IFERROR(INDEX('Stato Asta'!$G$9:$G$12,MATCH($B89,'Stato Asta'!$A$9:$A$12,0)),"")</f>
        <v>🟡 Attesa rischiosa</v>
      </c>
    </row>
    <row r="90" customFormat="false" ht="14.25" hidden="false" customHeight="true" outlineLevel="0" collapsed="false">
      <c r="A90" s="21" t="n">
        <v>6844</v>
      </c>
      <c r="B90" s="21" t="s">
        <v>45</v>
      </c>
      <c r="C90" s="21" t="s">
        <v>389</v>
      </c>
      <c r="E90" s="26" t="str">
        <f aca="false">IF(COUNTIF('Info Strategia'!$D$2:$D$51,$C90)&gt;0,"SI","NO")</f>
        <v>NO</v>
      </c>
      <c r="F90" s="27" t="n">
        <f aca="false">IFERROR(ROUND(($G90+($H90-$G90)*'Info Strategia'!$B$6)*(1+IF($E90="SI",'Parametri Modello'!$B$7*'Info Strategia'!$B$6,0)),0),"")</f>
        <v>25</v>
      </c>
      <c r="G90" s="27" t="n">
        <f aca="false">IFERROR(ROUND(MAX(1,(IF($V90&lt;=INDEX('Parametri Modello'!$C$57:$C$60,MATCH($B90,'Parametri Modello'!$A$57:$A$60,0)),IF(INDEX('Parametri Modello'!$E$57:$E$60,MATCH($B90,'Parametri Modello'!$A$57:$A$60,0))=0,0,($O90/INDEX('Parametri Modello'!$E$57:$E$60,MATCH($B90,'Parametri Modello'!$A$57:$A$60,0)))*(INDEX('Parametri Modello'!$D$57:$D$60,MATCH($B90,'Parametri Modello'!$A$57:$A$60,0))*(INDEX('Parametri Modello'!$B$50:$B$53,MATCH($B90,'Parametri Modello'!$A$50:$A$53,0))*'Parametri Modello'!$B$44))),IF(INDEX('Parametri Modello'!$F$57:$F$60,MATCH($B90,'Parametri Modello'!$A$57:$A$60,0))=0,0,($O90/INDEX('Parametri Modello'!$F$57:$F$60,MATCH($B90,'Parametri Modello'!$A$57:$A$60,0)))*((1-INDEX('Parametri Modello'!$D$57:$D$60,MATCH($B90,'Parametri Modello'!$A$57:$A$60,0)))*(INDEX('Parametri Modello'!$B$50:$B$53,MATCH($B90,'Parametri Modello'!$A$50:$A$53,0))*'Parametri Modello'!$B$44))))*(1+IF(IF($B90="D",'Info Lega'!$B$25,IF($B90="C",'Info Lega'!$B$26,"No"))="Si",'Parametri Modello'!$B$5,0))*(1+MAX(-0.25,MIN(0.25,IF(OR($T90="",$I90="",$I90=0,INDEX('Parametri Modello'!$B$19:$B$22,MATCH($B90,'Parametri Modello'!$A$19:$A$22,0))="",INDEX('Parametri Modello'!$B$19:$B$22,MATCH($B90,'Parametri Modello'!$A$19:$A$22,0))=0),0,(($T90-INDEX('Parametri Modello'!$B$19:$B$22,MATCH($B90,'Parametri Modello'!$A$19:$A$22,0)))/INDEX('Parametri Modello'!$B$19:$B$22,MATCH($B90,'Parametri Modello'!$A$19:$A$22,0)))*'Parametri Modello'!$B$9))))*(1+IF('Parametri Modello'!$B$27="Si",MAX(-'Parametri Modello'!$B$28,MIN('Parametri Modello'!$B$28*1.5,IF(OR(INDEX('Parametri Modello'!$F$32:$F$35,MATCH($B90,'Parametri Modello'!$A$32:$A$35,0))="",INDEX('Parametri Modello'!$F$32:$F$35,MATCH($B90,'Parametri Modello'!$A$32:$A$35,0))=0),0,(1/INDEX('Parametri Modello'!$F$32:$F$35,MATCH($B90,'Parametri Modello'!$A$32:$A$35,0))-1)*'Parametri Modello'!$B$28))),0)))*(1-INDEX('Parametri Modello'!$B$12:$B$15,MATCH($B90,'Parametri Modello'!$A$12:$A$15,0)))),0),"")</f>
        <v>17</v>
      </c>
      <c r="H90" s="27" t="n">
        <f aca="false">IFERROR(ROUND((IF($V90&lt;=INDEX('Parametri Modello'!$C$57:$C$60,MATCH($B90,'Parametri Modello'!$A$57:$A$60,0)),IF(INDEX('Parametri Modello'!$E$57:$E$60,MATCH($B90,'Parametri Modello'!$A$57:$A$60,0))=0,0,($O90/INDEX('Parametri Modello'!$E$57:$E$60,MATCH($B90,'Parametri Modello'!$A$57:$A$60,0)))*(INDEX('Parametri Modello'!$D$57:$D$60,MATCH($B90,'Parametri Modello'!$A$57:$A$60,0))*(INDEX('Parametri Modello'!$B$50:$B$53,MATCH($B90,'Parametri Modello'!$A$50:$A$53,0))*'Parametri Modello'!$B$44))),IF(INDEX('Parametri Modello'!$F$57:$F$60,MATCH($B90,'Parametri Modello'!$A$57:$A$60,0))=0,0,($O90/INDEX('Parametri Modello'!$F$57:$F$60,MATCH($B90,'Parametri Modello'!$A$57:$A$60,0)))*((1-INDEX('Parametri Modello'!$D$57:$D$60,MATCH($B90,'Parametri Modello'!$A$57:$A$60,0)))*(INDEX('Parametri Modello'!$B$50:$B$53,MATCH($B90,'Parametri Modello'!$A$50:$A$53,0))*'Parametri Modello'!$B$44))))*(1+IF(IF($B90="D",'Info Lega'!$B$25,IF($B90="C",'Info Lega'!$B$26,"No"))="Si",'Parametri Modello'!$B$5,0))*(1+MAX(-0.25,MIN(0.25,IF(OR($T90="",$I90="",$I90=0,INDEX('Parametri Modello'!$B$19:$B$22,MATCH($B90,'Parametri Modello'!$A$19:$A$22,0))="",INDEX('Parametri Modello'!$B$19:$B$22,MATCH($B90,'Parametri Modello'!$A$19:$A$22,0))=0),0,(($T90-INDEX('Parametri Modello'!$B$19:$B$22,MATCH($B90,'Parametri Modello'!$A$19:$A$22,0)))/INDEX('Parametri Modello'!$B$19:$B$22,MATCH($B90,'Parametri Modello'!$A$19:$A$22,0)))*'Parametri Modello'!$B$9))))*(1+IF('Parametri Modello'!$B$27="Si",MAX(-'Parametri Modello'!$B$28,MIN('Parametri Modello'!$B$28*1.5,IF(OR(INDEX('Parametri Modello'!$F$32:$F$35,MATCH($B90,'Parametri Modello'!$A$32:$A$35,0))="",INDEX('Parametri Modello'!$F$32:$F$35,MATCH($B90,'Parametri Modello'!$A$32:$A$35,0))=0),0,(1/INDEX('Parametri Modello'!$F$32:$F$35,MATCH($B90,'Parametri Modello'!$A$32:$A$35,0))-1)*'Parametri Modello'!$B$28))),0)))*(1+INDEX('Parametri Modello'!$B$12:$B$15,MATCH($B90,'Parametri Modello'!$A$12:$A$15,0))),0),"")</f>
        <v>28</v>
      </c>
      <c r="I90" s="26" t="n">
        <f aca="false">IFERROR(INDEX('Input Statistiche 2025_26'!$F$3:$F$665,MATCH($A90,'Input Statistiche 2025_26'!$A$3:$A$665,0)),"")</f>
        <v>28</v>
      </c>
      <c r="J90" s="26" t="n">
        <f aca="false">IFERROR(IF($I90="","",MAX(0,38-$I90)),"")</f>
        <v>10</v>
      </c>
      <c r="K90" s="26" t="n">
        <f aca="false">IFERROR(INDEX('Input Statistiche 2025_26'!$I$3:$I$665,MATCH($A90,'Input Statistiche 2025_26'!$A$3:$A$665,0)),"")</f>
        <v>3</v>
      </c>
      <c r="L90" s="26" t="n">
        <f aca="false">IFERROR(INDEX('Input Statistiche 2025_26'!$O$3:$O$665,MATCH($A90,'Input Statistiche 2025_26'!$A$3:$A$665,0)),"")</f>
        <v>3</v>
      </c>
      <c r="M90" s="28"/>
      <c r="N90" s="27" t="n">
        <f aca="false">IFERROR(INDEX('Input Giocatori 2026_27'!$E$3:$E$493,MATCH($A90,'Input Giocatori 2026_27'!$A$3:$A$493,0)),"")</f>
        <v>11</v>
      </c>
      <c r="O90" s="27" t="n">
        <f aca="false">IFERROR(INDEX('Input Giocatori 2026_27'!$G$3:$G$493,MATCH($A90,'Input Giocatori 2026_27'!$A$3:$A$493,0)),"")</f>
        <v>37</v>
      </c>
      <c r="P90" s="26" t="str">
        <f aca="false">IFERROR(IF($O90="","",IF((1-(COUNTIFS($B$2:$B$492,$B90,$O$2:$O$492,"&gt;"&amp;$O90)+1-1)/COUNTIF($B$2:$B$492,$B90))&gt;=0.85,"Top",IF((1-(COUNTIFS($B$2:$B$492,$B90,$O$2:$O$492,"&gt;"&amp;$O90)+1-1)/COUNTIF($B$2:$B$492,$B90))&gt;=0.6,"Buono",IF((1-(COUNTIFS($B$2:$B$492,$B90,$O$2:$O$492,"&gt;"&amp;$O90)+1-1)/COUNTIF($B$2:$B$492,$B90))&gt;=0.3,"Nella Media","Scommessa/Riserva")))),"")</f>
        <v>Buono</v>
      </c>
      <c r="Q90" s="29" t="n">
        <f aca="false">IF($D90="",COUNTIF($D$2:$D90,""),"")</f>
        <v>89</v>
      </c>
      <c r="R90" s="29" t="str">
        <f aca="false">IF($D90='Info Lega'!$B$28,COUNTIFS($D$2:$D90,'Info Lega'!$B$28),"")</f>
        <v/>
      </c>
      <c r="S90" s="30" t="n">
        <f aca="false">IFERROR(INDEX('Input Statistiche 2025_26'!$G$3:$G$665,MATCH($A90,'Input Statistiche 2025_26'!$A$3:$A$665,0)),"")</f>
        <v>6.2</v>
      </c>
      <c r="T90" s="30" t="n">
        <f aca="false">IFERROR(INDEX('Input Statistiche 2025_26'!$H$3:$H$665,MATCH($A90,'Input Statistiche 2025_26'!$A$3:$A$665,0)),"")</f>
        <v>6.59</v>
      </c>
      <c r="U90" s="26" t="str">
        <f aca="false">IF(OR('La Mia Rosa'!$O$12="",$D90&lt;&gt;""),"",IF($F90&lt;='La Mia Rosa'!$O$12*'Parametri Modello'!$B$24,"OK",IF($F90&lt;='La Mia Rosa'!$O$12*'Parametri Modello'!$B$25,"Attenzione","Rischio Alto")))</f>
        <v>OK</v>
      </c>
      <c r="V90" s="26" t="n">
        <f aca="false">IFERROR(COUNTIFS($B$2:$B$492,$B90,$O$2:$O$492,"&gt;"&amp;$O90)+1,"")</f>
        <v>32</v>
      </c>
      <c r="W90" s="21" t="n">
        <f aca="false">'Info Lega'!$B$4-SUMIFS($M$2:$M$492,$D$2:$D$492,'Info Lega'!$B$28)</f>
        <v>1000</v>
      </c>
      <c r="X90" s="21" t="n">
        <f aca="false">('Info Lega'!$B$5-COUNTIFS($D$2:$D$492,'Info Lega'!$B$28,$B$2:$B$492,"P"))+('Info Lega'!$B$6-COUNTIFS($D$2:$D$492,'Info Lega'!$B$28,$B$2:$B$492,"D"))+('Info Lega'!$B$7-COUNTIFS($D$2:$D$492,'Info Lega'!$B$28,$B$2:$B$492,"C"))+('Info Lega'!$B$8-COUNTIFS($D$2:$D$492,'Info Lega'!$B$28,$B$2:$B$492,"A"))</f>
        <v>25</v>
      </c>
      <c r="Y90" s="21" t="n">
        <f aca="false">X90*'Parametri Modello'!$B$30</f>
        <v>25</v>
      </c>
      <c r="Z90" s="21" t="n">
        <f aca="false">MAX(0,W90-Y90)</f>
        <v>975</v>
      </c>
      <c r="AA90" s="21" t="n">
        <f aca="false">MIN(F90,Z90)</f>
        <v>25</v>
      </c>
      <c r="AB90" s="21"/>
      <c r="AC90" s="21" t="str">
        <f aca="false">IF(AB90="","",IF(AB90&gt;AA90,"PASS",IF(AB90&lt;=AA90*0.85,"BID","ATTENZIONE")))</f>
        <v/>
      </c>
      <c r="AD90" s="31" t="n">
        <f aca="false">IF(I90="","",ROUND(100*(1-EXP(-I90/30)),0))</f>
        <v>61</v>
      </c>
      <c r="AE90" s="7" t="str">
        <f aca="false">IFERROR(INDEX('Stato Asta'!$G$9:$G$12,MATCH($B90,'Stato Asta'!$A$9:$A$12,0)),"")</f>
        <v>🟡 Attesa rischiosa</v>
      </c>
    </row>
    <row r="91" customFormat="false" ht="14.25" hidden="false" customHeight="true" outlineLevel="0" collapsed="false">
      <c r="A91" s="21" t="n">
        <v>5888</v>
      </c>
      <c r="B91" s="21" t="s">
        <v>45</v>
      </c>
      <c r="C91" s="21" t="s">
        <v>399</v>
      </c>
      <c r="E91" s="26" t="str">
        <f aca="false">IF(COUNTIF('Info Strategia'!$D$2:$D$51,$C91)&gt;0,"SI","NO")</f>
        <v>NO</v>
      </c>
      <c r="F91" s="27" t="n">
        <f aca="false">IFERROR(ROUND(($G91+($H91-$G91)*'Info Strategia'!$B$6)*(1+IF($E91="SI",'Parametri Modello'!$B$7*'Info Strategia'!$B$6,0)),0),"")</f>
        <v>25</v>
      </c>
      <c r="G91" s="27" t="n">
        <f aca="false">IFERROR(ROUND(MAX(1,(IF($V91&lt;=INDEX('Parametri Modello'!$C$57:$C$60,MATCH($B91,'Parametri Modello'!$A$57:$A$60,0)),IF(INDEX('Parametri Modello'!$E$57:$E$60,MATCH($B91,'Parametri Modello'!$A$57:$A$60,0))=0,0,($O91/INDEX('Parametri Modello'!$E$57:$E$60,MATCH($B91,'Parametri Modello'!$A$57:$A$60,0)))*(INDEX('Parametri Modello'!$D$57:$D$60,MATCH($B91,'Parametri Modello'!$A$57:$A$60,0))*(INDEX('Parametri Modello'!$B$50:$B$53,MATCH($B91,'Parametri Modello'!$A$50:$A$53,0))*'Parametri Modello'!$B$44))),IF(INDEX('Parametri Modello'!$F$57:$F$60,MATCH($B91,'Parametri Modello'!$A$57:$A$60,0))=0,0,($O91/INDEX('Parametri Modello'!$F$57:$F$60,MATCH($B91,'Parametri Modello'!$A$57:$A$60,0)))*((1-INDEX('Parametri Modello'!$D$57:$D$60,MATCH($B91,'Parametri Modello'!$A$57:$A$60,0)))*(INDEX('Parametri Modello'!$B$50:$B$53,MATCH($B91,'Parametri Modello'!$A$50:$A$53,0))*'Parametri Modello'!$B$44))))*(1+IF(IF($B91="D",'Info Lega'!$B$25,IF($B91="C",'Info Lega'!$B$26,"No"))="Si",'Parametri Modello'!$B$5,0))*(1+MAX(-0.25,MIN(0.25,IF(OR($T91="",$I91="",$I91=0,INDEX('Parametri Modello'!$B$19:$B$22,MATCH($B91,'Parametri Modello'!$A$19:$A$22,0))="",INDEX('Parametri Modello'!$B$19:$B$22,MATCH($B91,'Parametri Modello'!$A$19:$A$22,0))=0),0,(($T91-INDEX('Parametri Modello'!$B$19:$B$22,MATCH($B91,'Parametri Modello'!$A$19:$A$22,0)))/INDEX('Parametri Modello'!$B$19:$B$22,MATCH($B91,'Parametri Modello'!$A$19:$A$22,0)))*'Parametri Modello'!$B$9))))*(1+IF('Parametri Modello'!$B$27="Si",MAX(-'Parametri Modello'!$B$28,MIN('Parametri Modello'!$B$28*1.5,IF(OR(INDEX('Parametri Modello'!$F$32:$F$35,MATCH($B91,'Parametri Modello'!$A$32:$A$35,0))="",INDEX('Parametri Modello'!$F$32:$F$35,MATCH($B91,'Parametri Modello'!$A$32:$A$35,0))=0),0,(1/INDEX('Parametri Modello'!$F$32:$F$35,MATCH($B91,'Parametri Modello'!$A$32:$A$35,0))-1)*'Parametri Modello'!$B$28))),0)))*(1-INDEX('Parametri Modello'!$B$12:$B$15,MATCH($B91,'Parametri Modello'!$A$12:$A$15,0)))),0),"")</f>
        <v>17</v>
      </c>
      <c r="H91" s="27" t="n">
        <f aca="false">IFERROR(ROUND((IF($V91&lt;=INDEX('Parametri Modello'!$C$57:$C$60,MATCH($B91,'Parametri Modello'!$A$57:$A$60,0)),IF(INDEX('Parametri Modello'!$E$57:$E$60,MATCH($B91,'Parametri Modello'!$A$57:$A$60,0))=0,0,($O91/INDEX('Parametri Modello'!$E$57:$E$60,MATCH($B91,'Parametri Modello'!$A$57:$A$60,0)))*(INDEX('Parametri Modello'!$D$57:$D$60,MATCH($B91,'Parametri Modello'!$A$57:$A$60,0))*(INDEX('Parametri Modello'!$B$50:$B$53,MATCH($B91,'Parametri Modello'!$A$50:$A$53,0))*'Parametri Modello'!$B$44))),IF(INDEX('Parametri Modello'!$F$57:$F$60,MATCH($B91,'Parametri Modello'!$A$57:$A$60,0))=0,0,($O91/INDEX('Parametri Modello'!$F$57:$F$60,MATCH($B91,'Parametri Modello'!$A$57:$A$60,0)))*((1-INDEX('Parametri Modello'!$D$57:$D$60,MATCH($B91,'Parametri Modello'!$A$57:$A$60,0)))*(INDEX('Parametri Modello'!$B$50:$B$53,MATCH($B91,'Parametri Modello'!$A$50:$A$53,0))*'Parametri Modello'!$B$44))))*(1+IF(IF($B91="D",'Info Lega'!$B$25,IF($B91="C",'Info Lega'!$B$26,"No"))="Si",'Parametri Modello'!$B$5,0))*(1+MAX(-0.25,MIN(0.25,IF(OR($T91="",$I91="",$I91=0,INDEX('Parametri Modello'!$B$19:$B$22,MATCH($B91,'Parametri Modello'!$A$19:$A$22,0))="",INDEX('Parametri Modello'!$B$19:$B$22,MATCH($B91,'Parametri Modello'!$A$19:$A$22,0))=0),0,(($T91-INDEX('Parametri Modello'!$B$19:$B$22,MATCH($B91,'Parametri Modello'!$A$19:$A$22,0)))/INDEX('Parametri Modello'!$B$19:$B$22,MATCH($B91,'Parametri Modello'!$A$19:$A$22,0)))*'Parametri Modello'!$B$9))))*(1+IF('Parametri Modello'!$B$27="Si",MAX(-'Parametri Modello'!$B$28,MIN('Parametri Modello'!$B$28*1.5,IF(OR(INDEX('Parametri Modello'!$F$32:$F$35,MATCH($B91,'Parametri Modello'!$A$32:$A$35,0))="",INDEX('Parametri Modello'!$F$32:$F$35,MATCH($B91,'Parametri Modello'!$A$32:$A$35,0))=0),0,(1/INDEX('Parametri Modello'!$F$32:$F$35,MATCH($B91,'Parametri Modello'!$A$32:$A$35,0))-1)*'Parametri Modello'!$B$28))),0)))*(1+INDEX('Parametri Modello'!$B$12:$B$15,MATCH($B91,'Parametri Modello'!$A$12:$A$15,0))),0),"")</f>
        <v>28</v>
      </c>
      <c r="I91" s="26" t="n">
        <f aca="false">IFERROR(INDEX('Input Statistiche 2025_26'!$F$3:$F$665,MATCH($A91,'Input Statistiche 2025_26'!$A$3:$A$665,0)),"")</f>
        <v>32</v>
      </c>
      <c r="J91" s="26" t="n">
        <f aca="false">IFERROR(IF($I91="","",MAX(0,38-$I91)),"")</f>
        <v>6</v>
      </c>
      <c r="K91" s="26" t="n">
        <f aca="false">IFERROR(INDEX('Input Statistiche 2025_26'!$I$3:$I$665,MATCH($A91,'Input Statistiche 2025_26'!$A$3:$A$665,0)),"")</f>
        <v>6</v>
      </c>
      <c r="L91" s="26" t="n">
        <f aca="false">IFERROR(INDEX('Input Statistiche 2025_26'!$O$3:$O$665,MATCH($A91,'Input Statistiche 2025_26'!$A$3:$A$665,0)),"")</f>
        <v>0</v>
      </c>
      <c r="M91" s="28"/>
      <c r="N91" s="27" t="n">
        <f aca="false">IFERROR(INDEX('Input Giocatori 2026_27'!$E$3:$E$493,MATCH($A91,'Input Giocatori 2026_27'!$A$3:$A$493,0)),"")</f>
        <v>10</v>
      </c>
      <c r="O91" s="27" t="n">
        <f aca="false">IFERROR(INDEX('Input Giocatori 2026_27'!$G$3:$G$493,MATCH($A91,'Input Giocatori 2026_27'!$A$3:$A$493,0)),"")</f>
        <v>37</v>
      </c>
      <c r="P91" s="26" t="str">
        <f aca="false">IFERROR(IF($O91="","",IF((1-(COUNTIFS($B$2:$B$492,$B91,$O$2:$O$492,"&gt;"&amp;$O91)+1-1)/COUNTIF($B$2:$B$492,$B91))&gt;=0.85,"Top",IF((1-(COUNTIFS($B$2:$B$492,$B91,$O$2:$O$492,"&gt;"&amp;$O91)+1-1)/COUNTIF($B$2:$B$492,$B91))&gt;=0.6,"Buono",IF((1-(COUNTIFS($B$2:$B$492,$B91,$O$2:$O$492,"&gt;"&amp;$O91)+1-1)/COUNTIF($B$2:$B$492,$B91))&gt;=0.3,"Nella Media","Scommessa/Riserva")))),"")</f>
        <v>Buono</v>
      </c>
      <c r="Q91" s="29" t="n">
        <f aca="false">IF($D91="",COUNTIF($D$2:$D91,""),"")</f>
        <v>90</v>
      </c>
      <c r="R91" s="29" t="str">
        <f aca="false">IF($D91='Info Lega'!$B$28,COUNTIFS($D$2:$D91,'Info Lega'!$B$28),"")</f>
        <v/>
      </c>
      <c r="S91" s="30" t="n">
        <f aca="false">IFERROR(INDEX('Input Statistiche 2025_26'!$G$3:$G$665,MATCH($A91,'Input Statistiche 2025_26'!$A$3:$A$665,0)),"")</f>
        <v>5.97</v>
      </c>
      <c r="T91" s="30" t="n">
        <f aca="false">IFERROR(INDEX('Input Statistiche 2025_26'!$H$3:$H$665,MATCH($A91,'Input Statistiche 2025_26'!$A$3:$A$665,0)),"")</f>
        <v>6.45</v>
      </c>
      <c r="U91" s="26" t="str">
        <f aca="false">IF(OR('La Mia Rosa'!$O$12="",$D91&lt;&gt;""),"",IF($F91&lt;='La Mia Rosa'!$O$12*'Parametri Modello'!$B$24,"OK",IF($F91&lt;='La Mia Rosa'!$O$12*'Parametri Modello'!$B$25,"Attenzione","Rischio Alto")))</f>
        <v>OK</v>
      </c>
      <c r="V91" s="26" t="n">
        <f aca="false">IFERROR(COUNTIFS($B$2:$B$492,$B91,$O$2:$O$492,"&gt;"&amp;$O91)+1,"")</f>
        <v>32</v>
      </c>
      <c r="W91" s="21" t="n">
        <f aca="false">'Info Lega'!$B$4-SUMIFS($M$2:$M$492,$D$2:$D$492,'Info Lega'!$B$28)</f>
        <v>1000</v>
      </c>
      <c r="X91" s="21" t="n">
        <f aca="false">('Info Lega'!$B$5-COUNTIFS($D$2:$D$492,'Info Lega'!$B$28,$B$2:$B$492,"P"))+('Info Lega'!$B$6-COUNTIFS($D$2:$D$492,'Info Lega'!$B$28,$B$2:$B$492,"D"))+('Info Lega'!$B$7-COUNTIFS($D$2:$D$492,'Info Lega'!$B$28,$B$2:$B$492,"C"))+('Info Lega'!$B$8-COUNTIFS($D$2:$D$492,'Info Lega'!$B$28,$B$2:$B$492,"A"))</f>
        <v>25</v>
      </c>
      <c r="Y91" s="21" t="n">
        <f aca="false">X91*'Parametri Modello'!$B$30</f>
        <v>25</v>
      </c>
      <c r="Z91" s="21" t="n">
        <f aca="false">MAX(0,W91-Y91)</f>
        <v>975</v>
      </c>
      <c r="AA91" s="21" t="n">
        <f aca="false">MIN(F91,Z91)</f>
        <v>25</v>
      </c>
      <c r="AB91" s="21"/>
      <c r="AC91" s="21" t="str">
        <f aca="false">IF(AB91="","",IF(AB91&gt;AA91,"PASS",IF(AB91&lt;=AA91*0.85,"BID","ATTENZIONE")))</f>
        <v/>
      </c>
      <c r="AD91" s="31" t="n">
        <f aca="false">IF(I91="","",ROUND(100*(1-EXP(-I91/30)),0))</f>
        <v>66</v>
      </c>
      <c r="AE91" s="7" t="str">
        <f aca="false">IFERROR(INDEX('Stato Asta'!$G$9:$G$12,MATCH($B91,'Stato Asta'!$A$9:$A$12,0)),"")</f>
        <v>🟡 Attesa rischiosa</v>
      </c>
    </row>
    <row r="92" customFormat="false" ht="14.25" hidden="false" customHeight="true" outlineLevel="0" collapsed="false">
      <c r="A92" s="21" t="n">
        <v>6274</v>
      </c>
      <c r="B92" s="21" t="s">
        <v>45</v>
      </c>
      <c r="C92" s="21" t="s">
        <v>411</v>
      </c>
      <c r="E92" s="26" t="str">
        <f aca="false">IF(COUNTIF('Info Strategia'!$D$2:$D$51,$C92)&gt;0,"SI","NO")</f>
        <v>NO</v>
      </c>
      <c r="F92" s="27" t="n">
        <f aca="false">IFERROR(ROUND(($G92+($H92-$G92)*'Info Strategia'!$B$6)*(1+IF($E92="SI",'Parametri Modello'!$B$7*'Info Strategia'!$B$6,0)),0),"")</f>
        <v>25</v>
      </c>
      <c r="G92" s="27" t="n">
        <f aca="false">IFERROR(ROUND(MAX(1,(IF($V92&lt;=INDEX('Parametri Modello'!$C$57:$C$60,MATCH($B92,'Parametri Modello'!$A$57:$A$60,0)),IF(INDEX('Parametri Modello'!$E$57:$E$60,MATCH($B92,'Parametri Modello'!$A$57:$A$60,0))=0,0,($O92/INDEX('Parametri Modello'!$E$57:$E$60,MATCH($B92,'Parametri Modello'!$A$57:$A$60,0)))*(INDEX('Parametri Modello'!$D$57:$D$60,MATCH($B92,'Parametri Modello'!$A$57:$A$60,0))*(INDEX('Parametri Modello'!$B$50:$B$53,MATCH($B92,'Parametri Modello'!$A$50:$A$53,0))*'Parametri Modello'!$B$44))),IF(INDEX('Parametri Modello'!$F$57:$F$60,MATCH($B92,'Parametri Modello'!$A$57:$A$60,0))=0,0,($O92/INDEX('Parametri Modello'!$F$57:$F$60,MATCH($B92,'Parametri Modello'!$A$57:$A$60,0)))*((1-INDEX('Parametri Modello'!$D$57:$D$60,MATCH($B92,'Parametri Modello'!$A$57:$A$60,0)))*(INDEX('Parametri Modello'!$B$50:$B$53,MATCH($B92,'Parametri Modello'!$A$50:$A$53,0))*'Parametri Modello'!$B$44))))*(1+IF(IF($B92="D",'Info Lega'!$B$25,IF($B92="C",'Info Lega'!$B$26,"No"))="Si",'Parametri Modello'!$B$5,0))*(1+MAX(-0.25,MIN(0.25,IF(OR($T92="",$I92="",$I92=0,INDEX('Parametri Modello'!$B$19:$B$22,MATCH($B92,'Parametri Modello'!$A$19:$A$22,0))="",INDEX('Parametri Modello'!$B$19:$B$22,MATCH($B92,'Parametri Modello'!$A$19:$A$22,0))=0),0,(($T92-INDEX('Parametri Modello'!$B$19:$B$22,MATCH($B92,'Parametri Modello'!$A$19:$A$22,0)))/INDEX('Parametri Modello'!$B$19:$B$22,MATCH($B92,'Parametri Modello'!$A$19:$A$22,0)))*'Parametri Modello'!$B$9))))*(1+IF('Parametri Modello'!$B$27="Si",MAX(-'Parametri Modello'!$B$28,MIN('Parametri Modello'!$B$28*1.5,IF(OR(INDEX('Parametri Modello'!$F$32:$F$35,MATCH($B92,'Parametri Modello'!$A$32:$A$35,0))="",INDEX('Parametri Modello'!$F$32:$F$35,MATCH($B92,'Parametri Modello'!$A$32:$A$35,0))=0),0,(1/INDEX('Parametri Modello'!$F$32:$F$35,MATCH($B92,'Parametri Modello'!$A$32:$A$35,0))-1)*'Parametri Modello'!$B$28))),0)))*(1-INDEX('Parametri Modello'!$B$12:$B$15,MATCH($B92,'Parametri Modello'!$A$12:$A$15,0)))),0),"")</f>
        <v>17</v>
      </c>
      <c r="H92" s="27" t="n">
        <f aca="false">IFERROR(ROUND((IF($V92&lt;=INDEX('Parametri Modello'!$C$57:$C$60,MATCH($B92,'Parametri Modello'!$A$57:$A$60,0)),IF(INDEX('Parametri Modello'!$E$57:$E$60,MATCH($B92,'Parametri Modello'!$A$57:$A$60,0))=0,0,($O92/INDEX('Parametri Modello'!$E$57:$E$60,MATCH($B92,'Parametri Modello'!$A$57:$A$60,0)))*(INDEX('Parametri Modello'!$D$57:$D$60,MATCH($B92,'Parametri Modello'!$A$57:$A$60,0))*(INDEX('Parametri Modello'!$B$50:$B$53,MATCH($B92,'Parametri Modello'!$A$50:$A$53,0))*'Parametri Modello'!$B$44))),IF(INDEX('Parametri Modello'!$F$57:$F$60,MATCH($B92,'Parametri Modello'!$A$57:$A$60,0))=0,0,($O92/INDEX('Parametri Modello'!$F$57:$F$60,MATCH($B92,'Parametri Modello'!$A$57:$A$60,0)))*((1-INDEX('Parametri Modello'!$D$57:$D$60,MATCH($B92,'Parametri Modello'!$A$57:$A$60,0)))*(INDEX('Parametri Modello'!$B$50:$B$53,MATCH($B92,'Parametri Modello'!$A$50:$A$53,0))*'Parametri Modello'!$B$44))))*(1+IF(IF($B92="D",'Info Lega'!$B$25,IF($B92="C",'Info Lega'!$B$26,"No"))="Si",'Parametri Modello'!$B$5,0))*(1+MAX(-0.25,MIN(0.25,IF(OR($T92="",$I92="",$I92=0,INDEX('Parametri Modello'!$B$19:$B$22,MATCH($B92,'Parametri Modello'!$A$19:$A$22,0))="",INDEX('Parametri Modello'!$B$19:$B$22,MATCH($B92,'Parametri Modello'!$A$19:$A$22,0))=0),0,(($T92-INDEX('Parametri Modello'!$B$19:$B$22,MATCH($B92,'Parametri Modello'!$A$19:$A$22,0)))/INDEX('Parametri Modello'!$B$19:$B$22,MATCH($B92,'Parametri Modello'!$A$19:$A$22,0)))*'Parametri Modello'!$B$9))))*(1+IF('Parametri Modello'!$B$27="Si",MAX(-'Parametri Modello'!$B$28,MIN('Parametri Modello'!$B$28*1.5,IF(OR(INDEX('Parametri Modello'!$F$32:$F$35,MATCH($B92,'Parametri Modello'!$A$32:$A$35,0))="",INDEX('Parametri Modello'!$F$32:$F$35,MATCH($B92,'Parametri Modello'!$A$32:$A$35,0))=0),0,(1/INDEX('Parametri Modello'!$F$32:$F$35,MATCH($B92,'Parametri Modello'!$A$32:$A$35,0))-1)*'Parametri Modello'!$B$28))),0)))*(1+INDEX('Parametri Modello'!$B$12:$B$15,MATCH($B92,'Parametri Modello'!$A$12:$A$15,0))),0),"")</f>
        <v>28</v>
      </c>
      <c r="I92" s="26" t="n">
        <f aca="false">IFERROR(INDEX('Input Statistiche 2025_26'!$F$3:$F$665,MATCH($A92,'Input Statistiche 2025_26'!$A$3:$A$665,0)),"")</f>
        <v>10</v>
      </c>
      <c r="J92" s="26" t="n">
        <f aca="false">IFERROR(IF($I92="","",MAX(0,38-$I92)),"")</f>
        <v>28</v>
      </c>
      <c r="K92" s="26" t="n">
        <f aca="false">IFERROR(INDEX('Input Statistiche 2025_26'!$I$3:$I$665,MATCH($A92,'Input Statistiche 2025_26'!$A$3:$A$665,0)),"")</f>
        <v>1</v>
      </c>
      <c r="L92" s="26" t="n">
        <f aca="false">IFERROR(INDEX('Input Statistiche 2025_26'!$O$3:$O$665,MATCH($A92,'Input Statistiche 2025_26'!$A$3:$A$665,0)),"")</f>
        <v>0</v>
      </c>
      <c r="M92" s="28"/>
      <c r="N92" s="27" t="n">
        <f aca="false">IFERROR(INDEX('Input Giocatori 2026_27'!$E$3:$E$493,MATCH($A92,'Input Giocatori 2026_27'!$A$3:$A$493,0)),"")</f>
        <v>8</v>
      </c>
      <c r="O92" s="27" t="n">
        <f aca="false">IFERROR(INDEX('Input Giocatori 2026_27'!$G$3:$G$493,MATCH($A92,'Input Giocatori 2026_27'!$A$3:$A$493,0)),"")</f>
        <v>37</v>
      </c>
      <c r="P92" s="26" t="str">
        <f aca="false">IFERROR(IF($O92="","",IF((1-(COUNTIFS($B$2:$B$492,$B92,$O$2:$O$492,"&gt;"&amp;$O92)+1-1)/COUNTIF($B$2:$B$492,$B92))&gt;=0.85,"Top",IF((1-(COUNTIFS($B$2:$B$492,$B92,$O$2:$O$492,"&gt;"&amp;$O92)+1-1)/COUNTIF($B$2:$B$492,$B92))&gt;=0.6,"Buono",IF((1-(COUNTIFS($B$2:$B$492,$B92,$O$2:$O$492,"&gt;"&amp;$O92)+1-1)/COUNTIF($B$2:$B$492,$B92))&gt;=0.3,"Nella Media","Scommessa/Riserva")))),"")</f>
        <v>Buono</v>
      </c>
      <c r="Q92" s="29" t="n">
        <f aca="false">IF($D92="",COUNTIF($D$2:$D92,""),"")</f>
        <v>91</v>
      </c>
      <c r="R92" s="29" t="str">
        <f aca="false">IF($D92='Info Lega'!$B$28,COUNTIFS($D$2:$D92,'Info Lega'!$B$28),"")</f>
        <v/>
      </c>
      <c r="S92" s="30" t="n">
        <f aca="false">IFERROR(INDEX('Input Statistiche 2025_26'!$G$3:$G$665,MATCH($A92,'Input Statistiche 2025_26'!$A$3:$A$665,0)),"")</f>
        <v>6.15</v>
      </c>
      <c r="T92" s="30" t="n">
        <f aca="false">IFERROR(INDEX('Input Statistiche 2025_26'!$H$3:$H$665,MATCH($A92,'Input Statistiche 2025_26'!$A$3:$A$665,0)),"")</f>
        <v>6.45</v>
      </c>
      <c r="U92" s="26" t="str">
        <f aca="false">IF(OR('La Mia Rosa'!$O$12="",$D92&lt;&gt;""),"",IF($F92&lt;='La Mia Rosa'!$O$12*'Parametri Modello'!$B$24,"OK",IF($F92&lt;='La Mia Rosa'!$O$12*'Parametri Modello'!$B$25,"Attenzione","Rischio Alto")))</f>
        <v>OK</v>
      </c>
      <c r="V92" s="26" t="n">
        <f aca="false">IFERROR(COUNTIFS($B$2:$B$492,$B92,$O$2:$O$492,"&gt;"&amp;$O92)+1,"")</f>
        <v>32</v>
      </c>
      <c r="W92" s="21" t="n">
        <f aca="false">'Info Lega'!$B$4-SUMIFS($M$2:$M$492,$D$2:$D$492,'Info Lega'!$B$28)</f>
        <v>1000</v>
      </c>
      <c r="X92" s="21" t="n">
        <f aca="false">('Info Lega'!$B$5-COUNTIFS($D$2:$D$492,'Info Lega'!$B$28,$B$2:$B$492,"P"))+('Info Lega'!$B$6-COUNTIFS($D$2:$D$492,'Info Lega'!$B$28,$B$2:$B$492,"D"))+('Info Lega'!$B$7-COUNTIFS($D$2:$D$492,'Info Lega'!$B$28,$B$2:$B$492,"C"))+('Info Lega'!$B$8-COUNTIFS($D$2:$D$492,'Info Lega'!$B$28,$B$2:$B$492,"A"))</f>
        <v>25</v>
      </c>
      <c r="Y92" s="21" t="n">
        <f aca="false">X92*'Parametri Modello'!$B$30</f>
        <v>25</v>
      </c>
      <c r="Z92" s="21" t="n">
        <f aca="false">MAX(0,W92-Y92)</f>
        <v>975</v>
      </c>
      <c r="AA92" s="21" t="n">
        <f aca="false">MIN(F92,Z92)</f>
        <v>25</v>
      </c>
      <c r="AB92" s="21"/>
      <c r="AC92" s="21" t="str">
        <f aca="false">IF(AB92="","",IF(AB92&gt;AA92,"PASS",IF(AB92&lt;=AA92*0.85,"BID","ATTENZIONE")))</f>
        <v/>
      </c>
      <c r="AD92" s="31" t="n">
        <f aca="false">IF(I92="","",ROUND(100*(1-EXP(-I92/30)),0))</f>
        <v>28</v>
      </c>
      <c r="AE92" s="7" t="str">
        <f aca="false">IFERROR(INDEX('Stato Asta'!$G$9:$G$12,MATCH($B92,'Stato Asta'!$A$9:$A$12,0)),"")</f>
        <v>🟡 Attesa rischiosa</v>
      </c>
    </row>
    <row r="93" customFormat="false" ht="14.25" hidden="false" customHeight="true" outlineLevel="0" collapsed="false">
      <c r="A93" s="21" t="n">
        <v>6666</v>
      </c>
      <c r="B93" s="21" t="s">
        <v>45</v>
      </c>
      <c r="C93" s="21" t="s">
        <v>425</v>
      </c>
      <c r="E93" s="26" t="str">
        <f aca="false">IF(COUNTIF('Info Strategia'!$D$2:$D$51,$C93)&gt;0,"SI","NO")</f>
        <v>NO</v>
      </c>
      <c r="F93" s="27" t="n">
        <f aca="false">IFERROR(ROUND(($G93+($H93-$G93)*'Info Strategia'!$B$6)*(1+IF($E93="SI",'Parametri Modello'!$B$7*'Info Strategia'!$B$6,0)),0),"")</f>
        <v>4</v>
      </c>
      <c r="G93" s="27" t="n">
        <f aca="false">IFERROR(ROUND(MAX(1,(IF($V93&lt;=INDEX('Parametri Modello'!$C$57:$C$60,MATCH($B93,'Parametri Modello'!$A$57:$A$60,0)),IF(INDEX('Parametri Modello'!$E$57:$E$60,MATCH($B93,'Parametri Modello'!$A$57:$A$60,0))=0,0,($O93/INDEX('Parametri Modello'!$E$57:$E$60,MATCH($B93,'Parametri Modello'!$A$57:$A$60,0)))*(INDEX('Parametri Modello'!$D$57:$D$60,MATCH($B93,'Parametri Modello'!$A$57:$A$60,0))*(INDEX('Parametri Modello'!$B$50:$B$53,MATCH($B93,'Parametri Modello'!$A$50:$A$53,0))*'Parametri Modello'!$B$44))),IF(INDEX('Parametri Modello'!$F$57:$F$60,MATCH($B93,'Parametri Modello'!$A$57:$A$60,0))=0,0,($O93/INDEX('Parametri Modello'!$F$57:$F$60,MATCH($B93,'Parametri Modello'!$A$57:$A$60,0)))*((1-INDEX('Parametri Modello'!$D$57:$D$60,MATCH($B93,'Parametri Modello'!$A$57:$A$60,0)))*(INDEX('Parametri Modello'!$B$50:$B$53,MATCH($B93,'Parametri Modello'!$A$50:$A$53,0))*'Parametri Modello'!$B$44))))*(1+IF(IF($B93="D",'Info Lega'!$B$25,IF($B93="C",'Info Lega'!$B$26,"No"))="Si",'Parametri Modello'!$B$5,0))*(1+MAX(-0.25,MIN(0.25,IF(OR($T93="",$I93="",$I93=0,INDEX('Parametri Modello'!$B$19:$B$22,MATCH($B93,'Parametri Modello'!$A$19:$A$22,0))="",INDEX('Parametri Modello'!$B$19:$B$22,MATCH($B93,'Parametri Modello'!$A$19:$A$22,0))=0),0,(($T93-INDEX('Parametri Modello'!$B$19:$B$22,MATCH($B93,'Parametri Modello'!$A$19:$A$22,0)))/INDEX('Parametri Modello'!$B$19:$B$22,MATCH($B93,'Parametri Modello'!$A$19:$A$22,0)))*'Parametri Modello'!$B$9))))*(1+IF('Parametri Modello'!$B$27="Si",MAX(-'Parametri Modello'!$B$28,MIN('Parametri Modello'!$B$28*1.5,IF(OR(INDEX('Parametri Modello'!$F$32:$F$35,MATCH($B93,'Parametri Modello'!$A$32:$A$35,0))="",INDEX('Parametri Modello'!$F$32:$F$35,MATCH($B93,'Parametri Modello'!$A$32:$A$35,0))=0),0,(1/INDEX('Parametri Modello'!$F$32:$F$35,MATCH($B93,'Parametri Modello'!$A$32:$A$35,0))-1)*'Parametri Modello'!$B$28))),0)))*(1-INDEX('Parametri Modello'!$B$12:$B$15,MATCH($B93,'Parametri Modello'!$A$12:$A$15,0)))),0),"")</f>
        <v>3</v>
      </c>
      <c r="H93" s="27" t="n">
        <f aca="false">IFERROR(ROUND((IF($V93&lt;=INDEX('Parametri Modello'!$C$57:$C$60,MATCH($B93,'Parametri Modello'!$A$57:$A$60,0)),IF(INDEX('Parametri Modello'!$E$57:$E$60,MATCH($B93,'Parametri Modello'!$A$57:$A$60,0))=0,0,($O93/INDEX('Parametri Modello'!$E$57:$E$60,MATCH($B93,'Parametri Modello'!$A$57:$A$60,0)))*(INDEX('Parametri Modello'!$D$57:$D$60,MATCH($B93,'Parametri Modello'!$A$57:$A$60,0))*(INDEX('Parametri Modello'!$B$50:$B$53,MATCH($B93,'Parametri Modello'!$A$50:$A$53,0))*'Parametri Modello'!$B$44))),IF(INDEX('Parametri Modello'!$F$57:$F$60,MATCH($B93,'Parametri Modello'!$A$57:$A$60,0))=0,0,($O93/INDEX('Parametri Modello'!$F$57:$F$60,MATCH($B93,'Parametri Modello'!$A$57:$A$60,0)))*((1-INDEX('Parametri Modello'!$D$57:$D$60,MATCH($B93,'Parametri Modello'!$A$57:$A$60,0)))*(INDEX('Parametri Modello'!$B$50:$B$53,MATCH($B93,'Parametri Modello'!$A$50:$A$53,0))*'Parametri Modello'!$B$44))))*(1+IF(IF($B93="D",'Info Lega'!$B$25,IF($B93="C",'Info Lega'!$B$26,"No"))="Si",'Parametri Modello'!$B$5,0))*(1+MAX(-0.25,MIN(0.25,IF(OR($T93="",$I93="",$I93=0,INDEX('Parametri Modello'!$B$19:$B$22,MATCH($B93,'Parametri Modello'!$A$19:$A$22,0))="",INDEX('Parametri Modello'!$B$19:$B$22,MATCH($B93,'Parametri Modello'!$A$19:$A$22,0))=0),0,(($T93-INDEX('Parametri Modello'!$B$19:$B$22,MATCH($B93,'Parametri Modello'!$A$19:$A$22,0)))/INDEX('Parametri Modello'!$B$19:$B$22,MATCH($B93,'Parametri Modello'!$A$19:$A$22,0)))*'Parametri Modello'!$B$9))))*(1+IF('Parametri Modello'!$B$27="Si",MAX(-'Parametri Modello'!$B$28,MIN('Parametri Modello'!$B$28*1.5,IF(OR(INDEX('Parametri Modello'!$F$32:$F$35,MATCH($B93,'Parametri Modello'!$A$32:$A$35,0))="",INDEX('Parametri Modello'!$F$32:$F$35,MATCH($B93,'Parametri Modello'!$A$32:$A$35,0))=0),0,(1/INDEX('Parametri Modello'!$F$32:$F$35,MATCH($B93,'Parametri Modello'!$A$32:$A$35,0))-1)*'Parametri Modello'!$B$28))),0)))*(1+INDEX('Parametri Modello'!$B$12:$B$15,MATCH($B93,'Parametri Modello'!$A$12:$A$15,0))),0),"")</f>
        <v>5</v>
      </c>
      <c r="I93" s="26" t="n">
        <f aca="false">IFERROR(INDEX('Input Statistiche 2025_26'!$F$3:$F$665,MATCH($A93,'Input Statistiche 2025_26'!$A$3:$A$665,0)),"")</f>
        <v>32</v>
      </c>
      <c r="J93" s="26" t="n">
        <f aca="false">IFERROR(IF($I93="","",MAX(0,38-$I93)),"")</f>
        <v>6</v>
      </c>
      <c r="K93" s="26" t="n">
        <f aca="false">IFERROR(INDEX('Input Statistiche 2025_26'!$I$3:$I$665,MATCH($A93,'Input Statistiche 2025_26'!$A$3:$A$665,0)),"")</f>
        <v>3</v>
      </c>
      <c r="L93" s="26" t="n">
        <f aca="false">IFERROR(INDEX('Input Statistiche 2025_26'!$O$3:$O$665,MATCH($A93,'Input Statistiche 2025_26'!$A$3:$A$665,0)),"")</f>
        <v>1</v>
      </c>
      <c r="M93" s="28"/>
      <c r="N93" s="27" t="n">
        <f aca="false">IFERROR(INDEX('Input Giocatori 2026_27'!$E$3:$E$493,MATCH($A93,'Input Giocatori 2026_27'!$A$3:$A$493,0)),"")</f>
        <v>7</v>
      </c>
      <c r="O93" s="27" t="n">
        <f aca="false">IFERROR(INDEX('Input Giocatori 2026_27'!$G$3:$G$493,MATCH($A93,'Input Giocatori 2026_27'!$A$3:$A$493,0)),"")</f>
        <v>36</v>
      </c>
      <c r="P93" s="26" t="str">
        <f aca="false">IFERROR(IF($O93="","",IF((1-(COUNTIFS($B$2:$B$492,$B93,$O$2:$O$492,"&gt;"&amp;$O93)+1-1)/COUNTIF($B$2:$B$492,$B93))&gt;=0.85,"Top",IF((1-(COUNTIFS($B$2:$B$492,$B93,$O$2:$O$492,"&gt;"&amp;$O93)+1-1)/COUNTIF($B$2:$B$492,$B93))&gt;=0.6,"Buono",IF((1-(COUNTIFS($B$2:$B$492,$B93,$O$2:$O$492,"&gt;"&amp;$O93)+1-1)/COUNTIF($B$2:$B$492,$B93))&gt;=0.3,"Nella Media","Scommessa/Riserva")))),"")</f>
        <v>Buono</v>
      </c>
      <c r="Q93" s="29" t="n">
        <f aca="false">IF($D93="",COUNTIF($D$2:$D93,""),"")</f>
        <v>92</v>
      </c>
      <c r="R93" s="29" t="str">
        <f aca="false">IF($D93='Info Lega'!$B$28,COUNTIFS($D$2:$D93,'Info Lega'!$B$28),"")</f>
        <v/>
      </c>
      <c r="S93" s="30" t="n">
        <f aca="false">IFERROR(INDEX('Input Statistiche 2025_26'!$G$3:$G$665,MATCH($A93,'Input Statistiche 2025_26'!$A$3:$A$665,0)),"")</f>
        <v>6.17</v>
      </c>
      <c r="T93" s="30" t="n">
        <f aca="false">IFERROR(INDEX('Input Statistiche 2025_26'!$H$3:$H$665,MATCH($A93,'Input Statistiche 2025_26'!$A$3:$A$665,0)),"")</f>
        <v>6.48</v>
      </c>
      <c r="U93" s="26" t="str">
        <f aca="false">IF(OR('La Mia Rosa'!$O$12="",$D93&lt;&gt;""),"",IF($F93&lt;='La Mia Rosa'!$O$12*'Parametri Modello'!$B$24,"OK",IF($F93&lt;='La Mia Rosa'!$O$12*'Parametri Modello'!$B$25,"Attenzione","Rischio Alto")))</f>
        <v>OK</v>
      </c>
      <c r="V93" s="26" t="n">
        <f aca="false">IFERROR(COUNTIFS($B$2:$B$492,$B93,$O$2:$O$492,"&gt;"&amp;$O93)+1,"")</f>
        <v>35</v>
      </c>
      <c r="W93" s="21" t="n">
        <f aca="false">'Info Lega'!$B$4-SUMIFS($M$2:$M$492,$D$2:$D$492,'Info Lega'!$B$28)</f>
        <v>1000</v>
      </c>
      <c r="X93" s="21" t="n">
        <f aca="false">('Info Lega'!$B$5-COUNTIFS($D$2:$D$492,'Info Lega'!$B$28,$B$2:$B$492,"P"))+('Info Lega'!$B$6-COUNTIFS($D$2:$D$492,'Info Lega'!$B$28,$B$2:$B$492,"D"))+('Info Lega'!$B$7-COUNTIFS($D$2:$D$492,'Info Lega'!$B$28,$B$2:$B$492,"C"))+('Info Lega'!$B$8-COUNTIFS($D$2:$D$492,'Info Lega'!$B$28,$B$2:$B$492,"A"))</f>
        <v>25</v>
      </c>
      <c r="Y93" s="21" t="n">
        <f aca="false">X93*'Parametri Modello'!$B$30</f>
        <v>25</v>
      </c>
      <c r="Z93" s="21" t="n">
        <f aca="false">MAX(0,W93-Y93)</f>
        <v>975</v>
      </c>
      <c r="AA93" s="21" t="n">
        <f aca="false">MIN(F93,Z93)</f>
        <v>4</v>
      </c>
      <c r="AB93" s="21"/>
      <c r="AC93" s="21" t="str">
        <f aca="false">IF(AB93="","",IF(AB93&gt;AA93,"PASS",IF(AB93&lt;=AA93*0.85,"BID","ATTENZIONE")))</f>
        <v/>
      </c>
      <c r="AD93" s="31" t="n">
        <f aca="false">IF(I93="","",ROUND(100*(1-EXP(-I93/30)),0))</f>
        <v>66</v>
      </c>
      <c r="AE93" s="7" t="str">
        <f aca="false">IFERROR(INDEX('Stato Asta'!$G$9:$G$12,MATCH($B93,'Stato Asta'!$A$9:$A$12,0)),"")</f>
        <v>🟡 Attesa rischiosa</v>
      </c>
    </row>
    <row r="94" customFormat="false" ht="14.25" hidden="false" customHeight="true" outlineLevel="0" collapsed="false">
      <c r="A94" s="21" t="n">
        <v>7223</v>
      </c>
      <c r="B94" s="21" t="s">
        <v>45</v>
      </c>
      <c r="C94" s="21" t="s">
        <v>415</v>
      </c>
      <c r="E94" s="26" t="str">
        <f aca="false">IF(COUNTIF('Info Strategia'!$D$2:$D$51,$C94)&gt;0,"SI","NO")</f>
        <v>NO</v>
      </c>
      <c r="F94" s="27" t="n">
        <f aca="false">IFERROR(ROUND(($G94+($H94-$G94)*'Info Strategia'!$B$6)*(1+IF($E94="SI",'Parametri Modello'!$B$7*'Info Strategia'!$B$6,0)),0),"")</f>
        <v>4</v>
      </c>
      <c r="G94" s="27" t="n">
        <f aca="false">IFERROR(ROUND(MAX(1,(IF($V94&lt;=INDEX('Parametri Modello'!$C$57:$C$60,MATCH($B94,'Parametri Modello'!$A$57:$A$60,0)),IF(INDEX('Parametri Modello'!$E$57:$E$60,MATCH($B94,'Parametri Modello'!$A$57:$A$60,0))=0,0,($O94/INDEX('Parametri Modello'!$E$57:$E$60,MATCH($B94,'Parametri Modello'!$A$57:$A$60,0)))*(INDEX('Parametri Modello'!$D$57:$D$60,MATCH($B94,'Parametri Modello'!$A$57:$A$60,0))*(INDEX('Parametri Modello'!$B$50:$B$53,MATCH($B94,'Parametri Modello'!$A$50:$A$53,0))*'Parametri Modello'!$B$44))),IF(INDEX('Parametri Modello'!$F$57:$F$60,MATCH($B94,'Parametri Modello'!$A$57:$A$60,0))=0,0,($O94/INDEX('Parametri Modello'!$F$57:$F$60,MATCH($B94,'Parametri Modello'!$A$57:$A$60,0)))*((1-INDEX('Parametri Modello'!$D$57:$D$60,MATCH($B94,'Parametri Modello'!$A$57:$A$60,0)))*(INDEX('Parametri Modello'!$B$50:$B$53,MATCH($B94,'Parametri Modello'!$A$50:$A$53,0))*'Parametri Modello'!$B$44))))*(1+IF(IF($B94="D",'Info Lega'!$B$25,IF($B94="C",'Info Lega'!$B$26,"No"))="Si",'Parametri Modello'!$B$5,0))*(1+MAX(-0.25,MIN(0.25,IF(OR($T94="",$I94="",$I94=0,INDEX('Parametri Modello'!$B$19:$B$22,MATCH($B94,'Parametri Modello'!$A$19:$A$22,0))="",INDEX('Parametri Modello'!$B$19:$B$22,MATCH($B94,'Parametri Modello'!$A$19:$A$22,0))=0),0,(($T94-INDEX('Parametri Modello'!$B$19:$B$22,MATCH($B94,'Parametri Modello'!$A$19:$A$22,0)))/INDEX('Parametri Modello'!$B$19:$B$22,MATCH($B94,'Parametri Modello'!$A$19:$A$22,0)))*'Parametri Modello'!$B$9))))*(1+IF('Parametri Modello'!$B$27="Si",MAX(-'Parametri Modello'!$B$28,MIN('Parametri Modello'!$B$28*1.5,IF(OR(INDEX('Parametri Modello'!$F$32:$F$35,MATCH($B94,'Parametri Modello'!$A$32:$A$35,0))="",INDEX('Parametri Modello'!$F$32:$F$35,MATCH($B94,'Parametri Modello'!$A$32:$A$35,0))=0),0,(1/INDEX('Parametri Modello'!$F$32:$F$35,MATCH($B94,'Parametri Modello'!$A$32:$A$35,0))-1)*'Parametri Modello'!$B$28))),0)))*(1-INDEX('Parametri Modello'!$B$12:$B$15,MATCH($B94,'Parametri Modello'!$A$12:$A$15,0)))),0),"")</f>
        <v>3</v>
      </c>
      <c r="H94" s="27" t="n">
        <f aca="false">IFERROR(ROUND((IF($V94&lt;=INDEX('Parametri Modello'!$C$57:$C$60,MATCH($B94,'Parametri Modello'!$A$57:$A$60,0)),IF(INDEX('Parametri Modello'!$E$57:$E$60,MATCH($B94,'Parametri Modello'!$A$57:$A$60,0))=0,0,($O94/INDEX('Parametri Modello'!$E$57:$E$60,MATCH($B94,'Parametri Modello'!$A$57:$A$60,0)))*(INDEX('Parametri Modello'!$D$57:$D$60,MATCH($B94,'Parametri Modello'!$A$57:$A$60,0))*(INDEX('Parametri Modello'!$B$50:$B$53,MATCH($B94,'Parametri Modello'!$A$50:$A$53,0))*'Parametri Modello'!$B$44))),IF(INDEX('Parametri Modello'!$F$57:$F$60,MATCH($B94,'Parametri Modello'!$A$57:$A$60,0))=0,0,($O94/INDEX('Parametri Modello'!$F$57:$F$60,MATCH($B94,'Parametri Modello'!$A$57:$A$60,0)))*((1-INDEX('Parametri Modello'!$D$57:$D$60,MATCH($B94,'Parametri Modello'!$A$57:$A$60,0)))*(INDEX('Parametri Modello'!$B$50:$B$53,MATCH($B94,'Parametri Modello'!$A$50:$A$53,0))*'Parametri Modello'!$B$44))))*(1+IF(IF($B94="D",'Info Lega'!$B$25,IF($B94="C",'Info Lega'!$B$26,"No"))="Si",'Parametri Modello'!$B$5,0))*(1+MAX(-0.25,MIN(0.25,IF(OR($T94="",$I94="",$I94=0,INDEX('Parametri Modello'!$B$19:$B$22,MATCH($B94,'Parametri Modello'!$A$19:$A$22,0))="",INDEX('Parametri Modello'!$B$19:$B$22,MATCH($B94,'Parametri Modello'!$A$19:$A$22,0))=0),0,(($T94-INDEX('Parametri Modello'!$B$19:$B$22,MATCH($B94,'Parametri Modello'!$A$19:$A$22,0)))/INDEX('Parametri Modello'!$B$19:$B$22,MATCH($B94,'Parametri Modello'!$A$19:$A$22,0)))*'Parametri Modello'!$B$9))))*(1+IF('Parametri Modello'!$B$27="Si",MAX(-'Parametri Modello'!$B$28,MIN('Parametri Modello'!$B$28*1.5,IF(OR(INDEX('Parametri Modello'!$F$32:$F$35,MATCH($B94,'Parametri Modello'!$A$32:$A$35,0))="",INDEX('Parametri Modello'!$F$32:$F$35,MATCH($B94,'Parametri Modello'!$A$32:$A$35,0))=0),0,(1/INDEX('Parametri Modello'!$F$32:$F$35,MATCH($B94,'Parametri Modello'!$A$32:$A$35,0))-1)*'Parametri Modello'!$B$28))),0)))*(1+INDEX('Parametri Modello'!$B$12:$B$15,MATCH($B94,'Parametri Modello'!$A$12:$A$15,0))),0),"")</f>
        <v>5</v>
      </c>
      <c r="I94" s="26" t="n">
        <f aca="false">IFERROR(INDEX('Input Statistiche 2025_26'!$F$3:$F$665,MATCH($A94,'Input Statistiche 2025_26'!$A$3:$A$665,0)),"")</f>
        <v>8</v>
      </c>
      <c r="J94" s="26" t="n">
        <f aca="false">IFERROR(IF($I94="","",MAX(0,38-$I94)),"")</f>
        <v>30</v>
      </c>
      <c r="K94" s="26" t="n">
        <f aca="false">IFERROR(INDEX('Input Statistiche 2025_26'!$I$3:$I$665,MATCH($A94,'Input Statistiche 2025_26'!$A$3:$A$665,0)),"")</f>
        <v>1</v>
      </c>
      <c r="L94" s="26" t="n">
        <f aca="false">IFERROR(INDEX('Input Statistiche 2025_26'!$O$3:$O$665,MATCH($A94,'Input Statistiche 2025_26'!$A$3:$A$665,0)),"")</f>
        <v>0</v>
      </c>
      <c r="M94" s="28"/>
      <c r="N94" s="27" t="n">
        <f aca="false">IFERROR(INDEX('Input Giocatori 2026_27'!$E$3:$E$493,MATCH($A94,'Input Giocatori 2026_27'!$A$3:$A$493,0)),"")</f>
        <v>8</v>
      </c>
      <c r="O94" s="27" t="n">
        <f aca="false">IFERROR(INDEX('Input Giocatori 2026_27'!$G$3:$G$493,MATCH($A94,'Input Giocatori 2026_27'!$A$3:$A$493,0)),"")</f>
        <v>34</v>
      </c>
      <c r="P94" s="26" t="str">
        <f aca="false">IFERROR(IF($O94="","",IF((1-(COUNTIFS($B$2:$B$492,$B94,$O$2:$O$492,"&gt;"&amp;$O94)+1-1)/COUNTIF($B$2:$B$492,$B94))&gt;=0.85,"Top",IF((1-(COUNTIFS($B$2:$B$492,$B94,$O$2:$O$492,"&gt;"&amp;$O94)+1-1)/COUNTIF($B$2:$B$492,$B94))&gt;=0.6,"Buono",IF((1-(COUNTIFS($B$2:$B$492,$B94,$O$2:$O$492,"&gt;"&amp;$O94)+1-1)/COUNTIF($B$2:$B$492,$B94))&gt;=0.3,"Nella Media","Scommessa/Riserva")))),"")</f>
        <v>Buono</v>
      </c>
      <c r="Q94" s="29" t="n">
        <f aca="false">IF($D94="",COUNTIF($D$2:$D94,""),"")</f>
        <v>93</v>
      </c>
      <c r="R94" s="29" t="str">
        <f aca="false">IF($D94='Info Lega'!$B$28,COUNTIFS($D$2:$D94,'Info Lega'!$B$28),"")</f>
        <v/>
      </c>
      <c r="S94" s="30" t="n">
        <f aca="false">IFERROR(INDEX('Input Statistiche 2025_26'!$G$3:$G$665,MATCH($A94,'Input Statistiche 2025_26'!$A$3:$A$665,0)),"")</f>
        <v>6.25</v>
      </c>
      <c r="T94" s="30" t="n">
        <f aca="false">IFERROR(INDEX('Input Statistiche 2025_26'!$H$3:$H$665,MATCH($A94,'Input Statistiche 2025_26'!$A$3:$A$665,0)),"")</f>
        <v>6.5</v>
      </c>
      <c r="U94" s="26" t="str">
        <f aca="false">IF(OR('La Mia Rosa'!$O$12="",$D94&lt;&gt;""),"",IF($F94&lt;='La Mia Rosa'!$O$12*'Parametri Modello'!$B$24,"OK",IF($F94&lt;='La Mia Rosa'!$O$12*'Parametri Modello'!$B$25,"Attenzione","Rischio Alto")))</f>
        <v>OK</v>
      </c>
      <c r="V94" s="26" t="n">
        <f aca="false">IFERROR(COUNTIFS($B$2:$B$492,$B94,$O$2:$O$492,"&gt;"&amp;$O94)+1,"")</f>
        <v>36</v>
      </c>
      <c r="W94" s="21" t="n">
        <f aca="false">'Info Lega'!$B$4-SUMIFS($M$2:$M$492,$D$2:$D$492,'Info Lega'!$B$28)</f>
        <v>1000</v>
      </c>
      <c r="X94" s="21" t="n">
        <f aca="false">('Info Lega'!$B$5-COUNTIFS($D$2:$D$492,'Info Lega'!$B$28,$B$2:$B$492,"P"))+('Info Lega'!$B$6-COUNTIFS($D$2:$D$492,'Info Lega'!$B$28,$B$2:$B$492,"D"))+('Info Lega'!$B$7-COUNTIFS($D$2:$D$492,'Info Lega'!$B$28,$B$2:$B$492,"C"))+('Info Lega'!$B$8-COUNTIFS($D$2:$D$492,'Info Lega'!$B$28,$B$2:$B$492,"A"))</f>
        <v>25</v>
      </c>
      <c r="Y94" s="21" t="n">
        <f aca="false">X94*'Parametri Modello'!$B$30</f>
        <v>25</v>
      </c>
      <c r="Z94" s="21" t="n">
        <f aca="false">MAX(0,W94-Y94)</f>
        <v>975</v>
      </c>
      <c r="AA94" s="21" t="n">
        <f aca="false">MIN(F94,Z94)</f>
        <v>4</v>
      </c>
      <c r="AB94" s="21"/>
      <c r="AC94" s="21" t="str">
        <f aca="false">IF(AB94="","",IF(AB94&gt;AA94,"PASS",IF(AB94&lt;=AA94*0.85,"BID","ATTENZIONE")))</f>
        <v/>
      </c>
      <c r="AD94" s="31" t="n">
        <f aca="false">IF(I94="","",ROUND(100*(1-EXP(-I94/30)),0))</f>
        <v>23</v>
      </c>
      <c r="AE94" s="7" t="str">
        <f aca="false">IFERROR(INDEX('Stato Asta'!$G$9:$G$12,MATCH($B94,'Stato Asta'!$A$9:$A$12,0)),"")</f>
        <v>🟡 Attesa rischiosa</v>
      </c>
    </row>
    <row r="95" customFormat="false" ht="14.25" hidden="false" customHeight="true" outlineLevel="0" collapsed="false">
      <c r="A95" s="21" t="n">
        <v>6217</v>
      </c>
      <c r="B95" s="21" t="s">
        <v>44</v>
      </c>
      <c r="C95" s="21" t="s">
        <v>206</v>
      </c>
      <c r="E95" s="26" t="str">
        <f aca="false">IF(COUNTIF('Info Strategia'!$D$2:$D$51,$C95)&gt;0,"SI","NO")</f>
        <v>NO</v>
      </c>
      <c r="F95" s="27" t="n">
        <f aca="false">IFERROR(ROUND(($G95+($H95-$G95)*'Info Strategia'!$B$6)*(1+IF($E95="SI",'Parametri Modello'!$B$7*'Info Strategia'!$B$6,0)),0),"")</f>
        <v>23</v>
      </c>
      <c r="G95" s="27" t="n">
        <f aca="false">IFERROR(ROUND(MAX(1,(IF($V95&lt;=INDEX('Parametri Modello'!$C$57:$C$60,MATCH($B95,'Parametri Modello'!$A$57:$A$60,0)),IF(INDEX('Parametri Modello'!$E$57:$E$60,MATCH($B95,'Parametri Modello'!$A$57:$A$60,0))=0,0,($O95/INDEX('Parametri Modello'!$E$57:$E$60,MATCH($B95,'Parametri Modello'!$A$57:$A$60,0)))*(INDEX('Parametri Modello'!$D$57:$D$60,MATCH($B95,'Parametri Modello'!$A$57:$A$60,0))*(INDEX('Parametri Modello'!$B$50:$B$53,MATCH($B95,'Parametri Modello'!$A$50:$A$53,0))*'Parametri Modello'!$B$44))),IF(INDEX('Parametri Modello'!$F$57:$F$60,MATCH($B95,'Parametri Modello'!$A$57:$A$60,0))=0,0,($O95/INDEX('Parametri Modello'!$F$57:$F$60,MATCH($B95,'Parametri Modello'!$A$57:$A$60,0)))*((1-INDEX('Parametri Modello'!$D$57:$D$60,MATCH($B95,'Parametri Modello'!$A$57:$A$60,0)))*(INDEX('Parametri Modello'!$B$50:$B$53,MATCH($B95,'Parametri Modello'!$A$50:$A$53,0))*'Parametri Modello'!$B$44))))*(1+IF(IF($B95="D",'Info Lega'!$B$25,IF($B95="C",'Info Lega'!$B$26,"No"))="Si",'Parametri Modello'!$B$5,0))*(1+MAX(-0.25,MIN(0.25,IF(OR($T95="",$I95="",$I95=0,INDEX('Parametri Modello'!$B$19:$B$22,MATCH($B95,'Parametri Modello'!$A$19:$A$22,0))="",INDEX('Parametri Modello'!$B$19:$B$22,MATCH($B95,'Parametri Modello'!$A$19:$A$22,0))=0),0,(($T95-INDEX('Parametri Modello'!$B$19:$B$22,MATCH($B95,'Parametri Modello'!$A$19:$A$22,0)))/INDEX('Parametri Modello'!$B$19:$B$22,MATCH($B95,'Parametri Modello'!$A$19:$A$22,0)))*'Parametri Modello'!$B$9))))*(1+IF('Parametri Modello'!$B$27="Si",MAX(-'Parametri Modello'!$B$28,MIN('Parametri Modello'!$B$28*1.5,IF(OR(INDEX('Parametri Modello'!$F$32:$F$35,MATCH($B95,'Parametri Modello'!$A$32:$A$35,0))="",INDEX('Parametri Modello'!$F$32:$F$35,MATCH($B95,'Parametri Modello'!$A$32:$A$35,0))=0),0,(1/INDEX('Parametri Modello'!$F$32:$F$35,MATCH($B95,'Parametri Modello'!$A$32:$A$35,0))-1)*'Parametri Modello'!$B$28))),0)))*(1-INDEX('Parametri Modello'!$B$12:$B$15,MATCH($B95,'Parametri Modello'!$A$12:$A$15,0)))),0),"")</f>
        <v>17</v>
      </c>
      <c r="H95" s="27" t="n">
        <f aca="false">IFERROR(ROUND((IF($V95&lt;=INDEX('Parametri Modello'!$C$57:$C$60,MATCH($B95,'Parametri Modello'!$A$57:$A$60,0)),IF(INDEX('Parametri Modello'!$E$57:$E$60,MATCH($B95,'Parametri Modello'!$A$57:$A$60,0))=0,0,($O95/INDEX('Parametri Modello'!$E$57:$E$60,MATCH($B95,'Parametri Modello'!$A$57:$A$60,0)))*(INDEX('Parametri Modello'!$D$57:$D$60,MATCH($B95,'Parametri Modello'!$A$57:$A$60,0))*(INDEX('Parametri Modello'!$B$50:$B$53,MATCH($B95,'Parametri Modello'!$A$50:$A$53,0))*'Parametri Modello'!$B$44))),IF(INDEX('Parametri Modello'!$F$57:$F$60,MATCH($B95,'Parametri Modello'!$A$57:$A$60,0))=0,0,($O95/INDEX('Parametri Modello'!$F$57:$F$60,MATCH($B95,'Parametri Modello'!$A$57:$A$60,0)))*((1-INDEX('Parametri Modello'!$D$57:$D$60,MATCH($B95,'Parametri Modello'!$A$57:$A$60,0)))*(INDEX('Parametri Modello'!$B$50:$B$53,MATCH($B95,'Parametri Modello'!$A$50:$A$53,0))*'Parametri Modello'!$B$44))))*(1+IF(IF($B95="D",'Info Lega'!$B$25,IF($B95="C",'Info Lega'!$B$26,"No"))="Si",'Parametri Modello'!$B$5,0))*(1+MAX(-0.25,MIN(0.25,IF(OR($T95="",$I95="",$I95=0,INDEX('Parametri Modello'!$B$19:$B$22,MATCH($B95,'Parametri Modello'!$A$19:$A$22,0))="",INDEX('Parametri Modello'!$B$19:$B$22,MATCH($B95,'Parametri Modello'!$A$19:$A$22,0))=0),0,(($T95-INDEX('Parametri Modello'!$B$19:$B$22,MATCH($B95,'Parametri Modello'!$A$19:$A$22,0)))/INDEX('Parametri Modello'!$B$19:$B$22,MATCH($B95,'Parametri Modello'!$A$19:$A$22,0)))*'Parametri Modello'!$B$9))))*(1+IF('Parametri Modello'!$B$27="Si",MAX(-'Parametri Modello'!$B$28,MIN('Parametri Modello'!$B$28*1.5,IF(OR(INDEX('Parametri Modello'!$F$32:$F$35,MATCH($B95,'Parametri Modello'!$A$32:$A$35,0))="",INDEX('Parametri Modello'!$F$32:$F$35,MATCH($B95,'Parametri Modello'!$A$32:$A$35,0))=0),0,(1/INDEX('Parametri Modello'!$F$32:$F$35,MATCH($B95,'Parametri Modello'!$A$32:$A$35,0))-1)*'Parametri Modello'!$B$28))),0)))*(1+INDEX('Parametri Modello'!$B$12:$B$15,MATCH($B95,'Parametri Modello'!$A$12:$A$15,0))),0),"")</f>
        <v>25</v>
      </c>
      <c r="I95" s="26" t="n">
        <f aca="false">IFERROR(INDEX('Input Statistiche 2025_26'!$F$3:$F$665,MATCH($A95,'Input Statistiche 2025_26'!$A$3:$A$665,0)),"")</f>
        <v>23</v>
      </c>
      <c r="J95" s="26" t="n">
        <f aca="false">IFERROR(IF($I95="","",MAX(0,38-$I95)),"")</f>
        <v>15</v>
      </c>
      <c r="K95" s="26" t="n">
        <f aca="false">IFERROR(INDEX('Input Statistiche 2025_26'!$I$3:$I$665,MATCH($A95,'Input Statistiche 2025_26'!$A$3:$A$665,0)),"")</f>
        <v>3</v>
      </c>
      <c r="L95" s="26" t="n">
        <f aca="false">IFERROR(INDEX('Input Statistiche 2025_26'!$O$3:$O$665,MATCH($A95,'Input Statistiche 2025_26'!$A$3:$A$665,0)),"")</f>
        <v>2</v>
      </c>
      <c r="M95" s="28"/>
      <c r="N95" s="27" t="n">
        <f aca="false">IFERROR(INDEX('Input Giocatori 2026_27'!$E$3:$E$493,MATCH($A95,'Input Giocatori 2026_27'!$A$3:$A$493,0)),"")</f>
        <v>11</v>
      </c>
      <c r="O95" s="27" t="n">
        <f aca="false">IFERROR(INDEX('Input Giocatori 2026_27'!$G$3:$G$493,MATCH($A95,'Input Giocatori 2026_27'!$A$3:$A$493,0)),"")</f>
        <v>33</v>
      </c>
      <c r="P95" s="26" t="str">
        <f aca="false">IFERROR(IF($O95="","",IF((1-(COUNTIFS($B$2:$B$492,$B95,$O$2:$O$492,"&gt;"&amp;$O95)+1-1)/COUNTIF($B$2:$B$492,$B95))&gt;=0.85,"Top",IF((1-(COUNTIFS($B$2:$B$492,$B95,$O$2:$O$492,"&gt;"&amp;$O95)+1-1)/COUNTIF($B$2:$B$492,$B95))&gt;=0.6,"Buono",IF((1-(COUNTIFS($B$2:$B$492,$B95,$O$2:$O$492,"&gt;"&amp;$O95)+1-1)/COUNTIF($B$2:$B$492,$B95))&gt;=0.3,"Nella Media","Scommessa/Riserva")))),"")</f>
        <v>Top</v>
      </c>
      <c r="Q95" s="29" t="n">
        <f aca="false">IF($D95="",COUNTIF($D$2:$D95,""),"")</f>
        <v>94</v>
      </c>
      <c r="R95" s="29" t="str">
        <f aca="false">IF($D95='Info Lega'!$B$28,COUNTIFS($D$2:$D95,'Info Lega'!$B$28),"")</f>
        <v/>
      </c>
      <c r="S95" s="30" t="n">
        <f aca="false">IFERROR(INDEX('Input Statistiche 2025_26'!$G$3:$G$665,MATCH($A95,'Input Statistiche 2025_26'!$A$3:$A$665,0)),"")</f>
        <v>6.22</v>
      </c>
      <c r="T95" s="30" t="n">
        <f aca="false">IFERROR(INDEX('Input Statistiche 2025_26'!$H$3:$H$665,MATCH($A95,'Input Statistiche 2025_26'!$A$3:$A$665,0)),"")</f>
        <v>6.65</v>
      </c>
      <c r="U95" s="26" t="str">
        <f aca="false">IF(OR('La Mia Rosa'!$O$12="",$D95&lt;&gt;""),"",IF($F95&lt;='La Mia Rosa'!$O$12*'Parametri Modello'!$B$24,"OK",IF($F95&lt;='La Mia Rosa'!$O$12*'Parametri Modello'!$B$25,"Attenzione","Rischio Alto")))</f>
        <v>OK</v>
      </c>
      <c r="V95" s="26" t="n">
        <f aca="false">IFERROR(COUNTIFS($B$2:$B$492,$B95,$O$2:$O$492,"&gt;"&amp;$O95)+1,"")</f>
        <v>15</v>
      </c>
      <c r="W95" s="21" t="n">
        <f aca="false">'Info Lega'!$B$4-SUMIFS($M$2:$M$492,$D$2:$D$492,'Info Lega'!$B$28)</f>
        <v>1000</v>
      </c>
      <c r="X95" s="21" t="n">
        <f aca="false">('Info Lega'!$B$5-COUNTIFS($D$2:$D$492,'Info Lega'!$B$28,$B$2:$B$492,"P"))+('Info Lega'!$B$6-COUNTIFS($D$2:$D$492,'Info Lega'!$B$28,$B$2:$B$492,"D"))+('Info Lega'!$B$7-COUNTIFS($D$2:$D$492,'Info Lega'!$B$28,$B$2:$B$492,"C"))+('Info Lega'!$B$8-COUNTIFS($D$2:$D$492,'Info Lega'!$B$28,$B$2:$B$492,"A"))</f>
        <v>25</v>
      </c>
      <c r="Y95" s="21" t="n">
        <f aca="false">X95*'Parametri Modello'!$B$30</f>
        <v>25</v>
      </c>
      <c r="Z95" s="21" t="n">
        <f aca="false">MAX(0,W95-Y95)</f>
        <v>975</v>
      </c>
      <c r="AA95" s="21" t="n">
        <f aca="false">MIN(F95,Z95)</f>
        <v>23</v>
      </c>
      <c r="AB95" s="21"/>
      <c r="AC95" s="21" t="str">
        <f aca="false">IF(AB95="","",IF(AB95&gt;AA95,"PASS",IF(AB95&lt;=AA95*0.85,"BID","ATTENZIONE")))</f>
        <v/>
      </c>
      <c r="AD95" s="31" t="n">
        <f aca="false">IF(I95="","",ROUND(100*(1-EXP(-I95/30)),0))</f>
        <v>54</v>
      </c>
      <c r="AE95" s="7" t="str">
        <f aca="false">IFERROR(INDEX('Stato Asta'!$G$9:$G$12,MATCH($B95,'Stato Asta'!$A$9:$A$12,0)),"")</f>
        <v>🟡 Attesa rischiosa</v>
      </c>
    </row>
    <row r="96" customFormat="false" ht="14.25" hidden="false" customHeight="true" outlineLevel="0" collapsed="false">
      <c r="A96" s="21" t="n">
        <v>5514</v>
      </c>
      <c r="B96" s="21" t="s">
        <v>44</v>
      </c>
      <c r="C96" s="21" t="s">
        <v>211</v>
      </c>
      <c r="E96" s="26" t="str">
        <f aca="false">IF(COUNTIF('Info Strategia'!$D$2:$D$51,$C96)&gt;0,"SI","NO")</f>
        <v>NO</v>
      </c>
      <c r="F96" s="27" t="n">
        <f aca="false">IFERROR(ROUND(($G96+($H96-$G96)*'Info Strategia'!$B$6)*(1+IF($E96="SI",'Parametri Modello'!$B$7*'Info Strategia'!$B$6,0)),0),"")</f>
        <v>23</v>
      </c>
      <c r="G96" s="27" t="n">
        <f aca="false">IFERROR(ROUND(MAX(1,(IF($V96&lt;=INDEX('Parametri Modello'!$C$57:$C$60,MATCH($B96,'Parametri Modello'!$A$57:$A$60,0)),IF(INDEX('Parametri Modello'!$E$57:$E$60,MATCH($B96,'Parametri Modello'!$A$57:$A$60,0))=0,0,($O96/INDEX('Parametri Modello'!$E$57:$E$60,MATCH($B96,'Parametri Modello'!$A$57:$A$60,0)))*(INDEX('Parametri Modello'!$D$57:$D$60,MATCH($B96,'Parametri Modello'!$A$57:$A$60,0))*(INDEX('Parametri Modello'!$B$50:$B$53,MATCH($B96,'Parametri Modello'!$A$50:$A$53,0))*'Parametri Modello'!$B$44))),IF(INDEX('Parametri Modello'!$F$57:$F$60,MATCH($B96,'Parametri Modello'!$A$57:$A$60,0))=0,0,($O96/INDEX('Parametri Modello'!$F$57:$F$60,MATCH($B96,'Parametri Modello'!$A$57:$A$60,0)))*((1-INDEX('Parametri Modello'!$D$57:$D$60,MATCH($B96,'Parametri Modello'!$A$57:$A$60,0)))*(INDEX('Parametri Modello'!$B$50:$B$53,MATCH($B96,'Parametri Modello'!$A$50:$A$53,0))*'Parametri Modello'!$B$44))))*(1+IF(IF($B96="D",'Info Lega'!$B$25,IF($B96="C",'Info Lega'!$B$26,"No"))="Si",'Parametri Modello'!$B$5,0))*(1+MAX(-0.25,MIN(0.25,IF(OR($T96="",$I96="",$I96=0,INDEX('Parametri Modello'!$B$19:$B$22,MATCH($B96,'Parametri Modello'!$A$19:$A$22,0))="",INDEX('Parametri Modello'!$B$19:$B$22,MATCH($B96,'Parametri Modello'!$A$19:$A$22,0))=0),0,(($T96-INDEX('Parametri Modello'!$B$19:$B$22,MATCH($B96,'Parametri Modello'!$A$19:$A$22,0)))/INDEX('Parametri Modello'!$B$19:$B$22,MATCH($B96,'Parametri Modello'!$A$19:$A$22,0)))*'Parametri Modello'!$B$9))))*(1+IF('Parametri Modello'!$B$27="Si",MAX(-'Parametri Modello'!$B$28,MIN('Parametri Modello'!$B$28*1.5,IF(OR(INDEX('Parametri Modello'!$F$32:$F$35,MATCH($B96,'Parametri Modello'!$A$32:$A$35,0))="",INDEX('Parametri Modello'!$F$32:$F$35,MATCH($B96,'Parametri Modello'!$A$32:$A$35,0))=0),0,(1/INDEX('Parametri Modello'!$F$32:$F$35,MATCH($B96,'Parametri Modello'!$A$32:$A$35,0))-1)*'Parametri Modello'!$B$28))),0)))*(1-INDEX('Parametri Modello'!$B$12:$B$15,MATCH($B96,'Parametri Modello'!$A$12:$A$15,0)))),0),"")</f>
        <v>17</v>
      </c>
      <c r="H96" s="27" t="n">
        <f aca="false">IFERROR(ROUND((IF($V96&lt;=INDEX('Parametri Modello'!$C$57:$C$60,MATCH($B96,'Parametri Modello'!$A$57:$A$60,0)),IF(INDEX('Parametri Modello'!$E$57:$E$60,MATCH($B96,'Parametri Modello'!$A$57:$A$60,0))=0,0,($O96/INDEX('Parametri Modello'!$E$57:$E$60,MATCH($B96,'Parametri Modello'!$A$57:$A$60,0)))*(INDEX('Parametri Modello'!$D$57:$D$60,MATCH($B96,'Parametri Modello'!$A$57:$A$60,0))*(INDEX('Parametri Modello'!$B$50:$B$53,MATCH($B96,'Parametri Modello'!$A$50:$A$53,0))*'Parametri Modello'!$B$44))),IF(INDEX('Parametri Modello'!$F$57:$F$60,MATCH($B96,'Parametri Modello'!$A$57:$A$60,0))=0,0,($O96/INDEX('Parametri Modello'!$F$57:$F$60,MATCH($B96,'Parametri Modello'!$A$57:$A$60,0)))*((1-INDEX('Parametri Modello'!$D$57:$D$60,MATCH($B96,'Parametri Modello'!$A$57:$A$60,0)))*(INDEX('Parametri Modello'!$B$50:$B$53,MATCH($B96,'Parametri Modello'!$A$50:$A$53,0))*'Parametri Modello'!$B$44))))*(1+IF(IF($B96="D",'Info Lega'!$B$25,IF($B96="C",'Info Lega'!$B$26,"No"))="Si",'Parametri Modello'!$B$5,0))*(1+MAX(-0.25,MIN(0.25,IF(OR($T96="",$I96="",$I96=0,INDEX('Parametri Modello'!$B$19:$B$22,MATCH($B96,'Parametri Modello'!$A$19:$A$22,0))="",INDEX('Parametri Modello'!$B$19:$B$22,MATCH($B96,'Parametri Modello'!$A$19:$A$22,0))=0),0,(($T96-INDEX('Parametri Modello'!$B$19:$B$22,MATCH($B96,'Parametri Modello'!$A$19:$A$22,0)))/INDEX('Parametri Modello'!$B$19:$B$22,MATCH($B96,'Parametri Modello'!$A$19:$A$22,0)))*'Parametri Modello'!$B$9))))*(1+IF('Parametri Modello'!$B$27="Si",MAX(-'Parametri Modello'!$B$28,MIN('Parametri Modello'!$B$28*1.5,IF(OR(INDEX('Parametri Modello'!$F$32:$F$35,MATCH($B96,'Parametri Modello'!$A$32:$A$35,0))="",INDEX('Parametri Modello'!$F$32:$F$35,MATCH($B96,'Parametri Modello'!$A$32:$A$35,0))=0),0,(1/INDEX('Parametri Modello'!$F$32:$F$35,MATCH($B96,'Parametri Modello'!$A$32:$A$35,0))-1)*'Parametri Modello'!$B$28))),0)))*(1+INDEX('Parametri Modello'!$B$12:$B$15,MATCH($B96,'Parametri Modello'!$A$12:$A$15,0))),0),"")</f>
        <v>25</v>
      </c>
      <c r="I96" s="26" t="n">
        <f aca="false">IFERROR(INDEX('Input Statistiche 2025_26'!$F$3:$F$665,MATCH($A96,'Input Statistiche 2025_26'!$A$3:$A$665,0)),"")</f>
        <v>36</v>
      </c>
      <c r="J96" s="26" t="n">
        <f aca="false">IFERROR(IF($I96="","",MAX(0,38-$I96)),"")</f>
        <v>2</v>
      </c>
      <c r="K96" s="26" t="n">
        <f aca="false">IFERROR(INDEX('Input Statistiche 2025_26'!$I$3:$I$665,MATCH($A96,'Input Statistiche 2025_26'!$A$3:$A$665,0)),"")</f>
        <v>1</v>
      </c>
      <c r="L96" s="26" t="n">
        <f aca="false">IFERROR(INDEX('Input Statistiche 2025_26'!$O$3:$O$665,MATCH($A96,'Input Statistiche 2025_26'!$A$3:$A$665,0)),"")</f>
        <v>0</v>
      </c>
      <c r="M96" s="28"/>
      <c r="N96" s="27" t="n">
        <f aca="false">IFERROR(INDEX('Input Giocatori 2026_27'!$E$3:$E$493,MATCH($A96,'Input Giocatori 2026_27'!$A$3:$A$493,0)),"")</f>
        <v>9</v>
      </c>
      <c r="O96" s="27" t="n">
        <f aca="false">IFERROR(INDEX('Input Giocatori 2026_27'!$G$3:$G$493,MATCH($A96,'Input Giocatori 2026_27'!$A$3:$A$493,0)),"")</f>
        <v>33</v>
      </c>
      <c r="P96" s="26" t="str">
        <f aca="false">IFERROR(IF($O96="","",IF((1-(COUNTIFS($B$2:$B$492,$B96,$O$2:$O$492,"&gt;"&amp;$O96)+1-1)/COUNTIF($B$2:$B$492,$B96))&gt;=0.85,"Top",IF((1-(COUNTIFS($B$2:$B$492,$B96,$O$2:$O$492,"&gt;"&amp;$O96)+1-1)/COUNTIF($B$2:$B$492,$B96))&gt;=0.6,"Buono",IF((1-(COUNTIFS($B$2:$B$492,$B96,$O$2:$O$492,"&gt;"&amp;$O96)+1-1)/COUNTIF($B$2:$B$492,$B96))&gt;=0.3,"Nella Media","Scommessa/Riserva")))),"")</f>
        <v>Top</v>
      </c>
      <c r="Q96" s="29" t="n">
        <f aca="false">IF($D96="",COUNTIF($D$2:$D96,""),"")</f>
        <v>95</v>
      </c>
      <c r="R96" s="29" t="str">
        <f aca="false">IF($D96='Info Lega'!$B$28,COUNTIFS($D$2:$D96,'Info Lega'!$B$28),"")</f>
        <v/>
      </c>
      <c r="S96" s="30" t="n">
        <f aca="false">IFERROR(INDEX('Input Statistiche 2025_26'!$G$3:$G$665,MATCH($A96,'Input Statistiche 2025_26'!$A$3:$A$665,0)),"")</f>
        <v>6.08</v>
      </c>
      <c r="T96" s="30" t="n">
        <f aca="false">IFERROR(INDEX('Input Statistiche 2025_26'!$H$3:$H$665,MATCH($A96,'Input Statistiche 2025_26'!$A$3:$A$665,0)),"")</f>
        <v>6.14</v>
      </c>
      <c r="U96" s="26" t="str">
        <f aca="false">IF(OR('La Mia Rosa'!$O$12="",$D96&lt;&gt;""),"",IF($F96&lt;='La Mia Rosa'!$O$12*'Parametri Modello'!$B$24,"OK",IF($F96&lt;='La Mia Rosa'!$O$12*'Parametri Modello'!$B$25,"Attenzione","Rischio Alto")))</f>
        <v>OK</v>
      </c>
      <c r="V96" s="26" t="n">
        <f aca="false">IFERROR(COUNTIFS($B$2:$B$492,$B96,$O$2:$O$492,"&gt;"&amp;$O96)+1,"")</f>
        <v>15</v>
      </c>
      <c r="W96" s="21" t="n">
        <f aca="false">'Info Lega'!$B$4-SUMIFS($M$2:$M$492,$D$2:$D$492,'Info Lega'!$B$28)</f>
        <v>1000</v>
      </c>
      <c r="X96" s="21" t="n">
        <f aca="false">('Info Lega'!$B$5-COUNTIFS($D$2:$D$492,'Info Lega'!$B$28,$B$2:$B$492,"P"))+('Info Lega'!$B$6-COUNTIFS($D$2:$D$492,'Info Lega'!$B$28,$B$2:$B$492,"D"))+('Info Lega'!$B$7-COUNTIFS($D$2:$D$492,'Info Lega'!$B$28,$B$2:$B$492,"C"))+('Info Lega'!$B$8-COUNTIFS($D$2:$D$492,'Info Lega'!$B$28,$B$2:$B$492,"A"))</f>
        <v>25</v>
      </c>
      <c r="Y96" s="21" t="n">
        <f aca="false">X96*'Parametri Modello'!$B$30</f>
        <v>25</v>
      </c>
      <c r="Z96" s="21" t="n">
        <f aca="false">MAX(0,W96-Y96)</f>
        <v>975</v>
      </c>
      <c r="AA96" s="21" t="n">
        <f aca="false">MIN(F96,Z96)</f>
        <v>23</v>
      </c>
      <c r="AB96" s="21"/>
      <c r="AC96" s="21" t="str">
        <f aca="false">IF(AB96="","",IF(AB96&gt;AA96,"PASS",IF(AB96&lt;=AA96*0.85,"BID","ATTENZIONE")))</f>
        <v/>
      </c>
      <c r="AD96" s="31" t="n">
        <f aca="false">IF(I96="","",ROUND(100*(1-EXP(-I96/30)),0))</f>
        <v>70</v>
      </c>
      <c r="AE96" s="7" t="str">
        <f aca="false">IFERROR(INDEX('Stato Asta'!$G$9:$G$12,MATCH($B96,'Stato Asta'!$A$9:$A$12,0)),"")</f>
        <v>🟡 Attesa rischiosa</v>
      </c>
    </row>
    <row r="97" customFormat="false" ht="14.25" hidden="false" customHeight="true" outlineLevel="0" collapsed="false">
      <c r="A97" s="21" t="n">
        <v>2155</v>
      </c>
      <c r="B97" s="21" t="s">
        <v>46</v>
      </c>
      <c r="C97" s="21" t="s">
        <v>576</v>
      </c>
      <c r="E97" s="26" t="str">
        <f aca="false">IF(COUNTIF('Info Strategia'!$D$2:$D$51,$C97)&gt;0,"SI","NO")</f>
        <v>NO</v>
      </c>
      <c r="F97" s="27" t="n">
        <f aca="false">IFERROR(ROUND(($G97+($H97-$G97)*'Info Strategia'!$B$6)*(1+IF($E97="SI",'Parametri Modello'!$B$7*'Info Strategia'!$B$6,0)),0),"")</f>
        <v>10</v>
      </c>
      <c r="G97" s="27" t="n">
        <f aca="false">IFERROR(ROUND(MAX(1,(IF($V97&lt;=INDEX('Parametri Modello'!$C$57:$C$60,MATCH($B97,'Parametri Modello'!$A$57:$A$60,0)),IF(INDEX('Parametri Modello'!$E$57:$E$60,MATCH($B97,'Parametri Modello'!$A$57:$A$60,0))=0,0,($O97/INDEX('Parametri Modello'!$E$57:$E$60,MATCH($B97,'Parametri Modello'!$A$57:$A$60,0)))*(INDEX('Parametri Modello'!$D$57:$D$60,MATCH($B97,'Parametri Modello'!$A$57:$A$60,0))*(INDEX('Parametri Modello'!$B$50:$B$53,MATCH($B97,'Parametri Modello'!$A$50:$A$53,0))*'Parametri Modello'!$B$44))),IF(INDEX('Parametri Modello'!$F$57:$F$60,MATCH($B97,'Parametri Modello'!$A$57:$A$60,0))=0,0,($O97/INDEX('Parametri Modello'!$F$57:$F$60,MATCH($B97,'Parametri Modello'!$A$57:$A$60,0)))*((1-INDEX('Parametri Modello'!$D$57:$D$60,MATCH($B97,'Parametri Modello'!$A$57:$A$60,0)))*(INDEX('Parametri Modello'!$B$50:$B$53,MATCH($B97,'Parametri Modello'!$A$50:$A$53,0))*'Parametri Modello'!$B$44))))*(1+IF(IF($B97="D",'Info Lega'!$B$25,IF($B97="C",'Info Lega'!$B$26,"No"))="Si",'Parametri Modello'!$B$5,0))*(1+MAX(-0.25,MIN(0.25,IF(OR($T97="",$I97="",$I97=0,INDEX('Parametri Modello'!$B$19:$B$22,MATCH($B97,'Parametri Modello'!$A$19:$A$22,0))="",INDEX('Parametri Modello'!$B$19:$B$22,MATCH($B97,'Parametri Modello'!$A$19:$A$22,0))=0),0,(($T97-INDEX('Parametri Modello'!$B$19:$B$22,MATCH($B97,'Parametri Modello'!$A$19:$A$22,0)))/INDEX('Parametri Modello'!$B$19:$B$22,MATCH($B97,'Parametri Modello'!$A$19:$A$22,0)))*'Parametri Modello'!$B$9))))*(1+IF('Parametri Modello'!$B$27="Si",MAX(-'Parametri Modello'!$B$28,MIN('Parametri Modello'!$B$28*1.5,IF(OR(INDEX('Parametri Modello'!$F$32:$F$35,MATCH($B97,'Parametri Modello'!$A$32:$A$35,0))="",INDEX('Parametri Modello'!$F$32:$F$35,MATCH($B97,'Parametri Modello'!$A$32:$A$35,0))=0),0,(1/INDEX('Parametri Modello'!$F$32:$F$35,MATCH($B97,'Parametri Modello'!$A$32:$A$35,0))-1)*'Parametri Modello'!$B$28))),0)))*(1-INDEX('Parametri Modello'!$B$12:$B$15,MATCH($B97,'Parametri Modello'!$A$12:$A$15,0)))),0),"")</f>
        <v>6</v>
      </c>
      <c r="H97" s="27" t="n">
        <f aca="false">IFERROR(ROUND((IF($V97&lt;=INDEX('Parametri Modello'!$C$57:$C$60,MATCH($B97,'Parametri Modello'!$A$57:$A$60,0)),IF(INDEX('Parametri Modello'!$E$57:$E$60,MATCH($B97,'Parametri Modello'!$A$57:$A$60,0))=0,0,($O97/INDEX('Parametri Modello'!$E$57:$E$60,MATCH($B97,'Parametri Modello'!$A$57:$A$60,0)))*(INDEX('Parametri Modello'!$D$57:$D$60,MATCH($B97,'Parametri Modello'!$A$57:$A$60,0))*(INDEX('Parametri Modello'!$B$50:$B$53,MATCH($B97,'Parametri Modello'!$A$50:$A$53,0))*'Parametri Modello'!$B$44))),IF(INDEX('Parametri Modello'!$F$57:$F$60,MATCH($B97,'Parametri Modello'!$A$57:$A$60,0))=0,0,($O97/INDEX('Parametri Modello'!$F$57:$F$60,MATCH($B97,'Parametri Modello'!$A$57:$A$60,0)))*((1-INDEX('Parametri Modello'!$D$57:$D$60,MATCH($B97,'Parametri Modello'!$A$57:$A$60,0)))*(INDEX('Parametri Modello'!$B$50:$B$53,MATCH($B97,'Parametri Modello'!$A$50:$A$53,0))*'Parametri Modello'!$B$44))))*(1+IF(IF($B97="D",'Info Lega'!$B$25,IF($B97="C",'Info Lega'!$B$26,"No"))="Si",'Parametri Modello'!$B$5,0))*(1+MAX(-0.25,MIN(0.25,IF(OR($T97="",$I97="",$I97=0,INDEX('Parametri Modello'!$B$19:$B$22,MATCH($B97,'Parametri Modello'!$A$19:$A$22,0))="",INDEX('Parametri Modello'!$B$19:$B$22,MATCH($B97,'Parametri Modello'!$A$19:$A$22,0))=0),0,(($T97-INDEX('Parametri Modello'!$B$19:$B$22,MATCH($B97,'Parametri Modello'!$A$19:$A$22,0)))/INDEX('Parametri Modello'!$B$19:$B$22,MATCH($B97,'Parametri Modello'!$A$19:$A$22,0)))*'Parametri Modello'!$B$9))))*(1+IF('Parametri Modello'!$B$27="Si",MAX(-'Parametri Modello'!$B$28,MIN('Parametri Modello'!$B$28*1.5,IF(OR(INDEX('Parametri Modello'!$F$32:$F$35,MATCH($B97,'Parametri Modello'!$A$32:$A$35,0))="",INDEX('Parametri Modello'!$F$32:$F$35,MATCH($B97,'Parametri Modello'!$A$32:$A$35,0))=0),0,(1/INDEX('Parametri Modello'!$F$32:$F$35,MATCH($B97,'Parametri Modello'!$A$32:$A$35,0))-1)*'Parametri Modello'!$B$28))),0)))*(1+INDEX('Parametri Modello'!$B$12:$B$15,MATCH($B97,'Parametri Modello'!$A$12:$A$15,0))),0),"")</f>
        <v>12</v>
      </c>
      <c r="I97" s="26" t="n">
        <f aca="false">IFERROR(INDEX('Input Statistiche 2025_26'!$F$3:$F$665,MATCH($A97,'Input Statistiche 2025_26'!$A$3:$A$665,0)),"")</f>
        <v>14</v>
      </c>
      <c r="J97" s="26" t="n">
        <f aca="false">IFERROR(IF($I97="","",MAX(0,38-$I97)),"")</f>
        <v>24</v>
      </c>
      <c r="K97" s="26" t="n">
        <f aca="false">IFERROR(INDEX('Input Statistiche 2025_26'!$I$3:$I$665,MATCH($A97,'Input Statistiche 2025_26'!$A$3:$A$665,0)),"")</f>
        <v>1</v>
      </c>
      <c r="L97" s="26" t="n">
        <f aca="false">IFERROR(INDEX('Input Statistiche 2025_26'!$O$3:$O$665,MATCH($A97,'Input Statistiche 2025_26'!$A$3:$A$665,0)),"")</f>
        <v>0</v>
      </c>
      <c r="M97" s="28"/>
      <c r="N97" s="27" t="n">
        <f aca="false">IFERROR(INDEX('Input Giocatori 2026_27'!$E$3:$E$493,MATCH($A97,'Input Giocatori 2026_27'!$A$3:$A$493,0)),"")</f>
        <v>9</v>
      </c>
      <c r="O97" s="27" t="n">
        <f aca="false">IFERROR(INDEX('Input Giocatori 2026_27'!$G$3:$G$493,MATCH($A97,'Input Giocatori 2026_27'!$A$3:$A$493,0)),"")</f>
        <v>33</v>
      </c>
      <c r="P97" s="26" t="str">
        <f aca="false">IFERROR(IF($O97="","",IF((1-(COUNTIFS($B$2:$B$492,$B97,$O$2:$O$492,"&gt;"&amp;$O97)+1-1)/COUNTIF($B$2:$B$492,$B97))&gt;=0.85,"Top",IF((1-(COUNTIFS($B$2:$B$492,$B97,$O$2:$O$492,"&gt;"&amp;$O97)+1-1)/COUNTIF($B$2:$B$492,$B97))&gt;=0.6,"Buono",IF((1-(COUNTIFS($B$2:$B$492,$B97,$O$2:$O$492,"&gt;"&amp;$O97)+1-1)/COUNTIF($B$2:$B$492,$B97))&gt;=0.3,"Nella Media","Scommessa/Riserva")))),"")</f>
        <v>Buono</v>
      </c>
      <c r="Q97" s="29" t="n">
        <f aca="false">IF($D97="",COUNTIF($D$2:$D97,""),"")</f>
        <v>96</v>
      </c>
      <c r="R97" s="29" t="str">
        <f aca="false">IF($D97='Info Lega'!$B$28,COUNTIFS($D$2:$D97,'Info Lega'!$B$28),"")</f>
        <v/>
      </c>
      <c r="S97" s="30" t="n">
        <f aca="false">IFERROR(INDEX('Input Statistiche 2025_26'!$G$3:$G$665,MATCH($A97,'Input Statistiche 2025_26'!$A$3:$A$665,0)),"")</f>
        <v>5.71</v>
      </c>
      <c r="T97" s="30" t="n">
        <f aca="false">IFERROR(INDEX('Input Statistiche 2025_26'!$H$3:$H$665,MATCH($A97,'Input Statistiche 2025_26'!$A$3:$A$665,0)),"")</f>
        <v>5.93</v>
      </c>
      <c r="U97" s="26" t="str">
        <f aca="false">IF(OR('La Mia Rosa'!$O$12="",$D97&lt;&gt;""),"",IF($F97&lt;='La Mia Rosa'!$O$12*'Parametri Modello'!$B$24,"OK",IF($F97&lt;='La Mia Rosa'!$O$12*'Parametri Modello'!$B$25,"Attenzione","Rischio Alto")))</f>
        <v>OK</v>
      </c>
      <c r="V97" s="26" t="n">
        <f aca="false">IFERROR(COUNTIFS($B$2:$B$492,$B97,$O$2:$O$492,"&gt;"&amp;$O97)+1,"")</f>
        <v>35</v>
      </c>
      <c r="W97" s="21" t="n">
        <f aca="false">'Info Lega'!$B$4-SUMIFS($M$2:$M$492,$D$2:$D$492,'Info Lega'!$B$28)</f>
        <v>1000</v>
      </c>
      <c r="X97" s="21" t="n">
        <f aca="false">('Info Lega'!$B$5-COUNTIFS($D$2:$D$492,'Info Lega'!$B$28,$B$2:$B$492,"P"))+('Info Lega'!$B$6-COUNTIFS($D$2:$D$492,'Info Lega'!$B$28,$B$2:$B$492,"D"))+('Info Lega'!$B$7-COUNTIFS($D$2:$D$492,'Info Lega'!$B$28,$B$2:$B$492,"C"))+('Info Lega'!$B$8-COUNTIFS($D$2:$D$492,'Info Lega'!$B$28,$B$2:$B$492,"A"))</f>
        <v>25</v>
      </c>
      <c r="Y97" s="21" t="n">
        <f aca="false">X97*'Parametri Modello'!$B$30</f>
        <v>25</v>
      </c>
      <c r="Z97" s="21" t="n">
        <f aca="false">MAX(0,W97-Y97)</f>
        <v>975</v>
      </c>
      <c r="AA97" s="21" t="n">
        <f aca="false">MIN(F97,Z97)</f>
        <v>10</v>
      </c>
      <c r="AB97" s="21"/>
      <c r="AC97" s="21" t="str">
        <f aca="false">IF(AB97="","",IF(AB97&gt;AA97,"PASS",IF(AB97&lt;=AA97*0.85,"BID","ATTENZIONE")))</f>
        <v/>
      </c>
      <c r="AD97" s="31" t="n">
        <f aca="false">IF(I97="","",ROUND(100*(1-EXP(-I97/30)),0))</f>
        <v>37</v>
      </c>
      <c r="AE97" s="7" t="str">
        <f aca="false">IFERROR(INDEX('Stato Asta'!$G$9:$G$12,MATCH($B97,'Stato Asta'!$A$9:$A$12,0)),"")</f>
        <v>🔴 Non aspettare</v>
      </c>
    </row>
    <row r="98" customFormat="false" ht="14.25" hidden="false" customHeight="true" outlineLevel="0" collapsed="false">
      <c r="A98" s="21" t="n">
        <v>6869</v>
      </c>
      <c r="B98" s="21" t="s">
        <v>44</v>
      </c>
      <c r="C98" s="21" t="s">
        <v>208</v>
      </c>
      <c r="E98" s="26" t="str">
        <f aca="false">IF(COUNTIF('Info Strategia'!$D$2:$D$51,$C98)&gt;0,"SI","NO")</f>
        <v>NO</v>
      </c>
      <c r="F98" s="27" t="n">
        <f aca="false">IFERROR(ROUND(($G98+($H98-$G98)*'Info Strategia'!$B$6)*(1+IF($E98="SI",'Parametri Modello'!$B$7*'Info Strategia'!$B$6,0)),0),"")</f>
        <v>22</v>
      </c>
      <c r="G98" s="27" t="n">
        <f aca="false">IFERROR(ROUND(MAX(1,(IF($V98&lt;=INDEX('Parametri Modello'!$C$57:$C$60,MATCH($B98,'Parametri Modello'!$A$57:$A$60,0)),IF(INDEX('Parametri Modello'!$E$57:$E$60,MATCH($B98,'Parametri Modello'!$A$57:$A$60,0))=0,0,($O98/INDEX('Parametri Modello'!$E$57:$E$60,MATCH($B98,'Parametri Modello'!$A$57:$A$60,0)))*(INDEX('Parametri Modello'!$D$57:$D$60,MATCH($B98,'Parametri Modello'!$A$57:$A$60,0))*(INDEX('Parametri Modello'!$B$50:$B$53,MATCH($B98,'Parametri Modello'!$A$50:$A$53,0))*'Parametri Modello'!$B$44))),IF(INDEX('Parametri Modello'!$F$57:$F$60,MATCH($B98,'Parametri Modello'!$A$57:$A$60,0))=0,0,($O98/INDEX('Parametri Modello'!$F$57:$F$60,MATCH($B98,'Parametri Modello'!$A$57:$A$60,0)))*((1-INDEX('Parametri Modello'!$D$57:$D$60,MATCH($B98,'Parametri Modello'!$A$57:$A$60,0)))*(INDEX('Parametri Modello'!$B$50:$B$53,MATCH($B98,'Parametri Modello'!$A$50:$A$53,0))*'Parametri Modello'!$B$44))))*(1+IF(IF($B98="D",'Info Lega'!$B$25,IF($B98="C",'Info Lega'!$B$26,"No"))="Si",'Parametri Modello'!$B$5,0))*(1+MAX(-0.25,MIN(0.25,IF(OR($T98="",$I98="",$I98=0,INDEX('Parametri Modello'!$B$19:$B$22,MATCH($B98,'Parametri Modello'!$A$19:$A$22,0))="",INDEX('Parametri Modello'!$B$19:$B$22,MATCH($B98,'Parametri Modello'!$A$19:$A$22,0))=0),0,(($T98-INDEX('Parametri Modello'!$B$19:$B$22,MATCH($B98,'Parametri Modello'!$A$19:$A$22,0)))/INDEX('Parametri Modello'!$B$19:$B$22,MATCH($B98,'Parametri Modello'!$A$19:$A$22,0)))*'Parametri Modello'!$B$9))))*(1+IF('Parametri Modello'!$B$27="Si",MAX(-'Parametri Modello'!$B$28,MIN('Parametri Modello'!$B$28*1.5,IF(OR(INDEX('Parametri Modello'!$F$32:$F$35,MATCH($B98,'Parametri Modello'!$A$32:$A$35,0))="",INDEX('Parametri Modello'!$F$32:$F$35,MATCH($B98,'Parametri Modello'!$A$32:$A$35,0))=0),0,(1/INDEX('Parametri Modello'!$F$32:$F$35,MATCH($B98,'Parametri Modello'!$A$32:$A$35,0))-1)*'Parametri Modello'!$B$28))),0)))*(1-INDEX('Parametri Modello'!$B$12:$B$15,MATCH($B98,'Parametri Modello'!$A$12:$A$15,0)))),0),"")</f>
        <v>16</v>
      </c>
      <c r="H98" s="27" t="n">
        <f aca="false">IFERROR(ROUND((IF($V98&lt;=INDEX('Parametri Modello'!$C$57:$C$60,MATCH($B98,'Parametri Modello'!$A$57:$A$60,0)),IF(INDEX('Parametri Modello'!$E$57:$E$60,MATCH($B98,'Parametri Modello'!$A$57:$A$60,0))=0,0,($O98/INDEX('Parametri Modello'!$E$57:$E$60,MATCH($B98,'Parametri Modello'!$A$57:$A$60,0)))*(INDEX('Parametri Modello'!$D$57:$D$60,MATCH($B98,'Parametri Modello'!$A$57:$A$60,0))*(INDEX('Parametri Modello'!$B$50:$B$53,MATCH($B98,'Parametri Modello'!$A$50:$A$53,0))*'Parametri Modello'!$B$44))),IF(INDEX('Parametri Modello'!$F$57:$F$60,MATCH($B98,'Parametri Modello'!$A$57:$A$60,0))=0,0,($O98/INDEX('Parametri Modello'!$F$57:$F$60,MATCH($B98,'Parametri Modello'!$A$57:$A$60,0)))*((1-INDEX('Parametri Modello'!$D$57:$D$60,MATCH($B98,'Parametri Modello'!$A$57:$A$60,0)))*(INDEX('Parametri Modello'!$B$50:$B$53,MATCH($B98,'Parametri Modello'!$A$50:$A$53,0))*'Parametri Modello'!$B$44))))*(1+IF(IF($B98="D",'Info Lega'!$B$25,IF($B98="C",'Info Lega'!$B$26,"No"))="Si",'Parametri Modello'!$B$5,0))*(1+MAX(-0.25,MIN(0.25,IF(OR($T98="",$I98="",$I98=0,INDEX('Parametri Modello'!$B$19:$B$22,MATCH($B98,'Parametri Modello'!$A$19:$A$22,0))="",INDEX('Parametri Modello'!$B$19:$B$22,MATCH($B98,'Parametri Modello'!$A$19:$A$22,0))=0),0,(($T98-INDEX('Parametri Modello'!$B$19:$B$22,MATCH($B98,'Parametri Modello'!$A$19:$A$22,0)))/INDEX('Parametri Modello'!$B$19:$B$22,MATCH($B98,'Parametri Modello'!$A$19:$A$22,0)))*'Parametri Modello'!$B$9))))*(1+IF('Parametri Modello'!$B$27="Si",MAX(-'Parametri Modello'!$B$28,MIN('Parametri Modello'!$B$28*1.5,IF(OR(INDEX('Parametri Modello'!$F$32:$F$35,MATCH($B98,'Parametri Modello'!$A$32:$A$35,0))="",INDEX('Parametri Modello'!$F$32:$F$35,MATCH($B98,'Parametri Modello'!$A$32:$A$35,0))=0),0,(1/INDEX('Parametri Modello'!$F$32:$F$35,MATCH($B98,'Parametri Modello'!$A$32:$A$35,0))-1)*'Parametri Modello'!$B$28))),0)))*(1+INDEX('Parametri Modello'!$B$12:$B$15,MATCH($B98,'Parametri Modello'!$A$12:$A$15,0))),0),"")</f>
        <v>24</v>
      </c>
      <c r="I98" s="26" t="n">
        <f aca="false">IFERROR(INDEX('Input Statistiche 2025_26'!$F$3:$F$665,MATCH($A98,'Input Statistiche 2025_26'!$A$3:$A$665,0)),"")</f>
        <v>32</v>
      </c>
      <c r="J98" s="26" t="n">
        <f aca="false">IFERROR(IF($I98="","",MAX(0,38-$I98)),"")</f>
        <v>6</v>
      </c>
      <c r="K98" s="26" t="n">
        <f aca="false">IFERROR(INDEX('Input Statistiche 2025_26'!$I$3:$I$665,MATCH($A98,'Input Statistiche 2025_26'!$A$3:$A$665,0)),"")</f>
        <v>2</v>
      </c>
      <c r="L98" s="26" t="n">
        <f aca="false">IFERROR(INDEX('Input Statistiche 2025_26'!$O$3:$O$665,MATCH($A98,'Input Statistiche 2025_26'!$A$3:$A$665,0)),"")</f>
        <v>0</v>
      </c>
      <c r="M98" s="28"/>
      <c r="N98" s="27" t="n">
        <f aca="false">IFERROR(INDEX('Input Giocatori 2026_27'!$E$3:$E$493,MATCH($A98,'Input Giocatori 2026_27'!$A$3:$A$493,0)),"")</f>
        <v>10</v>
      </c>
      <c r="O98" s="27" t="n">
        <f aca="false">IFERROR(INDEX('Input Giocatori 2026_27'!$G$3:$G$493,MATCH($A98,'Input Giocatori 2026_27'!$A$3:$A$493,0)),"")</f>
        <v>32</v>
      </c>
      <c r="P98" s="26" t="str">
        <f aca="false">IFERROR(IF($O98="","",IF((1-(COUNTIFS($B$2:$B$492,$B98,$O$2:$O$492,"&gt;"&amp;$O98)+1-1)/COUNTIF($B$2:$B$492,$B98))&gt;=0.85,"Top",IF((1-(COUNTIFS($B$2:$B$492,$B98,$O$2:$O$492,"&gt;"&amp;$O98)+1-1)/COUNTIF($B$2:$B$492,$B98))&gt;=0.6,"Buono",IF((1-(COUNTIFS($B$2:$B$492,$B98,$O$2:$O$492,"&gt;"&amp;$O98)+1-1)/COUNTIF($B$2:$B$492,$B98))&gt;=0.3,"Nella Media","Scommessa/Riserva")))),"")</f>
        <v>Top</v>
      </c>
      <c r="Q98" s="29" t="n">
        <f aca="false">IF($D98="",COUNTIF($D$2:$D98,""),"")</f>
        <v>97</v>
      </c>
      <c r="R98" s="29" t="str">
        <f aca="false">IF($D98='Info Lega'!$B$28,COUNTIFS($D$2:$D98,'Info Lega'!$B$28),"")</f>
        <v/>
      </c>
      <c r="S98" s="30" t="n">
        <f aca="false">IFERROR(INDEX('Input Statistiche 2025_26'!$G$3:$G$665,MATCH($A98,'Input Statistiche 2025_26'!$A$3:$A$665,0)),"")</f>
        <v>6.16</v>
      </c>
      <c r="T98" s="30" t="n">
        <f aca="false">IFERROR(INDEX('Input Statistiche 2025_26'!$H$3:$H$665,MATCH($A98,'Input Statistiche 2025_26'!$A$3:$A$665,0)),"")</f>
        <v>6.14</v>
      </c>
      <c r="U98" s="26" t="str">
        <f aca="false">IF(OR('La Mia Rosa'!$O$12="",$D98&lt;&gt;""),"",IF($F98&lt;='La Mia Rosa'!$O$12*'Parametri Modello'!$B$24,"OK",IF($F98&lt;='La Mia Rosa'!$O$12*'Parametri Modello'!$B$25,"Attenzione","Rischio Alto")))</f>
        <v>OK</v>
      </c>
      <c r="V98" s="26" t="n">
        <f aca="false">IFERROR(COUNTIFS($B$2:$B$492,$B98,$O$2:$O$492,"&gt;"&amp;$O98)+1,"")</f>
        <v>17</v>
      </c>
      <c r="W98" s="21" t="n">
        <f aca="false">'Info Lega'!$B$4-SUMIFS($M$2:$M$492,$D$2:$D$492,'Info Lega'!$B$28)</f>
        <v>1000</v>
      </c>
      <c r="X98" s="21" t="n">
        <f aca="false">('Info Lega'!$B$5-COUNTIFS($D$2:$D$492,'Info Lega'!$B$28,$B$2:$B$492,"P"))+('Info Lega'!$B$6-COUNTIFS($D$2:$D$492,'Info Lega'!$B$28,$B$2:$B$492,"D"))+('Info Lega'!$B$7-COUNTIFS($D$2:$D$492,'Info Lega'!$B$28,$B$2:$B$492,"C"))+('Info Lega'!$B$8-COUNTIFS($D$2:$D$492,'Info Lega'!$B$28,$B$2:$B$492,"A"))</f>
        <v>25</v>
      </c>
      <c r="Y98" s="21" t="n">
        <f aca="false">X98*'Parametri Modello'!$B$30</f>
        <v>25</v>
      </c>
      <c r="Z98" s="21" t="n">
        <f aca="false">MAX(0,W98-Y98)</f>
        <v>975</v>
      </c>
      <c r="AA98" s="21" t="n">
        <f aca="false">MIN(F98,Z98)</f>
        <v>22</v>
      </c>
      <c r="AB98" s="21"/>
      <c r="AC98" s="21" t="str">
        <f aca="false">IF(AB98="","",IF(AB98&gt;AA98,"PASS",IF(AB98&lt;=AA98*0.85,"BID","ATTENZIONE")))</f>
        <v/>
      </c>
      <c r="AD98" s="31" t="n">
        <f aca="false">IF(I98="","",ROUND(100*(1-EXP(-I98/30)),0))</f>
        <v>66</v>
      </c>
      <c r="AE98" s="7" t="str">
        <f aca="false">IFERROR(INDEX('Stato Asta'!$G$9:$G$12,MATCH($B98,'Stato Asta'!$A$9:$A$12,0)),"")</f>
        <v>🟡 Attesa rischiosa</v>
      </c>
    </row>
    <row r="99" customFormat="false" ht="14.25" hidden="false" customHeight="true" outlineLevel="0" collapsed="false">
      <c r="A99" s="21" t="n">
        <v>7129</v>
      </c>
      <c r="B99" s="21" t="s">
        <v>45</v>
      </c>
      <c r="C99" s="21" t="s">
        <v>385</v>
      </c>
      <c r="E99" s="26" t="str">
        <f aca="false">IF(COUNTIF('Info Strategia'!$D$2:$D$51,$C99)&gt;0,"SI","NO")</f>
        <v>NO</v>
      </c>
      <c r="F99" s="27" t="n">
        <f aca="false">IFERROR(ROUND(($G99+($H99-$G99)*'Info Strategia'!$B$6)*(1+IF($E99="SI",'Parametri Modello'!$B$7*'Info Strategia'!$B$6,0)),0),"")</f>
        <v>4</v>
      </c>
      <c r="G99" s="27" t="n">
        <f aca="false">IFERROR(ROUND(MAX(1,(IF($V99&lt;=INDEX('Parametri Modello'!$C$57:$C$60,MATCH($B99,'Parametri Modello'!$A$57:$A$60,0)),IF(INDEX('Parametri Modello'!$E$57:$E$60,MATCH($B99,'Parametri Modello'!$A$57:$A$60,0))=0,0,($O99/INDEX('Parametri Modello'!$E$57:$E$60,MATCH($B99,'Parametri Modello'!$A$57:$A$60,0)))*(INDEX('Parametri Modello'!$D$57:$D$60,MATCH($B99,'Parametri Modello'!$A$57:$A$60,0))*(INDEX('Parametri Modello'!$B$50:$B$53,MATCH($B99,'Parametri Modello'!$A$50:$A$53,0))*'Parametri Modello'!$B$44))),IF(INDEX('Parametri Modello'!$F$57:$F$60,MATCH($B99,'Parametri Modello'!$A$57:$A$60,0))=0,0,($O99/INDEX('Parametri Modello'!$F$57:$F$60,MATCH($B99,'Parametri Modello'!$A$57:$A$60,0)))*((1-INDEX('Parametri Modello'!$D$57:$D$60,MATCH($B99,'Parametri Modello'!$A$57:$A$60,0)))*(INDEX('Parametri Modello'!$B$50:$B$53,MATCH($B99,'Parametri Modello'!$A$50:$A$53,0))*'Parametri Modello'!$B$44))))*(1+IF(IF($B99="D",'Info Lega'!$B$25,IF($B99="C",'Info Lega'!$B$26,"No"))="Si",'Parametri Modello'!$B$5,0))*(1+MAX(-0.25,MIN(0.25,IF(OR($T99="",$I99="",$I99=0,INDEX('Parametri Modello'!$B$19:$B$22,MATCH($B99,'Parametri Modello'!$A$19:$A$22,0))="",INDEX('Parametri Modello'!$B$19:$B$22,MATCH($B99,'Parametri Modello'!$A$19:$A$22,0))=0),0,(($T99-INDEX('Parametri Modello'!$B$19:$B$22,MATCH($B99,'Parametri Modello'!$A$19:$A$22,0)))/INDEX('Parametri Modello'!$B$19:$B$22,MATCH($B99,'Parametri Modello'!$A$19:$A$22,0)))*'Parametri Modello'!$B$9))))*(1+IF('Parametri Modello'!$B$27="Si",MAX(-'Parametri Modello'!$B$28,MIN('Parametri Modello'!$B$28*1.5,IF(OR(INDEX('Parametri Modello'!$F$32:$F$35,MATCH($B99,'Parametri Modello'!$A$32:$A$35,0))="",INDEX('Parametri Modello'!$F$32:$F$35,MATCH($B99,'Parametri Modello'!$A$32:$A$35,0))=0),0,(1/INDEX('Parametri Modello'!$F$32:$F$35,MATCH($B99,'Parametri Modello'!$A$32:$A$35,0))-1)*'Parametri Modello'!$B$28))),0)))*(1-INDEX('Parametri Modello'!$B$12:$B$15,MATCH($B99,'Parametri Modello'!$A$12:$A$15,0)))),0),"")</f>
        <v>3</v>
      </c>
      <c r="H99" s="27" t="n">
        <f aca="false">IFERROR(ROUND((IF($V99&lt;=INDEX('Parametri Modello'!$C$57:$C$60,MATCH($B99,'Parametri Modello'!$A$57:$A$60,0)),IF(INDEX('Parametri Modello'!$E$57:$E$60,MATCH($B99,'Parametri Modello'!$A$57:$A$60,0))=0,0,($O99/INDEX('Parametri Modello'!$E$57:$E$60,MATCH($B99,'Parametri Modello'!$A$57:$A$60,0)))*(INDEX('Parametri Modello'!$D$57:$D$60,MATCH($B99,'Parametri Modello'!$A$57:$A$60,0))*(INDEX('Parametri Modello'!$B$50:$B$53,MATCH($B99,'Parametri Modello'!$A$50:$A$53,0))*'Parametri Modello'!$B$44))),IF(INDEX('Parametri Modello'!$F$57:$F$60,MATCH($B99,'Parametri Modello'!$A$57:$A$60,0))=0,0,($O99/INDEX('Parametri Modello'!$F$57:$F$60,MATCH($B99,'Parametri Modello'!$A$57:$A$60,0)))*((1-INDEX('Parametri Modello'!$D$57:$D$60,MATCH($B99,'Parametri Modello'!$A$57:$A$60,0)))*(INDEX('Parametri Modello'!$B$50:$B$53,MATCH($B99,'Parametri Modello'!$A$50:$A$53,0))*'Parametri Modello'!$B$44))))*(1+IF(IF($B99="D",'Info Lega'!$B$25,IF($B99="C",'Info Lega'!$B$26,"No"))="Si",'Parametri Modello'!$B$5,0))*(1+MAX(-0.25,MIN(0.25,IF(OR($T99="",$I99="",$I99=0,INDEX('Parametri Modello'!$B$19:$B$22,MATCH($B99,'Parametri Modello'!$A$19:$A$22,0))="",INDEX('Parametri Modello'!$B$19:$B$22,MATCH($B99,'Parametri Modello'!$A$19:$A$22,0))=0),0,(($T99-INDEX('Parametri Modello'!$B$19:$B$22,MATCH($B99,'Parametri Modello'!$A$19:$A$22,0)))/INDEX('Parametri Modello'!$B$19:$B$22,MATCH($B99,'Parametri Modello'!$A$19:$A$22,0)))*'Parametri Modello'!$B$9))))*(1+IF('Parametri Modello'!$B$27="Si",MAX(-'Parametri Modello'!$B$28,MIN('Parametri Modello'!$B$28*1.5,IF(OR(INDEX('Parametri Modello'!$F$32:$F$35,MATCH($B99,'Parametri Modello'!$A$32:$A$35,0))="",INDEX('Parametri Modello'!$F$32:$F$35,MATCH($B99,'Parametri Modello'!$A$32:$A$35,0))=0),0,(1/INDEX('Parametri Modello'!$F$32:$F$35,MATCH($B99,'Parametri Modello'!$A$32:$A$35,0))-1)*'Parametri Modello'!$B$28))),0)))*(1+INDEX('Parametri Modello'!$B$12:$B$15,MATCH($B99,'Parametri Modello'!$A$12:$A$15,0))),0),"")</f>
        <v>5</v>
      </c>
      <c r="I99" s="26" t="n">
        <f aca="false">IFERROR(INDEX('Input Statistiche 2025_26'!$F$3:$F$665,MATCH($A99,'Input Statistiche 2025_26'!$A$3:$A$665,0)),"")</f>
        <v>28</v>
      </c>
      <c r="J99" s="26" t="n">
        <f aca="false">IFERROR(IF($I99="","",MAX(0,38-$I99)),"")</f>
        <v>10</v>
      </c>
      <c r="K99" s="26" t="n">
        <f aca="false">IFERROR(INDEX('Input Statistiche 2025_26'!$I$3:$I$665,MATCH($A99,'Input Statistiche 2025_26'!$A$3:$A$665,0)),"")</f>
        <v>2</v>
      </c>
      <c r="L99" s="26" t="n">
        <f aca="false">IFERROR(INDEX('Input Statistiche 2025_26'!$O$3:$O$665,MATCH($A99,'Input Statistiche 2025_26'!$A$3:$A$665,0)),"")</f>
        <v>8</v>
      </c>
      <c r="M99" s="28"/>
      <c r="N99" s="27" t="n">
        <f aca="false">IFERROR(INDEX('Input Giocatori 2026_27'!$E$3:$E$493,MATCH($A99,'Input Giocatori 2026_27'!$A$3:$A$493,0)),"")</f>
        <v>12</v>
      </c>
      <c r="O99" s="27" t="n">
        <f aca="false">IFERROR(INDEX('Input Giocatori 2026_27'!$G$3:$G$493,MATCH($A99,'Input Giocatori 2026_27'!$A$3:$A$493,0)),"")</f>
        <v>32</v>
      </c>
      <c r="P99" s="26" t="str">
        <f aca="false">IFERROR(IF($O99="","",IF((1-(COUNTIFS($B$2:$B$492,$B99,$O$2:$O$492,"&gt;"&amp;$O99)+1-1)/COUNTIF($B$2:$B$492,$B99))&gt;=0.85,"Top",IF((1-(COUNTIFS($B$2:$B$492,$B99,$O$2:$O$492,"&gt;"&amp;$O99)+1-1)/COUNTIF($B$2:$B$492,$B99))&gt;=0.6,"Buono",IF((1-(COUNTIFS($B$2:$B$492,$B99,$O$2:$O$492,"&gt;"&amp;$O99)+1-1)/COUNTIF($B$2:$B$492,$B99))&gt;=0.3,"Nella Media","Scommessa/Riserva")))),"")</f>
        <v>Buono</v>
      </c>
      <c r="Q99" s="29" t="n">
        <f aca="false">IF($D99="",COUNTIF($D$2:$D99,""),"")</f>
        <v>98</v>
      </c>
      <c r="R99" s="29" t="str">
        <f aca="false">IF($D99='Info Lega'!$B$28,COUNTIFS($D$2:$D99,'Info Lega'!$B$28),"")</f>
        <v/>
      </c>
      <c r="S99" s="30" t="n">
        <f aca="false">IFERROR(INDEX('Input Statistiche 2025_26'!$G$3:$G$665,MATCH($A99,'Input Statistiche 2025_26'!$A$3:$A$665,0)),"")</f>
        <v>6.25</v>
      </c>
      <c r="T99" s="30" t="n">
        <f aca="false">IFERROR(INDEX('Input Statistiche 2025_26'!$H$3:$H$665,MATCH($A99,'Input Statistiche 2025_26'!$A$3:$A$665,0)),"")</f>
        <v>6.66</v>
      </c>
      <c r="U99" s="26" t="str">
        <f aca="false">IF(OR('La Mia Rosa'!$O$12="",$D99&lt;&gt;""),"",IF($F99&lt;='La Mia Rosa'!$O$12*'Parametri Modello'!$B$24,"OK",IF($F99&lt;='La Mia Rosa'!$O$12*'Parametri Modello'!$B$25,"Attenzione","Rischio Alto")))</f>
        <v>OK</v>
      </c>
      <c r="V99" s="26" t="n">
        <f aca="false">IFERROR(COUNTIFS($B$2:$B$492,$B99,$O$2:$O$492,"&gt;"&amp;$O99)+1,"")</f>
        <v>37</v>
      </c>
      <c r="W99" s="21" t="n">
        <f aca="false">'Info Lega'!$B$4-SUMIFS($M$2:$M$492,$D$2:$D$492,'Info Lega'!$B$28)</f>
        <v>1000</v>
      </c>
      <c r="X99" s="21" t="n">
        <f aca="false">('Info Lega'!$B$5-COUNTIFS($D$2:$D$492,'Info Lega'!$B$28,$B$2:$B$492,"P"))+('Info Lega'!$B$6-COUNTIFS($D$2:$D$492,'Info Lega'!$B$28,$B$2:$B$492,"D"))+('Info Lega'!$B$7-COUNTIFS($D$2:$D$492,'Info Lega'!$B$28,$B$2:$B$492,"C"))+('Info Lega'!$B$8-COUNTIFS($D$2:$D$492,'Info Lega'!$B$28,$B$2:$B$492,"A"))</f>
        <v>25</v>
      </c>
      <c r="Y99" s="21" t="n">
        <f aca="false">X99*'Parametri Modello'!$B$30</f>
        <v>25</v>
      </c>
      <c r="Z99" s="21" t="n">
        <f aca="false">MAX(0,W99-Y99)</f>
        <v>975</v>
      </c>
      <c r="AA99" s="21" t="n">
        <f aca="false">MIN(F99,Z99)</f>
        <v>4</v>
      </c>
      <c r="AB99" s="21"/>
      <c r="AC99" s="21" t="str">
        <f aca="false">IF(AB99="","",IF(AB99&gt;AA99,"PASS",IF(AB99&lt;=AA99*0.85,"BID","ATTENZIONE")))</f>
        <v/>
      </c>
      <c r="AD99" s="31" t="n">
        <f aca="false">IF(I99="","",ROUND(100*(1-EXP(-I99/30)),0))</f>
        <v>61</v>
      </c>
      <c r="AE99" s="7" t="str">
        <f aca="false">IFERROR(INDEX('Stato Asta'!$G$9:$G$12,MATCH($B99,'Stato Asta'!$A$9:$A$12,0)),"")</f>
        <v>🟡 Attesa rischiosa</v>
      </c>
    </row>
    <row r="100" customFormat="false" ht="14.25" hidden="false" customHeight="true" outlineLevel="0" collapsed="false">
      <c r="A100" s="21" t="n">
        <v>2077</v>
      </c>
      <c r="B100" s="21" t="s">
        <v>45</v>
      </c>
      <c r="C100" s="21" t="s">
        <v>401</v>
      </c>
      <c r="E100" s="26" t="str">
        <f aca="false">IF(COUNTIF('Info Strategia'!$D$2:$D$51,$C100)&gt;0,"SI","NO")</f>
        <v>NO</v>
      </c>
      <c r="F100" s="27" t="n">
        <f aca="false">IFERROR(ROUND(($G100+($H100-$G100)*'Info Strategia'!$B$6)*(1+IF($E100="SI",'Parametri Modello'!$B$7*'Info Strategia'!$B$6,0)),0),"")</f>
        <v>4</v>
      </c>
      <c r="G100" s="27" t="n">
        <f aca="false">IFERROR(ROUND(MAX(1,(IF($V100&lt;=INDEX('Parametri Modello'!$C$57:$C$60,MATCH($B100,'Parametri Modello'!$A$57:$A$60,0)),IF(INDEX('Parametri Modello'!$E$57:$E$60,MATCH($B100,'Parametri Modello'!$A$57:$A$60,0))=0,0,($O100/INDEX('Parametri Modello'!$E$57:$E$60,MATCH($B100,'Parametri Modello'!$A$57:$A$60,0)))*(INDEX('Parametri Modello'!$D$57:$D$60,MATCH($B100,'Parametri Modello'!$A$57:$A$60,0))*(INDEX('Parametri Modello'!$B$50:$B$53,MATCH($B100,'Parametri Modello'!$A$50:$A$53,0))*'Parametri Modello'!$B$44))),IF(INDEX('Parametri Modello'!$F$57:$F$60,MATCH($B100,'Parametri Modello'!$A$57:$A$60,0))=0,0,($O100/INDEX('Parametri Modello'!$F$57:$F$60,MATCH($B100,'Parametri Modello'!$A$57:$A$60,0)))*((1-INDEX('Parametri Modello'!$D$57:$D$60,MATCH($B100,'Parametri Modello'!$A$57:$A$60,0)))*(INDEX('Parametri Modello'!$B$50:$B$53,MATCH($B100,'Parametri Modello'!$A$50:$A$53,0))*'Parametri Modello'!$B$44))))*(1+IF(IF($B100="D",'Info Lega'!$B$25,IF($B100="C",'Info Lega'!$B$26,"No"))="Si",'Parametri Modello'!$B$5,0))*(1+MAX(-0.25,MIN(0.25,IF(OR($T100="",$I100="",$I100=0,INDEX('Parametri Modello'!$B$19:$B$22,MATCH($B100,'Parametri Modello'!$A$19:$A$22,0))="",INDEX('Parametri Modello'!$B$19:$B$22,MATCH($B100,'Parametri Modello'!$A$19:$A$22,0))=0),0,(($T100-INDEX('Parametri Modello'!$B$19:$B$22,MATCH($B100,'Parametri Modello'!$A$19:$A$22,0)))/INDEX('Parametri Modello'!$B$19:$B$22,MATCH($B100,'Parametri Modello'!$A$19:$A$22,0)))*'Parametri Modello'!$B$9))))*(1+IF('Parametri Modello'!$B$27="Si",MAX(-'Parametri Modello'!$B$28,MIN('Parametri Modello'!$B$28*1.5,IF(OR(INDEX('Parametri Modello'!$F$32:$F$35,MATCH($B100,'Parametri Modello'!$A$32:$A$35,0))="",INDEX('Parametri Modello'!$F$32:$F$35,MATCH($B100,'Parametri Modello'!$A$32:$A$35,0))=0),0,(1/INDEX('Parametri Modello'!$F$32:$F$35,MATCH($B100,'Parametri Modello'!$A$32:$A$35,0))-1)*'Parametri Modello'!$B$28))),0)))*(1-INDEX('Parametri Modello'!$B$12:$B$15,MATCH($B100,'Parametri Modello'!$A$12:$A$15,0)))),0),"")</f>
        <v>3</v>
      </c>
      <c r="H100" s="27" t="n">
        <f aca="false">IFERROR(ROUND((IF($V100&lt;=INDEX('Parametri Modello'!$C$57:$C$60,MATCH($B100,'Parametri Modello'!$A$57:$A$60,0)),IF(INDEX('Parametri Modello'!$E$57:$E$60,MATCH($B100,'Parametri Modello'!$A$57:$A$60,0))=0,0,($O100/INDEX('Parametri Modello'!$E$57:$E$60,MATCH($B100,'Parametri Modello'!$A$57:$A$60,0)))*(INDEX('Parametri Modello'!$D$57:$D$60,MATCH($B100,'Parametri Modello'!$A$57:$A$60,0))*(INDEX('Parametri Modello'!$B$50:$B$53,MATCH($B100,'Parametri Modello'!$A$50:$A$53,0))*'Parametri Modello'!$B$44))),IF(INDEX('Parametri Modello'!$F$57:$F$60,MATCH($B100,'Parametri Modello'!$A$57:$A$60,0))=0,0,($O100/INDEX('Parametri Modello'!$F$57:$F$60,MATCH($B100,'Parametri Modello'!$A$57:$A$60,0)))*((1-INDEX('Parametri Modello'!$D$57:$D$60,MATCH($B100,'Parametri Modello'!$A$57:$A$60,0)))*(INDEX('Parametri Modello'!$B$50:$B$53,MATCH($B100,'Parametri Modello'!$A$50:$A$53,0))*'Parametri Modello'!$B$44))))*(1+IF(IF($B100="D",'Info Lega'!$B$25,IF($B100="C",'Info Lega'!$B$26,"No"))="Si",'Parametri Modello'!$B$5,0))*(1+MAX(-0.25,MIN(0.25,IF(OR($T100="",$I100="",$I100=0,INDEX('Parametri Modello'!$B$19:$B$22,MATCH($B100,'Parametri Modello'!$A$19:$A$22,0))="",INDEX('Parametri Modello'!$B$19:$B$22,MATCH($B100,'Parametri Modello'!$A$19:$A$22,0))=0),0,(($T100-INDEX('Parametri Modello'!$B$19:$B$22,MATCH($B100,'Parametri Modello'!$A$19:$A$22,0)))/INDEX('Parametri Modello'!$B$19:$B$22,MATCH($B100,'Parametri Modello'!$A$19:$A$22,0)))*'Parametri Modello'!$B$9))))*(1+IF('Parametri Modello'!$B$27="Si",MAX(-'Parametri Modello'!$B$28,MIN('Parametri Modello'!$B$28*1.5,IF(OR(INDEX('Parametri Modello'!$F$32:$F$35,MATCH($B100,'Parametri Modello'!$A$32:$A$35,0))="",INDEX('Parametri Modello'!$F$32:$F$35,MATCH($B100,'Parametri Modello'!$A$32:$A$35,0))=0),0,(1/INDEX('Parametri Modello'!$F$32:$F$35,MATCH($B100,'Parametri Modello'!$A$32:$A$35,0))-1)*'Parametri Modello'!$B$28))),0)))*(1+INDEX('Parametri Modello'!$B$12:$B$15,MATCH($B100,'Parametri Modello'!$A$12:$A$15,0))),0),"")</f>
        <v>5</v>
      </c>
      <c r="I100" s="26" t="n">
        <f aca="false">IFERROR(INDEX('Input Statistiche 2025_26'!$F$3:$F$665,MATCH($A100,'Input Statistiche 2025_26'!$A$3:$A$665,0)),"")</f>
        <v>31</v>
      </c>
      <c r="J100" s="26" t="n">
        <f aca="false">IFERROR(IF($I100="","",MAX(0,38-$I100)),"")</f>
        <v>7</v>
      </c>
      <c r="K100" s="26" t="n">
        <f aca="false">IFERROR(INDEX('Input Statistiche 2025_26'!$I$3:$I$665,MATCH($A100,'Input Statistiche 2025_26'!$A$3:$A$665,0)),"")</f>
        <v>3</v>
      </c>
      <c r="L100" s="26" t="n">
        <f aca="false">IFERROR(INDEX('Input Statistiche 2025_26'!$O$3:$O$665,MATCH($A100,'Input Statistiche 2025_26'!$A$3:$A$665,0)),"")</f>
        <v>3</v>
      </c>
      <c r="M100" s="28"/>
      <c r="N100" s="27" t="n">
        <f aca="false">IFERROR(INDEX('Input Giocatori 2026_27'!$E$3:$E$493,MATCH($A100,'Input Giocatori 2026_27'!$A$3:$A$493,0)),"")</f>
        <v>9</v>
      </c>
      <c r="O100" s="27" t="n">
        <f aca="false">IFERROR(INDEX('Input Giocatori 2026_27'!$G$3:$G$493,MATCH($A100,'Input Giocatori 2026_27'!$A$3:$A$493,0)),"")</f>
        <v>32</v>
      </c>
      <c r="P100" s="26" t="str">
        <f aca="false">IFERROR(IF($O100="","",IF((1-(COUNTIFS($B$2:$B$492,$B100,$O$2:$O$492,"&gt;"&amp;$O100)+1-1)/COUNTIF($B$2:$B$492,$B100))&gt;=0.85,"Top",IF((1-(COUNTIFS($B$2:$B$492,$B100,$O$2:$O$492,"&gt;"&amp;$O100)+1-1)/COUNTIF($B$2:$B$492,$B100))&gt;=0.6,"Buono",IF((1-(COUNTIFS($B$2:$B$492,$B100,$O$2:$O$492,"&gt;"&amp;$O100)+1-1)/COUNTIF($B$2:$B$492,$B100))&gt;=0.3,"Nella Media","Scommessa/Riserva")))),"")</f>
        <v>Buono</v>
      </c>
      <c r="Q100" s="29" t="n">
        <f aca="false">IF($D100="",COUNTIF($D$2:$D100,""),"")</f>
        <v>99</v>
      </c>
      <c r="R100" s="29" t="str">
        <f aca="false">IF($D100='Info Lega'!$B$28,COUNTIFS($D$2:$D100,'Info Lega'!$B$28),"")</f>
        <v/>
      </c>
      <c r="S100" s="30" t="n">
        <f aca="false">IFERROR(INDEX('Input Statistiche 2025_26'!$G$3:$G$665,MATCH($A100,'Input Statistiche 2025_26'!$A$3:$A$665,0)),"")</f>
        <v>5.94</v>
      </c>
      <c r="T100" s="30" t="n">
        <f aca="false">IFERROR(INDEX('Input Statistiche 2025_26'!$H$3:$H$665,MATCH($A100,'Input Statistiche 2025_26'!$A$3:$A$665,0)),"")</f>
        <v>6.27</v>
      </c>
      <c r="U100" s="26" t="str">
        <f aca="false">IF(OR('La Mia Rosa'!$O$12="",$D100&lt;&gt;""),"",IF($F100&lt;='La Mia Rosa'!$O$12*'Parametri Modello'!$B$24,"OK",IF($F100&lt;='La Mia Rosa'!$O$12*'Parametri Modello'!$B$25,"Attenzione","Rischio Alto")))</f>
        <v>OK</v>
      </c>
      <c r="V100" s="26" t="n">
        <f aca="false">IFERROR(COUNTIFS($B$2:$B$492,$B100,$O$2:$O$492,"&gt;"&amp;$O100)+1,"")</f>
        <v>37</v>
      </c>
      <c r="W100" s="21" t="n">
        <f aca="false">'Info Lega'!$B$4-SUMIFS($M$2:$M$492,$D$2:$D$492,'Info Lega'!$B$28)</f>
        <v>1000</v>
      </c>
      <c r="X100" s="21" t="n">
        <f aca="false">('Info Lega'!$B$5-COUNTIFS($D$2:$D$492,'Info Lega'!$B$28,$B$2:$B$492,"P"))+('Info Lega'!$B$6-COUNTIFS($D$2:$D$492,'Info Lega'!$B$28,$B$2:$B$492,"D"))+('Info Lega'!$B$7-COUNTIFS($D$2:$D$492,'Info Lega'!$B$28,$B$2:$B$492,"C"))+('Info Lega'!$B$8-COUNTIFS($D$2:$D$492,'Info Lega'!$B$28,$B$2:$B$492,"A"))</f>
        <v>25</v>
      </c>
      <c r="Y100" s="21" t="n">
        <f aca="false">X100*'Parametri Modello'!$B$30</f>
        <v>25</v>
      </c>
      <c r="Z100" s="21" t="n">
        <f aca="false">MAX(0,W100-Y100)</f>
        <v>975</v>
      </c>
      <c r="AA100" s="21" t="n">
        <f aca="false">MIN(F100,Z100)</f>
        <v>4</v>
      </c>
      <c r="AB100" s="21"/>
      <c r="AC100" s="21" t="str">
        <f aca="false">IF(AB100="","",IF(AB100&gt;AA100,"PASS",IF(AB100&lt;=AA100*0.85,"BID","ATTENZIONE")))</f>
        <v/>
      </c>
      <c r="AD100" s="31" t="n">
        <f aca="false">IF(I100="","",ROUND(100*(1-EXP(-I100/30)),0))</f>
        <v>64</v>
      </c>
      <c r="AE100" s="7" t="str">
        <f aca="false">IFERROR(INDEX('Stato Asta'!$G$9:$G$12,MATCH($B100,'Stato Asta'!$A$9:$A$12,0)),"")</f>
        <v>🟡 Attesa rischiosa</v>
      </c>
    </row>
    <row r="101" customFormat="false" ht="14.25" hidden="false" customHeight="true" outlineLevel="0" collapsed="false">
      <c r="A101" s="21" t="n">
        <v>827</v>
      </c>
      <c r="B101" s="21" t="s">
        <v>45</v>
      </c>
      <c r="C101" s="21" t="s">
        <v>413</v>
      </c>
      <c r="E101" s="26" t="str">
        <f aca="false">IF(COUNTIF('Info Strategia'!$D$2:$D$51,$C101)&gt;0,"SI","NO")</f>
        <v>NO</v>
      </c>
      <c r="F101" s="27" t="n">
        <f aca="false">IFERROR(ROUND(($G101+($H101-$G101)*'Info Strategia'!$B$6)*(1+IF($E101="SI",'Parametri Modello'!$B$7*'Info Strategia'!$B$6,0)),0),"")</f>
        <v>4</v>
      </c>
      <c r="G101" s="27" t="n">
        <f aca="false">IFERROR(ROUND(MAX(1,(IF($V101&lt;=INDEX('Parametri Modello'!$C$57:$C$60,MATCH($B101,'Parametri Modello'!$A$57:$A$60,0)),IF(INDEX('Parametri Modello'!$E$57:$E$60,MATCH($B101,'Parametri Modello'!$A$57:$A$60,0))=0,0,($O101/INDEX('Parametri Modello'!$E$57:$E$60,MATCH($B101,'Parametri Modello'!$A$57:$A$60,0)))*(INDEX('Parametri Modello'!$D$57:$D$60,MATCH($B101,'Parametri Modello'!$A$57:$A$60,0))*(INDEX('Parametri Modello'!$B$50:$B$53,MATCH($B101,'Parametri Modello'!$A$50:$A$53,0))*'Parametri Modello'!$B$44))),IF(INDEX('Parametri Modello'!$F$57:$F$60,MATCH($B101,'Parametri Modello'!$A$57:$A$60,0))=0,0,($O101/INDEX('Parametri Modello'!$F$57:$F$60,MATCH($B101,'Parametri Modello'!$A$57:$A$60,0)))*((1-INDEX('Parametri Modello'!$D$57:$D$60,MATCH($B101,'Parametri Modello'!$A$57:$A$60,0)))*(INDEX('Parametri Modello'!$B$50:$B$53,MATCH($B101,'Parametri Modello'!$A$50:$A$53,0))*'Parametri Modello'!$B$44))))*(1+IF(IF($B101="D",'Info Lega'!$B$25,IF($B101="C",'Info Lega'!$B$26,"No"))="Si",'Parametri Modello'!$B$5,0))*(1+MAX(-0.25,MIN(0.25,IF(OR($T101="",$I101="",$I101=0,INDEX('Parametri Modello'!$B$19:$B$22,MATCH($B101,'Parametri Modello'!$A$19:$A$22,0))="",INDEX('Parametri Modello'!$B$19:$B$22,MATCH($B101,'Parametri Modello'!$A$19:$A$22,0))=0),0,(($T101-INDEX('Parametri Modello'!$B$19:$B$22,MATCH($B101,'Parametri Modello'!$A$19:$A$22,0)))/INDEX('Parametri Modello'!$B$19:$B$22,MATCH($B101,'Parametri Modello'!$A$19:$A$22,0)))*'Parametri Modello'!$B$9))))*(1+IF('Parametri Modello'!$B$27="Si",MAX(-'Parametri Modello'!$B$28,MIN('Parametri Modello'!$B$28*1.5,IF(OR(INDEX('Parametri Modello'!$F$32:$F$35,MATCH($B101,'Parametri Modello'!$A$32:$A$35,0))="",INDEX('Parametri Modello'!$F$32:$F$35,MATCH($B101,'Parametri Modello'!$A$32:$A$35,0))=0),0,(1/INDEX('Parametri Modello'!$F$32:$F$35,MATCH($B101,'Parametri Modello'!$A$32:$A$35,0))-1)*'Parametri Modello'!$B$28))),0)))*(1-INDEX('Parametri Modello'!$B$12:$B$15,MATCH($B101,'Parametri Modello'!$A$12:$A$15,0)))),0),"")</f>
        <v>3</v>
      </c>
      <c r="H101" s="27" t="n">
        <f aca="false">IFERROR(ROUND((IF($V101&lt;=INDEX('Parametri Modello'!$C$57:$C$60,MATCH($B101,'Parametri Modello'!$A$57:$A$60,0)),IF(INDEX('Parametri Modello'!$E$57:$E$60,MATCH($B101,'Parametri Modello'!$A$57:$A$60,0))=0,0,($O101/INDEX('Parametri Modello'!$E$57:$E$60,MATCH($B101,'Parametri Modello'!$A$57:$A$60,0)))*(INDEX('Parametri Modello'!$D$57:$D$60,MATCH($B101,'Parametri Modello'!$A$57:$A$60,0))*(INDEX('Parametri Modello'!$B$50:$B$53,MATCH($B101,'Parametri Modello'!$A$50:$A$53,0))*'Parametri Modello'!$B$44))),IF(INDEX('Parametri Modello'!$F$57:$F$60,MATCH($B101,'Parametri Modello'!$A$57:$A$60,0))=0,0,($O101/INDEX('Parametri Modello'!$F$57:$F$60,MATCH($B101,'Parametri Modello'!$A$57:$A$60,0)))*((1-INDEX('Parametri Modello'!$D$57:$D$60,MATCH($B101,'Parametri Modello'!$A$57:$A$60,0)))*(INDEX('Parametri Modello'!$B$50:$B$53,MATCH($B101,'Parametri Modello'!$A$50:$A$53,0))*'Parametri Modello'!$B$44))))*(1+IF(IF($B101="D",'Info Lega'!$B$25,IF($B101="C",'Info Lega'!$B$26,"No"))="Si",'Parametri Modello'!$B$5,0))*(1+MAX(-0.25,MIN(0.25,IF(OR($T101="",$I101="",$I101=0,INDEX('Parametri Modello'!$B$19:$B$22,MATCH($B101,'Parametri Modello'!$A$19:$A$22,0))="",INDEX('Parametri Modello'!$B$19:$B$22,MATCH($B101,'Parametri Modello'!$A$19:$A$22,0))=0),0,(($T101-INDEX('Parametri Modello'!$B$19:$B$22,MATCH($B101,'Parametri Modello'!$A$19:$A$22,0)))/INDEX('Parametri Modello'!$B$19:$B$22,MATCH($B101,'Parametri Modello'!$A$19:$A$22,0)))*'Parametri Modello'!$B$9))))*(1+IF('Parametri Modello'!$B$27="Si",MAX(-'Parametri Modello'!$B$28,MIN('Parametri Modello'!$B$28*1.5,IF(OR(INDEX('Parametri Modello'!$F$32:$F$35,MATCH($B101,'Parametri Modello'!$A$32:$A$35,0))="",INDEX('Parametri Modello'!$F$32:$F$35,MATCH($B101,'Parametri Modello'!$A$32:$A$35,0))=0),0,(1/INDEX('Parametri Modello'!$F$32:$F$35,MATCH($B101,'Parametri Modello'!$A$32:$A$35,0))-1)*'Parametri Modello'!$B$28))),0)))*(1+INDEX('Parametri Modello'!$B$12:$B$15,MATCH($B101,'Parametri Modello'!$A$12:$A$15,0))),0),"")</f>
        <v>5</v>
      </c>
      <c r="I101" s="26" t="n">
        <f aca="false">IFERROR(INDEX('Input Statistiche 2025_26'!$F$3:$F$665,MATCH($A101,'Input Statistiche 2025_26'!$A$3:$A$665,0)),"")</f>
        <v>36</v>
      </c>
      <c r="J101" s="26" t="n">
        <f aca="false">IFERROR(IF($I101="","",MAX(0,38-$I101)),"")</f>
        <v>2</v>
      </c>
      <c r="K101" s="26" t="n">
        <f aca="false">IFERROR(INDEX('Input Statistiche 2025_26'!$I$3:$I$665,MATCH($A101,'Input Statistiche 2025_26'!$A$3:$A$665,0)),"")</f>
        <v>1</v>
      </c>
      <c r="L101" s="26" t="n">
        <f aca="false">IFERROR(INDEX('Input Statistiche 2025_26'!$O$3:$O$665,MATCH($A101,'Input Statistiche 2025_26'!$A$3:$A$665,0)),"")</f>
        <v>2</v>
      </c>
      <c r="M101" s="28"/>
      <c r="N101" s="27" t="n">
        <f aca="false">IFERROR(INDEX('Input Giocatori 2026_27'!$E$3:$E$493,MATCH($A101,'Input Giocatori 2026_27'!$A$3:$A$493,0)),"")</f>
        <v>8</v>
      </c>
      <c r="O101" s="27" t="n">
        <f aca="false">IFERROR(INDEX('Input Giocatori 2026_27'!$G$3:$G$493,MATCH($A101,'Input Giocatori 2026_27'!$A$3:$A$493,0)),"")</f>
        <v>32</v>
      </c>
      <c r="P101" s="26" t="str">
        <f aca="false">IFERROR(IF($O101="","",IF((1-(COUNTIFS($B$2:$B$492,$B101,$O$2:$O$492,"&gt;"&amp;$O101)+1-1)/COUNTIF($B$2:$B$492,$B101))&gt;=0.85,"Top",IF((1-(COUNTIFS($B$2:$B$492,$B101,$O$2:$O$492,"&gt;"&amp;$O101)+1-1)/COUNTIF($B$2:$B$492,$B101))&gt;=0.6,"Buono",IF((1-(COUNTIFS($B$2:$B$492,$B101,$O$2:$O$492,"&gt;"&amp;$O101)+1-1)/COUNTIF($B$2:$B$492,$B101))&gt;=0.3,"Nella Media","Scommessa/Riserva")))),"")</f>
        <v>Buono</v>
      </c>
      <c r="Q101" s="29" t="n">
        <f aca="false">IF($D101="",COUNTIF($D$2:$D101,""),"")</f>
        <v>100</v>
      </c>
      <c r="R101" s="29" t="str">
        <f aca="false">IF($D101='Info Lega'!$B$28,COUNTIFS($D$2:$D101,'Info Lega'!$B$28),"")</f>
        <v/>
      </c>
      <c r="S101" s="30" t="n">
        <f aca="false">IFERROR(INDEX('Input Statistiche 2025_26'!$G$3:$G$665,MATCH($A101,'Input Statistiche 2025_26'!$A$3:$A$665,0)),"")</f>
        <v>6.26</v>
      </c>
      <c r="T101" s="30" t="n">
        <f aca="false">IFERROR(INDEX('Input Statistiche 2025_26'!$H$3:$H$665,MATCH($A101,'Input Statistiche 2025_26'!$A$3:$A$665,0)),"")</f>
        <v>6.19</v>
      </c>
      <c r="U101" s="26" t="str">
        <f aca="false">IF(OR('La Mia Rosa'!$O$12="",$D101&lt;&gt;""),"",IF($F101&lt;='La Mia Rosa'!$O$12*'Parametri Modello'!$B$24,"OK",IF($F101&lt;='La Mia Rosa'!$O$12*'Parametri Modello'!$B$25,"Attenzione","Rischio Alto")))</f>
        <v>OK</v>
      </c>
      <c r="V101" s="26" t="n">
        <f aca="false">IFERROR(COUNTIFS($B$2:$B$492,$B101,$O$2:$O$492,"&gt;"&amp;$O101)+1,"")</f>
        <v>37</v>
      </c>
      <c r="W101" s="21" t="n">
        <f aca="false">'Info Lega'!$B$4-SUMIFS($M$2:$M$492,$D$2:$D$492,'Info Lega'!$B$28)</f>
        <v>1000</v>
      </c>
      <c r="X101" s="21" t="n">
        <f aca="false">('Info Lega'!$B$5-COUNTIFS($D$2:$D$492,'Info Lega'!$B$28,$B$2:$B$492,"P"))+('Info Lega'!$B$6-COUNTIFS($D$2:$D$492,'Info Lega'!$B$28,$B$2:$B$492,"D"))+('Info Lega'!$B$7-COUNTIFS($D$2:$D$492,'Info Lega'!$B$28,$B$2:$B$492,"C"))+('Info Lega'!$B$8-COUNTIFS($D$2:$D$492,'Info Lega'!$B$28,$B$2:$B$492,"A"))</f>
        <v>25</v>
      </c>
      <c r="Y101" s="21" t="n">
        <f aca="false">X101*'Parametri Modello'!$B$30</f>
        <v>25</v>
      </c>
      <c r="Z101" s="21" t="n">
        <f aca="false">MAX(0,W101-Y101)</f>
        <v>975</v>
      </c>
      <c r="AA101" s="21" t="n">
        <f aca="false">MIN(F101,Z101)</f>
        <v>4</v>
      </c>
      <c r="AB101" s="21"/>
      <c r="AC101" s="21" t="str">
        <f aca="false">IF(AB101="","",IF(AB101&gt;AA101,"PASS",IF(AB101&lt;=AA101*0.85,"BID","ATTENZIONE")))</f>
        <v/>
      </c>
      <c r="AD101" s="31" t="n">
        <f aca="false">IF(I101="","",ROUND(100*(1-EXP(-I101/30)),0))</f>
        <v>70</v>
      </c>
      <c r="AE101" s="7" t="str">
        <f aca="false">IFERROR(INDEX('Stato Asta'!$G$9:$G$12,MATCH($B101,'Stato Asta'!$A$9:$A$12,0)),"")</f>
        <v>🟡 Attesa rischiosa</v>
      </c>
    </row>
    <row r="102" customFormat="false" ht="14.25" hidden="false" customHeight="true" outlineLevel="0" collapsed="false">
      <c r="A102" s="21" t="n">
        <v>7313</v>
      </c>
      <c r="B102" s="21" t="s">
        <v>46</v>
      </c>
      <c r="C102" s="21" t="s">
        <v>570</v>
      </c>
      <c r="E102" s="26" t="str">
        <f aca="false">IF(COUNTIF('Info Strategia'!$D$2:$D$51,$C102)&gt;0,"SI","NO")</f>
        <v>NO</v>
      </c>
      <c r="F102" s="27" t="n">
        <f aca="false">IFERROR(ROUND(($G102+($H102-$G102)*'Info Strategia'!$B$6)*(1+IF($E102="SI",'Parametri Modello'!$B$7*'Info Strategia'!$B$6,0)),0),"")</f>
        <v>10</v>
      </c>
      <c r="G102" s="27" t="n">
        <f aca="false">IFERROR(ROUND(MAX(1,(IF($V102&lt;=INDEX('Parametri Modello'!$C$57:$C$60,MATCH($B102,'Parametri Modello'!$A$57:$A$60,0)),IF(INDEX('Parametri Modello'!$E$57:$E$60,MATCH($B102,'Parametri Modello'!$A$57:$A$60,0))=0,0,($O102/INDEX('Parametri Modello'!$E$57:$E$60,MATCH($B102,'Parametri Modello'!$A$57:$A$60,0)))*(INDEX('Parametri Modello'!$D$57:$D$60,MATCH($B102,'Parametri Modello'!$A$57:$A$60,0))*(INDEX('Parametri Modello'!$B$50:$B$53,MATCH($B102,'Parametri Modello'!$A$50:$A$53,0))*'Parametri Modello'!$B$44))),IF(INDEX('Parametri Modello'!$F$57:$F$60,MATCH($B102,'Parametri Modello'!$A$57:$A$60,0))=0,0,($O102/INDEX('Parametri Modello'!$F$57:$F$60,MATCH($B102,'Parametri Modello'!$A$57:$A$60,0)))*((1-INDEX('Parametri Modello'!$D$57:$D$60,MATCH($B102,'Parametri Modello'!$A$57:$A$60,0)))*(INDEX('Parametri Modello'!$B$50:$B$53,MATCH($B102,'Parametri Modello'!$A$50:$A$53,0))*'Parametri Modello'!$B$44))))*(1+IF(IF($B102="D",'Info Lega'!$B$25,IF($B102="C",'Info Lega'!$B$26,"No"))="Si",'Parametri Modello'!$B$5,0))*(1+MAX(-0.25,MIN(0.25,IF(OR($T102="",$I102="",$I102=0,INDEX('Parametri Modello'!$B$19:$B$22,MATCH($B102,'Parametri Modello'!$A$19:$A$22,0))="",INDEX('Parametri Modello'!$B$19:$B$22,MATCH($B102,'Parametri Modello'!$A$19:$A$22,0))=0),0,(($T102-INDEX('Parametri Modello'!$B$19:$B$22,MATCH($B102,'Parametri Modello'!$A$19:$A$22,0)))/INDEX('Parametri Modello'!$B$19:$B$22,MATCH($B102,'Parametri Modello'!$A$19:$A$22,0)))*'Parametri Modello'!$B$9))))*(1+IF('Parametri Modello'!$B$27="Si",MAX(-'Parametri Modello'!$B$28,MIN('Parametri Modello'!$B$28*1.5,IF(OR(INDEX('Parametri Modello'!$F$32:$F$35,MATCH($B102,'Parametri Modello'!$A$32:$A$35,0))="",INDEX('Parametri Modello'!$F$32:$F$35,MATCH($B102,'Parametri Modello'!$A$32:$A$35,0))=0),0,(1/INDEX('Parametri Modello'!$F$32:$F$35,MATCH($B102,'Parametri Modello'!$A$32:$A$35,0))-1)*'Parametri Modello'!$B$28))),0)))*(1-INDEX('Parametri Modello'!$B$12:$B$15,MATCH($B102,'Parametri Modello'!$A$12:$A$15,0)))),0),"")</f>
        <v>6</v>
      </c>
      <c r="H102" s="27" t="n">
        <f aca="false">IFERROR(ROUND((IF($V102&lt;=INDEX('Parametri Modello'!$C$57:$C$60,MATCH($B102,'Parametri Modello'!$A$57:$A$60,0)),IF(INDEX('Parametri Modello'!$E$57:$E$60,MATCH($B102,'Parametri Modello'!$A$57:$A$60,0))=0,0,($O102/INDEX('Parametri Modello'!$E$57:$E$60,MATCH($B102,'Parametri Modello'!$A$57:$A$60,0)))*(INDEX('Parametri Modello'!$D$57:$D$60,MATCH($B102,'Parametri Modello'!$A$57:$A$60,0))*(INDEX('Parametri Modello'!$B$50:$B$53,MATCH($B102,'Parametri Modello'!$A$50:$A$53,0))*'Parametri Modello'!$B$44))),IF(INDEX('Parametri Modello'!$F$57:$F$60,MATCH($B102,'Parametri Modello'!$A$57:$A$60,0))=0,0,($O102/INDEX('Parametri Modello'!$F$57:$F$60,MATCH($B102,'Parametri Modello'!$A$57:$A$60,0)))*((1-INDEX('Parametri Modello'!$D$57:$D$60,MATCH($B102,'Parametri Modello'!$A$57:$A$60,0)))*(INDEX('Parametri Modello'!$B$50:$B$53,MATCH($B102,'Parametri Modello'!$A$50:$A$53,0))*'Parametri Modello'!$B$44))))*(1+IF(IF($B102="D",'Info Lega'!$B$25,IF($B102="C",'Info Lega'!$B$26,"No"))="Si",'Parametri Modello'!$B$5,0))*(1+MAX(-0.25,MIN(0.25,IF(OR($T102="",$I102="",$I102=0,INDEX('Parametri Modello'!$B$19:$B$22,MATCH($B102,'Parametri Modello'!$A$19:$A$22,0))="",INDEX('Parametri Modello'!$B$19:$B$22,MATCH($B102,'Parametri Modello'!$A$19:$A$22,0))=0),0,(($T102-INDEX('Parametri Modello'!$B$19:$B$22,MATCH($B102,'Parametri Modello'!$A$19:$A$22,0)))/INDEX('Parametri Modello'!$B$19:$B$22,MATCH($B102,'Parametri Modello'!$A$19:$A$22,0)))*'Parametri Modello'!$B$9))))*(1+IF('Parametri Modello'!$B$27="Si",MAX(-'Parametri Modello'!$B$28,MIN('Parametri Modello'!$B$28*1.5,IF(OR(INDEX('Parametri Modello'!$F$32:$F$35,MATCH($B102,'Parametri Modello'!$A$32:$A$35,0))="",INDEX('Parametri Modello'!$F$32:$F$35,MATCH($B102,'Parametri Modello'!$A$32:$A$35,0))=0),0,(1/INDEX('Parametri Modello'!$F$32:$F$35,MATCH($B102,'Parametri Modello'!$A$32:$A$35,0))-1)*'Parametri Modello'!$B$28))),0)))*(1+INDEX('Parametri Modello'!$B$12:$B$15,MATCH($B102,'Parametri Modello'!$A$12:$A$15,0))),0),"")</f>
        <v>12</v>
      </c>
      <c r="I102" s="26" t="n">
        <f aca="false">IFERROR(INDEX('Input Statistiche 2025_26'!$F$3:$F$665,MATCH($A102,'Input Statistiche 2025_26'!$A$3:$A$665,0)),"")</f>
        <v>7</v>
      </c>
      <c r="J102" s="26" t="n">
        <f aca="false">IFERROR(IF($I102="","",MAX(0,38-$I102)),"")</f>
        <v>31</v>
      </c>
      <c r="K102" s="26" t="n">
        <f aca="false">IFERROR(INDEX('Input Statistiche 2025_26'!$I$3:$I$665,MATCH($A102,'Input Statistiche 2025_26'!$A$3:$A$665,0)),"")</f>
        <v>0</v>
      </c>
      <c r="L102" s="26" t="n">
        <f aca="false">IFERROR(INDEX('Input Statistiche 2025_26'!$O$3:$O$665,MATCH($A102,'Input Statistiche 2025_26'!$A$3:$A$665,0)),"")</f>
        <v>0</v>
      </c>
      <c r="M102" s="28"/>
      <c r="N102" s="27" t="n">
        <f aca="false">IFERROR(INDEX('Input Giocatori 2026_27'!$E$3:$E$493,MATCH($A102,'Input Giocatori 2026_27'!$A$3:$A$493,0)),"")</f>
        <v>10</v>
      </c>
      <c r="O102" s="27" t="n">
        <f aca="false">IFERROR(INDEX('Input Giocatori 2026_27'!$G$3:$G$493,MATCH($A102,'Input Giocatori 2026_27'!$A$3:$A$493,0)),"")</f>
        <v>32</v>
      </c>
      <c r="P102" s="26" t="str">
        <f aca="false">IFERROR(IF($O102="","",IF((1-(COUNTIFS($B$2:$B$492,$B102,$O$2:$O$492,"&gt;"&amp;$O102)+1-1)/COUNTIF($B$2:$B$492,$B102))&gt;=0.85,"Top",IF((1-(COUNTIFS($B$2:$B$492,$B102,$O$2:$O$492,"&gt;"&amp;$O102)+1-1)/COUNTIF($B$2:$B$492,$B102))&gt;=0.6,"Buono",IF((1-(COUNTIFS($B$2:$B$492,$B102,$O$2:$O$492,"&gt;"&amp;$O102)+1-1)/COUNTIF($B$2:$B$492,$B102))&gt;=0.3,"Nella Media","Scommessa/Riserva")))),"")</f>
        <v>Nella Media</v>
      </c>
      <c r="Q102" s="29" t="n">
        <f aca="false">IF($D102="",COUNTIF($D$2:$D102,""),"")</f>
        <v>101</v>
      </c>
      <c r="R102" s="29" t="str">
        <f aca="false">IF($D102='Info Lega'!$B$28,COUNTIFS($D$2:$D102,'Info Lega'!$B$28),"")</f>
        <v/>
      </c>
      <c r="S102" s="30" t="n">
        <f aca="false">IFERROR(INDEX('Input Statistiche 2025_26'!$G$3:$G$665,MATCH($A102,'Input Statistiche 2025_26'!$A$3:$A$665,0)),"")</f>
        <v>5.64</v>
      </c>
      <c r="T102" s="30" t="n">
        <f aca="false">IFERROR(INDEX('Input Statistiche 2025_26'!$H$3:$H$665,MATCH($A102,'Input Statistiche 2025_26'!$A$3:$A$665,0)),"")</f>
        <v>5.64</v>
      </c>
      <c r="U102" s="26" t="str">
        <f aca="false">IF(OR('La Mia Rosa'!$O$12="",$D102&lt;&gt;""),"",IF($F102&lt;='La Mia Rosa'!$O$12*'Parametri Modello'!$B$24,"OK",IF($F102&lt;='La Mia Rosa'!$O$12*'Parametri Modello'!$B$25,"Attenzione","Rischio Alto")))</f>
        <v>OK</v>
      </c>
      <c r="V102" s="26" t="n">
        <f aca="false">IFERROR(COUNTIFS($B$2:$B$492,$B102,$O$2:$O$492,"&gt;"&amp;$O102)+1,"")</f>
        <v>36</v>
      </c>
      <c r="W102" s="21" t="n">
        <f aca="false">'Info Lega'!$B$4-SUMIFS($M$2:$M$492,$D$2:$D$492,'Info Lega'!$B$28)</f>
        <v>1000</v>
      </c>
      <c r="X102" s="21" t="n">
        <f aca="false">('Info Lega'!$B$5-COUNTIFS($D$2:$D$492,'Info Lega'!$B$28,$B$2:$B$492,"P"))+('Info Lega'!$B$6-COUNTIFS($D$2:$D$492,'Info Lega'!$B$28,$B$2:$B$492,"D"))+('Info Lega'!$B$7-COUNTIFS($D$2:$D$492,'Info Lega'!$B$28,$B$2:$B$492,"C"))+('Info Lega'!$B$8-COUNTIFS($D$2:$D$492,'Info Lega'!$B$28,$B$2:$B$492,"A"))</f>
        <v>25</v>
      </c>
      <c r="Y102" s="21" t="n">
        <f aca="false">X102*'Parametri Modello'!$B$30</f>
        <v>25</v>
      </c>
      <c r="Z102" s="21" t="n">
        <f aca="false">MAX(0,W102-Y102)</f>
        <v>975</v>
      </c>
      <c r="AA102" s="21" t="n">
        <f aca="false">MIN(F102,Z102)</f>
        <v>10</v>
      </c>
      <c r="AB102" s="21"/>
      <c r="AC102" s="21" t="str">
        <f aca="false">IF(AB102="","",IF(AB102&gt;AA102,"PASS",IF(AB102&lt;=AA102*0.85,"BID","ATTENZIONE")))</f>
        <v/>
      </c>
      <c r="AD102" s="31" t="n">
        <f aca="false">IF(I102="","",ROUND(100*(1-EXP(-I102/30)),0))</f>
        <v>21</v>
      </c>
      <c r="AE102" s="7" t="str">
        <f aca="false">IFERROR(INDEX('Stato Asta'!$G$9:$G$12,MATCH($B102,'Stato Asta'!$A$9:$A$12,0)),"")</f>
        <v>🔴 Non aspettare</v>
      </c>
    </row>
    <row r="103" customFormat="false" ht="14.25" hidden="false" customHeight="true" outlineLevel="0" collapsed="false">
      <c r="A103" s="21" t="n">
        <v>6646</v>
      </c>
      <c r="B103" s="21" t="s">
        <v>46</v>
      </c>
      <c r="C103" s="21" t="s">
        <v>577</v>
      </c>
      <c r="E103" s="26" t="str">
        <f aca="false">IF(COUNTIF('Info Strategia'!$D$2:$D$51,$C103)&gt;0,"SI","NO")</f>
        <v>NO</v>
      </c>
      <c r="F103" s="27" t="n">
        <f aca="false">IFERROR(ROUND(($G103+($H103-$G103)*'Info Strategia'!$B$6)*(1+IF($E103="SI",'Parametri Modello'!$B$7*'Info Strategia'!$B$6,0)),0),"")</f>
        <v>10</v>
      </c>
      <c r="G103" s="27" t="n">
        <f aca="false">IFERROR(ROUND(MAX(1,(IF($V103&lt;=INDEX('Parametri Modello'!$C$57:$C$60,MATCH($B103,'Parametri Modello'!$A$57:$A$60,0)),IF(INDEX('Parametri Modello'!$E$57:$E$60,MATCH($B103,'Parametri Modello'!$A$57:$A$60,0))=0,0,($O103/INDEX('Parametri Modello'!$E$57:$E$60,MATCH($B103,'Parametri Modello'!$A$57:$A$60,0)))*(INDEX('Parametri Modello'!$D$57:$D$60,MATCH($B103,'Parametri Modello'!$A$57:$A$60,0))*(INDEX('Parametri Modello'!$B$50:$B$53,MATCH($B103,'Parametri Modello'!$A$50:$A$53,0))*'Parametri Modello'!$B$44))),IF(INDEX('Parametri Modello'!$F$57:$F$60,MATCH($B103,'Parametri Modello'!$A$57:$A$60,0))=0,0,($O103/INDEX('Parametri Modello'!$F$57:$F$60,MATCH($B103,'Parametri Modello'!$A$57:$A$60,0)))*((1-INDEX('Parametri Modello'!$D$57:$D$60,MATCH($B103,'Parametri Modello'!$A$57:$A$60,0)))*(INDEX('Parametri Modello'!$B$50:$B$53,MATCH($B103,'Parametri Modello'!$A$50:$A$53,0))*'Parametri Modello'!$B$44))))*(1+IF(IF($B103="D",'Info Lega'!$B$25,IF($B103="C",'Info Lega'!$B$26,"No"))="Si",'Parametri Modello'!$B$5,0))*(1+MAX(-0.25,MIN(0.25,IF(OR($T103="",$I103="",$I103=0,INDEX('Parametri Modello'!$B$19:$B$22,MATCH($B103,'Parametri Modello'!$A$19:$A$22,0))="",INDEX('Parametri Modello'!$B$19:$B$22,MATCH($B103,'Parametri Modello'!$A$19:$A$22,0))=0),0,(($T103-INDEX('Parametri Modello'!$B$19:$B$22,MATCH($B103,'Parametri Modello'!$A$19:$A$22,0)))/INDEX('Parametri Modello'!$B$19:$B$22,MATCH($B103,'Parametri Modello'!$A$19:$A$22,0)))*'Parametri Modello'!$B$9))))*(1+IF('Parametri Modello'!$B$27="Si",MAX(-'Parametri Modello'!$B$28,MIN('Parametri Modello'!$B$28*1.5,IF(OR(INDEX('Parametri Modello'!$F$32:$F$35,MATCH($B103,'Parametri Modello'!$A$32:$A$35,0))="",INDEX('Parametri Modello'!$F$32:$F$35,MATCH($B103,'Parametri Modello'!$A$32:$A$35,0))=0),0,(1/INDEX('Parametri Modello'!$F$32:$F$35,MATCH($B103,'Parametri Modello'!$A$32:$A$35,0))-1)*'Parametri Modello'!$B$28))),0)))*(1-INDEX('Parametri Modello'!$B$12:$B$15,MATCH($B103,'Parametri Modello'!$A$12:$A$15,0)))),0),"")</f>
        <v>6</v>
      </c>
      <c r="H103" s="27" t="n">
        <f aca="false">IFERROR(ROUND((IF($V103&lt;=INDEX('Parametri Modello'!$C$57:$C$60,MATCH($B103,'Parametri Modello'!$A$57:$A$60,0)),IF(INDEX('Parametri Modello'!$E$57:$E$60,MATCH($B103,'Parametri Modello'!$A$57:$A$60,0))=0,0,($O103/INDEX('Parametri Modello'!$E$57:$E$60,MATCH($B103,'Parametri Modello'!$A$57:$A$60,0)))*(INDEX('Parametri Modello'!$D$57:$D$60,MATCH($B103,'Parametri Modello'!$A$57:$A$60,0))*(INDEX('Parametri Modello'!$B$50:$B$53,MATCH($B103,'Parametri Modello'!$A$50:$A$53,0))*'Parametri Modello'!$B$44))),IF(INDEX('Parametri Modello'!$F$57:$F$60,MATCH($B103,'Parametri Modello'!$A$57:$A$60,0))=0,0,($O103/INDEX('Parametri Modello'!$F$57:$F$60,MATCH($B103,'Parametri Modello'!$A$57:$A$60,0)))*((1-INDEX('Parametri Modello'!$D$57:$D$60,MATCH($B103,'Parametri Modello'!$A$57:$A$60,0)))*(INDEX('Parametri Modello'!$B$50:$B$53,MATCH($B103,'Parametri Modello'!$A$50:$A$53,0))*'Parametri Modello'!$B$44))))*(1+IF(IF($B103="D",'Info Lega'!$B$25,IF($B103="C",'Info Lega'!$B$26,"No"))="Si",'Parametri Modello'!$B$5,0))*(1+MAX(-0.25,MIN(0.25,IF(OR($T103="",$I103="",$I103=0,INDEX('Parametri Modello'!$B$19:$B$22,MATCH($B103,'Parametri Modello'!$A$19:$A$22,0))="",INDEX('Parametri Modello'!$B$19:$B$22,MATCH($B103,'Parametri Modello'!$A$19:$A$22,0))=0),0,(($T103-INDEX('Parametri Modello'!$B$19:$B$22,MATCH($B103,'Parametri Modello'!$A$19:$A$22,0)))/INDEX('Parametri Modello'!$B$19:$B$22,MATCH($B103,'Parametri Modello'!$A$19:$A$22,0)))*'Parametri Modello'!$B$9))))*(1+IF('Parametri Modello'!$B$27="Si",MAX(-'Parametri Modello'!$B$28,MIN('Parametri Modello'!$B$28*1.5,IF(OR(INDEX('Parametri Modello'!$F$32:$F$35,MATCH($B103,'Parametri Modello'!$A$32:$A$35,0))="",INDEX('Parametri Modello'!$F$32:$F$35,MATCH($B103,'Parametri Modello'!$A$32:$A$35,0))=0),0,(1/INDEX('Parametri Modello'!$F$32:$F$35,MATCH($B103,'Parametri Modello'!$A$32:$A$35,0))-1)*'Parametri Modello'!$B$28))),0)))*(1+INDEX('Parametri Modello'!$B$12:$B$15,MATCH($B103,'Parametri Modello'!$A$12:$A$15,0))),0),"")</f>
        <v>12</v>
      </c>
      <c r="I103" s="26" t="n">
        <f aca="false">IFERROR(INDEX('Input Statistiche 2025_26'!$F$3:$F$665,MATCH($A103,'Input Statistiche 2025_26'!$A$3:$A$665,0)),"")</f>
        <v>32</v>
      </c>
      <c r="J103" s="26" t="n">
        <f aca="false">IFERROR(IF($I103="","",MAX(0,38-$I103)),"")</f>
        <v>6</v>
      </c>
      <c r="K103" s="26" t="n">
        <f aca="false">IFERROR(INDEX('Input Statistiche 2025_26'!$I$3:$I$665,MATCH($A103,'Input Statistiche 2025_26'!$A$3:$A$665,0)),"")</f>
        <v>6</v>
      </c>
      <c r="L103" s="26" t="n">
        <f aca="false">IFERROR(INDEX('Input Statistiche 2025_26'!$O$3:$O$665,MATCH($A103,'Input Statistiche 2025_26'!$A$3:$A$665,0)),"")</f>
        <v>3</v>
      </c>
      <c r="M103" s="28"/>
      <c r="N103" s="27" t="n">
        <f aca="false">IFERROR(INDEX('Input Giocatori 2026_27'!$E$3:$E$493,MATCH($A103,'Input Giocatori 2026_27'!$A$3:$A$493,0)),"")</f>
        <v>9</v>
      </c>
      <c r="O103" s="27" t="n">
        <f aca="false">IFERROR(INDEX('Input Giocatori 2026_27'!$G$3:$G$493,MATCH($A103,'Input Giocatori 2026_27'!$A$3:$A$493,0)),"")</f>
        <v>32</v>
      </c>
      <c r="P103" s="26" t="str">
        <f aca="false">IFERROR(IF($O103="","",IF((1-(COUNTIFS($B$2:$B$492,$B103,$O$2:$O$492,"&gt;"&amp;$O103)+1-1)/COUNTIF($B$2:$B$492,$B103))&gt;=0.85,"Top",IF((1-(COUNTIFS($B$2:$B$492,$B103,$O$2:$O$492,"&gt;"&amp;$O103)+1-1)/COUNTIF($B$2:$B$492,$B103))&gt;=0.6,"Buono",IF((1-(COUNTIFS($B$2:$B$492,$B103,$O$2:$O$492,"&gt;"&amp;$O103)+1-1)/COUNTIF($B$2:$B$492,$B103))&gt;=0.3,"Nella Media","Scommessa/Riserva")))),"")</f>
        <v>Nella Media</v>
      </c>
      <c r="Q103" s="29" t="n">
        <f aca="false">IF($D103="",COUNTIF($D$2:$D103,""),"")</f>
        <v>102</v>
      </c>
      <c r="R103" s="29" t="str">
        <f aca="false">IF($D103='Info Lega'!$B$28,COUNTIFS($D$2:$D103,'Info Lega'!$B$28),"")</f>
        <v/>
      </c>
      <c r="S103" s="30" t="n">
        <f aca="false">IFERROR(INDEX('Input Statistiche 2025_26'!$G$3:$G$665,MATCH($A103,'Input Statistiche 2025_26'!$A$3:$A$665,0)),"")</f>
        <v>5.98</v>
      </c>
      <c r="T103" s="30" t="n">
        <f aca="false">IFERROR(INDEX('Input Statistiche 2025_26'!$H$3:$H$665,MATCH($A103,'Input Statistiche 2025_26'!$A$3:$A$665,0)),"")</f>
        <v>6.64</v>
      </c>
      <c r="U103" s="26" t="str">
        <f aca="false">IF(OR('La Mia Rosa'!$O$12="",$D103&lt;&gt;""),"",IF($F103&lt;='La Mia Rosa'!$O$12*'Parametri Modello'!$B$24,"OK",IF($F103&lt;='La Mia Rosa'!$O$12*'Parametri Modello'!$B$25,"Attenzione","Rischio Alto")))</f>
        <v>OK</v>
      </c>
      <c r="V103" s="26" t="n">
        <f aca="false">IFERROR(COUNTIFS($B$2:$B$492,$B103,$O$2:$O$492,"&gt;"&amp;$O103)+1,"")</f>
        <v>36</v>
      </c>
      <c r="W103" s="21" t="n">
        <f aca="false">'Info Lega'!$B$4-SUMIFS($M$2:$M$492,$D$2:$D$492,'Info Lega'!$B$28)</f>
        <v>1000</v>
      </c>
      <c r="X103" s="21" t="n">
        <f aca="false">('Info Lega'!$B$5-COUNTIFS($D$2:$D$492,'Info Lega'!$B$28,$B$2:$B$492,"P"))+('Info Lega'!$B$6-COUNTIFS($D$2:$D$492,'Info Lega'!$B$28,$B$2:$B$492,"D"))+('Info Lega'!$B$7-COUNTIFS($D$2:$D$492,'Info Lega'!$B$28,$B$2:$B$492,"C"))+('Info Lega'!$B$8-COUNTIFS($D$2:$D$492,'Info Lega'!$B$28,$B$2:$B$492,"A"))</f>
        <v>25</v>
      </c>
      <c r="Y103" s="21" t="n">
        <f aca="false">X103*'Parametri Modello'!$B$30</f>
        <v>25</v>
      </c>
      <c r="Z103" s="21" t="n">
        <f aca="false">MAX(0,W103-Y103)</f>
        <v>975</v>
      </c>
      <c r="AA103" s="21" t="n">
        <f aca="false">MIN(F103,Z103)</f>
        <v>10</v>
      </c>
      <c r="AB103" s="21"/>
      <c r="AC103" s="21" t="str">
        <f aca="false">IF(AB103="","",IF(AB103&gt;AA103,"PASS",IF(AB103&lt;=AA103*0.85,"BID","ATTENZIONE")))</f>
        <v/>
      </c>
      <c r="AD103" s="31" t="n">
        <f aca="false">IF(I103="","",ROUND(100*(1-EXP(-I103/30)),0))</f>
        <v>66</v>
      </c>
      <c r="AE103" s="7" t="str">
        <f aca="false">IFERROR(INDEX('Stato Asta'!$G$9:$G$12,MATCH($B103,'Stato Asta'!$A$9:$A$12,0)),"")</f>
        <v>🔴 Non aspettare</v>
      </c>
    </row>
    <row r="104" customFormat="false" ht="14.25" hidden="false" customHeight="true" outlineLevel="0" collapsed="false">
      <c r="A104" s="21" t="n">
        <v>5833</v>
      </c>
      <c r="B104" s="21" t="s">
        <v>44</v>
      </c>
      <c r="C104" s="21" t="s">
        <v>203</v>
      </c>
      <c r="E104" s="26" t="str">
        <f aca="false">IF(COUNTIF('Info Strategia'!$D$2:$D$51,$C104)&gt;0,"SI","NO")</f>
        <v>NO</v>
      </c>
      <c r="F104" s="27" t="n">
        <f aca="false">IFERROR(ROUND(($G104+($H104-$G104)*'Info Strategia'!$B$6)*(1+IF($E104="SI",'Parametri Modello'!$B$7*'Info Strategia'!$B$6,0)),0),"")</f>
        <v>21</v>
      </c>
      <c r="G104" s="27" t="n">
        <f aca="false">IFERROR(ROUND(MAX(1,(IF($V104&lt;=INDEX('Parametri Modello'!$C$57:$C$60,MATCH($B104,'Parametri Modello'!$A$57:$A$60,0)),IF(INDEX('Parametri Modello'!$E$57:$E$60,MATCH($B104,'Parametri Modello'!$A$57:$A$60,0))=0,0,($O104/INDEX('Parametri Modello'!$E$57:$E$60,MATCH($B104,'Parametri Modello'!$A$57:$A$60,0)))*(INDEX('Parametri Modello'!$D$57:$D$60,MATCH($B104,'Parametri Modello'!$A$57:$A$60,0))*(INDEX('Parametri Modello'!$B$50:$B$53,MATCH($B104,'Parametri Modello'!$A$50:$A$53,0))*'Parametri Modello'!$B$44))),IF(INDEX('Parametri Modello'!$F$57:$F$60,MATCH($B104,'Parametri Modello'!$A$57:$A$60,0))=0,0,($O104/INDEX('Parametri Modello'!$F$57:$F$60,MATCH($B104,'Parametri Modello'!$A$57:$A$60,0)))*((1-INDEX('Parametri Modello'!$D$57:$D$60,MATCH($B104,'Parametri Modello'!$A$57:$A$60,0)))*(INDEX('Parametri Modello'!$B$50:$B$53,MATCH($B104,'Parametri Modello'!$A$50:$A$53,0))*'Parametri Modello'!$B$44))))*(1+IF(IF($B104="D",'Info Lega'!$B$25,IF($B104="C",'Info Lega'!$B$26,"No"))="Si",'Parametri Modello'!$B$5,0))*(1+MAX(-0.25,MIN(0.25,IF(OR($T104="",$I104="",$I104=0,INDEX('Parametri Modello'!$B$19:$B$22,MATCH($B104,'Parametri Modello'!$A$19:$A$22,0))="",INDEX('Parametri Modello'!$B$19:$B$22,MATCH($B104,'Parametri Modello'!$A$19:$A$22,0))=0),0,(($T104-INDEX('Parametri Modello'!$B$19:$B$22,MATCH($B104,'Parametri Modello'!$A$19:$A$22,0)))/INDEX('Parametri Modello'!$B$19:$B$22,MATCH($B104,'Parametri Modello'!$A$19:$A$22,0)))*'Parametri Modello'!$B$9))))*(1+IF('Parametri Modello'!$B$27="Si",MAX(-'Parametri Modello'!$B$28,MIN('Parametri Modello'!$B$28*1.5,IF(OR(INDEX('Parametri Modello'!$F$32:$F$35,MATCH($B104,'Parametri Modello'!$A$32:$A$35,0))="",INDEX('Parametri Modello'!$F$32:$F$35,MATCH($B104,'Parametri Modello'!$A$32:$A$35,0))=0),0,(1/INDEX('Parametri Modello'!$F$32:$F$35,MATCH($B104,'Parametri Modello'!$A$32:$A$35,0))-1)*'Parametri Modello'!$B$28))),0)))*(1-INDEX('Parametri Modello'!$B$12:$B$15,MATCH($B104,'Parametri Modello'!$A$12:$A$15,0)))),0),"")</f>
        <v>16</v>
      </c>
      <c r="H104" s="27" t="n">
        <f aca="false">IFERROR(ROUND((IF($V104&lt;=INDEX('Parametri Modello'!$C$57:$C$60,MATCH($B104,'Parametri Modello'!$A$57:$A$60,0)),IF(INDEX('Parametri Modello'!$E$57:$E$60,MATCH($B104,'Parametri Modello'!$A$57:$A$60,0))=0,0,($O104/INDEX('Parametri Modello'!$E$57:$E$60,MATCH($B104,'Parametri Modello'!$A$57:$A$60,0)))*(INDEX('Parametri Modello'!$D$57:$D$60,MATCH($B104,'Parametri Modello'!$A$57:$A$60,0))*(INDEX('Parametri Modello'!$B$50:$B$53,MATCH($B104,'Parametri Modello'!$A$50:$A$53,0))*'Parametri Modello'!$B$44))),IF(INDEX('Parametri Modello'!$F$57:$F$60,MATCH($B104,'Parametri Modello'!$A$57:$A$60,0))=0,0,($O104/INDEX('Parametri Modello'!$F$57:$F$60,MATCH($B104,'Parametri Modello'!$A$57:$A$60,0)))*((1-INDEX('Parametri Modello'!$D$57:$D$60,MATCH($B104,'Parametri Modello'!$A$57:$A$60,0)))*(INDEX('Parametri Modello'!$B$50:$B$53,MATCH($B104,'Parametri Modello'!$A$50:$A$53,0))*'Parametri Modello'!$B$44))))*(1+IF(IF($B104="D",'Info Lega'!$B$25,IF($B104="C",'Info Lega'!$B$26,"No"))="Si",'Parametri Modello'!$B$5,0))*(1+MAX(-0.25,MIN(0.25,IF(OR($T104="",$I104="",$I104=0,INDEX('Parametri Modello'!$B$19:$B$22,MATCH($B104,'Parametri Modello'!$A$19:$A$22,0))="",INDEX('Parametri Modello'!$B$19:$B$22,MATCH($B104,'Parametri Modello'!$A$19:$A$22,0))=0),0,(($T104-INDEX('Parametri Modello'!$B$19:$B$22,MATCH($B104,'Parametri Modello'!$A$19:$A$22,0)))/INDEX('Parametri Modello'!$B$19:$B$22,MATCH($B104,'Parametri Modello'!$A$19:$A$22,0)))*'Parametri Modello'!$B$9))))*(1+IF('Parametri Modello'!$B$27="Si",MAX(-'Parametri Modello'!$B$28,MIN('Parametri Modello'!$B$28*1.5,IF(OR(INDEX('Parametri Modello'!$F$32:$F$35,MATCH($B104,'Parametri Modello'!$A$32:$A$35,0))="",INDEX('Parametri Modello'!$F$32:$F$35,MATCH($B104,'Parametri Modello'!$A$32:$A$35,0))=0),0,(1/INDEX('Parametri Modello'!$F$32:$F$35,MATCH($B104,'Parametri Modello'!$A$32:$A$35,0))-1)*'Parametri Modello'!$B$28))),0)))*(1+INDEX('Parametri Modello'!$B$12:$B$15,MATCH($B104,'Parametri Modello'!$A$12:$A$15,0))),0),"")</f>
        <v>23</v>
      </c>
      <c r="I104" s="26" t="n">
        <f aca="false">IFERROR(INDEX('Input Statistiche 2025_26'!$F$3:$F$665,MATCH($A104,'Input Statistiche 2025_26'!$A$3:$A$665,0)),"")</f>
        <v>31</v>
      </c>
      <c r="J104" s="26" t="n">
        <f aca="false">IFERROR(IF($I104="","",MAX(0,38-$I104)),"")</f>
        <v>7</v>
      </c>
      <c r="K104" s="26" t="n">
        <f aca="false">IFERROR(INDEX('Input Statistiche 2025_26'!$I$3:$I$665,MATCH($A104,'Input Statistiche 2025_26'!$A$3:$A$665,0)),"")</f>
        <v>0</v>
      </c>
      <c r="L104" s="26" t="n">
        <f aca="false">IFERROR(INDEX('Input Statistiche 2025_26'!$O$3:$O$665,MATCH($A104,'Input Statistiche 2025_26'!$A$3:$A$665,0)),"")</f>
        <v>0</v>
      </c>
      <c r="M104" s="28"/>
      <c r="N104" s="27" t="n">
        <f aca="false">IFERROR(INDEX('Input Giocatori 2026_27'!$E$3:$E$493,MATCH($A104,'Input Giocatori 2026_27'!$A$3:$A$493,0)),"")</f>
        <v>12</v>
      </c>
      <c r="O104" s="27" t="n">
        <f aca="false">IFERROR(INDEX('Input Giocatori 2026_27'!$G$3:$G$493,MATCH($A104,'Input Giocatori 2026_27'!$A$3:$A$493,0)),"")</f>
        <v>31</v>
      </c>
      <c r="P104" s="26" t="str">
        <f aca="false">IFERROR(IF($O104="","",IF((1-(COUNTIFS($B$2:$B$492,$B104,$O$2:$O$492,"&gt;"&amp;$O104)+1-1)/COUNTIF($B$2:$B$492,$B104))&gt;=0.85,"Top",IF((1-(COUNTIFS($B$2:$B$492,$B104,$O$2:$O$492,"&gt;"&amp;$O104)+1-1)/COUNTIF($B$2:$B$492,$B104))&gt;=0.6,"Buono",IF((1-(COUNTIFS($B$2:$B$492,$B104,$O$2:$O$492,"&gt;"&amp;$O104)+1-1)/COUNTIF($B$2:$B$492,$B104))&gt;=0.3,"Nella Media","Scommessa/Riserva")))),"")</f>
        <v>Top</v>
      </c>
      <c r="Q104" s="29" t="n">
        <f aca="false">IF($D104="",COUNTIF($D$2:$D104,""),"")</f>
        <v>103</v>
      </c>
      <c r="R104" s="29" t="str">
        <f aca="false">IF($D104='Info Lega'!$B$28,COUNTIFS($D$2:$D104,'Info Lega'!$B$28),"")</f>
        <v/>
      </c>
      <c r="S104" s="30" t="n">
        <f aca="false">IFERROR(INDEX('Input Statistiche 2025_26'!$G$3:$G$665,MATCH($A104,'Input Statistiche 2025_26'!$A$3:$A$665,0)),"")</f>
        <v>6.03</v>
      </c>
      <c r="T104" s="30" t="n">
        <f aca="false">IFERROR(INDEX('Input Statistiche 2025_26'!$H$3:$H$665,MATCH($A104,'Input Statistiche 2025_26'!$A$3:$A$665,0)),"")</f>
        <v>5.95</v>
      </c>
      <c r="U104" s="26" t="str">
        <f aca="false">IF(OR('La Mia Rosa'!$O$12="",$D104&lt;&gt;""),"",IF($F104&lt;='La Mia Rosa'!$O$12*'Parametri Modello'!$B$24,"OK",IF($F104&lt;='La Mia Rosa'!$O$12*'Parametri Modello'!$B$25,"Attenzione","Rischio Alto")))</f>
        <v>OK</v>
      </c>
      <c r="V104" s="26" t="n">
        <f aca="false">IFERROR(COUNTIFS($B$2:$B$492,$B104,$O$2:$O$492,"&gt;"&amp;$O104)+1,"")</f>
        <v>18</v>
      </c>
      <c r="W104" s="21" t="n">
        <f aca="false">'Info Lega'!$B$4-SUMIFS($M$2:$M$492,$D$2:$D$492,'Info Lega'!$B$28)</f>
        <v>1000</v>
      </c>
      <c r="X104" s="21" t="n">
        <f aca="false">('Info Lega'!$B$5-COUNTIFS($D$2:$D$492,'Info Lega'!$B$28,$B$2:$B$492,"P"))+('Info Lega'!$B$6-COUNTIFS($D$2:$D$492,'Info Lega'!$B$28,$B$2:$B$492,"D"))+('Info Lega'!$B$7-COUNTIFS($D$2:$D$492,'Info Lega'!$B$28,$B$2:$B$492,"C"))+('Info Lega'!$B$8-COUNTIFS($D$2:$D$492,'Info Lega'!$B$28,$B$2:$B$492,"A"))</f>
        <v>25</v>
      </c>
      <c r="Y104" s="21" t="n">
        <f aca="false">X104*'Parametri Modello'!$B$30</f>
        <v>25</v>
      </c>
      <c r="Z104" s="21" t="n">
        <f aca="false">MAX(0,W104-Y104)</f>
        <v>975</v>
      </c>
      <c r="AA104" s="21" t="n">
        <f aca="false">MIN(F104,Z104)</f>
        <v>21</v>
      </c>
      <c r="AB104" s="21"/>
      <c r="AC104" s="21" t="str">
        <f aca="false">IF(AB104="","",IF(AB104&gt;AA104,"PASS",IF(AB104&lt;=AA104*0.85,"BID","ATTENZIONE")))</f>
        <v/>
      </c>
      <c r="AD104" s="31" t="n">
        <f aca="false">IF(I104="","",ROUND(100*(1-EXP(-I104/30)),0))</f>
        <v>64</v>
      </c>
      <c r="AE104" s="7" t="str">
        <f aca="false">IFERROR(INDEX('Stato Asta'!$G$9:$G$12,MATCH($B104,'Stato Asta'!$A$9:$A$12,0)),"")</f>
        <v>🟡 Attesa rischiosa</v>
      </c>
    </row>
    <row r="105" customFormat="false" ht="14.25" hidden="false" customHeight="true" outlineLevel="0" collapsed="false">
      <c r="A105" s="21" t="n">
        <v>5672</v>
      </c>
      <c r="B105" s="21" t="s">
        <v>46</v>
      </c>
      <c r="C105" s="21" t="s">
        <v>569</v>
      </c>
      <c r="E105" s="26" t="str">
        <f aca="false">IF(COUNTIF('Info Strategia'!$D$2:$D$51,$C105)&gt;0,"SI","NO")</f>
        <v>NO</v>
      </c>
      <c r="F105" s="27" t="n">
        <f aca="false">IFERROR(ROUND(($G105+($H105-$G105)*'Info Strategia'!$B$6)*(1+IF($E105="SI",'Parametri Modello'!$B$7*'Info Strategia'!$B$6,0)),0),"")</f>
        <v>10</v>
      </c>
      <c r="G105" s="27" t="n">
        <f aca="false">IFERROR(ROUND(MAX(1,(IF($V105&lt;=INDEX('Parametri Modello'!$C$57:$C$60,MATCH($B105,'Parametri Modello'!$A$57:$A$60,0)),IF(INDEX('Parametri Modello'!$E$57:$E$60,MATCH($B105,'Parametri Modello'!$A$57:$A$60,0))=0,0,($O105/INDEX('Parametri Modello'!$E$57:$E$60,MATCH($B105,'Parametri Modello'!$A$57:$A$60,0)))*(INDEX('Parametri Modello'!$D$57:$D$60,MATCH($B105,'Parametri Modello'!$A$57:$A$60,0))*(INDEX('Parametri Modello'!$B$50:$B$53,MATCH($B105,'Parametri Modello'!$A$50:$A$53,0))*'Parametri Modello'!$B$44))),IF(INDEX('Parametri Modello'!$F$57:$F$60,MATCH($B105,'Parametri Modello'!$A$57:$A$60,0))=0,0,($O105/INDEX('Parametri Modello'!$F$57:$F$60,MATCH($B105,'Parametri Modello'!$A$57:$A$60,0)))*((1-INDEX('Parametri Modello'!$D$57:$D$60,MATCH($B105,'Parametri Modello'!$A$57:$A$60,0)))*(INDEX('Parametri Modello'!$B$50:$B$53,MATCH($B105,'Parametri Modello'!$A$50:$A$53,0))*'Parametri Modello'!$B$44))))*(1+IF(IF($B105="D",'Info Lega'!$B$25,IF($B105="C",'Info Lega'!$B$26,"No"))="Si",'Parametri Modello'!$B$5,0))*(1+MAX(-0.25,MIN(0.25,IF(OR($T105="",$I105="",$I105=0,INDEX('Parametri Modello'!$B$19:$B$22,MATCH($B105,'Parametri Modello'!$A$19:$A$22,0))="",INDEX('Parametri Modello'!$B$19:$B$22,MATCH($B105,'Parametri Modello'!$A$19:$A$22,0))=0),0,(($T105-INDEX('Parametri Modello'!$B$19:$B$22,MATCH($B105,'Parametri Modello'!$A$19:$A$22,0)))/INDEX('Parametri Modello'!$B$19:$B$22,MATCH($B105,'Parametri Modello'!$A$19:$A$22,0)))*'Parametri Modello'!$B$9))))*(1+IF('Parametri Modello'!$B$27="Si",MAX(-'Parametri Modello'!$B$28,MIN('Parametri Modello'!$B$28*1.5,IF(OR(INDEX('Parametri Modello'!$F$32:$F$35,MATCH($B105,'Parametri Modello'!$A$32:$A$35,0))="",INDEX('Parametri Modello'!$F$32:$F$35,MATCH($B105,'Parametri Modello'!$A$32:$A$35,0))=0),0,(1/INDEX('Parametri Modello'!$F$32:$F$35,MATCH($B105,'Parametri Modello'!$A$32:$A$35,0))-1)*'Parametri Modello'!$B$28))),0)))*(1-INDEX('Parametri Modello'!$B$12:$B$15,MATCH($B105,'Parametri Modello'!$A$12:$A$15,0)))),0),"")</f>
        <v>6</v>
      </c>
      <c r="H105" s="27" t="n">
        <f aca="false">IFERROR(ROUND((IF($V105&lt;=INDEX('Parametri Modello'!$C$57:$C$60,MATCH($B105,'Parametri Modello'!$A$57:$A$60,0)),IF(INDEX('Parametri Modello'!$E$57:$E$60,MATCH($B105,'Parametri Modello'!$A$57:$A$60,0))=0,0,($O105/INDEX('Parametri Modello'!$E$57:$E$60,MATCH($B105,'Parametri Modello'!$A$57:$A$60,0)))*(INDEX('Parametri Modello'!$D$57:$D$60,MATCH($B105,'Parametri Modello'!$A$57:$A$60,0))*(INDEX('Parametri Modello'!$B$50:$B$53,MATCH($B105,'Parametri Modello'!$A$50:$A$53,0))*'Parametri Modello'!$B$44))),IF(INDEX('Parametri Modello'!$F$57:$F$60,MATCH($B105,'Parametri Modello'!$A$57:$A$60,0))=0,0,($O105/INDEX('Parametri Modello'!$F$57:$F$60,MATCH($B105,'Parametri Modello'!$A$57:$A$60,0)))*((1-INDEX('Parametri Modello'!$D$57:$D$60,MATCH($B105,'Parametri Modello'!$A$57:$A$60,0)))*(INDEX('Parametri Modello'!$B$50:$B$53,MATCH($B105,'Parametri Modello'!$A$50:$A$53,0))*'Parametri Modello'!$B$44))))*(1+IF(IF($B105="D",'Info Lega'!$B$25,IF($B105="C",'Info Lega'!$B$26,"No"))="Si",'Parametri Modello'!$B$5,0))*(1+MAX(-0.25,MIN(0.25,IF(OR($T105="",$I105="",$I105=0,INDEX('Parametri Modello'!$B$19:$B$22,MATCH($B105,'Parametri Modello'!$A$19:$A$22,0))="",INDEX('Parametri Modello'!$B$19:$B$22,MATCH($B105,'Parametri Modello'!$A$19:$A$22,0))=0),0,(($T105-INDEX('Parametri Modello'!$B$19:$B$22,MATCH($B105,'Parametri Modello'!$A$19:$A$22,0)))/INDEX('Parametri Modello'!$B$19:$B$22,MATCH($B105,'Parametri Modello'!$A$19:$A$22,0)))*'Parametri Modello'!$B$9))))*(1+IF('Parametri Modello'!$B$27="Si",MAX(-'Parametri Modello'!$B$28,MIN('Parametri Modello'!$B$28*1.5,IF(OR(INDEX('Parametri Modello'!$F$32:$F$35,MATCH($B105,'Parametri Modello'!$A$32:$A$35,0))="",INDEX('Parametri Modello'!$F$32:$F$35,MATCH($B105,'Parametri Modello'!$A$32:$A$35,0))=0),0,(1/INDEX('Parametri Modello'!$F$32:$F$35,MATCH($B105,'Parametri Modello'!$A$32:$A$35,0))-1)*'Parametri Modello'!$B$28))),0)))*(1+INDEX('Parametri Modello'!$B$12:$B$15,MATCH($B105,'Parametri Modello'!$A$12:$A$15,0))),0),"")</f>
        <v>11</v>
      </c>
      <c r="I105" s="26" t="n">
        <f aca="false">IFERROR(INDEX('Input Statistiche 2025_26'!$F$3:$F$665,MATCH($A105,'Input Statistiche 2025_26'!$A$3:$A$665,0)),"")</f>
        <v>25</v>
      </c>
      <c r="J105" s="26" t="n">
        <f aca="false">IFERROR(IF($I105="","",MAX(0,38-$I105)),"")</f>
        <v>13</v>
      </c>
      <c r="K105" s="26" t="n">
        <f aca="false">IFERROR(INDEX('Input Statistiche 2025_26'!$I$3:$I$665,MATCH($A105,'Input Statistiche 2025_26'!$A$3:$A$665,0)),"")</f>
        <v>1</v>
      </c>
      <c r="L105" s="26" t="n">
        <f aca="false">IFERROR(INDEX('Input Statistiche 2025_26'!$O$3:$O$665,MATCH($A105,'Input Statistiche 2025_26'!$A$3:$A$665,0)),"")</f>
        <v>2</v>
      </c>
      <c r="M105" s="28"/>
      <c r="N105" s="27" t="n">
        <f aca="false">IFERROR(INDEX('Input Giocatori 2026_27'!$E$3:$E$493,MATCH($A105,'Input Giocatori 2026_27'!$A$3:$A$493,0)),"")</f>
        <v>10</v>
      </c>
      <c r="O105" s="27" t="n">
        <f aca="false">IFERROR(INDEX('Input Giocatori 2026_27'!$G$3:$G$493,MATCH($A105,'Input Giocatori 2026_27'!$A$3:$A$493,0)),"")</f>
        <v>31</v>
      </c>
      <c r="P105" s="26" t="str">
        <f aca="false">IFERROR(IF($O105="","",IF((1-(COUNTIFS($B$2:$B$492,$B105,$O$2:$O$492,"&gt;"&amp;$O105)+1-1)/COUNTIF($B$2:$B$492,$B105))&gt;=0.85,"Top",IF((1-(COUNTIFS($B$2:$B$492,$B105,$O$2:$O$492,"&gt;"&amp;$O105)+1-1)/COUNTIF($B$2:$B$492,$B105))&gt;=0.6,"Buono",IF((1-(COUNTIFS($B$2:$B$492,$B105,$O$2:$O$492,"&gt;"&amp;$O105)+1-1)/COUNTIF($B$2:$B$492,$B105))&gt;=0.3,"Nella Media","Scommessa/Riserva")))),"")</f>
        <v>Nella Media</v>
      </c>
      <c r="Q105" s="29" t="n">
        <f aca="false">IF($D105="",COUNTIF($D$2:$D105,""),"")</f>
        <v>104</v>
      </c>
      <c r="R105" s="29" t="str">
        <f aca="false">IF($D105='Info Lega'!$B$28,COUNTIFS($D$2:$D105,'Info Lega'!$B$28),"")</f>
        <v/>
      </c>
      <c r="S105" s="30" t="n">
        <f aca="false">IFERROR(INDEX('Input Statistiche 2025_26'!$G$3:$G$665,MATCH($A105,'Input Statistiche 2025_26'!$A$3:$A$665,0)),"")</f>
        <v>5.68</v>
      </c>
      <c r="T105" s="30" t="n">
        <f aca="false">IFERROR(INDEX('Input Statistiche 2025_26'!$H$3:$H$665,MATCH($A105,'Input Statistiche 2025_26'!$A$3:$A$665,0)),"")</f>
        <v>5.86</v>
      </c>
      <c r="U105" s="26" t="str">
        <f aca="false">IF(OR('La Mia Rosa'!$O$12="",$D105&lt;&gt;""),"",IF($F105&lt;='La Mia Rosa'!$O$12*'Parametri Modello'!$B$24,"OK",IF($F105&lt;='La Mia Rosa'!$O$12*'Parametri Modello'!$B$25,"Attenzione","Rischio Alto")))</f>
        <v>OK</v>
      </c>
      <c r="V105" s="26" t="n">
        <f aca="false">IFERROR(COUNTIFS($B$2:$B$492,$B105,$O$2:$O$492,"&gt;"&amp;$O105)+1,"")</f>
        <v>38</v>
      </c>
      <c r="W105" s="21" t="n">
        <f aca="false">'Info Lega'!$B$4-SUMIFS($M$2:$M$492,$D$2:$D$492,'Info Lega'!$B$28)</f>
        <v>1000</v>
      </c>
      <c r="X105" s="21" t="n">
        <f aca="false">('Info Lega'!$B$5-COUNTIFS($D$2:$D$492,'Info Lega'!$B$28,$B$2:$B$492,"P"))+('Info Lega'!$B$6-COUNTIFS($D$2:$D$492,'Info Lega'!$B$28,$B$2:$B$492,"D"))+('Info Lega'!$B$7-COUNTIFS($D$2:$D$492,'Info Lega'!$B$28,$B$2:$B$492,"C"))+('Info Lega'!$B$8-COUNTIFS($D$2:$D$492,'Info Lega'!$B$28,$B$2:$B$492,"A"))</f>
        <v>25</v>
      </c>
      <c r="Y105" s="21" t="n">
        <f aca="false">X105*'Parametri Modello'!$B$30</f>
        <v>25</v>
      </c>
      <c r="Z105" s="21" t="n">
        <f aca="false">MAX(0,W105-Y105)</f>
        <v>975</v>
      </c>
      <c r="AA105" s="21" t="n">
        <f aca="false">MIN(F105,Z105)</f>
        <v>10</v>
      </c>
      <c r="AB105" s="21"/>
      <c r="AC105" s="21" t="str">
        <f aca="false">IF(AB105="","",IF(AB105&gt;AA105,"PASS",IF(AB105&lt;=AA105*0.85,"BID","ATTENZIONE")))</f>
        <v/>
      </c>
      <c r="AD105" s="31" t="n">
        <f aca="false">IF(I105="","",ROUND(100*(1-EXP(-I105/30)),0))</f>
        <v>57</v>
      </c>
      <c r="AE105" s="7" t="str">
        <f aca="false">IFERROR(INDEX('Stato Asta'!$G$9:$G$12,MATCH($B105,'Stato Asta'!$A$9:$A$12,0)),"")</f>
        <v>🔴 Non aspettare</v>
      </c>
    </row>
    <row r="106" customFormat="false" ht="14.25" hidden="false" customHeight="true" outlineLevel="0" collapsed="false">
      <c r="A106" s="21" t="n">
        <v>6482</v>
      </c>
      <c r="B106" s="21" t="s">
        <v>43</v>
      </c>
      <c r="C106" s="21" t="s">
        <v>132</v>
      </c>
      <c r="E106" s="26" t="str">
        <f aca="false">IF(COUNTIF('Info Strategia'!$D$2:$D$51,$C106)&gt;0,"SI","NO")</f>
        <v>NO</v>
      </c>
      <c r="F106" s="27" t="n">
        <f aca="false">IFERROR(ROUND(($G106+($H106-$G106)*'Info Strategia'!$B$6)*(1+IF($E106="SI",'Parametri Modello'!$B$7*'Info Strategia'!$B$6,0)),0),"")</f>
        <v>10</v>
      </c>
      <c r="G106" s="27" t="n">
        <f aca="false">IFERROR(ROUND(MAX(1,(IF($V106&lt;=INDEX('Parametri Modello'!$C$57:$C$60,MATCH($B106,'Parametri Modello'!$A$57:$A$60,0)),IF(INDEX('Parametri Modello'!$E$57:$E$60,MATCH($B106,'Parametri Modello'!$A$57:$A$60,0))=0,0,($O106/INDEX('Parametri Modello'!$E$57:$E$60,MATCH($B106,'Parametri Modello'!$A$57:$A$60,0)))*(INDEX('Parametri Modello'!$D$57:$D$60,MATCH($B106,'Parametri Modello'!$A$57:$A$60,0))*(INDEX('Parametri Modello'!$B$50:$B$53,MATCH($B106,'Parametri Modello'!$A$50:$A$53,0))*'Parametri Modello'!$B$44))),IF(INDEX('Parametri Modello'!$F$57:$F$60,MATCH($B106,'Parametri Modello'!$A$57:$A$60,0))=0,0,($O106/INDEX('Parametri Modello'!$F$57:$F$60,MATCH($B106,'Parametri Modello'!$A$57:$A$60,0)))*((1-INDEX('Parametri Modello'!$D$57:$D$60,MATCH($B106,'Parametri Modello'!$A$57:$A$60,0)))*(INDEX('Parametri Modello'!$B$50:$B$53,MATCH($B106,'Parametri Modello'!$A$50:$A$53,0))*'Parametri Modello'!$B$44))))*(1+IF(IF($B106="D",'Info Lega'!$B$25,IF($B106="C",'Info Lega'!$B$26,"No"))="Si",'Parametri Modello'!$B$5,0))*(1+MAX(-0.25,MIN(0.25,IF(OR($T106="",$I106="",$I106=0,INDEX('Parametri Modello'!$B$19:$B$22,MATCH($B106,'Parametri Modello'!$A$19:$A$22,0))="",INDEX('Parametri Modello'!$B$19:$B$22,MATCH($B106,'Parametri Modello'!$A$19:$A$22,0))=0),0,(($T106-INDEX('Parametri Modello'!$B$19:$B$22,MATCH($B106,'Parametri Modello'!$A$19:$A$22,0)))/INDEX('Parametri Modello'!$B$19:$B$22,MATCH($B106,'Parametri Modello'!$A$19:$A$22,0)))*'Parametri Modello'!$B$9))))*(1+IF('Parametri Modello'!$B$27="Si",MAX(-'Parametri Modello'!$B$28,MIN('Parametri Modello'!$B$28*1.5,IF(OR(INDEX('Parametri Modello'!$F$32:$F$35,MATCH($B106,'Parametri Modello'!$A$32:$A$35,0))="",INDEX('Parametri Modello'!$F$32:$F$35,MATCH($B106,'Parametri Modello'!$A$32:$A$35,0))=0),0,(1/INDEX('Parametri Modello'!$F$32:$F$35,MATCH($B106,'Parametri Modello'!$A$32:$A$35,0))-1)*'Parametri Modello'!$B$28))),0)))*(1-INDEX('Parametri Modello'!$B$12:$B$15,MATCH($B106,'Parametri Modello'!$A$12:$A$15,0)))),0),"")</f>
        <v>8</v>
      </c>
      <c r="H106" s="27" t="n">
        <f aca="false">IFERROR(ROUND((IF($V106&lt;=INDEX('Parametri Modello'!$C$57:$C$60,MATCH($B106,'Parametri Modello'!$A$57:$A$60,0)),IF(INDEX('Parametri Modello'!$E$57:$E$60,MATCH($B106,'Parametri Modello'!$A$57:$A$60,0))=0,0,($O106/INDEX('Parametri Modello'!$E$57:$E$60,MATCH($B106,'Parametri Modello'!$A$57:$A$60,0)))*(INDEX('Parametri Modello'!$D$57:$D$60,MATCH($B106,'Parametri Modello'!$A$57:$A$60,0))*(INDEX('Parametri Modello'!$B$50:$B$53,MATCH($B106,'Parametri Modello'!$A$50:$A$53,0))*'Parametri Modello'!$B$44))),IF(INDEX('Parametri Modello'!$F$57:$F$60,MATCH($B106,'Parametri Modello'!$A$57:$A$60,0))=0,0,($O106/INDEX('Parametri Modello'!$F$57:$F$60,MATCH($B106,'Parametri Modello'!$A$57:$A$60,0)))*((1-INDEX('Parametri Modello'!$D$57:$D$60,MATCH($B106,'Parametri Modello'!$A$57:$A$60,0)))*(INDEX('Parametri Modello'!$B$50:$B$53,MATCH($B106,'Parametri Modello'!$A$50:$A$53,0))*'Parametri Modello'!$B$44))))*(1+IF(IF($B106="D",'Info Lega'!$B$25,IF($B106="C",'Info Lega'!$B$26,"No"))="Si",'Parametri Modello'!$B$5,0))*(1+MAX(-0.25,MIN(0.25,IF(OR($T106="",$I106="",$I106=0,INDEX('Parametri Modello'!$B$19:$B$22,MATCH($B106,'Parametri Modello'!$A$19:$A$22,0))="",INDEX('Parametri Modello'!$B$19:$B$22,MATCH($B106,'Parametri Modello'!$A$19:$A$22,0))=0),0,(($T106-INDEX('Parametri Modello'!$B$19:$B$22,MATCH($B106,'Parametri Modello'!$A$19:$A$22,0)))/INDEX('Parametri Modello'!$B$19:$B$22,MATCH($B106,'Parametri Modello'!$A$19:$A$22,0)))*'Parametri Modello'!$B$9))))*(1+IF('Parametri Modello'!$B$27="Si",MAX(-'Parametri Modello'!$B$28,MIN('Parametri Modello'!$B$28*1.5,IF(OR(INDEX('Parametri Modello'!$F$32:$F$35,MATCH($B106,'Parametri Modello'!$A$32:$A$35,0))="",INDEX('Parametri Modello'!$F$32:$F$35,MATCH($B106,'Parametri Modello'!$A$32:$A$35,0))=0),0,(1/INDEX('Parametri Modello'!$F$32:$F$35,MATCH($B106,'Parametri Modello'!$A$32:$A$35,0))-1)*'Parametri Modello'!$B$28))),0)))*(1+INDEX('Parametri Modello'!$B$12:$B$15,MATCH($B106,'Parametri Modello'!$A$12:$A$15,0))),0),"")</f>
        <v>11</v>
      </c>
      <c r="I106" s="26" t="n">
        <f aca="false">IFERROR(INDEX('Input Statistiche 2025_26'!$F$3:$F$665,MATCH($A106,'Input Statistiche 2025_26'!$A$3:$A$665,0)),"")</f>
        <v>0</v>
      </c>
      <c r="J106" s="26" t="n">
        <f aca="false">IFERROR(IF($I106="","",MAX(0,38-$I106)),"")</f>
        <v>38</v>
      </c>
      <c r="K106" s="26" t="n">
        <f aca="false">IFERROR(INDEX('Input Statistiche 2025_26'!$I$3:$I$665,MATCH($A106,'Input Statistiche 2025_26'!$A$3:$A$665,0)),"")</f>
        <v>0</v>
      </c>
      <c r="L106" s="26" t="n">
        <f aca="false">IFERROR(INDEX('Input Statistiche 2025_26'!$O$3:$O$665,MATCH($A106,'Input Statistiche 2025_26'!$A$3:$A$665,0)),"")</f>
        <v>0</v>
      </c>
      <c r="M106" s="28"/>
      <c r="N106" s="27" t="n">
        <f aca="false">IFERROR(INDEX('Input Giocatori 2026_27'!$E$3:$E$493,MATCH($A106,'Input Giocatori 2026_27'!$A$3:$A$493,0)),"")</f>
        <v>9</v>
      </c>
      <c r="O106" s="27" t="n">
        <f aca="false">IFERROR(INDEX('Input Giocatori 2026_27'!$G$3:$G$493,MATCH($A106,'Input Giocatori 2026_27'!$A$3:$A$493,0)),"")</f>
        <v>30</v>
      </c>
      <c r="P106" s="26" t="str">
        <f aca="false">IFERROR(IF($O106="","",IF((1-(COUNTIFS($B$2:$B$492,$B106,$O$2:$O$492,"&gt;"&amp;$O106)+1-1)/COUNTIF($B$2:$B$492,$B106))&gt;=0.85,"Top",IF((1-(COUNTIFS($B$2:$B$492,$B106,$O$2:$O$492,"&gt;"&amp;$O106)+1-1)/COUNTIF($B$2:$B$492,$B106))&gt;=0.6,"Buono",IF((1-(COUNTIFS($B$2:$B$492,$B106,$O$2:$O$492,"&gt;"&amp;$O106)+1-1)/COUNTIF($B$2:$B$492,$B106))&gt;=0.3,"Nella Media","Scommessa/Riserva")))),"")</f>
        <v>Buono</v>
      </c>
      <c r="Q106" s="29" t="n">
        <f aca="false">IF($D106="",COUNTIF($D$2:$D106,""),"")</f>
        <v>105</v>
      </c>
      <c r="R106" s="29" t="str">
        <f aca="false">IF($D106='Info Lega'!$B$28,COUNTIFS($D$2:$D106,'Info Lega'!$B$28),"")</f>
        <v/>
      </c>
      <c r="S106" s="30" t="n">
        <f aca="false">IFERROR(INDEX('Input Statistiche 2025_26'!$G$3:$G$665,MATCH($A106,'Input Statistiche 2025_26'!$A$3:$A$665,0)),"")</f>
        <v>0</v>
      </c>
      <c r="T106" s="30" t="n">
        <f aca="false">IFERROR(INDEX('Input Statistiche 2025_26'!$H$3:$H$665,MATCH($A106,'Input Statistiche 2025_26'!$A$3:$A$665,0)),"")</f>
        <v>0</v>
      </c>
      <c r="U106" s="26" t="str">
        <f aca="false">IF(OR('La Mia Rosa'!$O$12="",$D106&lt;&gt;""),"",IF($F106&lt;='La Mia Rosa'!$O$12*'Parametri Modello'!$B$24,"OK",IF($F106&lt;='La Mia Rosa'!$O$12*'Parametri Modello'!$B$25,"Attenzione","Rischio Alto")))</f>
        <v>OK</v>
      </c>
      <c r="V106" s="26" t="n">
        <f aca="false">IFERROR(COUNTIFS($B$2:$B$492,$B106,$O$2:$O$492,"&gt;"&amp;$O106)+1,"")</f>
        <v>10</v>
      </c>
      <c r="W106" s="21" t="n">
        <f aca="false">'Info Lega'!$B$4-SUMIFS($M$2:$M$492,$D$2:$D$492,'Info Lega'!$B$28)</f>
        <v>1000</v>
      </c>
      <c r="X106" s="21" t="n">
        <f aca="false">('Info Lega'!$B$5-COUNTIFS($D$2:$D$492,'Info Lega'!$B$28,$B$2:$B$492,"P"))+('Info Lega'!$B$6-COUNTIFS($D$2:$D$492,'Info Lega'!$B$28,$B$2:$B$492,"D"))+('Info Lega'!$B$7-COUNTIFS($D$2:$D$492,'Info Lega'!$B$28,$B$2:$B$492,"C"))+('Info Lega'!$B$8-COUNTIFS($D$2:$D$492,'Info Lega'!$B$28,$B$2:$B$492,"A"))</f>
        <v>25</v>
      </c>
      <c r="Y106" s="21" t="n">
        <f aca="false">X106*'Parametri Modello'!$B$30</f>
        <v>25</v>
      </c>
      <c r="Z106" s="21" t="n">
        <f aca="false">MAX(0,W106-Y106)</f>
        <v>975</v>
      </c>
      <c r="AA106" s="21" t="n">
        <f aca="false">MIN(F106,Z106)</f>
        <v>10</v>
      </c>
      <c r="AB106" s="21"/>
      <c r="AC106" s="21" t="str">
        <f aca="false">IF(AB106="","",IF(AB106&gt;AA106,"PASS",IF(AB106&lt;=AA106*0.85,"BID","ATTENZIONE")))</f>
        <v/>
      </c>
      <c r="AD106" s="31" t="n">
        <f aca="false">IF(I106="","",ROUND(100*(1-EXP(-I106/30)),0))</f>
        <v>0</v>
      </c>
      <c r="AE106" s="7" t="str">
        <f aca="false">IFERROR(INDEX('Stato Asta'!$G$9:$G$12,MATCH($B106,'Stato Asta'!$A$9:$A$12,0)),"")</f>
        <v>🟡 Attesa rischiosa</v>
      </c>
    </row>
    <row r="107" customFormat="false" ht="14.25" hidden="false" customHeight="true" outlineLevel="0" collapsed="false">
      <c r="A107" s="21" t="n">
        <v>5885</v>
      </c>
      <c r="B107" s="21" t="s">
        <v>44</v>
      </c>
      <c r="C107" s="21" t="s">
        <v>209</v>
      </c>
      <c r="E107" s="26" t="str">
        <f aca="false">IF(COUNTIF('Info Strategia'!$D$2:$D$51,$C107)&gt;0,"SI","NO")</f>
        <v>NO</v>
      </c>
      <c r="F107" s="27" t="n">
        <f aca="false">IFERROR(ROUND(($G107+($H107-$G107)*'Info Strategia'!$B$6)*(1+IF($E107="SI",'Parametri Modello'!$B$7*'Info Strategia'!$B$6,0)),0),"")</f>
        <v>21</v>
      </c>
      <c r="G107" s="27" t="n">
        <f aca="false">IFERROR(ROUND(MAX(1,(IF($V107&lt;=INDEX('Parametri Modello'!$C$57:$C$60,MATCH($B107,'Parametri Modello'!$A$57:$A$60,0)),IF(INDEX('Parametri Modello'!$E$57:$E$60,MATCH($B107,'Parametri Modello'!$A$57:$A$60,0))=0,0,($O107/INDEX('Parametri Modello'!$E$57:$E$60,MATCH($B107,'Parametri Modello'!$A$57:$A$60,0)))*(INDEX('Parametri Modello'!$D$57:$D$60,MATCH($B107,'Parametri Modello'!$A$57:$A$60,0))*(INDEX('Parametri Modello'!$B$50:$B$53,MATCH($B107,'Parametri Modello'!$A$50:$A$53,0))*'Parametri Modello'!$B$44))),IF(INDEX('Parametri Modello'!$F$57:$F$60,MATCH($B107,'Parametri Modello'!$A$57:$A$60,0))=0,0,($O107/INDEX('Parametri Modello'!$F$57:$F$60,MATCH($B107,'Parametri Modello'!$A$57:$A$60,0)))*((1-INDEX('Parametri Modello'!$D$57:$D$60,MATCH($B107,'Parametri Modello'!$A$57:$A$60,0)))*(INDEX('Parametri Modello'!$B$50:$B$53,MATCH($B107,'Parametri Modello'!$A$50:$A$53,0))*'Parametri Modello'!$B$44))))*(1+IF(IF($B107="D",'Info Lega'!$B$25,IF($B107="C",'Info Lega'!$B$26,"No"))="Si",'Parametri Modello'!$B$5,0))*(1+MAX(-0.25,MIN(0.25,IF(OR($T107="",$I107="",$I107=0,INDEX('Parametri Modello'!$B$19:$B$22,MATCH($B107,'Parametri Modello'!$A$19:$A$22,0))="",INDEX('Parametri Modello'!$B$19:$B$22,MATCH($B107,'Parametri Modello'!$A$19:$A$22,0))=0),0,(($T107-INDEX('Parametri Modello'!$B$19:$B$22,MATCH($B107,'Parametri Modello'!$A$19:$A$22,0)))/INDEX('Parametri Modello'!$B$19:$B$22,MATCH($B107,'Parametri Modello'!$A$19:$A$22,0)))*'Parametri Modello'!$B$9))))*(1+IF('Parametri Modello'!$B$27="Si",MAX(-'Parametri Modello'!$B$28,MIN('Parametri Modello'!$B$28*1.5,IF(OR(INDEX('Parametri Modello'!$F$32:$F$35,MATCH($B107,'Parametri Modello'!$A$32:$A$35,0))="",INDEX('Parametri Modello'!$F$32:$F$35,MATCH($B107,'Parametri Modello'!$A$32:$A$35,0))=0),0,(1/INDEX('Parametri Modello'!$F$32:$F$35,MATCH($B107,'Parametri Modello'!$A$32:$A$35,0))-1)*'Parametri Modello'!$B$28))),0)))*(1-INDEX('Parametri Modello'!$B$12:$B$15,MATCH($B107,'Parametri Modello'!$A$12:$A$15,0)))),0),"")</f>
        <v>15</v>
      </c>
      <c r="H107" s="27" t="n">
        <f aca="false">IFERROR(ROUND((IF($V107&lt;=INDEX('Parametri Modello'!$C$57:$C$60,MATCH($B107,'Parametri Modello'!$A$57:$A$60,0)),IF(INDEX('Parametri Modello'!$E$57:$E$60,MATCH($B107,'Parametri Modello'!$A$57:$A$60,0))=0,0,($O107/INDEX('Parametri Modello'!$E$57:$E$60,MATCH($B107,'Parametri Modello'!$A$57:$A$60,0)))*(INDEX('Parametri Modello'!$D$57:$D$60,MATCH($B107,'Parametri Modello'!$A$57:$A$60,0))*(INDEX('Parametri Modello'!$B$50:$B$53,MATCH($B107,'Parametri Modello'!$A$50:$A$53,0))*'Parametri Modello'!$B$44))),IF(INDEX('Parametri Modello'!$F$57:$F$60,MATCH($B107,'Parametri Modello'!$A$57:$A$60,0))=0,0,($O107/INDEX('Parametri Modello'!$F$57:$F$60,MATCH($B107,'Parametri Modello'!$A$57:$A$60,0)))*((1-INDEX('Parametri Modello'!$D$57:$D$60,MATCH($B107,'Parametri Modello'!$A$57:$A$60,0)))*(INDEX('Parametri Modello'!$B$50:$B$53,MATCH($B107,'Parametri Modello'!$A$50:$A$53,0))*'Parametri Modello'!$B$44))))*(1+IF(IF($B107="D",'Info Lega'!$B$25,IF($B107="C",'Info Lega'!$B$26,"No"))="Si",'Parametri Modello'!$B$5,0))*(1+MAX(-0.25,MIN(0.25,IF(OR($T107="",$I107="",$I107=0,INDEX('Parametri Modello'!$B$19:$B$22,MATCH($B107,'Parametri Modello'!$A$19:$A$22,0))="",INDEX('Parametri Modello'!$B$19:$B$22,MATCH($B107,'Parametri Modello'!$A$19:$A$22,0))=0),0,(($T107-INDEX('Parametri Modello'!$B$19:$B$22,MATCH($B107,'Parametri Modello'!$A$19:$A$22,0)))/INDEX('Parametri Modello'!$B$19:$B$22,MATCH($B107,'Parametri Modello'!$A$19:$A$22,0)))*'Parametri Modello'!$B$9))))*(1+IF('Parametri Modello'!$B$27="Si",MAX(-'Parametri Modello'!$B$28,MIN('Parametri Modello'!$B$28*1.5,IF(OR(INDEX('Parametri Modello'!$F$32:$F$35,MATCH($B107,'Parametri Modello'!$A$32:$A$35,0))="",INDEX('Parametri Modello'!$F$32:$F$35,MATCH($B107,'Parametri Modello'!$A$32:$A$35,0))=0),0,(1/INDEX('Parametri Modello'!$F$32:$F$35,MATCH($B107,'Parametri Modello'!$A$32:$A$35,0))-1)*'Parametri Modello'!$B$28))),0)))*(1+INDEX('Parametri Modello'!$B$12:$B$15,MATCH($B107,'Parametri Modello'!$A$12:$A$15,0))),0),"")</f>
        <v>23</v>
      </c>
      <c r="I107" s="26" t="n">
        <f aca="false">IFERROR(INDEX('Input Statistiche 2025_26'!$F$3:$F$665,MATCH($A107,'Input Statistiche 2025_26'!$A$3:$A$665,0)),"")</f>
        <v>36</v>
      </c>
      <c r="J107" s="26" t="n">
        <f aca="false">IFERROR(IF($I107="","",MAX(0,38-$I107)),"")</f>
        <v>2</v>
      </c>
      <c r="K107" s="26" t="n">
        <f aca="false">IFERROR(INDEX('Input Statistiche 2025_26'!$I$3:$I$665,MATCH($A107,'Input Statistiche 2025_26'!$A$3:$A$665,0)),"")</f>
        <v>1</v>
      </c>
      <c r="L107" s="26" t="n">
        <f aca="false">IFERROR(INDEX('Input Statistiche 2025_26'!$O$3:$O$665,MATCH($A107,'Input Statistiche 2025_26'!$A$3:$A$665,0)),"")</f>
        <v>2</v>
      </c>
      <c r="M107" s="28"/>
      <c r="N107" s="27" t="n">
        <f aca="false">IFERROR(INDEX('Input Giocatori 2026_27'!$E$3:$E$493,MATCH($A107,'Input Giocatori 2026_27'!$A$3:$A$493,0)),"")</f>
        <v>10</v>
      </c>
      <c r="O107" s="27" t="n">
        <f aca="false">IFERROR(INDEX('Input Giocatori 2026_27'!$G$3:$G$493,MATCH($A107,'Input Giocatori 2026_27'!$A$3:$A$493,0)),"")</f>
        <v>30</v>
      </c>
      <c r="P107" s="26" t="str">
        <f aca="false">IFERROR(IF($O107="","",IF((1-(COUNTIFS($B$2:$B$492,$B107,$O$2:$O$492,"&gt;"&amp;$O107)+1-1)/COUNTIF($B$2:$B$492,$B107))&gt;=0.85,"Top",IF((1-(COUNTIFS($B$2:$B$492,$B107,$O$2:$O$492,"&gt;"&amp;$O107)+1-1)/COUNTIF($B$2:$B$492,$B107))&gt;=0.6,"Buono",IF((1-(COUNTIFS($B$2:$B$492,$B107,$O$2:$O$492,"&gt;"&amp;$O107)+1-1)/COUNTIF($B$2:$B$492,$B107))&gt;=0.3,"Nella Media","Scommessa/Riserva")))),"")</f>
        <v>Top</v>
      </c>
      <c r="Q107" s="29" t="n">
        <f aca="false">IF($D107="",COUNTIF($D$2:$D107,""),"")</f>
        <v>106</v>
      </c>
      <c r="R107" s="29" t="str">
        <f aca="false">IF($D107='Info Lega'!$B$28,COUNTIFS($D$2:$D107,'Info Lega'!$B$28),"")</f>
        <v/>
      </c>
      <c r="S107" s="30" t="n">
        <f aca="false">IFERROR(INDEX('Input Statistiche 2025_26'!$G$3:$G$665,MATCH($A107,'Input Statistiche 2025_26'!$A$3:$A$665,0)),"")</f>
        <v>5.99</v>
      </c>
      <c r="T107" s="30" t="n">
        <f aca="false">IFERROR(INDEX('Input Statistiche 2025_26'!$H$3:$H$665,MATCH($A107,'Input Statistiche 2025_26'!$A$3:$A$665,0)),"")</f>
        <v>6.03</v>
      </c>
      <c r="U107" s="26" t="str">
        <f aca="false">IF(OR('La Mia Rosa'!$O$12="",$D107&lt;&gt;""),"",IF($F107&lt;='La Mia Rosa'!$O$12*'Parametri Modello'!$B$24,"OK",IF($F107&lt;='La Mia Rosa'!$O$12*'Parametri Modello'!$B$25,"Attenzione","Rischio Alto")))</f>
        <v>OK</v>
      </c>
      <c r="V107" s="26" t="n">
        <f aca="false">IFERROR(COUNTIFS($B$2:$B$492,$B107,$O$2:$O$492,"&gt;"&amp;$O107)+1,"")</f>
        <v>19</v>
      </c>
      <c r="W107" s="21" t="n">
        <f aca="false">'Info Lega'!$B$4-SUMIFS($M$2:$M$492,$D$2:$D$492,'Info Lega'!$B$28)</f>
        <v>1000</v>
      </c>
      <c r="X107" s="21" t="n">
        <f aca="false">('Info Lega'!$B$5-COUNTIFS($D$2:$D$492,'Info Lega'!$B$28,$B$2:$B$492,"P"))+('Info Lega'!$B$6-COUNTIFS($D$2:$D$492,'Info Lega'!$B$28,$B$2:$B$492,"D"))+('Info Lega'!$B$7-COUNTIFS($D$2:$D$492,'Info Lega'!$B$28,$B$2:$B$492,"C"))+('Info Lega'!$B$8-COUNTIFS($D$2:$D$492,'Info Lega'!$B$28,$B$2:$B$492,"A"))</f>
        <v>25</v>
      </c>
      <c r="Y107" s="21" t="n">
        <f aca="false">X107*'Parametri Modello'!$B$30</f>
        <v>25</v>
      </c>
      <c r="Z107" s="21" t="n">
        <f aca="false">MAX(0,W107-Y107)</f>
        <v>975</v>
      </c>
      <c r="AA107" s="21" t="n">
        <f aca="false">MIN(F107,Z107)</f>
        <v>21</v>
      </c>
      <c r="AB107" s="21"/>
      <c r="AC107" s="21" t="str">
        <f aca="false">IF(AB107="","",IF(AB107&gt;AA107,"PASS",IF(AB107&lt;=AA107*0.85,"BID","ATTENZIONE")))</f>
        <v/>
      </c>
      <c r="AD107" s="31" t="n">
        <f aca="false">IF(I107="","",ROUND(100*(1-EXP(-I107/30)),0))</f>
        <v>70</v>
      </c>
      <c r="AE107" s="7" t="str">
        <f aca="false">IFERROR(INDEX('Stato Asta'!$G$9:$G$12,MATCH($B107,'Stato Asta'!$A$9:$A$12,0)),"")</f>
        <v>🟡 Attesa rischiosa</v>
      </c>
    </row>
    <row r="108" customFormat="false" ht="14.25" hidden="false" customHeight="true" outlineLevel="0" collapsed="false">
      <c r="A108" s="21" t="n">
        <v>5823</v>
      </c>
      <c r="B108" s="21" t="s">
        <v>45</v>
      </c>
      <c r="C108" s="21" t="s">
        <v>390</v>
      </c>
      <c r="E108" s="26" t="str">
        <f aca="false">IF(COUNTIF('Info Strategia'!$D$2:$D$51,$C108)&gt;0,"SI","NO")</f>
        <v>NO</v>
      </c>
      <c r="F108" s="27" t="n">
        <f aca="false">IFERROR(ROUND(($G108+($H108-$G108)*'Info Strategia'!$B$6)*(1+IF($E108="SI",'Parametri Modello'!$B$7*'Info Strategia'!$B$6,0)),0),"")</f>
        <v>4</v>
      </c>
      <c r="G108" s="27" t="n">
        <f aca="false">IFERROR(ROUND(MAX(1,(IF($V108&lt;=INDEX('Parametri Modello'!$C$57:$C$60,MATCH($B108,'Parametri Modello'!$A$57:$A$60,0)),IF(INDEX('Parametri Modello'!$E$57:$E$60,MATCH($B108,'Parametri Modello'!$A$57:$A$60,0))=0,0,($O108/INDEX('Parametri Modello'!$E$57:$E$60,MATCH($B108,'Parametri Modello'!$A$57:$A$60,0)))*(INDEX('Parametri Modello'!$D$57:$D$60,MATCH($B108,'Parametri Modello'!$A$57:$A$60,0))*(INDEX('Parametri Modello'!$B$50:$B$53,MATCH($B108,'Parametri Modello'!$A$50:$A$53,0))*'Parametri Modello'!$B$44))),IF(INDEX('Parametri Modello'!$F$57:$F$60,MATCH($B108,'Parametri Modello'!$A$57:$A$60,0))=0,0,($O108/INDEX('Parametri Modello'!$F$57:$F$60,MATCH($B108,'Parametri Modello'!$A$57:$A$60,0)))*((1-INDEX('Parametri Modello'!$D$57:$D$60,MATCH($B108,'Parametri Modello'!$A$57:$A$60,0)))*(INDEX('Parametri Modello'!$B$50:$B$53,MATCH($B108,'Parametri Modello'!$A$50:$A$53,0))*'Parametri Modello'!$B$44))))*(1+IF(IF($B108="D",'Info Lega'!$B$25,IF($B108="C",'Info Lega'!$B$26,"No"))="Si",'Parametri Modello'!$B$5,0))*(1+MAX(-0.25,MIN(0.25,IF(OR($T108="",$I108="",$I108=0,INDEX('Parametri Modello'!$B$19:$B$22,MATCH($B108,'Parametri Modello'!$A$19:$A$22,0))="",INDEX('Parametri Modello'!$B$19:$B$22,MATCH($B108,'Parametri Modello'!$A$19:$A$22,0))=0),0,(($T108-INDEX('Parametri Modello'!$B$19:$B$22,MATCH($B108,'Parametri Modello'!$A$19:$A$22,0)))/INDEX('Parametri Modello'!$B$19:$B$22,MATCH($B108,'Parametri Modello'!$A$19:$A$22,0)))*'Parametri Modello'!$B$9))))*(1+IF('Parametri Modello'!$B$27="Si",MAX(-'Parametri Modello'!$B$28,MIN('Parametri Modello'!$B$28*1.5,IF(OR(INDEX('Parametri Modello'!$F$32:$F$35,MATCH($B108,'Parametri Modello'!$A$32:$A$35,0))="",INDEX('Parametri Modello'!$F$32:$F$35,MATCH($B108,'Parametri Modello'!$A$32:$A$35,0))=0),0,(1/INDEX('Parametri Modello'!$F$32:$F$35,MATCH($B108,'Parametri Modello'!$A$32:$A$35,0))-1)*'Parametri Modello'!$B$28))),0)))*(1-INDEX('Parametri Modello'!$B$12:$B$15,MATCH($B108,'Parametri Modello'!$A$12:$A$15,0)))),0),"")</f>
        <v>3</v>
      </c>
      <c r="H108" s="27" t="n">
        <f aca="false">IFERROR(ROUND((IF($V108&lt;=INDEX('Parametri Modello'!$C$57:$C$60,MATCH($B108,'Parametri Modello'!$A$57:$A$60,0)),IF(INDEX('Parametri Modello'!$E$57:$E$60,MATCH($B108,'Parametri Modello'!$A$57:$A$60,0))=0,0,($O108/INDEX('Parametri Modello'!$E$57:$E$60,MATCH($B108,'Parametri Modello'!$A$57:$A$60,0)))*(INDEX('Parametri Modello'!$D$57:$D$60,MATCH($B108,'Parametri Modello'!$A$57:$A$60,0))*(INDEX('Parametri Modello'!$B$50:$B$53,MATCH($B108,'Parametri Modello'!$A$50:$A$53,0))*'Parametri Modello'!$B$44))),IF(INDEX('Parametri Modello'!$F$57:$F$60,MATCH($B108,'Parametri Modello'!$A$57:$A$60,0))=0,0,($O108/INDEX('Parametri Modello'!$F$57:$F$60,MATCH($B108,'Parametri Modello'!$A$57:$A$60,0)))*((1-INDEX('Parametri Modello'!$D$57:$D$60,MATCH($B108,'Parametri Modello'!$A$57:$A$60,0)))*(INDEX('Parametri Modello'!$B$50:$B$53,MATCH($B108,'Parametri Modello'!$A$50:$A$53,0))*'Parametri Modello'!$B$44))))*(1+IF(IF($B108="D",'Info Lega'!$B$25,IF($B108="C",'Info Lega'!$B$26,"No"))="Si",'Parametri Modello'!$B$5,0))*(1+MAX(-0.25,MIN(0.25,IF(OR($T108="",$I108="",$I108=0,INDEX('Parametri Modello'!$B$19:$B$22,MATCH($B108,'Parametri Modello'!$A$19:$A$22,0))="",INDEX('Parametri Modello'!$B$19:$B$22,MATCH($B108,'Parametri Modello'!$A$19:$A$22,0))=0),0,(($T108-INDEX('Parametri Modello'!$B$19:$B$22,MATCH($B108,'Parametri Modello'!$A$19:$A$22,0)))/INDEX('Parametri Modello'!$B$19:$B$22,MATCH($B108,'Parametri Modello'!$A$19:$A$22,0)))*'Parametri Modello'!$B$9))))*(1+IF('Parametri Modello'!$B$27="Si",MAX(-'Parametri Modello'!$B$28,MIN('Parametri Modello'!$B$28*1.5,IF(OR(INDEX('Parametri Modello'!$F$32:$F$35,MATCH($B108,'Parametri Modello'!$A$32:$A$35,0))="",INDEX('Parametri Modello'!$F$32:$F$35,MATCH($B108,'Parametri Modello'!$A$32:$A$35,0))=0),0,(1/INDEX('Parametri Modello'!$F$32:$F$35,MATCH($B108,'Parametri Modello'!$A$32:$A$35,0))-1)*'Parametri Modello'!$B$28))),0)))*(1+INDEX('Parametri Modello'!$B$12:$B$15,MATCH($B108,'Parametri Modello'!$A$12:$A$15,0))),0),"")</f>
        <v>4</v>
      </c>
      <c r="I108" s="26" t="n">
        <f aca="false">IFERROR(INDEX('Input Statistiche 2025_26'!$F$3:$F$665,MATCH($A108,'Input Statistiche 2025_26'!$A$3:$A$665,0)),"")</f>
        <v>17</v>
      </c>
      <c r="J108" s="26" t="n">
        <f aca="false">IFERROR(IF($I108="","",MAX(0,38-$I108)),"")</f>
        <v>21</v>
      </c>
      <c r="K108" s="26" t="n">
        <f aca="false">IFERROR(INDEX('Input Statistiche 2025_26'!$I$3:$I$665,MATCH($A108,'Input Statistiche 2025_26'!$A$3:$A$665,0)),"")</f>
        <v>1</v>
      </c>
      <c r="L108" s="26" t="n">
        <f aca="false">IFERROR(INDEX('Input Statistiche 2025_26'!$O$3:$O$665,MATCH($A108,'Input Statistiche 2025_26'!$A$3:$A$665,0)),"")</f>
        <v>2</v>
      </c>
      <c r="M108" s="28"/>
      <c r="N108" s="27" t="n">
        <f aca="false">IFERROR(INDEX('Input Giocatori 2026_27'!$E$3:$E$493,MATCH($A108,'Input Giocatori 2026_27'!$A$3:$A$493,0)),"")</f>
        <v>11</v>
      </c>
      <c r="O108" s="27" t="n">
        <f aca="false">IFERROR(INDEX('Input Giocatori 2026_27'!$G$3:$G$493,MATCH($A108,'Input Giocatori 2026_27'!$A$3:$A$493,0)),"")</f>
        <v>30</v>
      </c>
      <c r="P108" s="26" t="str">
        <f aca="false">IFERROR(IF($O108="","",IF((1-(COUNTIFS($B$2:$B$492,$B108,$O$2:$O$492,"&gt;"&amp;$O108)+1-1)/COUNTIF($B$2:$B$492,$B108))&gt;=0.85,"Top",IF((1-(COUNTIFS($B$2:$B$492,$B108,$O$2:$O$492,"&gt;"&amp;$O108)+1-1)/COUNTIF($B$2:$B$492,$B108))&gt;=0.6,"Buono",IF((1-(COUNTIFS($B$2:$B$492,$B108,$O$2:$O$492,"&gt;"&amp;$O108)+1-1)/COUNTIF($B$2:$B$492,$B108))&gt;=0.3,"Nella Media","Scommessa/Riserva")))),"")</f>
        <v>Buono</v>
      </c>
      <c r="Q108" s="29" t="n">
        <f aca="false">IF($D108="",COUNTIF($D$2:$D108,""),"")</f>
        <v>107</v>
      </c>
      <c r="R108" s="29" t="str">
        <f aca="false">IF($D108='Info Lega'!$B$28,COUNTIFS($D$2:$D108,'Info Lega'!$B$28),"")</f>
        <v/>
      </c>
      <c r="S108" s="30" t="n">
        <f aca="false">IFERROR(INDEX('Input Statistiche 2025_26'!$G$3:$G$665,MATCH($A108,'Input Statistiche 2025_26'!$A$3:$A$665,0)),"")</f>
        <v>6.15</v>
      </c>
      <c r="T108" s="30" t="n">
        <f aca="false">IFERROR(INDEX('Input Statistiche 2025_26'!$H$3:$H$665,MATCH($A108,'Input Statistiche 2025_26'!$A$3:$A$665,0)),"")</f>
        <v>6.38</v>
      </c>
      <c r="U108" s="26" t="str">
        <f aca="false">IF(OR('La Mia Rosa'!$O$12="",$D108&lt;&gt;""),"",IF($F108&lt;='La Mia Rosa'!$O$12*'Parametri Modello'!$B$24,"OK",IF($F108&lt;='La Mia Rosa'!$O$12*'Parametri Modello'!$B$25,"Attenzione","Rischio Alto")))</f>
        <v>OK</v>
      </c>
      <c r="V108" s="26" t="n">
        <f aca="false">IFERROR(COUNTIFS($B$2:$B$492,$B108,$O$2:$O$492,"&gt;"&amp;$O108)+1,"")</f>
        <v>40</v>
      </c>
      <c r="W108" s="21" t="n">
        <f aca="false">'Info Lega'!$B$4-SUMIFS($M$2:$M$492,$D$2:$D$492,'Info Lega'!$B$28)</f>
        <v>1000</v>
      </c>
      <c r="X108" s="21" t="n">
        <f aca="false">('Info Lega'!$B$5-COUNTIFS($D$2:$D$492,'Info Lega'!$B$28,$B$2:$B$492,"P"))+('Info Lega'!$B$6-COUNTIFS($D$2:$D$492,'Info Lega'!$B$28,$B$2:$B$492,"D"))+('Info Lega'!$B$7-COUNTIFS($D$2:$D$492,'Info Lega'!$B$28,$B$2:$B$492,"C"))+('Info Lega'!$B$8-COUNTIFS($D$2:$D$492,'Info Lega'!$B$28,$B$2:$B$492,"A"))</f>
        <v>25</v>
      </c>
      <c r="Y108" s="21" t="n">
        <f aca="false">X108*'Parametri Modello'!$B$30</f>
        <v>25</v>
      </c>
      <c r="Z108" s="21" t="n">
        <f aca="false">MAX(0,W108-Y108)</f>
        <v>975</v>
      </c>
      <c r="AA108" s="21" t="n">
        <f aca="false">MIN(F108,Z108)</f>
        <v>4</v>
      </c>
      <c r="AB108" s="21"/>
      <c r="AC108" s="21" t="str">
        <f aca="false">IF(AB108="","",IF(AB108&gt;AA108,"PASS",IF(AB108&lt;=AA108*0.85,"BID","ATTENZIONE")))</f>
        <v/>
      </c>
      <c r="AD108" s="31" t="n">
        <f aca="false">IF(I108="","",ROUND(100*(1-EXP(-I108/30)),0))</f>
        <v>43</v>
      </c>
      <c r="AE108" s="7" t="str">
        <f aca="false">IFERROR(INDEX('Stato Asta'!$G$9:$G$12,MATCH($B108,'Stato Asta'!$A$9:$A$12,0)),"")</f>
        <v>🟡 Attesa rischiosa</v>
      </c>
    </row>
    <row r="109" customFormat="false" ht="14.25" hidden="false" customHeight="true" outlineLevel="0" collapsed="false">
      <c r="A109" s="21" t="n">
        <v>6530</v>
      </c>
      <c r="B109" s="21" t="s">
        <v>46</v>
      </c>
      <c r="C109" s="21" t="s">
        <v>573</v>
      </c>
      <c r="E109" s="26" t="str">
        <f aca="false">IF(COUNTIF('Info Strategia'!$D$2:$D$51,$C109)&gt;0,"SI","NO")</f>
        <v>NO</v>
      </c>
      <c r="F109" s="27" t="n">
        <f aca="false">IFERROR(ROUND(($G109+($H109-$G109)*'Info Strategia'!$B$6)*(1+IF($E109="SI",'Parametri Modello'!$B$7*'Info Strategia'!$B$6,0)),0),"")</f>
        <v>10</v>
      </c>
      <c r="G109" s="27" t="n">
        <f aca="false">IFERROR(ROUND(MAX(1,(IF($V109&lt;=INDEX('Parametri Modello'!$C$57:$C$60,MATCH($B109,'Parametri Modello'!$A$57:$A$60,0)),IF(INDEX('Parametri Modello'!$E$57:$E$60,MATCH($B109,'Parametri Modello'!$A$57:$A$60,0))=0,0,($O109/INDEX('Parametri Modello'!$E$57:$E$60,MATCH($B109,'Parametri Modello'!$A$57:$A$60,0)))*(INDEX('Parametri Modello'!$D$57:$D$60,MATCH($B109,'Parametri Modello'!$A$57:$A$60,0))*(INDEX('Parametri Modello'!$B$50:$B$53,MATCH($B109,'Parametri Modello'!$A$50:$A$53,0))*'Parametri Modello'!$B$44))),IF(INDEX('Parametri Modello'!$F$57:$F$60,MATCH($B109,'Parametri Modello'!$A$57:$A$60,0))=0,0,($O109/INDEX('Parametri Modello'!$F$57:$F$60,MATCH($B109,'Parametri Modello'!$A$57:$A$60,0)))*((1-INDEX('Parametri Modello'!$D$57:$D$60,MATCH($B109,'Parametri Modello'!$A$57:$A$60,0)))*(INDEX('Parametri Modello'!$B$50:$B$53,MATCH($B109,'Parametri Modello'!$A$50:$A$53,0))*'Parametri Modello'!$B$44))))*(1+IF(IF($B109="D",'Info Lega'!$B$25,IF($B109="C",'Info Lega'!$B$26,"No"))="Si",'Parametri Modello'!$B$5,0))*(1+MAX(-0.25,MIN(0.25,IF(OR($T109="",$I109="",$I109=0,INDEX('Parametri Modello'!$B$19:$B$22,MATCH($B109,'Parametri Modello'!$A$19:$A$22,0))="",INDEX('Parametri Modello'!$B$19:$B$22,MATCH($B109,'Parametri Modello'!$A$19:$A$22,0))=0),0,(($T109-INDEX('Parametri Modello'!$B$19:$B$22,MATCH($B109,'Parametri Modello'!$A$19:$A$22,0)))/INDEX('Parametri Modello'!$B$19:$B$22,MATCH($B109,'Parametri Modello'!$A$19:$A$22,0)))*'Parametri Modello'!$B$9))))*(1+IF('Parametri Modello'!$B$27="Si",MAX(-'Parametri Modello'!$B$28,MIN('Parametri Modello'!$B$28*1.5,IF(OR(INDEX('Parametri Modello'!$F$32:$F$35,MATCH($B109,'Parametri Modello'!$A$32:$A$35,0))="",INDEX('Parametri Modello'!$F$32:$F$35,MATCH($B109,'Parametri Modello'!$A$32:$A$35,0))=0),0,(1/INDEX('Parametri Modello'!$F$32:$F$35,MATCH($B109,'Parametri Modello'!$A$32:$A$35,0))-1)*'Parametri Modello'!$B$28))),0)))*(1-INDEX('Parametri Modello'!$B$12:$B$15,MATCH($B109,'Parametri Modello'!$A$12:$A$15,0)))),0),"")</f>
        <v>6</v>
      </c>
      <c r="H109" s="27" t="n">
        <f aca="false">IFERROR(ROUND((IF($V109&lt;=INDEX('Parametri Modello'!$C$57:$C$60,MATCH($B109,'Parametri Modello'!$A$57:$A$60,0)),IF(INDEX('Parametri Modello'!$E$57:$E$60,MATCH($B109,'Parametri Modello'!$A$57:$A$60,0))=0,0,($O109/INDEX('Parametri Modello'!$E$57:$E$60,MATCH($B109,'Parametri Modello'!$A$57:$A$60,0)))*(INDEX('Parametri Modello'!$D$57:$D$60,MATCH($B109,'Parametri Modello'!$A$57:$A$60,0))*(INDEX('Parametri Modello'!$B$50:$B$53,MATCH($B109,'Parametri Modello'!$A$50:$A$53,0))*'Parametri Modello'!$B$44))),IF(INDEX('Parametri Modello'!$F$57:$F$60,MATCH($B109,'Parametri Modello'!$A$57:$A$60,0))=0,0,($O109/INDEX('Parametri Modello'!$F$57:$F$60,MATCH($B109,'Parametri Modello'!$A$57:$A$60,0)))*((1-INDEX('Parametri Modello'!$D$57:$D$60,MATCH($B109,'Parametri Modello'!$A$57:$A$60,0)))*(INDEX('Parametri Modello'!$B$50:$B$53,MATCH($B109,'Parametri Modello'!$A$50:$A$53,0))*'Parametri Modello'!$B$44))))*(1+IF(IF($B109="D",'Info Lega'!$B$25,IF($B109="C",'Info Lega'!$B$26,"No"))="Si",'Parametri Modello'!$B$5,0))*(1+MAX(-0.25,MIN(0.25,IF(OR($T109="",$I109="",$I109=0,INDEX('Parametri Modello'!$B$19:$B$22,MATCH($B109,'Parametri Modello'!$A$19:$A$22,0))="",INDEX('Parametri Modello'!$B$19:$B$22,MATCH($B109,'Parametri Modello'!$A$19:$A$22,0))=0),0,(($T109-INDEX('Parametri Modello'!$B$19:$B$22,MATCH($B109,'Parametri Modello'!$A$19:$A$22,0)))/INDEX('Parametri Modello'!$B$19:$B$22,MATCH($B109,'Parametri Modello'!$A$19:$A$22,0)))*'Parametri Modello'!$B$9))))*(1+IF('Parametri Modello'!$B$27="Si",MAX(-'Parametri Modello'!$B$28,MIN('Parametri Modello'!$B$28*1.5,IF(OR(INDEX('Parametri Modello'!$F$32:$F$35,MATCH($B109,'Parametri Modello'!$A$32:$A$35,0))="",INDEX('Parametri Modello'!$F$32:$F$35,MATCH($B109,'Parametri Modello'!$A$32:$A$35,0))=0),0,(1/INDEX('Parametri Modello'!$F$32:$F$35,MATCH($B109,'Parametri Modello'!$A$32:$A$35,0))-1)*'Parametri Modello'!$B$28))),0)))*(1+INDEX('Parametri Modello'!$B$12:$B$15,MATCH($B109,'Parametri Modello'!$A$12:$A$15,0))),0),"")</f>
        <v>11</v>
      </c>
      <c r="I109" s="26" t="str">
        <f aca="false">IFERROR(INDEX('Input Statistiche 2025_26'!$F$3:$F$665,MATCH($A109,'Input Statistiche 2025_26'!$A$3:$A$665,0)),"")</f>
        <v/>
      </c>
      <c r="J109" s="26" t="str">
        <f aca="false">IFERROR(IF($I109="","",MAX(0,38-$I109)),"")</f>
        <v/>
      </c>
      <c r="K109" s="26" t="str">
        <f aca="false">IFERROR(INDEX('Input Statistiche 2025_26'!$I$3:$I$665,MATCH($A109,'Input Statistiche 2025_26'!$A$3:$A$665,0)),"")</f>
        <v/>
      </c>
      <c r="L109" s="26" t="str">
        <f aca="false">IFERROR(INDEX('Input Statistiche 2025_26'!$O$3:$O$665,MATCH($A109,'Input Statistiche 2025_26'!$A$3:$A$665,0)),"")</f>
        <v/>
      </c>
      <c r="M109" s="28"/>
      <c r="N109" s="27" t="n">
        <f aca="false">IFERROR(INDEX('Input Giocatori 2026_27'!$E$3:$E$493,MATCH($A109,'Input Giocatori 2026_27'!$A$3:$A$493,0)),"")</f>
        <v>9</v>
      </c>
      <c r="O109" s="27" t="n">
        <f aca="false">IFERROR(INDEX('Input Giocatori 2026_27'!$G$3:$G$493,MATCH($A109,'Input Giocatori 2026_27'!$A$3:$A$493,0)),"")</f>
        <v>30</v>
      </c>
      <c r="P109" s="26" t="str">
        <f aca="false">IFERROR(IF($O109="","",IF((1-(COUNTIFS($B$2:$B$492,$B109,$O$2:$O$492,"&gt;"&amp;$O109)+1-1)/COUNTIF($B$2:$B$492,$B109))&gt;=0.85,"Top",IF((1-(COUNTIFS($B$2:$B$492,$B109,$O$2:$O$492,"&gt;"&amp;$O109)+1-1)/COUNTIF($B$2:$B$492,$B109))&gt;=0.6,"Buono",IF((1-(COUNTIFS($B$2:$B$492,$B109,$O$2:$O$492,"&gt;"&amp;$O109)+1-1)/COUNTIF($B$2:$B$492,$B109))&gt;=0.3,"Nella Media","Scommessa/Riserva")))),"")</f>
        <v>Nella Media</v>
      </c>
      <c r="Q109" s="29" t="n">
        <f aca="false">IF($D109="",COUNTIF($D$2:$D109,""),"")</f>
        <v>108</v>
      </c>
      <c r="R109" s="29" t="str">
        <f aca="false">IF($D109='Info Lega'!$B$28,COUNTIFS($D$2:$D109,'Info Lega'!$B$28),"")</f>
        <v/>
      </c>
      <c r="S109" s="30" t="str">
        <f aca="false">IFERROR(INDEX('Input Statistiche 2025_26'!$G$3:$G$665,MATCH($A109,'Input Statistiche 2025_26'!$A$3:$A$665,0)),"")</f>
        <v/>
      </c>
      <c r="T109" s="30" t="str">
        <f aca="false">IFERROR(INDEX('Input Statistiche 2025_26'!$H$3:$H$665,MATCH($A109,'Input Statistiche 2025_26'!$A$3:$A$665,0)),"")</f>
        <v/>
      </c>
      <c r="U109" s="26" t="str">
        <f aca="false">IF(OR('La Mia Rosa'!$O$12="",$D109&lt;&gt;""),"",IF($F109&lt;='La Mia Rosa'!$O$12*'Parametri Modello'!$B$24,"OK",IF($F109&lt;='La Mia Rosa'!$O$12*'Parametri Modello'!$B$25,"Attenzione","Rischio Alto")))</f>
        <v>OK</v>
      </c>
      <c r="V109" s="26" t="n">
        <f aca="false">IFERROR(COUNTIFS($B$2:$B$492,$B109,$O$2:$O$492,"&gt;"&amp;$O109)+1,"")</f>
        <v>39</v>
      </c>
      <c r="W109" s="21" t="n">
        <f aca="false">'Info Lega'!$B$4-SUMIFS($M$2:$M$492,$D$2:$D$492,'Info Lega'!$B$28)</f>
        <v>1000</v>
      </c>
      <c r="X109" s="21" t="n">
        <f aca="false">('Info Lega'!$B$5-COUNTIFS($D$2:$D$492,'Info Lega'!$B$28,$B$2:$B$492,"P"))+('Info Lega'!$B$6-COUNTIFS($D$2:$D$492,'Info Lega'!$B$28,$B$2:$B$492,"D"))+('Info Lega'!$B$7-COUNTIFS($D$2:$D$492,'Info Lega'!$B$28,$B$2:$B$492,"C"))+('Info Lega'!$B$8-COUNTIFS($D$2:$D$492,'Info Lega'!$B$28,$B$2:$B$492,"A"))</f>
        <v>25</v>
      </c>
      <c r="Y109" s="21" t="n">
        <f aca="false">X109*'Parametri Modello'!$B$30</f>
        <v>25</v>
      </c>
      <c r="Z109" s="21" t="n">
        <f aca="false">MAX(0,W109-Y109)</f>
        <v>975</v>
      </c>
      <c r="AA109" s="21" t="n">
        <f aca="false">MIN(F109,Z109)</f>
        <v>10</v>
      </c>
      <c r="AB109" s="21"/>
      <c r="AC109" s="21" t="str">
        <f aca="false">IF(AB109="","",IF(AB109&gt;AA109,"PASS",IF(AB109&lt;=AA109*0.85,"BID","ATTENZIONE")))</f>
        <v/>
      </c>
      <c r="AD109" s="31" t="str">
        <f aca="false">IF(I109="","",ROUND(100*(1-EXP(-I109/30)),0))</f>
        <v/>
      </c>
      <c r="AE109" s="7" t="str">
        <f aca="false">IFERROR(INDEX('Stato Asta'!$G$9:$G$12,MATCH($B109,'Stato Asta'!$A$9:$A$12,0)),"")</f>
        <v>🔴 Non aspettare</v>
      </c>
    </row>
    <row r="110" customFormat="false" ht="14.25" hidden="false" customHeight="true" outlineLevel="0" collapsed="false">
      <c r="A110" s="21" t="n">
        <v>6462</v>
      </c>
      <c r="B110" s="21" t="s">
        <v>43</v>
      </c>
      <c r="C110" s="21" t="s">
        <v>134</v>
      </c>
      <c r="E110" s="26" t="str">
        <f aca="false">IF(COUNTIF('Info Strategia'!$D$2:$D$51,$C110)&gt;0,"SI","NO")</f>
        <v>NO</v>
      </c>
      <c r="F110" s="27" t="n">
        <f aca="false">IFERROR(ROUND(($G110+($H110-$G110)*'Info Strategia'!$B$6)*(1+IF($E110="SI",'Parametri Modello'!$B$7*'Info Strategia'!$B$6,0)),0),"")</f>
        <v>10</v>
      </c>
      <c r="G110" s="27" t="n">
        <f aca="false">IFERROR(ROUND(MAX(1,(IF($V110&lt;=INDEX('Parametri Modello'!$C$57:$C$60,MATCH($B110,'Parametri Modello'!$A$57:$A$60,0)),IF(INDEX('Parametri Modello'!$E$57:$E$60,MATCH($B110,'Parametri Modello'!$A$57:$A$60,0))=0,0,($O110/INDEX('Parametri Modello'!$E$57:$E$60,MATCH($B110,'Parametri Modello'!$A$57:$A$60,0)))*(INDEX('Parametri Modello'!$D$57:$D$60,MATCH($B110,'Parametri Modello'!$A$57:$A$60,0))*(INDEX('Parametri Modello'!$B$50:$B$53,MATCH($B110,'Parametri Modello'!$A$50:$A$53,0))*'Parametri Modello'!$B$44))),IF(INDEX('Parametri Modello'!$F$57:$F$60,MATCH($B110,'Parametri Modello'!$A$57:$A$60,0))=0,0,($O110/INDEX('Parametri Modello'!$F$57:$F$60,MATCH($B110,'Parametri Modello'!$A$57:$A$60,0)))*((1-INDEX('Parametri Modello'!$D$57:$D$60,MATCH($B110,'Parametri Modello'!$A$57:$A$60,0)))*(INDEX('Parametri Modello'!$B$50:$B$53,MATCH($B110,'Parametri Modello'!$A$50:$A$53,0))*'Parametri Modello'!$B$44))))*(1+IF(IF($B110="D",'Info Lega'!$B$25,IF($B110="C",'Info Lega'!$B$26,"No"))="Si",'Parametri Modello'!$B$5,0))*(1+MAX(-0.25,MIN(0.25,IF(OR($T110="",$I110="",$I110=0,INDEX('Parametri Modello'!$B$19:$B$22,MATCH($B110,'Parametri Modello'!$A$19:$A$22,0))="",INDEX('Parametri Modello'!$B$19:$B$22,MATCH($B110,'Parametri Modello'!$A$19:$A$22,0))=0),0,(($T110-INDEX('Parametri Modello'!$B$19:$B$22,MATCH($B110,'Parametri Modello'!$A$19:$A$22,0)))/INDEX('Parametri Modello'!$B$19:$B$22,MATCH($B110,'Parametri Modello'!$A$19:$A$22,0)))*'Parametri Modello'!$B$9))))*(1+IF('Parametri Modello'!$B$27="Si",MAX(-'Parametri Modello'!$B$28,MIN('Parametri Modello'!$B$28*1.5,IF(OR(INDEX('Parametri Modello'!$F$32:$F$35,MATCH($B110,'Parametri Modello'!$A$32:$A$35,0))="",INDEX('Parametri Modello'!$F$32:$F$35,MATCH($B110,'Parametri Modello'!$A$32:$A$35,0))=0),0,(1/INDEX('Parametri Modello'!$F$32:$F$35,MATCH($B110,'Parametri Modello'!$A$32:$A$35,0))-1)*'Parametri Modello'!$B$28))),0)))*(1-INDEX('Parametri Modello'!$B$12:$B$15,MATCH($B110,'Parametri Modello'!$A$12:$A$15,0)))),0),"")</f>
        <v>8</v>
      </c>
      <c r="H110" s="27" t="n">
        <f aca="false">IFERROR(ROUND((IF($V110&lt;=INDEX('Parametri Modello'!$C$57:$C$60,MATCH($B110,'Parametri Modello'!$A$57:$A$60,0)),IF(INDEX('Parametri Modello'!$E$57:$E$60,MATCH($B110,'Parametri Modello'!$A$57:$A$60,0))=0,0,($O110/INDEX('Parametri Modello'!$E$57:$E$60,MATCH($B110,'Parametri Modello'!$A$57:$A$60,0)))*(INDEX('Parametri Modello'!$D$57:$D$60,MATCH($B110,'Parametri Modello'!$A$57:$A$60,0))*(INDEX('Parametri Modello'!$B$50:$B$53,MATCH($B110,'Parametri Modello'!$A$50:$A$53,0))*'Parametri Modello'!$B$44))),IF(INDEX('Parametri Modello'!$F$57:$F$60,MATCH($B110,'Parametri Modello'!$A$57:$A$60,0))=0,0,($O110/INDEX('Parametri Modello'!$F$57:$F$60,MATCH($B110,'Parametri Modello'!$A$57:$A$60,0)))*((1-INDEX('Parametri Modello'!$D$57:$D$60,MATCH($B110,'Parametri Modello'!$A$57:$A$60,0)))*(INDEX('Parametri Modello'!$B$50:$B$53,MATCH($B110,'Parametri Modello'!$A$50:$A$53,0))*'Parametri Modello'!$B$44))))*(1+IF(IF($B110="D",'Info Lega'!$B$25,IF($B110="C",'Info Lega'!$B$26,"No"))="Si",'Parametri Modello'!$B$5,0))*(1+MAX(-0.25,MIN(0.25,IF(OR($T110="",$I110="",$I110=0,INDEX('Parametri Modello'!$B$19:$B$22,MATCH($B110,'Parametri Modello'!$A$19:$A$22,0))="",INDEX('Parametri Modello'!$B$19:$B$22,MATCH($B110,'Parametri Modello'!$A$19:$A$22,0))=0),0,(($T110-INDEX('Parametri Modello'!$B$19:$B$22,MATCH($B110,'Parametri Modello'!$A$19:$A$22,0)))/INDEX('Parametri Modello'!$B$19:$B$22,MATCH($B110,'Parametri Modello'!$A$19:$A$22,0)))*'Parametri Modello'!$B$9))))*(1+IF('Parametri Modello'!$B$27="Si",MAX(-'Parametri Modello'!$B$28,MIN('Parametri Modello'!$B$28*1.5,IF(OR(INDEX('Parametri Modello'!$F$32:$F$35,MATCH($B110,'Parametri Modello'!$A$32:$A$35,0))="",INDEX('Parametri Modello'!$F$32:$F$35,MATCH($B110,'Parametri Modello'!$A$32:$A$35,0))=0),0,(1/INDEX('Parametri Modello'!$F$32:$F$35,MATCH($B110,'Parametri Modello'!$A$32:$A$35,0))-1)*'Parametri Modello'!$B$28))),0)))*(1+INDEX('Parametri Modello'!$B$12:$B$15,MATCH($B110,'Parametri Modello'!$A$12:$A$15,0))),0),"")</f>
        <v>11</v>
      </c>
      <c r="I110" s="26" t="n">
        <f aca="false">IFERROR(INDEX('Input Statistiche 2025_26'!$F$3:$F$665,MATCH($A110,'Input Statistiche 2025_26'!$A$3:$A$665,0)),"")</f>
        <v>30</v>
      </c>
      <c r="J110" s="26" t="n">
        <f aca="false">IFERROR(IF($I110="","",MAX(0,38-$I110)),"")</f>
        <v>8</v>
      </c>
      <c r="K110" s="26" t="n">
        <f aca="false">IFERROR(INDEX('Input Statistiche 2025_26'!$I$3:$I$665,MATCH($A110,'Input Statistiche 2025_26'!$A$3:$A$665,0)),"")</f>
        <v>0</v>
      </c>
      <c r="L110" s="26" t="n">
        <f aca="false">IFERROR(INDEX('Input Statistiche 2025_26'!$O$3:$O$665,MATCH($A110,'Input Statistiche 2025_26'!$A$3:$A$665,0)),"")</f>
        <v>1</v>
      </c>
      <c r="M110" s="28"/>
      <c r="N110" s="27" t="n">
        <f aca="false">IFERROR(INDEX('Input Giocatori 2026_27'!$E$3:$E$493,MATCH($A110,'Input Giocatori 2026_27'!$A$3:$A$493,0)),"")</f>
        <v>9</v>
      </c>
      <c r="O110" s="27" t="n">
        <f aca="false">IFERROR(INDEX('Input Giocatori 2026_27'!$G$3:$G$493,MATCH($A110,'Input Giocatori 2026_27'!$A$3:$A$493,0)),"")</f>
        <v>29</v>
      </c>
      <c r="P110" s="26" t="str">
        <f aca="false">IFERROR(IF($O110="","",IF((1-(COUNTIFS($B$2:$B$492,$B110,$O$2:$O$492,"&gt;"&amp;$O110)+1-1)/COUNTIF($B$2:$B$492,$B110))&gt;=0.85,"Top",IF((1-(COUNTIFS($B$2:$B$492,$B110,$O$2:$O$492,"&gt;"&amp;$O110)+1-1)/COUNTIF($B$2:$B$492,$B110))&gt;=0.6,"Buono",IF((1-(COUNTIFS($B$2:$B$492,$B110,$O$2:$O$492,"&gt;"&amp;$O110)+1-1)/COUNTIF($B$2:$B$492,$B110))&gt;=0.3,"Nella Media","Scommessa/Riserva")))),"")</f>
        <v>Buono</v>
      </c>
      <c r="Q110" s="29" t="n">
        <f aca="false">IF($D110="",COUNTIF($D$2:$D110,""),"")</f>
        <v>109</v>
      </c>
      <c r="R110" s="29" t="str">
        <f aca="false">IF($D110='Info Lega'!$B$28,COUNTIFS($D$2:$D110,'Info Lega'!$B$28),"")</f>
        <v/>
      </c>
      <c r="S110" s="30" t="n">
        <f aca="false">IFERROR(INDEX('Input Statistiche 2025_26'!$G$3:$G$665,MATCH($A110,'Input Statistiche 2025_26'!$A$3:$A$665,0)),"")</f>
        <v>6.07</v>
      </c>
      <c r="T110" s="30" t="n">
        <f aca="false">IFERROR(INDEX('Input Statistiche 2025_26'!$H$3:$H$665,MATCH($A110,'Input Statistiche 2025_26'!$A$3:$A$665,0)),"")</f>
        <v>5.08</v>
      </c>
      <c r="U110" s="26" t="str">
        <f aca="false">IF(OR('La Mia Rosa'!$O$12="",$D110&lt;&gt;""),"",IF($F110&lt;='La Mia Rosa'!$O$12*'Parametri Modello'!$B$24,"OK",IF($F110&lt;='La Mia Rosa'!$O$12*'Parametri Modello'!$B$25,"Attenzione","Rischio Alto")))</f>
        <v>OK</v>
      </c>
      <c r="V110" s="26" t="n">
        <f aca="false">IFERROR(COUNTIFS($B$2:$B$492,$B110,$O$2:$O$492,"&gt;"&amp;$O110)+1,"")</f>
        <v>11</v>
      </c>
      <c r="W110" s="21" t="n">
        <f aca="false">'Info Lega'!$B$4-SUMIFS($M$2:$M$492,$D$2:$D$492,'Info Lega'!$B$28)</f>
        <v>1000</v>
      </c>
      <c r="X110" s="21" t="n">
        <f aca="false">('Info Lega'!$B$5-COUNTIFS($D$2:$D$492,'Info Lega'!$B$28,$B$2:$B$492,"P"))+('Info Lega'!$B$6-COUNTIFS($D$2:$D$492,'Info Lega'!$B$28,$B$2:$B$492,"D"))+('Info Lega'!$B$7-COUNTIFS($D$2:$D$492,'Info Lega'!$B$28,$B$2:$B$492,"C"))+('Info Lega'!$B$8-COUNTIFS($D$2:$D$492,'Info Lega'!$B$28,$B$2:$B$492,"A"))</f>
        <v>25</v>
      </c>
      <c r="Y110" s="21" t="n">
        <f aca="false">X110*'Parametri Modello'!$B$30</f>
        <v>25</v>
      </c>
      <c r="Z110" s="21" t="n">
        <f aca="false">MAX(0,W110-Y110)</f>
        <v>975</v>
      </c>
      <c r="AA110" s="21" t="n">
        <f aca="false">MIN(F110,Z110)</f>
        <v>10</v>
      </c>
      <c r="AB110" s="21"/>
      <c r="AC110" s="21" t="str">
        <f aca="false">IF(AB110="","",IF(AB110&gt;AA110,"PASS",IF(AB110&lt;=AA110*0.85,"BID","ATTENZIONE")))</f>
        <v/>
      </c>
      <c r="AD110" s="31" t="n">
        <f aca="false">IF(I110="","",ROUND(100*(1-EXP(-I110/30)),0))</f>
        <v>63</v>
      </c>
      <c r="AE110" s="7" t="str">
        <f aca="false">IFERROR(INDEX('Stato Asta'!$G$9:$G$12,MATCH($B110,'Stato Asta'!$A$9:$A$12,0)),"")</f>
        <v>🟡 Attesa rischiosa</v>
      </c>
    </row>
    <row r="111" customFormat="false" ht="14.25" hidden="false" customHeight="true" outlineLevel="0" collapsed="false">
      <c r="A111" s="21" t="n">
        <v>779</v>
      </c>
      <c r="B111" s="21" t="s">
        <v>45</v>
      </c>
      <c r="C111" s="21" t="s">
        <v>416</v>
      </c>
      <c r="E111" s="26" t="str">
        <f aca="false">IF(COUNTIF('Info Strategia'!$D$2:$D$51,$C111)&gt;0,"SI","NO")</f>
        <v>NO</v>
      </c>
      <c r="F111" s="27" t="n">
        <f aca="false">IFERROR(ROUND(($G111+($H111-$G111)*'Info Strategia'!$B$6)*(1+IF($E111="SI",'Parametri Modello'!$B$7*'Info Strategia'!$B$6,0)),0),"")</f>
        <v>4</v>
      </c>
      <c r="G111" s="27" t="n">
        <f aca="false">IFERROR(ROUND(MAX(1,(IF($V111&lt;=INDEX('Parametri Modello'!$C$57:$C$60,MATCH($B111,'Parametri Modello'!$A$57:$A$60,0)),IF(INDEX('Parametri Modello'!$E$57:$E$60,MATCH($B111,'Parametri Modello'!$A$57:$A$60,0))=0,0,($O111/INDEX('Parametri Modello'!$E$57:$E$60,MATCH($B111,'Parametri Modello'!$A$57:$A$60,0)))*(INDEX('Parametri Modello'!$D$57:$D$60,MATCH($B111,'Parametri Modello'!$A$57:$A$60,0))*(INDEX('Parametri Modello'!$B$50:$B$53,MATCH($B111,'Parametri Modello'!$A$50:$A$53,0))*'Parametri Modello'!$B$44))),IF(INDEX('Parametri Modello'!$F$57:$F$60,MATCH($B111,'Parametri Modello'!$A$57:$A$60,0))=0,0,($O111/INDEX('Parametri Modello'!$F$57:$F$60,MATCH($B111,'Parametri Modello'!$A$57:$A$60,0)))*((1-INDEX('Parametri Modello'!$D$57:$D$60,MATCH($B111,'Parametri Modello'!$A$57:$A$60,0)))*(INDEX('Parametri Modello'!$B$50:$B$53,MATCH($B111,'Parametri Modello'!$A$50:$A$53,0))*'Parametri Modello'!$B$44))))*(1+IF(IF($B111="D",'Info Lega'!$B$25,IF($B111="C",'Info Lega'!$B$26,"No"))="Si",'Parametri Modello'!$B$5,0))*(1+MAX(-0.25,MIN(0.25,IF(OR($T111="",$I111="",$I111=0,INDEX('Parametri Modello'!$B$19:$B$22,MATCH($B111,'Parametri Modello'!$A$19:$A$22,0))="",INDEX('Parametri Modello'!$B$19:$B$22,MATCH($B111,'Parametri Modello'!$A$19:$A$22,0))=0),0,(($T111-INDEX('Parametri Modello'!$B$19:$B$22,MATCH($B111,'Parametri Modello'!$A$19:$A$22,0)))/INDEX('Parametri Modello'!$B$19:$B$22,MATCH($B111,'Parametri Modello'!$A$19:$A$22,0)))*'Parametri Modello'!$B$9))))*(1+IF('Parametri Modello'!$B$27="Si",MAX(-'Parametri Modello'!$B$28,MIN('Parametri Modello'!$B$28*1.5,IF(OR(INDEX('Parametri Modello'!$F$32:$F$35,MATCH($B111,'Parametri Modello'!$A$32:$A$35,0))="",INDEX('Parametri Modello'!$F$32:$F$35,MATCH($B111,'Parametri Modello'!$A$32:$A$35,0))=0),0,(1/INDEX('Parametri Modello'!$F$32:$F$35,MATCH($B111,'Parametri Modello'!$A$32:$A$35,0))-1)*'Parametri Modello'!$B$28))),0)))*(1-INDEX('Parametri Modello'!$B$12:$B$15,MATCH($B111,'Parametri Modello'!$A$12:$A$15,0)))),0),"")</f>
        <v>3</v>
      </c>
      <c r="H111" s="27" t="n">
        <f aca="false">IFERROR(ROUND((IF($V111&lt;=INDEX('Parametri Modello'!$C$57:$C$60,MATCH($B111,'Parametri Modello'!$A$57:$A$60,0)),IF(INDEX('Parametri Modello'!$E$57:$E$60,MATCH($B111,'Parametri Modello'!$A$57:$A$60,0))=0,0,($O111/INDEX('Parametri Modello'!$E$57:$E$60,MATCH($B111,'Parametri Modello'!$A$57:$A$60,0)))*(INDEX('Parametri Modello'!$D$57:$D$60,MATCH($B111,'Parametri Modello'!$A$57:$A$60,0))*(INDEX('Parametri Modello'!$B$50:$B$53,MATCH($B111,'Parametri Modello'!$A$50:$A$53,0))*'Parametri Modello'!$B$44))),IF(INDEX('Parametri Modello'!$F$57:$F$60,MATCH($B111,'Parametri Modello'!$A$57:$A$60,0))=0,0,($O111/INDEX('Parametri Modello'!$F$57:$F$60,MATCH($B111,'Parametri Modello'!$A$57:$A$60,0)))*((1-INDEX('Parametri Modello'!$D$57:$D$60,MATCH($B111,'Parametri Modello'!$A$57:$A$60,0)))*(INDEX('Parametri Modello'!$B$50:$B$53,MATCH($B111,'Parametri Modello'!$A$50:$A$53,0))*'Parametri Modello'!$B$44))))*(1+IF(IF($B111="D",'Info Lega'!$B$25,IF($B111="C",'Info Lega'!$B$26,"No"))="Si",'Parametri Modello'!$B$5,0))*(1+MAX(-0.25,MIN(0.25,IF(OR($T111="",$I111="",$I111=0,INDEX('Parametri Modello'!$B$19:$B$22,MATCH($B111,'Parametri Modello'!$A$19:$A$22,0))="",INDEX('Parametri Modello'!$B$19:$B$22,MATCH($B111,'Parametri Modello'!$A$19:$A$22,0))=0),0,(($T111-INDEX('Parametri Modello'!$B$19:$B$22,MATCH($B111,'Parametri Modello'!$A$19:$A$22,0)))/INDEX('Parametri Modello'!$B$19:$B$22,MATCH($B111,'Parametri Modello'!$A$19:$A$22,0)))*'Parametri Modello'!$B$9))))*(1+IF('Parametri Modello'!$B$27="Si",MAX(-'Parametri Modello'!$B$28,MIN('Parametri Modello'!$B$28*1.5,IF(OR(INDEX('Parametri Modello'!$F$32:$F$35,MATCH($B111,'Parametri Modello'!$A$32:$A$35,0))="",INDEX('Parametri Modello'!$F$32:$F$35,MATCH($B111,'Parametri Modello'!$A$32:$A$35,0))=0),0,(1/INDEX('Parametri Modello'!$F$32:$F$35,MATCH($B111,'Parametri Modello'!$A$32:$A$35,0))-1)*'Parametri Modello'!$B$28))),0)))*(1+INDEX('Parametri Modello'!$B$12:$B$15,MATCH($B111,'Parametri Modello'!$A$12:$A$15,0))),0),"")</f>
        <v>4</v>
      </c>
      <c r="I111" s="26" t="n">
        <f aca="false">IFERROR(INDEX('Input Statistiche 2025_26'!$F$3:$F$665,MATCH($A111,'Input Statistiche 2025_26'!$A$3:$A$665,0)),"")</f>
        <v>37</v>
      </c>
      <c r="J111" s="26" t="n">
        <f aca="false">IFERROR(IF($I111="","",MAX(0,38-$I111)),"")</f>
        <v>1</v>
      </c>
      <c r="K111" s="26" t="n">
        <f aca="false">IFERROR(INDEX('Input Statistiche 2025_26'!$I$3:$I$665,MATCH($A111,'Input Statistiche 2025_26'!$A$3:$A$665,0)),"")</f>
        <v>2</v>
      </c>
      <c r="L111" s="26" t="n">
        <f aca="false">IFERROR(INDEX('Input Statistiche 2025_26'!$O$3:$O$665,MATCH($A111,'Input Statistiche 2025_26'!$A$3:$A$665,0)),"")</f>
        <v>1</v>
      </c>
      <c r="M111" s="28"/>
      <c r="N111" s="27" t="n">
        <f aca="false">IFERROR(INDEX('Input Giocatori 2026_27'!$E$3:$E$493,MATCH($A111,'Input Giocatori 2026_27'!$A$3:$A$493,0)),"")</f>
        <v>8</v>
      </c>
      <c r="O111" s="27" t="n">
        <f aca="false">IFERROR(INDEX('Input Giocatori 2026_27'!$G$3:$G$493,MATCH($A111,'Input Giocatori 2026_27'!$A$3:$A$493,0)),"")</f>
        <v>29</v>
      </c>
      <c r="P111" s="26" t="str">
        <f aca="false">IFERROR(IF($O111="","",IF((1-(COUNTIFS($B$2:$B$492,$B111,$O$2:$O$492,"&gt;"&amp;$O111)+1-1)/COUNTIF($B$2:$B$492,$B111))&gt;=0.85,"Top",IF((1-(COUNTIFS($B$2:$B$492,$B111,$O$2:$O$492,"&gt;"&amp;$O111)+1-1)/COUNTIF($B$2:$B$492,$B111))&gt;=0.6,"Buono",IF((1-(COUNTIFS($B$2:$B$492,$B111,$O$2:$O$492,"&gt;"&amp;$O111)+1-1)/COUNTIF($B$2:$B$492,$B111))&gt;=0.3,"Nella Media","Scommessa/Riserva")))),"")</f>
        <v>Buono</v>
      </c>
      <c r="Q111" s="29" t="n">
        <f aca="false">IF($D111="",COUNTIF($D$2:$D111,""),"")</f>
        <v>110</v>
      </c>
      <c r="R111" s="29" t="str">
        <f aca="false">IF($D111='Info Lega'!$B$28,COUNTIFS($D$2:$D111,'Info Lega'!$B$28),"")</f>
        <v/>
      </c>
      <c r="S111" s="30" t="n">
        <f aca="false">IFERROR(INDEX('Input Statistiche 2025_26'!$G$3:$G$665,MATCH($A111,'Input Statistiche 2025_26'!$A$3:$A$665,0)),"")</f>
        <v>6.11</v>
      </c>
      <c r="T111" s="30" t="n">
        <f aca="false">IFERROR(INDEX('Input Statistiche 2025_26'!$H$3:$H$665,MATCH($A111,'Input Statistiche 2025_26'!$A$3:$A$665,0)),"")</f>
        <v>6.22</v>
      </c>
      <c r="U111" s="26" t="str">
        <f aca="false">IF(OR('La Mia Rosa'!$O$12="",$D111&lt;&gt;""),"",IF($F111&lt;='La Mia Rosa'!$O$12*'Parametri Modello'!$B$24,"OK",IF($F111&lt;='La Mia Rosa'!$O$12*'Parametri Modello'!$B$25,"Attenzione","Rischio Alto")))</f>
        <v>OK</v>
      </c>
      <c r="V111" s="26" t="n">
        <f aca="false">IFERROR(COUNTIFS($B$2:$B$492,$B111,$O$2:$O$492,"&gt;"&amp;$O111)+1,"")</f>
        <v>41</v>
      </c>
      <c r="W111" s="21" t="n">
        <f aca="false">'Info Lega'!$B$4-SUMIFS($M$2:$M$492,$D$2:$D$492,'Info Lega'!$B$28)</f>
        <v>1000</v>
      </c>
      <c r="X111" s="21" t="n">
        <f aca="false">('Info Lega'!$B$5-COUNTIFS($D$2:$D$492,'Info Lega'!$B$28,$B$2:$B$492,"P"))+('Info Lega'!$B$6-COUNTIFS($D$2:$D$492,'Info Lega'!$B$28,$B$2:$B$492,"D"))+('Info Lega'!$B$7-COUNTIFS($D$2:$D$492,'Info Lega'!$B$28,$B$2:$B$492,"C"))+('Info Lega'!$B$8-COUNTIFS($D$2:$D$492,'Info Lega'!$B$28,$B$2:$B$492,"A"))</f>
        <v>25</v>
      </c>
      <c r="Y111" s="21" t="n">
        <f aca="false">X111*'Parametri Modello'!$B$30</f>
        <v>25</v>
      </c>
      <c r="Z111" s="21" t="n">
        <f aca="false">MAX(0,W111-Y111)</f>
        <v>975</v>
      </c>
      <c r="AA111" s="21" t="n">
        <f aca="false">MIN(F111,Z111)</f>
        <v>4</v>
      </c>
      <c r="AB111" s="21"/>
      <c r="AC111" s="21" t="str">
        <f aca="false">IF(AB111="","",IF(AB111&gt;AA111,"PASS",IF(AB111&lt;=AA111*0.85,"BID","ATTENZIONE")))</f>
        <v/>
      </c>
      <c r="AD111" s="31" t="n">
        <f aca="false">IF(I111="","",ROUND(100*(1-EXP(-I111/30)),0))</f>
        <v>71</v>
      </c>
      <c r="AE111" s="7" t="str">
        <f aca="false">IFERROR(INDEX('Stato Asta'!$G$9:$G$12,MATCH($B111,'Stato Asta'!$A$9:$A$12,0)),"")</f>
        <v>🟡 Attesa rischiosa</v>
      </c>
    </row>
    <row r="112" customFormat="false" ht="14.25" hidden="false" customHeight="true" outlineLevel="0" collapsed="false">
      <c r="A112" s="21" t="n">
        <v>5526</v>
      </c>
      <c r="B112" s="21" t="s">
        <v>44</v>
      </c>
      <c r="C112" s="21" t="s">
        <v>207</v>
      </c>
      <c r="E112" s="26" t="str">
        <f aca="false">IF(COUNTIF('Info Strategia'!$D$2:$D$51,$C112)&gt;0,"SI","NO")</f>
        <v>NO</v>
      </c>
      <c r="F112" s="27" t="n">
        <f aca="false">IFERROR(ROUND(($G112+($H112-$G112)*'Info Strategia'!$B$6)*(1+IF($E112="SI",'Parametri Modello'!$B$7*'Info Strategia'!$B$6,0)),0),"")</f>
        <v>19</v>
      </c>
      <c r="G112" s="27" t="n">
        <f aca="false">IFERROR(ROUND(MAX(1,(IF($V112&lt;=INDEX('Parametri Modello'!$C$57:$C$60,MATCH($B112,'Parametri Modello'!$A$57:$A$60,0)),IF(INDEX('Parametri Modello'!$E$57:$E$60,MATCH($B112,'Parametri Modello'!$A$57:$A$60,0))=0,0,($O112/INDEX('Parametri Modello'!$E$57:$E$60,MATCH($B112,'Parametri Modello'!$A$57:$A$60,0)))*(INDEX('Parametri Modello'!$D$57:$D$60,MATCH($B112,'Parametri Modello'!$A$57:$A$60,0))*(INDEX('Parametri Modello'!$B$50:$B$53,MATCH($B112,'Parametri Modello'!$A$50:$A$53,0))*'Parametri Modello'!$B$44))),IF(INDEX('Parametri Modello'!$F$57:$F$60,MATCH($B112,'Parametri Modello'!$A$57:$A$60,0))=0,0,($O112/INDEX('Parametri Modello'!$F$57:$F$60,MATCH($B112,'Parametri Modello'!$A$57:$A$60,0)))*((1-INDEX('Parametri Modello'!$D$57:$D$60,MATCH($B112,'Parametri Modello'!$A$57:$A$60,0)))*(INDEX('Parametri Modello'!$B$50:$B$53,MATCH($B112,'Parametri Modello'!$A$50:$A$53,0))*'Parametri Modello'!$B$44))))*(1+IF(IF($B112="D",'Info Lega'!$B$25,IF($B112="C",'Info Lega'!$B$26,"No"))="Si",'Parametri Modello'!$B$5,0))*(1+MAX(-0.25,MIN(0.25,IF(OR($T112="",$I112="",$I112=0,INDEX('Parametri Modello'!$B$19:$B$22,MATCH($B112,'Parametri Modello'!$A$19:$A$22,0))="",INDEX('Parametri Modello'!$B$19:$B$22,MATCH($B112,'Parametri Modello'!$A$19:$A$22,0))=0),0,(($T112-INDEX('Parametri Modello'!$B$19:$B$22,MATCH($B112,'Parametri Modello'!$A$19:$A$22,0)))/INDEX('Parametri Modello'!$B$19:$B$22,MATCH($B112,'Parametri Modello'!$A$19:$A$22,0)))*'Parametri Modello'!$B$9))))*(1+IF('Parametri Modello'!$B$27="Si",MAX(-'Parametri Modello'!$B$28,MIN('Parametri Modello'!$B$28*1.5,IF(OR(INDEX('Parametri Modello'!$F$32:$F$35,MATCH($B112,'Parametri Modello'!$A$32:$A$35,0))="",INDEX('Parametri Modello'!$F$32:$F$35,MATCH($B112,'Parametri Modello'!$A$32:$A$35,0))=0),0,(1/INDEX('Parametri Modello'!$F$32:$F$35,MATCH($B112,'Parametri Modello'!$A$32:$A$35,0))-1)*'Parametri Modello'!$B$28))),0)))*(1-INDEX('Parametri Modello'!$B$12:$B$15,MATCH($B112,'Parametri Modello'!$A$12:$A$15,0)))),0),"")</f>
        <v>14</v>
      </c>
      <c r="H112" s="27" t="n">
        <f aca="false">IFERROR(ROUND((IF($V112&lt;=INDEX('Parametri Modello'!$C$57:$C$60,MATCH($B112,'Parametri Modello'!$A$57:$A$60,0)),IF(INDEX('Parametri Modello'!$E$57:$E$60,MATCH($B112,'Parametri Modello'!$A$57:$A$60,0))=0,0,($O112/INDEX('Parametri Modello'!$E$57:$E$60,MATCH($B112,'Parametri Modello'!$A$57:$A$60,0)))*(INDEX('Parametri Modello'!$D$57:$D$60,MATCH($B112,'Parametri Modello'!$A$57:$A$60,0))*(INDEX('Parametri Modello'!$B$50:$B$53,MATCH($B112,'Parametri Modello'!$A$50:$A$53,0))*'Parametri Modello'!$B$44))),IF(INDEX('Parametri Modello'!$F$57:$F$60,MATCH($B112,'Parametri Modello'!$A$57:$A$60,0))=0,0,($O112/INDEX('Parametri Modello'!$F$57:$F$60,MATCH($B112,'Parametri Modello'!$A$57:$A$60,0)))*((1-INDEX('Parametri Modello'!$D$57:$D$60,MATCH($B112,'Parametri Modello'!$A$57:$A$60,0)))*(INDEX('Parametri Modello'!$B$50:$B$53,MATCH($B112,'Parametri Modello'!$A$50:$A$53,0))*'Parametri Modello'!$B$44))))*(1+IF(IF($B112="D",'Info Lega'!$B$25,IF($B112="C",'Info Lega'!$B$26,"No"))="Si",'Parametri Modello'!$B$5,0))*(1+MAX(-0.25,MIN(0.25,IF(OR($T112="",$I112="",$I112=0,INDEX('Parametri Modello'!$B$19:$B$22,MATCH($B112,'Parametri Modello'!$A$19:$A$22,0))="",INDEX('Parametri Modello'!$B$19:$B$22,MATCH($B112,'Parametri Modello'!$A$19:$A$22,0))=0),0,(($T112-INDEX('Parametri Modello'!$B$19:$B$22,MATCH($B112,'Parametri Modello'!$A$19:$A$22,0)))/INDEX('Parametri Modello'!$B$19:$B$22,MATCH($B112,'Parametri Modello'!$A$19:$A$22,0)))*'Parametri Modello'!$B$9))))*(1+IF('Parametri Modello'!$B$27="Si",MAX(-'Parametri Modello'!$B$28,MIN('Parametri Modello'!$B$28*1.5,IF(OR(INDEX('Parametri Modello'!$F$32:$F$35,MATCH($B112,'Parametri Modello'!$A$32:$A$35,0))="",INDEX('Parametri Modello'!$F$32:$F$35,MATCH($B112,'Parametri Modello'!$A$32:$A$35,0))=0),0,(1/INDEX('Parametri Modello'!$F$32:$F$35,MATCH($B112,'Parametri Modello'!$A$32:$A$35,0))-1)*'Parametri Modello'!$B$28))),0)))*(1+INDEX('Parametri Modello'!$B$12:$B$15,MATCH($B112,'Parametri Modello'!$A$12:$A$15,0))),0),"")</f>
        <v>21</v>
      </c>
      <c r="I112" s="26" t="n">
        <f aca="false">IFERROR(INDEX('Input Statistiche 2025_26'!$F$3:$F$665,MATCH($A112,'Input Statistiche 2025_26'!$A$3:$A$665,0)),"")</f>
        <v>24</v>
      </c>
      <c r="J112" s="26" t="n">
        <f aca="false">IFERROR(IF($I112="","",MAX(0,38-$I112)),"")</f>
        <v>14</v>
      </c>
      <c r="K112" s="26" t="n">
        <f aca="false">IFERROR(INDEX('Input Statistiche 2025_26'!$I$3:$I$665,MATCH($A112,'Input Statistiche 2025_26'!$A$3:$A$665,0)),"")</f>
        <v>3</v>
      </c>
      <c r="L112" s="26" t="n">
        <f aca="false">IFERROR(INDEX('Input Statistiche 2025_26'!$O$3:$O$665,MATCH($A112,'Input Statistiche 2025_26'!$A$3:$A$665,0)),"")</f>
        <v>1</v>
      </c>
      <c r="M112" s="28"/>
      <c r="N112" s="27" t="n">
        <f aca="false">IFERROR(INDEX('Input Giocatori 2026_27'!$E$3:$E$493,MATCH($A112,'Input Giocatori 2026_27'!$A$3:$A$493,0)),"")</f>
        <v>10</v>
      </c>
      <c r="O112" s="27" t="n">
        <f aca="false">IFERROR(INDEX('Input Giocatori 2026_27'!$G$3:$G$493,MATCH($A112,'Input Giocatori 2026_27'!$A$3:$A$493,0)),"")</f>
        <v>28</v>
      </c>
      <c r="P112" s="26" t="str">
        <f aca="false">IFERROR(IF($O112="","",IF((1-(COUNTIFS($B$2:$B$492,$B112,$O$2:$O$492,"&gt;"&amp;$O112)+1-1)/COUNTIF($B$2:$B$492,$B112))&gt;=0.85,"Top",IF((1-(COUNTIFS($B$2:$B$492,$B112,$O$2:$O$492,"&gt;"&amp;$O112)+1-1)/COUNTIF($B$2:$B$492,$B112))&gt;=0.6,"Buono",IF((1-(COUNTIFS($B$2:$B$492,$B112,$O$2:$O$492,"&gt;"&amp;$O112)+1-1)/COUNTIF($B$2:$B$492,$B112))&gt;=0.3,"Nella Media","Scommessa/Riserva")))),"")</f>
        <v>Top</v>
      </c>
      <c r="Q112" s="29" t="n">
        <f aca="false">IF($D112="",COUNTIF($D$2:$D112,""),"")</f>
        <v>111</v>
      </c>
      <c r="R112" s="29" t="str">
        <f aca="false">IF($D112='Info Lega'!$B$28,COUNTIFS($D$2:$D112,'Info Lega'!$B$28),"")</f>
        <v/>
      </c>
      <c r="S112" s="30" t="n">
        <f aca="false">IFERROR(INDEX('Input Statistiche 2025_26'!$G$3:$G$665,MATCH($A112,'Input Statistiche 2025_26'!$A$3:$A$665,0)),"")</f>
        <v>6.06</v>
      </c>
      <c r="T112" s="30" t="n">
        <f aca="false">IFERROR(INDEX('Input Statistiche 2025_26'!$H$3:$H$665,MATCH($A112,'Input Statistiche 2025_26'!$A$3:$A$665,0)),"")</f>
        <v>6.44</v>
      </c>
      <c r="U112" s="26" t="str">
        <f aca="false">IF(OR('La Mia Rosa'!$O$12="",$D112&lt;&gt;""),"",IF($F112&lt;='La Mia Rosa'!$O$12*'Parametri Modello'!$B$24,"OK",IF($F112&lt;='La Mia Rosa'!$O$12*'Parametri Modello'!$B$25,"Attenzione","Rischio Alto")))</f>
        <v>OK</v>
      </c>
      <c r="V112" s="26" t="n">
        <f aca="false">IFERROR(COUNTIFS($B$2:$B$492,$B112,$O$2:$O$492,"&gt;"&amp;$O112)+1,"")</f>
        <v>20</v>
      </c>
      <c r="W112" s="21" t="n">
        <f aca="false">'Info Lega'!$B$4-SUMIFS($M$2:$M$492,$D$2:$D$492,'Info Lega'!$B$28)</f>
        <v>1000</v>
      </c>
      <c r="X112" s="21" t="n">
        <f aca="false">('Info Lega'!$B$5-COUNTIFS($D$2:$D$492,'Info Lega'!$B$28,$B$2:$B$492,"P"))+('Info Lega'!$B$6-COUNTIFS($D$2:$D$492,'Info Lega'!$B$28,$B$2:$B$492,"D"))+('Info Lega'!$B$7-COUNTIFS($D$2:$D$492,'Info Lega'!$B$28,$B$2:$B$492,"C"))+('Info Lega'!$B$8-COUNTIFS($D$2:$D$492,'Info Lega'!$B$28,$B$2:$B$492,"A"))</f>
        <v>25</v>
      </c>
      <c r="Y112" s="21" t="n">
        <f aca="false">X112*'Parametri Modello'!$B$30</f>
        <v>25</v>
      </c>
      <c r="Z112" s="21" t="n">
        <f aca="false">MAX(0,W112-Y112)</f>
        <v>975</v>
      </c>
      <c r="AA112" s="21" t="n">
        <f aca="false">MIN(F112,Z112)</f>
        <v>19</v>
      </c>
      <c r="AB112" s="21"/>
      <c r="AC112" s="21" t="str">
        <f aca="false">IF(AB112="","",IF(AB112&gt;AA112,"PASS",IF(AB112&lt;=AA112*0.85,"BID","ATTENZIONE")))</f>
        <v/>
      </c>
      <c r="AD112" s="31" t="n">
        <f aca="false">IF(I112="","",ROUND(100*(1-EXP(-I112/30)),0))</f>
        <v>55</v>
      </c>
      <c r="AE112" s="7" t="str">
        <f aca="false">IFERROR(INDEX('Stato Asta'!$G$9:$G$12,MATCH($B112,'Stato Asta'!$A$9:$A$12,0)),"")</f>
        <v>🟡 Attesa rischiosa</v>
      </c>
    </row>
    <row r="113" customFormat="false" ht="14.25" hidden="false" customHeight="true" outlineLevel="0" collapsed="false">
      <c r="A113" s="21" t="n">
        <v>1933</v>
      </c>
      <c r="B113" s="21" t="s">
        <v>45</v>
      </c>
      <c r="C113" s="21" t="s">
        <v>403</v>
      </c>
      <c r="E113" s="26" t="str">
        <f aca="false">IF(COUNTIF('Info Strategia'!$D$2:$D$51,$C113)&gt;0,"SI","NO")</f>
        <v>NO</v>
      </c>
      <c r="F113" s="27" t="n">
        <f aca="false">IFERROR(ROUND(($G113+($H113-$G113)*'Info Strategia'!$B$6)*(1+IF($E113="SI",'Parametri Modello'!$B$7*'Info Strategia'!$B$6,0)),0),"")</f>
        <v>3</v>
      </c>
      <c r="G113" s="27" t="n">
        <f aca="false">IFERROR(ROUND(MAX(1,(IF($V113&lt;=INDEX('Parametri Modello'!$C$57:$C$60,MATCH($B113,'Parametri Modello'!$A$57:$A$60,0)),IF(INDEX('Parametri Modello'!$E$57:$E$60,MATCH($B113,'Parametri Modello'!$A$57:$A$60,0))=0,0,($O113/INDEX('Parametri Modello'!$E$57:$E$60,MATCH($B113,'Parametri Modello'!$A$57:$A$60,0)))*(INDEX('Parametri Modello'!$D$57:$D$60,MATCH($B113,'Parametri Modello'!$A$57:$A$60,0))*(INDEX('Parametri Modello'!$B$50:$B$53,MATCH($B113,'Parametri Modello'!$A$50:$A$53,0))*'Parametri Modello'!$B$44))),IF(INDEX('Parametri Modello'!$F$57:$F$60,MATCH($B113,'Parametri Modello'!$A$57:$A$60,0))=0,0,($O113/INDEX('Parametri Modello'!$F$57:$F$60,MATCH($B113,'Parametri Modello'!$A$57:$A$60,0)))*((1-INDEX('Parametri Modello'!$D$57:$D$60,MATCH($B113,'Parametri Modello'!$A$57:$A$60,0)))*(INDEX('Parametri Modello'!$B$50:$B$53,MATCH($B113,'Parametri Modello'!$A$50:$A$53,0))*'Parametri Modello'!$B$44))))*(1+IF(IF($B113="D",'Info Lega'!$B$25,IF($B113="C",'Info Lega'!$B$26,"No"))="Si",'Parametri Modello'!$B$5,0))*(1+MAX(-0.25,MIN(0.25,IF(OR($T113="",$I113="",$I113=0,INDEX('Parametri Modello'!$B$19:$B$22,MATCH($B113,'Parametri Modello'!$A$19:$A$22,0))="",INDEX('Parametri Modello'!$B$19:$B$22,MATCH($B113,'Parametri Modello'!$A$19:$A$22,0))=0),0,(($T113-INDEX('Parametri Modello'!$B$19:$B$22,MATCH($B113,'Parametri Modello'!$A$19:$A$22,0)))/INDEX('Parametri Modello'!$B$19:$B$22,MATCH($B113,'Parametri Modello'!$A$19:$A$22,0)))*'Parametri Modello'!$B$9))))*(1+IF('Parametri Modello'!$B$27="Si",MAX(-'Parametri Modello'!$B$28,MIN('Parametri Modello'!$B$28*1.5,IF(OR(INDEX('Parametri Modello'!$F$32:$F$35,MATCH($B113,'Parametri Modello'!$A$32:$A$35,0))="",INDEX('Parametri Modello'!$F$32:$F$35,MATCH($B113,'Parametri Modello'!$A$32:$A$35,0))=0),0,(1/INDEX('Parametri Modello'!$F$32:$F$35,MATCH($B113,'Parametri Modello'!$A$32:$A$35,0))-1)*'Parametri Modello'!$B$28))),0)))*(1-INDEX('Parametri Modello'!$B$12:$B$15,MATCH($B113,'Parametri Modello'!$A$12:$A$15,0)))),0),"")</f>
        <v>2</v>
      </c>
      <c r="H113" s="27" t="n">
        <f aca="false">IFERROR(ROUND((IF($V113&lt;=INDEX('Parametri Modello'!$C$57:$C$60,MATCH($B113,'Parametri Modello'!$A$57:$A$60,0)),IF(INDEX('Parametri Modello'!$E$57:$E$60,MATCH($B113,'Parametri Modello'!$A$57:$A$60,0))=0,0,($O113/INDEX('Parametri Modello'!$E$57:$E$60,MATCH($B113,'Parametri Modello'!$A$57:$A$60,0)))*(INDEX('Parametri Modello'!$D$57:$D$60,MATCH($B113,'Parametri Modello'!$A$57:$A$60,0))*(INDEX('Parametri Modello'!$B$50:$B$53,MATCH($B113,'Parametri Modello'!$A$50:$A$53,0))*'Parametri Modello'!$B$44))),IF(INDEX('Parametri Modello'!$F$57:$F$60,MATCH($B113,'Parametri Modello'!$A$57:$A$60,0))=0,0,($O113/INDEX('Parametri Modello'!$F$57:$F$60,MATCH($B113,'Parametri Modello'!$A$57:$A$60,0)))*((1-INDEX('Parametri Modello'!$D$57:$D$60,MATCH($B113,'Parametri Modello'!$A$57:$A$60,0)))*(INDEX('Parametri Modello'!$B$50:$B$53,MATCH($B113,'Parametri Modello'!$A$50:$A$53,0))*'Parametri Modello'!$B$44))))*(1+IF(IF($B113="D",'Info Lega'!$B$25,IF($B113="C",'Info Lega'!$B$26,"No"))="Si",'Parametri Modello'!$B$5,0))*(1+MAX(-0.25,MIN(0.25,IF(OR($T113="",$I113="",$I113=0,INDEX('Parametri Modello'!$B$19:$B$22,MATCH($B113,'Parametri Modello'!$A$19:$A$22,0))="",INDEX('Parametri Modello'!$B$19:$B$22,MATCH($B113,'Parametri Modello'!$A$19:$A$22,0))=0),0,(($T113-INDEX('Parametri Modello'!$B$19:$B$22,MATCH($B113,'Parametri Modello'!$A$19:$A$22,0)))/INDEX('Parametri Modello'!$B$19:$B$22,MATCH($B113,'Parametri Modello'!$A$19:$A$22,0)))*'Parametri Modello'!$B$9))))*(1+IF('Parametri Modello'!$B$27="Si",MAX(-'Parametri Modello'!$B$28,MIN('Parametri Modello'!$B$28*1.5,IF(OR(INDEX('Parametri Modello'!$F$32:$F$35,MATCH($B113,'Parametri Modello'!$A$32:$A$35,0))="",INDEX('Parametri Modello'!$F$32:$F$35,MATCH($B113,'Parametri Modello'!$A$32:$A$35,0))=0),0,(1/INDEX('Parametri Modello'!$F$32:$F$35,MATCH($B113,'Parametri Modello'!$A$32:$A$35,0))-1)*'Parametri Modello'!$B$28))),0)))*(1+INDEX('Parametri Modello'!$B$12:$B$15,MATCH($B113,'Parametri Modello'!$A$12:$A$15,0))),0),"")</f>
        <v>4</v>
      </c>
      <c r="I113" s="26" t="n">
        <f aca="false">IFERROR(INDEX('Input Statistiche 2025_26'!$F$3:$F$665,MATCH($A113,'Input Statistiche 2025_26'!$A$3:$A$665,0)),"")</f>
        <v>34</v>
      </c>
      <c r="J113" s="26" t="n">
        <f aca="false">IFERROR(IF($I113="","",MAX(0,38-$I113)),"")</f>
        <v>4</v>
      </c>
      <c r="K113" s="26" t="n">
        <f aca="false">IFERROR(INDEX('Input Statistiche 2025_26'!$I$3:$I$665,MATCH($A113,'Input Statistiche 2025_26'!$A$3:$A$665,0)),"")</f>
        <v>7</v>
      </c>
      <c r="L113" s="26" t="n">
        <f aca="false">IFERROR(INDEX('Input Statistiche 2025_26'!$O$3:$O$665,MATCH($A113,'Input Statistiche 2025_26'!$A$3:$A$665,0)),"")</f>
        <v>2</v>
      </c>
      <c r="M113" s="28"/>
      <c r="N113" s="27" t="n">
        <f aca="false">IFERROR(INDEX('Input Giocatori 2026_27'!$E$3:$E$493,MATCH($A113,'Input Giocatori 2026_27'!$A$3:$A$493,0)),"")</f>
        <v>9</v>
      </c>
      <c r="O113" s="27" t="n">
        <f aca="false">IFERROR(INDEX('Input Giocatori 2026_27'!$G$3:$G$493,MATCH($A113,'Input Giocatori 2026_27'!$A$3:$A$493,0)),"")</f>
        <v>28</v>
      </c>
      <c r="P113" s="26" t="str">
        <f aca="false">IFERROR(IF($O113="","",IF((1-(COUNTIFS($B$2:$B$492,$B113,$O$2:$O$492,"&gt;"&amp;$O113)+1-1)/COUNTIF($B$2:$B$492,$B113))&gt;=0.85,"Top",IF((1-(COUNTIFS($B$2:$B$492,$B113,$O$2:$O$492,"&gt;"&amp;$O113)+1-1)/COUNTIF($B$2:$B$492,$B113))&gt;=0.6,"Buono",IF((1-(COUNTIFS($B$2:$B$492,$B113,$O$2:$O$492,"&gt;"&amp;$O113)+1-1)/COUNTIF($B$2:$B$492,$B113))&gt;=0.3,"Nella Media","Scommessa/Riserva")))),"")</f>
        <v>Buono</v>
      </c>
      <c r="Q113" s="29" t="n">
        <f aca="false">IF($D113="",COUNTIF($D$2:$D113,""),"")</f>
        <v>112</v>
      </c>
      <c r="R113" s="29" t="str">
        <f aca="false">IF($D113='Info Lega'!$B$28,COUNTIFS($D$2:$D113,'Info Lega'!$B$28),"")</f>
        <v/>
      </c>
      <c r="S113" s="30" t="n">
        <f aca="false">IFERROR(INDEX('Input Statistiche 2025_26'!$G$3:$G$665,MATCH($A113,'Input Statistiche 2025_26'!$A$3:$A$665,0)),"")</f>
        <v>6.04</v>
      </c>
      <c r="T113" s="30" t="n">
        <f aca="false">IFERROR(INDEX('Input Statistiche 2025_26'!$H$3:$H$665,MATCH($A113,'Input Statistiche 2025_26'!$A$3:$A$665,0)),"")</f>
        <v>6.62</v>
      </c>
      <c r="U113" s="26" t="str">
        <f aca="false">IF(OR('La Mia Rosa'!$O$12="",$D113&lt;&gt;""),"",IF($F113&lt;='La Mia Rosa'!$O$12*'Parametri Modello'!$B$24,"OK",IF($F113&lt;='La Mia Rosa'!$O$12*'Parametri Modello'!$B$25,"Attenzione","Rischio Alto")))</f>
        <v>OK</v>
      </c>
      <c r="V113" s="26" t="n">
        <f aca="false">IFERROR(COUNTIFS($B$2:$B$492,$B113,$O$2:$O$492,"&gt;"&amp;$O113)+1,"")</f>
        <v>42</v>
      </c>
      <c r="W113" s="21" t="n">
        <f aca="false">'Info Lega'!$B$4-SUMIFS($M$2:$M$492,$D$2:$D$492,'Info Lega'!$B$28)</f>
        <v>1000</v>
      </c>
      <c r="X113" s="21" t="n">
        <f aca="false">('Info Lega'!$B$5-COUNTIFS($D$2:$D$492,'Info Lega'!$B$28,$B$2:$B$492,"P"))+('Info Lega'!$B$6-COUNTIFS($D$2:$D$492,'Info Lega'!$B$28,$B$2:$B$492,"D"))+('Info Lega'!$B$7-COUNTIFS($D$2:$D$492,'Info Lega'!$B$28,$B$2:$B$492,"C"))+('Info Lega'!$B$8-COUNTIFS($D$2:$D$492,'Info Lega'!$B$28,$B$2:$B$492,"A"))</f>
        <v>25</v>
      </c>
      <c r="Y113" s="21" t="n">
        <f aca="false">X113*'Parametri Modello'!$B$30</f>
        <v>25</v>
      </c>
      <c r="Z113" s="21" t="n">
        <f aca="false">MAX(0,W113-Y113)</f>
        <v>975</v>
      </c>
      <c r="AA113" s="21" t="n">
        <f aca="false">MIN(F113,Z113)</f>
        <v>3</v>
      </c>
      <c r="AB113" s="21"/>
      <c r="AC113" s="21" t="str">
        <f aca="false">IF(AB113="","",IF(AB113&gt;AA113,"PASS",IF(AB113&lt;=AA113*0.85,"BID","ATTENZIONE")))</f>
        <v/>
      </c>
      <c r="AD113" s="31" t="n">
        <f aca="false">IF(I113="","",ROUND(100*(1-EXP(-I113/30)),0))</f>
        <v>68</v>
      </c>
      <c r="AE113" s="7" t="str">
        <f aca="false">IFERROR(INDEX('Stato Asta'!$G$9:$G$12,MATCH($B113,'Stato Asta'!$A$9:$A$12,0)),"")</f>
        <v>🟡 Attesa rischiosa</v>
      </c>
    </row>
    <row r="114" customFormat="false" ht="14.25" hidden="false" customHeight="true" outlineLevel="0" collapsed="false">
      <c r="A114" s="21" t="n">
        <v>5500</v>
      </c>
      <c r="B114" s="21" t="s">
        <v>45</v>
      </c>
      <c r="C114" s="21" t="s">
        <v>404</v>
      </c>
      <c r="E114" s="26" t="str">
        <f aca="false">IF(COUNTIF('Info Strategia'!$D$2:$D$51,$C114)&gt;0,"SI","NO")</f>
        <v>NO</v>
      </c>
      <c r="F114" s="27" t="n">
        <f aca="false">IFERROR(ROUND(($G114+($H114-$G114)*'Info Strategia'!$B$6)*(1+IF($E114="SI",'Parametri Modello'!$B$7*'Info Strategia'!$B$6,0)),0),"")</f>
        <v>3</v>
      </c>
      <c r="G114" s="27" t="n">
        <f aca="false">IFERROR(ROUND(MAX(1,(IF($V114&lt;=INDEX('Parametri Modello'!$C$57:$C$60,MATCH($B114,'Parametri Modello'!$A$57:$A$60,0)),IF(INDEX('Parametri Modello'!$E$57:$E$60,MATCH($B114,'Parametri Modello'!$A$57:$A$60,0))=0,0,($O114/INDEX('Parametri Modello'!$E$57:$E$60,MATCH($B114,'Parametri Modello'!$A$57:$A$60,0)))*(INDEX('Parametri Modello'!$D$57:$D$60,MATCH($B114,'Parametri Modello'!$A$57:$A$60,0))*(INDEX('Parametri Modello'!$B$50:$B$53,MATCH($B114,'Parametri Modello'!$A$50:$A$53,0))*'Parametri Modello'!$B$44))),IF(INDEX('Parametri Modello'!$F$57:$F$60,MATCH($B114,'Parametri Modello'!$A$57:$A$60,0))=0,0,($O114/INDEX('Parametri Modello'!$F$57:$F$60,MATCH($B114,'Parametri Modello'!$A$57:$A$60,0)))*((1-INDEX('Parametri Modello'!$D$57:$D$60,MATCH($B114,'Parametri Modello'!$A$57:$A$60,0)))*(INDEX('Parametri Modello'!$B$50:$B$53,MATCH($B114,'Parametri Modello'!$A$50:$A$53,0))*'Parametri Modello'!$B$44))))*(1+IF(IF($B114="D",'Info Lega'!$B$25,IF($B114="C",'Info Lega'!$B$26,"No"))="Si",'Parametri Modello'!$B$5,0))*(1+MAX(-0.25,MIN(0.25,IF(OR($T114="",$I114="",$I114=0,INDEX('Parametri Modello'!$B$19:$B$22,MATCH($B114,'Parametri Modello'!$A$19:$A$22,0))="",INDEX('Parametri Modello'!$B$19:$B$22,MATCH($B114,'Parametri Modello'!$A$19:$A$22,0))=0),0,(($T114-INDEX('Parametri Modello'!$B$19:$B$22,MATCH($B114,'Parametri Modello'!$A$19:$A$22,0)))/INDEX('Parametri Modello'!$B$19:$B$22,MATCH($B114,'Parametri Modello'!$A$19:$A$22,0)))*'Parametri Modello'!$B$9))))*(1+IF('Parametri Modello'!$B$27="Si",MAX(-'Parametri Modello'!$B$28,MIN('Parametri Modello'!$B$28*1.5,IF(OR(INDEX('Parametri Modello'!$F$32:$F$35,MATCH($B114,'Parametri Modello'!$A$32:$A$35,0))="",INDEX('Parametri Modello'!$F$32:$F$35,MATCH($B114,'Parametri Modello'!$A$32:$A$35,0))=0),0,(1/INDEX('Parametri Modello'!$F$32:$F$35,MATCH($B114,'Parametri Modello'!$A$32:$A$35,0))-1)*'Parametri Modello'!$B$28))),0)))*(1-INDEX('Parametri Modello'!$B$12:$B$15,MATCH($B114,'Parametri Modello'!$A$12:$A$15,0)))),0),"")</f>
        <v>2</v>
      </c>
      <c r="H114" s="27" t="n">
        <f aca="false">IFERROR(ROUND((IF($V114&lt;=INDEX('Parametri Modello'!$C$57:$C$60,MATCH($B114,'Parametri Modello'!$A$57:$A$60,0)),IF(INDEX('Parametri Modello'!$E$57:$E$60,MATCH($B114,'Parametri Modello'!$A$57:$A$60,0))=0,0,($O114/INDEX('Parametri Modello'!$E$57:$E$60,MATCH($B114,'Parametri Modello'!$A$57:$A$60,0)))*(INDEX('Parametri Modello'!$D$57:$D$60,MATCH($B114,'Parametri Modello'!$A$57:$A$60,0))*(INDEX('Parametri Modello'!$B$50:$B$53,MATCH($B114,'Parametri Modello'!$A$50:$A$53,0))*'Parametri Modello'!$B$44))),IF(INDEX('Parametri Modello'!$F$57:$F$60,MATCH($B114,'Parametri Modello'!$A$57:$A$60,0))=0,0,($O114/INDEX('Parametri Modello'!$F$57:$F$60,MATCH($B114,'Parametri Modello'!$A$57:$A$60,0)))*((1-INDEX('Parametri Modello'!$D$57:$D$60,MATCH($B114,'Parametri Modello'!$A$57:$A$60,0)))*(INDEX('Parametri Modello'!$B$50:$B$53,MATCH($B114,'Parametri Modello'!$A$50:$A$53,0))*'Parametri Modello'!$B$44))))*(1+IF(IF($B114="D",'Info Lega'!$B$25,IF($B114="C",'Info Lega'!$B$26,"No"))="Si",'Parametri Modello'!$B$5,0))*(1+MAX(-0.25,MIN(0.25,IF(OR($T114="",$I114="",$I114=0,INDEX('Parametri Modello'!$B$19:$B$22,MATCH($B114,'Parametri Modello'!$A$19:$A$22,0))="",INDEX('Parametri Modello'!$B$19:$B$22,MATCH($B114,'Parametri Modello'!$A$19:$A$22,0))=0),0,(($T114-INDEX('Parametri Modello'!$B$19:$B$22,MATCH($B114,'Parametri Modello'!$A$19:$A$22,0)))/INDEX('Parametri Modello'!$B$19:$B$22,MATCH($B114,'Parametri Modello'!$A$19:$A$22,0)))*'Parametri Modello'!$B$9))))*(1+IF('Parametri Modello'!$B$27="Si",MAX(-'Parametri Modello'!$B$28,MIN('Parametri Modello'!$B$28*1.5,IF(OR(INDEX('Parametri Modello'!$F$32:$F$35,MATCH($B114,'Parametri Modello'!$A$32:$A$35,0))="",INDEX('Parametri Modello'!$F$32:$F$35,MATCH($B114,'Parametri Modello'!$A$32:$A$35,0))=0),0,(1/INDEX('Parametri Modello'!$F$32:$F$35,MATCH($B114,'Parametri Modello'!$A$32:$A$35,0))-1)*'Parametri Modello'!$B$28))),0)))*(1+INDEX('Parametri Modello'!$B$12:$B$15,MATCH($B114,'Parametri Modello'!$A$12:$A$15,0))),0),"")</f>
        <v>4</v>
      </c>
      <c r="I114" s="26" t="n">
        <f aca="false">IFERROR(INDEX('Input Statistiche 2025_26'!$F$3:$F$665,MATCH($A114,'Input Statistiche 2025_26'!$A$3:$A$665,0)),"")</f>
        <v>28</v>
      </c>
      <c r="J114" s="26" t="n">
        <f aca="false">IFERROR(IF($I114="","",MAX(0,38-$I114)),"")</f>
        <v>10</v>
      </c>
      <c r="K114" s="26" t="n">
        <f aca="false">IFERROR(INDEX('Input Statistiche 2025_26'!$I$3:$I$665,MATCH($A114,'Input Statistiche 2025_26'!$A$3:$A$665,0)),"")</f>
        <v>4</v>
      </c>
      <c r="L114" s="26" t="n">
        <f aca="false">IFERROR(INDEX('Input Statistiche 2025_26'!$O$3:$O$665,MATCH($A114,'Input Statistiche 2025_26'!$A$3:$A$665,0)),"")</f>
        <v>1</v>
      </c>
      <c r="M114" s="28"/>
      <c r="N114" s="27" t="n">
        <f aca="false">IFERROR(INDEX('Input Giocatori 2026_27'!$E$3:$E$493,MATCH($A114,'Input Giocatori 2026_27'!$A$3:$A$493,0)),"")</f>
        <v>9</v>
      </c>
      <c r="O114" s="27" t="n">
        <f aca="false">IFERROR(INDEX('Input Giocatori 2026_27'!$G$3:$G$493,MATCH($A114,'Input Giocatori 2026_27'!$A$3:$A$493,0)),"")</f>
        <v>28</v>
      </c>
      <c r="P114" s="26" t="str">
        <f aca="false">IFERROR(IF($O114="","",IF((1-(COUNTIFS($B$2:$B$492,$B114,$O$2:$O$492,"&gt;"&amp;$O114)+1-1)/COUNTIF($B$2:$B$492,$B114))&gt;=0.85,"Top",IF((1-(COUNTIFS($B$2:$B$492,$B114,$O$2:$O$492,"&gt;"&amp;$O114)+1-1)/COUNTIF($B$2:$B$492,$B114))&gt;=0.6,"Buono",IF((1-(COUNTIFS($B$2:$B$492,$B114,$O$2:$O$492,"&gt;"&amp;$O114)+1-1)/COUNTIF($B$2:$B$492,$B114))&gt;=0.3,"Nella Media","Scommessa/Riserva")))),"")</f>
        <v>Buono</v>
      </c>
      <c r="Q114" s="29" t="n">
        <f aca="false">IF($D114="",COUNTIF($D$2:$D114,""),"")</f>
        <v>113</v>
      </c>
      <c r="R114" s="29" t="str">
        <f aca="false">IF($D114='Info Lega'!$B$28,COUNTIFS($D$2:$D114,'Info Lega'!$B$28),"")</f>
        <v/>
      </c>
      <c r="S114" s="30" t="n">
        <f aca="false">IFERROR(INDEX('Input Statistiche 2025_26'!$G$3:$G$665,MATCH($A114,'Input Statistiche 2025_26'!$A$3:$A$665,0)),"")</f>
        <v>5.93</v>
      </c>
      <c r="T114" s="30" t="n">
        <f aca="false">IFERROR(INDEX('Input Statistiche 2025_26'!$H$3:$H$665,MATCH($A114,'Input Statistiche 2025_26'!$A$3:$A$665,0)),"")</f>
        <v>6.29</v>
      </c>
      <c r="U114" s="26" t="str">
        <f aca="false">IF(OR('La Mia Rosa'!$O$12="",$D114&lt;&gt;""),"",IF($F114&lt;='La Mia Rosa'!$O$12*'Parametri Modello'!$B$24,"OK",IF($F114&lt;='La Mia Rosa'!$O$12*'Parametri Modello'!$B$25,"Attenzione","Rischio Alto")))</f>
        <v>OK</v>
      </c>
      <c r="V114" s="26" t="n">
        <f aca="false">IFERROR(COUNTIFS($B$2:$B$492,$B114,$O$2:$O$492,"&gt;"&amp;$O114)+1,"")</f>
        <v>42</v>
      </c>
      <c r="W114" s="21" t="n">
        <f aca="false">'Info Lega'!$B$4-SUMIFS($M$2:$M$492,$D$2:$D$492,'Info Lega'!$B$28)</f>
        <v>1000</v>
      </c>
      <c r="X114" s="21" t="n">
        <f aca="false">('Info Lega'!$B$5-COUNTIFS($D$2:$D$492,'Info Lega'!$B$28,$B$2:$B$492,"P"))+('Info Lega'!$B$6-COUNTIFS($D$2:$D$492,'Info Lega'!$B$28,$B$2:$B$492,"D"))+('Info Lega'!$B$7-COUNTIFS($D$2:$D$492,'Info Lega'!$B$28,$B$2:$B$492,"C"))+('Info Lega'!$B$8-COUNTIFS($D$2:$D$492,'Info Lega'!$B$28,$B$2:$B$492,"A"))</f>
        <v>25</v>
      </c>
      <c r="Y114" s="21" t="n">
        <f aca="false">X114*'Parametri Modello'!$B$30</f>
        <v>25</v>
      </c>
      <c r="Z114" s="21" t="n">
        <f aca="false">MAX(0,W114-Y114)</f>
        <v>975</v>
      </c>
      <c r="AA114" s="21" t="n">
        <f aca="false">MIN(F114,Z114)</f>
        <v>3</v>
      </c>
      <c r="AB114" s="21"/>
      <c r="AC114" s="21" t="str">
        <f aca="false">IF(AB114="","",IF(AB114&gt;AA114,"PASS",IF(AB114&lt;=AA114*0.85,"BID","ATTENZIONE")))</f>
        <v/>
      </c>
      <c r="AD114" s="31" t="n">
        <f aca="false">IF(I114="","",ROUND(100*(1-EXP(-I114/30)),0))</f>
        <v>61</v>
      </c>
      <c r="AE114" s="7" t="str">
        <f aca="false">IFERROR(INDEX('Stato Asta'!$G$9:$G$12,MATCH($B114,'Stato Asta'!$A$9:$A$12,0)),"")</f>
        <v>🟡 Attesa rischiosa</v>
      </c>
    </row>
    <row r="115" customFormat="false" ht="14.25" hidden="false" customHeight="true" outlineLevel="0" collapsed="false">
      <c r="A115" s="21" t="n">
        <v>6904</v>
      </c>
      <c r="B115" s="21" t="s">
        <v>46</v>
      </c>
      <c r="C115" s="21" t="s">
        <v>581</v>
      </c>
      <c r="E115" s="26" t="str">
        <f aca="false">IF(COUNTIF('Info Strategia'!$D$2:$D$51,$C115)&gt;0,"SI","NO")</f>
        <v>NO</v>
      </c>
      <c r="F115" s="27" t="n">
        <f aca="false">IFERROR(ROUND(($G115+($H115-$G115)*'Info Strategia'!$B$6)*(1+IF($E115="SI",'Parametri Modello'!$B$7*'Info Strategia'!$B$6,0)),0),"")</f>
        <v>9</v>
      </c>
      <c r="G115" s="27" t="n">
        <f aca="false">IFERROR(ROUND(MAX(1,(IF($V115&lt;=INDEX('Parametri Modello'!$C$57:$C$60,MATCH($B115,'Parametri Modello'!$A$57:$A$60,0)),IF(INDEX('Parametri Modello'!$E$57:$E$60,MATCH($B115,'Parametri Modello'!$A$57:$A$60,0))=0,0,($O115/INDEX('Parametri Modello'!$E$57:$E$60,MATCH($B115,'Parametri Modello'!$A$57:$A$60,0)))*(INDEX('Parametri Modello'!$D$57:$D$60,MATCH($B115,'Parametri Modello'!$A$57:$A$60,0))*(INDEX('Parametri Modello'!$B$50:$B$53,MATCH($B115,'Parametri Modello'!$A$50:$A$53,0))*'Parametri Modello'!$B$44))),IF(INDEX('Parametri Modello'!$F$57:$F$60,MATCH($B115,'Parametri Modello'!$A$57:$A$60,0))=0,0,($O115/INDEX('Parametri Modello'!$F$57:$F$60,MATCH($B115,'Parametri Modello'!$A$57:$A$60,0)))*((1-INDEX('Parametri Modello'!$D$57:$D$60,MATCH($B115,'Parametri Modello'!$A$57:$A$60,0)))*(INDEX('Parametri Modello'!$B$50:$B$53,MATCH($B115,'Parametri Modello'!$A$50:$A$53,0))*'Parametri Modello'!$B$44))))*(1+IF(IF($B115="D",'Info Lega'!$B$25,IF($B115="C",'Info Lega'!$B$26,"No"))="Si",'Parametri Modello'!$B$5,0))*(1+MAX(-0.25,MIN(0.25,IF(OR($T115="",$I115="",$I115=0,INDEX('Parametri Modello'!$B$19:$B$22,MATCH($B115,'Parametri Modello'!$A$19:$A$22,0))="",INDEX('Parametri Modello'!$B$19:$B$22,MATCH($B115,'Parametri Modello'!$A$19:$A$22,0))=0),0,(($T115-INDEX('Parametri Modello'!$B$19:$B$22,MATCH($B115,'Parametri Modello'!$A$19:$A$22,0)))/INDEX('Parametri Modello'!$B$19:$B$22,MATCH($B115,'Parametri Modello'!$A$19:$A$22,0)))*'Parametri Modello'!$B$9))))*(1+IF('Parametri Modello'!$B$27="Si",MAX(-'Parametri Modello'!$B$28,MIN('Parametri Modello'!$B$28*1.5,IF(OR(INDEX('Parametri Modello'!$F$32:$F$35,MATCH($B115,'Parametri Modello'!$A$32:$A$35,0))="",INDEX('Parametri Modello'!$F$32:$F$35,MATCH($B115,'Parametri Modello'!$A$32:$A$35,0))=0),0,(1/INDEX('Parametri Modello'!$F$32:$F$35,MATCH($B115,'Parametri Modello'!$A$32:$A$35,0))-1)*'Parametri Modello'!$B$28))),0)))*(1-INDEX('Parametri Modello'!$B$12:$B$15,MATCH($B115,'Parametri Modello'!$A$12:$A$15,0)))),0),"")</f>
        <v>6</v>
      </c>
      <c r="H115" s="27" t="n">
        <f aca="false">IFERROR(ROUND((IF($V115&lt;=INDEX('Parametri Modello'!$C$57:$C$60,MATCH($B115,'Parametri Modello'!$A$57:$A$60,0)),IF(INDEX('Parametri Modello'!$E$57:$E$60,MATCH($B115,'Parametri Modello'!$A$57:$A$60,0))=0,0,($O115/INDEX('Parametri Modello'!$E$57:$E$60,MATCH($B115,'Parametri Modello'!$A$57:$A$60,0)))*(INDEX('Parametri Modello'!$D$57:$D$60,MATCH($B115,'Parametri Modello'!$A$57:$A$60,0))*(INDEX('Parametri Modello'!$B$50:$B$53,MATCH($B115,'Parametri Modello'!$A$50:$A$53,0))*'Parametri Modello'!$B$44))),IF(INDEX('Parametri Modello'!$F$57:$F$60,MATCH($B115,'Parametri Modello'!$A$57:$A$60,0))=0,0,($O115/INDEX('Parametri Modello'!$F$57:$F$60,MATCH($B115,'Parametri Modello'!$A$57:$A$60,0)))*((1-INDEX('Parametri Modello'!$D$57:$D$60,MATCH($B115,'Parametri Modello'!$A$57:$A$60,0)))*(INDEX('Parametri Modello'!$B$50:$B$53,MATCH($B115,'Parametri Modello'!$A$50:$A$53,0))*'Parametri Modello'!$B$44))))*(1+IF(IF($B115="D",'Info Lega'!$B$25,IF($B115="C",'Info Lega'!$B$26,"No"))="Si",'Parametri Modello'!$B$5,0))*(1+MAX(-0.25,MIN(0.25,IF(OR($T115="",$I115="",$I115=0,INDEX('Parametri Modello'!$B$19:$B$22,MATCH($B115,'Parametri Modello'!$A$19:$A$22,0))="",INDEX('Parametri Modello'!$B$19:$B$22,MATCH($B115,'Parametri Modello'!$A$19:$A$22,0))=0),0,(($T115-INDEX('Parametri Modello'!$B$19:$B$22,MATCH($B115,'Parametri Modello'!$A$19:$A$22,0)))/INDEX('Parametri Modello'!$B$19:$B$22,MATCH($B115,'Parametri Modello'!$A$19:$A$22,0)))*'Parametri Modello'!$B$9))))*(1+IF('Parametri Modello'!$B$27="Si",MAX(-'Parametri Modello'!$B$28,MIN('Parametri Modello'!$B$28*1.5,IF(OR(INDEX('Parametri Modello'!$F$32:$F$35,MATCH($B115,'Parametri Modello'!$A$32:$A$35,0))="",INDEX('Parametri Modello'!$F$32:$F$35,MATCH($B115,'Parametri Modello'!$A$32:$A$35,0))=0),0,(1/INDEX('Parametri Modello'!$F$32:$F$35,MATCH($B115,'Parametri Modello'!$A$32:$A$35,0))-1)*'Parametri Modello'!$B$28))),0)))*(1+INDEX('Parametri Modello'!$B$12:$B$15,MATCH($B115,'Parametri Modello'!$A$12:$A$15,0))),0),"")</f>
        <v>10</v>
      </c>
      <c r="I115" s="26" t="str">
        <f aca="false">IFERROR(INDEX('Input Statistiche 2025_26'!$F$3:$F$665,MATCH($A115,'Input Statistiche 2025_26'!$A$3:$A$665,0)),"")</f>
        <v/>
      </c>
      <c r="J115" s="26" t="str">
        <f aca="false">IFERROR(IF($I115="","",MAX(0,38-$I115)),"")</f>
        <v/>
      </c>
      <c r="K115" s="26" t="str">
        <f aca="false">IFERROR(INDEX('Input Statistiche 2025_26'!$I$3:$I$665,MATCH($A115,'Input Statistiche 2025_26'!$A$3:$A$665,0)),"")</f>
        <v/>
      </c>
      <c r="L115" s="26" t="str">
        <f aca="false">IFERROR(INDEX('Input Statistiche 2025_26'!$O$3:$O$665,MATCH($A115,'Input Statistiche 2025_26'!$A$3:$A$665,0)),"")</f>
        <v/>
      </c>
      <c r="M115" s="28"/>
      <c r="N115" s="27" t="n">
        <f aca="false">IFERROR(INDEX('Input Giocatori 2026_27'!$E$3:$E$493,MATCH($A115,'Input Giocatori 2026_27'!$A$3:$A$493,0)),"")</f>
        <v>8</v>
      </c>
      <c r="O115" s="27" t="n">
        <f aca="false">IFERROR(INDEX('Input Giocatori 2026_27'!$G$3:$G$493,MATCH($A115,'Input Giocatori 2026_27'!$A$3:$A$493,0)),"")</f>
        <v>28</v>
      </c>
      <c r="P115" s="26" t="str">
        <f aca="false">IFERROR(IF($O115="","",IF((1-(COUNTIFS($B$2:$B$492,$B115,$O$2:$O$492,"&gt;"&amp;$O115)+1-1)/COUNTIF($B$2:$B$492,$B115))&gt;=0.85,"Top",IF((1-(COUNTIFS($B$2:$B$492,$B115,$O$2:$O$492,"&gt;"&amp;$O115)+1-1)/COUNTIF($B$2:$B$492,$B115))&gt;=0.6,"Buono",IF((1-(COUNTIFS($B$2:$B$492,$B115,$O$2:$O$492,"&gt;"&amp;$O115)+1-1)/COUNTIF($B$2:$B$492,$B115))&gt;=0.3,"Nella Media","Scommessa/Riserva")))),"")</f>
        <v>Nella Media</v>
      </c>
      <c r="Q115" s="29" t="n">
        <f aca="false">IF($D115="",COUNTIF($D$2:$D115,""),"")</f>
        <v>114</v>
      </c>
      <c r="R115" s="29" t="str">
        <f aca="false">IF($D115='Info Lega'!$B$28,COUNTIFS($D$2:$D115,'Info Lega'!$B$28),"")</f>
        <v/>
      </c>
      <c r="S115" s="30" t="str">
        <f aca="false">IFERROR(INDEX('Input Statistiche 2025_26'!$G$3:$G$665,MATCH($A115,'Input Statistiche 2025_26'!$A$3:$A$665,0)),"")</f>
        <v/>
      </c>
      <c r="T115" s="30" t="str">
        <f aca="false">IFERROR(INDEX('Input Statistiche 2025_26'!$H$3:$H$665,MATCH($A115,'Input Statistiche 2025_26'!$A$3:$A$665,0)),"")</f>
        <v/>
      </c>
      <c r="U115" s="26" t="str">
        <f aca="false">IF(OR('La Mia Rosa'!$O$12="",$D115&lt;&gt;""),"",IF($F115&lt;='La Mia Rosa'!$O$12*'Parametri Modello'!$B$24,"OK",IF($F115&lt;='La Mia Rosa'!$O$12*'Parametri Modello'!$B$25,"Attenzione","Rischio Alto")))</f>
        <v>OK</v>
      </c>
      <c r="V115" s="26" t="n">
        <f aca="false">IFERROR(COUNTIFS($B$2:$B$492,$B115,$O$2:$O$492,"&gt;"&amp;$O115)+1,"")</f>
        <v>40</v>
      </c>
      <c r="W115" s="21" t="n">
        <f aca="false">'Info Lega'!$B$4-SUMIFS($M$2:$M$492,$D$2:$D$492,'Info Lega'!$B$28)</f>
        <v>1000</v>
      </c>
      <c r="X115" s="21" t="n">
        <f aca="false">('Info Lega'!$B$5-COUNTIFS($D$2:$D$492,'Info Lega'!$B$28,$B$2:$B$492,"P"))+('Info Lega'!$B$6-COUNTIFS($D$2:$D$492,'Info Lega'!$B$28,$B$2:$B$492,"D"))+('Info Lega'!$B$7-COUNTIFS($D$2:$D$492,'Info Lega'!$B$28,$B$2:$B$492,"C"))+('Info Lega'!$B$8-COUNTIFS($D$2:$D$492,'Info Lega'!$B$28,$B$2:$B$492,"A"))</f>
        <v>25</v>
      </c>
      <c r="Y115" s="21" t="n">
        <f aca="false">X115*'Parametri Modello'!$B$30</f>
        <v>25</v>
      </c>
      <c r="Z115" s="21" t="n">
        <f aca="false">MAX(0,W115-Y115)</f>
        <v>975</v>
      </c>
      <c r="AA115" s="21" t="n">
        <f aca="false">MIN(F115,Z115)</f>
        <v>9</v>
      </c>
      <c r="AB115" s="21"/>
      <c r="AC115" s="21" t="str">
        <f aca="false">IF(AB115="","",IF(AB115&gt;AA115,"PASS",IF(AB115&lt;=AA115*0.85,"BID","ATTENZIONE")))</f>
        <v/>
      </c>
      <c r="AD115" s="31" t="str">
        <f aca="false">IF(I115="","",ROUND(100*(1-EXP(-I115/30)),0))</f>
        <v/>
      </c>
      <c r="AE115" s="7" t="str">
        <f aca="false">IFERROR(INDEX('Stato Asta'!$G$9:$G$12,MATCH($B115,'Stato Asta'!$A$9:$A$12,0)),"")</f>
        <v>🔴 Non aspettare</v>
      </c>
    </row>
    <row r="116" customFormat="false" ht="14.25" hidden="false" customHeight="true" outlineLevel="0" collapsed="false">
      <c r="A116" s="21" t="n">
        <v>4360</v>
      </c>
      <c r="B116" s="21" t="s">
        <v>43</v>
      </c>
      <c r="C116" s="21" t="s">
        <v>128</v>
      </c>
      <c r="E116" s="26" t="str">
        <f aca="false">IF(COUNTIF('Info Strategia'!$D$2:$D$51,$C116)&gt;0,"SI","NO")</f>
        <v>NO</v>
      </c>
      <c r="F116" s="27" t="n">
        <f aca="false">IFERROR(ROUND(($G116+($H116-$G116)*'Info Strategia'!$B$6)*(1+IF($E116="SI",'Parametri Modello'!$B$7*'Info Strategia'!$B$6,0)),0),"")</f>
        <v>9</v>
      </c>
      <c r="G116" s="27" t="n">
        <f aca="false">IFERROR(ROUND(MAX(1,(IF($V116&lt;=INDEX('Parametri Modello'!$C$57:$C$60,MATCH($B116,'Parametri Modello'!$A$57:$A$60,0)),IF(INDEX('Parametri Modello'!$E$57:$E$60,MATCH($B116,'Parametri Modello'!$A$57:$A$60,0))=0,0,($O116/INDEX('Parametri Modello'!$E$57:$E$60,MATCH($B116,'Parametri Modello'!$A$57:$A$60,0)))*(INDEX('Parametri Modello'!$D$57:$D$60,MATCH($B116,'Parametri Modello'!$A$57:$A$60,0))*(INDEX('Parametri Modello'!$B$50:$B$53,MATCH($B116,'Parametri Modello'!$A$50:$A$53,0))*'Parametri Modello'!$B$44))),IF(INDEX('Parametri Modello'!$F$57:$F$60,MATCH($B116,'Parametri Modello'!$A$57:$A$60,0))=0,0,($O116/INDEX('Parametri Modello'!$F$57:$F$60,MATCH($B116,'Parametri Modello'!$A$57:$A$60,0)))*((1-INDEX('Parametri Modello'!$D$57:$D$60,MATCH($B116,'Parametri Modello'!$A$57:$A$60,0)))*(INDEX('Parametri Modello'!$B$50:$B$53,MATCH($B116,'Parametri Modello'!$A$50:$A$53,0))*'Parametri Modello'!$B$44))))*(1+IF(IF($B116="D",'Info Lega'!$B$25,IF($B116="C",'Info Lega'!$B$26,"No"))="Si",'Parametri Modello'!$B$5,0))*(1+MAX(-0.25,MIN(0.25,IF(OR($T116="",$I116="",$I116=0,INDEX('Parametri Modello'!$B$19:$B$22,MATCH($B116,'Parametri Modello'!$A$19:$A$22,0))="",INDEX('Parametri Modello'!$B$19:$B$22,MATCH($B116,'Parametri Modello'!$A$19:$A$22,0))=0),0,(($T116-INDEX('Parametri Modello'!$B$19:$B$22,MATCH($B116,'Parametri Modello'!$A$19:$A$22,0)))/INDEX('Parametri Modello'!$B$19:$B$22,MATCH($B116,'Parametri Modello'!$A$19:$A$22,0)))*'Parametri Modello'!$B$9))))*(1+IF('Parametri Modello'!$B$27="Si",MAX(-'Parametri Modello'!$B$28,MIN('Parametri Modello'!$B$28*1.5,IF(OR(INDEX('Parametri Modello'!$F$32:$F$35,MATCH($B116,'Parametri Modello'!$A$32:$A$35,0))="",INDEX('Parametri Modello'!$F$32:$F$35,MATCH($B116,'Parametri Modello'!$A$32:$A$35,0))=0),0,(1/INDEX('Parametri Modello'!$F$32:$F$35,MATCH($B116,'Parametri Modello'!$A$32:$A$35,0))-1)*'Parametri Modello'!$B$28))),0)))*(1-INDEX('Parametri Modello'!$B$12:$B$15,MATCH($B116,'Parametri Modello'!$A$12:$A$15,0)))),0),"")</f>
        <v>7</v>
      </c>
      <c r="H116" s="27" t="n">
        <f aca="false">IFERROR(ROUND((IF($V116&lt;=INDEX('Parametri Modello'!$C$57:$C$60,MATCH($B116,'Parametri Modello'!$A$57:$A$60,0)),IF(INDEX('Parametri Modello'!$E$57:$E$60,MATCH($B116,'Parametri Modello'!$A$57:$A$60,0))=0,0,($O116/INDEX('Parametri Modello'!$E$57:$E$60,MATCH($B116,'Parametri Modello'!$A$57:$A$60,0)))*(INDEX('Parametri Modello'!$D$57:$D$60,MATCH($B116,'Parametri Modello'!$A$57:$A$60,0))*(INDEX('Parametri Modello'!$B$50:$B$53,MATCH($B116,'Parametri Modello'!$A$50:$A$53,0))*'Parametri Modello'!$B$44))),IF(INDEX('Parametri Modello'!$F$57:$F$60,MATCH($B116,'Parametri Modello'!$A$57:$A$60,0))=0,0,($O116/INDEX('Parametri Modello'!$F$57:$F$60,MATCH($B116,'Parametri Modello'!$A$57:$A$60,0)))*((1-INDEX('Parametri Modello'!$D$57:$D$60,MATCH($B116,'Parametri Modello'!$A$57:$A$60,0)))*(INDEX('Parametri Modello'!$B$50:$B$53,MATCH($B116,'Parametri Modello'!$A$50:$A$53,0))*'Parametri Modello'!$B$44))))*(1+IF(IF($B116="D",'Info Lega'!$B$25,IF($B116="C",'Info Lega'!$B$26,"No"))="Si",'Parametri Modello'!$B$5,0))*(1+MAX(-0.25,MIN(0.25,IF(OR($T116="",$I116="",$I116=0,INDEX('Parametri Modello'!$B$19:$B$22,MATCH($B116,'Parametri Modello'!$A$19:$A$22,0))="",INDEX('Parametri Modello'!$B$19:$B$22,MATCH($B116,'Parametri Modello'!$A$19:$A$22,0))=0),0,(($T116-INDEX('Parametri Modello'!$B$19:$B$22,MATCH($B116,'Parametri Modello'!$A$19:$A$22,0)))/INDEX('Parametri Modello'!$B$19:$B$22,MATCH($B116,'Parametri Modello'!$A$19:$A$22,0)))*'Parametri Modello'!$B$9))))*(1+IF('Parametri Modello'!$B$27="Si",MAX(-'Parametri Modello'!$B$28,MIN('Parametri Modello'!$B$28*1.5,IF(OR(INDEX('Parametri Modello'!$F$32:$F$35,MATCH($B116,'Parametri Modello'!$A$32:$A$35,0))="",INDEX('Parametri Modello'!$F$32:$F$35,MATCH($B116,'Parametri Modello'!$A$32:$A$35,0))=0),0,(1/INDEX('Parametri Modello'!$F$32:$F$35,MATCH($B116,'Parametri Modello'!$A$32:$A$35,0))-1)*'Parametri Modello'!$B$28))),0)))*(1+INDEX('Parametri Modello'!$B$12:$B$15,MATCH($B116,'Parametri Modello'!$A$12:$A$15,0))),0),"")</f>
        <v>10</v>
      </c>
      <c r="I116" s="26" t="n">
        <f aca="false">IFERROR(INDEX('Input Statistiche 2025_26'!$F$3:$F$665,MATCH($A116,'Input Statistiche 2025_26'!$A$3:$A$665,0)),"")</f>
        <v>38</v>
      </c>
      <c r="J116" s="26" t="n">
        <f aca="false">IFERROR(IF($I116="","",MAX(0,38-$I116)),"")</f>
        <v>0</v>
      </c>
      <c r="K116" s="26" t="n">
        <f aca="false">IFERROR(INDEX('Input Statistiche 2025_26'!$I$3:$I$665,MATCH($A116,'Input Statistiche 2025_26'!$A$3:$A$665,0)),"")</f>
        <v>0</v>
      </c>
      <c r="L116" s="26" t="n">
        <f aca="false">IFERROR(INDEX('Input Statistiche 2025_26'!$O$3:$O$665,MATCH($A116,'Input Statistiche 2025_26'!$A$3:$A$665,0)),"")</f>
        <v>0</v>
      </c>
      <c r="M116" s="28"/>
      <c r="N116" s="27" t="n">
        <f aca="false">IFERROR(INDEX('Input Giocatori 2026_27'!$E$3:$E$493,MATCH($A116,'Input Giocatori 2026_27'!$A$3:$A$493,0)),"")</f>
        <v>9</v>
      </c>
      <c r="O116" s="27" t="n">
        <f aca="false">IFERROR(INDEX('Input Giocatori 2026_27'!$G$3:$G$493,MATCH($A116,'Input Giocatori 2026_27'!$A$3:$A$493,0)),"")</f>
        <v>27</v>
      </c>
      <c r="P116" s="26" t="str">
        <f aca="false">IFERROR(IF($O116="","",IF((1-(COUNTIFS($B$2:$B$492,$B116,$O$2:$O$492,"&gt;"&amp;$O116)+1-1)/COUNTIF($B$2:$B$492,$B116))&gt;=0.85,"Top",IF((1-(COUNTIFS($B$2:$B$492,$B116,$O$2:$O$492,"&gt;"&amp;$O116)+1-1)/COUNTIF($B$2:$B$492,$B116))&gt;=0.6,"Buono",IF((1-(COUNTIFS($B$2:$B$492,$B116,$O$2:$O$492,"&gt;"&amp;$O116)+1-1)/COUNTIF($B$2:$B$492,$B116))&gt;=0.3,"Nella Media","Scommessa/Riserva")))),"")</f>
        <v>Buono</v>
      </c>
      <c r="Q116" s="29" t="n">
        <f aca="false">IF($D116="",COUNTIF($D$2:$D116,""),"")</f>
        <v>115</v>
      </c>
      <c r="R116" s="29" t="str">
        <f aca="false">IF($D116='Info Lega'!$B$28,COUNTIFS($D$2:$D116,'Info Lega'!$B$28),"")</f>
        <v/>
      </c>
      <c r="S116" s="30" t="n">
        <f aca="false">IFERROR(INDEX('Input Statistiche 2025_26'!$G$3:$G$665,MATCH($A116,'Input Statistiche 2025_26'!$A$3:$A$665,0)),"")</f>
        <v>6.29</v>
      </c>
      <c r="T116" s="30" t="n">
        <f aca="false">IFERROR(INDEX('Input Statistiche 2025_26'!$H$3:$H$665,MATCH($A116,'Input Statistiche 2025_26'!$A$3:$A$665,0)),"")</f>
        <v>4.87</v>
      </c>
      <c r="U116" s="26" t="str">
        <f aca="false">IF(OR('La Mia Rosa'!$O$12="",$D116&lt;&gt;""),"",IF($F116&lt;='La Mia Rosa'!$O$12*'Parametri Modello'!$B$24,"OK",IF($F116&lt;='La Mia Rosa'!$O$12*'Parametri Modello'!$B$25,"Attenzione","Rischio Alto")))</f>
        <v>OK</v>
      </c>
      <c r="V116" s="26" t="n">
        <f aca="false">IFERROR(COUNTIFS($B$2:$B$492,$B116,$O$2:$O$492,"&gt;"&amp;$O116)+1,"")</f>
        <v>12</v>
      </c>
      <c r="W116" s="21" t="n">
        <f aca="false">'Info Lega'!$B$4-SUMIFS($M$2:$M$492,$D$2:$D$492,'Info Lega'!$B$28)</f>
        <v>1000</v>
      </c>
      <c r="X116" s="21" t="n">
        <f aca="false">('Info Lega'!$B$5-COUNTIFS($D$2:$D$492,'Info Lega'!$B$28,$B$2:$B$492,"P"))+('Info Lega'!$B$6-COUNTIFS($D$2:$D$492,'Info Lega'!$B$28,$B$2:$B$492,"D"))+('Info Lega'!$B$7-COUNTIFS($D$2:$D$492,'Info Lega'!$B$28,$B$2:$B$492,"C"))+('Info Lega'!$B$8-COUNTIFS($D$2:$D$492,'Info Lega'!$B$28,$B$2:$B$492,"A"))</f>
        <v>25</v>
      </c>
      <c r="Y116" s="21" t="n">
        <f aca="false">X116*'Parametri Modello'!$B$30</f>
        <v>25</v>
      </c>
      <c r="Z116" s="21" t="n">
        <f aca="false">MAX(0,W116-Y116)</f>
        <v>975</v>
      </c>
      <c r="AA116" s="21" t="n">
        <f aca="false">MIN(F116,Z116)</f>
        <v>9</v>
      </c>
      <c r="AB116" s="21"/>
      <c r="AC116" s="21" t="str">
        <f aca="false">IF(AB116="","",IF(AB116&gt;AA116,"PASS",IF(AB116&lt;=AA116*0.85,"BID","ATTENZIONE")))</f>
        <v/>
      </c>
      <c r="AD116" s="31" t="n">
        <f aca="false">IF(I116="","",ROUND(100*(1-EXP(-I116/30)),0))</f>
        <v>72</v>
      </c>
      <c r="AE116" s="7" t="str">
        <f aca="false">IFERROR(INDEX('Stato Asta'!$G$9:$G$12,MATCH($B116,'Stato Asta'!$A$9:$A$12,0)),"")</f>
        <v>🟡 Attesa rischiosa</v>
      </c>
    </row>
    <row r="117" customFormat="false" ht="14.25" hidden="false" customHeight="true" outlineLevel="0" collapsed="false">
      <c r="A117" s="21" t="n">
        <v>5520</v>
      </c>
      <c r="B117" s="21" t="s">
        <v>44</v>
      </c>
      <c r="C117" s="21" t="s">
        <v>212</v>
      </c>
      <c r="E117" s="26" t="str">
        <f aca="false">IF(COUNTIF('Info Strategia'!$D$2:$D$51,$C117)&gt;0,"SI","NO")</f>
        <v>NO</v>
      </c>
      <c r="F117" s="27" t="n">
        <f aca="false">IFERROR(ROUND(($G117+($H117-$G117)*'Info Strategia'!$B$6)*(1+IF($E117="SI",'Parametri Modello'!$B$7*'Info Strategia'!$B$6,0)),0),"")</f>
        <v>18</v>
      </c>
      <c r="G117" s="27" t="n">
        <f aca="false">IFERROR(ROUND(MAX(1,(IF($V117&lt;=INDEX('Parametri Modello'!$C$57:$C$60,MATCH($B117,'Parametri Modello'!$A$57:$A$60,0)),IF(INDEX('Parametri Modello'!$E$57:$E$60,MATCH($B117,'Parametri Modello'!$A$57:$A$60,0))=0,0,($O117/INDEX('Parametri Modello'!$E$57:$E$60,MATCH($B117,'Parametri Modello'!$A$57:$A$60,0)))*(INDEX('Parametri Modello'!$D$57:$D$60,MATCH($B117,'Parametri Modello'!$A$57:$A$60,0))*(INDEX('Parametri Modello'!$B$50:$B$53,MATCH($B117,'Parametri Modello'!$A$50:$A$53,0))*'Parametri Modello'!$B$44))),IF(INDEX('Parametri Modello'!$F$57:$F$60,MATCH($B117,'Parametri Modello'!$A$57:$A$60,0))=0,0,($O117/INDEX('Parametri Modello'!$F$57:$F$60,MATCH($B117,'Parametri Modello'!$A$57:$A$60,0)))*((1-INDEX('Parametri Modello'!$D$57:$D$60,MATCH($B117,'Parametri Modello'!$A$57:$A$60,0)))*(INDEX('Parametri Modello'!$B$50:$B$53,MATCH($B117,'Parametri Modello'!$A$50:$A$53,0))*'Parametri Modello'!$B$44))))*(1+IF(IF($B117="D",'Info Lega'!$B$25,IF($B117="C",'Info Lega'!$B$26,"No"))="Si",'Parametri Modello'!$B$5,0))*(1+MAX(-0.25,MIN(0.25,IF(OR($T117="",$I117="",$I117=0,INDEX('Parametri Modello'!$B$19:$B$22,MATCH($B117,'Parametri Modello'!$A$19:$A$22,0))="",INDEX('Parametri Modello'!$B$19:$B$22,MATCH($B117,'Parametri Modello'!$A$19:$A$22,0))=0),0,(($T117-INDEX('Parametri Modello'!$B$19:$B$22,MATCH($B117,'Parametri Modello'!$A$19:$A$22,0)))/INDEX('Parametri Modello'!$B$19:$B$22,MATCH($B117,'Parametri Modello'!$A$19:$A$22,0)))*'Parametri Modello'!$B$9))))*(1+IF('Parametri Modello'!$B$27="Si",MAX(-'Parametri Modello'!$B$28,MIN('Parametri Modello'!$B$28*1.5,IF(OR(INDEX('Parametri Modello'!$F$32:$F$35,MATCH($B117,'Parametri Modello'!$A$32:$A$35,0))="",INDEX('Parametri Modello'!$F$32:$F$35,MATCH($B117,'Parametri Modello'!$A$32:$A$35,0))=0),0,(1/INDEX('Parametri Modello'!$F$32:$F$35,MATCH($B117,'Parametri Modello'!$A$32:$A$35,0))-1)*'Parametri Modello'!$B$28))),0)))*(1-INDEX('Parametri Modello'!$B$12:$B$15,MATCH($B117,'Parametri Modello'!$A$12:$A$15,0)))),0),"")</f>
        <v>14</v>
      </c>
      <c r="H117" s="27" t="n">
        <f aca="false">IFERROR(ROUND((IF($V117&lt;=INDEX('Parametri Modello'!$C$57:$C$60,MATCH($B117,'Parametri Modello'!$A$57:$A$60,0)),IF(INDEX('Parametri Modello'!$E$57:$E$60,MATCH($B117,'Parametri Modello'!$A$57:$A$60,0))=0,0,($O117/INDEX('Parametri Modello'!$E$57:$E$60,MATCH($B117,'Parametri Modello'!$A$57:$A$60,0)))*(INDEX('Parametri Modello'!$D$57:$D$60,MATCH($B117,'Parametri Modello'!$A$57:$A$60,0))*(INDEX('Parametri Modello'!$B$50:$B$53,MATCH($B117,'Parametri Modello'!$A$50:$A$53,0))*'Parametri Modello'!$B$44))),IF(INDEX('Parametri Modello'!$F$57:$F$60,MATCH($B117,'Parametri Modello'!$A$57:$A$60,0))=0,0,($O117/INDEX('Parametri Modello'!$F$57:$F$60,MATCH($B117,'Parametri Modello'!$A$57:$A$60,0)))*((1-INDEX('Parametri Modello'!$D$57:$D$60,MATCH($B117,'Parametri Modello'!$A$57:$A$60,0)))*(INDEX('Parametri Modello'!$B$50:$B$53,MATCH($B117,'Parametri Modello'!$A$50:$A$53,0))*'Parametri Modello'!$B$44))))*(1+IF(IF($B117="D",'Info Lega'!$B$25,IF($B117="C",'Info Lega'!$B$26,"No"))="Si",'Parametri Modello'!$B$5,0))*(1+MAX(-0.25,MIN(0.25,IF(OR($T117="",$I117="",$I117=0,INDEX('Parametri Modello'!$B$19:$B$22,MATCH($B117,'Parametri Modello'!$A$19:$A$22,0))="",INDEX('Parametri Modello'!$B$19:$B$22,MATCH($B117,'Parametri Modello'!$A$19:$A$22,0))=0),0,(($T117-INDEX('Parametri Modello'!$B$19:$B$22,MATCH($B117,'Parametri Modello'!$A$19:$A$22,0)))/INDEX('Parametri Modello'!$B$19:$B$22,MATCH($B117,'Parametri Modello'!$A$19:$A$22,0)))*'Parametri Modello'!$B$9))))*(1+IF('Parametri Modello'!$B$27="Si",MAX(-'Parametri Modello'!$B$28,MIN('Parametri Modello'!$B$28*1.5,IF(OR(INDEX('Parametri Modello'!$F$32:$F$35,MATCH($B117,'Parametri Modello'!$A$32:$A$35,0))="",INDEX('Parametri Modello'!$F$32:$F$35,MATCH($B117,'Parametri Modello'!$A$32:$A$35,0))=0),0,(1/INDEX('Parametri Modello'!$F$32:$F$35,MATCH($B117,'Parametri Modello'!$A$32:$A$35,0))-1)*'Parametri Modello'!$B$28))),0)))*(1+INDEX('Parametri Modello'!$B$12:$B$15,MATCH($B117,'Parametri Modello'!$A$12:$A$15,0))),0),"")</f>
        <v>20</v>
      </c>
      <c r="I117" s="26" t="n">
        <f aca="false">IFERROR(INDEX('Input Statistiche 2025_26'!$F$3:$F$665,MATCH($A117,'Input Statistiche 2025_26'!$A$3:$A$665,0)),"")</f>
        <v>36</v>
      </c>
      <c r="J117" s="26" t="n">
        <f aca="false">IFERROR(IF($I117="","",MAX(0,38-$I117)),"")</f>
        <v>2</v>
      </c>
      <c r="K117" s="26" t="n">
        <f aca="false">IFERROR(INDEX('Input Statistiche 2025_26'!$I$3:$I$665,MATCH($A117,'Input Statistiche 2025_26'!$A$3:$A$665,0)),"")</f>
        <v>3</v>
      </c>
      <c r="L117" s="26" t="n">
        <f aca="false">IFERROR(INDEX('Input Statistiche 2025_26'!$O$3:$O$665,MATCH($A117,'Input Statistiche 2025_26'!$A$3:$A$665,0)),"")</f>
        <v>4</v>
      </c>
      <c r="M117" s="28"/>
      <c r="N117" s="27" t="n">
        <f aca="false">IFERROR(INDEX('Input Giocatori 2026_27'!$E$3:$E$493,MATCH($A117,'Input Giocatori 2026_27'!$A$3:$A$493,0)),"")</f>
        <v>9</v>
      </c>
      <c r="O117" s="27" t="n">
        <f aca="false">IFERROR(INDEX('Input Giocatori 2026_27'!$G$3:$G$493,MATCH($A117,'Input Giocatori 2026_27'!$A$3:$A$493,0)),"")</f>
        <v>27</v>
      </c>
      <c r="P117" s="26" t="str">
        <f aca="false">IFERROR(IF($O117="","",IF((1-(COUNTIFS($B$2:$B$492,$B117,$O$2:$O$492,"&gt;"&amp;$O117)+1-1)/COUNTIF($B$2:$B$492,$B117))&gt;=0.85,"Top",IF((1-(COUNTIFS($B$2:$B$492,$B117,$O$2:$O$492,"&gt;"&amp;$O117)+1-1)/COUNTIF($B$2:$B$492,$B117))&gt;=0.6,"Buono",IF((1-(COUNTIFS($B$2:$B$492,$B117,$O$2:$O$492,"&gt;"&amp;$O117)+1-1)/COUNTIF($B$2:$B$492,$B117))&gt;=0.3,"Nella Media","Scommessa/Riserva")))),"")</f>
        <v>Top</v>
      </c>
      <c r="Q117" s="29" t="n">
        <f aca="false">IF($D117="",COUNTIF($D$2:$D117,""),"")</f>
        <v>116</v>
      </c>
      <c r="R117" s="29" t="str">
        <f aca="false">IF($D117='Info Lega'!$B$28,COUNTIFS($D$2:$D117,'Info Lega'!$B$28),"")</f>
        <v/>
      </c>
      <c r="S117" s="30" t="n">
        <f aca="false">IFERROR(INDEX('Input Statistiche 2025_26'!$G$3:$G$665,MATCH($A117,'Input Statistiche 2025_26'!$A$3:$A$665,0)),"")</f>
        <v>5.81</v>
      </c>
      <c r="T117" s="30" t="n">
        <f aca="false">IFERROR(INDEX('Input Statistiche 2025_26'!$H$3:$H$665,MATCH($A117,'Input Statistiche 2025_26'!$A$3:$A$665,0)),"")</f>
        <v>5.99</v>
      </c>
      <c r="U117" s="26" t="str">
        <f aca="false">IF(OR('La Mia Rosa'!$O$12="",$D117&lt;&gt;""),"",IF($F117&lt;='La Mia Rosa'!$O$12*'Parametri Modello'!$B$24,"OK",IF($F117&lt;='La Mia Rosa'!$O$12*'Parametri Modello'!$B$25,"Attenzione","Rischio Alto")))</f>
        <v>OK</v>
      </c>
      <c r="V117" s="26" t="n">
        <f aca="false">IFERROR(COUNTIFS($B$2:$B$492,$B117,$O$2:$O$492,"&gt;"&amp;$O117)+1,"")</f>
        <v>21</v>
      </c>
      <c r="W117" s="21" t="n">
        <f aca="false">'Info Lega'!$B$4-SUMIFS($M$2:$M$492,$D$2:$D$492,'Info Lega'!$B$28)</f>
        <v>1000</v>
      </c>
      <c r="X117" s="21" t="n">
        <f aca="false">('Info Lega'!$B$5-COUNTIFS($D$2:$D$492,'Info Lega'!$B$28,$B$2:$B$492,"P"))+('Info Lega'!$B$6-COUNTIFS($D$2:$D$492,'Info Lega'!$B$28,$B$2:$B$492,"D"))+('Info Lega'!$B$7-COUNTIFS($D$2:$D$492,'Info Lega'!$B$28,$B$2:$B$492,"C"))+('Info Lega'!$B$8-COUNTIFS($D$2:$D$492,'Info Lega'!$B$28,$B$2:$B$492,"A"))</f>
        <v>25</v>
      </c>
      <c r="Y117" s="21" t="n">
        <f aca="false">X117*'Parametri Modello'!$B$30</f>
        <v>25</v>
      </c>
      <c r="Z117" s="21" t="n">
        <f aca="false">MAX(0,W117-Y117)</f>
        <v>975</v>
      </c>
      <c r="AA117" s="21" t="n">
        <f aca="false">MIN(F117,Z117)</f>
        <v>18</v>
      </c>
      <c r="AB117" s="21"/>
      <c r="AC117" s="21" t="str">
        <f aca="false">IF(AB117="","",IF(AB117&gt;AA117,"PASS",IF(AB117&lt;=AA117*0.85,"BID","ATTENZIONE")))</f>
        <v/>
      </c>
      <c r="AD117" s="31" t="n">
        <f aca="false">IF(I117="","",ROUND(100*(1-EXP(-I117/30)),0))</f>
        <v>70</v>
      </c>
      <c r="AE117" s="7" t="str">
        <f aca="false">IFERROR(INDEX('Stato Asta'!$G$9:$G$12,MATCH($B117,'Stato Asta'!$A$9:$A$12,0)),"")</f>
        <v>🟡 Attesa rischiosa</v>
      </c>
    </row>
    <row r="118" customFormat="false" ht="14.25" hidden="false" customHeight="true" outlineLevel="0" collapsed="false">
      <c r="A118" s="21" t="n">
        <v>5365</v>
      </c>
      <c r="B118" s="21" t="s">
        <v>44</v>
      </c>
      <c r="C118" s="21" t="s">
        <v>218</v>
      </c>
      <c r="E118" s="26" t="str">
        <f aca="false">IF(COUNTIF('Info Strategia'!$D$2:$D$51,$C118)&gt;0,"SI","NO")</f>
        <v>NO</v>
      </c>
      <c r="F118" s="27" t="n">
        <f aca="false">IFERROR(ROUND(($G118+($H118-$G118)*'Info Strategia'!$B$6)*(1+IF($E118="SI",'Parametri Modello'!$B$7*'Info Strategia'!$B$6,0)),0),"")</f>
        <v>18</v>
      </c>
      <c r="G118" s="27" t="n">
        <f aca="false">IFERROR(ROUND(MAX(1,(IF($V118&lt;=INDEX('Parametri Modello'!$C$57:$C$60,MATCH($B118,'Parametri Modello'!$A$57:$A$60,0)),IF(INDEX('Parametri Modello'!$E$57:$E$60,MATCH($B118,'Parametri Modello'!$A$57:$A$60,0))=0,0,($O118/INDEX('Parametri Modello'!$E$57:$E$60,MATCH($B118,'Parametri Modello'!$A$57:$A$60,0)))*(INDEX('Parametri Modello'!$D$57:$D$60,MATCH($B118,'Parametri Modello'!$A$57:$A$60,0))*(INDEX('Parametri Modello'!$B$50:$B$53,MATCH($B118,'Parametri Modello'!$A$50:$A$53,0))*'Parametri Modello'!$B$44))),IF(INDEX('Parametri Modello'!$F$57:$F$60,MATCH($B118,'Parametri Modello'!$A$57:$A$60,0))=0,0,($O118/INDEX('Parametri Modello'!$F$57:$F$60,MATCH($B118,'Parametri Modello'!$A$57:$A$60,0)))*((1-INDEX('Parametri Modello'!$D$57:$D$60,MATCH($B118,'Parametri Modello'!$A$57:$A$60,0)))*(INDEX('Parametri Modello'!$B$50:$B$53,MATCH($B118,'Parametri Modello'!$A$50:$A$53,0))*'Parametri Modello'!$B$44))))*(1+IF(IF($B118="D",'Info Lega'!$B$25,IF($B118="C",'Info Lega'!$B$26,"No"))="Si",'Parametri Modello'!$B$5,0))*(1+MAX(-0.25,MIN(0.25,IF(OR($T118="",$I118="",$I118=0,INDEX('Parametri Modello'!$B$19:$B$22,MATCH($B118,'Parametri Modello'!$A$19:$A$22,0))="",INDEX('Parametri Modello'!$B$19:$B$22,MATCH($B118,'Parametri Modello'!$A$19:$A$22,0))=0),0,(($T118-INDEX('Parametri Modello'!$B$19:$B$22,MATCH($B118,'Parametri Modello'!$A$19:$A$22,0)))/INDEX('Parametri Modello'!$B$19:$B$22,MATCH($B118,'Parametri Modello'!$A$19:$A$22,0)))*'Parametri Modello'!$B$9))))*(1+IF('Parametri Modello'!$B$27="Si",MAX(-'Parametri Modello'!$B$28,MIN('Parametri Modello'!$B$28*1.5,IF(OR(INDEX('Parametri Modello'!$F$32:$F$35,MATCH($B118,'Parametri Modello'!$A$32:$A$35,0))="",INDEX('Parametri Modello'!$F$32:$F$35,MATCH($B118,'Parametri Modello'!$A$32:$A$35,0))=0),0,(1/INDEX('Parametri Modello'!$F$32:$F$35,MATCH($B118,'Parametri Modello'!$A$32:$A$35,0))-1)*'Parametri Modello'!$B$28))),0)))*(1-INDEX('Parametri Modello'!$B$12:$B$15,MATCH($B118,'Parametri Modello'!$A$12:$A$15,0)))),0),"")</f>
        <v>14</v>
      </c>
      <c r="H118" s="27" t="n">
        <f aca="false">IFERROR(ROUND((IF($V118&lt;=INDEX('Parametri Modello'!$C$57:$C$60,MATCH($B118,'Parametri Modello'!$A$57:$A$60,0)),IF(INDEX('Parametri Modello'!$E$57:$E$60,MATCH($B118,'Parametri Modello'!$A$57:$A$60,0))=0,0,($O118/INDEX('Parametri Modello'!$E$57:$E$60,MATCH($B118,'Parametri Modello'!$A$57:$A$60,0)))*(INDEX('Parametri Modello'!$D$57:$D$60,MATCH($B118,'Parametri Modello'!$A$57:$A$60,0))*(INDEX('Parametri Modello'!$B$50:$B$53,MATCH($B118,'Parametri Modello'!$A$50:$A$53,0))*'Parametri Modello'!$B$44))),IF(INDEX('Parametri Modello'!$F$57:$F$60,MATCH($B118,'Parametri Modello'!$A$57:$A$60,0))=0,0,($O118/INDEX('Parametri Modello'!$F$57:$F$60,MATCH($B118,'Parametri Modello'!$A$57:$A$60,0)))*((1-INDEX('Parametri Modello'!$D$57:$D$60,MATCH($B118,'Parametri Modello'!$A$57:$A$60,0)))*(INDEX('Parametri Modello'!$B$50:$B$53,MATCH($B118,'Parametri Modello'!$A$50:$A$53,0))*'Parametri Modello'!$B$44))))*(1+IF(IF($B118="D",'Info Lega'!$B$25,IF($B118="C",'Info Lega'!$B$26,"No"))="Si",'Parametri Modello'!$B$5,0))*(1+MAX(-0.25,MIN(0.25,IF(OR($T118="",$I118="",$I118=0,INDEX('Parametri Modello'!$B$19:$B$22,MATCH($B118,'Parametri Modello'!$A$19:$A$22,0))="",INDEX('Parametri Modello'!$B$19:$B$22,MATCH($B118,'Parametri Modello'!$A$19:$A$22,0))=0),0,(($T118-INDEX('Parametri Modello'!$B$19:$B$22,MATCH($B118,'Parametri Modello'!$A$19:$A$22,0)))/INDEX('Parametri Modello'!$B$19:$B$22,MATCH($B118,'Parametri Modello'!$A$19:$A$22,0)))*'Parametri Modello'!$B$9))))*(1+IF('Parametri Modello'!$B$27="Si",MAX(-'Parametri Modello'!$B$28,MIN('Parametri Modello'!$B$28*1.5,IF(OR(INDEX('Parametri Modello'!$F$32:$F$35,MATCH($B118,'Parametri Modello'!$A$32:$A$35,0))="",INDEX('Parametri Modello'!$F$32:$F$35,MATCH($B118,'Parametri Modello'!$A$32:$A$35,0))=0),0,(1/INDEX('Parametri Modello'!$F$32:$F$35,MATCH($B118,'Parametri Modello'!$A$32:$A$35,0))-1)*'Parametri Modello'!$B$28))),0)))*(1+INDEX('Parametri Modello'!$B$12:$B$15,MATCH($B118,'Parametri Modello'!$A$12:$A$15,0))),0),"")</f>
        <v>20</v>
      </c>
      <c r="I118" s="26" t="str">
        <f aca="false">IFERROR(INDEX('Input Statistiche 2025_26'!$F$3:$F$665,MATCH($A118,'Input Statistiche 2025_26'!$A$3:$A$665,0)),"")</f>
        <v/>
      </c>
      <c r="J118" s="26" t="str">
        <f aca="false">IFERROR(IF($I118="","",MAX(0,38-$I118)),"")</f>
        <v/>
      </c>
      <c r="K118" s="26" t="str">
        <f aca="false">IFERROR(INDEX('Input Statistiche 2025_26'!$I$3:$I$665,MATCH($A118,'Input Statistiche 2025_26'!$A$3:$A$665,0)),"")</f>
        <v/>
      </c>
      <c r="L118" s="26" t="str">
        <f aca="false">IFERROR(INDEX('Input Statistiche 2025_26'!$O$3:$O$665,MATCH($A118,'Input Statistiche 2025_26'!$A$3:$A$665,0)),"")</f>
        <v/>
      </c>
      <c r="M118" s="28"/>
      <c r="N118" s="27" t="n">
        <f aca="false">IFERROR(INDEX('Input Giocatori 2026_27'!$E$3:$E$493,MATCH($A118,'Input Giocatori 2026_27'!$A$3:$A$493,0)),"")</f>
        <v>8</v>
      </c>
      <c r="O118" s="27" t="n">
        <f aca="false">IFERROR(INDEX('Input Giocatori 2026_27'!$G$3:$G$493,MATCH($A118,'Input Giocatori 2026_27'!$A$3:$A$493,0)),"")</f>
        <v>27</v>
      </c>
      <c r="P118" s="26" t="str">
        <f aca="false">IFERROR(IF($O118="","",IF((1-(COUNTIFS($B$2:$B$492,$B118,$O$2:$O$492,"&gt;"&amp;$O118)+1-1)/COUNTIF($B$2:$B$492,$B118))&gt;=0.85,"Top",IF((1-(COUNTIFS($B$2:$B$492,$B118,$O$2:$O$492,"&gt;"&amp;$O118)+1-1)/COUNTIF($B$2:$B$492,$B118))&gt;=0.6,"Buono",IF((1-(COUNTIFS($B$2:$B$492,$B118,$O$2:$O$492,"&gt;"&amp;$O118)+1-1)/COUNTIF($B$2:$B$492,$B118))&gt;=0.3,"Nella Media","Scommessa/Riserva")))),"")</f>
        <v>Top</v>
      </c>
      <c r="Q118" s="29" t="n">
        <f aca="false">IF($D118="",COUNTIF($D$2:$D118,""),"")</f>
        <v>117</v>
      </c>
      <c r="R118" s="29" t="str">
        <f aca="false">IF($D118='Info Lega'!$B$28,COUNTIFS($D$2:$D118,'Info Lega'!$B$28),"")</f>
        <v/>
      </c>
      <c r="S118" s="30" t="str">
        <f aca="false">IFERROR(INDEX('Input Statistiche 2025_26'!$G$3:$G$665,MATCH($A118,'Input Statistiche 2025_26'!$A$3:$A$665,0)),"")</f>
        <v/>
      </c>
      <c r="T118" s="30" t="str">
        <f aca="false">IFERROR(INDEX('Input Statistiche 2025_26'!$H$3:$H$665,MATCH($A118,'Input Statistiche 2025_26'!$A$3:$A$665,0)),"")</f>
        <v/>
      </c>
      <c r="U118" s="26" t="str">
        <f aca="false">IF(OR('La Mia Rosa'!$O$12="",$D118&lt;&gt;""),"",IF($F118&lt;='La Mia Rosa'!$O$12*'Parametri Modello'!$B$24,"OK",IF($F118&lt;='La Mia Rosa'!$O$12*'Parametri Modello'!$B$25,"Attenzione","Rischio Alto")))</f>
        <v>OK</v>
      </c>
      <c r="V118" s="26" t="n">
        <f aca="false">IFERROR(COUNTIFS($B$2:$B$492,$B118,$O$2:$O$492,"&gt;"&amp;$O118)+1,"")</f>
        <v>21</v>
      </c>
      <c r="W118" s="21" t="n">
        <f aca="false">'Info Lega'!$B$4-SUMIFS($M$2:$M$492,$D$2:$D$492,'Info Lega'!$B$28)</f>
        <v>1000</v>
      </c>
      <c r="X118" s="21" t="n">
        <f aca="false">('Info Lega'!$B$5-COUNTIFS($D$2:$D$492,'Info Lega'!$B$28,$B$2:$B$492,"P"))+('Info Lega'!$B$6-COUNTIFS($D$2:$D$492,'Info Lega'!$B$28,$B$2:$B$492,"D"))+('Info Lega'!$B$7-COUNTIFS($D$2:$D$492,'Info Lega'!$B$28,$B$2:$B$492,"C"))+('Info Lega'!$B$8-COUNTIFS($D$2:$D$492,'Info Lega'!$B$28,$B$2:$B$492,"A"))</f>
        <v>25</v>
      </c>
      <c r="Y118" s="21" t="n">
        <f aca="false">X118*'Parametri Modello'!$B$30</f>
        <v>25</v>
      </c>
      <c r="Z118" s="21" t="n">
        <f aca="false">MAX(0,W118-Y118)</f>
        <v>975</v>
      </c>
      <c r="AA118" s="21" t="n">
        <f aca="false">MIN(F118,Z118)</f>
        <v>18</v>
      </c>
      <c r="AB118" s="21"/>
      <c r="AC118" s="21" t="str">
        <f aca="false">IF(AB118="","",IF(AB118&gt;AA118,"PASS",IF(AB118&lt;=AA118*0.85,"BID","ATTENZIONE")))</f>
        <v/>
      </c>
      <c r="AD118" s="31" t="str">
        <f aca="false">IF(I118="","",ROUND(100*(1-EXP(-I118/30)),0))</f>
        <v/>
      </c>
      <c r="AE118" s="7" t="str">
        <f aca="false">IFERROR(INDEX('Stato Asta'!$G$9:$G$12,MATCH($B118,'Stato Asta'!$A$9:$A$12,0)),"")</f>
        <v>🟡 Attesa rischiosa</v>
      </c>
    </row>
    <row r="119" customFormat="false" ht="14.25" hidden="false" customHeight="true" outlineLevel="0" collapsed="false">
      <c r="A119" s="21" t="n">
        <v>5877</v>
      </c>
      <c r="B119" s="21" t="s">
        <v>44</v>
      </c>
      <c r="C119" s="21" t="s">
        <v>231</v>
      </c>
      <c r="E119" s="26" t="str">
        <f aca="false">IF(COUNTIF('Info Strategia'!$D$2:$D$51,$C119)&gt;0,"SI","NO")</f>
        <v>NO</v>
      </c>
      <c r="F119" s="27" t="n">
        <f aca="false">IFERROR(ROUND(($G119+($H119-$G119)*'Info Strategia'!$B$6)*(1+IF($E119="SI",'Parametri Modello'!$B$7*'Info Strategia'!$B$6,0)),0),"")</f>
        <v>18</v>
      </c>
      <c r="G119" s="27" t="n">
        <f aca="false">IFERROR(ROUND(MAX(1,(IF($V119&lt;=INDEX('Parametri Modello'!$C$57:$C$60,MATCH($B119,'Parametri Modello'!$A$57:$A$60,0)),IF(INDEX('Parametri Modello'!$E$57:$E$60,MATCH($B119,'Parametri Modello'!$A$57:$A$60,0))=0,0,($O119/INDEX('Parametri Modello'!$E$57:$E$60,MATCH($B119,'Parametri Modello'!$A$57:$A$60,0)))*(INDEX('Parametri Modello'!$D$57:$D$60,MATCH($B119,'Parametri Modello'!$A$57:$A$60,0))*(INDEX('Parametri Modello'!$B$50:$B$53,MATCH($B119,'Parametri Modello'!$A$50:$A$53,0))*'Parametri Modello'!$B$44))),IF(INDEX('Parametri Modello'!$F$57:$F$60,MATCH($B119,'Parametri Modello'!$A$57:$A$60,0))=0,0,($O119/INDEX('Parametri Modello'!$F$57:$F$60,MATCH($B119,'Parametri Modello'!$A$57:$A$60,0)))*((1-INDEX('Parametri Modello'!$D$57:$D$60,MATCH($B119,'Parametri Modello'!$A$57:$A$60,0)))*(INDEX('Parametri Modello'!$B$50:$B$53,MATCH($B119,'Parametri Modello'!$A$50:$A$53,0))*'Parametri Modello'!$B$44))))*(1+IF(IF($B119="D",'Info Lega'!$B$25,IF($B119="C",'Info Lega'!$B$26,"No"))="Si",'Parametri Modello'!$B$5,0))*(1+MAX(-0.25,MIN(0.25,IF(OR($T119="",$I119="",$I119=0,INDEX('Parametri Modello'!$B$19:$B$22,MATCH($B119,'Parametri Modello'!$A$19:$A$22,0))="",INDEX('Parametri Modello'!$B$19:$B$22,MATCH($B119,'Parametri Modello'!$A$19:$A$22,0))=0),0,(($T119-INDEX('Parametri Modello'!$B$19:$B$22,MATCH($B119,'Parametri Modello'!$A$19:$A$22,0)))/INDEX('Parametri Modello'!$B$19:$B$22,MATCH($B119,'Parametri Modello'!$A$19:$A$22,0)))*'Parametri Modello'!$B$9))))*(1+IF('Parametri Modello'!$B$27="Si",MAX(-'Parametri Modello'!$B$28,MIN('Parametri Modello'!$B$28*1.5,IF(OR(INDEX('Parametri Modello'!$F$32:$F$35,MATCH($B119,'Parametri Modello'!$A$32:$A$35,0))="",INDEX('Parametri Modello'!$F$32:$F$35,MATCH($B119,'Parametri Modello'!$A$32:$A$35,0))=0),0,(1/INDEX('Parametri Modello'!$F$32:$F$35,MATCH($B119,'Parametri Modello'!$A$32:$A$35,0))-1)*'Parametri Modello'!$B$28))),0)))*(1-INDEX('Parametri Modello'!$B$12:$B$15,MATCH($B119,'Parametri Modello'!$A$12:$A$15,0)))),0),"")</f>
        <v>14</v>
      </c>
      <c r="H119" s="27" t="n">
        <f aca="false">IFERROR(ROUND((IF($V119&lt;=INDEX('Parametri Modello'!$C$57:$C$60,MATCH($B119,'Parametri Modello'!$A$57:$A$60,0)),IF(INDEX('Parametri Modello'!$E$57:$E$60,MATCH($B119,'Parametri Modello'!$A$57:$A$60,0))=0,0,($O119/INDEX('Parametri Modello'!$E$57:$E$60,MATCH($B119,'Parametri Modello'!$A$57:$A$60,0)))*(INDEX('Parametri Modello'!$D$57:$D$60,MATCH($B119,'Parametri Modello'!$A$57:$A$60,0))*(INDEX('Parametri Modello'!$B$50:$B$53,MATCH($B119,'Parametri Modello'!$A$50:$A$53,0))*'Parametri Modello'!$B$44))),IF(INDEX('Parametri Modello'!$F$57:$F$60,MATCH($B119,'Parametri Modello'!$A$57:$A$60,0))=0,0,($O119/INDEX('Parametri Modello'!$F$57:$F$60,MATCH($B119,'Parametri Modello'!$A$57:$A$60,0)))*((1-INDEX('Parametri Modello'!$D$57:$D$60,MATCH($B119,'Parametri Modello'!$A$57:$A$60,0)))*(INDEX('Parametri Modello'!$B$50:$B$53,MATCH($B119,'Parametri Modello'!$A$50:$A$53,0))*'Parametri Modello'!$B$44))))*(1+IF(IF($B119="D",'Info Lega'!$B$25,IF($B119="C",'Info Lega'!$B$26,"No"))="Si",'Parametri Modello'!$B$5,0))*(1+MAX(-0.25,MIN(0.25,IF(OR($T119="",$I119="",$I119=0,INDEX('Parametri Modello'!$B$19:$B$22,MATCH($B119,'Parametri Modello'!$A$19:$A$22,0))="",INDEX('Parametri Modello'!$B$19:$B$22,MATCH($B119,'Parametri Modello'!$A$19:$A$22,0))=0),0,(($T119-INDEX('Parametri Modello'!$B$19:$B$22,MATCH($B119,'Parametri Modello'!$A$19:$A$22,0)))/INDEX('Parametri Modello'!$B$19:$B$22,MATCH($B119,'Parametri Modello'!$A$19:$A$22,0)))*'Parametri Modello'!$B$9))))*(1+IF('Parametri Modello'!$B$27="Si",MAX(-'Parametri Modello'!$B$28,MIN('Parametri Modello'!$B$28*1.5,IF(OR(INDEX('Parametri Modello'!$F$32:$F$35,MATCH($B119,'Parametri Modello'!$A$32:$A$35,0))="",INDEX('Parametri Modello'!$F$32:$F$35,MATCH($B119,'Parametri Modello'!$A$32:$A$35,0))=0),0,(1/INDEX('Parametri Modello'!$F$32:$F$35,MATCH($B119,'Parametri Modello'!$A$32:$A$35,0))-1)*'Parametri Modello'!$B$28))),0)))*(1+INDEX('Parametri Modello'!$B$12:$B$15,MATCH($B119,'Parametri Modello'!$A$12:$A$15,0))),0),"")</f>
        <v>20</v>
      </c>
      <c r="I119" s="26" t="n">
        <f aca="false">IFERROR(INDEX('Input Statistiche 2025_26'!$F$3:$F$665,MATCH($A119,'Input Statistiche 2025_26'!$A$3:$A$665,0)),"")</f>
        <v>28</v>
      </c>
      <c r="J119" s="26" t="n">
        <f aca="false">IFERROR(IF($I119="","",MAX(0,38-$I119)),"")</f>
        <v>10</v>
      </c>
      <c r="K119" s="26" t="n">
        <f aca="false">IFERROR(INDEX('Input Statistiche 2025_26'!$I$3:$I$665,MATCH($A119,'Input Statistiche 2025_26'!$A$3:$A$665,0)),"")</f>
        <v>1</v>
      </c>
      <c r="L119" s="26" t="n">
        <f aca="false">IFERROR(INDEX('Input Statistiche 2025_26'!$O$3:$O$665,MATCH($A119,'Input Statistiche 2025_26'!$A$3:$A$665,0)),"")</f>
        <v>1</v>
      </c>
      <c r="M119" s="28"/>
      <c r="N119" s="27" t="n">
        <f aca="false">IFERROR(INDEX('Input Giocatori 2026_27'!$E$3:$E$493,MATCH($A119,'Input Giocatori 2026_27'!$A$3:$A$493,0)),"")</f>
        <v>7</v>
      </c>
      <c r="O119" s="27" t="n">
        <f aca="false">IFERROR(INDEX('Input Giocatori 2026_27'!$G$3:$G$493,MATCH($A119,'Input Giocatori 2026_27'!$A$3:$A$493,0)),"")</f>
        <v>27</v>
      </c>
      <c r="P119" s="26" t="str">
        <f aca="false">IFERROR(IF($O119="","",IF((1-(COUNTIFS($B$2:$B$492,$B119,$O$2:$O$492,"&gt;"&amp;$O119)+1-1)/COUNTIF($B$2:$B$492,$B119))&gt;=0.85,"Top",IF((1-(COUNTIFS($B$2:$B$492,$B119,$O$2:$O$492,"&gt;"&amp;$O119)+1-1)/COUNTIF($B$2:$B$492,$B119))&gt;=0.6,"Buono",IF((1-(COUNTIFS($B$2:$B$492,$B119,$O$2:$O$492,"&gt;"&amp;$O119)+1-1)/COUNTIF($B$2:$B$492,$B119))&gt;=0.3,"Nella Media","Scommessa/Riserva")))),"")</f>
        <v>Top</v>
      </c>
      <c r="Q119" s="29" t="n">
        <f aca="false">IF($D119="",COUNTIF($D$2:$D119,""),"")</f>
        <v>118</v>
      </c>
      <c r="R119" s="29" t="str">
        <f aca="false">IF($D119='Info Lega'!$B$28,COUNTIFS($D$2:$D119,'Info Lega'!$B$28),"")</f>
        <v/>
      </c>
      <c r="S119" s="30" t="n">
        <f aca="false">IFERROR(INDEX('Input Statistiche 2025_26'!$G$3:$G$665,MATCH($A119,'Input Statistiche 2025_26'!$A$3:$A$665,0)),"")</f>
        <v>6.12</v>
      </c>
      <c r="T119" s="30" t="n">
        <f aca="false">IFERROR(INDEX('Input Statistiche 2025_26'!$H$3:$H$665,MATCH($A119,'Input Statistiche 2025_26'!$A$3:$A$665,0)),"")</f>
        <v>6.16</v>
      </c>
      <c r="U119" s="26" t="str">
        <f aca="false">IF(OR('La Mia Rosa'!$O$12="",$D119&lt;&gt;""),"",IF($F119&lt;='La Mia Rosa'!$O$12*'Parametri Modello'!$B$24,"OK",IF($F119&lt;='La Mia Rosa'!$O$12*'Parametri Modello'!$B$25,"Attenzione","Rischio Alto")))</f>
        <v>OK</v>
      </c>
      <c r="V119" s="26" t="n">
        <f aca="false">IFERROR(COUNTIFS($B$2:$B$492,$B119,$O$2:$O$492,"&gt;"&amp;$O119)+1,"")</f>
        <v>21</v>
      </c>
      <c r="W119" s="21" t="n">
        <f aca="false">'Info Lega'!$B$4-SUMIFS($M$2:$M$492,$D$2:$D$492,'Info Lega'!$B$28)</f>
        <v>1000</v>
      </c>
      <c r="X119" s="21" t="n">
        <f aca="false">('Info Lega'!$B$5-COUNTIFS($D$2:$D$492,'Info Lega'!$B$28,$B$2:$B$492,"P"))+('Info Lega'!$B$6-COUNTIFS($D$2:$D$492,'Info Lega'!$B$28,$B$2:$B$492,"D"))+('Info Lega'!$B$7-COUNTIFS($D$2:$D$492,'Info Lega'!$B$28,$B$2:$B$492,"C"))+('Info Lega'!$B$8-COUNTIFS($D$2:$D$492,'Info Lega'!$B$28,$B$2:$B$492,"A"))</f>
        <v>25</v>
      </c>
      <c r="Y119" s="21" t="n">
        <f aca="false">X119*'Parametri Modello'!$B$30</f>
        <v>25</v>
      </c>
      <c r="Z119" s="21" t="n">
        <f aca="false">MAX(0,W119-Y119)</f>
        <v>975</v>
      </c>
      <c r="AA119" s="21" t="n">
        <f aca="false">MIN(F119,Z119)</f>
        <v>18</v>
      </c>
      <c r="AB119" s="21"/>
      <c r="AC119" s="21" t="str">
        <f aca="false">IF(AB119="","",IF(AB119&gt;AA119,"PASS",IF(AB119&lt;=AA119*0.85,"BID","ATTENZIONE")))</f>
        <v/>
      </c>
      <c r="AD119" s="31" t="n">
        <f aca="false">IF(I119="","",ROUND(100*(1-EXP(-I119/30)),0))</f>
        <v>61</v>
      </c>
      <c r="AE119" s="7" t="str">
        <f aca="false">IFERROR(INDEX('Stato Asta'!$G$9:$G$12,MATCH($B119,'Stato Asta'!$A$9:$A$12,0)),"")</f>
        <v>🟡 Attesa rischiosa</v>
      </c>
    </row>
    <row r="120" customFormat="false" ht="14.25" hidden="false" customHeight="true" outlineLevel="0" collapsed="false">
      <c r="A120" s="21" t="n">
        <v>6218</v>
      </c>
      <c r="B120" s="21" t="s">
        <v>45</v>
      </c>
      <c r="C120" s="21" t="s">
        <v>427</v>
      </c>
      <c r="E120" s="26" t="str">
        <f aca="false">IF(COUNTIF('Info Strategia'!$D$2:$D$51,$C120)&gt;0,"SI","NO")</f>
        <v>NO</v>
      </c>
      <c r="F120" s="27" t="n">
        <f aca="false">IFERROR(ROUND(($G120+($H120-$G120)*'Info Strategia'!$B$6)*(1+IF($E120="SI",'Parametri Modello'!$B$7*'Info Strategia'!$B$6,0)),0),"")</f>
        <v>3</v>
      </c>
      <c r="G120" s="27" t="n">
        <f aca="false">IFERROR(ROUND(MAX(1,(IF($V120&lt;=INDEX('Parametri Modello'!$C$57:$C$60,MATCH($B120,'Parametri Modello'!$A$57:$A$60,0)),IF(INDEX('Parametri Modello'!$E$57:$E$60,MATCH($B120,'Parametri Modello'!$A$57:$A$60,0))=0,0,($O120/INDEX('Parametri Modello'!$E$57:$E$60,MATCH($B120,'Parametri Modello'!$A$57:$A$60,0)))*(INDEX('Parametri Modello'!$D$57:$D$60,MATCH($B120,'Parametri Modello'!$A$57:$A$60,0))*(INDEX('Parametri Modello'!$B$50:$B$53,MATCH($B120,'Parametri Modello'!$A$50:$A$53,0))*'Parametri Modello'!$B$44))),IF(INDEX('Parametri Modello'!$F$57:$F$60,MATCH($B120,'Parametri Modello'!$A$57:$A$60,0))=0,0,($O120/INDEX('Parametri Modello'!$F$57:$F$60,MATCH($B120,'Parametri Modello'!$A$57:$A$60,0)))*((1-INDEX('Parametri Modello'!$D$57:$D$60,MATCH($B120,'Parametri Modello'!$A$57:$A$60,0)))*(INDEX('Parametri Modello'!$B$50:$B$53,MATCH($B120,'Parametri Modello'!$A$50:$A$53,0))*'Parametri Modello'!$B$44))))*(1+IF(IF($B120="D",'Info Lega'!$B$25,IF($B120="C",'Info Lega'!$B$26,"No"))="Si",'Parametri Modello'!$B$5,0))*(1+MAX(-0.25,MIN(0.25,IF(OR($T120="",$I120="",$I120=0,INDEX('Parametri Modello'!$B$19:$B$22,MATCH($B120,'Parametri Modello'!$A$19:$A$22,0))="",INDEX('Parametri Modello'!$B$19:$B$22,MATCH($B120,'Parametri Modello'!$A$19:$A$22,0))=0),0,(($T120-INDEX('Parametri Modello'!$B$19:$B$22,MATCH($B120,'Parametri Modello'!$A$19:$A$22,0)))/INDEX('Parametri Modello'!$B$19:$B$22,MATCH($B120,'Parametri Modello'!$A$19:$A$22,0)))*'Parametri Modello'!$B$9))))*(1+IF('Parametri Modello'!$B$27="Si",MAX(-'Parametri Modello'!$B$28,MIN('Parametri Modello'!$B$28*1.5,IF(OR(INDEX('Parametri Modello'!$F$32:$F$35,MATCH($B120,'Parametri Modello'!$A$32:$A$35,0))="",INDEX('Parametri Modello'!$F$32:$F$35,MATCH($B120,'Parametri Modello'!$A$32:$A$35,0))=0),0,(1/INDEX('Parametri Modello'!$F$32:$F$35,MATCH($B120,'Parametri Modello'!$A$32:$A$35,0))-1)*'Parametri Modello'!$B$28))),0)))*(1-INDEX('Parametri Modello'!$B$12:$B$15,MATCH($B120,'Parametri Modello'!$A$12:$A$15,0)))),0),"")</f>
        <v>2</v>
      </c>
      <c r="H120" s="27" t="n">
        <f aca="false">IFERROR(ROUND((IF($V120&lt;=INDEX('Parametri Modello'!$C$57:$C$60,MATCH($B120,'Parametri Modello'!$A$57:$A$60,0)),IF(INDEX('Parametri Modello'!$E$57:$E$60,MATCH($B120,'Parametri Modello'!$A$57:$A$60,0))=0,0,($O120/INDEX('Parametri Modello'!$E$57:$E$60,MATCH($B120,'Parametri Modello'!$A$57:$A$60,0)))*(INDEX('Parametri Modello'!$D$57:$D$60,MATCH($B120,'Parametri Modello'!$A$57:$A$60,0))*(INDEX('Parametri Modello'!$B$50:$B$53,MATCH($B120,'Parametri Modello'!$A$50:$A$53,0))*'Parametri Modello'!$B$44))),IF(INDEX('Parametri Modello'!$F$57:$F$60,MATCH($B120,'Parametri Modello'!$A$57:$A$60,0))=0,0,($O120/INDEX('Parametri Modello'!$F$57:$F$60,MATCH($B120,'Parametri Modello'!$A$57:$A$60,0)))*((1-INDEX('Parametri Modello'!$D$57:$D$60,MATCH($B120,'Parametri Modello'!$A$57:$A$60,0)))*(INDEX('Parametri Modello'!$B$50:$B$53,MATCH($B120,'Parametri Modello'!$A$50:$A$53,0))*'Parametri Modello'!$B$44))))*(1+IF(IF($B120="D",'Info Lega'!$B$25,IF($B120="C",'Info Lega'!$B$26,"No"))="Si",'Parametri Modello'!$B$5,0))*(1+MAX(-0.25,MIN(0.25,IF(OR($T120="",$I120="",$I120=0,INDEX('Parametri Modello'!$B$19:$B$22,MATCH($B120,'Parametri Modello'!$A$19:$A$22,0))="",INDEX('Parametri Modello'!$B$19:$B$22,MATCH($B120,'Parametri Modello'!$A$19:$A$22,0))=0),0,(($T120-INDEX('Parametri Modello'!$B$19:$B$22,MATCH($B120,'Parametri Modello'!$A$19:$A$22,0)))/INDEX('Parametri Modello'!$B$19:$B$22,MATCH($B120,'Parametri Modello'!$A$19:$A$22,0)))*'Parametri Modello'!$B$9))))*(1+IF('Parametri Modello'!$B$27="Si",MAX(-'Parametri Modello'!$B$28,MIN('Parametri Modello'!$B$28*1.5,IF(OR(INDEX('Parametri Modello'!$F$32:$F$35,MATCH($B120,'Parametri Modello'!$A$32:$A$35,0))="",INDEX('Parametri Modello'!$F$32:$F$35,MATCH($B120,'Parametri Modello'!$A$32:$A$35,0))=0),0,(1/INDEX('Parametri Modello'!$F$32:$F$35,MATCH($B120,'Parametri Modello'!$A$32:$A$35,0))-1)*'Parametri Modello'!$B$28))),0)))*(1+INDEX('Parametri Modello'!$B$12:$B$15,MATCH($B120,'Parametri Modello'!$A$12:$A$15,0))),0),"")</f>
        <v>4</v>
      </c>
      <c r="I120" s="26" t="n">
        <f aca="false">IFERROR(INDEX('Input Statistiche 2025_26'!$F$3:$F$665,MATCH($A120,'Input Statistiche 2025_26'!$A$3:$A$665,0)),"")</f>
        <v>18</v>
      </c>
      <c r="J120" s="26" t="n">
        <f aca="false">IFERROR(IF($I120="","",MAX(0,38-$I120)),"")</f>
        <v>20</v>
      </c>
      <c r="K120" s="26" t="n">
        <f aca="false">IFERROR(INDEX('Input Statistiche 2025_26'!$I$3:$I$665,MATCH($A120,'Input Statistiche 2025_26'!$A$3:$A$665,0)),"")</f>
        <v>1</v>
      </c>
      <c r="L120" s="26" t="n">
        <f aca="false">IFERROR(INDEX('Input Statistiche 2025_26'!$O$3:$O$665,MATCH($A120,'Input Statistiche 2025_26'!$A$3:$A$665,0)),"")</f>
        <v>0</v>
      </c>
      <c r="M120" s="28"/>
      <c r="N120" s="27" t="n">
        <f aca="false">IFERROR(INDEX('Input Giocatori 2026_27'!$E$3:$E$493,MATCH($A120,'Input Giocatori 2026_27'!$A$3:$A$493,0)),"")</f>
        <v>7</v>
      </c>
      <c r="O120" s="27" t="n">
        <f aca="false">IFERROR(INDEX('Input Giocatori 2026_27'!$G$3:$G$493,MATCH($A120,'Input Giocatori 2026_27'!$A$3:$A$493,0)),"")</f>
        <v>27</v>
      </c>
      <c r="P120" s="26" t="str">
        <f aca="false">IFERROR(IF($O120="","",IF((1-(COUNTIFS($B$2:$B$492,$B120,$O$2:$O$492,"&gt;"&amp;$O120)+1-1)/COUNTIF($B$2:$B$492,$B120))&gt;=0.85,"Top",IF((1-(COUNTIFS($B$2:$B$492,$B120,$O$2:$O$492,"&gt;"&amp;$O120)+1-1)/COUNTIF($B$2:$B$492,$B120))&gt;=0.6,"Buono",IF((1-(COUNTIFS($B$2:$B$492,$B120,$O$2:$O$492,"&gt;"&amp;$O120)+1-1)/COUNTIF($B$2:$B$492,$B120))&gt;=0.3,"Nella Media","Scommessa/Riserva")))),"")</f>
        <v>Buono</v>
      </c>
      <c r="Q120" s="29" t="n">
        <f aca="false">IF($D120="",COUNTIF($D$2:$D120,""),"")</f>
        <v>119</v>
      </c>
      <c r="R120" s="29" t="str">
        <f aca="false">IF($D120='Info Lega'!$B$28,COUNTIFS($D$2:$D120,'Info Lega'!$B$28),"")</f>
        <v/>
      </c>
      <c r="S120" s="30" t="n">
        <f aca="false">IFERROR(INDEX('Input Statistiche 2025_26'!$G$3:$G$665,MATCH($A120,'Input Statistiche 2025_26'!$A$3:$A$665,0)),"")</f>
        <v>5.78</v>
      </c>
      <c r="T120" s="30" t="n">
        <f aca="false">IFERROR(INDEX('Input Statistiche 2025_26'!$H$3:$H$665,MATCH($A120,'Input Statistiche 2025_26'!$A$3:$A$665,0)),"")</f>
        <v>5.92</v>
      </c>
      <c r="U120" s="26" t="str">
        <f aca="false">IF(OR('La Mia Rosa'!$O$12="",$D120&lt;&gt;""),"",IF($F120&lt;='La Mia Rosa'!$O$12*'Parametri Modello'!$B$24,"OK",IF($F120&lt;='La Mia Rosa'!$O$12*'Parametri Modello'!$B$25,"Attenzione","Rischio Alto")))</f>
        <v>OK</v>
      </c>
      <c r="V120" s="26" t="n">
        <f aca="false">IFERROR(COUNTIFS($B$2:$B$492,$B120,$O$2:$O$492,"&gt;"&amp;$O120)+1,"")</f>
        <v>44</v>
      </c>
      <c r="W120" s="21" t="n">
        <f aca="false">'Info Lega'!$B$4-SUMIFS($M$2:$M$492,$D$2:$D$492,'Info Lega'!$B$28)</f>
        <v>1000</v>
      </c>
      <c r="X120" s="21" t="n">
        <f aca="false">('Info Lega'!$B$5-COUNTIFS($D$2:$D$492,'Info Lega'!$B$28,$B$2:$B$492,"P"))+('Info Lega'!$B$6-COUNTIFS($D$2:$D$492,'Info Lega'!$B$28,$B$2:$B$492,"D"))+('Info Lega'!$B$7-COUNTIFS($D$2:$D$492,'Info Lega'!$B$28,$B$2:$B$492,"C"))+('Info Lega'!$B$8-COUNTIFS($D$2:$D$492,'Info Lega'!$B$28,$B$2:$B$492,"A"))</f>
        <v>25</v>
      </c>
      <c r="Y120" s="21" t="n">
        <f aca="false">X120*'Parametri Modello'!$B$30</f>
        <v>25</v>
      </c>
      <c r="Z120" s="21" t="n">
        <f aca="false">MAX(0,W120-Y120)</f>
        <v>975</v>
      </c>
      <c r="AA120" s="21" t="n">
        <f aca="false">MIN(F120,Z120)</f>
        <v>3</v>
      </c>
      <c r="AB120" s="21"/>
      <c r="AC120" s="21" t="str">
        <f aca="false">IF(AB120="","",IF(AB120&gt;AA120,"PASS",IF(AB120&lt;=AA120*0.85,"BID","ATTENZIONE")))</f>
        <v/>
      </c>
      <c r="AD120" s="31" t="n">
        <f aca="false">IF(I120="","",ROUND(100*(1-EXP(-I120/30)),0))</f>
        <v>45</v>
      </c>
      <c r="AE120" s="7" t="str">
        <f aca="false">IFERROR(INDEX('Stato Asta'!$G$9:$G$12,MATCH($B120,'Stato Asta'!$A$9:$A$12,0)),"")</f>
        <v>🟡 Attesa rischiosa</v>
      </c>
    </row>
    <row r="121" customFormat="false" ht="14.25" hidden="false" customHeight="true" outlineLevel="0" collapsed="false">
      <c r="A121" s="21" t="n">
        <v>4807</v>
      </c>
      <c r="B121" s="21" t="s">
        <v>44</v>
      </c>
      <c r="C121" s="21" t="s">
        <v>210</v>
      </c>
      <c r="E121" s="26" t="str">
        <f aca="false">IF(COUNTIF('Info Strategia'!$D$2:$D$51,$C121)&gt;0,"SI","NO")</f>
        <v>NO</v>
      </c>
      <c r="F121" s="27" t="n">
        <f aca="false">IFERROR(ROUND(($G121+($H121-$G121)*'Info Strategia'!$B$6)*(1+IF($E121="SI",'Parametri Modello'!$B$7*'Info Strategia'!$B$6,0)),0),"")</f>
        <v>18</v>
      </c>
      <c r="G121" s="27" t="n">
        <f aca="false">IFERROR(ROUND(MAX(1,(IF($V121&lt;=INDEX('Parametri Modello'!$C$57:$C$60,MATCH($B121,'Parametri Modello'!$A$57:$A$60,0)),IF(INDEX('Parametri Modello'!$E$57:$E$60,MATCH($B121,'Parametri Modello'!$A$57:$A$60,0))=0,0,($O121/INDEX('Parametri Modello'!$E$57:$E$60,MATCH($B121,'Parametri Modello'!$A$57:$A$60,0)))*(INDEX('Parametri Modello'!$D$57:$D$60,MATCH($B121,'Parametri Modello'!$A$57:$A$60,0))*(INDEX('Parametri Modello'!$B$50:$B$53,MATCH($B121,'Parametri Modello'!$A$50:$A$53,0))*'Parametri Modello'!$B$44))),IF(INDEX('Parametri Modello'!$F$57:$F$60,MATCH($B121,'Parametri Modello'!$A$57:$A$60,0))=0,0,($O121/INDEX('Parametri Modello'!$F$57:$F$60,MATCH($B121,'Parametri Modello'!$A$57:$A$60,0)))*((1-INDEX('Parametri Modello'!$D$57:$D$60,MATCH($B121,'Parametri Modello'!$A$57:$A$60,0)))*(INDEX('Parametri Modello'!$B$50:$B$53,MATCH($B121,'Parametri Modello'!$A$50:$A$53,0))*'Parametri Modello'!$B$44))))*(1+IF(IF($B121="D",'Info Lega'!$B$25,IF($B121="C",'Info Lega'!$B$26,"No"))="Si",'Parametri Modello'!$B$5,0))*(1+MAX(-0.25,MIN(0.25,IF(OR($T121="",$I121="",$I121=0,INDEX('Parametri Modello'!$B$19:$B$22,MATCH($B121,'Parametri Modello'!$A$19:$A$22,0))="",INDEX('Parametri Modello'!$B$19:$B$22,MATCH($B121,'Parametri Modello'!$A$19:$A$22,0))=0),0,(($T121-INDEX('Parametri Modello'!$B$19:$B$22,MATCH($B121,'Parametri Modello'!$A$19:$A$22,0)))/INDEX('Parametri Modello'!$B$19:$B$22,MATCH($B121,'Parametri Modello'!$A$19:$A$22,0)))*'Parametri Modello'!$B$9))))*(1+IF('Parametri Modello'!$B$27="Si",MAX(-'Parametri Modello'!$B$28,MIN('Parametri Modello'!$B$28*1.5,IF(OR(INDEX('Parametri Modello'!$F$32:$F$35,MATCH($B121,'Parametri Modello'!$A$32:$A$35,0))="",INDEX('Parametri Modello'!$F$32:$F$35,MATCH($B121,'Parametri Modello'!$A$32:$A$35,0))=0),0,(1/INDEX('Parametri Modello'!$F$32:$F$35,MATCH($B121,'Parametri Modello'!$A$32:$A$35,0))-1)*'Parametri Modello'!$B$28))),0)))*(1-INDEX('Parametri Modello'!$B$12:$B$15,MATCH($B121,'Parametri Modello'!$A$12:$A$15,0)))),0),"")</f>
        <v>13</v>
      </c>
      <c r="H121" s="27" t="n">
        <f aca="false">IFERROR(ROUND((IF($V121&lt;=INDEX('Parametri Modello'!$C$57:$C$60,MATCH($B121,'Parametri Modello'!$A$57:$A$60,0)),IF(INDEX('Parametri Modello'!$E$57:$E$60,MATCH($B121,'Parametri Modello'!$A$57:$A$60,0))=0,0,($O121/INDEX('Parametri Modello'!$E$57:$E$60,MATCH($B121,'Parametri Modello'!$A$57:$A$60,0)))*(INDEX('Parametri Modello'!$D$57:$D$60,MATCH($B121,'Parametri Modello'!$A$57:$A$60,0))*(INDEX('Parametri Modello'!$B$50:$B$53,MATCH($B121,'Parametri Modello'!$A$50:$A$53,0))*'Parametri Modello'!$B$44))),IF(INDEX('Parametri Modello'!$F$57:$F$60,MATCH($B121,'Parametri Modello'!$A$57:$A$60,0))=0,0,($O121/INDEX('Parametri Modello'!$F$57:$F$60,MATCH($B121,'Parametri Modello'!$A$57:$A$60,0)))*((1-INDEX('Parametri Modello'!$D$57:$D$60,MATCH($B121,'Parametri Modello'!$A$57:$A$60,0)))*(INDEX('Parametri Modello'!$B$50:$B$53,MATCH($B121,'Parametri Modello'!$A$50:$A$53,0))*'Parametri Modello'!$B$44))))*(1+IF(IF($B121="D",'Info Lega'!$B$25,IF($B121="C",'Info Lega'!$B$26,"No"))="Si",'Parametri Modello'!$B$5,0))*(1+MAX(-0.25,MIN(0.25,IF(OR($T121="",$I121="",$I121=0,INDEX('Parametri Modello'!$B$19:$B$22,MATCH($B121,'Parametri Modello'!$A$19:$A$22,0))="",INDEX('Parametri Modello'!$B$19:$B$22,MATCH($B121,'Parametri Modello'!$A$19:$A$22,0))=0),0,(($T121-INDEX('Parametri Modello'!$B$19:$B$22,MATCH($B121,'Parametri Modello'!$A$19:$A$22,0)))/INDEX('Parametri Modello'!$B$19:$B$22,MATCH($B121,'Parametri Modello'!$A$19:$A$22,0)))*'Parametri Modello'!$B$9))))*(1+IF('Parametri Modello'!$B$27="Si",MAX(-'Parametri Modello'!$B$28,MIN('Parametri Modello'!$B$28*1.5,IF(OR(INDEX('Parametri Modello'!$F$32:$F$35,MATCH($B121,'Parametri Modello'!$A$32:$A$35,0))="",INDEX('Parametri Modello'!$F$32:$F$35,MATCH($B121,'Parametri Modello'!$A$32:$A$35,0))=0),0,(1/INDEX('Parametri Modello'!$F$32:$F$35,MATCH($B121,'Parametri Modello'!$A$32:$A$35,0))-1)*'Parametri Modello'!$B$28))),0)))*(1+INDEX('Parametri Modello'!$B$12:$B$15,MATCH($B121,'Parametri Modello'!$A$12:$A$15,0))),0),"")</f>
        <v>20</v>
      </c>
      <c r="I121" s="26" t="n">
        <f aca="false">IFERROR(INDEX('Input Statistiche 2025_26'!$F$3:$F$665,MATCH($A121,'Input Statistiche 2025_26'!$A$3:$A$665,0)),"")</f>
        <v>27</v>
      </c>
      <c r="J121" s="26" t="n">
        <f aca="false">IFERROR(IF($I121="","",MAX(0,38-$I121)),"")</f>
        <v>11</v>
      </c>
      <c r="K121" s="26" t="n">
        <f aca="false">IFERROR(INDEX('Input Statistiche 2025_26'!$I$3:$I$665,MATCH($A121,'Input Statistiche 2025_26'!$A$3:$A$665,0)),"")</f>
        <v>3</v>
      </c>
      <c r="L121" s="26" t="n">
        <f aca="false">IFERROR(INDEX('Input Statistiche 2025_26'!$O$3:$O$665,MATCH($A121,'Input Statistiche 2025_26'!$A$3:$A$665,0)),"")</f>
        <v>2</v>
      </c>
      <c r="M121" s="28"/>
      <c r="N121" s="27" t="n">
        <f aca="false">IFERROR(INDEX('Input Giocatori 2026_27'!$E$3:$E$493,MATCH($A121,'Input Giocatori 2026_27'!$A$3:$A$493,0)),"")</f>
        <v>10</v>
      </c>
      <c r="O121" s="27" t="n">
        <f aca="false">IFERROR(INDEX('Input Giocatori 2026_27'!$G$3:$G$493,MATCH($A121,'Input Giocatori 2026_27'!$A$3:$A$493,0)),"")</f>
        <v>26</v>
      </c>
      <c r="P121" s="26" t="str">
        <f aca="false">IFERROR(IF($O121="","",IF((1-(COUNTIFS($B$2:$B$492,$B121,$O$2:$O$492,"&gt;"&amp;$O121)+1-1)/COUNTIF($B$2:$B$492,$B121))&gt;=0.85,"Top",IF((1-(COUNTIFS($B$2:$B$492,$B121,$O$2:$O$492,"&gt;"&amp;$O121)+1-1)/COUNTIF($B$2:$B$492,$B121))&gt;=0.6,"Buono",IF((1-(COUNTIFS($B$2:$B$492,$B121,$O$2:$O$492,"&gt;"&amp;$O121)+1-1)/COUNTIF($B$2:$B$492,$B121))&gt;=0.3,"Nella Media","Scommessa/Riserva")))),"")</f>
        <v>Top</v>
      </c>
      <c r="Q121" s="29" t="n">
        <f aca="false">IF($D121="",COUNTIF($D$2:$D121,""),"")</f>
        <v>120</v>
      </c>
      <c r="R121" s="29" t="str">
        <f aca="false">IF($D121='Info Lega'!$B$28,COUNTIFS($D$2:$D121,'Info Lega'!$B$28),"")</f>
        <v/>
      </c>
      <c r="S121" s="30" t="n">
        <f aca="false">IFERROR(INDEX('Input Statistiche 2025_26'!$G$3:$G$665,MATCH($A121,'Input Statistiche 2025_26'!$A$3:$A$665,0)),"")</f>
        <v>6.17</v>
      </c>
      <c r="T121" s="30" t="n">
        <f aca="false">IFERROR(INDEX('Input Statistiche 2025_26'!$H$3:$H$665,MATCH($A121,'Input Statistiche 2025_26'!$A$3:$A$665,0)),"")</f>
        <v>6.41</v>
      </c>
      <c r="U121" s="26" t="str">
        <f aca="false">IF(OR('La Mia Rosa'!$O$12="",$D121&lt;&gt;""),"",IF($F121&lt;='La Mia Rosa'!$O$12*'Parametri Modello'!$B$24,"OK",IF($F121&lt;='La Mia Rosa'!$O$12*'Parametri Modello'!$B$25,"Attenzione","Rischio Alto")))</f>
        <v>OK</v>
      </c>
      <c r="V121" s="26" t="n">
        <f aca="false">IFERROR(COUNTIFS($B$2:$B$492,$B121,$O$2:$O$492,"&gt;"&amp;$O121)+1,"")</f>
        <v>24</v>
      </c>
      <c r="W121" s="21" t="n">
        <f aca="false">'Info Lega'!$B$4-SUMIFS($M$2:$M$492,$D$2:$D$492,'Info Lega'!$B$28)</f>
        <v>1000</v>
      </c>
      <c r="X121" s="21" t="n">
        <f aca="false">('Info Lega'!$B$5-COUNTIFS($D$2:$D$492,'Info Lega'!$B$28,$B$2:$B$492,"P"))+('Info Lega'!$B$6-COUNTIFS($D$2:$D$492,'Info Lega'!$B$28,$B$2:$B$492,"D"))+('Info Lega'!$B$7-COUNTIFS($D$2:$D$492,'Info Lega'!$B$28,$B$2:$B$492,"C"))+('Info Lega'!$B$8-COUNTIFS($D$2:$D$492,'Info Lega'!$B$28,$B$2:$B$492,"A"))</f>
        <v>25</v>
      </c>
      <c r="Y121" s="21" t="n">
        <f aca="false">X121*'Parametri Modello'!$B$30</f>
        <v>25</v>
      </c>
      <c r="Z121" s="21" t="n">
        <f aca="false">MAX(0,W121-Y121)</f>
        <v>975</v>
      </c>
      <c r="AA121" s="21" t="n">
        <f aca="false">MIN(F121,Z121)</f>
        <v>18</v>
      </c>
      <c r="AB121" s="21"/>
      <c r="AC121" s="21" t="str">
        <f aca="false">IF(AB121="","",IF(AB121&gt;AA121,"PASS",IF(AB121&lt;=AA121*0.85,"BID","ATTENZIONE")))</f>
        <v/>
      </c>
      <c r="AD121" s="31" t="n">
        <f aca="false">IF(I121="","",ROUND(100*(1-EXP(-I121/30)),0))</f>
        <v>59</v>
      </c>
      <c r="AE121" s="7" t="str">
        <f aca="false">IFERROR(INDEX('Stato Asta'!$G$9:$G$12,MATCH($B121,'Stato Asta'!$A$9:$A$12,0)),"")</f>
        <v>🟡 Attesa rischiosa</v>
      </c>
    </row>
    <row r="122" customFormat="false" ht="14.25" hidden="false" customHeight="true" outlineLevel="0" collapsed="false">
      <c r="A122" s="21" t="n">
        <v>7070</v>
      </c>
      <c r="B122" s="21" t="s">
        <v>45</v>
      </c>
      <c r="C122" s="21" t="s">
        <v>412</v>
      </c>
      <c r="E122" s="26" t="str">
        <f aca="false">IF(COUNTIF('Info Strategia'!$D$2:$D$51,$C122)&gt;0,"SI","NO")</f>
        <v>NO</v>
      </c>
      <c r="F122" s="27" t="n">
        <f aca="false">IFERROR(ROUND(($G122+($H122-$G122)*'Info Strategia'!$B$6)*(1+IF($E122="SI",'Parametri Modello'!$B$7*'Info Strategia'!$B$6,0)),0),"")</f>
        <v>3</v>
      </c>
      <c r="G122" s="27" t="n">
        <f aca="false">IFERROR(ROUND(MAX(1,(IF($V122&lt;=INDEX('Parametri Modello'!$C$57:$C$60,MATCH($B122,'Parametri Modello'!$A$57:$A$60,0)),IF(INDEX('Parametri Modello'!$E$57:$E$60,MATCH($B122,'Parametri Modello'!$A$57:$A$60,0))=0,0,($O122/INDEX('Parametri Modello'!$E$57:$E$60,MATCH($B122,'Parametri Modello'!$A$57:$A$60,0)))*(INDEX('Parametri Modello'!$D$57:$D$60,MATCH($B122,'Parametri Modello'!$A$57:$A$60,0))*(INDEX('Parametri Modello'!$B$50:$B$53,MATCH($B122,'Parametri Modello'!$A$50:$A$53,0))*'Parametri Modello'!$B$44))),IF(INDEX('Parametri Modello'!$F$57:$F$60,MATCH($B122,'Parametri Modello'!$A$57:$A$60,0))=0,0,($O122/INDEX('Parametri Modello'!$F$57:$F$60,MATCH($B122,'Parametri Modello'!$A$57:$A$60,0)))*((1-INDEX('Parametri Modello'!$D$57:$D$60,MATCH($B122,'Parametri Modello'!$A$57:$A$60,0)))*(INDEX('Parametri Modello'!$B$50:$B$53,MATCH($B122,'Parametri Modello'!$A$50:$A$53,0))*'Parametri Modello'!$B$44))))*(1+IF(IF($B122="D",'Info Lega'!$B$25,IF($B122="C",'Info Lega'!$B$26,"No"))="Si",'Parametri Modello'!$B$5,0))*(1+MAX(-0.25,MIN(0.25,IF(OR($T122="",$I122="",$I122=0,INDEX('Parametri Modello'!$B$19:$B$22,MATCH($B122,'Parametri Modello'!$A$19:$A$22,0))="",INDEX('Parametri Modello'!$B$19:$B$22,MATCH($B122,'Parametri Modello'!$A$19:$A$22,0))=0),0,(($T122-INDEX('Parametri Modello'!$B$19:$B$22,MATCH($B122,'Parametri Modello'!$A$19:$A$22,0)))/INDEX('Parametri Modello'!$B$19:$B$22,MATCH($B122,'Parametri Modello'!$A$19:$A$22,0)))*'Parametri Modello'!$B$9))))*(1+IF('Parametri Modello'!$B$27="Si",MAX(-'Parametri Modello'!$B$28,MIN('Parametri Modello'!$B$28*1.5,IF(OR(INDEX('Parametri Modello'!$F$32:$F$35,MATCH($B122,'Parametri Modello'!$A$32:$A$35,0))="",INDEX('Parametri Modello'!$F$32:$F$35,MATCH($B122,'Parametri Modello'!$A$32:$A$35,0))=0),0,(1/INDEX('Parametri Modello'!$F$32:$F$35,MATCH($B122,'Parametri Modello'!$A$32:$A$35,0))-1)*'Parametri Modello'!$B$28))),0)))*(1-INDEX('Parametri Modello'!$B$12:$B$15,MATCH($B122,'Parametri Modello'!$A$12:$A$15,0)))),0),"")</f>
        <v>2</v>
      </c>
      <c r="H122" s="27" t="n">
        <f aca="false">IFERROR(ROUND((IF($V122&lt;=INDEX('Parametri Modello'!$C$57:$C$60,MATCH($B122,'Parametri Modello'!$A$57:$A$60,0)),IF(INDEX('Parametri Modello'!$E$57:$E$60,MATCH($B122,'Parametri Modello'!$A$57:$A$60,0))=0,0,($O122/INDEX('Parametri Modello'!$E$57:$E$60,MATCH($B122,'Parametri Modello'!$A$57:$A$60,0)))*(INDEX('Parametri Modello'!$D$57:$D$60,MATCH($B122,'Parametri Modello'!$A$57:$A$60,0))*(INDEX('Parametri Modello'!$B$50:$B$53,MATCH($B122,'Parametri Modello'!$A$50:$A$53,0))*'Parametri Modello'!$B$44))),IF(INDEX('Parametri Modello'!$F$57:$F$60,MATCH($B122,'Parametri Modello'!$A$57:$A$60,0))=0,0,($O122/INDEX('Parametri Modello'!$F$57:$F$60,MATCH($B122,'Parametri Modello'!$A$57:$A$60,0)))*((1-INDEX('Parametri Modello'!$D$57:$D$60,MATCH($B122,'Parametri Modello'!$A$57:$A$60,0)))*(INDEX('Parametri Modello'!$B$50:$B$53,MATCH($B122,'Parametri Modello'!$A$50:$A$53,0))*'Parametri Modello'!$B$44))))*(1+IF(IF($B122="D",'Info Lega'!$B$25,IF($B122="C",'Info Lega'!$B$26,"No"))="Si",'Parametri Modello'!$B$5,0))*(1+MAX(-0.25,MIN(0.25,IF(OR($T122="",$I122="",$I122=0,INDEX('Parametri Modello'!$B$19:$B$22,MATCH($B122,'Parametri Modello'!$A$19:$A$22,0))="",INDEX('Parametri Modello'!$B$19:$B$22,MATCH($B122,'Parametri Modello'!$A$19:$A$22,0))=0),0,(($T122-INDEX('Parametri Modello'!$B$19:$B$22,MATCH($B122,'Parametri Modello'!$A$19:$A$22,0)))/INDEX('Parametri Modello'!$B$19:$B$22,MATCH($B122,'Parametri Modello'!$A$19:$A$22,0)))*'Parametri Modello'!$B$9))))*(1+IF('Parametri Modello'!$B$27="Si",MAX(-'Parametri Modello'!$B$28,MIN('Parametri Modello'!$B$28*1.5,IF(OR(INDEX('Parametri Modello'!$F$32:$F$35,MATCH($B122,'Parametri Modello'!$A$32:$A$35,0))="",INDEX('Parametri Modello'!$F$32:$F$35,MATCH($B122,'Parametri Modello'!$A$32:$A$35,0))=0),0,(1/INDEX('Parametri Modello'!$F$32:$F$35,MATCH($B122,'Parametri Modello'!$A$32:$A$35,0))-1)*'Parametri Modello'!$B$28))),0)))*(1+INDEX('Parametri Modello'!$B$12:$B$15,MATCH($B122,'Parametri Modello'!$A$12:$A$15,0))),0),"")</f>
        <v>4</v>
      </c>
      <c r="I122" s="26" t="n">
        <f aca="false">IFERROR(INDEX('Input Statistiche 2025_26'!$F$3:$F$665,MATCH($A122,'Input Statistiche 2025_26'!$A$3:$A$665,0)),"")</f>
        <v>28</v>
      </c>
      <c r="J122" s="26" t="n">
        <f aca="false">IFERROR(IF($I122="","",MAX(0,38-$I122)),"")</f>
        <v>10</v>
      </c>
      <c r="K122" s="26" t="n">
        <f aca="false">IFERROR(INDEX('Input Statistiche 2025_26'!$I$3:$I$665,MATCH($A122,'Input Statistiche 2025_26'!$A$3:$A$665,0)),"")</f>
        <v>2</v>
      </c>
      <c r="L122" s="26" t="n">
        <f aca="false">IFERROR(INDEX('Input Statistiche 2025_26'!$O$3:$O$665,MATCH($A122,'Input Statistiche 2025_26'!$A$3:$A$665,0)),"")</f>
        <v>2</v>
      </c>
      <c r="M122" s="28"/>
      <c r="N122" s="27" t="n">
        <f aca="false">IFERROR(INDEX('Input Giocatori 2026_27'!$E$3:$E$493,MATCH($A122,'Input Giocatori 2026_27'!$A$3:$A$493,0)),"")</f>
        <v>8</v>
      </c>
      <c r="O122" s="27" t="n">
        <f aca="false">IFERROR(INDEX('Input Giocatori 2026_27'!$G$3:$G$493,MATCH($A122,'Input Giocatori 2026_27'!$A$3:$A$493,0)),"")</f>
        <v>26</v>
      </c>
      <c r="P122" s="26" t="str">
        <f aca="false">IFERROR(IF($O122="","",IF((1-(COUNTIFS($B$2:$B$492,$B122,$O$2:$O$492,"&gt;"&amp;$O122)+1-1)/COUNTIF($B$2:$B$492,$B122))&gt;=0.85,"Top",IF((1-(COUNTIFS($B$2:$B$492,$B122,$O$2:$O$492,"&gt;"&amp;$O122)+1-1)/COUNTIF($B$2:$B$492,$B122))&gt;=0.6,"Buono",IF((1-(COUNTIFS($B$2:$B$492,$B122,$O$2:$O$492,"&gt;"&amp;$O122)+1-1)/COUNTIF($B$2:$B$492,$B122))&gt;=0.3,"Nella Media","Scommessa/Riserva")))),"")</f>
        <v>Buono</v>
      </c>
      <c r="Q122" s="29" t="n">
        <f aca="false">IF($D122="",COUNTIF($D$2:$D122,""),"")</f>
        <v>121</v>
      </c>
      <c r="R122" s="29" t="str">
        <f aca="false">IF($D122='Info Lega'!$B$28,COUNTIFS($D$2:$D122,'Info Lega'!$B$28),"")</f>
        <v/>
      </c>
      <c r="S122" s="30" t="n">
        <f aca="false">IFERROR(INDEX('Input Statistiche 2025_26'!$G$3:$G$665,MATCH($A122,'Input Statistiche 2025_26'!$A$3:$A$665,0)),"")</f>
        <v>6.07</v>
      </c>
      <c r="T122" s="30" t="n">
        <f aca="false">IFERROR(INDEX('Input Statistiche 2025_26'!$H$3:$H$665,MATCH($A122,'Input Statistiche 2025_26'!$A$3:$A$665,0)),"")</f>
        <v>6.27</v>
      </c>
      <c r="U122" s="26" t="str">
        <f aca="false">IF(OR('La Mia Rosa'!$O$12="",$D122&lt;&gt;""),"",IF($F122&lt;='La Mia Rosa'!$O$12*'Parametri Modello'!$B$24,"OK",IF($F122&lt;='La Mia Rosa'!$O$12*'Parametri Modello'!$B$25,"Attenzione","Rischio Alto")))</f>
        <v>OK</v>
      </c>
      <c r="V122" s="26" t="n">
        <f aca="false">IFERROR(COUNTIFS($B$2:$B$492,$B122,$O$2:$O$492,"&gt;"&amp;$O122)+1,"")</f>
        <v>45</v>
      </c>
      <c r="W122" s="21" t="n">
        <f aca="false">'Info Lega'!$B$4-SUMIFS($M$2:$M$492,$D$2:$D$492,'Info Lega'!$B$28)</f>
        <v>1000</v>
      </c>
      <c r="X122" s="21" t="n">
        <f aca="false">('Info Lega'!$B$5-COUNTIFS($D$2:$D$492,'Info Lega'!$B$28,$B$2:$B$492,"P"))+('Info Lega'!$B$6-COUNTIFS($D$2:$D$492,'Info Lega'!$B$28,$B$2:$B$492,"D"))+('Info Lega'!$B$7-COUNTIFS($D$2:$D$492,'Info Lega'!$B$28,$B$2:$B$492,"C"))+('Info Lega'!$B$8-COUNTIFS($D$2:$D$492,'Info Lega'!$B$28,$B$2:$B$492,"A"))</f>
        <v>25</v>
      </c>
      <c r="Y122" s="21" t="n">
        <f aca="false">X122*'Parametri Modello'!$B$30</f>
        <v>25</v>
      </c>
      <c r="Z122" s="21" t="n">
        <f aca="false">MAX(0,W122-Y122)</f>
        <v>975</v>
      </c>
      <c r="AA122" s="21" t="n">
        <f aca="false">MIN(F122,Z122)</f>
        <v>3</v>
      </c>
      <c r="AB122" s="21"/>
      <c r="AC122" s="21" t="str">
        <f aca="false">IF(AB122="","",IF(AB122&gt;AA122,"PASS",IF(AB122&lt;=AA122*0.85,"BID","ATTENZIONE")))</f>
        <v/>
      </c>
      <c r="AD122" s="31" t="n">
        <f aca="false">IF(I122="","",ROUND(100*(1-EXP(-I122/30)),0))</f>
        <v>61</v>
      </c>
      <c r="AE122" s="7" t="str">
        <f aca="false">IFERROR(INDEX('Stato Asta'!$G$9:$G$12,MATCH($B122,'Stato Asta'!$A$9:$A$12,0)),"")</f>
        <v>🟡 Attesa rischiosa</v>
      </c>
    </row>
    <row r="123" customFormat="false" ht="14.25" hidden="false" customHeight="true" outlineLevel="0" collapsed="false">
      <c r="A123" s="21" t="n">
        <v>2134</v>
      </c>
      <c r="B123" s="21" t="s">
        <v>43</v>
      </c>
      <c r="C123" s="21" t="s">
        <v>138</v>
      </c>
      <c r="E123" s="26" t="str">
        <f aca="false">IF(COUNTIF('Info Strategia'!$D$2:$D$51,$C123)&gt;0,"SI","NO")</f>
        <v>NO</v>
      </c>
      <c r="F123" s="27" t="n">
        <f aca="false">IFERROR(ROUND(($G123+($H123-$G123)*'Info Strategia'!$B$6)*(1+IF($E123="SI",'Parametri Modello'!$B$7*'Info Strategia'!$B$6,0)),0),"")</f>
        <v>8</v>
      </c>
      <c r="G123" s="27" t="n">
        <f aca="false">IFERROR(ROUND(MAX(1,(IF($V123&lt;=INDEX('Parametri Modello'!$C$57:$C$60,MATCH($B123,'Parametri Modello'!$A$57:$A$60,0)),IF(INDEX('Parametri Modello'!$E$57:$E$60,MATCH($B123,'Parametri Modello'!$A$57:$A$60,0))=0,0,($O123/INDEX('Parametri Modello'!$E$57:$E$60,MATCH($B123,'Parametri Modello'!$A$57:$A$60,0)))*(INDEX('Parametri Modello'!$D$57:$D$60,MATCH($B123,'Parametri Modello'!$A$57:$A$60,0))*(INDEX('Parametri Modello'!$B$50:$B$53,MATCH($B123,'Parametri Modello'!$A$50:$A$53,0))*'Parametri Modello'!$B$44))),IF(INDEX('Parametri Modello'!$F$57:$F$60,MATCH($B123,'Parametri Modello'!$A$57:$A$60,0))=0,0,($O123/INDEX('Parametri Modello'!$F$57:$F$60,MATCH($B123,'Parametri Modello'!$A$57:$A$60,0)))*((1-INDEX('Parametri Modello'!$D$57:$D$60,MATCH($B123,'Parametri Modello'!$A$57:$A$60,0)))*(INDEX('Parametri Modello'!$B$50:$B$53,MATCH($B123,'Parametri Modello'!$A$50:$A$53,0))*'Parametri Modello'!$B$44))))*(1+IF(IF($B123="D",'Info Lega'!$B$25,IF($B123="C",'Info Lega'!$B$26,"No"))="Si",'Parametri Modello'!$B$5,0))*(1+MAX(-0.25,MIN(0.25,IF(OR($T123="",$I123="",$I123=0,INDEX('Parametri Modello'!$B$19:$B$22,MATCH($B123,'Parametri Modello'!$A$19:$A$22,0))="",INDEX('Parametri Modello'!$B$19:$B$22,MATCH($B123,'Parametri Modello'!$A$19:$A$22,0))=0),0,(($T123-INDEX('Parametri Modello'!$B$19:$B$22,MATCH($B123,'Parametri Modello'!$A$19:$A$22,0)))/INDEX('Parametri Modello'!$B$19:$B$22,MATCH($B123,'Parametri Modello'!$A$19:$A$22,0)))*'Parametri Modello'!$B$9))))*(1+IF('Parametri Modello'!$B$27="Si",MAX(-'Parametri Modello'!$B$28,MIN('Parametri Modello'!$B$28*1.5,IF(OR(INDEX('Parametri Modello'!$F$32:$F$35,MATCH($B123,'Parametri Modello'!$A$32:$A$35,0))="",INDEX('Parametri Modello'!$F$32:$F$35,MATCH($B123,'Parametri Modello'!$A$32:$A$35,0))=0),0,(1/INDEX('Parametri Modello'!$F$32:$F$35,MATCH($B123,'Parametri Modello'!$A$32:$A$35,0))-1)*'Parametri Modello'!$B$28))),0)))*(1-INDEX('Parametri Modello'!$B$12:$B$15,MATCH($B123,'Parametri Modello'!$A$12:$A$15,0)))),0),"")</f>
        <v>7</v>
      </c>
      <c r="H123" s="27" t="n">
        <f aca="false">IFERROR(ROUND((IF($V123&lt;=INDEX('Parametri Modello'!$C$57:$C$60,MATCH($B123,'Parametri Modello'!$A$57:$A$60,0)),IF(INDEX('Parametri Modello'!$E$57:$E$60,MATCH($B123,'Parametri Modello'!$A$57:$A$60,0))=0,0,($O123/INDEX('Parametri Modello'!$E$57:$E$60,MATCH($B123,'Parametri Modello'!$A$57:$A$60,0)))*(INDEX('Parametri Modello'!$D$57:$D$60,MATCH($B123,'Parametri Modello'!$A$57:$A$60,0))*(INDEX('Parametri Modello'!$B$50:$B$53,MATCH($B123,'Parametri Modello'!$A$50:$A$53,0))*'Parametri Modello'!$B$44))),IF(INDEX('Parametri Modello'!$F$57:$F$60,MATCH($B123,'Parametri Modello'!$A$57:$A$60,0))=0,0,($O123/INDEX('Parametri Modello'!$F$57:$F$60,MATCH($B123,'Parametri Modello'!$A$57:$A$60,0)))*((1-INDEX('Parametri Modello'!$D$57:$D$60,MATCH($B123,'Parametri Modello'!$A$57:$A$60,0)))*(INDEX('Parametri Modello'!$B$50:$B$53,MATCH($B123,'Parametri Modello'!$A$50:$A$53,0))*'Parametri Modello'!$B$44))))*(1+IF(IF($B123="D",'Info Lega'!$B$25,IF($B123="C",'Info Lega'!$B$26,"No"))="Si",'Parametri Modello'!$B$5,0))*(1+MAX(-0.25,MIN(0.25,IF(OR($T123="",$I123="",$I123=0,INDEX('Parametri Modello'!$B$19:$B$22,MATCH($B123,'Parametri Modello'!$A$19:$A$22,0))="",INDEX('Parametri Modello'!$B$19:$B$22,MATCH($B123,'Parametri Modello'!$A$19:$A$22,0))=0),0,(($T123-INDEX('Parametri Modello'!$B$19:$B$22,MATCH($B123,'Parametri Modello'!$A$19:$A$22,0)))/INDEX('Parametri Modello'!$B$19:$B$22,MATCH($B123,'Parametri Modello'!$A$19:$A$22,0)))*'Parametri Modello'!$B$9))))*(1+IF('Parametri Modello'!$B$27="Si",MAX(-'Parametri Modello'!$B$28,MIN('Parametri Modello'!$B$28*1.5,IF(OR(INDEX('Parametri Modello'!$F$32:$F$35,MATCH($B123,'Parametri Modello'!$A$32:$A$35,0))="",INDEX('Parametri Modello'!$F$32:$F$35,MATCH($B123,'Parametri Modello'!$A$32:$A$35,0))=0),0,(1/INDEX('Parametri Modello'!$F$32:$F$35,MATCH($B123,'Parametri Modello'!$A$32:$A$35,0))-1)*'Parametri Modello'!$B$28))),0)))*(1+INDEX('Parametri Modello'!$B$12:$B$15,MATCH($B123,'Parametri Modello'!$A$12:$A$15,0))),0),"")</f>
        <v>9</v>
      </c>
      <c r="I123" s="26" t="n">
        <f aca="false">IFERROR(INDEX('Input Statistiche 2025_26'!$F$3:$F$665,MATCH($A123,'Input Statistiche 2025_26'!$A$3:$A$665,0)),"")</f>
        <v>38</v>
      </c>
      <c r="J123" s="26" t="n">
        <f aca="false">IFERROR(IF($I123="","",MAX(0,38-$I123)),"")</f>
        <v>0</v>
      </c>
      <c r="K123" s="26" t="n">
        <f aca="false">IFERROR(INDEX('Input Statistiche 2025_26'!$I$3:$I$665,MATCH($A123,'Input Statistiche 2025_26'!$A$3:$A$665,0)),"")</f>
        <v>0</v>
      </c>
      <c r="L123" s="26" t="n">
        <f aca="false">IFERROR(INDEX('Input Statistiche 2025_26'!$O$3:$O$665,MATCH($A123,'Input Statistiche 2025_26'!$A$3:$A$665,0)),"")</f>
        <v>0</v>
      </c>
      <c r="M123" s="28"/>
      <c r="N123" s="27" t="n">
        <f aca="false">IFERROR(INDEX('Input Giocatori 2026_27'!$E$3:$E$493,MATCH($A123,'Input Giocatori 2026_27'!$A$3:$A$493,0)),"")</f>
        <v>8</v>
      </c>
      <c r="O123" s="27" t="n">
        <f aca="false">IFERROR(INDEX('Input Giocatori 2026_27'!$G$3:$G$493,MATCH($A123,'Input Giocatori 2026_27'!$A$3:$A$493,0)),"")</f>
        <v>25</v>
      </c>
      <c r="P123" s="26" t="str">
        <f aca="false">IFERROR(IF($O123="","",IF((1-(COUNTIFS($B$2:$B$492,$B123,$O$2:$O$492,"&gt;"&amp;$O123)+1-1)/COUNTIF($B$2:$B$492,$B123))&gt;=0.85,"Top",IF((1-(COUNTIFS($B$2:$B$492,$B123,$O$2:$O$492,"&gt;"&amp;$O123)+1-1)/COUNTIF($B$2:$B$492,$B123))&gt;=0.6,"Buono",IF((1-(COUNTIFS($B$2:$B$492,$B123,$O$2:$O$492,"&gt;"&amp;$O123)+1-1)/COUNTIF($B$2:$B$492,$B123))&gt;=0.3,"Nella Media","Scommessa/Riserva")))),"")</f>
        <v>Buono</v>
      </c>
      <c r="Q123" s="29" t="n">
        <f aca="false">IF($D123="",COUNTIF($D$2:$D123,""),"")</f>
        <v>122</v>
      </c>
      <c r="R123" s="29" t="str">
        <f aca="false">IF($D123='Info Lega'!$B$28,COUNTIFS($D$2:$D123,'Info Lega'!$B$28),"")</f>
        <v/>
      </c>
      <c r="S123" s="30" t="n">
        <f aca="false">IFERROR(INDEX('Input Statistiche 2025_26'!$G$3:$G$665,MATCH($A123,'Input Statistiche 2025_26'!$A$3:$A$665,0)),"")</f>
        <v>6.41</v>
      </c>
      <c r="T123" s="30" t="n">
        <f aca="false">IFERROR(INDEX('Input Statistiche 2025_26'!$H$3:$H$665,MATCH($A123,'Input Statistiche 2025_26'!$A$3:$A$665,0)),"")</f>
        <v>5.22</v>
      </c>
      <c r="U123" s="26" t="str">
        <f aca="false">IF(OR('La Mia Rosa'!$O$12="",$D123&lt;&gt;""),"",IF($F123&lt;='La Mia Rosa'!$O$12*'Parametri Modello'!$B$24,"OK",IF($F123&lt;='La Mia Rosa'!$O$12*'Parametri Modello'!$B$25,"Attenzione","Rischio Alto")))</f>
        <v>OK</v>
      </c>
      <c r="V123" s="26" t="n">
        <f aca="false">IFERROR(COUNTIFS($B$2:$B$492,$B123,$O$2:$O$492,"&gt;"&amp;$O123)+1,"")</f>
        <v>13</v>
      </c>
      <c r="W123" s="21" t="n">
        <f aca="false">'Info Lega'!$B$4-SUMIFS($M$2:$M$492,$D$2:$D$492,'Info Lega'!$B$28)</f>
        <v>1000</v>
      </c>
      <c r="X123" s="21" t="n">
        <f aca="false">('Info Lega'!$B$5-COUNTIFS($D$2:$D$492,'Info Lega'!$B$28,$B$2:$B$492,"P"))+('Info Lega'!$B$6-COUNTIFS($D$2:$D$492,'Info Lega'!$B$28,$B$2:$B$492,"D"))+('Info Lega'!$B$7-COUNTIFS($D$2:$D$492,'Info Lega'!$B$28,$B$2:$B$492,"C"))+('Info Lega'!$B$8-COUNTIFS($D$2:$D$492,'Info Lega'!$B$28,$B$2:$B$492,"A"))</f>
        <v>25</v>
      </c>
      <c r="Y123" s="21" t="n">
        <f aca="false">X123*'Parametri Modello'!$B$30</f>
        <v>25</v>
      </c>
      <c r="Z123" s="21" t="n">
        <f aca="false">MAX(0,W123-Y123)</f>
        <v>975</v>
      </c>
      <c r="AA123" s="21" t="n">
        <f aca="false">MIN(F123,Z123)</f>
        <v>8</v>
      </c>
      <c r="AB123" s="21"/>
      <c r="AC123" s="21" t="str">
        <f aca="false">IF(AB123="","",IF(AB123&gt;AA123,"PASS",IF(AB123&lt;=AA123*0.85,"BID","ATTENZIONE")))</f>
        <v/>
      </c>
      <c r="AD123" s="31" t="n">
        <f aca="false">IF(I123="","",ROUND(100*(1-EXP(-I123/30)),0))</f>
        <v>72</v>
      </c>
      <c r="AE123" s="7" t="str">
        <f aca="false">IFERROR(INDEX('Stato Asta'!$G$9:$G$12,MATCH($B123,'Stato Asta'!$A$9:$A$12,0)),"")</f>
        <v>🟡 Attesa rischiosa</v>
      </c>
    </row>
    <row r="124" customFormat="false" ht="14.25" hidden="false" customHeight="true" outlineLevel="0" collapsed="false">
      <c r="A124" s="21" t="n">
        <v>6496</v>
      </c>
      <c r="B124" s="21" t="s">
        <v>44</v>
      </c>
      <c r="C124" s="21" t="s">
        <v>222</v>
      </c>
      <c r="E124" s="26" t="str">
        <f aca="false">IF(COUNTIF('Info Strategia'!$D$2:$D$51,$C124)&gt;0,"SI","NO")</f>
        <v>NO</v>
      </c>
      <c r="F124" s="27" t="n">
        <f aca="false">IFERROR(ROUND(($G124+($H124-$G124)*'Info Strategia'!$B$6)*(1+IF($E124="SI",'Parametri Modello'!$B$7*'Info Strategia'!$B$6,0)),0),"")</f>
        <v>4</v>
      </c>
      <c r="G124" s="27" t="n">
        <f aca="false">IFERROR(ROUND(MAX(1,(IF($V124&lt;=INDEX('Parametri Modello'!$C$57:$C$60,MATCH($B124,'Parametri Modello'!$A$57:$A$60,0)),IF(INDEX('Parametri Modello'!$E$57:$E$60,MATCH($B124,'Parametri Modello'!$A$57:$A$60,0))=0,0,($O124/INDEX('Parametri Modello'!$E$57:$E$60,MATCH($B124,'Parametri Modello'!$A$57:$A$60,0)))*(INDEX('Parametri Modello'!$D$57:$D$60,MATCH($B124,'Parametri Modello'!$A$57:$A$60,0))*(INDEX('Parametri Modello'!$B$50:$B$53,MATCH($B124,'Parametri Modello'!$A$50:$A$53,0))*'Parametri Modello'!$B$44))),IF(INDEX('Parametri Modello'!$F$57:$F$60,MATCH($B124,'Parametri Modello'!$A$57:$A$60,0))=0,0,($O124/INDEX('Parametri Modello'!$F$57:$F$60,MATCH($B124,'Parametri Modello'!$A$57:$A$60,0)))*((1-INDEX('Parametri Modello'!$D$57:$D$60,MATCH($B124,'Parametri Modello'!$A$57:$A$60,0)))*(INDEX('Parametri Modello'!$B$50:$B$53,MATCH($B124,'Parametri Modello'!$A$50:$A$53,0))*'Parametri Modello'!$B$44))))*(1+IF(IF($B124="D",'Info Lega'!$B$25,IF($B124="C",'Info Lega'!$B$26,"No"))="Si",'Parametri Modello'!$B$5,0))*(1+MAX(-0.25,MIN(0.25,IF(OR($T124="",$I124="",$I124=0,INDEX('Parametri Modello'!$B$19:$B$22,MATCH($B124,'Parametri Modello'!$A$19:$A$22,0))="",INDEX('Parametri Modello'!$B$19:$B$22,MATCH($B124,'Parametri Modello'!$A$19:$A$22,0))=0),0,(($T124-INDEX('Parametri Modello'!$B$19:$B$22,MATCH($B124,'Parametri Modello'!$A$19:$A$22,0)))/INDEX('Parametri Modello'!$B$19:$B$22,MATCH($B124,'Parametri Modello'!$A$19:$A$22,0)))*'Parametri Modello'!$B$9))))*(1+IF('Parametri Modello'!$B$27="Si",MAX(-'Parametri Modello'!$B$28,MIN('Parametri Modello'!$B$28*1.5,IF(OR(INDEX('Parametri Modello'!$F$32:$F$35,MATCH($B124,'Parametri Modello'!$A$32:$A$35,0))="",INDEX('Parametri Modello'!$F$32:$F$35,MATCH($B124,'Parametri Modello'!$A$32:$A$35,0))=0),0,(1/INDEX('Parametri Modello'!$F$32:$F$35,MATCH($B124,'Parametri Modello'!$A$32:$A$35,0))-1)*'Parametri Modello'!$B$28))),0)))*(1-INDEX('Parametri Modello'!$B$12:$B$15,MATCH($B124,'Parametri Modello'!$A$12:$A$15,0)))),0),"")</f>
        <v>3</v>
      </c>
      <c r="H124" s="27" t="n">
        <f aca="false">IFERROR(ROUND((IF($V124&lt;=INDEX('Parametri Modello'!$C$57:$C$60,MATCH($B124,'Parametri Modello'!$A$57:$A$60,0)),IF(INDEX('Parametri Modello'!$E$57:$E$60,MATCH($B124,'Parametri Modello'!$A$57:$A$60,0))=0,0,($O124/INDEX('Parametri Modello'!$E$57:$E$60,MATCH($B124,'Parametri Modello'!$A$57:$A$60,0)))*(INDEX('Parametri Modello'!$D$57:$D$60,MATCH($B124,'Parametri Modello'!$A$57:$A$60,0))*(INDEX('Parametri Modello'!$B$50:$B$53,MATCH($B124,'Parametri Modello'!$A$50:$A$53,0))*'Parametri Modello'!$B$44))),IF(INDEX('Parametri Modello'!$F$57:$F$60,MATCH($B124,'Parametri Modello'!$A$57:$A$60,0))=0,0,($O124/INDEX('Parametri Modello'!$F$57:$F$60,MATCH($B124,'Parametri Modello'!$A$57:$A$60,0)))*((1-INDEX('Parametri Modello'!$D$57:$D$60,MATCH($B124,'Parametri Modello'!$A$57:$A$60,0)))*(INDEX('Parametri Modello'!$B$50:$B$53,MATCH($B124,'Parametri Modello'!$A$50:$A$53,0))*'Parametri Modello'!$B$44))))*(1+IF(IF($B124="D",'Info Lega'!$B$25,IF($B124="C",'Info Lega'!$B$26,"No"))="Si",'Parametri Modello'!$B$5,0))*(1+MAX(-0.25,MIN(0.25,IF(OR($T124="",$I124="",$I124=0,INDEX('Parametri Modello'!$B$19:$B$22,MATCH($B124,'Parametri Modello'!$A$19:$A$22,0))="",INDEX('Parametri Modello'!$B$19:$B$22,MATCH($B124,'Parametri Modello'!$A$19:$A$22,0))=0),0,(($T124-INDEX('Parametri Modello'!$B$19:$B$22,MATCH($B124,'Parametri Modello'!$A$19:$A$22,0)))/INDEX('Parametri Modello'!$B$19:$B$22,MATCH($B124,'Parametri Modello'!$A$19:$A$22,0)))*'Parametri Modello'!$B$9))))*(1+IF('Parametri Modello'!$B$27="Si",MAX(-'Parametri Modello'!$B$28,MIN('Parametri Modello'!$B$28*1.5,IF(OR(INDEX('Parametri Modello'!$F$32:$F$35,MATCH($B124,'Parametri Modello'!$A$32:$A$35,0))="",INDEX('Parametri Modello'!$F$32:$F$35,MATCH($B124,'Parametri Modello'!$A$32:$A$35,0))=0),0,(1/INDEX('Parametri Modello'!$F$32:$F$35,MATCH($B124,'Parametri Modello'!$A$32:$A$35,0))-1)*'Parametri Modello'!$B$28))),0)))*(1+INDEX('Parametri Modello'!$B$12:$B$15,MATCH($B124,'Parametri Modello'!$A$12:$A$15,0))),0),"")</f>
        <v>5</v>
      </c>
      <c r="I124" s="26" t="n">
        <f aca="false">IFERROR(INDEX('Input Statistiche 2025_26'!$F$3:$F$665,MATCH($A124,'Input Statistiche 2025_26'!$A$3:$A$665,0)),"")</f>
        <v>31</v>
      </c>
      <c r="J124" s="26" t="n">
        <f aca="false">IFERROR(IF($I124="","",MAX(0,38-$I124)),"")</f>
        <v>7</v>
      </c>
      <c r="K124" s="26" t="n">
        <f aca="false">IFERROR(INDEX('Input Statistiche 2025_26'!$I$3:$I$665,MATCH($A124,'Input Statistiche 2025_26'!$A$3:$A$665,0)),"")</f>
        <v>2</v>
      </c>
      <c r="L124" s="26" t="n">
        <f aca="false">IFERROR(INDEX('Input Statistiche 2025_26'!$O$3:$O$665,MATCH($A124,'Input Statistiche 2025_26'!$A$3:$A$665,0)),"")</f>
        <v>0</v>
      </c>
      <c r="M124" s="28"/>
      <c r="N124" s="27" t="n">
        <f aca="false">IFERROR(INDEX('Input Giocatori 2026_27'!$E$3:$E$493,MATCH($A124,'Input Giocatori 2026_27'!$A$3:$A$493,0)),"")</f>
        <v>8</v>
      </c>
      <c r="O124" s="27" t="n">
        <f aca="false">IFERROR(INDEX('Input Giocatori 2026_27'!$G$3:$G$493,MATCH($A124,'Input Giocatori 2026_27'!$A$3:$A$493,0)),"")</f>
        <v>25</v>
      </c>
      <c r="P124" s="26" t="str">
        <f aca="false">IFERROR(IF($O124="","",IF((1-(COUNTIFS($B$2:$B$492,$B124,$O$2:$O$492,"&gt;"&amp;$O124)+1-1)/COUNTIF($B$2:$B$492,$B124))&gt;=0.85,"Top",IF((1-(COUNTIFS($B$2:$B$492,$B124,$O$2:$O$492,"&gt;"&amp;$O124)+1-1)/COUNTIF($B$2:$B$492,$B124))&gt;=0.6,"Buono",IF((1-(COUNTIFS($B$2:$B$492,$B124,$O$2:$O$492,"&gt;"&amp;$O124)+1-1)/COUNTIF($B$2:$B$492,$B124))&gt;=0.3,"Nella Media","Scommessa/Riserva")))),"")</f>
        <v>Top</v>
      </c>
      <c r="Q124" s="29" t="n">
        <f aca="false">IF($D124="",COUNTIF($D$2:$D124,""),"")</f>
        <v>123</v>
      </c>
      <c r="R124" s="29" t="str">
        <f aca="false">IF($D124='Info Lega'!$B$28,COUNTIFS($D$2:$D124,'Info Lega'!$B$28),"")</f>
        <v/>
      </c>
      <c r="S124" s="30" t="n">
        <f aca="false">IFERROR(INDEX('Input Statistiche 2025_26'!$G$3:$G$665,MATCH($A124,'Input Statistiche 2025_26'!$A$3:$A$665,0)),"")</f>
        <v>5.97</v>
      </c>
      <c r="T124" s="30" t="n">
        <f aca="false">IFERROR(INDEX('Input Statistiche 2025_26'!$H$3:$H$665,MATCH($A124,'Input Statistiche 2025_26'!$A$3:$A$665,0)),"")</f>
        <v>6.05</v>
      </c>
      <c r="U124" s="26" t="str">
        <f aca="false">IF(OR('La Mia Rosa'!$O$12="",$D124&lt;&gt;""),"",IF($F124&lt;='La Mia Rosa'!$O$12*'Parametri Modello'!$B$24,"OK",IF($F124&lt;='La Mia Rosa'!$O$12*'Parametri Modello'!$B$25,"Attenzione","Rischio Alto")))</f>
        <v>OK</v>
      </c>
      <c r="V124" s="26" t="n">
        <f aca="false">IFERROR(COUNTIFS($B$2:$B$492,$B124,$O$2:$O$492,"&gt;"&amp;$O124)+1,"")</f>
        <v>25</v>
      </c>
      <c r="W124" s="21" t="n">
        <f aca="false">'Info Lega'!$B$4-SUMIFS($M$2:$M$492,$D$2:$D$492,'Info Lega'!$B$28)</f>
        <v>1000</v>
      </c>
      <c r="X124" s="21" t="n">
        <f aca="false">('Info Lega'!$B$5-COUNTIFS($D$2:$D$492,'Info Lega'!$B$28,$B$2:$B$492,"P"))+('Info Lega'!$B$6-COUNTIFS($D$2:$D$492,'Info Lega'!$B$28,$B$2:$B$492,"D"))+('Info Lega'!$B$7-COUNTIFS($D$2:$D$492,'Info Lega'!$B$28,$B$2:$B$492,"C"))+('Info Lega'!$B$8-COUNTIFS($D$2:$D$492,'Info Lega'!$B$28,$B$2:$B$492,"A"))</f>
        <v>25</v>
      </c>
      <c r="Y124" s="21" t="n">
        <f aca="false">X124*'Parametri Modello'!$B$30</f>
        <v>25</v>
      </c>
      <c r="Z124" s="21" t="n">
        <f aca="false">MAX(0,W124-Y124)</f>
        <v>975</v>
      </c>
      <c r="AA124" s="21" t="n">
        <f aca="false">MIN(F124,Z124)</f>
        <v>4</v>
      </c>
      <c r="AB124" s="21"/>
      <c r="AC124" s="21" t="str">
        <f aca="false">IF(AB124="","",IF(AB124&gt;AA124,"PASS",IF(AB124&lt;=AA124*0.85,"BID","ATTENZIONE")))</f>
        <v/>
      </c>
      <c r="AD124" s="31" t="n">
        <f aca="false">IF(I124="","",ROUND(100*(1-EXP(-I124/30)),0))</f>
        <v>64</v>
      </c>
      <c r="AE124" s="7" t="str">
        <f aca="false">IFERROR(INDEX('Stato Asta'!$G$9:$G$12,MATCH($B124,'Stato Asta'!$A$9:$A$12,0)),"")</f>
        <v>🟡 Attesa rischiosa</v>
      </c>
    </row>
    <row r="125" customFormat="false" ht="14.25" hidden="false" customHeight="true" outlineLevel="0" collapsed="false">
      <c r="A125" s="21" t="n">
        <v>6398</v>
      </c>
      <c r="B125" s="21" t="s">
        <v>45</v>
      </c>
      <c r="C125" s="21" t="s">
        <v>405</v>
      </c>
      <c r="E125" s="26" t="str">
        <f aca="false">IF(COUNTIF('Info Strategia'!$D$2:$D$51,$C125)&gt;0,"SI","NO")</f>
        <v>NO</v>
      </c>
      <c r="F125" s="27" t="n">
        <f aca="false">IFERROR(ROUND(($G125+($H125-$G125)*'Info Strategia'!$B$6)*(1+IF($E125="SI",'Parametri Modello'!$B$7*'Info Strategia'!$B$6,0)),0),"")</f>
        <v>3</v>
      </c>
      <c r="G125" s="27" t="n">
        <f aca="false">IFERROR(ROUND(MAX(1,(IF($V125&lt;=INDEX('Parametri Modello'!$C$57:$C$60,MATCH($B125,'Parametri Modello'!$A$57:$A$60,0)),IF(INDEX('Parametri Modello'!$E$57:$E$60,MATCH($B125,'Parametri Modello'!$A$57:$A$60,0))=0,0,($O125/INDEX('Parametri Modello'!$E$57:$E$60,MATCH($B125,'Parametri Modello'!$A$57:$A$60,0)))*(INDEX('Parametri Modello'!$D$57:$D$60,MATCH($B125,'Parametri Modello'!$A$57:$A$60,0))*(INDEX('Parametri Modello'!$B$50:$B$53,MATCH($B125,'Parametri Modello'!$A$50:$A$53,0))*'Parametri Modello'!$B$44))),IF(INDEX('Parametri Modello'!$F$57:$F$60,MATCH($B125,'Parametri Modello'!$A$57:$A$60,0))=0,0,($O125/INDEX('Parametri Modello'!$F$57:$F$60,MATCH($B125,'Parametri Modello'!$A$57:$A$60,0)))*((1-INDEX('Parametri Modello'!$D$57:$D$60,MATCH($B125,'Parametri Modello'!$A$57:$A$60,0)))*(INDEX('Parametri Modello'!$B$50:$B$53,MATCH($B125,'Parametri Modello'!$A$50:$A$53,0))*'Parametri Modello'!$B$44))))*(1+IF(IF($B125="D",'Info Lega'!$B$25,IF($B125="C",'Info Lega'!$B$26,"No"))="Si",'Parametri Modello'!$B$5,0))*(1+MAX(-0.25,MIN(0.25,IF(OR($T125="",$I125="",$I125=0,INDEX('Parametri Modello'!$B$19:$B$22,MATCH($B125,'Parametri Modello'!$A$19:$A$22,0))="",INDEX('Parametri Modello'!$B$19:$B$22,MATCH($B125,'Parametri Modello'!$A$19:$A$22,0))=0),0,(($T125-INDEX('Parametri Modello'!$B$19:$B$22,MATCH($B125,'Parametri Modello'!$A$19:$A$22,0)))/INDEX('Parametri Modello'!$B$19:$B$22,MATCH($B125,'Parametri Modello'!$A$19:$A$22,0)))*'Parametri Modello'!$B$9))))*(1+IF('Parametri Modello'!$B$27="Si",MAX(-'Parametri Modello'!$B$28,MIN('Parametri Modello'!$B$28*1.5,IF(OR(INDEX('Parametri Modello'!$F$32:$F$35,MATCH($B125,'Parametri Modello'!$A$32:$A$35,0))="",INDEX('Parametri Modello'!$F$32:$F$35,MATCH($B125,'Parametri Modello'!$A$32:$A$35,0))=0),0,(1/INDEX('Parametri Modello'!$F$32:$F$35,MATCH($B125,'Parametri Modello'!$A$32:$A$35,0))-1)*'Parametri Modello'!$B$28))),0)))*(1-INDEX('Parametri Modello'!$B$12:$B$15,MATCH($B125,'Parametri Modello'!$A$12:$A$15,0)))),0),"")</f>
        <v>2</v>
      </c>
      <c r="H125" s="27" t="n">
        <f aca="false">IFERROR(ROUND((IF($V125&lt;=INDEX('Parametri Modello'!$C$57:$C$60,MATCH($B125,'Parametri Modello'!$A$57:$A$60,0)),IF(INDEX('Parametri Modello'!$E$57:$E$60,MATCH($B125,'Parametri Modello'!$A$57:$A$60,0))=0,0,($O125/INDEX('Parametri Modello'!$E$57:$E$60,MATCH($B125,'Parametri Modello'!$A$57:$A$60,0)))*(INDEX('Parametri Modello'!$D$57:$D$60,MATCH($B125,'Parametri Modello'!$A$57:$A$60,0))*(INDEX('Parametri Modello'!$B$50:$B$53,MATCH($B125,'Parametri Modello'!$A$50:$A$53,0))*'Parametri Modello'!$B$44))),IF(INDEX('Parametri Modello'!$F$57:$F$60,MATCH($B125,'Parametri Modello'!$A$57:$A$60,0))=0,0,($O125/INDEX('Parametri Modello'!$F$57:$F$60,MATCH($B125,'Parametri Modello'!$A$57:$A$60,0)))*((1-INDEX('Parametri Modello'!$D$57:$D$60,MATCH($B125,'Parametri Modello'!$A$57:$A$60,0)))*(INDEX('Parametri Modello'!$B$50:$B$53,MATCH($B125,'Parametri Modello'!$A$50:$A$53,0))*'Parametri Modello'!$B$44))))*(1+IF(IF($B125="D",'Info Lega'!$B$25,IF($B125="C",'Info Lega'!$B$26,"No"))="Si",'Parametri Modello'!$B$5,0))*(1+MAX(-0.25,MIN(0.25,IF(OR($T125="",$I125="",$I125=0,INDEX('Parametri Modello'!$B$19:$B$22,MATCH($B125,'Parametri Modello'!$A$19:$A$22,0))="",INDEX('Parametri Modello'!$B$19:$B$22,MATCH($B125,'Parametri Modello'!$A$19:$A$22,0))=0),0,(($T125-INDEX('Parametri Modello'!$B$19:$B$22,MATCH($B125,'Parametri Modello'!$A$19:$A$22,0)))/INDEX('Parametri Modello'!$B$19:$B$22,MATCH($B125,'Parametri Modello'!$A$19:$A$22,0)))*'Parametri Modello'!$B$9))))*(1+IF('Parametri Modello'!$B$27="Si",MAX(-'Parametri Modello'!$B$28,MIN('Parametri Modello'!$B$28*1.5,IF(OR(INDEX('Parametri Modello'!$F$32:$F$35,MATCH($B125,'Parametri Modello'!$A$32:$A$35,0))="",INDEX('Parametri Modello'!$F$32:$F$35,MATCH($B125,'Parametri Modello'!$A$32:$A$35,0))=0),0,(1/INDEX('Parametri Modello'!$F$32:$F$35,MATCH($B125,'Parametri Modello'!$A$32:$A$35,0))-1)*'Parametri Modello'!$B$28))),0)))*(1+INDEX('Parametri Modello'!$B$12:$B$15,MATCH($B125,'Parametri Modello'!$A$12:$A$15,0))),0),"")</f>
        <v>4</v>
      </c>
      <c r="I125" s="26" t="n">
        <f aca="false">IFERROR(INDEX('Input Statistiche 2025_26'!$F$3:$F$665,MATCH($A125,'Input Statistiche 2025_26'!$A$3:$A$665,0)),"")</f>
        <v>27</v>
      </c>
      <c r="J125" s="26" t="n">
        <f aca="false">IFERROR(IF($I125="","",MAX(0,38-$I125)),"")</f>
        <v>11</v>
      </c>
      <c r="K125" s="26" t="n">
        <f aca="false">IFERROR(INDEX('Input Statistiche 2025_26'!$I$3:$I$665,MATCH($A125,'Input Statistiche 2025_26'!$A$3:$A$665,0)),"")</f>
        <v>5</v>
      </c>
      <c r="L125" s="26" t="n">
        <f aca="false">IFERROR(INDEX('Input Statistiche 2025_26'!$O$3:$O$665,MATCH($A125,'Input Statistiche 2025_26'!$A$3:$A$665,0)),"")</f>
        <v>1</v>
      </c>
      <c r="M125" s="28"/>
      <c r="N125" s="27" t="n">
        <f aca="false">IFERROR(INDEX('Input Giocatori 2026_27'!$E$3:$E$493,MATCH($A125,'Input Giocatori 2026_27'!$A$3:$A$493,0)),"")</f>
        <v>9</v>
      </c>
      <c r="O125" s="27" t="n">
        <f aca="false">IFERROR(INDEX('Input Giocatori 2026_27'!$G$3:$G$493,MATCH($A125,'Input Giocatori 2026_27'!$A$3:$A$493,0)),"")</f>
        <v>25</v>
      </c>
      <c r="P125" s="26" t="str">
        <f aca="false">IFERROR(IF($O125="","",IF((1-(COUNTIFS($B$2:$B$492,$B125,$O$2:$O$492,"&gt;"&amp;$O125)+1-1)/COUNTIF($B$2:$B$492,$B125))&gt;=0.85,"Top",IF((1-(COUNTIFS($B$2:$B$492,$B125,$O$2:$O$492,"&gt;"&amp;$O125)+1-1)/COUNTIF($B$2:$B$492,$B125))&gt;=0.6,"Buono",IF((1-(COUNTIFS($B$2:$B$492,$B125,$O$2:$O$492,"&gt;"&amp;$O125)+1-1)/COUNTIF($B$2:$B$492,$B125))&gt;=0.3,"Nella Media","Scommessa/Riserva")))),"")</f>
        <v>Buono</v>
      </c>
      <c r="Q125" s="29" t="n">
        <f aca="false">IF($D125="",COUNTIF($D$2:$D125,""),"")</f>
        <v>124</v>
      </c>
      <c r="R125" s="29" t="str">
        <f aca="false">IF($D125='Info Lega'!$B$28,COUNTIFS($D$2:$D125,'Info Lega'!$B$28),"")</f>
        <v/>
      </c>
      <c r="S125" s="30" t="n">
        <f aca="false">IFERROR(INDEX('Input Statistiche 2025_26'!$G$3:$G$665,MATCH($A125,'Input Statistiche 2025_26'!$A$3:$A$665,0)),"")</f>
        <v>6.04</v>
      </c>
      <c r="T125" s="30" t="n">
        <f aca="false">IFERROR(INDEX('Input Statistiche 2025_26'!$H$3:$H$665,MATCH($A125,'Input Statistiche 2025_26'!$A$3:$A$665,0)),"")</f>
        <v>6.63</v>
      </c>
      <c r="U125" s="26" t="str">
        <f aca="false">IF(OR('La Mia Rosa'!$O$12="",$D125&lt;&gt;""),"",IF($F125&lt;='La Mia Rosa'!$O$12*'Parametri Modello'!$B$24,"OK",IF($F125&lt;='La Mia Rosa'!$O$12*'Parametri Modello'!$B$25,"Attenzione","Rischio Alto")))</f>
        <v>OK</v>
      </c>
      <c r="V125" s="26" t="n">
        <f aca="false">IFERROR(COUNTIFS($B$2:$B$492,$B125,$O$2:$O$492,"&gt;"&amp;$O125)+1,"")</f>
        <v>46</v>
      </c>
      <c r="W125" s="21" t="n">
        <f aca="false">'Info Lega'!$B$4-SUMIFS($M$2:$M$492,$D$2:$D$492,'Info Lega'!$B$28)</f>
        <v>1000</v>
      </c>
      <c r="X125" s="21" t="n">
        <f aca="false">('Info Lega'!$B$5-COUNTIFS($D$2:$D$492,'Info Lega'!$B$28,$B$2:$B$492,"P"))+('Info Lega'!$B$6-COUNTIFS($D$2:$D$492,'Info Lega'!$B$28,$B$2:$B$492,"D"))+('Info Lega'!$B$7-COUNTIFS($D$2:$D$492,'Info Lega'!$B$28,$B$2:$B$492,"C"))+('Info Lega'!$B$8-COUNTIFS($D$2:$D$492,'Info Lega'!$B$28,$B$2:$B$492,"A"))</f>
        <v>25</v>
      </c>
      <c r="Y125" s="21" t="n">
        <f aca="false">X125*'Parametri Modello'!$B$30</f>
        <v>25</v>
      </c>
      <c r="Z125" s="21" t="n">
        <f aca="false">MAX(0,W125-Y125)</f>
        <v>975</v>
      </c>
      <c r="AA125" s="21" t="n">
        <f aca="false">MIN(F125,Z125)</f>
        <v>3</v>
      </c>
      <c r="AB125" s="21"/>
      <c r="AC125" s="21" t="str">
        <f aca="false">IF(AB125="","",IF(AB125&gt;AA125,"PASS",IF(AB125&lt;=AA125*0.85,"BID","ATTENZIONE")))</f>
        <v/>
      </c>
      <c r="AD125" s="31" t="n">
        <f aca="false">IF(I125="","",ROUND(100*(1-EXP(-I125/30)),0))</f>
        <v>59</v>
      </c>
      <c r="AE125" s="7" t="str">
        <f aca="false">IFERROR(INDEX('Stato Asta'!$G$9:$G$12,MATCH($B125,'Stato Asta'!$A$9:$A$12,0)),"")</f>
        <v>🟡 Attesa rischiosa</v>
      </c>
    </row>
    <row r="126" customFormat="false" ht="14.25" hidden="false" customHeight="true" outlineLevel="0" collapsed="false">
      <c r="A126" s="21" t="n">
        <v>4436</v>
      </c>
      <c r="B126" s="21" t="s">
        <v>45</v>
      </c>
      <c r="C126" s="21" t="s">
        <v>408</v>
      </c>
      <c r="E126" s="26" t="str">
        <f aca="false">IF(COUNTIF('Info Strategia'!$D$2:$D$51,$C126)&gt;0,"SI","NO")</f>
        <v>NO</v>
      </c>
      <c r="F126" s="27" t="n">
        <f aca="false">IFERROR(ROUND(($G126+($H126-$G126)*'Info Strategia'!$B$6)*(1+IF($E126="SI",'Parametri Modello'!$B$7*'Info Strategia'!$B$6,0)),0),"")</f>
        <v>3</v>
      </c>
      <c r="G126" s="27" t="n">
        <f aca="false">IFERROR(ROUND(MAX(1,(IF($V126&lt;=INDEX('Parametri Modello'!$C$57:$C$60,MATCH($B126,'Parametri Modello'!$A$57:$A$60,0)),IF(INDEX('Parametri Modello'!$E$57:$E$60,MATCH($B126,'Parametri Modello'!$A$57:$A$60,0))=0,0,($O126/INDEX('Parametri Modello'!$E$57:$E$60,MATCH($B126,'Parametri Modello'!$A$57:$A$60,0)))*(INDEX('Parametri Modello'!$D$57:$D$60,MATCH($B126,'Parametri Modello'!$A$57:$A$60,0))*(INDEX('Parametri Modello'!$B$50:$B$53,MATCH($B126,'Parametri Modello'!$A$50:$A$53,0))*'Parametri Modello'!$B$44))),IF(INDEX('Parametri Modello'!$F$57:$F$60,MATCH($B126,'Parametri Modello'!$A$57:$A$60,0))=0,0,($O126/INDEX('Parametri Modello'!$F$57:$F$60,MATCH($B126,'Parametri Modello'!$A$57:$A$60,0)))*((1-INDEX('Parametri Modello'!$D$57:$D$60,MATCH($B126,'Parametri Modello'!$A$57:$A$60,0)))*(INDEX('Parametri Modello'!$B$50:$B$53,MATCH($B126,'Parametri Modello'!$A$50:$A$53,0))*'Parametri Modello'!$B$44))))*(1+IF(IF($B126="D",'Info Lega'!$B$25,IF($B126="C",'Info Lega'!$B$26,"No"))="Si",'Parametri Modello'!$B$5,0))*(1+MAX(-0.25,MIN(0.25,IF(OR($T126="",$I126="",$I126=0,INDEX('Parametri Modello'!$B$19:$B$22,MATCH($B126,'Parametri Modello'!$A$19:$A$22,0))="",INDEX('Parametri Modello'!$B$19:$B$22,MATCH($B126,'Parametri Modello'!$A$19:$A$22,0))=0),0,(($T126-INDEX('Parametri Modello'!$B$19:$B$22,MATCH($B126,'Parametri Modello'!$A$19:$A$22,0)))/INDEX('Parametri Modello'!$B$19:$B$22,MATCH($B126,'Parametri Modello'!$A$19:$A$22,0)))*'Parametri Modello'!$B$9))))*(1+IF('Parametri Modello'!$B$27="Si",MAX(-'Parametri Modello'!$B$28,MIN('Parametri Modello'!$B$28*1.5,IF(OR(INDEX('Parametri Modello'!$F$32:$F$35,MATCH($B126,'Parametri Modello'!$A$32:$A$35,0))="",INDEX('Parametri Modello'!$F$32:$F$35,MATCH($B126,'Parametri Modello'!$A$32:$A$35,0))=0),0,(1/INDEX('Parametri Modello'!$F$32:$F$35,MATCH($B126,'Parametri Modello'!$A$32:$A$35,0))-1)*'Parametri Modello'!$B$28))),0)))*(1-INDEX('Parametri Modello'!$B$12:$B$15,MATCH($B126,'Parametri Modello'!$A$12:$A$15,0)))),0),"")</f>
        <v>2</v>
      </c>
      <c r="H126" s="27" t="n">
        <f aca="false">IFERROR(ROUND((IF($V126&lt;=INDEX('Parametri Modello'!$C$57:$C$60,MATCH($B126,'Parametri Modello'!$A$57:$A$60,0)),IF(INDEX('Parametri Modello'!$E$57:$E$60,MATCH($B126,'Parametri Modello'!$A$57:$A$60,0))=0,0,($O126/INDEX('Parametri Modello'!$E$57:$E$60,MATCH($B126,'Parametri Modello'!$A$57:$A$60,0)))*(INDEX('Parametri Modello'!$D$57:$D$60,MATCH($B126,'Parametri Modello'!$A$57:$A$60,0))*(INDEX('Parametri Modello'!$B$50:$B$53,MATCH($B126,'Parametri Modello'!$A$50:$A$53,0))*'Parametri Modello'!$B$44))),IF(INDEX('Parametri Modello'!$F$57:$F$60,MATCH($B126,'Parametri Modello'!$A$57:$A$60,0))=0,0,($O126/INDEX('Parametri Modello'!$F$57:$F$60,MATCH($B126,'Parametri Modello'!$A$57:$A$60,0)))*((1-INDEX('Parametri Modello'!$D$57:$D$60,MATCH($B126,'Parametri Modello'!$A$57:$A$60,0)))*(INDEX('Parametri Modello'!$B$50:$B$53,MATCH($B126,'Parametri Modello'!$A$50:$A$53,0))*'Parametri Modello'!$B$44))))*(1+IF(IF($B126="D",'Info Lega'!$B$25,IF($B126="C",'Info Lega'!$B$26,"No"))="Si",'Parametri Modello'!$B$5,0))*(1+MAX(-0.25,MIN(0.25,IF(OR($T126="",$I126="",$I126=0,INDEX('Parametri Modello'!$B$19:$B$22,MATCH($B126,'Parametri Modello'!$A$19:$A$22,0))="",INDEX('Parametri Modello'!$B$19:$B$22,MATCH($B126,'Parametri Modello'!$A$19:$A$22,0))=0),0,(($T126-INDEX('Parametri Modello'!$B$19:$B$22,MATCH($B126,'Parametri Modello'!$A$19:$A$22,0)))/INDEX('Parametri Modello'!$B$19:$B$22,MATCH($B126,'Parametri Modello'!$A$19:$A$22,0)))*'Parametri Modello'!$B$9))))*(1+IF('Parametri Modello'!$B$27="Si",MAX(-'Parametri Modello'!$B$28,MIN('Parametri Modello'!$B$28*1.5,IF(OR(INDEX('Parametri Modello'!$F$32:$F$35,MATCH($B126,'Parametri Modello'!$A$32:$A$35,0))="",INDEX('Parametri Modello'!$F$32:$F$35,MATCH($B126,'Parametri Modello'!$A$32:$A$35,0))=0),0,(1/INDEX('Parametri Modello'!$F$32:$F$35,MATCH($B126,'Parametri Modello'!$A$32:$A$35,0))-1)*'Parametri Modello'!$B$28))),0)))*(1+INDEX('Parametri Modello'!$B$12:$B$15,MATCH($B126,'Parametri Modello'!$A$12:$A$15,0))),0),"")</f>
        <v>4</v>
      </c>
      <c r="I126" s="26" t="n">
        <f aca="false">IFERROR(INDEX('Input Statistiche 2025_26'!$F$3:$F$665,MATCH($A126,'Input Statistiche 2025_26'!$A$3:$A$665,0)),"")</f>
        <v>24</v>
      </c>
      <c r="J126" s="26" t="n">
        <f aca="false">IFERROR(IF($I126="","",MAX(0,38-$I126)),"")</f>
        <v>14</v>
      </c>
      <c r="K126" s="26" t="n">
        <f aca="false">IFERROR(INDEX('Input Statistiche 2025_26'!$I$3:$I$665,MATCH($A126,'Input Statistiche 2025_26'!$A$3:$A$665,0)),"")</f>
        <v>3</v>
      </c>
      <c r="L126" s="26" t="n">
        <f aca="false">IFERROR(INDEX('Input Statistiche 2025_26'!$O$3:$O$665,MATCH($A126,'Input Statistiche 2025_26'!$A$3:$A$665,0)),"")</f>
        <v>4</v>
      </c>
      <c r="M126" s="28"/>
      <c r="N126" s="27" t="n">
        <f aca="false">IFERROR(INDEX('Input Giocatori 2026_27'!$E$3:$E$493,MATCH($A126,'Input Giocatori 2026_27'!$A$3:$A$493,0)),"")</f>
        <v>8</v>
      </c>
      <c r="O126" s="27" t="n">
        <f aca="false">IFERROR(INDEX('Input Giocatori 2026_27'!$G$3:$G$493,MATCH($A126,'Input Giocatori 2026_27'!$A$3:$A$493,0)),"")</f>
        <v>25</v>
      </c>
      <c r="P126" s="26" t="str">
        <f aca="false">IFERROR(IF($O126="","",IF((1-(COUNTIFS($B$2:$B$492,$B126,$O$2:$O$492,"&gt;"&amp;$O126)+1-1)/COUNTIF($B$2:$B$492,$B126))&gt;=0.85,"Top",IF((1-(COUNTIFS($B$2:$B$492,$B126,$O$2:$O$492,"&gt;"&amp;$O126)+1-1)/COUNTIF($B$2:$B$492,$B126))&gt;=0.6,"Buono",IF((1-(COUNTIFS($B$2:$B$492,$B126,$O$2:$O$492,"&gt;"&amp;$O126)+1-1)/COUNTIF($B$2:$B$492,$B126))&gt;=0.3,"Nella Media","Scommessa/Riserva")))),"")</f>
        <v>Buono</v>
      </c>
      <c r="Q126" s="29" t="n">
        <f aca="false">IF($D126="",COUNTIF($D$2:$D126,""),"")</f>
        <v>125</v>
      </c>
      <c r="R126" s="29" t="str">
        <f aca="false">IF($D126='Info Lega'!$B$28,COUNTIFS($D$2:$D126,'Info Lega'!$B$28),"")</f>
        <v/>
      </c>
      <c r="S126" s="30" t="n">
        <f aca="false">IFERROR(INDEX('Input Statistiche 2025_26'!$G$3:$G$665,MATCH($A126,'Input Statistiche 2025_26'!$A$3:$A$665,0)),"")</f>
        <v>5.98</v>
      </c>
      <c r="T126" s="30" t="n">
        <f aca="false">IFERROR(INDEX('Input Statistiche 2025_26'!$H$3:$H$665,MATCH($A126,'Input Statistiche 2025_26'!$A$3:$A$665,0)),"")</f>
        <v>6.42</v>
      </c>
      <c r="U126" s="26" t="str">
        <f aca="false">IF(OR('La Mia Rosa'!$O$12="",$D126&lt;&gt;""),"",IF($F126&lt;='La Mia Rosa'!$O$12*'Parametri Modello'!$B$24,"OK",IF($F126&lt;='La Mia Rosa'!$O$12*'Parametri Modello'!$B$25,"Attenzione","Rischio Alto")))</f>
        <v>OK</v>
      </c>
      <c r="V126" s="26" t="n">
        <f aca="false">IFERROR(COUNTIFS($B$2:$B$492,$B126,$O$2:$O$492,"&gt;"&amp;$O126)+1,"")</f>
        <v>46</v>
      </c>
      <c r="W126" s="21" t="n">
        <f aca="false">'Info Lega'!$B$4-SUMIFS($M$2:$M$492,$D$2:$D$492,'Info Lega'!$B$28)</f>
        <v>1000</v>
      </c>
      <c r="X126" s="21" t="n">
        <f aca="false">('Info Lega'!$B$5-COUNTIFS($D$2:$D$492,'Info Lega'!$B$28,$B$2:$B$492,"P"))+('Info Lega'!$B$6-COUNTIFS($D$2:$D$492,'Info Lega'!$B$28,$B$2:$B$492,"D"))+('Info Lega'!$B$7-COUNTIFS($D$2:$D$492,'Info Lega'!$B$28,$B$2:$B$492,"C"))+('Info Lega'!$B$8-COUNTIFS($D$2:$D$492,'Info Lega'!$B$28,$B$2:$B$492,"A"))</f>
        <v>25</v>
      </c>
      <c r="Y126" s="21" t="n">
        <f aca="false">X126*'Parametri Modello'!$B$30</f>
        <v>25</v>
      </c>
      <c r="Z126" s="21" t="n">
        <f aca="false">MAX(0,W126-Y126)</f>
        <v>975</v>
      </c>
      <c r="AA126" s="21" t="n">
        <f aca="false">MIN(F126,Z126)</f>
        <v>3</v>
      </c>
      <c r="AB126" s="21"/>
      <c r="AC126" s="21" t="str">
        <f aca="false">IF(AB126="","",IF(AB126&gt;AA126,"PASS",IF(AB126&lt;=AA126*0.85,"BID","ATTENZIONE")))</f>
        <v/>
      </c>
      <c r="AD126" s="31" t="n">
        <f aca="false">IF(I126="","",ROUND(100*(1-EXP(-I126/30)),0))</f>
        <v>55</v>
      </c>
      <c r="AE126" s="7" t="str">
        <f aca="false">IFERROR(INDEX('Stato Asta'!$G$9:$G$12,MATCH($B126,'Stato Asta'!$A$9:$A$12,0)),"")</f>
        <v>🟡 Attesa rischiosa</v>
      </c>
    </row>
    <row r="127" customFormat="false" ht="14.25" hidden="false" customHeight="true" outlineLevel="0" collapsed="false">
      <c r="A127" s="21" t="n">
        <v>6294</v>
      </c>
      <c r="B127" s="21" t="s">
        <v>45</v>
      </c>
      <c r="C127" s="21" t="s">
        <v>410</v>
      </c>
      <c r="E127" s="26" t="str">
        <f aca="false">IF(COUNTIF('Info Strategia'!$D$2:$D$51,$C127)&gt;0,"SI","NO")</f>
        <v>NO</v>
      </c>
      <c r="F127" s="27" t="n">
        <f aca="false">IFERROR(ROUND(($G127+($H127-$G127)*'Info Strategia'!$B$6)*(1+IF($E127="SI",'Parametri Modello'!$B$7*'Info Strategia'!$B$6,0)),0),"")</f>
        <v>3</v>
      </c>
      <c r="G127" s="27" t="n">
        <f aca="false">IFERROR(ROUND(MAX(1,(IF($V127&lt;=INDEX('Parametri Modello'!$C$57:$C$60,MATCH($B127,'Parametri Modello'!$A$57:$A$60,0)),IF(INDEX('Parametri Modello'!$E$57:$E$60,MATCH($B127,'Parametri Modello'!$A$57:$A$60,0))=0,0,($O127/INDEX('Parametri Modello'!$E$57:$E$60,MATCH($B127,'Parametri Modello'!$A$57:$A$60,0)))*(INDEX('Parametri Modello'!$D$57:$D$60,MATCH($B127,'Parametri Modello'!$A$57:$A$60,0))*(INDEX('Parametri Modello'!$B$50:$B$53,MATCH($B127,'Parametri Modello'!$A$50:$A$53,0))*'Parametri Modello'!$B$44))),IF(INDEX('Parametri Modello'!$F$57:$F$60,MATCH($B127,'Parametri Modello'!$A$57:$A$60,0))=0,0,($O127/INDEX('Parametri Modello'!$F$57:$F$60,MATCH($B127,'Parametri Modello'!$A$57:$A$60,0)))*((1-INDEX('Parametri Modello'!$D$57:$D$60,MATCH($B127,'Parametri Modello'!$A$57:$A$60,0)))*(INDEX('Parametri Modello'!$B$50:$B$53,MATCH($B127,'Parametri Modello'!$A$50:$A$53,0))*'Parametri Modello'!$B$44))))*(1+IF(IF($B127="D",'Info Lega'!$B$25,IF($B127="C",'Info Lega'!$B$26,"No"))="Si",'Parametri Modello'!$B$5,0))*(1+MAX(-0.25,MIN(0.25,IF(OR($T127="",$I127="",$I127=0,INDEX('Parametri Modello'!$B$19:$B$22,MATCH($B127,'Parametri Modello'!$A$19:$A$22,0))="",INDEX('Parametri Modello'!$B$19:$B$22,MATCH($B127,'Parametri Modello'!$A$19:$A$22,0))=0),0,(($T127-INDEX('Parametri Modello'!$B$19:$B$22,MATCH($B127,'Parametri Modello'!$A$19:$A$22,0)))/INDEX('Parametri Modello'!$B$19:$B$22,MATCH($B127,'Parametri Modello'!$A$19:$A$22,0)))*'Parametri Modello'!$B$9))))*(1+IF('Parametri Modello'!$B$27="Si",MAX(-'Parametri Modello'!$B$28,MIN('Parametri Modello'!$B$28*1.5,IF(OR(INDEX('Parametri Modello'!$F$32:$F$35,MATCH($B127,'Parametri Modello'!$A$32:$A$35,0))="",INDEX('Parametri Modello'!$F$32:$F$35,MATCH($B127,'Parametri Modello'!$A$32:$A$35,0))=0),0,(1/INDEX('Parametri Modello'!$F$32:$F$35,MATCH($B127,'Parametri Modello'!$A$32:$A$35,0))-1)*'Parametri Modello'!$B$28))),0)))*(1-INDEX('Parametri Modello'!$B$12:$B$15,MATCH($B127,'Parametri Modello'!$A$12:$A$15,0)))),0),"")</f>
        <v>2</v>
      </c>
      <c r="H127" s="27" t="n">
        <f aca="false">IFERROR(ROUND((IF($V127&lt;=INDEX('Parametri Modello'!$C$57:$C$60,MATCH($B127,'Parametri Modello'!$A$57:$A$60,0)),IF(INDEX('Parametri Modello'!$E$57:$E$60,MATCH($B127,'Parametri Modello'!$A$57:$A$60,0))=0,0,($O127/INDEX('Parametri Modello'!$E$57:$E$60,MATCH($B127,'Parametri Modello'!$A$57:$A$60,0)))*(INDEX('Parametri Modello'!$D$57:$D$60,MATCH($B127,'Parametri Modello'!$A$57:$A$60,0))*(INDEX('Parametri Modello'!$B$50:$B$53,MATCH($B127,'Parametri Modello'!$A$50:$A$53,0))*'Parametri Modello'!$B$44))),IF(INDEX('Parametri Modello'!$F$57:$F$60,MATCH($B127,'Parametri Modello'!$A$57:$A$60,0))=0,0,($O127/INDEX('Parametri Modello'!$F$57:$F$60,MATCH($B127,'Parametri Modello'!$A$57:$A$60,0)))*((1-INDEX('Parametri Modello'!$D$57:$D$60,MATCH($B127,'Parametri Modello'!$A$57:$A$60,0)))*(INDEX('Parametri Modello'!$B$50:$B$53,MATCH($B127,'Parametri Modello'!$A$50:$A$53,0))*'Parametri Modello'!$B$44))))*(1+IF(IF($B127="D",'Info Lega'!$B$25,IF($B127="C",'Info Lega'!$B$26,"No"))="Si",'Parametri Modello'!$B$5,0))*(1+MAX(-0.25,MIN(0.25,IF(OR($T127="",$I127="",$I127=0,INDEX('Parametri Modello'!$B$19:$B$22,MATCH($B127,'Parametri Modello'!$A$19:$A$22,0))="",INDEX('Parametri Modello'!$B$19:$B$22,MATCH($B127,'Parametri Modello'!$A$19:$A$22,0))=0),0,(($T127-INDEX('Parametri Modello'!$B$19:$B$22,MATCH($B127,'Parametri Modello'!$A$19:$A$22,0)))/INDEX('Parametri Modello'!$B$19:$B$22,MATCH($B127,'Parametri Modello'!$A$19:$A$22,0)))*'Parametri Modello'!$B$9))))*(1+IF('Parametri Modello'!$B$27="Si",MAX(-'Parametri Modello'!$B$28,MIN('Parametri Modello'!$B$28*1.5,IF(OR(INDEX('Parametri Modello'!$F$32:$F$35,MATCH($B127,'Parametri Modello'!$A$32:$A$35,0))="",INDEX('Parametri Modello'!$F$32:$F$35,MATCH($B127,'Parametri Modello'!$A$32:$A$35,0))=0),0,(1/INDEX('Parametri Modello'!$F$32:$F$35,MATCH($B127,'Parametri Modello'!$A$32:$A$35,0))-1)*'Parametri Modello'!$B$28))),0)))*(1+INDEX('Parametri Modello'!$B$12:$B$15,MATCH($B127,'Parametri Modello'!$A$12:$A$15,0))),0),"")</f>
        <v>4</v>
      </c>
      <c r="I127" s="26" t="n">
        <f aca="false">IFERROR(INDEX('Input Statistiche 2025_26'!$F$3:$F$665,MATCH($A127,'Input Statistiche 2025_26'!$A$3:$A$665,0)),"")</f>
        <v>30</v>
      </c>
      <c r="J127" s="26" t="n">
        <f aca="false">IFERROR(IF($I127="","",MAX(0,38-$I127)),"")</f>
        <v>8</v>
      </c>
      <c r="K127" s="26" t="n">
        <f aca="false">IFERROR(INDEX('Input Statistiche 2025_26'!$I$3:$I$665,MATCH($A127,'Input Statistiche 2025_26'!$A$3:$A$665,0)),"")</f>
        <v>3</v>
      </c>
      <c r="L127" s="26" t="n">
        <f aca="false">IFERROR(INDEX('Input Statistiche 2025_26'!$O$3:$O$665,MATCH($A127,'Input Statistiche 2025_26'!$A$3:$A$665,0)),"")</f>
        <v>0</v>
      </c>
      <c r="M127" s="28"/>
      <c r="N127" s="27" t="n">
        <f aca="false">IFERROR(INDEX('Input Giocatori 2026_27'!$E$3:$E$493,MATCH($A127,'Input Giocatori 2026_27'!$A$3:$A$493,0)),"")</f>
        <v>8</v>
      </c>
      <c r="O127" s="27" t="n">
        <f aca="false">IFERROR(INDEX('Input Giocatori 2026_27'!$G$3:$G$493,MATCH($A127,'Input Giocatori 2026_27'!$A$3:$A$493,0)),"")</f>
        <v>25</v>
      </c>
      <c r="P127" s="26" t="str">
        <f aca="false">IFERROR(IF($O127="","",IF((1-(COUNTIFS($B$2:$B$492,$B127,$O$2:$O$492,"&gt;"&amp;$O127)+1-1)/COUNTIF($B$2:$B$492,$B127))&gt;=0.85,"Top",IF((1-(COUNTIFS($B$2:$B$492,$B127,$O$2:$O$492,"&gt;"&amp;$O127)+1-1)/COUNTIF($B$2:$B$492,$B127))&gt;=0.6,"Buono",IF((1-(COUNTIFS($B$2:$B$492,$B127,$O$2:$O$492,"&gt;"&amp;$O127)+1-1)/COUNTIF($B$2:$B$492,$B127))&gt;=0.3,"Nella Media","Scommessa/Riserva")))),"")</f>
        <v>Buono</v>
      </c>
      <c r="Q127" s="29" t="n">
        <f aca="false">IF($D127="",COUNTIF($D$2:$D127,""),"")</f>
        <v>126</v>
      </c>
      <c r="R127" s="29" t="str">
        <f aca="false">IF($D127='Info Lega'!$B$28,COUNTIFS($D$2:$D127,'Info Lega'!$B$28),"")</f>
        <v/>
      </c>
      <c r="S127" s="30" t="n">
        <f aca="false">IFERROR(INDEX('Input Statistiche 2025_26'!$G$3:$G$665,MATCH($A127,'Input Statistiche 2025_26'!$A$3:$A$665,0)),"")</f>
        <v>5.8</v>
      </c>
      <c r="T127" s="30" t="n">
        <f aca="false">IFERROR(INDEX('Input Statistiche 2025_26'!$H$3:$H$665,MATCH($A127,'Input Statistiche 2025_26'!$A$3:$A$665,0)),"")</f>
        <v>6.07</v>
      </c>
      <c r="U127" s="26" t="str">
        <f aca="false">IF(OR('La Mia Rosa'!$O$12="",$D127&lt;&gt;""),"",IF($F127&lt;='La Mia Rosa'!$O$12*'Parametri Modello'!$B$24,"OK",IF($F127&lt;='La Mia Rosa'!$O$12*'Parametri Modello'!$B$25,"Attenzione","Rischio Alto")))</f>
        <v>OK</v>
      </c>
      <c r="V127" s="26" t="n">
        <f aca="false">IFERROR(COUNTIFS($B$2:$B$492,$B127,$O$2:$O$492,"&gt;"&amp;$O127)+1,"")</f>
        <v>46</v>
      </c>
      <c r="W127" s="21" t="n">
        <f aca="false">'Info Lega'!$B$4-SUMIFS($M$2:$M$492,$D$2:$D$492,'Info Lega'!$B$28)</f>
        <v>1000</v>
      </c>
      <c r="X127" s="21" t="n">
        <f aca="false">('Info Lega'!$B$5-COUNTIFS($D$2:$D$492,'Info Lega'!$B$28,$B$2:$B$492,"P"))+('Info Lega'!$B$6-COUNTIFS($D$2:$D$492,'Info Lega'!$B$28,$B$2:$B$492,"D"))+('Info Lega'!$B$7-COUNTIFS($D$2:$D$492,'Info Lega'!$B$28,$B$2:$B$492,"C"))+('Info Lega'!$B$8-COUNTIFS($D$2:$D$492,'Info Lega'!$B$28,$B$2:$B$492,"A"))</f>
        <v>25</v>
      </c>
      <c r="Y127" s="21" t="n">
        <f aca="false">X127*'Parametri Modello'!$B$30</f>
        <v>25</v>
      </c>
      <c r="Z127" s="21" t="n">
        <f aca="false">MAX(0,W127-Y127)</f>
        <v>975</v>
      </c>
      <c r="AA127" s="21" t="n">
        <f aca="false">MIN(F127,Z127)</f>
        <v>3</v>
      </c>
      <c r="AB127" s="21"/>
      <c r="AC127" s="21" t="str">
        <f aca="false">IF(AB127="","",IF(AB127&gt;AA127,"PASS",IF(AB127&lt;=AA127*0.85,"BID","ATTENZIONE")))</f>
        <v/>
      </c>
      <c r="AD127" s="31" t="n">
        <f aca="false">IF(I127="","",ROUND(100*(1-EXP(-I127/30)),0))</f>
        <v>63</v>
      </c>
      <c r="AE127" s="7" t="str">
        <f aca="false">IFERROR(INDEX('Stato Asta'!$G$9:$G$12,MATCH($B127,'Stato Asta'!$A$9:$A$12,0)),"")</f>
        <v>🟡 Attesa rischiosa</v>
      </c>
    </row>
    <row r="128" customFormat="false" ht="14.25" hidden="false" customHeight="true" outlineLevel="0" collapsed="false">
      <c r="A128" s="21" t="n">
        <v>5878</v>
      </c>
      <c r="B128" s="21" t="s">
        <v>45</v>
      </c>
      <c r="C128" s="21" t="s">
        <v>414</v>
      </c>
      <c r="E128" s="26" t="str">
        <f aca="false">IF(COUNTIF('Info Strategia'!$D$2:$D$51,$C128)&gt;0,"SI","NO")</f>
        <v>NO</v>
      </c>
      <c r="F128" s="27" t="n">
        <f aca="false">IFERROR(ROUND(($G128+($H128-$G128)*'Info Strategia'!$B$6)*(1+IF($E128="SI",'Parametri Modello'!$B$7*'Info Strategia'!$B$6,0)),0),"")</f>
        <v>3</v>
      </c>
      <c r="G128" s="27" t="n">
        <f aca="false">IFERROR(ROUND(MAX(1,(IF($V128&lt;=INDEX('Parametri Modello'!$C$57:$C$60,MATCH($B128,'Parametri Modello'!$A$57:$A$60,0)),IF(INDEX('Parametri Modello'!$E$57:$E$60,MATCH($B128,'Parametri Modello'!$A$57:$A$60,0))=0,0,($O128/INDEX('Parametri Modello'!$E$57:$E$60,MATCH($B128,'Parametri Modello'!$A$57:$A$60,0)))*(INDEX('Parametri Modello'!$D$57:$D$60,MATCH($B128,'Parametri Modello'!$A$57:$A$60,0))*(INDEX('Parametri Modello'!$B$50:$B$53,MATCH($B128,'Parametri Modello'!$A$50:$A$53,0))*'Parametri Modello'!$B$44))),IF(INDEX('Parametri Modello'!$F$57:$F$60,MATCH($B128,'Parametri Modello'!$A$57:$A$60,0))=0,0,($O128/INDEX('Parametri Modello'!$F$57:$F$60,MATCH($B128,'Parametri Modello'!$A$57:$A$60,0)))*((1-INDEX('Parametri Modello'!$D$57:$D$60,MATCH($B128,'Parametri Modello'!$A$57:$A$60,0)))*(INDEX('Parametri Modello'!$B$50:$B$53,MATCH($B128,'Parametri Modello'!$A$50:$A$53,0))*'Parametri Modello'!$B$44))))*(1+IF(IF($B128="D",'Info Lega'!$B$25,IF($B128="C",'Info Lega'!$B$26,"No"))="Si",'Parametri Modello'!$B$5,0))*(1+MAX(-0.25,MIN(0.25,IF(OR($T128="",$I128="",$I128=0,INDEX('Parametri Modello'!$B$19:$B$22,MATCH($B128,'Parametri Modello'!$A$19:$A$22,0))="",INDEX('Parametri Modello'!$B$19:$B$22,MATCH($B128,'Parametri Modello'!$A$19:$A$22,0))=0),0,(($T128-INDEX('Parametri Modello'!$B$19:$B$22,MATCH($B128,'Parametri Modello'!$A$19:$A$22,0)))/INDEX('Parametri Modello'!$B$19:$B$22,MATCH($B128,'Parametri Modello'!$A$19:$A$22,0)))*'Parametri Modello'!$B$9))))*(1+IF('Parametri Modello'!$B$27="Si",MAX(-'Parametri Modello'!$B$28,MIN('Parametri Modello'!$B$28*1.5,IF(OR(INDEX('Parametri Modello'!$F$32:$F$35,MATCH($B128,'Parametri Modello'!$A$32:$A$35,0))="",INDEX('Parametri Modello'!$F$32:$F$35,MATCH($B128,'Parametri Modello'!$A$32:$A$35,0))=0),0,(1/INDEX('Parametri Modello'!$F$32:$F$35,MATCH($B128,'Parametri Modello'!$A$32:$A$35,0))-1)*'Parametri Modello'!$B$28))),0)))*(1-INDEX('Parametri Modello'!$B$12:$B$15,MATCH($B128,'Parametri Modello'!$A$12:$A$15,0)))),0),"")</f>
        <v>2</v>
      </c>
      <c r="H128" s="27" t="n">
        <f aca="false">IFERROR(ROUND((IF($V128&lt;=INDEX('Parametri Modello'!$C$57:$C$60,MATCH($B128,'Parametri Modello'!$A$57:$A$60,0)),IF(INDEX('Parametri Modello'!$E$57:$E$60,MATCH($B128,'Parametri Modello'!$A$57:$A$60,0))=0,0,($O128/INDEX('Parametri Modello'!$E$57:$E$60,MATCH($B128,'Parametri Modello'!$A$57:$A$60,0)))*(INDEX('Parametri Modello'!$D$57:$D$60,MATCH($B128,'Parametri Modello'!$A$57:$A$60,0))*(INDEX('Parametri Modello'!$B$50:$B$53,MATCH($B128,'Parametri Modello'!$A$50:$A$53,0))*'Parametri Modello'!$B$44))),IF(INDEX('Parametri Modello'!$F$57:$F$60,MATCH($B128,'Parametri Modello'!$A$57:$A$60,0))=0,0,($O128/INDEX('Parametri Modello'!$F$57:$F$60,MATCH($B128,'Parametri Modello'!$A$57:$A$60,0)))*((1-INDEX('Parametri Modello'!$D$57:$D$60,MATCH($B128,'Parametri Modello'!$A$57:$A$60,0)))*(INDEX('Parametri Modello'!$B$50:$B$53,MATCH($B128,'Parametri Modello'!$A$50:$A$53,0))*'Parametri Modello'!$B$44))))*(1+IF(IF($B128="D",'Info Lega'!$B$25,IF($B128="C",'Info Lega'!$B$26,"No"))="Si",'Parametri Modello'!$B$5,0))*(1+MAX(-0.25,MIN(0.25,IF(OR($T128="",$I128="",$I128=0,INDEX('Parametri Modello'!$B$19:$B$22,MATCH($B128,'Parametri Modello'!$A$19:$A$22,0))="",INDEX('Parametri Modello'!$B$19:$B$22,MATCH($B128,'Parametri Modello'!$A$19:$A$22,0))=0),0,(($T128-INDEX('Parametri Modello'!$B$19:$B$22,MATCH($B128,'Parametri Modello'!$A$19:$A$22,0)))/INDEX('Parametri Modello'!$B$19:$B$22,MATCH($B128,'Parametri Modello'!$A$19:$A$22,0)))*'Parametri Modello'!$B$9))))*(1+IF('Parametri Modello'!$B$27="Si",MAX(-'Parametri Modello'!$B$28,MIN('Parametri Modello'!$B$28*1.5,IF(OR(INDEX('Parametri Modello'!$F$32:$F$35,MATCH($B128,'Parametri Modello'!$A$32:$A$35,0))="",INDEX('Parametri Modello'!$F$32:$F$35,MATCH($B128,'Parametri Modello'!$A$32:$A$35,0))=0),0,(1/INDEX('Parametri Modello'!$F$32:$F$35,MATCH($B128,'Parametri Modello'!$A$32:$A$35,0))-1)*'Parametri Modello'!$B$28))),0)))*(1+INDEX('Parametri Modello'!$B$12:$B$15,MATCH($B128,'Parametri Modello'!$A$12:$A$15,0))),0),"")</f>
        <v>4</v>
      </c>
      <c r="I128" s="26" t="str">
        <f aca="false">IFERROR(INDEX('Input Statistiche 2025_26'!$F$3:$F$665,MATCH($A128,'Input Statistiche 2025_26'!$A$3:$A$665,0)),"")</f>
        <v/>
      </c>
      <c r="J128" s="26" t="str">
        <f aca="false">IFERROR(IF($I128="","",MAX(0,38-$I128)),"")</f>
        <v/>
      </c>
      <c r="K128" s="26" t="str">
        <f aca="false">IFERROR(INDEX('Input Statistiche 2025_26'!$I$3:$I$665,MATCH($A128,'Input Statistiche 2025_26'!$A$3:$A$665,0)),"")</f>
        <v/>
      </c>
      <c r="L128" s="26" t="str">
        <f aca="false">IFERROR(INDEX('Input Statistiche 2025_26'!$O$3:$O$665,MATCH($A128,'Input Statistiche 2025_26'!$A$3:$A$665,0)),"")</f>
        <v/>
      </c>
      <c r="M128" s="28"/>
      <c r="N128" s="27" t="n">
        <f aca="false">IFERROR(INDEX('Input Giocatori 2026_27'!$E$3:$E$493,MATCH($A128,'Input Giocatori 2026_27'!$A$3:$A$493,0)),"")</f>
        <v>8</v>
      </c>
      <c r="O128" s="27" t="n">
        <f aca="false">IFERROR(INDEX('Input Giocatori 2026_27'!$G$3:$G$493,MATCH($A128,'Input Giocatori 2026_27'!$A$3:$A$493,0)),"")</f>
        <v>25</v>
      </c>
      <c r="P128" s="26" t="str">
        <f aca="false">IFERROR(IF($O128="","",IF((1-(COUNTIFS($B$2:$B$492,$B128,$O$2:$O$492,"&gt;"&amp;$O128)+1-1)/COUNTIF($B$2:$B$492,$B128))&gt;=0.85,"Top",IF((1-(COUNTIFS($B$2:$B$492,$B128,$O$2:$O$492,"&gt;"&amp;$O128)+1-1)/COUNTIF($B$2:$B$492,$B128))&gt;=0.6,"Buono",IF((1-(COUNTIFS($B$2:$B$492,$B128,$O$2:$O$492,"&gt;"&amp;$O128)+1-1)/COUNTIF($B$2:$B$492,$B128))&gt;=0.3,"Nella Media","Scommessa/Riserva")))),"")</f>
        <v>Buono</v>
      </c>
      <c r="Q128" s="29" t="n">
        <f aca="false">IF($D128="",COUNTIF($D$2:$D128,""),"")</f>
        <v>127</v>
      </c>
      <c r="R128" s="29" t="str">
        <f aca="false">IF($D128='Info Lega'!$B$28,COUNTIFS($D$2:$D128,'Info Lega'!$B$28),"")</f>
        <v/>
      </c>
      <c r="S128" s="30" t="str">
        <f aca="false">IFERROR(INDEX('Input Statistiche 2025_26'!$G$3:$G$665,MATCH($A128,'Input Statistiche 2025_26'!$A$3:$A$665,0)),"")</f>
        <v/>
      </c>
      <c r="T128" s="30" t="str">
        <f aca="false">IFERROR(INDEX('Input Statistiche 2025_26'!$H$3:$H$665,MATCH($A128,'Input Statistiche 2025_26'!$A$3:$A$665,0)),"")</f>
        <v/>
      </c>
      <c r="U128" s="26" t="str">
        <f aca="false">IF(OR('La Mia Rosa'!$O$12="",$D128&lt;&gt;""),"",IF($F128&lt;='La Mia Rosa'!$O$12*'Parametri Modello'!$B$24,"OK",IF($F128&lt;='La Mia Rosa'!$O$12*'Parametri Modello'!$B$25,"Attenzione","Rischio Alto")))</f>
        <v>OK</v>
      </c>
      <c r="V128" s="26" t="n">
        <f aca="false">IFERROR(COUNTIFS($B$2:$B$492,$B128,$O$2:$O$492,"&gt;"&amp;$O128)+1,"")</f>
        <v>46</v>
      </c>
      <c r="W128" s="21" t="n">
        <f aca="false">'Info Lega'!$B$4-SUMIFS($M$2:$M$492,$D$2:$D$492,'Info Lega'!$B$28)</f>
        <v>1000</v>
      </c>
      <c r="X128" s="21" t="n">
        <f aca="false">('Info Lega'!$B$5-COUNTIFS($D$2:$D$492,'Info Lega'!$B$28,$B$2:$B$492,"P"))+('Info Lega'!$B$6-COUNTIFS($D$2:$D$492,'Info Lega'!$B$28,$B$2:$B$492,"D"))+('Info Lega'!$B$7-COUNTIFS($D$2:$D$492,'Info Lega'!$B$28,$B$2:$B$492,"C"))+('Info Lega'!$B$8-COUNTIFS($D$2:$D$492,'Info Lega'!$B$28,$B$2:$B$492,"A"))</f>
        <v>25</v>
      </c>
      <c r="Y128" s="21" t="n">
        <f aca="false">X128*'Parametri Modello'!$B$30</f>
        <v>25</v>
      </c>
      <c r="Z128" s="21" t="n">
        <f aca="false">MAX(0,W128-Y128)</f>
        <v>975</v>
      </c>
      <c r="AA128" s="21" t="n">
        <f aca="false">MIN(F128,Z128)</f>
        <v>3</v>
      </c>
      <c r="AB128" s="21"/>
      <c r="AC128" s="21" t="str">
        <f aca="false">IF(AB128="","",IF(AB128&gt;AA128,"PASS",IF(AB128&lt;=AA128*0.85,"BID","ATTENZIONE")))</f>
        <v/>
      </c>
      <c r="AD128" s="31" t="str">
        <f aca="false">IF(I128="","",ROUND(100*(1-EXP(-I128/30)),0))</f>
        <v/>
      </c>
      <c r="AE128" s="7" t="str">
        <f aca="false">IFERROR(INDEX('Stato Asta'!$G$9:$G$12,MATCH($B128,'Stato Asta'!$A$9:$A$12,0)),"")</f>
        <v>🟡 Attesa rischiosa</v>
      </c>
    </row>
    <row r="129" customFormat="false" ht="14.25" hidden="false" customHeight="true" outlineLevel="0" collapsed="false">
      <c r="A129" s="21" t="n">
        <v>7472</v>
      </c>
      <c r="B129" s="21" t="s">
        <v>45</v>
      </c>
      <c r="C129" s="21" t="s">
        <v>420</v>
      </c>
      <c r="E129" s="26" t="str">
        <f aca="false">IF(COUNTIF('Info Strategia'!$D$2:$D$51,$C129)&gt;0,"SI","NO")</f>
        <v>NO</v>
      </c>
      <c r="F129" s="27" t="n">
        <f aca="false">IFERROR(ROUND(($G129+($H129-$G129)*'Info Strategia'!$B$6)*(1+IF($E129="SI",'Parametri Modello'!$B$7*'Info Strategia'!$B$6,0)),0),"")</f>
        <v>3</v>
      </c>
      <c r="G129" s="27" t="n">
        <f aca="false">IFERROR(ROUND(MAX(1,(IF($V129&lt;=INDEX('Parametri Modello'!$C$57:$C$60,MATCH($B129,'Parametri Modello'!$A$57:$A$60,0)),IF(INDEX('Parametri Modello'!$E$57:$E$60,MATCH($B129,'Parametri Modello'!$A$57:$A$60,0))=0,0,($O129/INDEX('Parametri Modello'!$E$57:$E$60,MATCH($B129,'Parametri Modello'!$A$57:$A$60,0)))*(INDEX('Parametri Modello'!$D$57:$D$60,MATCH($B129,'Parametri Modello'!$A$57:$A$60,0))*(INDEX('Parametri Modello'!$B$50:$B$53,MATCH($B129,'Parametri Modello'!$A$50:$A$53,0))*'Parametri Modello'!$B$44))),IF(INDEX('Parametri Modello'!$F$57:$F$60,MATCH($B129,'Parametri Modello'!$A$57:$A$60,0))=0,0,($O129/INDEX('Parametri Modello'!$F$57:$F$60,MATCH($B129,'Parametri Modello'!$A$57:$A$60,0)))*((1-INDEX('Parametri Modello'!$D$57:$D$60,MATCH($B129,'Parametri Modello'!$A$57:$A$60,0)))*(INDEX('Parametri Modello'!$B$50:$B$53,MATCH($B129,'Parametri Modello'!$A$50:$A$53,0))*'Parametri Modello'!$B$44))))*(1+IF(IF($B129="D",'Info Lega'!$B$25,IF($B129="C",'Info Lega'!$B$26,"No"))="Si",'Parametri Modello'!$B$5,0))*(1+MAX(-0.25,MIN(0.25,IF(OR($T129="",$I129="",$I129=0,INDEX('Parametri Modello'!$B$19:$B$22,MATCH($B129,'Parametri Modello'!$A$19:$A$22,0))="",INDEX('Parametri Modello'!$B$19:$B$22,MATCH($B129,'Parametri Modello'!$A$19:$A$22,0))=0),0,(($T129-INDEX('Parametri Modello'!$B$19:$B$22,MATCH($B129,'Parametri Modello'!$A$19:$A$22,0)))/INDEX('Parametri Modello'!$B$19:$B$22,MATCH($B129,'Parametri Modello'!$A$19:$A$22,0)))*'Parametri Modello'!$B$9))))*(1+IF('Parametri Modello'!$B$27="Si",MAX(-'Parametri Modello'!$B$28,MIN('Parametri Modello'!$B$28*1.5,IF(OR(INDEX('Parametri Modello'!$F$32:$F$35,MATCH($B129,'Parametri Modello'!$A$32:$A$35,0))="",INDEX('Parametri Modello'!$F$32:$F$35,MATCH($B129,'Parametri Modello'!$A$32:$A$35,0))=0),0,(1/INDEX('Parametri Modello'!$F$32:$F$35,MATCH($B129,'Parametri Modello'!$A$32:$A$35,0))-1)*'Parametri Modello'!$B$28))),0)))*(1-INDEX('Parametri Modello'!$B$12:$B$15,MATCH($B129,'Parametri Modello'!$A$12:$A$15,0)))),0),"")</f>
        <v>2</v>
      </c>
      <c r="H129" s="27" t="n">
        <f aca="false">IFERROR(ROUND((IF($V129&lt;=INDEX('Parametri Modello'!$C$57:$C$60,MATCH($B129,'Parametri Modello'!$A$57:$A$60,0)),IF(INDEX('Parametri Modello'!$E$57:$E$60,MATCH($B129,'Parametri Modello'!$A$57:$A$60,0))=0,0,($O129/INDEX('Parametri Modello'!$E$57:$E$60,MATCH($B129,'Parametri Modello'!$A$57:$A$60,0)))*(INDEX('Parametri Modello'!$D$57:$D$60,MATCH($B129,'Parametri Modello'!$A$57:$A$60,0))*(INDEX('Parametri Modello'!$B$50:$B$53,MATCH($B129,'Parametri Modello'!$A$50:$A$53,0))*'Parametri Modello'!$B$44))),IF(INDEX('Parametri Modello'!$F$57:$F$60,MATCH($B129,'Parametri Modello'!$A$57:$A$60,0))=0,0,($O129/INDEX('Parametri Modello'!$F$57:$F$60,MATCH($B129,'Parametri Modello'!$A$57:$A$60,0)))*((1-INDEX('Parametri Modello'!$D$57:$D$60,MATCH($B129,'Parametri Modello'!$A$57:$A$60,0)))*(INDEX('Parametri Modello'!$B$50:$B$53,MATCH($B129,'Parametri Modello'!$A$50:$A$53,0))*'Parametri Modello'!$B$44))))*(1+IF(IF($B129="D",'Info Lega'!$B$25,IF($B129="C",'Info Lega'!$B$26,"No"))="Si",'Parametri Modello'!$B$5,0))*(1+MAX(-0.25,MIN(0.25,IF(OR($T129="",$I129="",$I129=0,INDEX('Parametri Modello'!$B$19:$B$22,MATCH($B129,'Parametri Modello'!$A$19:$A$22,0))="",INDEX('Parametri Modello'!$B$19:$B$22,MATCH($B129,'Parametri Modello'!$A$19:$A$22,0))=0),0,(($T129-INDEX('Parametri Modello'!$B$19:$B$22,MATCH($B129,'Parametri Modello'!$A$19:$A$22,0)))/INDEX('Parametri Modello'!$B$19:$B$22,MATCH($B129,'Parametri Modello'!$A$19:$A$22,0)))*'Parametri Modello'!$B$9))))*(1+IF('Parametri Modello'!$B$27="Si",MAX(-'Parametri Modello'!$B$28,MIN('Parametri Modello'!$B$28*1.5,IF(OR(INDEX('Parametri Modello'!$F$32:$F$35,MATCH($B129,'Parametri Modello'!$A$32:$A$35,0))="",INDEX('Parametri Modello'!$F$32:$F$35,MATCH($B129,'Parametri Modello'!$A$32:$A$35,0))=0),0,(1/INDEX('Parametri Modello'!$F$32:$F$35,MATCH($B129,'Parametri Modello'!$A$32:$A$35,0))-1)*'Parametri Modello'!$B$28))),0)))*(1+INDEX('Parametri Modello'!$B$12:$B$15,MATCH($B129,'Parametri Modello'!$A$12:$A$15,0))),0),"")</f>
        <v>4</v>
      </c>
      <c r="I129" s="26" t="str">
        <f aca="false">IFERROR(INDEX('Input Statistiche 2025_26'!$F$3:$F$665,MATCH($A129,'Input Statistiche 2025_26'!$A$3:$A$665,0)),"")</f>
        <v/>
      </c>
      <c r="J129" s="26" t="str">
        <f aca="false">IFERROR(IF($I129="","",MAX(0,38-$I129)),"")</f>
        <v/>
      </c>
      <c r="K129" s="26" t="str">
        <f aca="false">IFERROR(INDEX('Input Statistiche 2025_26'!$I$3:$I$665,MATCH($A129,'Input Statistiche 2025_26'!$A$3:$A$665,0)),"")</f>
        <v/>
      </c>
      <c r="L129" s="26" t="str">
        <f aca="false">IFERROR(INDEX('Input Statistiche 2025_26'!$O$3:$O$665,MATCH($A129,'Input Statistiche 2025_26'!$A$3:$A$665,0)),"")</f>
        <v/>
      </c>
      <c r="M129" s="28"/>
      <c r="N129" s="27" t="n">
        <f aca="false">IFERROR(INDEX('Input Giocatori 2026_27'!$E$3:$E$493,MATCH($A129,'Input Giocatori 2026_27'!$A$3:$A$493,0)),"")</f>
        <v>7</v>
      </c>
      <c r="O129" s="27" t="n">
        <f aca="false">IFERROR(INDEX('Input Giocatori 2026_27'!$G$3:$G$493,MATCH($A129,'Input Giocatori 2026_27'!$A$3:$A$493,0)),"")</f>
        <v>25</v>
      </c>
      <c r="P129" s="26" t="str">
        <f aca="false">IFERROR(IF($O129="","",IF((1-(COUNTIFS($B$2:$B$492,$B129,$O$2:$O$492,"&gt;"&amp;$O129)+1-1)/COUNTIF($B$2:$B$492,$B129))&gt;=0.85,"Top",IF((1-(COUNTIFS($B$2:$B$492,$B129,$O$2:$O$492,"&gt;"&amp;$O129)+1-1)/COUNTIF($B$2:$B$492,$B129))&gt;=0.6,"Buono",IF((1-(COUNTIFS($B$2:$B$492,$B129,$O$2:$O$492,"&gt;"&amp;$O129)+1-1)/COUNTIF($B$2:$B$492,$B129))&gt;=0.3,"Nella Media","Scommessa/Riserva")))),"")</f>
        <v>Buono</v>
      </c>
      <c r="Q129" s="29" t="n">
        <f aca="false">IF($D129="",COUNTIF($D$2:$D129,""),"")</f>
        <v>128</v>
      </c>
      <c r="R129" s="29" t="str">
        <f aca="false">IF($D129='Info Lega'!$B$28,COUNTIFS($D$2:$D129,'Info Lega'!$B$28),"")</f>
        <v/>
      </c>
      <c r="S129" s="30" t="str">
        <f aca="false">IFERROR(INDEX('Input Statistiche 2025_26'!$G$3:$G$665,MATCH($A129,'Input Statistiche 2025_26'!$A$3:$A$665,0)),"")</f>
        <v/>
      </c>
      <c r="T129" s="30" t="str">
        <f aca="false">IFERROR(INDEX('Input Statistiche 2025_26'!$H$3:$H$665,MATCH($A129,'Input Statistiche 2025_26'!$A$3:$A$665,0)),"")</f>
        <v/>
      </c>
      <c r="U129" s="26" t="str">
        <f aca="false">IF(OR('La Mia Rosa'!$O$12="",$D129&lt;&gt;""),"",IF($F129&lt;='La Mia Rosa'!$O$12*'Parametri Modello'!$B$24,"OK",IF($F129&lt;='La Mia Rosa'!$O$12*'Parametri Modello'!$B$25,"Attenzione","Rischio Alto")))</f>
        <v>OK</v>
      </c>
      <c r="V129" s="26" t="n">
        <f aca="false">IFERROR(COUNTIFS($B$2:$B$492,$B129,$O$2:$O$492,"&gt;"&amp;$O129)+1,"")</f>
        <v>46</v>
      </c>
      <c r="W129" s="21" t="n">
        <f aca="false">'Info Lega'!$B$4-SUMIFS($M$2:$M$492,$D$2:$D$492,'Info Lega'!$B$28)</f>
        <v>1000</v>
      </c>
      <c r="X129" s="21" t="n">
        <f aca="false">('Info Lega'!$B$5-COUNTIFS($D$2:$D$492,'Info Lega'!$B$28,$B$2:$B$492,"P"))+('Info Lega'!$B$6-COUNTIFS($D$2:$D$492,'Info Lega'!$B$28,$B$2:$B$492,"D"))+('Info Lega'!$B$7-COUNTIFS($D$2:$D$492,'Info Lega'!$B$28,$B$2:$B$492,"C"))+('Info Lega'!$B$8-COUNTIFS($D$2:$D$492,'Info Lega'!$B$28,$B$2:$B$492,"A"))</f>
        <v>25</v>
      </c>
      <c r="Y129" s="21" t="n">
        <f aca="false">X129*'Parametri Modello'!$B$30</f>
        <v>25</v>
      </c>
      <c r="Z129" s="21" t="n">
        <f aca="false">MAX(0,W129-Y129)</f>
        <v>975</v>
      </c>
      <c r="AA129" s="21" t="n">
        <f aca="false">MIN(F129,Z129)</f>
        <v>3</v>
      </c>
      <c r="AB129" s="21"/>
      <c r="AC129" s="21" t="str">
        <f aca="false">IF(AB129="","",IF(AB129&gt;AA129,"PASS",IF(AB129&lt;=AA129*0.85,"BID","ATTENZIONE")))</f>
        <v/>
      </c>
      <c r="AD129" s="31" t="str">
        <f aca="false">IF(I129="","",ROUND(100*(1-EXP(-I129/30)),0))</f>
        <v/>
      </c>
      <c r="AE129" s="7" t="str">
        <f aca="false">IFERROR(INDEX('Stato Asta'!$G$9:$G$12,MATCH($B129,'Stato Asta'!$A$9:$A$12,0)),"")</f>
        <v>🟡 Attesa rischiosa</v>
      </c>
    </row>
    <row r="130" customFormat="false" ht="14.25" hidden="false" customHeight="true" outlineLevel="0" collapsed="false">
      <c r="A130" s="21" t="n">
        <v>5029</v>
      </c>
      <c r="B130" s="21" t="s">
        <v>46</v>
      </c>
      <c r="C130" s="21" t="s">
        <v>575</v>
      </c>
      <c r="E130" s="26" t="str">
        <f aca="false">IF(COUNTIF('Info Strategia'!$D$2:$D$51,$C130)&gt;0,"SI","NO")</f>
        <v>NO</v>
      </c>
      <c r="F130" s="27" t="n">
        <f aca="false">IFERROR(ROUND(($G130+($H130-$G130)*'Info Strategia'!$B$6)*(1+IF($E130="SI",'Parametri Modello'!$B$7*'Info Strategia'!$B$6,0)),0),"")</f>
        <v>8</v>
      </c>
      <c r="G130" s="27" t="n">
        <f aca="false">IFERROR(ROUND(MAX(1,(IF($V130&lt;=INDEX('Parametri Modello'!$C$57:$C$60,MATCH($B130,'Parametri Modello'!$A$57:$A$60,0)),IF(INDEX('Parametri Modello'!$E$57:$E$60,MATCH($B130,'Parametri Modello'!$A$57:$A$60,0))=0,0,($O130/INDEX('Parametri Modello'!$E$57:$E$60,MATCH($B130,'Parametri Modello'!$A$57:$A$60,0)))*(INDEX('Parametri Modello'!$D$57:$D$60,MATCH($B130,'Parametri Modello'!$A$57:$A$60,0))*(INDEX('Parametri Modello'!$B$50:$B$53,MATCH($B130,'Parametri Modello'!$A$50:$A$53,0))*'Parametri Modello'!$B$44))),IF(INDEX('Parametri Modello'!$F$57:$F$60,MATCH($B130,'Parametri Modello'!$A$57:$A$60,0))=0,0,($O130/INDEX('Parametri Modello'!$F$57:$F$60,MATCH($B130,'Parametri Modello'!$A$57:$A$60,0)))*((1-INDEX('Parametri Modello'!$D$57:$D$60,MATCH($B130,'Parametri Modello'!$A$57:$A$60,0)))*(INDEX('Parametri Modello'!$B$50:$B$53,MATCH($B130,'Parametri Modello'!$A$50:$A$53,0))*'Parametri Modello'!$B$44))))*(1+IF(IF($B130="D",'Info Lega'!$B$25,IF($B130="C",'Info Lega'!$B$26,"No"))="Si",'Parametri Modello'!$B$5,0))*(1+MAX(-0.25,MIN(0.25,IF(OR($T130="",$I130="",$I130=0,INDEX('Parametri Modello'!$B$19:$B$22,MATCH($B130,'Parametri Modello'!$A$19:$A$22,0))="",INDEX('Parametri Modello'!$B$19:$B$22,MATCH($B130,'Parametri Modello'!$A$19:$A$22,0))=0),0,(($T130-INDEX('Parametri Modello'!$B$19:$B$22,MATCH($B130,'Parametri Modello'!$A$19:$A$22,0)))/INDEX('Parametri Modello'!$B$19:$B$22,MATCH($B130,'Parametri Modello'!$A$19:$A$22,0)))*'Parametri Modello'!$B$9))))*(1+IF('Parametri Modello'!$B$27="Si",MAX(-'Parametri Modello'!$B$28,MIN('Parametri Modello'!$B$28*1.5,IF(OR(INDEX('Parametri Modello'!$F$32:$F$35,MATCH($B130,'Parametri Modello'!$A$32:$A$35,0))="",INDEX('Parametri Modello'!$F$32:$F$35,MATCH($B130,'Parametri Modello'!$A$32:$A$35,0))=0),0,(1/INDEX('Parametri Modello'!$F$32:$F$35,MATCH($B130,'Parametri Modello'!$A$32:$A$35,0))-1)*'Parametri Modello'!$B$28))),0)))*(1-INDEX('Parametri Modello'!$B$12:$B$15,MATCH($B130,'Parametri Modello'!$A$12:$A$15,0)))),0),"")</f>
        <v>5</v>
      </c>
      <c r="H130" s="27" t="n">
        <f aca="false">IFERROR(ROUND((IF($V130&lt;=INDEX('Parametri Modello'!$C$57:$C$60,MATCH($B130,'Parametri Modello'!$A$57:$A$60,0)),IF(INDEX('Parametri Modello'!$E$57:$E$60,MATCH($B130,'Parametri Modello'!$A$57:$A$60,0))=0,0,($O130/INDEX('Parametri Modello'!$E$57:$E$60,MATCH($B130,'Parametri Modello'!$A$57:$A$60,0)))*(INDEX('Parametri Modello'!$D$57:$D$60,MATCH($B130,'Parametri Modello'!$A$57:$A$60,0))*(INDEX('Parametri Modello'!$B$50:$B$53,MATCH($B130,'Parametri Modello'!$A$50:$A$53,0))*'Parametri Modello'!$B$44))),IF(INDEX('Parametri Modello'!$F$57:$F$60,MATCH($B130,'Parametri Modello'!$A$57:$A$60,0))=0,0,($O130/INDEX('Parametri Modello'!$F$57:$F$60,MATCH($B130,'Parametri Modello'!$A$57:$A$60,0)))*((1-INDEX('Parametri Modello'!$D$57:$D$60,MATCH($B130,'Parametri Modello'!$A$57:$A$60,0)))*(INDEX('Parametri Modello'!$B$50:$B$53,MATCH($B130,'Parametri Modello'!$A$50:$A$53,0))*'Parametri Modello'!$B$44))))*(1+IF(IF($B130="D",'Info Lega'!$B$25,IF($B130="C",'Info Lega'!$B$26,"No"))="Si",'Parametri Modello'!$B$5,0))*(1+MAX(-0.25,MIN(0.25,IF(OR($T130="",$I130="",$I130=0,INDEX('Parametri Modello'!$B$19:$B$22,MATCH($B130,'Parametri Modello'!$A$19:$A$22,0))="",INDEX('Parametri Modello'!$B$19:$B$22,MATCH($B130,'Parametri Modello'!$A$19:$A$22,0))=0),0,(($T130-INDEX('Parametri Modello'!$B$19:$B$22,MATCH($B130,'Parametri Modello'!$A$19:$A$22,0)))/INDEX('Parametri Modello'!$B$19:$B$22,MATCH($B130,'Parametri Modello'!$A$19:$A$22,0)))*'Parametri Modello'!$B$9))))*(1+IF('Parametri Modello'!$B$27="Si",MAX(-'Parametri Modello'!$B$28,MIN('Parametri Modello'!$B$28*1.5,IF(OR(INDEX('Parametri Modello'!$F$32:$F$35,MATCH($B130,'Parametri Modello'!$A$32:$A$35,0))="",INDEX('Parametri Modello'!$F$32:$F$35,MATCH($B130,'Parametri Modello'!$A$32:$A$35,0))=0),0,(1/INDEX('Parametri Modello'!$F$32:$F$35,MATCH($B130,'Parametri Modello'!$A$32:$A$35,0))-1)*'Parametri Modello'!$B$28))),0)))*(1+INDEX('Parametri Modello'!$B$12:$B$15,MATCH($B130,'Parametri Modello'!$A$12:$A$15,0))),0),"")</f>
        <v>9</v>
      </c>
      <c r="I130" s="26" t="str">
        <f aca="false">IFERROR(INDEX('Input Statistiche 2025_26'!$F$3:$F$665,MATCH($A130,'Input Statistiche 2025_26'!$A$3:$A$665,0)),"")</f>
        <v/>
      </c>
      <c r="J130" s="26" t="str">
        <f aca="false">IFERROR(IF($I130="","",MAX(0,38-$I130)),"")</f>
        <v/>
      </c>
      <c r="K130" s="26" t="str">
        <f aca="false">IFERROR(INDEX('Input Statistiche 2025_26'!$I$3:$I$665,MATCH($A130,'Input Statistiche 2025_26'!$A$3:$A$665,0)),"")</f>
        <v/>
      </c>
      <c r="L130" s="26" t="str">
        <f aca="false">IFERROR(INDEX('Input Statistiche 2025_26'!$O$3:$O$665,MATCH($A130,'Input Statistiche 2025_26'!$A$3:$A$665,0)),"")</f>
        <v/>
      </c>
      <c r="M130" s="28"/>
      <c r="N130" s="27" t="n">
        <f aca="false">IFERROR(INDEX('Input Giocatori 2026_27'!$E$3:$E$493,MATCH($A130,'Input Giocatori 2026_27'!$A$3:$A$493,0)),"")</f>
        <v>9</v>
      </c>
      <c r="O130" s="27" t="n">
        <f aca="false">IFERROR(INDEX('Input Giocatori 2026_27'!$G$3:$G$493,MATCH($A130,'Input Giocatori 2026_27'!$A$3:$A$493,0)),"")</f>
        <v>25</v>
      </c>
      <c r="P130" s="26" t="str">
        <f aca="false">IFERROR(IF($O130="","",IF((1-(COUNTIFS($B$2:$B$492,$B130,$O$2:$O$492,"&gt;"&amp;$O130)+1-1)/COUNTIF($B$2:$B$492,$B130))&gt;=0.85,"Top",IF((1-(COUNTIFS($B$2:$B$492,$B130,$O$2:$O$492,"&gt;"&amp;$O130)+1-1)/COUNTIF($B$2:$B$492,$B130))&gt;=0.6,"Buono",IF((1-(COUNTIFS($B$2:$B$492,$B130,$O$2:$O$492,"&gt;"&amp;$O130)+1-1)/COUNTIF($B$2:$B$492,$B130))&gt;=0.3,"Nella Media","Scommessa/Riserva")))),"")</f>
        <v>Nella Media</v>
      </c>
      <c r="Q130" s="29" t="n">
        <f aca="false">IF($D130="",COUNTIF($D$2:$D130,""),"")</f>
        <v>129</v>
      </c>
      <c r="R130" s="29" t="str">
        <f aca="false">IF($D130='Info Lega'!$B$28,COUNTIFS($D$2:$D130,'Info Lega'!$B$28),"")</f>
        <v/>
      </c>
      <c r="S130" s="30" t="str">
        <f aca="false">IFERROR(INDEX('Input Statistiche 2025_26'!$G$3:$G$665,MATCH($A130,'Input Statistiche 2025_26'!$A$3:$A$665,0)),"")</f>
        <v/>
      </c>
      <c r="T130" s="30" t="str">
        <f aca="false">IFERROR(INDEX('Input Statistiche 2025_26'!$H$3:$H$665,MATCH($A130,'Input Statistiche 2025_26'!$A$3:$A$665,0)),"")</f>
        <v/>
      </c>
      <c r="U130" s="26" t="str">
        <f aca="false">IF(OR('La Mia Rosa'!$O$12="",$D130&lt;&gt;""),"",IF($F130&lt;='La Mia Rosa'!$O$12*'Parametri Modello'!$B$24,"OK",IF($F130&lt;='La Mia Rosa'!$O$12*'Parametri Modello'!$B$25,"Attenzione","Rischio Alto")))</f>
        <v>OK</v>
      </c>
      <c r="V130" s="26" t="n">
        <f aca="false">IFERROR(COUNTIFS($B$2:$B$492,$B130,$O$2:$O$492,"&gt;"&amp;$O130)+1,"")</f>
        <v>41</v>
      </c>
      <c r="W130" s="21" t="n">
        <f aca="false">'Info Lega'!$B$4-SUMIFS($M$2:$M$492,$D$2:$D$492,'Info Lega'!$B$28)</f>
        <v>1000</v>
      </c>
      <c r="X130" s="21" t="n">
        <f aca="false">('Info Lega'!$B$5-COUNTIFS($D$2:$D$492,'Info Lega'!$B$28,$B$2:$B$492,"P"))+('Info Lega'!$B$6-COUNTIFS($D$2:$D$492,'Info Lega'!$B$28,$B$2:$B$492,"D"))+('Info Lega'!$B$7-COUNTIFS($D$2:$D$492,'Info Lega'!$B$28,$B$2:$B$492,"C"))+('Info Lega'!$B$8-COUNTIFS($D$2:$D$492,'Info Lega'!$B$28,$B$2:$B$492,"A"))</f>
        <v>25</v>
      </c>
      <c r="Y130" s="21" t="n">
        <f aca="false">X130*'Parametri Modello'!$B$30</f>
        <v>25</v>
      </c>
      <c r="Z130" s="21" t="n">
        <f aca="false">MAX(0,W130-Y130)</f>
        <v>975</v>
      </c>
      <c r="AA130" s="21" t="n">
        <f aca="false">MIN(F130,Z130)</f>
        <v>8</v>
      </c>
      <c r="AB130" s="21"/>
      <c r="AC130" s="21" t="str">
        <f aca="false">IF(AB130="","",IF(AB130&gt;AA130,"PASS",IF(AB130&lt;=AA130*0.85,"BID","ATTENZIONE")))</f>
        <v/>
      </c>
      <c r="AD130" s="31" t="str">
        <f aca="false">IF(I130="","",ROUND(100*(1-EXP(-I130/30)),0))</f>
        <v/>
      </c>
      <c r="AE130" s="7" t="str">
        <f aca="false">IFERROR(INDEX('Stato Asta'!$G$9:$G$12,MATCH($B130,'Stato Asta'!$A$9:$A$12,0)),"")</f>
        <v>🔴 Non aspettare</v>
      </c>
    </row>
    <row r="131" customFormat="false" ht="14.25" hidden="false" customHeight="true" outlineLevel="0" collapsed="false">
      <c r="A131" s="21" t="n">
        <v>2832</v>
      </c>
      <c r="B131" s="21" t="s">
        <v>46</v>
      </c>
      <c r="C131" s="21" t="s">
        <v>589</v>
      </c>
      <c r="E131" s="26" t="str">
        <f aca="false">IF(COUNTIF('Info Strategia'!$D$2:$D$51,$C131)&gt;0,"SI","NO")</f>
        <v>NO</v>
      </c>
      <c r="F131" s="27" t="n">
        <f aca="false">IFERROR(ROUND(($G131+($H131-$G131)*'Info Strategia'!$B$6)*(1+IF($E131="SI",'Parametri Modello'!$B$7*'Info Strategia'!$B$6,0)),0),"")</f>
        <v>8</v>
      </c>
      <c r="G131" s="27" t="n">
        <f aca="false">IFERROR(ROUND(MAX(1,(IF($V131&lt;=INDEX('Parametri Modello'!$C$57:$C$60,MATCH($B131,'Parametri Modello'!$A$57:$A$60,0)),IF(INDEX('Parametri Modello'!$E$57:$E$60,MATCH($B131,'Parametri Modello'!$A$57:$A$60,0))=0,0,($O131/INDEX('Parametri Modello'!$E$57:$E$60,MATCH($B131,'Parametri Modello'!$A$57:$A$60,0)))*(INDEX('Parametri Modello'!$D$57:$D$60,MATCH($B131,'Parametri Modello'!$A$57:$A$60,0))*(INDEX('Parametri Modello'!$B$50:$B$53,MATCH($B131,'Parametri Modello'!$A$50:$A$53,0))*'Parametri Modello'!$B$44))),IF(INDEX('Parametri Modello'!$F$57:$F$60,MATCH($B131,'Parametri Modello'!$A$57:$A$60,0))=0,0,($O131/INDEX('Parametri Modello'!$F$57:$F$60,MATCH($B131,'Parametri Modello'!$A$57:$A$60,0)))*((1-INDEX('Parametri Modello'!$D$57:$D$60,MATCH($B131,'Parametri Modello'!$A$57:$A$60,0)))*(INDEX('Parametri Modello'!$B$50:$B$53,MATCH($B131,'Parametri Modello'!$A$50:$A$53,0))*'Parametri Modello'!$B$44))))*(1+IF(IF($B131="D",'Info Lega'!$B$25,IF($B131="C",'Info Lega'!$B$26,"No"))="Si",'Parametri Modello'!$B$5,0))*(1+MAX(-0.25,MIN(0.25,IF(OR($T131="",$I131="",$I131=0,INDEX('Parametri Modello'!$B$19:$B$22,MATCH($B131,'Parametri Modello'!$A$19:$A$22,0))="",INDEX('Parametri Modello'!$B$19:$B$22,MATCH($B131,'Parametri Modello'!$A$19:$A$22,0))=0),0,(($T131-INDEX('Parametri Modello'!$B$19:$B$22,MATCH($B131,'Parametri Modello'!$A$19:$A$22,0)))/INDEX('Parametri Modello'!$B$19:$B$22,MATCH($B131,'Parametri Modello'!$A$19:$A$22,0)))*'Parametri Modello'!$B$9))))*(1+IF('Parametri Modello'!$B$27="Si",MAX(-'Parametri Modello'!$B$28,MIN('Parametri Modello'!$B$28*1.5,IF(OR(INDEX('Parametri Modello'!$F$32:$F$35,MATCH($B131,'Parametri Modello'!$A$32:$A$35,0))="",INDEX('Parametri Modello'!$F$32:$F$35,MATCH($B131,'Parametri Modello'!$A$32:$A$35,0))=0),0,(1/INDEX('Parametri Modello'!$F$32:$F$35,MATCH($B131,'Parametri Modello'!$A$32:$A$35,0))-1)*'Parametri Modello'!$B$28))),0)))*(1-INDEX('Parametri Modello'!$B$12:$B$15,MATCH($B131,'Parametri Modello'!$A$12:$A$15,0)))),0),"")</f>
        <v>5</v>
      </c>
      <c r="H131" s="27" t="n">
        <f aca="false">IFERROR(ROUND((IF($V131&lt;=INDEX('Parametri Modello'!$C$57:$C$60,MATCH($B131,'Parametri Modello'!$A$57:$A$60,0)),IF(INDEX('Parametri Modello'!$E$57:$E$60,MATCH($B131,'Parametri Modello'!$A$57:$A$60,0))=0,0,($O131/INDEX('Parametri Modello'!$E$57:$E$60,MATCH($B131,'Parametri Modello'!$A$57:$A$60,0)))*(INDEX('Parametri Modello'!$D$57:$D$60,MATCH($B131,'Parametri Modello'!$A$57:$A$60,0))*(INDEX('Parametri Modello'!$B$50:$B$53,MATCH($B131,'Parametri Modello'!$A$50:$A$53,0))*'Parametri Modello'!$B$44))),IF(INDEX('Parametri Modello'!$F$57:$F$60,MATCH($B131,'Parametri Modello'!$A$57:$A$60,0))=0,0,($O131/INDEX('Parametri Modello'!$F$57:$F$60,MATCH($B131,'Parametri Modello'!$A$57:$A$60,0)))*((1-INDEX('Parametri Modello'!$D$57:$D$60,MATCH($B131,'Parametri Modello'!$A$57:$A$60,0)))*(INDEX('Parametri Modello'!$B$50:$B$53,MATCH($B131,'Parametri Modello'!$A$50:$A$53,0))*'Parametri Modello'!$B$44))))*(1+IF(IF($B131="D",'Info Lega'!$B$25,IF($B131="C",'Info Lega'!$B$26,"No"))="Si",'Parametri Modello'!$B$5,0))*(1+MAX(-0.25,MIN(0.25,IF(OR($T131="",$I131="",$I131=0,INDEX('Parametri Modello'!$B$19:$B$22,MATCH($B131,'Parametri Modello'!$A$19:$A$22,0))="",INDEX('Parametri Modello'!$B$19:$B$22,MATCH($B131,'Parametri Modello'!$A$19:$A$22,0))=0),0,(($T131-INDEX('Parametri Modello'!$B$19:$B$22,MATCH($B131,'Parametri Modello'!$A$19:$A$22,0)))/INDEX('Parametri Modello'!$B$19:$B$22,MATCH($B131,'Parametri Modello'!$A$19:$A$22,0)))*'Parametri Modello'!$B$9))))*(1+IF('Parametri Modello'!$B$27="Si",MAX(-'Parametri Modello'!$B$28,MIN('Parametri Modello'!$B$28*1.5,IF(OR(INDEX('Parametri Modello'!$F$32:$F$35,MATCH($B131,'Parametri Modello'!$A$32:$A$35,0))="",INDEX('Parametri Modello'!$F$32:$F$35,MATCH($B131,'Parametri Modello'!$A$32:$A$35,0))=0),0,(1/INDEX('Parametri Modello'!$F$32:$F$35,MATCH($B131,'Parametri Modello'!$A$32:$A$35,0))-1)*'Parametri Modello'!$B$28))),0)))*(1+INDEX('Parametri Modello'!$B$12:$B$15,MATCH($B131,'Parametri Modello'!$A$12:$A$15,0))),0),"")</f>
        <v>9</v>
      </c>
      <c r="I131" s="26" t="n">
        <f aca="false">IFERROR(INDEX('Input Statistiche 2025_26'!$F$3:$F$665,MATCH($A131,'Input Statistiche 2025_26'!$A$3:$A$665,0)),"")</f>
        <v>13</v>
      </c>
      <c r="J131" s="26" t="n">
        <f aca="false">IFERROR(IF($I131="","",MAX(0,38-$I131)),"")</f>
        <v>25</v>
      </c>
      <c r="K131" s="26" t="n">
        <f aca="false">IFERROR(INDEX('Input Statistiche 2025_26'!$I$3:$I$665,MATCH($A131,'Input Statistiche 2025_26'!$A$3:$A$665,0)),"")</f>
        <v>4</v>
      </c>
      <c r="L131" s="26" t="n">
        <f aca="false">IFERROR(INDEX('Input Statistiche 2025_26'!$O$3:$O$665,MATCH($A131,'Input Statistiche 2025_26'!$A$3:$A$665,0)),"")</f>
        <v>1</v>
      </c>
      <c r="M131" s="28"/>
      <c r="N131" s="27" t="n">
        <f aca="false">IFERROR(INDEX('Input Giocatori 2026_27'!$E$3:$E$493,MATCH($A131,'Input Giocatori 2026_27'!$A$3:$A$493,0)),"")</f>
        <v>6</v>
      </c>
      <c r="O131" s="27" t="n">
        <f aca="false">IFERROR(INDEX('Input Giocatori 2026_27'!$G$3:$G$493,MATCH($A131,'Input Giocatori 2026_27'!$A$3:$A$493,0)),"")</f>
        <v>25</v>
      </c>
      <c r="P131" s="26" t="str">
        <f aca="false">IFERROR(IF($O131="","",IF((1-(COUNTIFS($B$2:$B$492,$B131,$O$2:$O$492,"&gt;"&amp;$O131)+1-1)/COUNTIF($B$2:$B$492,$B131))&gt;=0.85,"Top",IF((1-(COUNTIFS($B$2:$B$492,$B131,$O$2:$O$492,"&gt;"&amp;$O131)+1-1)/COUNTIF($B$2:$B$492,$B131))&gt;=0.6,"Buono",IF((1-(COUNTIFS($B$2:$B$492,$B131,$O$2:$O$492,"&gt;"&amp;$O131)+1-1)/COUNTIF($B$2:$B$492,$B131))&gt;=0.3,"Nella Media","Scommessa/Riserva")))),"")</f>
        <v>Nella Media</v>
      </c>
      <c r="Q131" s="29" t="n">
        <f aca="false">IF($D131="",COUNTIF($D$2:$D131,""),"")</f>
        <v>130</v>
      </c>
      <c r="R131" s="29" t="str">
        <f aca="false">IF($D131='Info Lega'!$B$28,COUNTIFS($D$2:$D131,'Info Lega'!$B$28),"")</f>
        <v/>
      </c>
      <c r="S131" s="30" t="n">
        <f aca="false">IFERROR(INDEX('Input Statistiche 2025_26'!$G$3:$G$665,MATCH($A131,'Input Statistiche 2025_26'!$A$3:$A$665,0)),"")</f>
        <v>6.19</v>
      </c>
      <c r="T131" s="30" t="n">
        <f aca="false">IFERROR(INDEX('Input Statistiche 2025_26'!$H$3:$H$665,MATCH($A131,'Input Statistiche 2025_26'!$A$3:$A$665,0)),"")</f>
        <v>7.15</v>
      </c>
      <c r="U131" s="26" t="str">
        <f aca="false">IF(OR('La Mia Rosa'!$O$12="",$D131&lt;&gt;""),"",IF($F131&lt;='La Mia Rosa'!$O$12*'Parametri Modello'!$B$24,"OK",IF($F131&lt;='La Mia Rosa'!$O$12*'Parametri Modello'!$B$25,"Attenzione","Rischio Alto")))</f>
        <v>OK</v>
      </c>
      <c r="V131" s="26" t="n">
        <f aca="false">IFERROR(COUNTIFS($B$2:$B$492,$B131,$O$2:$O$492,"&gt;"&amp;$O131)+1,"")</f>
        <v>41</v>
      </c>
      <c r="W131" s="21" t="n">
        <f aca="false">'Info Lega'!$B$4-SUMIFS($M$2:$M$492,$D$2:$D$492,'Info Lega'!$B$28)</f>
        <v>1000</v>
      </c>
      <c r="X131" s="21" t="n">
        <f aca="false">('Info Lega'!$B$5-COUNTIFS($D$2:$D$492,'Info Lega'!$B$28,$B$2:$B$492,"P"))+('Info Lega'!$B$6-COUNTIFS($D$2:$D$492,'Info Lega'!$B$28,$B$2:$B$492,"D"))+('Info Lega'!$B$7-COUNTIFS($D$2:$D$492,'Info Lega'!$B$28,$B$2:$B$492,"C"))+('Info Lega'!$B$8-COUNTIFS($D$2:$D$492,'Info Lega'!$B$28,$B$2:$B$492,"A"))</f>
        <v>25</v>
      </c>
      <c r="Y131" s="21" t="n">
        <f aca="false">X131*'Parametri Modello'!$B$30</f>
        <v>25</v>
      </c>
      <c r="Z131" s="21" t="n">
        <f aca="false">MAX(0,W131-Y131)</f>
        <v>975</v>
      </c>
      <c r="AA131" s="21" t="n">
        <f aca="false">MIN(F131,Z131)</f>
        <v>8</v>
      </c>
      <c r="AB131" s="21"/>
      <c r="AC131" s="21" t="str">
        <f aca="false">IF(AB131="","",IF(AB131&gt;AA131,"PASS",IF(AB131&lt;=AA131*0.85,"BID","ATTENZIONE")))</f>
        <v/>
      </c>
      <c r="AD131" s="31" t="n">
        <f aca="false">IF(I131="","",ROUND(100*(1-EXP(-I131/30)),0))</f>
        <v>35</v>
      </c>
      <c r="AE131" s="7" t="str">
        <f aca="false">IFERROR(INDEX('Stato Asta'!$G$9:$G$12,MATCH($B131,'Stato Asta'!$A$9:$A$12,0)),"")</f>
        <v>🔴 Non aspettare</v>
      </c>
    </row>
    <row r="132" customFormat="false" ht="14.25" hidden="false" customHeight="true" outlineLevel="0" collapsed="false">
      <c r="A132" s="21" t="n">
        <v>554</v>
      </c>
      <c r="B132" s="21" t="s">
        <v>44</v>
      </c>
      <c r="C132" s="21" t="s">
        <v>214</v>
      </c>
      <c r="E132" s="26" t="str">
        <f aca="false">IF(COUNTIF('Info Strategia'!$D$2:$D$51,$C132)&gt;0,"SI","NO")</f>
        <v>NO</v>
      </c>
      <c r="F132" s="27" t="n">
        <f aca="false">IFERROR(ROUND(($G132+($H132-$G132)*'Info Strategia'!$B$6)*(1+IF($E132="SI",'Parametri Modello'!$B$7*'Info Strategia'!$B$6,0)),0),"")</f>
        <v>4</v>
      </c>
      <c r="G132" s="27" t="n">
        <f aca="false">IFERROR(ROUND(MAX(1,(IF($V132&lt;=INDEX('Parametri Modello'!$C$57:$C$60,MATCH($B132,'Parametri Modello'!$A$57:$A$60,0)),IF(INDEX('Parametri Modello'!$E$57:$E$60,MATCH($B132,'Parametri Modello'!$A$57:$A$60,0))=0,0,($O132/INDEX('Parametri Modello'!$E$57:$E$60,MATCH($B132,'Parametri Modello'!$A$57:$A$60,0)))*(INDEX('Parametri Modello'!$D$57:$D$60,MATCH($B132,'Parametri Modello'!$A$57:$A$60,0))*(INDEX('Parametri Modello'!$B$50:$B$53,MATCH($B132,'Parametri Modello'!$A$50:$A$53,0))*'Parametri Modello'!$B$44))),IF(INDEX('Parametri Modello'!$F$57:$F$60,MATCH($B132,'Parametri Modello'!$A$57:$A$60,0))=0,0,($O132/INDEX('Parametri Modello'!$F$57:$F$60,MATCH($B132,'Parametri Modello'!$A$57:$A$60,0)))*((1-INDEX('Parametri Modello'!$D$57:$D$60,MATCH($B132,'Parametri Modello'!$A$57:$A$60,0)))*(INDEX('Parametri Modello'!$B$50:$B$53,MATCH($B132,'Parametri Modello'!$A$50:$A$53,0))*'Parametri Modello'!$B$44))))*(1+IF(IF($B132="D",'Info Lega'!$B$25,IF($B132="C",'Info Lega'!$B$26,"No"))="Si",'Parametri Modello'!$B$5,0))*(1+MAX(-0.25,MIN(0.25,IF(OR($T132="",$I132="",$I132=0,INDEX('Parametri Modello'!$B$19:$B$22,MATCH($B132,'Parametri Modello'!$A$19:$A$22,0))="",INDEX('Parametri Modello'!$B$19:$B$22,MATCH($B132,'Parametri Modello'!$A$19:$A$22,0))=0),0,(($T132-INDEX('Parametri Modello'!$B$19:$B$22,MATCH($B132,'Parametri Modello'!$A$19:$A$22,0)))/INDEX('Parametri Modello'!$B$19:$B$22,MATCH($B132,'Parametri Modello'!$A$19:$A$22,0)))*'Parametri Modello'!$B$9))))*(1+IF('Parametri Modello'!$B$27="Si",MAX(-'Parametri Modello'!$B$28,MIN('Parametri Modello'!$B$28*1.5,IF(OR(INDEX('Parametri Modello'!$F$32:$F$35,MATCH($B132,'Parametri Modello'!$A$32:$A$35,0))="",INDEX('Parametri Modello'!$F$32:$F$35,MATCH($B132,'Parametri Modello'!$A$32:$A$35,0))=0),0,(1/INDEX('Parametri Modello'!$F$32:$F$35,MATCH($B132,'Parametri Modello'!$A$32:$A$35,0))-1)*'Parametri Modello'!$B$28))),0)))*(1-INDEX('Parametri Modello'!$B$12:$B$15,MATCH($B132,'Parametri Modello'!$A$12:$A$15,0)))),0),"")</f>
        <v>3</v>
      </c>
      <c r="H132" s="27" t="n">
        <f aca="false">IFERROR(ROUND((IF($V132&lt;=INDEX('Parametri Modello'!$C$57:$C$60,MATCH($B132,'Parametri Modello'!$A$57:$A$60,0)),IF(INDEX('Parametri Modello'!$E$57:$E$60,MATCH($B132,'Parametri Modello'!$A$57:$A$60,0))=0,0,($O132/INDEX('Parametri Modello'!$E$57:$E$60,MATCH($B132,'Parametri Modello'!$A$57:$A$60,0)))*(INDEX('Parametri Modello'!$D$57:$D$60,MATCH($B132,'Parametri Modello'!$A$57:$A$60,0))*(INDEX('Parametri Modello'!$B$50:$B$53,MATCH($B132,'Parametri Modello'!$A$50:$A$53,0))*'Parametri Modello'!$B$44))),IF(INDEX('Parametri Modello'!$F$57:$F$60,MATCH($B132,'Parametri Modello'!$A$57:$A$60,0))=0,0,($O132/INDEX('Parametri Modello'!$F$57:$F$60,MATCH($B132,'Parametri Modello'!$A$57:$A$60,0)))*((1-INDEX('Parametri Modello'!$D$57:$D$60,MATCH($B132,'Parametri Modello'!$A$57:$A$60,0)))*(INDEX('Parametri Modello'!$B$50:$B$53,MATCH($B132,'Parametri Modello'!$A$50:$A$53,0))*'Parametri Modello'!$B$44))))*(1+IF(IF($B132="D",'Info Lega'!$B$25,IF($B132="C",'Info Lega'!$B$26,"No"))="Si",'Parametri Modello'!$B$5,0))*(1+MAX(-0.25,MIN(0.25,IF(OR($T132="",$I132="",$I132=0,INDEX('Parametri Modello'!$B$19:$B$22,MATCH($B132,'Parametri Modello'!$A$19:$A$22,0))="",INDEX('Parametri Modello'!$B$19:$B$22,MATCH($B132,'Parametri Modello'!$A$19:$A$22,0))=0),0,(($T132-INDEX('Parametri Modello'!$B$19:$B$22,MATCH($B132,'Parametri Modello'!$A$19:$A$22,0)))/INDEX('Parametri Modello'!$B$19:$B$22,MATCH($B132,'Parametri Modello'!$A$19:$A$22,0)))*'Parametri Modello'!$B$9))))*(1+IF('Parametri Modello'!$B$27="Si",MAX(-'Parametri Modello'!$B$28,MIN('Parametri Modello'!$B$28*1.5,IF(OR(INDEX('Parametri Modello'!$F$32:$F$35,MATCH($B132,'Parametri Modello'!$A$32:$A$35,0))="",INDEX('Parametri Modello'!$F$32:$F$35,MATCH($B132,'Parametri Modello'!$A$32:$A$35,0))=0),0,(1/INDEX('Parametri Modello'!$F$32:$F$35,MATCH($B132,'Parametri Modello'!$A$32:$A$35,0))-1)*'Parametri Modello'!$B$28))),0)))*(1+INDEX('Parametri Modello'!$B$12:$B$15,MATCH($B132,'Parametri Modello'!$A$12:$A$15,0))),0),"")</f>
        <v>5</v>
      </c>
      <c r="I132" s="26" t="n">
        <f aca="false">IFERROR(INDEX('Input Statistiche 2025_26'!$F$3:$F$665,MATCH($A132,'Input Statistiche 2025_26'!$A$3:$A$665,0)),"")</f>
        <v>35</v>
      </c>
      <c r="J132" s="26" t="n">
        <f aca="false">IFERROR(IF($I132="","",MAX(0,38-$I132)),"")</f>
        <v>3</v>
      </c>
      <c r="K132" s="26" t="n">
        <f aca="false">IFERROR(INDEX('Input Statistiche 2025_26'!$I$3:$I$665,MATCH($A132,'Input Statistiche 2025_26'!$A$3:$A$665,0)),"")</f>
        <v>3</v>
      </c>
      <c r="L132" s="26" t="n">
        <f aca="false">IFERROR(INDEX('Input Statistiche 2025_26'!$O$3:$O$665,MATCH($A132,'Input Statistiche 2025_26'!$A$3:$A$665,0)),"")</f>
        <v>1</v>
      </c>
      <c r="M132" s="28"/>
      <c r="N132" s="27" t="n">
        <f aca="false">IFERROR(INDEX('Input Giocatori 2026_27'!$E$3:$E$493,MATCH($A132,'Input Giocatori 2026_27'!$A$3:$A$493,0)),"")</f>
        <v>8</v>
      </c>
      <c r="O132" s="27" t="n">
        <f aca="false">IFERROR(INDEX('Input Giocatori 2026_27'!$G$3:$G$493,MATCH($A132,'Input Giocatori 2026_27'!$A$3:$A$493,0)),"")</f>
        <v>24</v>
      </c>
      <c r="P132" s="26" t="str">
        <f aca="false">IFERROR(IF($O132="","",IF((1-(COUNTIFS($B$2:$B$492,$B132,$O$2:$O$492,"&gt;"&amp;$O132)+1-1)/COUNTIF($B$2:$B$492,$B132))&gt;=0.85,"Top",IF((1-(COUNTIFS($B$2:$B$492,$B132,$O$2:$O$492,"&gt;"&amp;$O132)+1-1)/COUNTIF($B$2:$B$492,$B132))&gt;=0.6,"Buono",IF((1-(COUNTIFS($B$2:$B$492,$B132,$O$2:$O$492,"&gt;"&amp;$O132)+1-1)/COUNTIF($B$2:$B$492,$B132))&gt;=0.3,"Nella Media","Scommessa/Riserva")))),"")</f>
        <v>Top</v>
      </c>
      <c r="Q132" s="29" t="n">
        <f aca="false">IF($D132="",COUNTIF($D$2:$D132,""),"")</f>
        <v>131</v>
      </c>
      <c r="R132" s="29" t="str">
        <f aca="false">IF($D132='Info Lega'!$B$28,COUNTIFS($D$2:$D132,'Info Lega'!$B$28),"")</f>
        <v/>
      </c>
      <c r="S132" s="30" t="n">
        <f aca="false">IFERROR(INDEX('Input Statistiche 2025_26'!$G$3:$G$665,MATCH($A132,'Input Statistiche 2025_26'!$A$3:$A$665,0)),"")</f>
        <v>6.06</v>
      </c>
      <c r="T132" s="30" t="n">
        <f aca="false">IFERROR(INDEX('Input Statistiche 2025_26'!$H$3:$H$665,MATCH($A132,'Input Statistiche 2025_26'!$A$3:$A$665,0)),"")</f>
        <v>6.3</v>
      </c>
      <c r="U132" s="26" t="str">
        <f aca="false">IF(OR('La Mia Rosa'!$O$12="",$D132&lt;&gt;""),"",IF($F132&lt;='La Mia Rosa'!$O$12*'Parametri Modello'!$B$24,"OK",IF($F132&lt;='La Mia Rosa'!$O$12*'Parametri Modello'!$B$25,"Attenzione","Rischio Alto")))</f>
        <v>OK</v>
      </c>
      <c r="V132" s="26" t="n">
        <f aca="false">IFERROR(COUNTIFS($B$2:$B$492,$B132,$O$2:$O$492,"&gt;"&amp;$O132)+1,"")</f>
        <v>26</v>
      </c>
      <c r="W132" s="21" t="n">
        <f aca="false">'Info Lega'!$B$4-SUMIFS($M$2:$M$492,$D$2:$D$492,'Info Lega'!$B$28)</f>
        <v>1000</v>
      </c>
      <c r="X132" s="21" t="n">
        <f aca="false">('Info Lega'!$B$5-COUNTIFS($D$2:$D$492,'Info Lega'!$B$28,$B$2:$B$492,"P"))+('Info Lega'!$B$6-COUNTIFS($D$2:$D$492,'Info Lega'!$B$28,$B$2:$B$492,"D"))+('Info Lega'!$B$7-COUNTIFS($D$2:$D$492,'Info Lega'!$B$28,$B$2:$B$492,"C"))+('Info Lega'!$B$8-COUNTIFS($D$2:$D$492,'Info Lega'!$B$28,$B$2:$B$492,"A"))</f>
        <v>25</v>
      </c>
      <c r="Y132" s="21" t="n">
        <f aca="false">X132*'Parametri Modello'!$B$30</f>
        <v>25</v>
      </c>
      <c r="Z132" s="21" t="n">
        <f aca="false">MAX(0,W132-Y132)</f>
        <v>975</v>
      </c>
      <c r="AA132" s="21" t="n">
        <f aca="false">MIN(F132,Z132)</f>
        <v>4</v>
      </c>
      <c r="AB132" s="21"/>
      <c r="AC132" s="21" t="str">
        <f aca="false">IF(AB132="","",IF(AB132&gt;AA132,"PASS",IF(AB132&lt;=AA132*0.85,"BID","ATTENZIONE")))</f>
        <v/>
      </c>
      <c r="AD132" s="31" t="n">
        <f aca="false">IF(I132="","",ROUND(100*(1-EXP(-I132/30)),0))</f>
        <v>69</v>
      </c>
      <c r="AE132" s="7" t="str">
        <f aca="false">IFERROR(INDEX('Stato Asta'!$G$9:$G$12,MATCH($B132,'Stato Asta'!$A$9:$A$12,0)),"")</f>
        <v>🟡 Attesa rischiosa</v>
      </c>
    </row>
    <row r="133" customFormat="false" ht="14.25" hidden="false" customHeight="true" outlineLevel="0" collapsed="false">
      <c r="A133" s="21" t="n">
        <v>4734</v>
      </c>
      <c r="B133" s="21" t="s">
        <v>44</v>
      </c>
      <c r="C133" s="21" t="s">
        <v>216</v>
      </c>
      <c r="E133" s="26" t="str">
        <f aca="false">IF(COUNTIF('Info Strategia'!$D$2:$D$51,$C133)&gt;0,"SI","NO")</f>
        <v>NO</v>
      </c>
      <c r="F133" s="27" t="n">
        <f aca="false">IFERROR(ROUND(($G133+($H133-$G133)*'Info Strategia'!$B$6)*(1+IF($E133="SI",'Parametri Modello'!$B$7*'Info Strategia'!$B$6,0)),0),"")</f>
        <v>4</v>
      </c>
      <c r="G133" s="27" t="n">
        <f aca="false">IFERROR(ROUND(MAX(1,(IF($V133&lt;=INDEX('Parametri Modello'!$C$57:$C$60,MATCH($B133,'Parametri Modello'!$A$57:$A$60,0)),IF(INDEX('Parametri Modello'!$E$57:$E$60,MATCH($B133,'Parametri Modello'!$A$57:$A$60,0))=0,0,($O133/INDEX('Parametri Modello'!$E$57:$E$60,MATCH($B133,'Parametri Modello'!$A$57:$A$60,0)))*(INDEX('Parametri Modello'!$D$57:$D$60,MATCH($B133,'Parametri Modello'!$A$57:$A$60,0))*(INDEX('Parametri Modello'!$B$50:$B$53,MATCH($B133,'Parametri Modello'!$A$50:$A$53,0))*'Parametri Modello'!$B$44))),IF(INDEX('Parametri Modello'!$F$57:$F$60,MATCH($B133,'Parametri Modello'!$A$57:$A$60,0))=0,0,($O133/INDEX('Parametri Modello'!$F$57:$F$60,MATCH($B133,'Parametri Modello'!$A$57:$A$60,0)))*((1-INDEX('Parametri Modello'!$D$57:$D$60,MATCH($B133,'Parametri Modello'!$A$57:$A$60,0)))*(INDEX('Parametri Modello'!$B$50:$B$53,MATCH($B133,'Parametri Modello'!$A$50:$A$53,0))*'Parametri Modello'!$B$44))))*(1+IF(IF($B133="D",'Info Lega'!$B$25,IF($B133="C",'Info Lega'!$B$26,"No"))="Si",'Parametri Modello'!$B$5,0))*(1+MAX(-0.25,MIN(0.25,IF(OR($T133="",$I133="",$I133=0,INDEX('Parametri Modello'!$B$19:$B$22,MATCH($B133,'Parametri Modello'!$A$19:$A$22,0))="",INDEX('Parametri Modello'!$B$19:$B$22,MATCH($B133,'Parametri Modello'!$A$19:$A$22,0))=0),0,(($T133-INDEX('Parametri Modello'!$B$19:$B$22,MATCH($B133,'Parametri Modello'!$A$19:$A$22,0)))/INDEX('Parametri Modello'!$B$19:$B$22,MATCH($B133,'Parametri Modello'!$A$19:$A$22,0)))*'Parametri Modello'!$B$9))))*(1+IF('Parametri Modello'!$B$27="Si",MAX(-'Parametri Modello'!$B$28,MIN('Parametri Modello'!$B$28*1.5,IF(OR(INDEX('Parametri Modello'!$F$32:$F$35,MATCH($B133,'Parametri Modello'!$A$32:$A$35,0))="",INDEX('Parametri Modello'!$F$32:$F$35,MATCH($B133,'Parametri Modello'!$A$32:$A$35,0))=0),0,(1/INDEX('Parametri Modello'!$F$32:$F$35,MATCH($B133,'Parametri Modello'!$A$32:$A$35,0))-1)*'Parametri Modello'!$B$28))),0)))*(1-INDEX('Parametri Modello'!$B$12:$B$15,MATCH($B133,'Parametri Modello'!$A$12:$A$15,0)))),0),"")</f>
        <v>3</v>
      </c>
      <c r="H133" s="27" t="n">
        <f aca="false">IFERROR(ROUND((IF($V133&lt;=INDEX('Parametri Modello'!$C$57:$C$60,MATCH($B133,'Parametri Modello'!$A$57:$A$60,0)),IF(INDEX('Parametri Modello'!$E$57:$E$60,MATCH($B133,'Parametri Modello'!$A$57:$A$60,0))=0,0,($O133/INDEX('Parametri Modello'!$E$57:$E$60,MATCH($B133,'Parametri Modello'!$A$57:$A$60,0)))*(INDEX('Parametri Modello'!$D$57:$D$60,MATCH($B133,'Parametri Modello'!$A$57:$A$60,0))*(INDEX('Parametri Modello'!$B$50:$B$53,MATCH($B133,'Parametri Modello'!$A$50:$A$53,0))*'Parametri Modello'!$B$44))),IF(INDEX('Parametri Modello'!$F$57:$F$60,MATCH($B133,'Parametri Modello'!$A$57:$A$60,0))=0,0,($O133/INDEX('Parametri Modello'!$F$57:$F$60,MATCH($B133,'Parametri Modello'!$A$57:$A$60,0)))*((1-INDEX('Parametri Modello'!$D$57:$D$60,MATCH($B133,'Parametri Modello'!$A$57:$A$60,0)))*(INDEX('Parametri Modello'!$B$50:$B$53,MATCH($B133,'Parametri Modello'!$A$50:$A$53,0))*'Parametri Modello'!$B$44))))*(1+IF(IF($B133="D",'Info Lega'!$B$25,IF($B133="C",'Info Lega'!$B$26,"No"))="Si",'Parametri Modello'!$B$5,0))*(1+MAX(-0.25,MIN(0.25,IF(OR($T133="",$I133="",$I133=0,INDEX('Parametri Modello'!$B$19:$B$22,MATCH($B133,'Parametri Modello'!$A$19:$A$22,0))="",INDEX('Parametri Modello'!$B$19:$B$22,MATCH($B133,'Parametri Modello'!$A$19:$A$22,0))=0),0,(($T133-INDEX('Parametri Modello'!$B$19:$B$22,MATCH($B133,'Parametri Modello'!$A$19:$A$22,0)))/INDEX('Parametri Modello'!$B$19:$B$22,MATCH($B133,'Parametri Modello'!$A$19:$A$22,0)))*'Parametri Modello'!$B$9))))*(1+IF('Parametri Modello'!$B$27="Si",MAX(-'Parametri Modello'!$B$28,MIN('Parametri Modello'!$B$28*1.5,IF(OR(INDEX('Parametri Modello'!$F$32:$F$35,MATCH($B133,'Parametri Modello'!$A$32:$A$35,0))="",INDEX('Parametri Modello'!$F$32:$F$35,MATCH($B133,'Parametri Modello'!$A$32:$A$35,0))=0),0,(1/INDEX('Parametri Modello'!$F$32:$F$35,MATCH($B133,'Parametri Modello'!$A$32:$A$35,0))-1)*'Parametri Modello'!$B$28))),0)))*(1+INDEX('Parametri Modello'!$B$12:$B$15,MATCH($B133,'Parametri Modello'!$A$12:$A$15,0))),0),"")</f>
        <v>5</v>
      </c>
      <c r="I133" s="26" t="n">
        <f aca="false">IFERROR(INDEX('Input Statistiche 2025_26'!$F$3:$F$665,MATCH($A133,'Input Statistiche 2025_26'!$A$3:$A$665,0)),"")</f>
        <v>31</v>
      </c>
      <c r="J133" s="26" t="n">
        <f aca="false">IFERROR(IF($I133="","",MAX(0,38-$I133)),"")</f>
        <v>7</v>
      </c>
      <c r="K133" s="26" t="n">
        <f aca="false">IFERROR(INDEX('Input Statistiche 2025_26'!$I$3:$I$665,MATCH($A133,'Input Statistiche 2025_26'!$A$3:$A$665,0)),"")</f>
        <v>1</v>
      </c>
      <c r="L133" s="26" t="n">
        <f aca="false">IFERROR(INDEX('Input Statistiche 2025_26'!$O$3:$O$665,MATCH($A133,'Input Statistiche 2025_26'!$A$3:$A$665,0)),"")</f>
        <v>3</v>
      </c>
      <c r="M133" s="28"/>
      <c r="N133" s="27" t="n">
        <f aca="false">IFERROR(INDEX('Input Giocatori 2026_27'!$E$3:$E$493,MATCH($A133,'Input Giocatori 2026_27'!$A$3:$A$493,0)),"")</f>
        <v>8</v>
      </c>
      <c r="O133" s="27" t="n">
        <f aca="false">IFERROR(INDEX('Input Giocatori 2026_27'!$G$3:$G$493,MATCH($A133,'Input Giocatori 2026_27'!$A$3:$A$493,0)),"")</f>
        <v>24</v>
      </c>
      <c r="P133" s="26" t="str">
        <f aca="false">IFERROR(IF($O133="","",IF((1-(COUNTIFS($B$2:$B$492,$B133,$O$2:$O$492,"&gt;"&amp;$O133)+1-1)/COUNTIF($B$2:$B$492,$B133))&gt;=0.85,"Top",IF((1-(COUNTIFS($B$2:$B$492,$B133,$O$2:$O$492,"&gt;"&amp;$O133)+1-1)/COUNTIF($B$2:$B$492,$B133))&gt;=0.6,"Buono",IF((1-(COUNTIFS($B$2:$B$492,$B133,$O$2:$O$492,"&gt;"&amp;$O133)+1-1)/COUNTIF($B$2:$B$492,$B133))&gt;=0.3,"Nella Media","Scommessa/Riserva")))),"")</f>
        <v>Top</v>
      </c>
      <c r="Q133" s="29" t="n">
        <f aca="false">IF($D133="",COUNTIF($D$2:$D133,""),"")</f>
        <v>132</v>
      </c>
      <c r="R133" s="29" t="str">
        <f aca="false">IF($D133='Info Lega'!$B$28,COUNTIFS($D$2:$D133,'Info Lega'!$B$28),"")</f>
        <v/>
      </c>
      <c r="S133" s="30" t="n">
        <f aca="false">IFERROR(INDEX('Input Statistiche 2025_26'!$G$3:$G$665,MATCH($A133,'Input Statistiche 2025_26'!$A$3:$A$665,0)),"")</f>
        <v>6</v>
      </c>
      <c r="T133" s="30" t="n">
        <f aca="false">IFERROR(INDEX('Input Statistiche 2025_26'!$H$3:$H$665,MATCH($A133,'Input Statistiche 2025_26'!$A$3:$A$665,0)),"")</f>
        <v>6.1</v>
      </c>
      <c r="U133" s="26" t="str">
        <f aca="false">IF(OR('La Mia Rosa'!$O$12="",$D133&lt;&gt;""),"",IF($F133&lt;='La Mia Rosa'!$O$12*'Parametri Modello'!$B$24,"OK",IF($F133&lt;='La Mia Rosa'!$O$12*'Parametri Modello'!$B$25,"Attenzione","Rischio Alto")))</f>
        <v>OK</v>
      </c>
      <c r="V133" s="26" t="n">
        <f aca="false">IFERROR(COUNTIFS($B$2:$B$492,$B133,$O$2:$O$492,"&gt;"&amp;$O133)+1,"")</f>
        <v>26</v>
      </c>
      <c r="W133" s="21" t="n">
        <f aca="false">'Info Lega'!$B$4-SUMIFS($M$2:$M$492,$D$2:$D$492,'Info Lega'!$B$28)</f>
        <v>1000</v>
      </c>
      <c r="X133" s="21" t="n">
        <f aca="false">('Info Lega'!$B$5-COUNTIFS($D$2:$D$492,'Info Lega'!$B$28,$B$2:$B$492,"P"))+('Info Lega'!$B$6-COUNTIFS($D$2:$D$492,'Info Lega'!$B$28,$B$2:$B$492,"D"))+('Info Lega'!$B$7-COUNTIFS($D$2:$D$492,'Info Lega'!$B$28,$B$2:$B$492,"C"))+('Info Lega'!$B$8-COUNTIFS($D$2:$D$492,'Info Lega'!$B$28,$B$2:$B$492,"A"))</f>
        <v>25</v>
      </c>
      <c r="Y133" s="21" t="n">
        <f aca="false">X133*'Parametri Modello'!$B$30</f>
        <v>25</v>
      </c>
      <c r="Z133" s="21" t="n">
        <f aca="false">MAX(0,W133-Y133)</f>
        <v>975</v>
      </c>
      <c r="AA133" s="21" t="n">
        <f aca="false">MIN(F133,Z133)</f>
        <v>4</v>
      </c>
      <c r="AB133" s="21"/>
      <c r="AC133" s="21" t="str">
        <f aca="false">IF(AB133="","",IF(AB133&gt;AA133,"PASS",IF(AB133&lt;=AA133*0.85,"BID","ATTENZIONE")))</f>
        <v/>
      </c>
      <c r="AD133" s="31" t="n">
        <f aca="false">IF(I133="","",ROUND(100*(1-EXP(-I133/30)),0))</f>
        <v>64</v>
      </c>
      <c r="AE133" s="7" t="str">
        <f aca="false">IFERROR(INDEX('Stato Asta'!$G$9:$G$12,MATCH($B133,'Stato Asta'!$A$9:$A$12,0)),"")</f>
        <v>🟡 Attesa rischiosa</v>
      </c>
    </row>
    <row r="134" customFormat="false" ht="14.25" hidden="false" customHeight="true" outlineLevel="0" collapsed="false">
      <c r="A134" s="21" t="n">
        <v>1852</v>
      </c>
      <c r="B134" s="21" t="s">
        <v>44</v>
      </c>
      <c r="C134" s="21" t="s">
        <v>223</v>
      </c>
      <c r="E134" s="26" t="str">
        <f aca="false">IF(COUNTIF('Info Strategia'!$D$2:$D$51,$C134)&gt;0,"SI","NO")</f>
        <v>NO</v>
      </c>
      <c r="F134" s="27" t="n">
        <f aca="false">IFERROR(ROUND(($G134+($H134-$G134)*'Info Strategia'!$B$6)*(1+IF($E134="SI",'Parametri Modello'!$B$7*'Info Strategia'!$B$6,0)),0),"")</f>
        <v>4</v>
      </c>
      <c r="G134" s="27" t="n">
        <f aca="false">IFERROR(ROUND(MAX(1,(IF($V134&lt;=INDEX('Parametri Modello'!$C$57:$C$60,MATCH($B134,'Parametri Modello'!$A$57:$A$60,0)),IF(INDEX('Parametri Modello'!$E$57:$E$60,MATCH($B134,'Parametri Modello'!$A$57:$A$60,0))=0,0,($O134/INDEX('Parametri Modello'!$E$57:$E$60,MATCH($B134,'Parametri Modello'!$A$57:$A$60,0)))*(INDEX('Parametri Modello'!$D$57:$D$60,MATCH($B134,'Parametri Modello'!$A$57:$A$60,0))*(INDEX('Parametri Modello'!$B$50:$B$53,MATCH($B134,'Parametri Modello'!$A$50:$A$53,0))*'Parametri Modello'!$B$44))),IF(INDEX('Parametri Modello'!$F$57:$F$60,MATCH($B134,'Parametri Modello'!$A$57:$A$60,0))=0,0,($O134/INDEX('Parametri Modello'!$F$57:$F$60,MATCH($B134,'Parametri Modello'!$A$57:$A$60,0)))*((1-INDEX('Parametri Modello'!$D$57:$D$60,MATCH($B134,'Parametri Modello'!$A$57:$A$60,0)))*(INDEX('Parametri Modello'!$B$50:$B$53,MATCH($B134,'Parametri Modello'!$A$50:$A$53,0))*'Parametri Modello'!$B$44))))*(1+IF(IF($B134="D",'Info Lega'!$B$25,IF($B134="C",'Info Lega'!$B$26,"No"))="Si",'Parametri Modello'!$B$5,0))*(1+MAX(-0.25,MIN(0.25,IF(OR($T134="",$I134="",$I134=0,INDEX('Parametri Modello'!$B$19:$B$22,MATCH($B134,'Parametri Modello'!$A$19:$A$22,0))="",INDEX('Parametri Modello'!$B$19:$B$22,MATCH($B134,'Parametri Modello'!$A$19:$A$22,0))=0),0,(($T134-INDEX('Parametri Modello'!$B$19:$B$22,MATCH($B134,'Parametri Modello'!$A$19:$A$22,0)))/INDEX('Parametri Modello'!$B$19:$B$22,MATCH($B134,'Parametri Modello'!$A$19:$A$22,0)))*'Parametri Modello'!$B$9))))*(1+IF('Parametri Modello'!$B$27="Si",MAX(-'Parametri Modello'!$B$28,MIN('Parametri Modello'!$B$28*1.5,IF(OR(INDEX('Parametri Modello'!$F$32:$F$35,MATCH($B134,'Parametri Modello'!$A$32:$A$35,0))="",INDEX('Parametri Modello'!$F$32:$F$35,MATCH($B134,'Parametri Modello'!$A$32:$A$35,0))=0),0,(1/INDEX('Parametri Modello'!$F$32:$F$35,MATCH($B134,'Parametri Modello'!$A$32:$A$35,0))-1)*'Parametri Modello'!$B$28))),0)))*(1-INDEX('Parametri Modello'!$B$12:$B$15,MATCH($B134,'Parametri Modello'!$A$12:$A$15,0)))),0),"")</f>
        <v>3</v>
      </c>
      <c r="H134" s="27" t="n">
        <f aca="false">IFERROR(ROUND((IF($V134&lt;=INDEX('Parametri Modello'!$C$57:$C$60,MATCH($B134,'Parametri Modello'!$A$57:$A$60,0)),IF(INDEX('Parametri Modello'!$E$57:$E$60,MATCH($B134,'Parametri Modello'!$A$57:$A$60,0))=0,0,($O134/INDEX('Parametri Modello'!$E$57:$E$60,MATCH($B134,'Parametri Modello'!$A$57:$A$60,0)))*(INDEX('Parametri Modello'!$D$57:$D$60,MATCH($B134,'Parametri Modello'!$A$57:$A$60,0))*(INDEX('Parametri Modello'!$B$50:$B$53,MATCH($B134,'Parametri Modello'!$A$50:$A$53,0))*'Parametri Modello'!$B$44))),IF(INDEX('Parametri Modello'!$F$57:$F$60,MATCH($B134,'Parametri Modello'!$A$57:$A$60,0))=0,0,($O134/INDEX('Parametri Modello'!$F$57:$F$60,MATCH($B134,'Parametri Modello'!$A$57:$A$60,0)))*((1-INDEX('Parametri Modello'!$D$57:$D$60,MATCH($B134,'Parametri Modello'!$A$57:$A$60,0)))*(INDEX('Parametri Modello'!$B$50:$B$53,MATCH($B134,'Parametri Modello'!$A$50:$A$53,0))*'Parametri Modello'!$B$44))))*(1+IF(IF($B134="D",'Info Lega'!$B$25,IF($B134="C",'Info Lega'!$B$26,"No"))="Si",'Parametri Modello'!$B$5,0))*(1+MAX(-0.25,MIN(0.25,IF(OR($T134="",$I134="",$I134=0,INDEX('Parametri Modello'!$B$19:$B$22,MATCH($B134,'Parametri Modello'!$A$19:$A$22,0))="",INDEX('Parametri Modello'!$B$19:$B$22,MATCH($B134,'Parametri Modello'!$A$19:$A$22,0))=0),0,(($T134-INDEX('Parametri Modello'!$B$19:$B$22,MATCH($B134,'Parametri Modello'!$A$19:$A$22,0)))/INDEX('Parametri Modello'!$B$19:$B$22,MATCH($B134,'Parametri Modello'!$A$19:$A$22,0)))*'Parametri Modello'!$B$9))))*(1+IF('Parametri Modello'!$B$27="Si",MAX(-'Parametri Modello'!$B$28,MIN('Parametri Modello'!$B$28*1.5,IF(OR(INDEX('Parametri Modello'!$F$32:$F$35,MATCH($B134,'Parametri Modello'!$A$32:$A$35,0))="",INDEX('Parametri Modello'!$F$32:$F$35,MATCH($B134,'Parametri Modello'!$A$32:$A$35,0))=0),0,(1/INDEX('Parametri Modello'!$F$32:$F$35,MATCH($B134,'Parametri Modello'!$A$32:$A$35,0))-1)*'Parametri Modello'!$B$28))),0)))*(1+INDEX('Parametri Modello'!$B$12:$B$15,MATCH($B134,'Parametri Modello'!$A$12:$A$15,0))),0),"")</f>
        <v>5</v>
      </c>
      <c r="I134" s="26" t="n">
        <f aca="false">IFERROR(INDEX('Input Statistiche 2025_26'!$F$3:$F$665,MATCH($A134,'Input Statistiche 2025_26'!$A$3:$A$665,0)),"")</f>
        <v>30</v>
      </c>
      <c r="J134" s="26" t="n">
        <f aca="false">IFERROR(IF($I134="","",MAX(0,38-$I134)),"")</f>
        <v>8</v>
      </c>
      <c r="K134" s="26" t="n">
        <f aca="false">IFERROR(INDEX('Input Statistiche 2025_26'!$I$3:$I$665,MATCH($A134,'Input Statistiche 2025_26'!$A$3:$A$665,0)),"")</f>
        <v>3</v>
      </c>
      <c r="L134" s="26" t="n">
        <f aca="false">IFERROR(INDEX('Input Statistiche 2025_26'!$O$3:$O$665,MATCH($A134,'Input Statistiche 2025_26'!$A$3:$A$665,0)),"")</f>
        <v>3</v>
      </c>
      <c r="M134" s="28"/>
      <c r="N134" s="27" t="n">
        <f aca="false">IFERROR(INDEX('Input Giocatori 2026_27'!$E$3:$E$493,MATCH($A134,'Input Giocatori 2026_27'!$A$3:$A$493,0)),"")</f>
        <v>8</v>
      </c>
      <c r="O134" s="27" t="n">
        <f aca="false">IFERROR(INDEX('Input Giocatori 2026_27'!$G$3:$G$493,MATCH($A134,'Input Giocatori 2026_27'!$A$3:$A$493,0)),"")</f>
        <v>24</v>
      </c>
      <c r="P134" s="26" t="str">
        <f aca="false">IFERROR(IF($O134="","",IF((1-(COUNTIFS($B$2:$B$492,$B134,$O$2:$O$492,"&gt;"&amp;$O134)+1-1)/COUNTIF($B$2:$B$492,$B134))&gt;=0.85,"Top",IF((1-(COUNTIFS($B$2:$B$492,$B134,$O$2:$O$492,"&gt;"&amp;$O134)+1-1)/COUNTIF($B$2:$B$492,$B134))&gt;=0.6,"Buono",IF((1-(COUNTIFS($B$2:$B$492,$B134,$O$2:$O$492,"&gt;"&amp;$O134)+1-1)/COUNTIF($B$2:$B$492,$B134))&gt;=0.3,"Nella Media","Scommessa/Riserva")))),"")</f>
        <v>Top</v>
      </c>
      <c r="Q134" s="29" t="n">
        <f aca="false">IF($D134="",COUNTIF($D$2:$D134,""),"")</f>
        <v>133</v>
      </c>
      <c r="R134" s="29" t="str">
        <f aca="false">IF($D134='Info Lega'!$B$28,COUNTIFS($D$2:$D134,'Info Lega'!$B$28),"")</f>
        <v/>
      </c>
      <c r="S134" s="30" t="n">
        <f aca="false">IFERROR(INDEX('Input Statistiche 2025_26'!$G$3:$G$665,MATCH($A134,'Input Statistiche 2025_26'!$A$3:$A$665,0)),"")</f>
        <v>6.17</v>
      </c>
      <c r="T134" s="30" t="n">
        <f aca="false">IFERROR(INDEX('Input Statistiche 2025_26'!$H$3:$H$665,MATCH($A134,'Input Statistiche 2025_26'!$A$3:$A$665,0)),"")</f>
        <v>6.55</v>
      </c>
      <c r="U134" s="26" t="str">
        <f aca="false">IF(OR('La Mia Rosa'!$O$12="",$D134&lt;&gt;""),"",IF($F134&lt;='La Mia Rosa'!$O$12*'Parametri Modello'!$B$24,"OK",IF($F134&lt;='La Mia Rosa'!$O$12*'Parametri Modello'!$B$25,"Attenzione","Rischio Alto")))</f>
        <v>OK</v>
      </c>
      <c r="V134" s="26" t="n">
        <f aca="false">IFERROR(COUNTIFS($B$2:$B$492,$B134,$O$2:$O$492,"&gt;"&amp;$O134)+1,"")</f>
        <v>26</v>
      </c>
      <c r="W134" s="21" t="n">
        <f aca="false">'Info Lega'!$B$4-SUMIFS($M$2:$M$492,$D$2:$D$492,'Info Lega'!$B$28)</f>
        <v>1000</v>
      </c>
      <c r="X134" s="21" t="n">
        <f aca="false">('Info Lega'!$B$5-COUNTIFS($D$2:$D$492,'Info Lega'!$B$28,$B$2:$B$492,"P"))+('Info Lega'!$B$6-COUNTIFS($D$2:$D$492,'Info Lega'!$B$28,$B$2:$B$492,"D"))+('Info Lega'!$B$7-COUNTIFS($D$2:$D$492,'Info Lega'!$B$28,$B$2:$B$492,"C"))+('Info Lega'!$B$8-COUNTIFS($D$2:$D$492,'Info Lega'!$B$28,$B$2:$B$492,"A"))</f>
        <v>25</v>
      </c>
      <c r="Y134" s="21" t="n">
        <f aca="false">X134*'Parametri Modello'!$B$30</f>
        <v>25</v>
      </c>
      <c r="Z134" s="21" t="n">
        <f aca="false">MAX(0,W134-Y134)</f>
        <v>975</v>
      </c>
      <c r="AA134" s="21" t="n">
        <f aca="false">MIN(F134,Z134)</f>
        <v>4</v>
      </c>
      <c r="AB134" s="21"/>
      <c r="AC134" s="21" t="str">
        <f aca="false">IF(AB134="","",IF(AB134&gt;AA134,"PASS",IF(AB134&lt;=AA134*0.85,"BID","ATTENZIONE")))</f>
        <v/>
      </c>
      <c r="AD134" s="31" t="n">
        <f aca="false">IF(I134="","",ROUND(100*(1-EXP(-I134/30)),0))</f>
        <v>63</v>
      </c>
      <c r="AE134" s="7" t="str">
        <f aca="false">IFERROR(INDEX('Stato Asta'!$G$9:$G$12,MATCH($B134,'Stato Asta'!$A$9:$A$12,0)),"")</f>
        <v>🟡 Attesa rischiosa</v>
      </c>
    </row>
    <row r="135" customFormat="false" ht="14.25" hidden="false" customHeight="true" outlineLevel="0" collapsed="false">
      <c r="A135" s="21" t="n">
        <v>5862</v>
      </c>
      <c r="B135" s="21" t="s">
        <v>44</v>
      </c>
      <c r="C135" s="21" t="s">
        <v>225</v>
      </c>
      <c r="E135" s="26" t="str">
        <f aca="false">IF(COUNTIF('Info Strategia'!$D$2:$D$51,$C135)&gt;0,"SI","NO")</f>
        <v>NO</v>
      </c>
      <c r="F135" s="27" t="n">
        <f aca="false">IFERROR(ROUND(($G135+($H135-$G135)*'Info Strategia'!$B$6)*(1+IF($E135="SI",'Parametri Modello'!$B$7*'Info Strategia'!$B$6,0)),0),"")</f>
        <v>4</v>
      </c>
      <c r="G135" s="27" t="n">
        <f aca="false">IFERROR(ROUND(MAX(1,(IF($V135&lt;=INDEX('Parametri Modello'!$C$57:$C$60,MATCH($B135,'Parametri Modello'!$A$57:$A$60,0)),IF(INDEX('Parametri Modello'!$E$57:$E$60,MATCH($B135,'Parametri Modello'!$A$57:$A$60,0))=0,0,($O135/INDEX('Parametri Modello'!$E$57:$E$60,MATCH($B135,'Parametri Modello'!$A$57:$A$60,0)))*(INDEX('Parametri Modello'!$D$57:$D$60,MATCH($B135,'Parametri Modello'!$A$57:$A$60,0))*(INDEX('Parametri Modello'!$B$50:$B$53,MATCH($B135,'Parametri Modello'!$A$50:$A$53,0))*'Parametri Modello'!$B$44))),IF(INDEX('Parametri Modello'!$F$57:$F$60,MATCH($B135,'Parametri Modello'!$A$57:$A$60,0))=0,0,($O135/INDEX('Parametri Modello'!$F$57:$F$60,MATCH($B135,'Parametri Modello'!$A$57:$A$60,0)))*((1-INDEX('Parametri Modello'!$D$57:$D$60,MATCH($B135,'Parametri Modello'!$A$57:$A$60,0)))*(INDEX('Parametri Modello'!$B$50:$B$53,MATCH($B135,'Parametri Modello'!$A$50:$A$53,0))*'Parametri Modello'!$B$44))))*(1+IF(IF($B135="D",'Info Lega'!$B$25,IF($B135="C",'Info Lega'!$B$26,"No"))="Si",'Parametri Modello'!$B$5,0))*(1+MAX(-0.25,MIN(0.25,IF(OR($T135="",$I135="",$I135=0,INDEX('Parametri Modello'!$B$19:$B$22,MATCH($B135,'Parametri Modello'!$A$19:$A$22,0))="",INDEX('Parametri Modello'!$B$19:$B$22,MATCH($B135,'Parametri Modello'!$A$19:$A$22,0))=0),0,(($T135-INDEX('Parametri Modello'!$B$19:$B$22,MATCH($B135,'Parametri Modello'!$A$19:$A$22,0)))/INDEX('Parametri Modello'!$B$19:$B$22,MATCH($B135,'Parametri Modello'!$A$19:$A$22,0)))*'Parametri Modello'!$B$9))))*(1+IF('Parametri Modello'!$B$27="Si",MAX(-'Parametri Modello'!$B$28,MIN('Parametri Modello'!$B$28*1.5,IF(OR(INDEX('Parametri Modello'!$F$32:$F$35,MATCH($B135,'Parametri Modello'!$A$32:$A$35,0))="",INDEX('Parametri Modello'!$F$32:$F$35,MATCH($B135,'Parametri Modello'!$A$32:$A$35,0))=0),0,(1/INDEX('Parametri Modello'!$F$32:$F$35,MATCH($B135,'Parametri Modello'!$A$32:$A$35,0))-1)*'Parametri Modello'!$B$28))),0)))*(1-INDEX('Parametri Modello'!$B$12:$B$15,MATCH($B135,'Parametri Modello'!$A$12:$A$15,0)))),0),"")</f>
        <v>3</v>
      </c>
      <c r="H135" s="27" t="n">
        <f aca="false">IFERROR(ROUND((IF($V135&lt;=INDEX('Parametri Modello'!$C$57:$C$60,MATCH($B135,'Parametri Modello'!$A$57:$A$60,0)),IF(INDEX('Parametri Modello'!$E$57:$E$60,MATCH($B135,'Parametri Modello'!$A$57:$A$60,0))=0,0,($O135/INDEX('Parametri Modello'!$E$57:$E$60,MATCH($B135,'Parametri Modello'!$A$57:$A$60,0)))*(INDEX('Parametri Modello'!$D$57:$D$60,MATCH($B135,'Parametri Modello'!$A$57:$A$60,0))*(INDEX('Parametri Modello'!$B$50:$B$53,MATCH($B135,'Parametri Modello'!$A$50:$A$53,0))*'Parametri Modello'!$B$44))),IF(INDEX('Parametri Modello'!$F$57:$F$60,MATCH($B135,'Parametri Modello'!$A$57:$A$60,0))=0,0,($O135/INDEX('Parametri Modello'!$F$57:$F$60,MATCH($B135,'Parametri Modello'!$A$57:$A$60,0)))*((1-INDEX('Parametri Modello'!$D$57:$D$60,MATCH($B135,'Parametri Modello'!$A$57:$A$60,0)))*(INDEX('Parametri Modello'!$B$50:$B$53,MATCH($B135,'Parametri Modello'!$A$50:$A$53,0))*'Parametri Modello'!$B$44))))*(1+IF(IF($B135="D",'Info Lega'!$B$25,IF($B135="C",'Info Lega'!$B$26,"No"))="Si",'Parametri Modello'!$B$5,0))*(1+MAX(-0.25,MIN(0.25,IF(OR($T135="",$I135="",$I135=0,INDEX('Parametri Modello'!$B$19:$B$22,MATCH($B135,'Parametri Modello'!$A$19:$A$22,0))="",INDEX('Parametri Modello'!$B$19:$B$22,MATCH($B135,'Parametri Modello'!$A$19:$A$22,0))=0),0,(($T135-INDEX('Parametri Modello'!$B$19:$B$22,MATCH($B135,'Parametri Modello'!$A$19:$A$22,0)))/INDEX('Parametri Modello'!$B$19:$B$22,MATCH($B135,'Parametri Modello'!$A$19:$A$22,0)))*'Parametri Modello'!$B$9))))*(1+IF('Parametri Modello'!$B$27="Si",MAX(-'Parametri Modello'!$B$28,MIN('Parametri Modello'!$B$28*1.5,IF(OR(INDEX('Parametri Modello'!$F$32:$F$35,MATCH($B135,'Parametri Modello'!$A$32:$A$35,0))="",INDEX('Parametri Modello'!$F$32:$F$35,MATCH($B135,'Parametri Modello'!$A$32:$A$35,0))=0),0,(1/INDEX('Parametri Modello'!$F$32:$F$35,MATCH($B135,'Parametri Modello'!$A$32:$A$35,0))-1)*'Parametri Modello'!$B$28))),0)))*(1+INDEX('Parametri Modello'!$B$12:$B$15,MATCH($B135,'Parametri Modello'!$A$12:$A$15,0))),0),"")</f>
        <v>5</v>
      </c>
      <c r="I135" s="26" t="n">
        <f aca="false">IFERROR(INDEX('Input Statistiche 2025_26'!$F$3:$F$665,MATCH($A135,'Input Statistiche 2025_26'!$A$3:$A$665,0)),"")</f>
        <v>34</v>
      </c>
      <c r="J135" s="26" t="n">
        <f aca="false">IFERROR(IF($I135="","",MAX(0,38-$I135)),"")</f>
        <v>4</v>
      </c>
      <c r="K135" s="26" t="n">
        <f aca="false">IFERROR(INDEX('Input Statistiche 2025_26'!$I$3:$I$665,MATCH($A135,'Input Statistiche 2025_26'!$A$3:$A$665,0)),"")</f>
        <v>0</v>
      </c>
      <c r="L135" s="26" t="n">
        <f aca="false">IFERROR(INDEX('Input Statistiche 2025_26'!$O$3:$O$665,MATCH($A135,'Input Statistiche 2025_26'!$A$3:$A$665,0)),"")</f>
        <v>2</v>
      </c>
      <c r="M135" s="28"/>
      <c r="N135" s="27" t="n">
        <f aca="false">IFERROR(INDEX('Input Giocatori 2026_27'!$E$3:$E$493,MATCH($A135,'Input Giocatori 2026_27'!$A$3:$A$493,0)),"")</f>
        <v>8</v>
      </c>
      <c r="O135" s="27" t="n">
        <f aca="false">IFERROR(INDEX('Input Giocatori 2026_27'!$G$3:$G$493,MATCH($A135,'Input Giocatori 2026_27'!$A$3:$A$493,0)),"")</f>
        <v>24</v>
      </c>
      <c r="P135" s="26" t="str">
        <f aca="false">IFERROR(IF($O135="","",IF((1-(COUNTIFS($B$2:$B$492,$B135,$O$2:$O$492,"&gt;"&amp;$O135)+1-1)/COUNTIF($B$2:$B$492,$B135))&gt;=0.85,"Top",IF((1-(COUNTIFS($B$2:$B$492,$B135,$O$2:$O$492,"&gt;"&amp;$O135)+1-1)/COUNTIF($B$2:$B$492,$B135))&gt;=0.6,"Buono",IF((1-(COUNTIFS($B$2:$B$492,$B135,$O$2:$O$492,"&gt;"&amp;$O135)+1-1)/COUNTIF($B$2:$B$492,$B135))&gt;=0.3,"Nella Media","Scommessa/Riserva")))),"")</f>
        <v>Top</v>
      </c>
      <c r="Q135" s="29" t="n">
        <f aca="false">IF($D135="",COUNTIF($D$2:$D135,""),"")</f>
        <v>134</v>
      </c>
      <c r="R135" s="29" t="str">
        <f aca="false">IF($D135='Info Lega'!$B$28,COUNTIFS($D$2:$D135,'Info Lega'!$B$28),"")</f>
        <v/>
      </c>
      <c r="S135" s="30" t="n">
        <f aca="false">IFERROR(INDEX('Input Statistiche 2025_26'!$G$3:$G$665,MATCH($A135,'Input Statistiche 2025_26'!$A$3:$A$665,0)),"")</f>
        <v>6.06</v>
      </c>
      <c r="T135" s="30" t="n">
        <f aca="false">IFERROR(INDEX('Input Statistiche 2025_26'!$H$3:$H$665,MATCH($A135,'Input Statistiche 2025_26'!$A$3:$A$665,0)),"")</f>
        <v>6.09</v>
      </c>
      <c r="U135" s="26" t="str">
        <f aca="false">IF(OR('La Mia Rosa'!$O$12="",$D135&lt;&gt;""),"",IF($F135&lt;='La Mia Rosa'!$O$12*'Parametri Modello'!$B$24,"OK",IF($F135&lt;='La Mia Rosa'!$O$12*'Parametri Modello'!$B$25,"Attenzione","Rischio Alto")))</f>
        <v>OK</v>
      </c>
      <c r="V135" s="26" t="n">
        <f aca="false">IFERROR(COUNTIFS($B$2:$B$492,$B135,$O$2:$O$492,"&gt;"&amp;$O135)+1,"")</f>
        <v>26</v>
      </c>
      <c r="W135" s="21" t="n">
        <f aca="false">'Info Lega'!$B$4-SUMIFS($M$2:$M$492,$D$2:$D$492,'Info Lega'!$B$28)</f>
        <v>1000</v>
      </c>
      <c r="X135" s="21" t="n">
        <f aca="false">('Info Lega'!$B$5-COUNTIFS($D$2:$D$492,'Info Lega'!$B$28,$B$2:$B$492,"P"))+('Info Lega'!$B$6-COUNTIFS($D$2:$D$492,'Info Lega'!$B$28,$B$2:$B$492,"D"))+('Info Lega'!$B$7-COUNTIFS($D$2:$D$492,'Info Lega'!$B$28,$B$2:$B$492,"C"))+('Info Lega'!$B$8-COUNTIFS($D$2:$D$492,'Info Lega'!$B$28,$B$2:$B$492,"A"))</f>
        <v>25</v>
      </c>
      <c r="Y135" s="21" t="n">
        <f aca="false">X135*'Parametri Modello'!$B$30</f>
        <v>25</v>
      </c>
      <c r="Z135" s="21" t="n">
        <f aca="false">MAX(0,W135-Y135)</f>
        <v>975</v>
      </c>
      <c r="AA135" s="21" t="n">
        <f aca="false">MIN(F135,Z135)</f>
        <v>4</v>
      </c>
      <c r="AB135" s="21"/>
      <c r="AC135" s="21" t="str">
        <f aca="false">IF(AB135="","",IF(AB135&gt;AA135,"PASS",IF(AB135&lt;=AA135*0.85,"BID","ATTENZIONE")))</f>
        <v/>
      </c>
      <c r="AD135" s="31" t="n">
        <f aca="false">IF(I135="","",ROUND(100*(1-EXP(-I135/30)),0))</f>
        <v>68</v>
      </c>
      <c r="AE135" s="7" t="str">
        <f aca="false">IFERROR(INDEX('Stato Asta'!$G$9:$G$12,MATCH($B135,'Stato Asta'!$A$9:$A$12,0)),"")</f>
        <v>🟡 Attesa rischiosa</v>
      </c>
    </row>
    <row r="136" customFormat="false" ht="14.25" hidden="false" customHeight="true" outlineLevel="0" collapsed="false">
      <c r="A136" s="21" t="n">
        <v>460</v>
      </c>
      <c r="B136" s="21" t="s">
        <v>44</v>
      </c>
      <c r="C136" s="21" t="s">
        <v>233</v>
      </c>
      <c r="E136" s="26" t="str">
        <f aca="false">IF(COUNTIF('Info Strategia'!$D$2:$D$51,$C136)&gt;0,"SI","NO")</f>
        <v>NO</v>
      </c>
      <c r="F136" s="27" t="n">
        <f aca="false">IFERROR(ROUND(($G136+($H136-$G136)*'Info Strategia'!$B$6)*(1+IF($E136="SI",'Parametri Modello'!$B$7*'Info Strategia'!$B$6,0)),0),"")</f>
        <v>4</v>
      </c>
      <c r="G136" s="27" t="n">
        <f aca="false">IFERROR(ROUND(MAX(1,(IF($V136&lt;=INDEX('Parametri Modello'!$C$57:$C$60,MATCH($B136,'Parametri Modello'!$A$57:$A$60,0)),IF(INDEX('Parametri Modello'!$E$57:$E$60,MATCH($B136,'Parametri Modello'!$A$57:$A$60,0))=0,0,($O136/INDEX('Parametri Modello'!$E$57:$E$60,MATCH($B136,'Parametri Modello'!$A$57:$A$60,0)))*(INDEX('Parametri Modello'!$D$57:$D$60,MATCH($B136,'Parametri Modello'!$A$57:$A$60,0))*(INDEX('Parametri Modello'!$B$50:$B$53,MATCH($B136,'Parametri Modello'!$A$50:$A$53,0))*'Parametri Modello'!$B$44))),IF(INDEX('Parametri Modello'!$F$57:$F$60,MATCH($B136,'Parametri Modello'!$A$57:$A$60,0))=0,0,($O136/INDEX('Parametri Modello'!$F$57:$F$60,MATCH($B136,'Parametri Modello'!$A$57:$A$60,0)))*((1-INDEX('Parametri Modello'!$D$57:$D$60,MATCH($B136,'Parametri Modello'!$A$57:$A$60,0)))*(INDEX('Parametri Modello'!$B$50:$B$53,MATCH($B136,'Parametri Modello'!$A$50:$A$53,0))*'Parametri Modello'!$B$44))))*(1+IF(IF($B136="D",'Info Lega'!$B$25,IF($B136="C",'Info Lega'!$B$26,"No"))="Si",'Parametri Modello'!$B$5,0))*(1+MAX(-0.25,MIN(0.25,IF(OR($T136="",$I136="",$I136=0,INDEX('Parametri Modello'!$B$19:$B$22,MATCH($B136,'Parametri Modello'!$A$19:$A$22,0))="",INDEX('Parametri Modello'!$B$19:$B$22,MATCH($B136,'Parametri Modello'!$A$19:$A$22,0))=0),0,(($T136-INDEX('Parametri Modello'!$B$19:$B$22,MATCH($B136,'Parametri Modello'!$A$19:$A$22,0)))/INDEX('Parametri Modello'!$B$19:$B$22,MATCH($B136,'Parametri Modello'!$A$19:$A$22,0)))*'Parametri Modello'!$B$9))))*(1+IF('Parametri Modello'!$B$27="Si",MAX(-'Parametri Modello'!$B$28,MIN('Parametri Modello'!$B$28*1.5,IF(OR(INDEX('Parametri Modello'!$F$32:$F$35,MATCH($B136,'Parametri Modello'!$A$32:$A$35,0))="",INDEX('Parametri Modello'!$F$32:$F$35,MATCH($B136,'Parametri Modello'!$A$32:$A$35,0))=0),0,(1/INDEX('Parametri Modello'!$F$32:$F$35,MATCH($B136,'Parametri Modello'!$A$32:$A$35,0))-1)*'Parametri Modello'!$B$28))),0)))*(1-INDEX('Parametri Modello'!$B$12:$B$15,MATCH($B136,'Parametri Modello'!$A$12:$A$15,0)))),0),"")</f>
        <v>3</v>
      </c>
      <c r="H136" s="27" t="n">
        <f aca="false">IFERROR(ROUND((IF($V136&lt;=INDEX('Parametri Modello'!$C$57:$C$60,MATCH($B136,'Parametri Modello'!$A$57:$A$60,0)),IF(INDEX('Parametri Modello'!$E$57:$E$60,MATCH($B136,'Parametri Modello'!$A$57:$A$60,0))=0,0,($O136/INDEX('Parametri Modello'!$E$57:$E$60,MATCH($B136,'Parametri Modello'!$A$57:$A$60,0)))*(INDEX('Parametri Modello'!$D$57:$D$60,MATCH($B136,'Parametri Modello'!$A$57:$A$60,0))*(INDEX('Parametri Modello'!$B$50:$B$53,MATCH($B136,'Parametri Modello'!$A$50:$A$53,0))*'Parametri Modello'!$B$44))),IF(INDEX('Parametri Modello'!$F$57:$F$60,MATCH($B136,'Parametri Modello'!$A$57:$A$60,0))=0,0,($O136/INDEX('Parametri Modello'!$F$57:$F$60,MATCH($B136,'Parametri Modello'!$A$57:$A$60,0)))*((1-INDEX('Parametri Modello'!$D$57:$D$60,MATCH($B136,'Parametri Modello'!$A$57:$A$60,0)))*(INDEX('Parametri Modello'!$B$50:$B$53,MATCH($B136,'Parametri Modello'!$A$50:$A$53,0))*'Parametri Modello'!$B$44))))*(1+IF(IF($B136="D",'Info Lega'!$B$25,IF($B136="C",'Info Lega'!$B$26,"No"))="Si",'Parametri Modello'!$B$5,0))*(1+MAX(-0.25,MIN(0.25,IF(OR($T136="",$I136="",$I136=0,INDEX('Parametri Modello'!$B$19:$B$22,MATCH($B136,'Parametri Modello'!$A$19:$A$22,0))="",INDEX('Parametri Modello'!$B$19:$B$22,MATCH($B136,'Parametri Modello'!$A$19:$A$22,0))=0),0,(($T136-INDEX('Parametri Modello'!$B$19:$B$22,MATCH($B136,'Parametri Modello'!$A$19:$A$22,0)))/INDEX('Parametri Modello'!$B$19:$B$22,MATCH($B136,'Parametri Modello'!$A$19:$A$22,0)))*'Parametri Modello'!$B$9))))*(1+IF('Parametri Modello'!$B$27="Si",MAX(-'Parametri Modello'!$B$28,MIN('Parametri Modello'!$B$28*1.5,IF(OR(INDEX('Parametri Modello'!$F$32:$F$35,MATCH($B136,'Parametri Modello'!$A$32:$A$35,0))="",INDEX('Parametri Modello'!$F$32:$F$35,MATCH($B136,'Parametri Modello'!$A$32:$A$35,0))=0),0,(1/INDEX('Parametri Modello'!$F$32:$F$35,MATCH($B136,'Parametri Modello'!$A$32:$A$35,0))-1)*'Parametri Modello'!$B$28))),0)))*(1+INDEX('Parametri Modello'!$B$12:$B$15,MATCH($B136,'Parametri Modello'!$A$12:$A$15,0))),0),"")</f>
        <v>5</v>
      </c>
      <c r="I136" s="26" t="n">
        <f aca="false">IFERROR(INDEX('Input Statistiche 2025_26'!$F$3:$F$665,MATCH($A136,'Input Statistiche 2025_26'!$A$3:$A$665,0)),"")</f>
        <v>32</v>
      </c>
      <c r="J136" s="26" t="n">
        <f aca="false">IFERROR(IF($I136="","",MAX(0,38-$I136)),"")</f>
        <v>6</v>
      </c>
      <c r="K136" s="26" t="n">
        <f aca="false">IFERROR(INDEX('Input Statistiche 2025_26'!$I$3:$I$665,MATCH($A136,'Input Statistiche 2025_26'!$A$3:$A$665,0)),"")</f>
        <v>0</v>
      </c>
      <c r="L136" s="26" t="n">
        <f aca="false">IFERROR(INDEX('Input Statistiche 2025_26'!$O$3:$O$665,MATCH($A136,'Input Statistiche 2025_26'!$A$3:$A$665,0)),"")</f>
        <v>0</v>
      </c>
      <c r="M136" s="28"/>
      <c r="N136" s="27" t="n">
        <f aca="false">IFERROR(INDEX('Input Giocatori 2026_27'!$E$3:$E$493,MATCH($A136,'Input Giocatori 2026_27'!$A$3:$A$493,0)),"")</f>
        <v>7</v>
      </c>
      <c r="O136" s="27" t="n">
        <f aca="false">IFERROR(INDEX('Input Giocatori 2026_27'!$G$3:$G$493,MATCH($A136,'Input Giocatori 2026_27'!$A$3:$A$493,0)),"")</f>
        <v>24</v>
      </c>
      <c r="P136" s="26" t="str">
        <f aca="false">IFERROR(IF($O136="","",IF((1-(COUNTIFS($B$2:$B$492,$B136,$O$2:$O$492,"&gt;"&amp;$O136)+1-1)/COUNTIF($B$2:$B$492,$B136))&gt;=0.85,"Top",IF((1-(COUNTIFS($B$2:$B$492,$B136,$O$2:$O$492,"&gt;"&amp;$O136)+1-1)/COUNTIF($B$2:$B$492,$B136))&gt;=0.6,"Buono",IF((1-(COUNTIFS($B$2:$B$492,$B136,$O$2:$O$492,"&gt;"&amp;$O136)+1-1)/COUNTIF($B$2:$B$492,$B136))&gt;=0.3,"Nella Media","Scommessa/Riserva")))),"")</f>
        <v>Top</v>
      </c>
      <c r="Q136" s="29" t="n">
        <f aca="false">IF($D136="",COUNTIF($D$2:$D136,""),"")</f>
        <v>135</v>
      </c>
      <c r="R136" s="29" t="str">
        <f aca="false">IF($D136='Info Lega'!$B$28,COUNTIFS($D$2:$D136,'Info Lega'!$B$28),"")</f>
        <v/>
      </c>
      <c r="S136" s="30" t="n">
        <f aca="false">IFERROR(INDEX('Input Statistiche 2025_26'!$G$3:$G$665,MATCH($A136,'Input Statistiche 2025_26'!$A$3:$A$665,0)),"")</f>
        <v>6.03</v>
      </c>
      <c r="T136" s="30" t="n">
        <f aca="false">IFERROR(INDEX('Input Statistiche 2025_26'!$H$3:$H$665,MATCH($A136,'Input Statistiche 2025_26'!$A$3:$A$665,0)),"")</f>
        <v>5.92</v>
      </c>
      <c r="U136" s="26" t="str">
        <f aca="false">IF(OR('La Mia Rosa'!$O$12="",$D136&lt;&gt;""),"",IF($F136&lt;='La Mia Rosa'!$O$12*'Parametri Modello'!$B$24,"OK",IF($F136&lt;='La Mia Rosa'!$O$12*'Parametri Modello'!$B$25,"Attenzione","Rischio Alto")))</f>
        <v>OK</v>
      </c>
      <c r="V136" s="26" t="n">
        <f aca="false">IFERROR(COUNTIFS($B$2:$B$492,$B136,$O$2:$O$492,"&gt;"&amp;$O136)+1,"")</f>
        <v>26</v>
      </c>
      <c r="W136" s="21" t="n">
        <f aca="false">'Info Lega'!$B$4-SUMIFS($M$2:$M$492,$D$2:$D$492,'Info Lega'!$B$28)</f>
        <v>1000</v>
      </c>
      <c r="X136" s="21" t="n">
        <f aca="false">('Info Lega'!$B$5-COUNTIFS($D$2:$D$492,'Info Lega'!$B$28,$B$2:$B$492,"P"))+('Info Lega'!$B$6-COUNTIFS($D$2:$D$492,'Info Lega'!$B$28,$B$2:$B$492,"D"))+('Info Lega'!$B$7-COUNTIFS($D$2:$D$492,'Info Lega'!$B$28,$B$2:$B$492,"C"))+('Info Lega'!$B$8-COUNTIFS($D$2:$D$492,'Info Lega'!$B$28,$B$2:$B$492,"A"))</f>
        <v>25</v>
      </c>
      <c r="Y136" s="21" t="n">
        <f aca="false">X136*'Parametri Modello'!$B$30</f>
        <v>25</v>
      </c>
      <c r="Z136" s="21" t="n">
        <f aca="false">MAX(0,W136-Y136)</f>
        <v>975</v>
      </c>
      <c r="AA136" s="21" t="n">
        <f aca="false">MIN(F136,Z136)</f>
        <v>4</v>
      </c>
      <c r="AB136" s="21"/>
      <c r="AC136" s="21" t="str">
        <f aca="false">IF(AB136="","",IF(AB136&gt;AA136,"PASS",IF(AB136&lt;=AA136*0.85,"BID","ATTENZIONE")))</f>
        <v/>
      </c>
      <c r="AD136" s="31" t="n">
        <f aca="false">IF(I136="","",ROUND(100*(1-EXP(-I136/30)),0))</f>
        <v>66</v>
      </c>
      <c r="AE136" s="7" t="str">
        <f aca="false">IFERROR(INDEX('Stato Asta'!$G$9:$G$12,MATCH($B136,'Stato Asta'!$A$9:$A$12,0)),"")</f>
        <v>🟡 Attesa rischiosa</v>
      </c>
    </row>
    <row r="137" customFormat="false" ht="14.25" hidden="false" customHeight="true" outlineLevel="0" collapsed="false">
      <c r="A137" s="21" t="n">
        <v>4364</v>
      </c>
      <c r="B137" s="21" t="s">
        <v>45</v>
      </c>
      <c r="C137" s="21" t="s">
        <v>417</v>
      </c>
      <c r="E137" s="26" t="str">
        <f aca="false">IF(COUNTIF('Info Strategia'!$D$2:$D$51,$C137)&gt;0,"SI","NO")</f>
        <v>NO</v>
      </c>
      <c r="F137" s="27" t="n">
        <f aca="false">IFERROR(ROUND(($G137+($H137-$G137)*'Info Strategia'!$B$6)*(1+IF($E137="SI",'Parametri Modello'!$B$7*'Info Strategia'!$B$6,0)),0),"")</f>
        <v>3</v>
      </c>
      <c r="G137" s="27" t="n">
        <f aca="false">IFERROR(ROUND(MAX(1,(IF($V137&lt;=INDEX('Parametri Modello'!$C$57:$C$60,MATCH($B137,'Parametri Modello'!$A$57:$A$60,0)),IF(INDEX('Parametri Modello'!$E$57:$E$60,MATCH($B137,'Parametri Modello'!$A$57:$A$60,0))=0,0,($O137/INDEX('Parametri Modello'!$E$57:$E$60,MATCH($B137,'Parametri Modello'!$A$57:$A$60,0)))*(INDEX('Parametri Modello'!$D$57:$D$60,MATCH($B137,'Parametri Modello'!$A$57:$A$60,0))*(INDEX('Parametri Modello'!$B$50:$B$53,MATCH($B137,'Parametri Modello'!$A$50:$A$53,0))*'Parametri Modello'!$B$44))),IF(INDEX('Parametri Modello'!$F$57:$F$60,MATCH($B137,'Parametri Modello'!$A$57:$A$60,0))=0,0,($O137/INDEX('Parametri Modello'!$F$57:$F$60,MATCH($B137,'Parametri Modello'!$A$57:$A$60,0)))*((1-INDEX('Parametri Modello'!$D$57:$D$60,MATCH($B137,'Parametri Modello'!$A$57:$A$60,0)))*(INDEX('Parametri Modello'!$B$50:$B$53,MATCH($B137,'Parametri Modello'!$A$50:$A$53,0))*'Parametri Modello'!$B$44))))*(1+IF(IF($B137="D",'Info Lega'!$B$25,IF($B137="C",'Info Lega'!$B$26,"No"))="Si",'Parametri Modello'!$B$5,0))*(1+MAX(-0.25,MIN(0.25,IF(OR($T137="",$I137="",$I137=0,INDEX('Parametri Modello'!$B$19:$B$22,MATCH($B137,'Parametri Modello'!$A$19:$A$22,0))="",INDEX('Parametri Modello'!$B$19:$B$22,MATCH($B137,'Parametri Modello'!$A$19:$A$22,0))=0),0,(($T137-INDEX('Parametri Modello'!$B$19:$B$22,MATCH($B137,'Parametri Modello'!$A$19:$A$22,0)))/INDEX('Parametri Modello'!$B$19:$B$22,MATCH($B137,'Parametri Modello'!$A$19:$A$22,0)))*'Parametri Modello'!$B$9))))*(1+IF('Parametri Modello'!$B$27="Si",MAX(-'Parametri Modello'!$B$28,MIN('Parametri Modello'!$B$28*1.5,IF(OR(INDEX('Parametri Modello'!$F$32:$F$35,MATCH($B137,'Parametri Modello'!$A$32:$A$35,0))="",INDEX('Parametri Modello'!$F$32:$F$35,MATCH($B137,'Parametri Modello'!$A$32:$A$35,0))=0),0,(1/INDEX('Parametri Modello'!$F$32:$F$35,MATCH($B137,'Parametri Modello'!$A$32:$A$35,0))-1)*'Parametri Modello'!$B$28))),0)))*(1-INDEX('Parametri Modello'!$B$12:$B$15,MATCH($B137,'Parametri Modello'!$A$12:$A$15,0)))),0),"")</f>
        <v>2</v>
      </c>
      <c r="H137" s="27" t="n">
        <f aca="false">IFERROR(ROUND((IF($V137&lt;=INDEX('Parametri Modello'!$C$57:$C$60,MATCH($B137,'Parametri Modello'!$A$57:$A$60,0)),IF(INDEX('Parametri Modello'!$E$57:$E$60,MATCH($B137,'Parametri Modello'!$A$57:$A$60,0))=0,0,($O137/INDEX('Parametri Modello'!$E$57:$E$60,MATCH($B137,'Parametri Modello'!$A$57:$A$60,0)))*(INDEX('Parametri Modello'!$D$57:$D$60,MATCH($B137,'Parametri Modello'!$A$57:$A$60,0))*(INDEX('Parametri Modello'!$B$50:$B$53,MATCH($B137,'Parametri Modello'!$A$50:$A$53,0))*'Parametri Modello'!$B$44))),IF(INDEX('Parametri Modello'!$F$57:$F$60,MATCH($B137,'Parametri Modello'!$A$57:$A$60,0))=0,0,($O137/INDEX('Parametri Modello'!$F$57:$F$60,MATCH($B137,'Parametri Modello'!$A$57:$A$60,0)))*((1-INDEX('Parametri Modello'!$D$57:$D$60,MATCH($B137,'Parametri Modello'!$A$57:$A$60,0)))*(INDEX('Parametri Modello'!$B$50:$B$53,MATCH($B137,'Parametri Modello'!$A$50:$A$53,0))*'Parametri Modello'!$B$44))))*(1+IF(IF($B137="D",'Info Lega'!$B$25,IF($B137="C",'Info Lega'!$B$26,"No"))="Si",'Parametri Modello'!$B$5,0))*(1+MAX(-0.25,MIN(0.25,IF(OR($T137="",$I137="",$I137=0,INDEX('Parametri Modello'!$B$19:$B$22,MATCH($B137,'Parametri Modello'!$A$19:$A$22,0))="",INDEX('Parametri Modello'!$B$19:$B$22,MATCH($B137,'Parametri Modello'!$A$19:$A$22,0))=0),0,(($T137-INDEX('Parametri Modello'!$B$19:$B$22,MATCH($B137,'Parametri Modello'!$A$19:$A$22,0)))/INDEX('Parametri Modello'!$B$19:$B$22,MATCH($B137,'Parametri Modello'!$A$19:$A$22,0)))*'Parametri Modello'!$B$9))))*(1+IF('Parametri Modello'!$B$27="Si",MAX(-'Parametri Modello'!$B$28,MIN('Parametri Modello'!$B$28*1.5,IF(OR(INDEX('Parametri Modello'!$F$32:$F$35,MATCH($B137,'Parametri Modello'!$A$32:$A$35,0))="",INDEX('Parametri Modello'!$F$32:$F$35,MATCH($B137,'Parametri Modello'!$A$32:$A$35,0))=0),0,(1/INDEX('Parametri Modello'!$F$32:$F$35,MATCH($B137,'Parametri Modello'!$A$32:$A$35,0))-1)*'Parametri Modello'!$B$28))),0)))*(1+INDEX('Parametri Modello'!$B$12:$B$15,MATCH($B137,'Parametri Modello'!$A$12:$A$15,0))),0),"")</f>
        <v>4</v>
      </c>
      <c r="I137" s="26" t="n">
        <f aca="false">IFERROR(INDEX('Input Statistiche 2025_26'!$F$3:$F$665,MATCH($A137,'Input Statistiche 2025_26'!$A$3:$A$665,0)),"")</f>
        <v>32</v>
      </c>
      <c r="J137" s="26" t="n">
        <f aca="false">IFERROR(IF($I137="","",MAX(0,38-$I137)),"")</f>
        <v>6</v>
      </c>
      <c r="K137" s="26" t="n">
        <f aca="false">IFERROR(INDEX('Input Statistiche 2025_26'!$I$3:$I$665,MATCH($A137,'Input Statistiche 2025_26'!$A$3:$A$665,0)),"")</f>
        <v>2</v>
      </c>
      <c r="L137" s="26" t="n">
        <f aca="false">IFERROR(INDEX('Input Statistiche 2025_26'!$O$3:$O$665,MATCH($A137,'Input Statistiche 2025_26'!$A$3:$A$665,0)),"")</f>
        <v>4</v>
      </c>
      <c r="M137" s="28"/>
      <c r="N137" s="27" t="n">
        <f aca="false">IFERROR(INDEX('Input Giocatori 2026_27'!$E$3:$E$493,MATCH($A137,'Input Giocatori 2026_27'!$A$3:$A$493,0)),"")</f>
        <v>7</v>
      </c>
      <c r="O137" s="27" t="n">
        <f aca="false">IFERROR(INDEX('Input Giocatori 2026_27'!$G$3:$G$493,MATCH($A137,'Input Giocatori 2026_27'!$A$3:$A$493,0)),"")</f>
        <v>24</v>
      </c>
      <c r="P137" s="26" t="str">
        <f aca="false">IFERROR(IF($O137="","",IF((1-(COUNTIFS($B$2:$B$492,$B137,$O$2:$O$492,"&gt;"&amp;$O137)+1-1)/COUNTIF($B$2:$B$492,$B137))&gt;=0.85,"Top",IF((1-(COUNTIFS($B$2:$B$492,$B137,$O$2:$O$492,"&gt;"&amp;$O137)+1-1)/COUNTIF($B$2:$B$492,$B137))&gt;=0.6,"Buono",IF((1-(COUNTIFS($B$2:$B$492,$B137,$O$2:$O$492,"&gt;"&amp;$O137)+1-1)/COUNTIF($B$2:$B$492,$B137))&gt;=0.3,"Nella Media","Scommessa/Riserva")))),"")</f>
        <v>Buono</v>
      </c>
      <c r="Q137" s="29" t="n">
        <f aca="false">IF($D137="",COUNTIF($D$2:$D137,""),"")</f>
        <v>136</v>
      </c>
      <c r="R137" s="29" t="str">
        <f aca="false">IF($D137='Info Lega'!$B$28,COUNTIFS($D$2:$D137,'Info Lega'!$B$28),"")</f>
        <v/>
      </c>
      <c r="S137" s="30" t="n">
        <f aca="false">IFERROR(INDEX('Input Statistiche 2025_26'!$G$3:$G$665,MATCH($A137,'Input Statistiche 2025_26'!$A$3:$A$665,0)),"")</f>
        <v>6.06</v>
      </c>
      <c r="T137" s="30" t="n">
        <f aca="false">IFERROR(INDEX('Input Statistiche 2025_26'!$H$3:$H$665,MATCH($A137,'Input Statistiche 2025_26'!$A$3:$A$665,0)),"")</f>
        <v>6.31</v>
      </c>
      <c r="U137" s="26" t="str">
        <f aca="false">IF(OR('La Mia Rosa'!$O$12="",$D137&lt;&gt;""),"",IF($F137&lt;='La Mia Rosa'!$O$12*'Parametri Modello'!$B$24,"OK",IF($F137&lt;='La Mia Rosa'!$O$12*'Parametri Modello'!$B$25,"Attenzione","Rischio Alto")))</f>
        <v>OK</v>
      </c>
      <c r="V137" s="26" t="n">
        <f aca="false">IFERROR(COUNTIFS($B$2:$B$492,$B137,$O$2:$O$492,"&gt;"&amp;$O137)+1,"")</f>
        <v>51</v>
      </c>
      <c r="W137" s="21" t="n">
        <f aca="false">'Info Lega'!$B$4-SUMIFS($M$2:$M$492,$D$2:$D$492,'Info Lega'!$B$28)</f>
        <v>1000</v>
      </c>
      <c r="X137" s="21" t="n">
        <f aca="false">('Info Lega'!$B$5-COUNTIFS($D$2:$D$492,'Info Lega'!$B$28,$B$2:$B$492,"P"))+('Info Lega'!$B$6-COUNTIFS($D$2:$D$492,'Info Lega'!$B$28,$B$2:$B$492,"D"))+('Info Lega'!$B$7-COUNTIFS($D$2:$D$492,'Info Lega'!$B$28,$B$2:$B$492,"C"))+('Info Lega'!$B$8-COUNTIFS($D$2:$D$492,'Info Lega'!$B$28,$B$2:$B$492,"A"))</f>
        <v>25</v>
      </c>
      <c r="Y137" s="21" t="n">
        <f aca="false">X137*'Parametri Modello'!$B$30</f>
        <v>25</v>
      </c>
      <c r="Z137" s="21" t="n">
        <f aca="false">MAX(0,W137-Y137)</f>
        <v>975</v>
      </c>
      <c r="AA137" s="21" t="n">
        <f aca="false">MIN(F137,Z137)</f>
        <v>3</v>
      </c>
      <c r="AB137" s="21"/>
      <c r="AC137" s="21" t="str">
        <f aca="false">IF(AB137="","",IF(AB137&gt;AA137,"PASS",IF(AB137&lt;=AA137*0.85,"BID","ATTENZIONE")))</f>
        <v/>
      </c>
      <c r="AD137" s="31" t="n">
        <f aca="false">IF(I137="","",ROUND(100*(1-EXP(-I137/30)),0))</f>
        <v>66</v>
      </c>
      <c r="AE137" s="7" t="str">
        <f aca="false">IFERROR(INDEX('Stato Asta'!$G$9:$G$12,MATCH($B137,'Stato Asta'!$A$9:$A$12,0)),"")</f>
        <v>🟡 Attesa rischiosa</v>
      </c>
    </row>
    <row r="138" customFormat="false" ht="14.25" hidden="false" customHeight="true" outlineLevel="0" collapsed="false">
      <c r="A138" s="21" t="n">
        <v>4359</v>
      </c>
      <c r="B138" s="21" t="s">
        <v>46</v>
      </c>
      <c r="C138" s="21" t="s">
        <v>579</v>
      </c>
      <c r="E138" s="26" t="str">
        <f aca="false">IF(COUNTIF('Info Strategia'!$D$2:$D$51,$C138)&gt;0,"SI","NO")</f>
        <v>NO</v>
      </c>
      <c r="F138" s="27" t="n">
        <f aca="false">IFERROR(ROUND(($G138+($H138-$G138)*'Info Strategia'!$B$6)*(1+IF($E138="SI",'Parametri Modello'!$B$7*'Info Strategia'!$B$6,0)),0),"")</f>
        <v>8</v>
      </c>
      <c r="G138" s="27" t="n">
        <f aca="false">IFERROR(ROUND(MAX(1,(IF($V138&lt;=INDEX('Parametri Modello'!$C$57:$C$60,MATCH($B138,'Parametri Modello'!$A$57:$A$60,0)),IF(INDEX('Parametri Modello'!$E$57:$E$60,MATCH($B138,'Parametri Modello'!$A$57:$A$60,0))=0,0,($O138/INDEX('Parametri Modello'!$E$57:$E$60,MATCH($B138,'Parametri Modello'!$A$57:$A$60,0)))*(INDEX('Parametri Modello'!$D$57:$D$60,MATCH($B138,'Parametri Modello'!$A$57:$A$60,0))*(INDEX('Parametri Modello'!$B$50:$B$53,MATCH($B138,'Parametri Modello'!$A$50:$A$53,0))*'Parametri Modello'!$B$44))),IF(INDEX('Parametri Modello'!$F$57:$F$60,MATCH($B138,'Parametri Modello'!$A$57:$A$60,0))=0,0,($O138/INDEX('Parametri Modello'!$F$57:$F$60,MATCH($B138,'Parametri Modello'!$A$57:$A$60,0)))*((1-INDEX('Parametri Modello'!$D$57:$D$60,MATCH($B138,'Parametri Modello'!$A$57:$A$60,0)))*(INDEX('Parametri Modello'!$B$50:$B$53,MATCH($B138,'Parametri Modello'!$A$50:$A$53,0))*'Parametri Modello'!$B$44))))*(1+IF(IF($B138="D",'Info Lega'!$B$25,IF($B138="C",'Info Lega'!$B$26,"No"))="Si",'Parametri Modello'!$B$5,0))*(1+MAX(-0.25,MIN(0.25,IF(OR($T138="",$I138="",$I138=0,INDEX('Parametri Modello'!$B$19:$B$22,MATCH($B138,'Parametri Modello'!$A$19:$A$22,0))="",INDEX('Parametri Modello'!$B$19:$B$22,MATCH($B138,'Parametri Modello'!$A$19:$A$22,0))=0),0,(($T138-INDEX('Parametri Modello'!$B$19:$B$22,MATCH($B138,'Parametri Modello'!$A$19:$A$22,0)))/INDEX('Parametri Modello'!$B$19:$B$22,MATCH($B138,'Parametri Modello'!$A$19:$A$22,0)))*'Parametri Modello'!$B$9))))*(1+IF('Parametri Modello'!$B$27="Si",MAX(-'Parametri Modello'!$B$28,MIN('Parametri Modello'!$B$28*1.5,IF(OR(INDEX('Parametri Modello'!$F$32:$F$35,MATCH($B138,'Parametri Modello'!$A$32:$A$35,0))="",INDEX('Parametri Modello'!$F$32:$F$35,MATCH($B138,'Parametri Modello'!$A$32:$A$35,0))=0),0,(1/INDEX('Parametri Modello'!$F$32:$F$35,MATCH($B138,'Parametri Modello'!$A$32:$A$35,0))-1)*'Parametri Modello'!$B$28))),0)))*(1-INDEX('Parametri Modello'!$B$12:$B$15,MATCH($B138,'Parametri Modello'!$A$12:$A$15,0)))),0),"")</f>
        <v>5</v>
      </c>
      <c r="H138" s="27" t="n">
        <f aca="false">IFERROR(ROUND((IF($V138&lt;=INDEX('Parametri Modello'!$C$57:$C$60,MATCH($B138,'Parametri Modello'!$A$57:$A$60,0)),IF(INDEX('Parametri Modello'!$E$57:$E$60,MATCH($B138,'Parametri Modello'!$A$57:$A$60,0))=0,0,($O138/INDEX('Parametri Modello'!$E$57:$E$60,MATCH($B138,'Parametri Modello'!$A$57:$A$60,0)))*(INDEX('Parametri Modello'!$D$57:$D$60,MATCH($B138,'Parametri Modello'!$A$57:$A$60,0))*(INDEX('Parametri Modello'!$B$50:$B$53,MATCH($B138,'Parametri Modello'!$A$50:$A$53,0))*'Parametri Modello'!$B$44))),IF(INDEX('Parametri Modello'!$F$57:$F$60,MATCH($B138,'Parametri Modello'!$A$57:$A$60,0))=0,0,($O138/INDEX('Parametri Modello'!$F$57:$F$60,MATCH($B138,'Parametri Modello'!$A$57:$A$60,0)))*((1-INDEX('Parametri Modello'!$D$57:$D$60,MATCH($B138,'Parametri Modello'!$A$57:$A$60,0)))*(INDEX('Parametri Modello'!$B$50:$B$53,MATCH($B138,'Parametri Modello'!$A$50:$A$53,0))*'Parametri Modello'!$B$44))))*(1+IF(IF($B138="D",'Info Lega'!$B$25,IF($B138="C",'Info Lega'!$B$26,"No"))="Si",'Parametri Modello'!$B$5,0))*(1+MAX(-0.25,MIN(0.25,IF(OR($T138="",$I138="",$I138=0,INDEX('Parametri Modello'!$B$19:$B$22,MATCH($B138,'Parametri Modello'!$A$19:$A$22,0))="",INDEX('Parametri Modello'!$B$19:$B$22,MATCH($B138,'Parametri Modello'!$A$19:$A$22,0))=0),0,(($T138-INDEX('Parametri Modello'!$B$19:$B$22,MATCH($B138,'Parametri Modello'!$A$19:$A$22,0)))/INDEX('Parametri Modello'!$B$19:$B$22,MATCH($B138,'Parametri Modello'!$A$19:$A$22,0)))*'Parametri Modello'!$B$9))))*(1+IF('Parametri Modello'!$B$27="Si",MAX(-'Parametri Modello'!$B$28,MIN('Parametri Modello'!$B$28*1.5,IF(OR(INDEX('Parametri Modello'!$F$32:$F$35,MATCH($B138,'Parametri Modello'!$A$32:$A$35,0))="",INDEX('Parametri Modello'!$F$32:$F$35,MATCH($B138,'Parametri Modello'!$A$32:$A$35,0))=0),0,(1/INDEX('Parametri Modello'!$F$32:$F$35,MATCH($B138,'Parametri Modello'!$A$32:$A$35,0))-1)*'Parametri Modello'!$B$28))),0)))*(1+INDEX('Parametri Modello'!$B$12:$B$15,MATCH($B138,'Parametri Modello'!$A$12:$A$15,0))),0),"")</f>
        <v>9</v>
      </c>
      <c r="I138" s="26" t="n">
        <f aca="false">IFERROR(INDEX('Input Statistiche 2025_26'!$F$3:$F$665,MATCH($A138,'Input Statistiche 2025_26'!$A$3:$A$665,0)),"")</f>
        <v>27</v>
      </c>
      <c r="J138" s="26" t="n">
        <f aca="false">IFERROR(IF($I138="","",MAX(0,38-$I138)),"")</f>
        <v>11</v>
      </c>
      <c r="K138" s="26" t="n">
        <f aca="false">IFERROR(INDEX('Input Statistiche 2025_26'!$I$3:$I$665,MATCH($A138,'Input Statistiche 2025_26'!$A$3:$A$665,0)),"")</f>
        <v>4</v>
      </c>
      <c r="L138" s="26" t="n">
        <f aca="false">IFERROR(INDEX('Input Statistiche 2025_26'!$O$3:$O$665,MATCH($A138,'Input Statistiche 2025_26'!$A$3:$A$665,0)),"")</f>
        <v>1</v>
      </c>
      <c r="M138" s="28"/>
      <c r="N138" s="27" t="n">
        <f aca="false">IFERROR(INDEX('Input Giocatori 2026_27'!$E$3:$E$493,MATCH($A138,'Input Giocatori 2026_27'!$A$3:$A$493,0)),"")</f>
        <v>8</v>
      </c>
      <c r="O138" s="27" t="n">
        <f aca="false">IFERROR(INDEX('Input Giocatori 2026_27'!$G$3:$G$493,MATCH($A138,'Input Giocatori 2026_27'!$A$3:$A$493,0)),"")</f>
        <v>24</v>
      </c>
      <c r="P138" s="26" t="str">
        <f aca="false">IFERROR(IF($O138="","",IF((1-(COUNTIFS($B$2:$B$492,$B138,$O$2:$O$492,"&gt;"&amp;$O138)+1-1)/COUNTIF($B$2:$B$492,$B138))&gt;=0.85,"Top",IF((1-(COUNTIFS($B$2:$B$492,$B138,$O$2:$O$492,"&gt;"&amp;$O138)+1-1)/COUNTIF($B$2:$B$492,$B138))&gt;=0.6,"Buono",IF((1-(COUNTIFS($B$2:$B$492,$B138,$O$2:$O$492,"&gt;"&amp;$O138)+1-1)/COUNTIF($B$2:$B$492,$B138))&gt;=0.3,"Nella Media","Scommessa/Riserva")))),"")</f>
        <v>Nella Media</v>
      </c>
      <c r="Q138" s="29" t="n">
        <f aca="false">IF($D138="",COUNTIF($D$2:$D138,""),"")</f>
        <v>137</v>
      </c>
      <c r="R138" s="29" t="str">
        <f aca="false">IF($D138='Info Lega'!$B$28,COUNTIFS($D$2:$D138,'Info Lega'!$B$28),"")</f>
        <v/>
      </c>
      <c r="S138" s="30" t="n">
        <f aca="false">IFERROR(INDEX('Input Statistiche 2025_26'!$G$3:$G$665,MATCH($A138,'Input Statistiche 2025_26'!$A$3:$A$665,0)),"")</f>
        <v>5.78</v>
      </c>
      <c r="T138" s="30" t="n">
        <f aca="false">IFERROR(INDEX('Input Statistiche 2025_26'!$H$3:$H$665,MATCH($A138,'Input Statistiche 2025_26'!$A$3:$A$665,0)),"")</f>
        <v>6.24</v>
      </c>
      <c r="U138" s="26" t="str">
        <f aca="false">IF(OR('La Mia Rosa'!$O$12="",$D138&lt;&gt;""),"",IF($F138&lt;='La Mia Rosa'!$O$12*'Parametri Modello'!$B$24,"OK",IF($F138&lt;='La Mia Rosa'!$O$12*'Parametri Modello'!$B$25,"Attenzione","Rischio Alto")))</f>
        <v>OK</v>
      </c>
      <c r="V138" s="26" t="n">
        <f aca="false">IFERROR(COUNTIFS($B$2:$B$492,$B138,$O$2:$O$492,"&gt;"&amp;$O138)+1,"")</f>
        <v>43</v>
      </c>
      <c r="W138" s="21" t="n">
        <f aca="false">'Info Lega'!$B$4-SUMIFS($M$2:$M$492,$D$2:$D$492,'Info Lega'!$B$28)</f>
        <v>1000</v>
      </c>
      <c r="X138" s="21" t="n">
        <f aca="false">('Info Lega'!$B$5-COUNTIFS($D$2:$D$492,'Info Lega'!$B$28,$B$2:$B$492,"P"))+('Info Lega'!$B$6-COUNTIFS($D$2:$D$492,'Info Lega'!$B$28,$B$2:$B$492,"D"))+('Info Lega'!$B$7-COUNTIFS($D$2:$D$492,'Info Lega'!$B$28,$B$2:$B$492,"C"))+('Info Lega'!$B$8-COUNTIFS($D$2:$D$492,'Info Lega'!$B$28,$B$2:$B$492,"A"))</f>
        <v>25</v>
      </c>
      <c r="Y138" s="21" t="n">
        <f aca="false">X138*'Parametri Modello'!$B$30</f>
        <v>25</v>
      </c>
      <c r="Z138" s="21" t="n">
        <f aca="false">MAX(0,W138-Y138)</f>
        <v>975</v>
      </c>
      <c r="AA138" s="21" t="n">
        <f aca="false">MIN(F138,Z138)</f>
        <v>8</v>
      </c>
      <c r="AB138" s="21"/>
      <c r="AC138" s="21" t="str">
        <f aca="false">IF(AB138="","",IF(AB138&gt;AA138,"PASS",IF(AB138&lt;=AA138*0.85,"BID","ATTENZIONE")))</f>
        <v/>
      </c>
      <c r="AD138" s="31" t="n">
        <f aca="false">IF(I138="","",ROUND(100*(1-EXP(-I138/30)),0))</f>
        <v>59</v>
      </c>
      <c r="AE138" s="7" t="str">
        <f aca="false">IFERROR(INDEX('Stato Asta'!$G$9:$G$12,MATCH($B138,'Stato Asta'!$A$9:$A$12,0)),"")</f>
        <v>🔴 Non aspettare</v>
      </c>
    </row>
    <row r="139" customFormat="false" ht="14.25" hidden="false" customHeight="true" outlineLevel="0" collapsed="false">
      <c r="A139" s="21" t="n">
        <v>5436</v>
      </c>
      <c r="B139" s="21" t="s">
        <v>46</v>
      </c>
      <c r="C139" s="21" t="s">
        <v>583</v>
      </c>
      <c r="E139" s="26" t="str">
        <f aca="false">IF(COUNTIF('Info Strategia'!$D$2:$D$51,$C139)&gt;0,"SI","NO")</f>
        <v>NO</v>
      </c>
      <c r="F139" s="27" t="n">
        <f aca="false">IFERROR(ROUND(($G139+($H139-$G139)*'Info Strategia'!$B$6)*(1+IF($E139="SI",'Parametri Modello'!$B$7*'Info Strategia'!$B$6,0)),0),"")</f>
        <v>8</v>
      </c>
      <c r="G139" s="27" t="n">
        <f aca="false">IFERROR(ROUND(MAX(1,(IF($V139&lt;=INDEX('Parametri Modello'!$C$57:$C$60,MATCH($B139,'Parametri Modello'!$A$57:$A$60,0)),IF(INDEX('Parametri Modello'!$E$57:$E$60,MATCH($B139,'Parametri Modello'!$A$57:$A$60,0))=0,0,($O139/INDEX('Parametri Modello'!$E$57:$E$60,MATCH($B139,'Parametri Modello'!$A$57:$A$60,0)))*(INDEX('Parametri Modello'!$D$57:$D$60,MATCH($B139,'Parametri Modello'!$A$57:$A$60,0))*(INDEX('Parametri Modello'!$B$50:$B$53,MATCH($B139,'Parametri Modello'!$A$50:$A$53,0))*'Parametri Modello'!$B$44))),IF(INDEX('Parametri Modello'!$F$57:$F$60,MATCH($B139,'Parametri Modello'!$A$57:$A$60,0))=0,0,($O139/INDEX('Parametri Modello'!$F$57:$F$60,MATCH($B139,'Parametri Modello'!$A$57:$A$60,0)))*((1-INDEX('Parametri Modello'!$D$57:$D$60,MATCH($B139,'Parametri Modello'!$A$57:$A$60,0)))*(INDEX('Parametri Modello'!$B$50:$B$53,MATCH($B139,'Parametri Modello'!$A$50:$A$53,0))*'Parametri Modello'!$B$44))))*(1+IF(IF($B139="D",'Info Lega'!$B$25,IF($B139="C",'Info Lega'!$B$26,"No"))="Si",'Parametri Modello'!$B$5,0))*(1+MAX(-0.25,MIN(0.25,IF(OR($T139="",$I139="",$I139=0,INDEX('Parametri Modello'!$B$19:$B$22,MATCH($B139,'Parametri Modello'!$A$19:$A$22,0))="",INDEX('Parametri Modello'!$B$19:$B$22,MATCH($B139,'Parametri Modello'!$A$19:$A$22,0))=0),0,(($T139-INDEX('Parametri Modello'!$B$19:$B$22,MATCH($B139,'Parametri Modello'!$A$19:$A$22,0)))/INDEX('Parametri Modello'!$B$19:$B$22,MATCH($B139,'Parametri Modello'!$A$19:$A$22,0)))*'Parametri Modello'!$B$9))))*(1+IF('Parametri Modello'!$B$27="Si",MAX(-'Parametri Modello'!$B$28,MIN('Parametri Modello'!$B$28*1.5,IF(OR(INDEX('Parametri Modello'!$F$32:$F$35,MATCH($B139,'Parametri Modello'!$A$32:$A$35,0))="",INDEX('Parametri Modello'!$F$32:$F$35,MATCH($B139,'Parametri Modello'!$A$32:$A$35,0))=0),0,(1/INDEX('Parametri Modello'!$F$32:$F$35,MATCH($B139,'Parametri Modello'!$A$32:$A$35,0))-1)*'Parametri Modello'!$B$28))),0)))*(1-INDEX('Parametri Modello'!$B$12:$B$15,MATCH($B139,'Parametri Modello'!$A$12:$A$15,0)))),0),"")</f>
        <v>5</v>
      </c>
      <c r="H139" s="27" t="n">
        <f aca="false">IFERROR(ROUND((IF($V139&lt;=INDEX('Parametri Modello'!$C$57:$C$60,MATCH($B139,'Parametri Modello'!$A$57:$A$60,0)),IF(INDEX('Parametri Modello'!$E$57:$E$60,MATCH($B139,'Parametri Modello'!$A$57:$A$60,0))=0,0,($O139/INDEX('Parametri Modello'!$E$57:$E$60,MATCH($B139,'Parametri Modello'!$A$57:$A$60,0)))*(INDEX('Parametri Modello'!$D$57:$D$60,MATCH($B139,'Parametri Modello'!$A$57:$A$60,0))*(INDEX('Parametri Modello'!$B$50:$B$53,MATCH($B139,'Parametri Modello'!$A$50:$A$53,0))*'Parametri Modello'!$B$44))),IF(INDEX('Parametri Modello'!$F$57:$F$60,MATCH($B139,'Parametri Modello'!$A$57:$A$60,0))=0,0,($O139/INDEX('Parametri Modello'!$F$57:$F$60,MATCH($B139,'Parametri Modello'!$A$57:$A$60,0)))*((1-INDEX('Parametri Modello'!$D$57:$D$60,MATCH($B139,'Parametri Modello'!$A$57:$A$60,0)))*(INDEX('Parametri Modello'!$B$50:$B$53,MATCH($B139,'Parametri Modello'!$A$50:$A$53,0))*'Parametri Modello'!$B$44))))*(1+IF(IF($B139="D",'Info Lega'!$B$25,IF($B139="C",'Info Lega'!$B$26,"No"))="Si",'Parametri Modello'!$B$5,0))*(1+MAX(-0.25,MIN(0.25,IF(OR($T139="",$I139="",$I139=0,INDEX('Parametri Modello'!$B$19:$B$22,MATCH($B139,'Parametri Modello'!$A$19:$A$22,0))="",INDEX('Parametri Modello'!$B$19:$B$22,MATCH($B139,'Parametri Modello'!$A$19:$A$22,0))=0),0,(($T139-INDEX('Parametri Modello'!$B$19:$B$22,MATCH($B139,'Parametri Modello'!$A$19:$A$22,0)))/INDEX('Parametri Modello'!$B$19:$B$22,MATCH($B139,'Parametri Modello'!$A$19:$A$22,0)))*'Parametri Modello'!$B$9))))*(1+IF('Parametri Modello'!$B$27="Si",MAX(-'Parametri Modello'!$B$28,MIN('Parametri Modello'!$B$28*1.5,IF(OR(INDEX('Parametri Modello'!$F$32:$F$35,MATCH($B139,'Parametri Modello'!$A$32:$A$35,0))="",INDEX('Parametri Modello'!$F$32:$F$35,MATCH($B139,'Parametri Modello'!$A$32:$A$35,0))=0),0,(1/INDEX('Parametri Modello'!$F$32:$F$35,MATCH($B139,'Parametri Modello'!$A$32:$A$35,0))-1)*'Parametri Modello'!$B$28))),0)))*(1+INDEX('Parametri Modello'!$B$12:$B$15,MATCH($B139,'Parametri Modello'!$A$12:$A$15,0))),0),"")</f>
        <v>9</v>
      </c>
      <c r="I139" s="26" t="str">
        <f aca="false">IFERROR(INDEX('Input Statistiche 2025_26'!$F$3:$F$665,MATCH($A139,'Input Statistiche 2025_26'!$A$3:$A$665,0)),"")</f>
        <v/>
      </c>
      <c r="J139" s="26" t="str">
        <f aca="false">IFERROR(IF($I139="","",MAX(0,38-$I139)),"")</f>
        <v/>
      </c>
      <c r="K139" s="26" t="str">
        <f aca="false">IFERROR(INDEX('Input Statistiche 2025_26'!$I$3:$I$665,MATCH($A139,'Input Statistiche 2025_26'!$A$3:$A$665,0)),"")</f>
        <v/>
      </c>
      <c r="L139" s="26" t="str">
        <f aca="false">IFERROR(INDEX('Input Statistiche 2025_26'!$O$3:$O$665,MATCH($A139,'Input Statistiche 2025_26'!$A$3:$A$665,0)),"")</f>
        <v/>
      </c>
      <c r="M139" s="28"/>
      <c r="N139" s="27" t="n">
        <f aca="false">IFERROR(INDEX('Input Giocatori 2026_27'!$E$3:$E$493,MATCH($A139,'Input Giocatori 2026_27'!$A$3:$A$493,0)),"")</f>
        <v>7</v>
      </c>
      <c r="O139" s="27" t="n">
        <f aca="false">IFERROR(INDEX('Input Giocatori 2026_27'!$G$3:$G$493,MATCH($A139,'Input Giocatori 2026_27'!$A$3:$A$493,0)),"")</f>
        <v>24</v>
      </c>
      <c r="P139" s="26" t="str">
        <f aca="false">IFERROR(IF($O139="","",IF((1-(COUNTIFS($B$2:$B$492,$B139,$O$2:$O$492,"&gt;"&amp;$O139)+1-1)/COUNTIF($B$2:$B$492,$B139))&gt;=0.85,"Top",IF((1-(COUNTIFS($B$2:$B$492,$B139,$O$2:$O$492,"&gt;"&amp;$O139)+1-1)/COUNTIF($B$2:$B$492,$B139))&gt;=0.6,"Buono",IF((1-(COUNTIFS($B$2:$B$492,$B139,$O$2:$O$492,"&gt;"&amp;$O139)+1-1)/COUNTIF($B$2:$B$492,$B139))&gt;=0.3,"Nella Media","Scommessa/Riserva")))),"")</f>
        <v>Nella Media</v>
      </c>
      <c r="Q139" s="29" t="n">
        <f aca="false">IF($D139="",COUNTIF($D$2:$D139,""),"")</f>
        <v>138</v>
      </c>
      <c r="R139" s="29" t="str">
        <f aca="false">IF($D139='Info Lega'!$B$28,COUNTIFS($D$2:$D139,'Info Lega'!$B$28),"")</f>
        <v/>
      </c>
      <c r="S139" s="30" t="str">
        <f aca="false">IFERROR(INDEX('Input Statistiche 2025_26'!$G$3:$G$665,MATCH($A139,'Input Statistiche 2025_26'!$A$3:$A$665,0)),"")</f>
        <v/>
      </c>
      <c r="T139" s="30" t="str">
        <f aca="false">IFERROR(INDEX('Input Statistiche 2025_26'!$H$3:$H$665,MATCH($A139,'Input Statistiche 2025_26'!$A$3:$A$665,0)),"")</f>
        <v/>
      </c>
      <c r="U139" s="26" t="str">
        <f aca="false">IF(OR('La Mia Rosa'!$O$12="",$D139&lt;&gt;""),"",IF($F139&lt;='La Mia Rosa'!$O$12*'Parametri Modello'!$B$24,"OK",IF($F139&lt;='La Mia Rosa'!$O$12*'Parametri Modello'!$B$25,"Attenzione","Rischio Alto")))</f>
        <v>OK</v>
      </c>
      <c r="V139" s="26" t="n">
        <f aca="false">IFERROR(COUNTIFS($B$2:$B$492,$B139,$O$2:$O$492,"&gt;"&amp;$O139)+1,"")</f>
        <v>43</v>
      </c>
      <c r="W139" s="21" t="n">
        <f aca="false">'Info Lega'!$B$4-SUMIFS($M$2:$M$492,$D$2:$D$492,'Info Lega'!$B$28)</f>
        <v>1000</v>
      </c>
      <c r="X139" s="21" t="n">
        <f aca="false">('Info Lega'!$B$5-COUNTIFS($D$2:$D$492,'Info Lega'!$B$28,$B$2:$B$492,"P"))+('Info Lega'!$B$6-COUNTIFS($D$2:$D$492,'Info Lega'!$B$28,$B$2:$B$492,"D"))+('Info Lega'!$B$7-COUNTIFS($D$2:$D$492,'Info Lega'!$B$28,$B$2:$B$492,"C"))+('Info Lega'!$B$8-COUNTIFS($D$2:$D$492,'Info Lega'!$B$28,$B$2:$B$492,"A"))</f>
        <v>25</v>
      </c>
      <c r="Y139" s="21" t="n">
        <f aca="false">X139*'Parametri Modello'!$B$30</f>
        <v>25</v>
      </c>
      <c r="Z139" s="21" t="n">
        <f aca="false">MAX(0,W139-Y139)</f>
        <v>975</v>
      </c>
      <c r="AA139" s="21" t="n">
        <f aca="false">MIN(F139,Z139)</f>
        <v>8</v>
      </c>
      <c r="AB139" s="21"/>
      <c r="AC139" s="21" t="str">
        <f aca="false">IF(AB139="","",IF(AB139&gt;AA139,"PASS",IF(AB139&lt;=AA139*0.85,"BID","ATTENZIONE")))</f>
        <v/>
      </c>
      <c r="AD139" s="31" t="str">
        <f aca="false">IF(I139="","",ROUND(100*(1-EXP(-I139/30)),0))</f>
        <v/>
      </c>
      <c r="AE139" s="7" t="str">
        <f aca="false">IFERROR(INDEX('Stato Asta'!$G$9:$G$12,MATCH($B139,'Stato Asta'!$A$9:$A$12,0)),"")</f>
        <v>🔴 Non aspettare</v>
      </c>
    </row>
    <row r="140" customFormat="false" ht="14.25" hidden="false" customHeight="true" outlineLevel="0" collapsed="false">
      <c r="A140" s="21" t="n">
        <v>6531</v>
      </c>
      <c r="B140" s="21" t="s">
        <v>44</v>
      </c>
      <c r="C140" s="21" t="s">
        <v>219</v>
      </c>
      <c r="E140" s="26" t="str">
        <f aca="false">IF(COUNTIF('Info Strategia'!$D$2:$D$51,$C140)&gt;0,"SI","NO")</f>
        <v>NO</v>
      </c>
      <c r="F140" s="27" t="n">
        <f aca="false">IFERROR(ROUND(($G140+($H140-$G140)*'Info Strategia'!$B$6)*(1+IF($E140="SI",'Parametri Modello'!$B$7*'Info Strategia'!$B$6,0)),0),"")</f>
        <v>4</v>
      </c>
      <c r="G140" s="27" t="n">
        <f aca="false">IFERROR(ROUND(MAX(1,(IF($V140&lt;=INDEX('Parametri Modello'!$C$57:$C$60,MATCH($B140,'Parametri Modello'!$A$57:$A$60,0)),IF(INDEX('Parametri Modello'!$E$57:$E$60,MATCH($B140,'Parametri Modello'!$A$57:$A$60,0))=0,0,($O140/INDEX('Parametri Modello'!$E$57:$E$60,MATCH($B140,'Parametri Modello'!$A$57:$A$60,0)))*(INDEX('Parametri Modello'!$D$57:$D$60,MATCH($B140,'Parametri Modello'!$A$57:$A$60,0))*(INDEX('Parametri Modello'!$B$50:$B$53,MATCH($B140,'Parametri Modello'!$A$50:$A$53,0))*'Parametri Modello'!$B$44))),IF(INDEX('Parametri Modello'!$F$57:$F$60,MATCH($B140,'Parametri Modello'!$A$57:$A$60,0))=0,0,($O140/INDEX('Parametri Modello'!$F$57:$F$60,MATCH($B140,'Parametri Modello'!$A$57:$A$60,0)))*((1-INDEX('Parametri Modello'!$D$57:$D$60,MATCH($B140,'Parametri Modello'!$A$57:$A$60,0)))*(INDEX('Parametri Modello'!$B$50:$B$53,MATCH($B140,'Parametri Modello'!$A$50:$A$53,0))*'Parametri Modello'!$B$44))))*(1+IF(IF($B140="D",'Info Lega'!$B$25,IF($B140="C",'Info Lega'!$B$26,"No"))="Si",'Parametri Modello'!$B$5,0))*(1+MAX(-0.25,MIN(0.25,IF(OR($T140="",$I140="",$I140=0,INDEX('Parametri Modello'!$B$19:$B$22,MATCH($B140,'Parametri Modello'!$A$19:$A$22,0))="",INDEX('Parametri Modello'!$B$19:$B$22,MATCH($B140,'Parametri Modello'!$A$19:$A$22,0))=0),0,(($T140-INDEX('Parametri Modello'!$B$19:$B$22,MATCH($B140,'Parametri Modello'!$A$19:$A$22,0)))/INDEX('Parametri Modello'!$B$19:$B$22,MATCH($B140,'Parametri Modello'!$A$19:$A$22,0)))*'Parametri Modello'!$B$9))))*(1+IF('Parametri Modello'!$B$27="Si",MAX(-'Parametri Modello'!$B$28,MIN('Parametri Modello'!$B$28*1.5,IF(OR(INDEX('Parametri Modello'!$F$32:$F$35,MATCH($B140,'Parametri Modello'!$A$32:$A$35,0))="",INDEX('Parametri Modello'!$F$32:$F$35,MATCH($B140,'Parametri Modello'!$A$32:$A$35,0))=0),0,(1/INDEX('Parametri Modello'!$F$32:$F$35,MATCH($B140,'Parametri Modello'!$A$32:$A$35,0))-1)*'Parametri Modello'!$B$28))),0)))*(1-INDEX('Parametri Modello'!$B$12:$B$15,MATCH($B140,'Parametri Modello'!$A$12:$A$15,0)))),0),"")</f>
        <v>3</v>
      </c>
      <c r="H140" s="27" t="n">
        <f aca="false">IFERROR(ROUND((IF($V140&lt;=INDEX('Parametri Modello'!$C$57:$C$60,MATCH($B140,'Parametri Modello'!$A$57:$A$60,0)),IF(INDEX('Parametri Modello'!$E$57:$E$60,MATCH($B140,'Parametri Modello'!$A$57:$A$60,0))=0,0,($O140/INDEX('Parametri Modello'!$E$57:$E$60,MATCH($B140,'Parametri Modello'!$A$57:$A$60,0)))*(INDEX('Parametri Modello'!$D$57:$D$60,MATCH($B140,'Parametri Modello'!$A$57:$A$60,0))*(INDEX('Parametri Modello'!$B$50:$B$53,MATCH($B140,'Parametri Modello'!$A$50:$A$53,0))*'Parametri Modello'!$B$44))),IF(INDEX('Parametri Modello'!$F$57:$F$60,MATCH($B140,'Parametri Modello'!$A$57:$A$60,0))=0,0,($O140/INDEX('Parametri Modello'!$F$57:$F$60,MATCH($B140,'Parametri Modello'!$A$57:$A$60,0)))*((1-INDEX('Parametri Modello'!$D$57:$D$60,MATCH($B140,'Parametri Modello'!$A$57:$A$60,0)))*(INDEX('Parametri Modello'!$B$50:$B$53,MATCH($B140,'Parametri Modello'!$A$50:$A$53,0))*'Parametri Modello'!$B$44))))*(1+IF(IF($B140="D",'Info Lega'!$B$25,IF($B140="C",'Info Lega'!$B$26,"No"))="Si",'Parametri Modello'!$B$5,0))*(1+MAX(-0.25,MIN(0.25,IF(OR($T140="",$I140="",$I140=0,INDEX('Parametri Modello'!$B$19:$B$22,MATCH($B140,'Parametri Modello'!$A$19:$A$22,0))="",INDEX('Parametri Modello'!$B$19:$B$22,MATCH($B140,'Parametri Modello'!$A$19:$A$22,0))=0),0,(($T140-INDEX('Parametri Modello'!$B$19:$B$22,MATCH($B140,'Parametri Modello'!$A$19:$A$22,0)))/INDEX('Parametri Modello'!$B$19:$B$22,MATCH($B140,'Parametri Modello'!$A$19:$A$22,0)))*'Parametri Modello'!$B$9))))*(1+IF('Parametri Modello'!$B$27="Si",MAX(-'Parametri Modello'!$B$28,MIN('Parametri Modello'!$B$28*1.5,IF(OR(INDEX('Parametri Modello'!$F$32:$F$35,MATCH($B140,'Parametri Modello'!$A$32:$A$35,0))="",INDEX('Parametri Modello'!$F$32:$F$35,MATCH($B140,'Parametri Modello'!$A$32:$A$35,0))=0),0,(1/INDEX('Parametri Modello'!$F$32:$F$35,MATCH($B140,'Parametri Modello'!$A$32:$A$35,0))-1)*'Parametri Modello'!$B$28))),0)))*(1+INDEX('Parametri Modello'!$B$12:$B$15,MATCH($B140,'Parametri Modello'!$A$12:$A$15,0))),0),"")</f>
        <v>4</v>
      </c>
      <c r="I140" s="26" t="n">
        <f aca="false">IFERROR(INDEX('Input Statistiche 2025_26'!$F$3:$F$665,MATCH($A140,'Input Statistiche 2025_26'!$A$3:$A$665,0)),"")</f>
        <v>1</v>
      </c>
      <c r="J140" s="26" t="n">
        <f aca="false">IFERROR(IF($I140="","",MAX(0,38-$I140)),"")</f>
        <v>37</v>
      </c>
      <c r="K140" s="26" t="n">
        <f aca="false">IFERROR(INDEX('Input Statistiche 2025_26'!$I$3:$I$665,MATCH($A140,'Input Statistiche 2025_26'!$A$3:$A$665,0)),"")</f>
        <v>0</v>
      </c>
      <c r="L140" s="26" t="n">
        <f aca="false">IFERROR(INDEX('Input Statistiche 2025_26'!$O$3:$O$665,MATCH($A140,'Input Statistiche 2025_26'!$A$3:$A$665,0)),"")</f>
        <v>0</v>
      </c>
      <c r="M140" s="28"/>
      <c r="N140" s="27" t="n">
        <f aca="false">IFERROR(INDEX('Input Giocatori 2026_27'!$E$3:$E$493,MATCH($A140,'Input Giocatori 2026_27'!$A$3:$A$493,0)),"")</f>
        <v>8</v>
      </c>
      <c r="O140" s="27" t="n">
        <f aca="false">IFERROR(INDEX('Input Giocatori 2026_27'!$G$3:$G$493,MATCH($A140,'Input Giocatori 2026_27'!$A$3:$A$493,0)),"")</f>
        <v>23</v>
      </c>
      <c r="P140" s="26" t="str">
        <f aca="false">IFERROR(IF($O140="","",IF((1-(COUNTIFS($B$2:$B$492,$B140,$O$2:$O$492,"&gt;"&amp;$O140)+1-1)/COUNTIF($B$2:$B$492,$B140))&gt;=0.85,"Top",IF((1-(COUNTIFS($B$2:$B$492,$B140,$O$2:$O$492,"&gt;"&amp;$O140)+1-1)/COUNTIF($B$2:$B$492,$B140))&gt;=0.6,"Buono",IF((1-(COUNTIFS($B$2:$B$492,$B140,$O$2:$O$492,"&gt;"&amp;$O140)+1-1)/COUNTIF($B$2:$B$492,$B140))&gt;=0.3,"Nella Media","Scommessa/Riserva")))),"")</f>
        <v>Buono</v>
      </c>
      <c r="Q140" s="29" t="n">
        <f aca="false">IF($D140="",COUNTIF($D$2:$D140,""),"")</f>
        <v>139</v>
      </c>
      <c r="R140" s="29" t="str">
        <f aca="false">IF($D140='Info Lega'!$B$28,COUNTIFS($D$2:$D140,'Info Lega'!$B$28),"")</f>
        <v/>
      </c>
      <c r="S140" s="30" t="n">
        <f aca="false">IFERROR(INDEX('Input Statistiche 2025_26'!$G$3:$G$665,MATCH($A140,'Input Statistiche 2025_26'!$A$3:$A$665,0)),"")</f>
        <v>5.5</v>
      </c>
      <c r="T140" s="30" t="n">
        <f aca="false">IFERROR(INDEX('Input Statistiche 2025_26'!$H$3:$H$665,MATCH($A140,'Input Statistiche 2025_26'!$A$3:$A$665,0)),"")</f>
        <v>5</v>
      </c>
      <c r="U140" s="26" t="str">
        <f aca="false">IF(OR('La Mia Rosa'!$O$12="",$D140&lt;&gt;""),"",IF($F140&lt;='La Mia Rosa'!$O$12*'Parametri Modello'!$B$24,"OK",IF($F140&lt;='La Mia Rosa'!$O$12*'Parametri Modello'!$B$25,"Attenzione","Rischio Alto")))</f>
        <v>OK</v>
      </c>
      <c r="V140" s="26" t="n">
        <f aca="false">IFERROR(COUNTIFS($B$2:$B$492,$B140,$O$2:$O$492,"&gt;"&amp;$O140)+1,"")</f>
        <v>31</v>
      </c>
      <c r="W140" s="21" t="n">
        <f aca="false">'Info Lega'!$B$4-SUMIFS($M$2:$M$492,$D$2:$D$492,'Info Lega'!$B$28)</f>
        <v>1000</v>
      </c>
      <c r="X140" s="21" t="n">
        <f aca="false">('Info Lega'!$B$5-COUNTIFS($D$2:$D$492,'Info Lega'!$B$28,$B$2:$B$492,"P"))+('Info Lega'!$B$6-COUNTIFS($D$2:$D$492,'Info Lega'!$B$28,$B$2:$B$492,"D"))+('Info Lega'!$B$7-COUNTIFS($D$2:$D$492,'Info Lega'!$B$28,$B$2:$B$492,"C"))+('Info Lega'!$B$8-COUNTIFS($D$2:$D$492,'Info Lega'!$B$28,$B$2:$B$492,"A"))</f>
        <v>25</v>
      </c>
      <c r="Y140" s="21" t="n">
        <f aca="false">X140*'Parametri Modello'!$B$30</f>
        <v>25</v>
      </c>
      <c r="Z140" s="21" t="n">
        <f aca="false">MAX(0,W140-Y140)</f>
        <v>975</v>
      </c>
      <c r="AA140" s="21" t="n">
        <f aca="false">MIN(F140,Z140)</f>
        <v>4</v>
      </c>
      <c r="AB140" s="21"/>
      <c r="AC140" s="21" t="str">
        <f aca="false">IF(AB140="","",IF(AB140&gt;AA140,"PASS",IF(AB140&lt;=AA140*0.85,"BID","ATTENZIONE")))</f>
        <v/>
      </c>
      <c r="AD140" s="31" t="n">
        <f aca="false">IF(I140="","",ROUND(100*(1-EXP(-I140/30)),0))</f>
        <v>3</v>
      </c>
      <c r="AE140" s="7" t="str">
        <f aca="false">IFERROR(INDEX('Stato Asta'!$G$9:$G$12,MATCH($B140,'Stato Asta'!$A$9:$A$12,0)),"")</f>
        <v>🟡 Attesa rischiosa</v>
      </c>
    </row>
    <row r="141" customFormat="false" ht="14.25" hidden="false" customHeight="true" outlineLevel="0" collapsed="false">
      <c r="A141" s="21" t="n">
        <v>7414</v>
      </c>
      <c r="B141" s="21" t="s">
        <v>44</v>
      </c>
      <c r="C141" s="21" t="s">
        <v>230</v>
      </c>
      <c r="E141" s="26" t="str">
        <f aca="false">IF(COUNTIF('Info Strategia'!$D$2:$D$51,$C141)&gt;0,"SI","NO")</f>
        <v>NO</v>
      </c>
      <c r="F141" s="27" t="n">
        <f aca="false">IFERROR(ROUND(($G141+($H141-$G141)*'Info Strategia'!$B$6)*(1+IF($E141="SI",'Parametri Modello'!$B$7*'Info Strategia'!$B$6,0)),0),"")</f>
        <v>4</v>
      </c>
      <c r="G141" s="27" t="n">
        <f aca="false">IFERROR(ROUND(MAX(1,(IF($V141&lt;=INDEX('Parametri Modello'!$C$57:$C$60,MATCH($B141,'Parametri Modello'!$A$57:$A$60,0)),IF(INDEX('Parametri Modello'!$E$57:$E$60,MATCH($B141,'Parametri Modello'!$A$57:$A$60,0))=0,0,($O141/INDEX('Parametri Modello'!$E$57:$E$60,MATCH($B141,'Parametri Modello'!$A$57:$A$60,0)))*(INDEX('Parametri Modello'!$D$57:$D$60,MATCH($B141,'Parametri Modello'!$A$57:$A$60,0))*(INDEX('Parametri Modello'!$B$50:$B$53,MATCH($B141,'Parametri Modello'!$A$50:$A$53,0))*'Parametri Modello'!$B$44))),IF(INDEX('Parametri Modello'!$F$57:$F$60,MATCH($B141,'Parametri Modello'!$A$57:$A$60,0))=0,0,($O141/INDEX('Parametri Modello'!$F$57:$F$60,MATCH($B141,'Parametri Modello'!$A$57:$A$60,0)))*((1-INDEX('Parametri Modello'!$D$57:$D$60,MATCH($B141,'Parametri Modello'!$A$57:$A$60,0)))*(INDEX('Parametri Modello'!$B$50:$B$53,MATCH($B141,'Parametri Modello'!$A$50:$A$53,0))*'Parametri Modello'!$B$44))))*(1+IF(IF($B141="D",'Info Lega'!$B$25,IF($B141="C",'Info Lega'!$B$26,"No"))="Si",'Parametri Modello'!$B$5,0))*(1+MAX(-0.25,MIN(0.25,IF(OR($T141="",$I141="",$I141=0,INDEX('Parametri Modello'!$B$19:$B$22,MATCH($B141,'Parametri Modello'!$A$19:$A$22,0))="",INDEX('Parametri Modello'!$B$19:$B$22,MATCH($B141,'Parametri Modello'!$A$19:$A$22,0))=0),0,(($T141-INDEX('Parametri Modello'!$B$19:$B$22,MATCH($B141,'Parametri Modello'!$A$19:$A$22,0)))/INDEX('Parametri Modello'!$B$19:$B$22,MATCH($B141,'Parametri Modello'!$A$19:$A$22,0)))*'Parametri Modello'!$B$9))))*(1+IF('Parametri Modello'!$B$27="Si",MAX(-'Parametri Modello'!$B$28,MIN('Parametri Modello'!$B$28*1.5,IF(OR(INDEX('Parametri Modello'!$F$32:$F$35,MATCH($B141,'Parametri Modello'!$A$32:$A$35,0))="",INDEX('Parametri Modello'!$F$32:$F$35,MATCH($B141,'Parametri Modello'!$A$32:$A$35,0))=0),0,(1/INDEX('Parametri Modello'!$F$32:$F$35,MATCH($B141,'Parametri Modello'!$A$32:$A$35,0))-1)*'Parametri Modello'!$B$28))),0)))*(1-INDEX('Parametri Modello'!$B$12:$B$15,MATCH($B141,'Parametri Modello'!$A$12:$A$15,0)))),0),"")</f>
        <v>3</v>
      </c>
      <c r="H141" s="27" t="n">
        <f aca="false">IFERROR(ROUND((IF($V141&lt;=INDEX('Parametri Modello'!$C$57:$C$60,MATCH($B141,'Parametri Modello'!$A$57:$A$60,0)),IF(INDEX('Parametri Modello'!$E$57:$E$60,MATCH($B141,'Parametri Modello'!$A$57:$A$60,0))=0,0,($O141/INDEX('Parametri Modello'!$E$57:$E$60,MATCH($B141,'Parametri Modello'!$A$57:$A$60,0)))*(INDEX('Parametri Modello'!$D$57:$D$60,MATCH($B141,'Parametri Modello'!$A$57:$A$60,0))*(INDEX('Parametri Modello'!$B$50:$B$53,MATCH($B141,'Parametri Modello'!$A$50:$A$53,0))*'Parametri Modello'!$B$44))),IF(INDEX('Parametri Modello'!$F$57:$F$60,MATCH($B141,'Parametri Modello'!$A$57:$A$60,0))=0,0,($O141/INDEX('Parametri Modello'!$F$57:$F$60,MATCH($B141,'Parametri Modello'!$A$57:$A$60,0)))*((1-INDEX('Parametri Modello'!$D$57:$D$60,MATCH($B141,'Parametri Modello'!$A$57:$A$60,0)))*(INDEX('Parametri Modello'!$B$50:$B$53,MATCH($B141,'Parametri Modello'!$A$50:$A$53,0))*'Parametri Modello'!$B$44))))*(1+IF(IF($B141="D",'Info Lega'!$B$25,IF($B141="C",'Info Lega'!$B$26,"No"))="Si",'Parametri Modello'!$B$5,0))*(1+MAX(-0.25,MIN(0.25,IF(OR($T141="",$I141="",$I141=0,INDEX('Parametri Modello'!$B$19:$B$22,MATCH($B141,'Parametri Modello'!$A$19:$A$22,0))="",INDEX('Parametri Modello'!$B$19:$B$22,MATCH($B141,'Parametri Modello'!$A$19:$A$22,0))=0),0,(($T141-INDEX('Parametri Modello'!$B$19:$B$22,MATCH($B141,'Parametri Modello'!$A$19:$A$22,0)))/INDEX('Parametri Modello'!$B$19:$B$22,MATCH($B141,'Parametri Modello'!$A$19:$A$22,0)))*'Parametri Modello'!$B$9))))*(1+IF('Parametri Modello'!$B$27="Si",MAX(-'Parametri Modello'!$B$28,MIN('Parametri Modello'!$B$28*1.5,IF(OR(INDEX('Parametri Modello'!$F$32:$F$35,MATCH($B141,'Parametri Modello'!$A$32:$A$35,0))="",INDEX('Parametri Modello'!$F$32:$F$35,MATCH($B141,'Parametri Modello'!$A$32:$A$35,0))=0),0,(1/INDEX('Parametri Modello'!$F$32:$F$35,MATCH($B141,'Parametri Modello'!$A$32:$A$35,0))-1)*'Parametri Modello'!$B$28))),0)))*(1+INDEX('Parametri Modello'!$B$12:$B$15,MATCH($B141,'Parametri Modello'!$A$12:$A$15,0))),0),"")</f>
        <v>5</v>
      </c>
      <c r="I141" s="26" t="str">
        <f aca="false">IFERROR(INDEX('Input Statistiche 2025_26'!$F$3:$F$665,MATCH($A141,'Input Statistiche 2025_26'!$A$3:$A$665,0)),"")</f>
        <v/>
      </c>
      <c r="J141" s="26" t="str">
        <f aca="false">IFERROR(IF($I141="","",MAX(0,38-$I141)),"")</f>
        <v/>
      </c>
      <c r="K141" s="26" t="str">
        <f aca="false">IFERROR(INDEX('Input Statistiche 2025_26'!$I$3:$I$665,MATCH($A141,'Input Statistiche 2025_26'!$A$3:$A$665,0)),"")</f>
        <v/>
      </c>
      <c r="L141" s="26" t="str">
        <f aca="false">IFERROR(INDEX('Input Statistiche 2025_26'!$O$3:$O$665,MATCH($A141,'Input Statistiche 2025_26'!$A$3:$A$665,0)),"")</f>
        <v/>
      </c>
      <c r="M141" s="28"/>
      <c r="N141" s="27" t="n">
        <f aca="false">IFERROR(INDEX('Input Giocatori 2026_27'!$E$3:$E$493,MATCH($A141,'Input Giocatori 2026_27'!$A$3:$A$493,0)),"")</f>
        <v>7</v>
      </c>
      <c r="O141" s="27" t="n">
        <f aca="false">IFERROR(INDEX('Input Giocatori 2026_27'!$G$3:$G$493,MATCH($A141,'Input Giocatori 2026_27'!$A$3:$A$493,0)),"")</f>
        <v>23</v>
      </c>
      <c r="P141" s="26" t="str">
        <f aca="false">IFERROR(IF($O141="","",IF((1-(COUNTIFS($B$2:$B$492,$B141,$O$2:$O$492,"&gt;"&amp;$O141)+1-1)/COUNTIF($B$2:$B$492,$B141))&gt;=0.85,"Top",IF((1-(COUNTIFS($B$2:$B$492,$B141,$O$2:$O$492,"&gt;"&amp;$O141)+1-1)/COUNTIF($B$2:$B$492,$B141))&gt;=0.6,"Buono",IF((1-(COUNTIFS($B$2:$B$492,$B141,$O$2:$O$492,"&gt;"&amp;$O141)+1-1)/COUNTIF($B$2:$B$492,$B141))&gt;=0.3,"Nella Media","Scommessa/Riserva")))),"")</f>
        <v>Buono</v>
      </c>
      <c r="Q141" s="29" t="n">
        <f aca="false">IF($D141="",COUNTIF($D$2:$D141,""),"")</f>
        <v>140</v>
      </c>
      <c r="R141" s="29" t="str">
        <f aca="false">IF($D141='Info Lega'!$B$28,COUNTIFS($D$2:$D141,'Info Lega'!$B$28),"")</f>
        <v/>
      </c>
      <c r="S141" s="30" t="str">
        <f aca="false">IFERROR(INDEX('Input Statistiche 2025_26'!$G$3:$G$665,MATCH($A141,'Input Statistiche 2025_26'!$A$3:$A$665,0)),"")</f>
        <v/>
      </c>
      <c r="T141" s="30" t="str">
        <f aca="false">IFERROR(INDEX('Input Statistiche 2025_26'!$H$3:$H$665,MATCH($A141,'Input Statistiche 2025_26'!$A$3:$A$665,0)),"")</f>
        <v/>
      </c>
      <c r="U141" s="26" t="str">
        <f aca="false">IF(OR('La Mia Rosa'!$O$12="",$D141&lt;&gt;""),"",IF($F141&lt;='La Mia Rosa'!$O$12*'Parametri Modello'!$B$24,"OK",IF($F141&lt;='La Mia Rosa'!$O$12*'Parametri Modello'!$B$25,"Attenzione","Rischio Alto")))</f>
        <v>OK</v>
      </c>
      <c r="V141" s="26" t="n">
        <f aca="false">IFERROR(COUNTIFS($B$2:$B$492,$B141,$O$2:$O$492,"&gt;"&amp;$O141)+1,"")</f>
        <v>31</v>
      </c>
      <c r="W141" s="21" t="n">
        <f aca="false">'Info Lega'!$B$4-SUMIFS($M$2:$M$492,$D$2:$D$492,'Info Lega'!$B$28)</f>
        <v>1000</v>
      </c>
      <c r="X141" s="21" t="n">
        <f aca="false">('Info Lega'!$B$5-COUNTIFS($D$2:$D$492,'Info Lega'!$B$28,$B$2:$B$492,"P"))+('Info Lega'!$B$6-COUNTIFS($D$2:$D$492,'Info Lega'!$B$28,$B$2:$B$492,"D"))+('Info Lega'!$B$7-COUNTIFS($D$2:$D$492,'Info Lega'!$B$28,$B$2:$B$492,"C"))+('Info Lega'!$B$8-COUNTIFS($D$2:$D$492,'Info Lega'!$B$28,$B$2:$B$492,"A"))</f>
        <v>25</v>
      </c>
      <c r="Y141" s="21" t="n">
        <f aca="false">X141*'Parametri Modello'!$B$30</f>
        <v>25</v>
      </c>
      <c r="Z141" s="21" t="n">
        <f aca="false">MAX(0,W141-Y141)</f>
        <v>975</v>
      </c>
      <c r="AA141" s="21" t="n">
        <f aca="false">MIN(F141,Z141)</f>
        <v>4</v>
      </c>
      <c r="AB141" s="21"/>
      <c r="AC141" s="21" t="str">
        <f aca="false">IF(AB141="","",IF(AB141&gt;AA141,"PASS",IF(AB141&lt;=AA141*0.85,"BID","ATTENZIONE")))</f>
        <v/>
      </c>
      <c r="AD141" s="31" t="str">
        <f aca="false">IF(I141="","",ROUND(100*(1-EXP(-I141/30)),0))</f>
        <v/>
      </c>
      <c r="AE141" s="7" t="str">
        <f aca="false">IFERROR(INDEX('Stato Asta'!$G$9:$G$12,MATCH($B141,'Stato Asta'!$A$9:$A$12,0)),"")</f>
        <v>🟡 Attesa rischiosa</v>
      </c>
    </row>
    <row r="142" customFormat="false" ht="14.25" hidden="false" customHeight="true" outlineLevel="0" collapsed="false">
      <c r="A142" s="21" t="n">
        <v>4401</v>
      </c>
      <c r="B142" s="21" t="s">
        <v>44</v>
      </c>
      <c r="C142" s="21" t="s">
        <v>235</v>
      </c>
      <c r="E142" s="26" t="str">
        <f aca="false">IF(COUNTIF('Info Strategia'!$D$2:$D$51,$C142)&gt;0,"SI","NO")</f>
        <v>NO</v>
      </c>
      <c r="F142" s="27" t="n">
        <f aca="false">IFERROR(ROUND(($G142+($H142-$G142)*'Info Strategia'!$B$6)*(1+IF($E142="SI",'Parametri Modello'!$B$7*'Info Strategia'!$B$6,0)),0),"")</f>
        <v>4</v>
      </c>
      <c r="G142" s="27" t="n">
        <f aca="false">IFERROR(ROUND(MAX(1,(IF($V142&lt;=INDEX('Parametri Modello'!$C$57:$C$60,MATCH($B142,'Parametri Modello'!$A$57:$A$60,0)),IF(INDEX('Parametri Modello'!$E$57:$E$60,MATCH($B142,'Parametri Modello'!$A$57:$A$60,0))=0,0,($O142/INDEX('Parametri Modello'!$E$57:$E$60,MATCH($B142,'Parametri Modello'!$A$57:$A$60,0)))*(INDEX('Parametri Modello'!$D$57:$D$60,MATCH($B142,'Parametri Modello'!$A$57:$A$60,0))*(INDEX('Parametri Modello'!$B$50:$B$53,MATCH($B142,'Parametri Modello'!$A$50:$A$53,0))*'Parametri Modello'!$B$44))),IF(INDEX('Parametri Modello'!$F$57:$F$60,MATCH($B142,'Parametri Modello'!$A$57:$A$60,0))=0,0,($O142/INDEX('Parametri Modello'!$F$57:$F$60,MATCH($B142,'Parametri Modello'!$A$57:$A$60,0)))*((1-INDEX('Parametri Modello'!$D$57:$D$60,MATCH($B142,'Parametri Modello'!$A$57:$A$60,0)))*(INDEX('Parametri Modello'!$B$50:$B$53,MATCH($B142,'Parametri Modello'!$A$50:$A$53,0))*'Parametri Modello'!$B$44))))*(1+IF(IF($B142="D",'Info Lega'!$B$25,IF($B142="C",'Info Lega'!$B$26,"No"))="Si",'Parametri Modello'!$B$5,0))*(1+MAX(-0.25,MIN(0.25,IF(OR($T142="",$I142="",$I142=0,INDEX('Parametri Modello'!$B$19:$B$22,MATCH($B142,'Parametri Modello'!$A$19:$A$22,0))="",INDEX('Parametri Modello'!$B$19:$B$22,MATCH($B142,'Parametri Modello'!$A$19:$A$22,0))=0),0,(($T142-INDEX('Parametri Modello'!$B$19:$B$22,MATCH($B142,'Parametri Modello'!$A$19:$A$22,0)))/INDEX('Parametri Modello'!$B$19:$B$22,MATCH($B142,'Parametri Modello'!$A$19:$A$22,0)))*'Parametri Modello'!$B$9))))*(1+IF('Parametri Modello'!$B$27="Si",MAX(-'Parametri Modello'!$B$28,MIN('Parametri Modello'!$B$28*1.5,IF(OR(INDEX('Parametri Modello'!$F$32:$F$35,MATCH($B142,'Parametri Modello'!$A$32:$A$35,0))="",INDEX('Parametri Modello'!$F$32:$F$35,MATCH($B142,'Parametri Modello'!$A$32:$A$35,0))=0),0,(1/INDEX('Parametri Modello'!$F$32:$F$35,MATCH($B142,'Parametri Modello'!$A$32:$A$35,0))-1)*'Parametri Modello'!$B$28))),0)))*(1-INDEX('Parametri Modello'!$B$12:$B$15,MATCH($B142,'Parametri Modello'!$A$12:$A$15,0)))),0),"")</f>
        <v>3</v>
      </c>
      <c r="H142" s="27" t="n">
        <f aca="false">IFERROR(ROUND((IF($V142&lt;=INDEX('Parametri Modello'!$C$57:$C$60,MATCH($B142,'Parametri Modello'!$A$57:$A$60,0)),IF(INDEX('Parametri Modello'!$E$57:$E$60,MATCH($B142,'Parametri Modello'!$A$57:$A$60,0))=0,0,($O142/INDEX('Parametri Modello'!$E$57:$E$60,MATCH($B142,'Parametri Modello'!$A$57:$A$60,0)))*(INDEX('Parametri Modello'!$D$57:$D$60,MATCH($B142,'Parametri Modello'!$A$57:$A$60,0))*(INDEX('Parametri Modello'!$B$50:$B$53,MATCH($B142,'Parametri Modello'!$A$50:$A$53,0))*'Parametri Modello'!$B$44))),IF(INDEX('Parametri Modello'!$F$57:$F$60,MATCH($B142,'Parametri Modello'!$A$57:$A$60,0))=0,0,($O142/INDEX('Parametri Modello'!$F$57:$F$60,MATCH($B142,'Parametri Modello'!$A$57:$A$60,0)))*((1-INDEX('Parametri Modello'!$D$57:$D$60,MATCH($B142,'Parametri Modello'!$A$57:$A$60,0)))*(INDEX('Parametri Modello'!$B$50:$B$53,MATCH($B142,'Parametri Modello'!$A$50:$A$53,0))*'Parametri Modello'!$B$44))))*(1+IF(IF($B142="D",'Info Lega'!$B$25,IF($B142="C",'Info Lega'!$B$26,"No"))="Si",'Parametri Modello'!$B$5,0))*(1+MAX(-0.25,MIN(0.25,IF(OR($T142="",$I142="",$I142=0,INDEX('Parametri Modello'!$B$19:$B$22,MATCH($B142,'Parametri Modello'!$A$19:$A$22,0))="",INDEX('Parametri Modello'!$B$19:$B$22,MATCH($B142,'Parametri Modello'!$A$19:$A$22,0))=0),0,(($T142-INDEX('Parametri Modello'!$B$19:$B$22,MATCH($B142,'Parametri Modello'!$A$19:$A$22,0)))/INDEX('Parametri Modello'!$B$19:$B$22,MATCH($B142,'Parametri Modello'!$A$19:$A$22,0)))*'Parametri Modello'!$B$9))))*(1+IF('Parametri Modello'!$B$27="Si",MAX(-'Parametri Modello'!$B$28,MIN('Parametri Modello'!$B$28*1.5,IF(OR(INDEX('Parametri Modello'!$F$32:$F$35,MATCH($B142,'Parametri Modello'!$A$32:$A$35,0))="",INDEX('Parametri Modello'!$F$32:$F$35,MATCH($B142,'Parametri Modello'!$A$32:$A$35,0))=0),0,(1/INDEX('Parametri Modello'!$F$32:$F$35,MATCH($B142,'Parametri Modello'!$A$32:$A$35,0))-1)*'Parametri Modello'!$B$28))),0)))*(1+INDEX('Parametri Modello'!$B$12:$B$15,MATCH($B142,'Parametri Modello'!$A$12:$A$15,0))),0),"")</f>
        <v>5</v>
      </c>
      <c r="I142" s="26" t="n">
        <f aca="false">IFERROR(INDEX('Input Statistiche 2025_26'!$F$3:$F$665,MATCH($A142,'Input Statistiche 2025_26'!$A$3:$A$665,0)),"")</f>
        <v>29</v>
      </c>
      <c r="J142" s="26" t="n">
        <f aca="false">IFERROR(IF($I142="","",MAX(0,38-$I142)),"")</f>
        <v>9</v>
      </c>
      <c r="K142" s="26" t="n">
        <f aca="false">IFERROR(INDEX('Input Statistiche 2025_26'!$I$3:$I$665,MATCH($A142,'Input Statistiche 2025_26'!$A$3:$A$665,0)),"")</f>
        <v>0</v>
      </c>
      <c r="L142" s="26" t="n">
        <f aca="false">IFERROR(INDEX('Input Statistiche 2025_26'!$O$3:$O$665,MATCH($A142,'Input Statistiche 2025_26'!$A$3:$A$665,0)),"")</f>
        <v>0</v>
      </c>
      <c r="M142" s="28"/>
      <c r="N142" s="27" t="n">
        <f aca="false">IFERROR(INDEX('Input Giocatori 2026_27'!$E$3:$E$493,MATCH($A142,'Input Giocatori 2026_27'!$A$3:$A$493,0)),"")</f>
        <v>7</v>
      </c>
      <c r="O142" s="27" t="n">
        <f aca="false">IFERROR(INDEX('Input Giocatori 2026_27'!$G$3:$G$493,MATCH($A142,'Input Giocatori 2026_27'!$A$3:$A$493,0)),"")</f>
        <v>23</v>
      </c>
      <c r="P142" s="26" t="str">
        <f aca="false">IFERROR(IF($O142="","",IF((1-(COUNTIFS($B$2:$B$492,$B142,$O$2:$O$492,"&gt;"&amp;$O142)+1-1)/COUNTIF($B$2:$B$492,$B142))&gt;=0.85,"Top",IF((1-(COUNTIFS($B$2:$B$492,$B142,$O$2:$O$492,"&gt;"&amp;$O142)+1-1)/COUNTIF($B$2:$B$492,$B142))&gt;=0.6,"Buono",IF((1-(COUNTIFS($B$2:$B$492,$B142,$O$2:$O$492,"&gt;"&amp;$O142)+1-1)/COUNTIF($B$2:$B$492,$B142))&gt;=0.3,"Nella Media","Scommessa/Riserva")))),"")</f>
        <v>Buono</v>
      </c>
      <c r="Q142" s="29" t="n">
        <f aca="false">IF($D142="",COUNTIF($D$2:$D142,""),"")</f>
        <v>141</v>
      </c>
      <c r="R142" s="29" t="str">
        <f aca="false">IF($D142='Info Lega'!$B$28,COUNTIFS($D$2:$D142,'Info Lega'!$B$28),"")</f>
        <v/>
      </c>
      <c r="S142" s="30" t="n">
        <f aca="false">IFERROR(INDEX('Input Statistiche 2025_26'!$G$3:$G$665,MATCH($A142,'Input Statistiche 2025_26'!$A$3:$A$665,0)),"")</f>
        <v>5.91</v>
      </c>
      <c r="T142" s="30" t="n">
        <f aca="false">IFERROR(INDEX('Input Statistiche 2025_26'!$H$3:$H$665,MATCH($A142,'Input Statistiche 2025_26'!$A$3:$A$665,0)),"")</f>
        <v>5.84</v>
      </c>
      <c r="U142" s="26" t="str">
        <f aca="false">IF(OR('La Mia Rosa'!$O$12="",$D142&lt;&gt;""),"",IF($F142&lt;='La Mia Rosa'!$O$12*'Parametri Modello'!$B$24,"OK",IF($F142&lt;='La Mia Rosa'!$O$12*'Parametri Modello'!$B$25,"Attenzione","Rischio Alto")))</f>
        <v>OK</v>
      </c>
      <c r="V142" s="26" t="n">
        <f aca="false">IFERROR(COUNTIFS($B$2:$B$492,$B142,$O$2:$O$492,"&gt;"&amp;$O142)+1,"")</f>
        <v>31</v>
      </c>
      <c r="W142" s="21" t="n">
        <f aca="false">'Info Lega'!$B$4-SUMIFS($M$2:$M$492,$D$2:$D$492,'Info Lega'!$B$28)</f>
        <v>1000</v>
      </c>
      <c r="X142" s="21" t="n">
        <f aca="false">('Info Lega'!$B$5-COUNTIFS($D$2:$D$492,'Info Lega'!$B$28,$B$2:$B$492,"P"))+('Info Lega'!$B$6-COUNTIFS($D$2:$D$492,'Info Lega'!$B$28,$B$2:$B$492,"D"))+('Info Lega'!$B$7-COUNTIFS($D$2:$D$492,'Info Lega'!$B$28,$B$2:$B$492,"C"))+('Info Lega'!$B$8-COUNTIFS($D$2:$D$492,'Info Lega'!$B$28,$B$2:$B$492,"A"))</f>
        <v>25</v>
      </c>
      <c r="Y142" s="21" t="n">
        <f aca="false">X142*'Parametri Modello'!$B$30</f>
        <v>25</v>
      </c>
      <c r="Z142" s="21" t="n">
        <f aca="false">MAX(0,W142-Y142)</f>
        <v>975</v>
      </c>
      <c r="AA142" s="21" t="n">
        <f aca="false">MIN(F142,Z142)</f>
        <v>4</v>
      </c>
      <c r="AB142" s="21"/>
      <c r="AC142" s="21" t="str">
        <f aca="false">IF(AB142="","",IF(AB142&gt;AA142,"PASS",IF(AB142&lt;=AA142*0.85,"BID","ATTENZIONE")))</f>
        <v/>
      </c>
      <c r="AD142" s="31" t="n">
        <f aca="false">IF(I142="","",ROUND(100*(1-EXP(-I142/30)),0))</f>
        <v>62</v>
      </c>
      <c r="AE142" s="7" t="str">
        <f aca="false">IFERROR(INDEX('Stato Asta'!$G$9:$G$12,MATCH($B142,'Stato Asta'!$A$9:$A$12,0)),"")</f>
        <v>🟡 Attesa rischiosa</v>
      </c>
    </row>
    <row r="143" customFormat="false" ht="14.25" hidden="false" customHeight="true" outlineLevel="0" collapsed="false">
      <c r="A143" s="21" t="n">
        <v>4465</v>
      </c>
      <c r="B143" s="21" t="s">
        <v>45</v>
      </c>
      <c r="C143" s="21" t="s">
        <v>409</v>
      </c>
      <c r="E143" s="26" t="str">
        <f aca="false">IF(COUNTIF('Info Strategia'!$D$2:$D$51,$C143)&gt;0,"SI","NO")</f>
        <v>NO</v>
      </c>
      <c r="F143" s="27" t="n">
        <f aca="false">IFERROR(ROUND(($G143+($H143-$G143)*'Info Strategia'!$B$6)*(1+IF($E143="SI",'Parametri Modello'!$B$7*'Info Strategia'!$B$6,0)),0),"")</f>
        <v>3</v>
      </c>
      <c r="G143" s="27" t="n">
        <f aca="false">IFERROR(ROUND(MAX(1,(IF($V143&lt;=INDEX('Parametri Modello'!$C$57:$C$60,MATCH($B143,'Parametri Modello'!$A$57:$A$60,0)),IF(INDEX('Parametri Modello'!$E$57:$E$60,MATCH($B143,'Parametri Modello'!$A$57:$A$60,0))=0,0,($O143/INDEX('Parametri Modello'!$E$57:$E$60,MATCH($B143,'Parametri Modello'!$A$57:$A$60,0)))*(INDEX('Parametri Modello'!$D$57:$D$60,MATCH($B143,'Parametri Modello'!$A$57:$A$60,0))*(INDEX('Parametri Modello'!$B$50:$B$53,MATCH($B143,'Parametri Modello'!$A$50:$A$53,0))*'Parametri Modello'!$B$44))),IF(INDEX('Parametri Modello'!$F$57:$F$60,MATCH($B143,'Parametri Modello'!$A$57:$A$60,0))=0,0,($O143/INDEX('Parametri Modello'!$F$57:$F$60,MATCH($B143,'Parametri Modello'!$A$57:$A$60,0)))*((1-INDEX('Parametri Modello'!$D$57:$D$60,MATCH($B143,'Parametri Modello'!$A$57:$A$60,0)))*(INDEX('Parametri Modello'!$B$50:$B$53,MATCH($B143,'Parametri Modello'!$A$50:$A$53,0))*'Parametri Modello'!$B$44))))*(1+IF(IF($B143="D",'Info Lega'!$B$25,IF($B143="C",'Info Lega'!$B$26,"No"))="Si",'Parametri Modello'!$B$5,0))*(1+MAX(-0.25,MIN(0.25,IF(OR($T143="",$I143="",$I143=0,INDEX('Parametri Modello'!$B$19:$B$22,MATCH($B143,'Parametri Modello'!$A$19:$A$22,0))="",INDEX('Parametri Modello'!$B$19:$B$22,MATCH($B143,'Parametri Modello'!$A$19:$A$22,0))=0),0,(($T143-INDEX('Parametri Modello'!$B$19:$B$22,MATCH($B143,'Parametri Modello'!$A$19:$A$22,0)))/INDEX('Parametri Modello'!$B$19:$B$22,MATCH($B143,'Parametri Modello'!$A$19:$A$22,0)))*'Parametri Modello'!$B$9))))*(1+IF('Parametri Modello'!$B$27="Si",MAX(-'Parametri Modello'!$B$28,MIN('Parametri Modello'!$B$28*1.5,IF(OR(INDEX('Parametri Modello'!$F$32:$F$35,MATCH($B143,'Parametri Modello'!$A$32:$A$35,0))="",INDEX('Parametri Modello'!$F$32:$F$35,MATCH($B143,'Parametri Modello'!$A$32:$A$35,0))=0),0,(1/INDEX('Parametri Modello'!$F$32:$F$35,MATCH($B143,'Parametri Modello'!$A$32:$A$35,0))-1)*'Parametri Modello'!$B$28))),0)))*(1-INDEX('Parametri Modello'!$B$12:$B$15,MATCH($B143,'Parametri Modello'!$A$12:$A$15,0)))),0),"")</f>
        <v>2</v>
      </c>
      <c r="H143" s="27" t="n">
        <f aca="false">IFERROR(ROUND((IF($V143&lt;=INDEX('Parametri Modello'!$C$57:$C$60,MATCH($B143,'Parametri Modello'!$A$57:$A$60,0)),IF(INDEX('Parametri Modello'!$E$57:$E$60,MATCH($B143,'Parametri Modello'!$A$57:$A$60,0))=0,0,($O143/INDEX('Parametri Modello'!$E$57:$E$60,MATCH($B143,'Parametri Modello'!$A$57:$A$60,0)))*(INDEX('Parametri Modello'!$D$57:$D$60,MATCH($B143,'Parametri Modello'!$A$57:$A$60,0))*(INDEX('Parametri Modello'!$B$50:$B$53,MATCH($B143,'Parametri Modello'!$A$50:$A$53,0))*'Parametri Modello'!$B$44))),IF(INDEX('Parametri Modello'!$F$57:$F$60,MATCH($B143,'Parametri Modello'!$A$57:$A$60,0))=0,0,($O143/INDEX('Parametri Modello'!$F$57:$F$60,MATCH($B143,'Parametri Modello'!$A$57:$A$60,0)))*((1-INDEX('Parametri Modello'!$D$57:$D$60,MATCH($B143,'Parametri Modello'!$A$57:$A$60,0)))*(INDEX('Parametri Modello'!$B$50:$B$53,MATCH($B143,'Parametri Modello'!$A$50:$A$53,0))*'Parametri Modello'!$B$44))))*(1+IF(IF($B143="D",'Info Lega'!$B$25,IF($B143="C",'Info Lega'!$B$26,"No"))="Si",'Parametri Modello'!$B$5,0))*(1+MAX(-0.25,MIN(0.25,IF(OR($T143="",$I143="",$I143=0,INDEX('Parametri Modello'!$B$19:$B$22,MATCH($B143,'Parametri Modello'!$A$19:$A$22,0))="",INDEX('Parametri Modello'!$B$19:$B$22,MATCH($B143,'Parametri Modello'!$A$19:$A$22,0))=0),0,(($T143-INDEX('Parametri Modello'!$B$19:$B$22,MATCH($B143,'Parametri Modello'!$A$19:$A$22,0)))/INDEX('Parametri Modello'!$B$19:$B$22,MATCH($B143,'Parametri Modello'!$A$19:$A$22,0)))*'Parametri Modello'!$B$9))))*(1+IF('Parametri Modello'!$B$27="Si",MAX(-'Parametri Modello'!$B$28,MIN('Parametri Modello'!$B$28*1.5,IF(OR(INDEX('Parametri Modello'!$F$32:$F$35,MATCH($B143,'Parametri Modello'!$A$32:$A$35,0))="",INDEX('Parametri Modello'!$F$32:$F$35,MATCH($B143,'Parametri Modello'!$A$32:$A$35,0))=0),0,(1/INDEX('Parametri Modello'!$F$32:$F$35,MATCH($B143,'Parametri Modello'!$A$32:$A$35,0))-1)*'Parametri Modello'!$B$28))),0)))*(1+INDEX('Parametri Modello'!$B$12:$B$15,MATCH($B143,'Parametri Modello'!$A$12:$A$15,0))),0),"")</f>
        <v>3</v>
      </c>
      <c r="I143" s="26" t="n">
        <f aca="false">IFERROR(INDEX('Input Statistiche 2025_26'!$F$3:$F$665,MATCH($A143,'Input Statistiche 2025_26'!$A$3:$A$665,0)),"")</f>
        <v>33</v>
      </c>
      <c r="J143" s="26" t="n">
        <f aca="false">IFERROR(IF($I143="","",MAX(0,38-$I143)),"")</f>
        <v>5</v>
      </c>
      <c r="K143" s="26" t="n">
        <f aca="false">IFERROR(INDEX('Input Statistiche 2025_26'!$I$3:$I$665,MATCH($A143,'Input Statistiche 2025_26'!$A$3:$A$665,0)),"")</f>
        <v>2</v>
      </c>
      <c r="L143" s="26" t="n">
        <f aca="false">IFERROR(INDEX('Input Statistiche 2025_26'!$O$3:$O$665,MATCH($A143,'Input Statistiche 2025_26'!$A$3:$A$665,0)),"")</f>
        <v>3</v>
      </c>
      <c r="M143" s="28"/>
      <c r="N143" s="27" t="n">
        <f aca="false">IFERROR(INDEX('Input Giocatori 2026_27'!$E$3:$E$493,MATCH($A143,'Input Giocatori 2026_27'!$A$3:$A$493,0)),"")</f>
        <v>8</v>
      </c>
      <c r="O143" s="27" t="n">
        <f aca="false">IFERROR(INDEX('Input Giocatori 2026_27'!$G$3:$G$493,MATCH($A143,'Input Giocatori 2026_27'!$A$3:$A$493,0)),"")</f>
        <v>23</v>
      </c>
      <c r="P143" s="26" t="str">
        <f aca="false">IFERROR(IF($O143="","",IF((1-(COUNTIFS($B$2:$B$492,$B143,$O$2:$O$492,"&gt;"&amp;$O143)+1-1)/COUNTIF($B$2:$B$492,$B143))&gt;=0.85,"Top",IF((1-(COUNTIFS($B$2:$B$492,$B143,$O$2:$O$492,"&gt;"&amp;$O143)+1-1)/COUNTIF($B$2:$B$492,$B143))&gt;=0.6,"Buono",IF((1-(COUNTIFS($B$2:$B$492,$B143,$O$2:$O$492,"&gt;"&amp;$O143)+1-1)/COUNTIF($B$2:$B$492,$B143))&gt;=0.3,"Nella Media","Scommessa/Riserva")))),"")</f>
        <v>Buono</v>
      </c>
      <c r="Q143" s="29" t="n">
        <f aca="false">IF($D143="",COUNTIF($D$2:$D143,""),"")</f>
        <v>142</v>
      </c>
      <c r="R143" s="29" t="str">
        <f aca="false">IF($D143='Info Lega'!$B$28,COUNTIFS($D$2:$D143,'Info Lega'!$B$28),"")</f>
        <v/>
      </c>
      <c r="S143" s="30" t="n">
        <f aca="false">IFERROR(INDEX('Input Statistiche 2025_26'!$G$3:$G$665,MATCH($A143,'Input Statistiche 2025_26'!$A$3:$A$665,0)),"")</f>
        <v>6.03</v>
      </c>
      <c r="T143" s="30" t="n">
        <f aca="false">IFERROR(INDEX('Input Statistiche 2025_26'!$H$3:$H$665,MATCH($A143,'Input Statistiche 2025_26'!$A$3:$A$665,0)),"")</f>
        <v>6.23</v>
      </c>
      <c r="U143" s="26" t="str">
        <f aca="false">IF(OR('La Mia Rosa'!$O$12="",$D143&lt;&gt;""),"",IF($F143&lt;='La Mia Rosa'!$O$12*'Parametri Modello'!$B$24,"OK",IF($F143&lt;='La Mia Rosa'!$O$12*'Parametri Modello'!$B$25,"Attenzione","Rischio Alto")))</f>
        <v>OK</v>
      </c>
      <c r="V143" s="26" t="n">
        <f aca="false">IFERROR(COUNTIFS($B$2:$B$492,$B143,$O$2:$O$492,"&gt;"&amp;$O143)+1,"")</f>
        <v>52</v>
      </c>
      <c r="W143" s="21" t="n">
        <f aca="false">'Info Lega'!$B$4-SUMIFS($M$2:$M$492,$D$2:$D$492,'Info Lega'!$B$28)</f>
        <v>1000</v>
      </c>
      <c r="X143" s="21" t="n">
        <f aca="false">('Info Lega'!$B$5-COUNTIFS($D$2:$D$492,'Info Lega'!$B$28,$B$2:$B$492,"P"))+('Info Lega'!$B$6-COUNTIFS($D$2:$D$492,'Info Lega'!$B$28,$B$2:$B$492,"D"))+('Info Lega'!$B$7-COUNTIFS($D$2:$D$492,'Info Lega'!$B$28,$B$2:$B$492,"C"))+('Info Lega'!$B$8-COUNTIFS($D$2:$D$492,'Info Lega'!$B$28,$B$2:$B$492,"A"))</f>
        <v>25</v>
      </c>
      <c r="Y143" s="21" t="n">
        <f aca="false">X143*'Parametri Modello'!$B$30</f>
        <v>25</v>
      </c>
      <c r="Z143" s="21" t="n">
        <f aca="false">MAX(0,W143-Y143)</f>
        <v>975</v>
      </c>
      <c r="AA143" s="21" t="n">
        <f aca="false">MIN(F143,Z143)</f>
        <v>3</v>
      </c>
      <c r="AB143" s="21"/>
      <c r="AC143" s="21" t="str">
        <f aca="false">IF(AB143="","",IF(AB143&gt;AA143,"PASS",IF(AB143&lt;=AA143*0.85,"BID","ATTENZIONE")))</f>
        <v/>
      </c>
      <c r="AD143" s="31" t="n">
        <f aca="false">IF(I143="","",ROUND(100*(1-EXP(-I143/30)),0))</f>
        <v>67</v>
      </c>
      <c r="AE143" s="7" t="str">
        <f aca="false">IFERROR(INDEX('Stato Asta'!$G$9:$G$12,MATCH($B143,'Stato Asta'!$A$9:$A$12,0)),"")</f>
        <v>🟡 Attesa rischiosa</v>
      </c>
    </row>
    <row r="144" customFormat="false" ht="14.25" hidden="false" customHeight="true" outlineLevel="0" collapsed="false">
      <c r="A144" s="21" t="n">
        <v>5735</v>
      </c>
      <c r="B144" s="21" t="s">
        <v>45</v>
      </c>
      <c r="C144" s="21" t="s">
        <v>426</v>
      </c>
      <c r="E144" s="26" t="str">
        <f aca="false">IF(COUNTIF('Info Strategia'!$D$2:$D$51,$C144)&gt;0,"SI","NO")</f>
        <v>NO</v>
      </c>
      <c r="F144" s="27" t="n">
        <f aca="false">IFERROR(ROUND(($G144+($H144-$G144)*'Info Strategia'!$B$6)*(1+IF($E144="SI",'Parametri Modello'!$B$7*'Info Strategia'!$B$6,0)),0),"")</f>
        <v>3</v>
      </c>
      <c r="G144" s="27" t="n">
        <f aca="false">IFERROR(ROUND(MAX(1,(IF($V144&lt;=INDEX('Parametri Modello'!$C$57:$C$60,MATCH($B144,'Parametri Modello'!$A$57:$A$60,0)),IF(INDEX('Parametri Modello'!$E$57:$E$60,MATCH($B144,'Parametri Modello'!$A$57:$A$60,0))=0,0,($O144/INDEX('Parametri Modello'!$E$57:$E$60,MATCH($B144,'Parametri Modello'!$A$57:$A$60,0)))*(INDEX('Parametri Modello'!$D$57:$D$60,MATCH($B144,'Parametri Modello'!$A$57:$A$60,0))*(INDEX('Parametri Modello'!$B$50:$B$53,MATCH($B144,'Parametri Modello'!$A$50:$A$53,0))*'Parametri Modello'!$B$44))),IF(INDEX('Parametri Modello'!$F$57:$F$60,MATCH($B144,'Parametri Modello'!$A$57:$A$60,0))=0,0,($O144/INDEX('Parametri Modello'!$F$57:$F$60,MATCH($B144,'Parametri Modello'!$A$57:$A$60,0)))*((1-INDEX('Parametri Modello'!$D$57:$D$60,MATCH($B144,'Parametri Modello'!$A$57:$A$60,0)))*(INDEX('Parametri Modello'!$B$50:$B$53,MATCH($B144,'Parametri Modello'!$A$50:$A$53,0))*'Parametri Modello'!$B$44))))*(1+IF(IF($B144="D",'Info Lega'!$B$25,IF($B144="C",'Info Lega'!$B$26,"No"))="Si",'Parametri Modello'!$B$5,0))*(1+MAX(-0.25,MIN(0.25,IF(OR($T144="",$I144="",$I144=0,INDEX('Parametri Modello'!$B$19:$B$22,MATCH($B144,'Parametri Modello'!$A$19:$A$22,0))="",INDEX('Parametri Modello'!$B$19:$B$22,MATCH($B144,'Parametri Modello'!$A$19:$A$22,0))=0),0,(($T144-INDEX('Parametri Modello'!$B$19:$B$22,MATCH($B144,'Parametri Modello'!$A$19:$A$22,0)))/INDEX('Parametri Modello'!$B$19:$B$22,MATCH($B144,'Parametri Modello'!$A$19:$A$22,0)))*'Parametri Modello'!$B$9))))*(1+IF('Parametri Modello'!$B$27="Si",MAX(-'Parametri Modello'!$B$28,MIN('Parametri Modello'!$B$28*1.5,IF(OR(INDEX('Parametri Modello'!$F$32:$F$35,MATCH($B144,'Parametri Modello'!$A$32:$A$35,0))="",INDEX('Parametri Modello'!$F$32:$F$35,MATCH($B144,'Parametri Modello'!$A$32:$A$35,0))=0),0,(1/INDEX('Parametri Modello'!$F$32:$F$35,MATCH($B144,'Parametri Modello'!$A$32:$A$35,0))-1)*'Parametri Modello'!$B$28))),0)))*(1-INDEX('Parametri Modello'!$B$12:$B$15,MATCH($B144,'Parametri Modello'!$A$12:$A$15,0)))),0),"")</f>
        <v>2</v>
      </c>
      <c r="H144" s="27" t="n">
        <f aca="false">IFERROR(ROUND((IF($V144&lt;=INDEX('Parametri Modello'!$C$57:$C$60,MATCH($B144,'Parametri Modello'!$A$57:$A$60,0)),IF(INDEX('Parametri Modello'!$E$57:$E$60,MATCH($B144,'Parametri Modello'!$A$57:$A$60,0))=0,0,($O144/INDEX('Parametri Modello'!$E$57:$E$60,MATCH($B144,'Parametri Modello'!$A$57:$A$60,0)))*(INDEX('Parametri Modello'!$D$57:$D$60,MATCH($B144,'Parametri Modello'!$A$57:$A$60,0))*(INDEX('Parametri Modello'!$B$50:$B$53,MATCH($B144,'Parametri Modello'!$A$50:$A$53,0))*'Parametri Modello'!$B$44))),IF(INDEX('Parametri Modello'!$F$57:$F$60,MATCH($B144,'Parametri Modello'!$A$57:$A$60,0))=0,0,($O144/INDEX('Parametri Modello'!$F$57:$F$60,MATCH($B144,'Parametri Modello'!$A$57:$A$60,0)))*((1-INDEX('Parametri Modello'!$D$57:$D$60,MATCH($B144,'Parametri Modello'!$A$57:$A$60,0)))*(INDEX('Parametri Modello'!$B$50:$B$53,MATCH($B144,'Parametri Modello'!$A$50:$A$53,0))*'Parametri Modello'!$B$44))))*(1+IF(IF($B144="D",'Info Lega'!$B$25,IF($B144="C",'Info Lega'!$B$26,"No"))="Si",'Parametri Modello'!$B$5,0))*(1+MAX(-0.25,MIN(0.25,IF(OR($T144="",$I144="",$I144=0,INDEX('Parametri Modello'!$B$19:$B$22,MATCH($B144,'Parametri Modello'!$A$19:$A$22,0))="",INDEX('Parametri Modello'!$B$19:$B$22,MATCH($B144,'Parametri Modello'!$A$19:$A$22,0))=0),0,(($T144-INDEX('Parametri Modello'!$B$19:$B$22,MATCH($B144,'Parametri Modello'!$A$19:$A$22,0)))/INDEX('Parametri Modello'!$B$19:$B$22,MATCH($B144,'Parametri Modello'!$A$19:$A$22,0)))*'Parametri Modello'!$B$9))))*(1+IF('Parametri Modello'!$B$27="Si",MAX(-'Parametri Modello'!$B$28,MIN('Parametri Modello'!$B$28*1.5,IF(OR(INDEX('Parametri Modello'!$F$32:$F$35,MATCH($B144,'Parametri Modello'!$A$32:$A$35,0))="",INDEX('Parametri Modello'!$F$32:$F$35,MATCH($B144,'Parametri Modello'!$A$32:$A$35,0))=0),0,(1/INDEX('Parametri Modello'!$F$32:$F$35,MATCH($B144,'Parametri Modello'!$A$32:$A$35,0))-1)*'Parametri Modello'!$B$28))),0)))*(1+INDEX('Parametri Modello'!$B$12:$B$15,MATCH($B144,'Parametri Modello'!$A$12:$A$15,0))),0),"")</f>
        <v>3</v>
      </c>
      <c r="I144" s="26" t="n">
        <f aca="false">IFERROR(INDEX('Input Statistiche 2025_26'!$F$3:$F$665,MATCH($A144,'Input Statistiche 2025_26'!$A$3:$A$665,0)),"")</f>
        <v>21</v>
      </c>
      <c r="J144" s="26" t="n">
        <f aca="false">IFERROR(IF($I144="","",MAX(0,38-$I144)),"")</f>
        <v>17</v>
      </c>
      <c r="K144" s="26" t="n">
        <f aca="false">IFERROR(INDEX('Input Statistiche 2025_26'!$I$3:$I$665,MATCH($A144,'Input Statistiche 2025_26'!$A$3:$A$665,0)),"")</f>
        <v>2</v>
      </c>
      <c r="L144" s="26" t="n">
        <f aca="false">IFERROR(INDEX('Input Statistiche 2025_26'!$O$3:$O$665,MATCH($A144,'Input Statistiche 2025_26'!$A$3:$A$665,0)),"")</f>
        <v>4</v>
      </c>
      <c r="M144" s="28"/>
      <c r="N144" s="27" t="n">
        <f aca="false">IFERROR(INDEX('Input Giocatori 2026_27'!$E$3:$E$493,MATCH($A144,'Input Giocatori 2026_27'!$A$3:$A$493,0)),"")</f>
        <v>7</v>
      </c>
      <c r="O144" s="27" t="n">
        <f aca="false">IFERROR(INDEX('Input Giocatori 2026_27'!$G$3:$G$493,MATCH($A144,'Input Giocatori 2026_27'!$A$3:$A$493,0)),"")</f>
        <v>23</v>
      </c>
      <c r="P144" s="26" t="str">
        <f aca="false">IFERROR(IF($O144="","",IF((1-(COUNTIFS($B$2:$B$492,$B144,$O$2:$O$492,"&gt;"&amp;$O144)+1-1)/COUNTIF($B$2:$B$492,$B144))&gt;=0.85,"Top",IF((1-(COUNTIFS($B$2:$B$492,$B144,$O$2:$O$492,"&gt;"&amp;$O144)+1-1)/COUNTIF($B$2:$B$492,$B144))&gt;=0.6,"Buono",IF((1-(COUNTIFS($B$2:$B$492,$B144,$O$2:$O$492,"&gt;"&amp;$O144)+1-1)/COUNTIF($B$2:$B$492,$B144))&gt;=0.3,"Nella Media","Scommessa/Riserva")))),"")</f>
        <v>Buono</v>
      </c>
      <c r="Q144" s="29" t="n">
        <f aca="false">IF($D144="",COUNTIF($D$2:$D144,""),"")</f>
        <v>143</v>
      </c>
      <c r="R144" s="29" t="str">
        <f aca="false">IF($D144='Info Lega'!$B$28,COUNTIFS($D$2:$D144,'Info Lega'!$B$28),"")</f>
        <v/>
      </c>
      <c r="S144" s="30" t="n">
        <f aca="false">IFERROR(INDEX('Input Statistiche 2025_26'!$G$3:$G$665,MATCH($A144,'Input Statistiche 2025_26'!$A$3:$A$665,0)),"")</f>
        <v>6.14</v>
      </c>
      <c r="T144" s="30" t="n">
        <f aca="false">IFERROR(INDEX('Input Statistiche 2025_26'!$H$3:$H$665,MATCH($A144,'Input Statistiche 2025_26'!$A$3:$A$665,0)),"")</f>
        <v>6.52</v>
      </c>
      <c r="U144" s="26" t="str">
        <f aca="false">IF(OR('La Mia Rosa'!$O$12="",$D144&lt;&gt;""),"",IF($F144&lt;='La Mia Rosa'!$O$12*'Parametri Modello'!$B$24,"OK",IF($F144&lt;='La Mia Rosa'!$O$12*'Parametri Modello'!$B$25,"Attenzione","Rischio Alto")))</f>
        <v>OK</v>
      </c>
      <c r="V144" s="26" t="n">
        <f aca="false">IFERROR(COUNTIFS($B$2:$B$492,$B144,$O$2:$O$492,"&gt;"&amp;$O144)+1,"")</f>
        <v>52</v>
      </c>
      <c r="W144" s="21" t="n">
        <f aca="false">'Info Lega'!$B$4-SUMIFS($M$2:$M$492,$D$2:$D$492,'Info Lega'!$B$28)</f>
        <v>1000</v>
      </c>
      <c r="X144" s="21" t="n">
        <f aca="false">('Info Lega'!$B$5-COUNTIFS($D$2:$D$492,'Info Lega'!$B$28,$B$2:$B$492,"P"))+('Info Lega'!$B$6-COUNTIFS($D$2:$D$492,'Info Lega'!$B$28,$B$2:$B$492,"D"))+('Info Lega'!$B$7-COUNTIFS($D$2:$D$492,'Info Lega'!$B$28,$B$2:$B$492,"C"))+('Info Lega'!$B$8-COUNTIFS($D$2:$D$492,'Info Lega'!$B$28,$B$2:$B$492,"A"))</f>
        <v>25</v>
      </c>
      <c r="Y144" s="21" t="n">
        <f aca="false">X144*'Parametri Modello'!$B$30</f>
        <v>25</v>
      </c>
      <c r="Z144" s="21" t="n">
        <f aca="false">MAX(0,W144-Y144)</f>
        <v>975</v>
      </c>
      <c r="AA144" s="21" t="n">
        <f aca="false">MIN(F144,Z144)</f>
        <v>3</v>
      </c>
      <c r="AB144" s="21"/>
      <c r="AC144" s="21" t="str">
        <f aca="false">IF(AB144="","",IF(AB144&gt;AA144,"PASS",IF(AB144&lt;=AA144*0.85,"BID","ATTENZIONE")))</f>
        <v/>
      </c>
      <c r="AD144" s="31" t="n">
        <f aca="false">IF(I144="","",ROUND(100*(1-EXP(-I144/30)),0))</f>
        <v>50</v>
      </c>
      <c r="AE144" s="7" t="str">
        <f aca="false">IFERROR(INDEX('Stato Asta'!$G$9:$G$12,MATCH($B144,'Stato Asta'!$A$9:$A$12,0)),"")</f>
        <v>🟡 Attesa rischiosa</v>
      </c>
    </row>
    <row r="145" customFormat="false" ht="14.25" hidden="false" customHeight="true" outlineLevel="0" collapsed="false">
      <c r="A145" s="21" t="n">
        <v>6783</v>
      </c>
      <c r="B145" s="21" t="s">
        <v>45</v>
      </c>
      <c r="C145" s="21" t="s">
        <v>428</v>
      </c>
      <c r="E145" s="26" t="str">
        <f aca="false">IF(COUNTIF('Info Strategia'!$D$2:$D$51,$C145)&gt;0,"SI","NO")</f>
        <v>NO</v>
      </c>
      <c r="F145" s="27" t="n">
        <f aca="false">IFERROR(ROUND(($G145+($H145-$G145)*'Info Strategia'!$B$6)*(1+IF($E145="SI",'Parametri Modello'!$B$7*'Info Strategia'!$B$6,0)),0),"")</f>
        <v>3</v>
      </c>
      <c r="G145" s="27" t="n">
        <f aca="false">IFERROR(ROUND(MAX(1,(IF($V145&lt;=INDEX('Parametri Modello'!$C$57:$C$60,MATCH($B145,'Parametri Modello'!$A$57:$A$60,0)),IF(INDEX('Parametri Modello'!$E$57:$E$60,MATCH($B145,'Parametri Modello'!$A$57:$A$60,0))=0,0,($O145/INDEX('Parametri Modello'!$E$57:$E$60,MATCH($B145,'Parametri Modello'!$A$57:$A$60,0)))*(INDEX('Parametri Modello'!$D$57:$D$60,MATCH($B145,'Parametri Modello'!$A$57:$A$60,0))*(INDEX('Parametri Modello'!$B$50:$B$53,MATCH($B145,'Parametri Modello'!$A$50:$A$53,0))*'Parametri Modello'!$B$44))),IF(INDEX('Parametri Modello'!$F$57:$F$60,MATCH($B145,'Parametri Modello'!$A$57:$A$60,0))=0,0,($O145/INDEX('Parametri Modello'!$F$57:$F$60,MATCH($B145,'Parametri Modello'!$A$57:$A$60,0)))*((1-INDEX('Parametri Modello'!$D$57:$D$60,MATCH($B145,'Parametri Modello'!$A$57:$A$60,0)))*(INDEX('Parametri Modello'!$B$50:$B$53,MATCH($B145,'Parametri Modello'!$A$50:$A$53,0))*'Parametri Modello'!$B$44))))*(1+IF(IF($B145="D",'Info Lega'!$B$25,IF($B145="C",'Info Lega'!$B$26,"No"))="Si",'Parametri Modello'!$B$5,0))*(1+MAX(-0.25,MIN(0.25,IF(OR($T145="",$I145="",$I145=0,INDEX('Parametri Modello'!$B$19:$B$22,MATCH($B145,'Parametri Modello'!$A$19:$A$22,0))="",INDEX('Parametri Modello'!$B$19:$B$22,MATCH($B145,'Parametri Modello'!$A$19:$A$22,0))=0),0,(($T145-INDEX('Parametri Modello'!$B$19:$B$22,MATCH($B145,'Parametri Modello'!$A$19:$A$22,0)))/INDEX('Parametri Modello'!$B$19:$B$22,MATCH($B145,'Parametri Modello'!$A$19:$A$22,0)))*'Parametri Modello'!$B$9))))*(1+IF('Parametri Modello'!$B$27="Si",MAX(-'Parametri Modello'!$B$28,MIN('Parametri Modello'!$B$28*1.5,IF(OR(INDEX('Parametri Modello'!$F$32:$F$35,MATCH($B145,'Parametri Modello'!$A$32:$A$35,0))="",INDEX('Parametri Modello'!$F$32:$F$35,MATCH($B145,'Parametri Modello'!$A$32:$A$35,0))=0),0,(1/INDEX('Parametri Modello'!$F$32:$F$35,MATCH($B145,'Parametri Modello'!$A$32:$A$35,0))-1)*'Parametri Modello'!$B$28))),0)))*(1-INDEX('Parametri Modello'!$B$12:$B$15,MATCH($B145,'Parametri Modello'!$A$12:$A$15,0)))),0),"")</f>
        <v>2</v>
      </c>
      <c r="H145" s="27" t="n">
        <f aca="false">IFERROR(ROUND((IF($V145&lt;=INDEX('Parametri Modello'!$C$57:$C$60,MATCH($B145,'Parametri Modello'!$A$57:$A$60,0)),IF(INDEX('Parametri Modello'!$E$57:$E$60,MATCH($B145,'Parametri Modello'!$A$57:$A$60,0))=0,0,($O145/INDEX('Parametri Modello'!$E$57:$E$60,MATCH($B145,'Parametri Modello'!$A$57:$A$60,0)))*(INDEX('Parametri Modello'!$D$57:$D$60,MATCH($B145,'Parametri Modello'!$A$57:$A$60,0))*(INDEX('Parametri Modello'!$B$50:$B$53,MATCH($B145,'Parametri Modello'!$A$50:$A$53,0))*'Parametri Modello'!$B$44))),IF(INDEX('Parametri Modello'!$F$57:$F$60,MATCH($B145,'Parametri Modello'!$A$57:$A$60,0))=0,0,($O145/INDEX('Parametri Modello'!$F$57:$F$60,MATCH($B145,'Parametri Modello'!$A$57:$A$60,0)))*((1-INDEX('Parametri Modello'!$D$57:$D$60,MATCH($B145,'Parametri Modello'!$A$57:$A$60,0)))*(INDEX('Parametri Modello'!$B$50:$B$53,MATCH($B145,'Parametri Modello'!$A$50:$A$53,0))*'Parametri Modello'!$B$44))))*(1+IF(IF($B145="D",'Info Lega'!$B$25,IF($B145="C",'Info Lega'!$B$26,"No"))="Si",'Parametri Modello'!$B$5,0))*(1+MAX(-0.25,MIN(0.25,IF(OR($T145="",$I145="",$I145=0,INDEX('Parametri Modello'!$B$19:$B$22,MATCH($B145,'Parametri Modello'!$A$19:$A$22,0))="",INDEX('Parametri Modello'!$B$19:$B$22,MATCH($B145,'Parametri Modello'!$A$19:$A$22,0))=0),0,(($T145-INDEX('Parametri Modello'!$B$19:$B$22,MATCH($B145,'Parametri Modello'!$A$19:$A$22,0)))/INDEX('Parametri Modello'!$B$19:$B$22,MATCH($B145,'Parametri Modello'!$A$19:$A$22,0)))*'Parametri Modello'!$B$9))))*(1+IF('Parametri Modello'!$B$27="Si",MAX(-'Parametri Modello'!$B$28,MIN('Parametri Modello'!$B$28*1.5,IF(OR(INDEX('Parametri Modello'!$F$32:$F$35,MATCH($B145,'Parametri Modello'!$A$32:$A$35,0))="",INDEX('Parametri Modello'!$F$32:$F$35,MATCH($B145,'Parametri Modello'!$A$32:$A$35,0))=0),0,(1/INDEX('Parametri Modello'!$F$32:$F$35,MATCH($B145,'Parametri Modello'!$A$32:$A$35,0))-1)*'Parametri Modello'!$B$28))),0)))*(1+INDEX('Parametri Modello'!$B$12:$B$15,MATCH($B145,'Parametri Modello'!$A$12:$A$15,0))),0),"")</f>
        <v>3</v>
      </c>
      <c r="I145" s="26" t="str">
        <f aca="false">IFERROR(INDEX('Input Statistiche 2025_26'!$F$3:$F$665,MATCH($A145,'Input Statistiche 2025_26'!$A$3:$A$665,0)),"")</f>
        <v/>
      </c>
      <c r="J145" s="26" t="str">
        <f aca="false">IFERROR(IF($I145="","",MAX(0,38-$I145)),"")</f>
        <v/>
      </c>
      <c r="K145" s="26" t="str">
        <f aca="false">IFERROR(INDEX('Input Statistiche 2025_26'!$I$3:$I$665,MATCH($A145,'Input Statistiche 2025_26'!$A$3:$A$665,0)),"")</f>
        <v/>
      </c>
      <c r="L145" s="26" t="str">
        <f aca="false">IFERROR(INDEX('Input Statistiche 2025_26'!$O$3:$O$665,MATCH($A145,'Input Statistiche 2025_26'!$A$3:$A$665,0)),"")</f>
        <v/>
      </c>
      <c r="M145" s="28"/>
      <c r="N145" s="27" t="n">
        <f aca="false">IFERROR(INDEX('Input Giocatori 2026_27'!$E$3:$E$493,MATCH($A145,'Input Giocatori 2026_27'!$A$3:$A$493,0)),"")</f>
        <v>7</v>
      </c>
      <c r="O145" s="27" t="n">
        <f aca="false">IFERROR(INDEX('Input Giocatori 2026_27'!$G$3:$G$493,MATCH($A145,'Input Giocatori 2026_27'!$A$3:$A$493,0)),"")</f>
        <v>23</v>
      </c>
      <c r="P145" s="26" t="str">
        <f aca="false">IFERROR(IF($O145="","",IF((1-(COUNTIFS($B$2:$B$492,$B145,$O$2:$O$492,"&gt;"&amp;$O145)+1-1)/COUNTIF($B$2:$B$492,$B145))&gt;=0.85,"Top",IF((1-(COUNTIFS($B$2:$B$492,$B145,$O$2:$O$492,"&gt;"&amp;$O145)+1-1)/COUNTIF($B$2:$B$492,$B145))&gt;=0.6,"Buono",IF((1-(COUNTIFS($B$2:$B$492,$B145,$O$2:$O$492,"&gt;"&amp;$O145)+1-1)/COUNTIF($B$2:$B$492,$B145))&gt;=0.3,"Nella Media","Scommessa/Riserva")))),"")</f>
        <v>Buono</v>
      </c>
      <c r="Q145" s="29" t="n">
        <f aca="false">IF($D145="",COUNTIF($D$2:$D145,""),"")</f>
        <v>144</v>
      </c>
      <c r="R145" s="29" t="str">
        <f aca="false">IF($D145='Info Lega'!$B$28,COUNTIFS($D$2:$D145,'Info Lega'!$B$28),"")</f>
        <v/>
      </c>
      <c r="S145" s="30" t="str">
        <f aca="false">IFERROR(INDEX('Input Statistiche 2025_26'!$G$3:$G$665,MATCH($A145,'Input Statistiche 2025_26'!$A$3:$A$665,0)),"")</f>
        <v/>
      </c>
      <c r="T145" s="30" t="str">
        <f aca="false">IFERROR(INDEX('Input Statistiche 2025_26'!$H$3:$H$665,MATCH($A145,'Input Statistiche 2025_26'!$A$3:$A$665,0)),"")</f>
        <v/>
      </c>
      <c r="U145" s="26" t="str">
        <f aca="false">IF(OR('La Mia Rosa'!$O$12="",$D145&lt;&gt;""),"",IF($F145&lt;='La Mia Rosa'!$O$12*'Parametri Modello'!$B$24,"OK",IF($F145&lt;='La Mia Rosa'!$O$12*'Parametri Modello'!$B$25,"Attenzione","Rischio Alto")))</f>
        <v>OK</v>
      </c>
      <c r="V145" s="26" t="n">
        <f aca="false">IFERROR(COUNTIFS($B$2:$B$492,$B145,$O$2:$O$492,"&gt;"&amp;$O145)+1,"")</f>
        <v>52</v>
      </c>
      <c r="W145" s="21" t="n">
        <f aca="false">'Info Lega'!$B$4-SUMIFS($M$2:$M$492,$D$2:$D$492,'Info Lega'!$B$28)</f>
        <v>1000</v>
      </c>
      <c r="X145" s="21" t="n">
        <f aca="false">('Info Lega'!$B$5-COUNTIFS($D$2:$D$492,'Info Lega'!$B$28,$B$2:$B$492,"P"))+('Info Lega'!$B$6-COUNTIFS($D$2:$D$492,'Info Lega'!$B$28,$B$2:$B$492,"D"))+('Info Lega'!$B$7-COUNTIFS($D$2:$D$492,'Info Lega'!$B$28,$B$2:$B$492,"C"))+('Info Lega'!$B$8-COUNTIFS($D$2:$D$492,'Info Lega'!$B$28,$B$2:$B$492,"A"))</f>
        <v>25</v>
      </c>
      <c r="Y145" s="21" t="n">
        <f aca="false">X145*'Parametri Modello'!$B$30</f>
        <v>25</v>
      </c>
      <c r="Z145" s="21" t="n">
        <f aca="false">MAX(0,W145-Y145)</f>
        <v>975</v>
      </c>
      <c r="AA145" s="21" t="n">
        <f aca="false">MIN(F145,Z145)</f>
        <v>3</v>
      </c>
      <c r="AB145" s="21"/>
      <c r="AC145" s="21" t="str">
        <f aca="false">IF(AB145="","",IF(AB145&gt;AA145,"PASS",IF(AB145&lt;=AA145*0.85,"BID","ATTENZIONE")))</f>
        <v/>
      </c>
      <c r="AD145" s="31" t="str">
        <f aca="false">IF(I145="","",ROUND(100*(1-EXP(-I145/30)),0))</f>
        <v/>
      </c>
      <c r="AE145" s="7" t="str">
        <f aca="false">IFERROR(INDEX('Stato Asta'!$G$9:$G$12,MATCH($B145,'Stato Asta'!$A$9:$A$12,0)),"")</f>
        <v>🟡 Attesa rischiosa</v>
      </c>
    </row>
    <row r="146" customFormat="false" ht="14.25" hidden="false" customHeight="true" outlineLevel="0" collapsed="false">
      <c r="A146" s="21" t="n">
        <v>4686</v>
      </c>
      <c r="B146" s="21" t="s">
        <v>45</v>
      </c>
      <c r="C146" s="21" t="s">
        <v>459</v>
      </c>
      <c r="E146" s="26" t="str">
        <f aca="false">IF(COUNTIF('Info Strategia'!$D$2:$D$51,$C146)&gt;0,"SI","NO")</f>
        <v>NO</v>
      </c>
      <c r="F146" s="27" t="n">
        <f aca="false">IFERROR(ROUND(($G146+($H146-$G146)*'Info Strategia'!$B$6)*(1+IF($E146="SI",'Parametri Modello'!$B$7*'Info Strategia'!$B$6,0)),0),"")</f>
        <v>3</v>
      </c>
      <c r="G146" s="27" t="n">
        <f aca="false">IFERROR(ROUND(MAX(1,(IF($V146&lt;=INDEX('Parametri Modello'!$C$57:$C$60,MATCH($B146,'Parametri Modello'!$A$57:$A$60,0)),IF(INDEX('Parametri Modello'!$E$57:$E$60,MATCH($B146,'Parametri Modello'!$A$57:$A$60,0))=0,0,($O146/INDEX('Parametri Modello'!$E$57:$E$60,MATCH($B146,'Parametri Modello'!$A$57:$A$60,0)))*(INDEX('Parametri Modello'!$D$57:$D$60,MATCH($B146,'Parametri Modello'!$A$57:$A$60,0))*(INDEX('Parametri Modello'!$B$50:$B$53,MATCH($B146,'Parametri Modello'!$A$50:$A$53,0))*'Parametri Modello'!$B$44))),IF(INDEX('Parametri Modello'!$F$57:$F$60,MATCH($B146,'Parametri Modello'!$A$57:$A$60,0))=0,0,($O146/INDEX('Parametri Modello'!$F$57:$F$60,MATCH($B146,'Parametri Modello'!$A$57:$A$60,0)))*((1-INDEX('Parametri Modello'!$D$57:$D$60,MATCH($B146,'Parametri Modello'!$A$57:$A$60,0)))*(INDEX('Parametri Modello'!$B$50:$B$53,MATCH($B146,'Parametri Modello'!$A$50:$A$53,0))*'Parametri Modello'!$B$44))))*(1+IF(IF($B146="D",'Info Lega'!$B$25,IF($B146="C",'Info Lega'!$B$26,"No"))="Si",'Parametri Modello'!$B$5,0))*(1+MAX(-0.25,MIN(0.25,IF(OR($T146="",$I146="",$I146=0,INDEX('Parametri Modello'!$B$19:$B$22,MATCH($B146,'Parametri Modello'!$A$19:$A$22,0))="",INDEX('Parametri Modello'!$B$19:$B$22,MATCH($B146,'Parametri Modello'!$A$19:$A$22,0))=0),0,(($T146-INDEX('Parametri Modello'!$B$19:$B$22,MATCH($B146,'Parametri Modello'!$A$19:$A$22,0)))/INDEX('Parametri Modello'!$B$19:$B$22,MATCH($B146,'Parametri Modello'!$A$19:$A$22,0)))*'Parametri Modello'!$B$9))))*(1+IF('Parametri Modello'!$B$27="Si",MAX(-'Parametri Modello'!$B$28,MIN('Parametri Modello'!$B$28*1.5,IF(OR(INDEX('Parametri Modello'!$F$32:$F$35,MATCH($B146,'Parametri Modello'!$A$32:$A$35,0))="",INDEX('Parametri Modello'!$F$32:$F$35,MATCH($B146,'Parametri Modello'!$A$32:$A$35,0))=0),0,(1/INDEX('Parametri Modello'!$F$32:$F$35,MATCH($B146,'Parametri Modello'!$A$32:$A$35,0))-1)*'Parametri Modello'!$B$28))),0)))*(1-INDEX('Parametri Modello'!$B$12:$B$15,MATCH($B146,'Parametri Modello'!$A$12:$A$15,0)))),0),"")</f>
        <v>2</v>
      </c>
      <c r="H146" s="27" t="n">
        <f aca="false">IFERROR(ROUND((IF($V146&lt;=INDEX('Parametri Modello'!$C$57:$C$60,MATCH($B146,'Parametri Modello'!$A$57:$A$60,0)),IF(INDEX('Parametri Modello'!$E$57:$E$60,MATCH($B146,'Parametri Modello'!$A$57:$A$60,0))=0,0,($O146/INDEX('Parametri Modello'!$E$57:$E$60,MATCH($B146,'Parametri Modello'!$A$57:$A$60,0)))*(INDEX('Parametri Modello'!$D$57:$D$60,MATCH($B146,'Parametri Modello'!$A$57:$A$60,0))*(INDEX('Parametri Modello'!$B$50:$B$53,MATCH($B146,'Parametri Modello'!$A$50:$A$53,0))*'Parametri Modello'!$B$44))),IF(INDEX('Parametri Modello'!$F$57:$F$60,MATCH($B146,'Parametri Modello'!$A$57:$A$60,0))=0,0,($O146/INDEX('Parametri Modello'!$F$57:$F$60,MATCH($B146,'Parametri Modello'!$A$57:$A$60,0)))*((1-INDEX('Parametri Modello'!$D$57:$D$60,MATCH($B146,'Parametri Modello'!$A$57:$A$60,0)))*(INDEX('Parametri Modello'!$B$50:$B$53,MATCH($B146,'Parametri Modello'!$A$50:$A$53,0))*'Parametri Modello'!$B$44))))*(1+IF(IF($B146="D",'Info Lega'!$B$25,IF($B146="C",'Info Lega'!$B$26,"No"))="Si",'Parametri Modello'!$B$5,0))*(1+MAX(-0.25,MIN(0.25,IF(OR($T146="",$I146="",$I146=0,INDEX('Parametri Modello'!$B$19:$B$22,MATCH($B146,'Parametri Modello'!$A$19:$A$22,0))="",INDEX('Parametri Modello'!$B$19:$B$22,MATCH($B146,'Parametri Modello'!$A$19:$A$22,0))=0),0,(($T146-INDEX('Parametri Modello'!$B$19:$B$22,MATCH($B146,'Parametri Modello'!$A$19:$A$22,0)))/INDEX('Parametri Modello'!$B$19:$B$22,MATCH($B146,'Parametri Modello'!$A$19:$A$22,0)))*'Parametri Modello'!$B$9))))*(1+IF('Parametri Modello'!$B$27="Si",MAX(-'Parametri Modello'!$B$28,MIN('Parametri Modello'!$B$28*1.5,IF(OR(INDEX('Parametri Modello'!$F$32:$F$35,MATCH($B146,'Parametri Modello'!$A$32:$A$35,0))="",INDEX('Parametri Modello'!$F$32:$F$35,MATCH($B146,'Parametri Modello'!$A$32:$A$35,0))=0),0,(1/INDEX('Parametri Modello'!$F$32:$F$35,MATCH($B146,'Parametri Modello'!$A$32:$A$35,0))-1)*'Parametri Modello'!$B$28))),0)))*(1+INDEX('Parametri Modello'!$B$12:$B$15,MATCH($B146,'Parametri Modello'!$A$12:$A$15,0))),0),"")</f>
        <v>3</v>
      </c>
      <c r="I146" s="26" t="n">
        <f aca="false">IFERROR(INDEX('Input Statistiche 2025_26'!$F$3:$F$665,MATCH($A146,'Input Statistiche 2025_26'!$A$3:$A$665,0)),"")</f>
        <v>33</v>
      </c>
      <c r="J146" s="26" t="n">
        <f aca="false">IFERROR(IF($I146="","",MAX(0,38-$I146)),"")</f>
        <v>5</v>
      </c>
      <c r="K146" s="26" t="n">
        <f aca="false">IFERROR(INDEX('Input Statistiche 2025_26'!$I$3:$I$665,MATCH($A146,'Input Statistiche 2025_26'!$A$3:$A$665,0)),"")</f>
        <v>2</v>
      </c>
      <c r="L146" s="26" t="n">
        <f aca="false">IFERROR(INDEX('Input Statistiche 2025_26'!$O$3:$O$665,MATCH($A146,'Input Statistiche 2025_26'!$A$3:$A$665,0)),"")</f>
        <v>3</v>
      </c>
      <c r="M146" s="28"/>
      <c r="N146" s="27" t="n">
        <f aca="false">IFERROR(INDEX('Input Giocatori 2026_27'!$E$3:$E$493,MATCH($A146,'Input Giocatori 2026_27'!$A$3:$A$493,0)),"")</f>
        <v>5</v>
      </c>
      <c r="O146" s="27" t="n">
        <f aca="false">IFERROR(INDEX('Input Giocatori 2026_27'!$G$3:$G$493,MATCH($A146,'Input Giocatori 2026_27'!$A$3:$A$493,0)),"")</f>
        <v>23</v>
      </c>
      <c r="P146" s="26" t="str">
        <f aca="false">IFERROR(IF($O146="","",IF((1-(COUNTIFS($B$2:$B$492,$B146,$O$2:$O$492,"&gt;"&amp;$O146)+1-1)/COUNTIF($B$2:$B$492,$B146))&gt;=0.85,"Top",IF((1-(COUNTIFS($B$2:$B$492,$B146,$O$2:$O$492,"&gt;"&amp;$O146)+1-1)/COUNTIF($B$2:$B$492,$B146))&gt;=0.6,"Buono",IF((1-(COUNTIFS($B$2:$B$492,$B146,$O$2:$O$492,"&gt;"&amp;$O146)+1-1)/COUNTIF($B$2:$B$492,$B146))&gt;=0.3,"Nella Media","Scommessa/Riserva")))),"")</f>
        <v>Buono</v>
      </c>
      <c r="Q146" s="29" t="n">
        <f aca="false">IF($D146="",COUNTIF($D$2:$D146,""),"")</f>
        <v>145</v>
      </c>
      <c r="R146" s="29" t="str">
        <f aca="false">IF($D146='Info Lega'!$B$28,COUNTIFS($D$2:$D146,'Info Lega'!$B$28),"")</f>
        <v/>
      </c>
      <c r="S146" s="30" t="n">
        <f aca="false">IFERROR(INDEX('Input Statistiche 2025_26'!$G$3:$G$665,MATCH($A146,'Input Statistiche 2025_26'!$A$3:$A$665,0)),"")</f>
        <v>5.85</v>
      </c>
      <c r="T146" s="30" t="n">
        <f aca="false">IFERROR(INDEX('Input Statistiche 2025_26'!$H$3:$H$665,MATCH($A146,'Input Statistiche 2025_26'!$A$3:$A$665,0)),"")</f>
        <v>6.06</v>
      </c>
      <c r="U146" s="26" t="str">
        <f aca="false">IF(OR('La Mia Rosa'!$O$12="",$D146&lt;&gt;""),"",IF($F146&lt;='La Mia Rosa'!$O$12*'Parametri Modello'!$B$24,"OK",IF($F146&lt;='La Mia Rosa'!$O$12*'Parametri Modello'!$B$25,"Attenzione","Rischio Alto")))</f>
        <v>OK</v>
      </c>
      <c r="V146" s="26" t="n">
        <f aca="false">IFERROR(COUNTIFS($B$2:$B$492,$B146,$O$2:$O$492,"&gt;"&amp;$O146)+1,"")</f>
        <v>52</v>
      </c>
      <c r="W146" s="21" t="n">
        <f aca="false">'Info Lega'!$B$4-SUMIFS($M$2:$M$492,$D$2:$D$492,'Info Lega'!$B$28)</f>
        <v>1000</v>
      </c>
      <c r="X146" s="21" t="n">
        <f aca="false">('Info Lega'!$B$5-COUNTIFS($D$2:$D$492,'Info Lega'!$B$28,$B$2:$B$492,"P"))+('Info Lega'!$B$6-COUNTIFS($D$2:$D$492,'Info Lega'!$B$28,$B$2:$B$492,"D"))+('Info Lega'!$B$7-COUNTIFS($D$2:$D$492,'Info Lega'!$B$28,$B$2:$B$492,"C"))+('Info Lega'!$B$8-COUNTIFS($D$2:$D$492,'Info Lega'!$B$28,$B$2:$B$492,"A"))</f>
        <v>25</v>
      </c>
      <c r="Y146" s="21" t="n">
        <f aca="false">X146*'Parametri Modello'!$B$30</f>
        <v>25</v>
      </c>
      <c r="Z146" s="21" t="n">
        <f aca="false">MAX(0,W146-Y146)</f>
        <v>975</v>
      </c>
      <c r="AA146" s="21" t="n">
        <f aca="false">MIN(F146,Z146)</f>
        <v>3</v>
      </c>
      <c r="AB146" s="21"/>
      <c r="AC146" s="21" t="str">
        <f aca="false">IF(AB146="","",IF(AB146&gt;AA146,"PASS",IF(AB146&lt;=AA146*0.85,"BID","ATTENZIONE")))</f>
        <v/>
      </c>
      <c r="AD146" s="31" t="n">
        <f aca="false">IF(I146="","",ROUND(100*(1-EXP(-I146/30)),0))</f>
        <v>67</v>
      </c>
      <c r="AE146" s="7" t="str">
        <f aca="false">IFERROR(INDEX('Stato Asta'!$G$9:$G$12,MATCH($B146,'Stato Asta'!$A$9:$A$12,0)),"")</f>
        <v>🟡 Attesa rischiosa</v>
      </c>
    </row>
    <row r="147" customFormat="false" ht="14.25" hidden="false" customHeight="true" outlineLevel="0" collapsed="false">
      <c r="A147" s="21" t="n">
        <v>6643</v>
      </c>
      <c r="B147" s="21" t="s">
        <v>46</v>
      </c>
      <c r="C147" s="21" t="s">
        <v>578</v>
      </c>
      <c r="E147" s="26" t="str">
        <f aca="false">IF(COUNTIF('Info Strategia'!$D$2:$D$51,$C147)&gt;0,"SI","NO")</f>
        <v>NO</v>
      </c>
      <c r="F147" s="27" t="n">
        <f aca="false">IFERROR(ROUND(($G147+($H147-$G147)*'Info Strategia'!$B$6)*(1+IF($E147="SI",'Parametri Modello'!$B$7*'Info Strategia'!$B$6,0)),0),"")</f>
        <v>7</v>
      </c>
      <c r="G147" s="27" t="n">
        <f aca="false">IFERROR(ROUND(MAX(1,(IF($V147&lt;=INDEX('Parametri Modello'!$C$57:$C$60,MATCH($B147,'Parametri Modello'!$A$57:$A$60,0)),IF(INDEX('Parametri Modello'!$E$57:$E$60,MATCH($B147,'Parametri Modello'!$A$57:$A$60,0))=0,0,($O147/INDEX('Parametri Modello'!$E$57:$E$60,MATCH($B147,'Parametri Modello'!$A$57:$A$60,0)))*(INDEX('Parametri Modello'!$D$57:$D$60,MATCH($B147,'Parametri Modello'!$A$57:$A$60,0))*(INDEX('Parametri Modello'!$B$50:$B$53,MATCH($B147,'Parametri Modello'!$A$50:$A$53,0))*'Parametri Modello'!$B$44))),IF(INDEX('Parametri Modello'!$F$57:$F$60,MATCH($B147,'Parametri Modello'!$A$57:$A$60,0))=0,0,($O147/INDEX('Parametri Modello'!$F$57:$F$60,MATCH($B147,'Parametri Modello'!$A$57:$A$60,0)))*((1-INDEX('Parametri Modello'!$D$57:$D$60,MATCH($B147,'Parametri Modello'!$A$57:$A$60,0)))*(INDEX('Parametri Modello'!$B$50:$B$53,MATCH($B147,'Parametri Modello'!$A$50:$A$53,0))*'Parametri Modello'!$B$44))))*(1+IF(IF($B147="D",'Info Lega'!$B$25,IF($B147="C",'Info Lega'!$B$26,"No"))="Si",'Parametri Modello'!$B$5,0))*(1+MAX(-0.25,MIN(0.25,IF(OR($T147="",$I147="",$I147=0,INDEX('Parametri Modello'!$B$19:$B$22,MATCH($B147,'Parametri Modello'!$A$19:$A$22,0))="",INDEX('Parametri Modello'!$B$19:$B$22,MATCH($B147,'Parametri Modello'!$A$19:$A$22,0))=0),0,(($T147-INDEX('Parametri Modello'!$B$19:$B$22,MATCH($B147,'Parametri Modello'!$A$19:$A$22,0)))/INDEX('Parametri Modello'!$B$19:$B$22,MATCH($B147,'Parametri Modello'!$A$19:$A$22,0)))*'Parametri Modello'!$B$9))))*(1+IF('Parametri Modello'!$B$27="Si",MAX(-'Parametri Modello'!$B$28,MIN('Parametri Modello'!$B$28*1.5,IF(OR(INDEX('Parametri Modello'!$F$32:$F$35,MATCH($B147,'Parametri Modello'!$A$32:$A$35,0))="",INDEX('Parametri Modello'!$F$32:$F$35,MATCH($B147,'Parametri Modello'!$A$32:$A$35,0))=0),0,(1/INDEX('Parametri Modello'!$F$32:$F$35,MATCH($B147,'Parametri Modello'!$A$32:$A$35,0))-1)*'Parametri Modello'!$B$28))),0)))*(1-INDEX('Parametri Modello'!$B$12:$B$15,MATCH($B147,'Parametri Modello'!$A$12:$A$15,0)))),0),"")</f>
        <v>5</v>
      </c>
      <c r="H147" s="27" t="n">
        <f aca="false">IFERROR(ROUND((IF($V147&lt;=INDEX('Parametri Modello'!$C$57:$C$60,MATCH($B147,'Parametri Modello'!$A$57:$A$60,0)),IF(INDEX('Parametri Modello'!$E$57:$E$60,MATCH($B147,'Parametri Modello'!$A$57:$A$60,0))=0,0,($O147/INDEX('Parametri Modello'!$E$57:$E$60,MATCH($B147,'Parametri Modello'!$A$57:$A$60,0)))*(INDEX('Parametri Modello'!$D$57:$D$60,MATCH($B147,'Parametri Modello'!$A$57:$A$60,0))*(INDEX('Parametri Modello'!$B$50:$B$53,MATCH($B147,'Parametri Modello'!$A$50:$A$53,0))*'Parametri Modello'!$B$44))),IF(INDEX('Parametri Modello'!$F$57:$F$60,MATCH($B147,'Parametri Modello'!$A$57:$A$60,0))=0,0,($O147/INDEX('Parametri Modello'!$F$57:$F$60,MATCH($B147,'Parametri Modello'!$A$57:$A$60,0)))*((1-INDEX('Parametri Modello'!$D$57:$D$60,MATCH($B147,'Parametri Modello'!$A$57:$A$60,0)))*(INDEX('Parametri Modello'!$B$50:$B$53,MATCH($B147,'Parametri Modello'!$A$50:$A$53,0))*'Parametri Modello'!$B$44))))*(1+IF(IF($B147="D",'Info Lega'!$B$25,IF($B147="C",'Info Lega'!$B$26,"No"))="Si",'Parametri Modello'!$B$5,0))*(1+MAX(-0.25,MIN(0.25,IF(OR($T147="",$I147="",$I147=0,INDEX('Parametri Modello'!$B$19:$B$22,MATCH($B147,'Parametri Modello'!$A$19:$A$22,0))="",INDEX('Parametri Modello'!$B$19:$B$22,MATCH($B147,'Parametri Modello'!$A$19:$A$22,0))=0),0,(($T147-INDEX('Parametri Modello'!$B$19:$B$22,MATCH($B147,'Parametri Modello'!$A$19:$A$22,0)))/INDEX('Parametri Modello'!$B$19:$B$22,MATCH($B147,'Parametri Modello'!$A$19:$A$22,0)))*'Parametri Modello'!$B$9))))*(1+IF('Parametri Modello'!$B$27="Si",MAX(-'Parametri Modello'!$B$28,MIN('Parametri Modello'!$B$28*1.5,IF(OR(INDEX('Parametri Modello'!$F$32:$F$35,MATCH($B147,'Parametri Modello'!$A$32:$A$35,0))="",INDEX('Parametri Modello'!$F$32:$F$35,MATCH($B147,'Parametri Modello'!$A$32:$A$35,0))=0),0,(1/INDEX('Parametri Modello'!$F$32:$F$35,MATCH($B147,'Parametri Modello'!$A$32:$A$35,0))-1)*'Parametri Modello'!$B$28))),0)))*(1+INDEX('Parametri Modello'!$B$12:$B$15,MATCH($B147,'Parametri Modello'!$A$12:$A$15,0))),0),"")</f>
        <v>8</v>
      </c>
      <c r="I147" s="26" t="n">
        <f aca="false">IFERROR(INDEX('Input Statistiche 2025_26'!$F$3:$F$665,MATCH($A147,'Input Statistiche 2025_26'!$A$3:$A$665,0)),"")</f>
        <v>19</v>
      </c>
      <c r="J147" s="26" t="n">
        <f aca="false">IFERROR(IF($I147="","",MAX(0,38-$I147)),"")</f>
        <v>19</v>
      </c>
      <c r="K147" s="26" t="n">
        <f aca="false">IFERROR(INDEX('Input Statistiche 2025_26'!$I$3:$I$665,MATCH($A147,'Input Statistiche 2025_26'!$A$3:$A$665,0)),"")</f>
        <v>2</v>
      </c>
      <c r="L147" s="26" t="n">
        <f aca="false">IFERROR(INDEX('Input Statistiche 2025_26'!$O$3:$O$665,MATCH($A147,'Input Statistiche 2025_26'!$A$3:$A$665,0)),"")</f>
        <v>1</v>
      </c>
      <c r="M147" s="28"/>
      <c r="N147" s="27" t="n">
        <f aca="false">IFERROR(INDEX('Input Giocatori 2026_27'!$E$3:$E$493,MATCH($A147,'Input Giocatori 2026_27'!$A$3:$A$493,0)),"")</f>
        <v>8</v>
      </c>
      <c r="O147" s="27" t="n">
        <f aca="false">IFERROR(INDEX('Input Giocatori 2026_27'!$G$3:$G$493,MATCH($A147,'Input Giocatori 2026_27'!$A$3:$A$493,0)),"")</f>
        <v>23</v>
      </c>
      <c r="P147" s="26" t="str">
        <f aca="false">IFERROR(IF($O147="","",IF((1-(COUNTIFS($B$2:$B$492,$B147,$O$2:$O$492,"&gt;"&amp;$O147)+1-1)/COUNTIF($B$2:$B$492,$B147))&gt;=0.85,"Top",IF((1-(COUNTIFS($B$2:$B$492,$B147,$O$2:$O$492,"&gt;"&amp;$O147)+1-1)/COUNTIF($B$2:$B$492,$B147))&gt;=0.6,"Buono",IF((1-(COUNTIFS($B$2:$B$492,$B147,$O$2:$O$492,"&gt;"&amp;$O147)+1-1)/COUNTIF($B$2:$B$492,$B147))&gt;=0.3,"Nella Media","Scommessa/Riserva")))),"")</f>
        <v>Nella Media</v>
      </c>
      <c r="Q147" s="29" t="n">
        <f aca="false">IF($D147="",COUNTIF($D$2:$D147,""),"")</f>
        <v>146</v>
      </c>
      <c r="R147" s="29" t="str">
        <f aca="false">IF($D147='Info Lega'!$B$28,COUNTIFS($D$2:$D147,'Info Lega'!$B$28),"")</f>
        <v/>
      </c>
      <c r="S147" s="30" t="n">
        <f aca="false">IFERROR(INDEX('Input Statistiche 2025_26'!$G$3:$G$665,MATCH($A147,'Input Statistiche 2025_26'!$A$3:$A$665,0)),"")</f>
        <v>5.82</v>
      </c>
      <c r="T147" s="30" t="n">
        <f aca="false">IFERROR(INDEX('Input Statistiche 2025_26'!$H$3:$H$665,MATCH($A147,'Input Statistiche 2025_26'!$A$3:$A$665,0)),"")</f>
        <v>6.13</v>
      </c>
      <c r="U147" s="26" t="str">
        <f aca="false">IF(OR('La Mia Rosa'!$O$12="",$D147&lt;&gt;""),"",IF($F147&lt;='La Mia Rosa'!$O$12*'Parametri Modello'!$B$24,"OK",IF($F147&lt;='La Mia Rosa'!$O$12*'Parametri Modello'!$B$25,"Attenzione","Rischio Alto")))</f>
        <v>OK</v>
      </c>
      <c r="V147" s="26" t="n">
        <f aca="false">IFERROR(COUNTIFS($B$2:$B$492,$B147,$O$2:$O$492,"&gt;"&amp;$O147)+1,"")</f>
        <v>45</v>
      </c>
      <c r="W147" s="21" t="n">
        <f aca="false">'Info Lega'!$B$4-SUMIFS($M$2:$M$492,$D$2:$D$492,'Info Lega'!$B$28)</f>
        <v>1000</v>
      </c>
      <c r="X147" s="21" t="n">
        <f aca="false">('Info Lega'!$B$5-COUNTIFS($D$2:$D$492,'Info Lega'!$B$28,$B$2:$B$492,"P"))+('Info Lega'!$B$6-COUNTIFS($D$2:$D$492,'Info Lega'!$B$28,$B$2:$B$492,"D"))+('Info Lega'!$B$7-COUNTIFS($D$2:$D$492,'Info Lega'!$B$28,$B$2:$B$492,"C"))+('Info Lega'!$B$8-COUNTIFS($D$2:$D$492,'Info Lega'!$B$28,$B$2:$B$492,"A"))</f>
        <v>25</v>
      </c>
      <c r="Y147" s="21" t="n">
        <f aca="false">X147*'Parametri Modello'!$B$30</f>
        <v>25</v>
      </c>
      <c r="Z147" s="21" t="n">
        <f aca="false">MAX(0,W147-Y147)</f>
        <v>975</v>
      </c>
      <c r="AA147" s="21" t="n">
        <f aca="false">MIN(F147,Z147)</f>
        <v>7</v>
      </c>
      <c r="AB147" s="21"/>
      <c r="AC147" s="21" t="str">
        <f aca="false">IF(AB147="","",IF(AB147&gt;AA147,"PASS",IF(AB147&lt;=AA147*0.85,"BID","ATTENZIONE")))</f>
        <v/>
      </c>
      <c r="AD147" s="31" t="n">
        <f aca="false">IF(I147="","",ROUND(100*(1-EXP(-I147/30)),0))</f>
        <v>47</v>
      </c>
      <c r="AE147" s="7" t="str">
        <f aca="false">IFERROR(INDEX('Stato Asta'!$G$9:$G$12,MATCH($B147,'Stato Asta'!$A$9:$A$12,0)),"")</f>
        <v>🔴 Non aspettare</v>
      </c>
    </row>
    <row r="148" customFormat="false" ht="14.25" hidden="false" customHeight="true" outlineLevel="0" collapsed="false">
      <c r="A148" s="21" t="n">
        <v>6814</v>
      </c>
      <c r="B148" s="21" t="s">
        <v>44</v>
      </c>
      <c r="C148" s="21" t="s">
        <v>220</v>
      </c>
      <c r="E148" s="26" t="str">
        <f aca="false">IF(COUNTIF('Info Strategia'!$D$2:$D$51,$C148)&gt;0,"SI","NO")</f>
        <v>NO</v>
      </c>
      <c r="F148" s="27" t="n">
        <f aca="false">IFERROR(ROUND(($G148+($H148-$G148)*'Info Strategia'!$B$6)*(1+IF($E148="SI",'Parametri Modello'!$B$7*'Info Strategia'!$B$6,0)),0),"")</f>
        <v>4</v>
      </c>
      <c r="G148" s="27" t="n">
        <f aca="false">IFERROR(ROUND(MAX(1,(IF($V148&lt;=INDEX('Parametri Modello'!$C$57:$C$60,MATCH($B148,'Parametri Modello'!$A$57:$A$60,0)),IF(INDEX('Parametri Modello'!$E$57:$E$60,MATCH($B148,'Parametri Modello'!$A$57:$A$60,0))=0,0,($O148/INDEX('Parametri Modello'!$E$57:$E$60,MATCH($B148,'Parametri Modello'!$A$57:$A$60,0)))*(INDEX('Parametri Modello'!$D$57:$D$60,MATCH($B148,'Parametri Modello'!$A$57:$A$60,0))*(INDEX('Parametri Modello'!$B$50:$B$53,MATCH($B148,'Parametri Modello'!$A$50:$A$53,0))*'Parametri Modello'!$B$44))),IF(INDEX('Parametri Modello'!$F$57:$F$60,MATCH($B148,'Parametri Modello'!$A$57:$A$60,0))=0,0,($O148/INDEX('Parametri Modello'!$F$57:$F$60,MATCH($B148,'Parametri Modello'!$A$57:$A$60,0)))*((1-INDEX('Parametri Modello'!$D$57:$D$60,MATCH($B148,'Parametri Modello'!$A$57:$A$60,0)))*(INDEX('Parametri Modello'!$B$50:$B$53,MATCH($B148,'Parametri Modello'!$A$50:$A$53,0))*'Parametri Modello'!$B$44))))*(1+IF(IF($B148="D",'Info Lega'!$B$25,IF($B148="C",'Info Lega'!$B$26,"No"))="Si",'Parametri Modello'!$B$5,0))*(1+MAX(-0.25,MIN(0.25,IF(OR($T148="",$I148="",$I148=0,INDEX('Parametri Modello'!$B$19:$B$22,MATCH($B148,'Parametri Modello'!$A$19:$A$22,0))="",INDEX('Parametri Modello'!$B$19:$B$22,MATCH($B148,'Parametri Modello'!$A$19:$A$22,0))=0),0,(($T148-INDEX('Parametri Modello'!$B$19:$B$22,MATCH($B148,'Parametri Modello'!$A$19:$A$22,0)))/INDEX('Parametri Modello'!$B$19:$B$22,MATCH($B148,'Parametri Modello'!$A$19:$A$22,0)))*'Parametri Modello'!$B$9))))*(1+IF('Parametri Modello'!$B$27="Si",MAX(-'Parametri Modello'!$B$28,MIN('Parametri Modello'!$B$28*1.5,IF(OR(INDEX('Parametri Modello'!$F$32:$F$35,MATCH($B148,'Parametri Modello'!$A$32:$A$35,0))="",INDEX('Parametri Modello'!$F$32:$F$35,MATCH($B148,'Parametri Modello'!$A$32:$A$35,0))=0),0,(1/INDEX('Parametri Modello'!$F$32:$F$35,MATCH($B148,'Parametri Modello'!$A$32:$A$35,0))-1)*'Parametri Modello'!$B$28))),0)))*(1-INDEX('Parametri Modello'!$B$12:$B$15,MATCH($B148,'Parametri Modello'!$A$12:$A$15,0)))),0),"")</f>
        <v>3</v>
      </c>
      <c r="H148" s="27" t="n">
        <f aca="false">IFERROR(ROUND((IF($V148&lt;=INDEX('Parametri Modello'!$C$57:$C$60,MATCH($B148,'Parametri Modello'!$A$57:$A$60,0)),IF(INDEX('Parametri Modello'!$E$57:$E$60,MATCH($B148,'Parametri Modello'!$A$57:$A$60,0))=0,0,($O148/INDEX('Parametri Modello'!$E$57:$E$60,MATCH($B148,'Parametri Modello'!$A$57:$A$60,0)))*(INDEX('Parametri Modello'!$D$57:$D$60,MATCH($B148,'Parametri Modello'!$A$57:$A$60,0))*(INDEX('Parametri Modello'!$B$50:$B$53,MATCH($B148,'Parametri Modello'!$A$50:$A$53,0))*'Parametri Modello'!$B$44))),IF(INDEX('Parametri Modello'!$F$57:$F$60,MATCH($B148,'Parametri Modello'!$A$57:$A$60,0))=0,0,($O148/INDEX('Parametri Modello'!$F$57:$F$60,MATCH($B148,'Parametri Modello'!$A$57:$A$60,0)))*((1-INDEX('Parametri Modello'!$D$57:$D$60,MATCH($B148,'Parametri Modello'!$A$57:$A$60,0)))*(INDEX('Parametri Modello'!$B$50:$B$53,MATCH($B148,'Parametri Modello'!$A$50:$A$53,0))*'Parametri Modello'!$B$44))))*(1+IF(IF($B148="D",'Info Lega'!$B$25,IF($B148="C",'Info Lega'!$B$26,"No"))="Si",'Parametri Modello'!$B$5,0))*(1+MAX(-0.25,MIN(0.25,IF(OR($T148="",$I148="",$I148=0,INDEX('Parametri Modello'!$B$19:$B$22,MATCH($B148,'Parametri Modello'!$A$19:$A$22,0))="",INDEX('Parametri Modello'!$B$19:$B$22,MATCH($B148,'Parametri Modello'!$A$19:$A$22,0))=0),0,(($T148-INDEX('Parametri Modello'!$B$19:$B$22,MATCH($B148,'Parametri Modello'!$A$19:$A$22,0)))/INDEX('Parametri Modello'!$B$19:$B$22,MATCH($B148,'Parametri Modello'!$A$19:$A$22,0)))*'Parametri Modello'!$B$9))))*(1+IF('Parametri Modello'!$B$27="Si",MAX(-'Parametri Modello'!$B$28,MIN('Parametri Modello'!$B$28*1.5,IF(OR(INDEX('Parametri Modello'!$F$32:$F$35,MATCH($B148,'Parametri Modello'!$A$32:$A$35,0))="",INDEX('Parametri Modello'!$F$32:$F$35,MATCH($B148,'Parametri Modello'!$A$32:$A$35,0))=0),0,(1/INDEX('Parametri Modello'!$F$32:$F$35,MATCH($B148,'Parametri Modello'!$A$32:$A$35,0))-1)*'Parametri Modello'!$B$28))),0)))*(1+INDEX('Parametri Modello'!$B$12:$B$15,MATCH($B148,'Parametri Modello'!$A$12:$A$15,0))),0),"")</f>
        <v>4</v>
      </c>
      <c r="I148" s="26" t="n">
        <f aca="false">IFERROR(INDEX('Input Statistiche 2025_26'!$F$3:$F$665,MATCH($A148,'Input Statistiche 2025_26'!$A$3:$A$665,0)),"")</f>
        <v>27</v>
      </c>
      <c r="J148" s="26" t="n">
        <f aca="false">IFERROR(IF($I148="","",MAX(0,38-$I148)),"")</f>
        <v>11</v>
      </c>
      <c r="K148" s="26" t="n">
        <f aca="false">IFERROR(INDEX('Input Statistiche 2025_26'!$I$3:$I$665,MATCH($A148,'Input Statistiche 2025_26'!$A$3:$A$665,0)),"")</f>
        <v>2</v>
      </c>
      <c r="L148" s="26" t="n">
        <f aca="false">IFERROR(INDEX('Input Statistiche 2025_26'!$O$3:$O$665,MATCH($A148,'Input Statistiche 2025_26'!$A$3:$A$665,0)),"")</f>
        <v>1</v>
      </c>
      <c r="M148" s="28"/>
      <c r="N148" s="27" t="n">
        <f aca="false">IFERROR(INDEX('Input Giocatori 2026_27'!$E$3:$E$493,MATCH($A148,'Input Giocatori 2026_27'!$A$3:$A$493,0)),"")</f>
        <v>8</v>
      </c>
      <c r="O148" s="27" t="n">
        <f aca="false">IFERROR(INDEX('Input Giocatori 2026_27'!$G$3:$G$493,MATCH($A148,'Input Giocatori 2026_27'!$A$3:$A$493,0)),"")</f>
        <v>22</v>
      </c>
      <c r="P148" s="26" t="str">
        <f aca="false">IFERROR(IF($O148="","",IF((1-(COUNTIFS($B$2:$B$492,$B148,$O$2:$O$492,"&gt;"&amp;$O148)+1-1)/COUNTIF($B$2:$B$492,$B148))&gt;=0.85,"Top",IF((1-(COUNTIFS($B$2:$B$492,$B148,$O$2:$O$492,"&gt;"&amp;$O148)+1-1)/COUNTIF($B$2:$B$492,$B148))&gt;=0.6,"Buono",IF((1-(COUNTIFS($B$2:$B$492,$B148,$O$2:$O$492,"&gt;"&amp;$O148)+1-1)/COUNTIF($B$2:$B$492,$B148))&gt;=0.3,"Nella Media","Scommessa/Riserva")))),"")</f>
        <v>Buono</v>
      </c>
      <c r="Q148" s="29" t="n">
        <f aca="false">IF($D148="",COUNTIF($D$2:$D148,""),"")</f>
        <v>147</v>
      </c>
      <c r="R148" s="29" t="str">
        <f aca="false">IF($D148='Info Lega'!$B$28,COUNTIFS($D$2:$D148,'Info Lega'!$B$28),"")</f>
        <v/>
      </c>
      <c r="S148" s="30" t="n">
        <f aca="false">IFERROR(INDEX('Input Statistiche 2025_26'!$G$3:$G$665,MATCH($A148,'Input Statistiche 2025_26'!$A$3:$A$665,0)),"")</f>
        <v>5.93</v>
      </c>
      <c r="T148" s="30" t="n">
        <f aca="false">IFERROR(INDEX('Input Statistiche 2025_26'!$H$3:$H$665,MATCH($A148,'Input Statistiche 2025_26'!$A$3:$A$665,0)),"")</f>
        <v>6.09</v>
      </c>
      <c r="U148" s="26" t="str">
        <f aca="false">IF(OR('La Mia Rosa'!$O$12="",$D148&lt;&gt;""),"",IF($F148&lt;='La Mia Rosa'!$O$12*'Parametri Modello'!$B$24,"OK",IF($F148&lt;='La Mia Rosa'!$O$12*'Parametri Modello'!$B$25,"Attenzione","Rischio Alto")))</f>
        <v>OK</v>
      </c>
      <c r="V148" s="26" t="n">
        <f aca="false">IFERROR(COUNTIFS($B$2:$B$492,$B148,$O$2:$O$492,"&gt;"&amp;$O148)+1,"")</f>
        <v>34</v>
      </c>
      <c r="W148" s="21" t="n">
        <f aca="false">'Info Lega'!$B$4-SUMIFS($M$2:$M$492,$D$2:$D$492,'Info Lega'!$B$28)</f>
        <v>1000</v>
      </c>
      <c r="X148" s="21" t="n">
        <f aca="false">('Info Lega'!$B$5-COUNTIFS($D$2:$D$492,'Info Lega'!$B$28,$B$2:$B$492,"P"))+('Info Lega'!$B$6-COUNTIFS($D$2:$D$492,'Info Lega'!$B$28,$B$2:$B$492,"D"))+('Info Lega'!$B$7-COUNTIFS($D$2:$D$492,'Info Lega'!$B$28,$B$2:$B$492,"C"))+('Info Lega'!$B$8-COUNTIFS($D$2:$D$492,'Info Lega'!$B$28,$B$2:$B$492,"A"))</f>
        <v>25</v>
      </c>
      <c r="Y148" s="21" t="n">
        <f aca="false">X148*'Parametri Modello'!$B$30</f>
        <v>25</v>
      </c>
      <c r="Z148" s="21" t="n">
        <f aca="false">MAX(0,W148-Y148)</f>
        <v>975</v>
      </c>
      <c r="AA148" s="21" t="n">
        <f aca="false">MIN(F148,Z148)</f>
        <v>4</v>
      </c>
      <c r="AB148" s="21"/>
      <c r="AC148" s="21" t="str">
        <f aca="false">IF(AB148="","",IF(AB148&gt;AA148,"PASS",IF(AB148&lt;=AA148*0.85,"BID","ATTENZIONE")))</f>
        <v/>
      </c>
      <c r="AD148" s="31" t="n">
        <f aca="false">IF(I148="","",ROUND(100*(1-EXP(-I148/30)),0))</f>
        <v>59</v>
      </c>
      <c r="AE148" s="7" t="str">
        <f aca="false">IFERROR(INDEX('Stato Asta'!$G$9:$G$12,MATCH($B148,'Stato Asta'!$A$9:$A$12,0)),"")</f>
        <v>🟡 Attesa rischiosa</v>
      </c>
    </row>
    <row r="149" customFormat="false" ht="14.25" hidden="false" customHeight="true" outlineLevel="0" collapsed="false">
      <c r="A149" s="21" t="n">
        <v>6320</v>
      </c>
      <c r="B149" s="21" t="s">
        <v>44</v>
      </c>
      <c r="C149" s="21" t="s">
        <v>232</v>
      </c>
      <c r="E149" s="26" t="str">
        <f aca="false">IF(COUNTIF('Info Strategia'!$D$2:$D$51,$C149)&gt;0,"SI","NO")</f>
        <v>NO</v>
      </c>
      <c r="F149" s="27" t="n">
        <f aca="false">IFERROR(ROUND(($G149+($H149-$G149)*'Info Strategia'!$B$6)*(1+IF($E149="SI",'Parametri Modello'!$B$7*'Info Strategia'!$B$6,0)),0),"")</f>
        <v>4</v>
      </c>
      <c r="G149" s="27" t="n">
        <f aca="false">IFERROR(ROUND(MAX(1,(IF($V149&lt;=INDEX('Parametri Modello'!$C$57:$C$60,MATCH($B149,'Parametri Modello'!$A$57:$A$60,0)),IF(INDEX('Parametri Modello'!$E$57:$E$60,MATCH($B149,'Parametri Modello'!$A$57:$A$60,0))=0,0,($O149/INDEX('Parametri Modello'!$E$57:$E$60,MATCH($B149,'Parametri Modello'!$A$57:$A$60,0)))*(INDEX('Parametri Modello'!$D$57:$D$60,MATCH($B149,'Parametri Modello'!$A$57:$A$60,0))*(INDEX('Parametri Modello'!$B$50:$B$53,MATCH($B149,'Parametri Modello'!$A$50:$A$53,0))*'Parametri Modello'!$B$44))),IF(INDEX('Parametri Modello'!$F$57:$F$60,MATCH($B149,'Parametri Modello'!$A$57:$A$60,0))=0,0,($O149/INDEX('Parametri Modello'!$F$57:$F$60,MATCH($B149,'Parametri Modello'!$A$57:$A$60,0)))*((1-INDEX('Parametri Modello'!$D$57:$D$60,MATCH($B149,'Parametri Modello'!$A$57:$A$60,0)))*(INDEX('Parametri Modello'!$B$50:$B$53,MATCH($B149,'Parametri Modello'!$A$50:$A$53,0))*'Parametri Modello'!$B$44))))*(1+IF(IF($B149="D",'Info Lega'!$B$25,IF($B149="C",'Info Lega'!$B$26,"No"))="Si",'Parametri Modello'!$B$5,0))*(1+MAX(-0.25,MIN(0.25,IF(OR($T149="",$I149="",$I149=0,INDEX('Parametri Modello'!$B$19:$B$22,MATCH($B149,'Parametri Modello'!$A$19:$A$22,0))="",INDEX('Parametri Modello'!$B$19:$B$22,MATCH($B149,'Parametri Modello'!$A$19:$A$22,0))=0),0,(($T149-INDEX('Parametri Modello'!$B$19:$B$22,MATCH($B149,'Parametri Modello'!$A$19:$A$22,0)))/INDEX('Parametri Modello'!$B$19:$B$22,MATCH($B149,'Parametri Modello'!$A$19:$A$22,0)))*'Parametri Modello'!$B$9))))*(1+IF('Parametri Modello'!$B$27="Si",MAX(-'Parametri Modello'!$B$28,MIN('Parametri Modello'!$B$28*1.5,IF(OR(INDEX('Parametri Modello'!$F$32:$F$35,MATCH($B149,'Parametri Modello'!$A$32:$A$35,0))="",INDEX('Parametri Modello'!$F$32:$F$35,MATCH($B149,'Parametri Modello'!$A$32:$A$35,0))=0),0,(1/INDEX('Parametri Modello'!$F$32:$F$35,MATCH($B149,'Parametri Modello'!$A$32:$A$35,0))-1)*'Parametri Modello'!$B$28))),0)))*(1-INDEX('Parametri Modello'!$B$12:$B$15,MATCH($B149,'Parametri Modello'!$A$12:$A$15,0)))),0),"")</f>
        <v>3</v>
      </c>
      <c r="H149" s="27" t="n">
        <f aca="false">IFERROR(ROUND((IF($V149&lt;=INDEX('Parametri Modello'!$C$57:$C$60,MATCH($B149,'Parametri Modello'!$A$57:$A$60,0)),IF(INDEX('Parametri Modello'!$E$57:$E$60,MATCH($B149,'Parametri Modello'!$A$57:$A$60,0))=0,0,($O149/INDEX('Parametri Modello'!$E$57:$E$60,MATCH($B149,'Parametri Modello'!$A$57:$A$60,0)))*(INDEX('Parametri Modello'!$D$57:$D$60,MATCH($B149,'Parametri Modello'!$A$57:$A$60,0))*(INDEX('Parametri Modello'!$B$50:$B$53,MATCH($B149,'Parametri Modello'!$A$50:$A$53,0))*'Parametri Modello'!$B$44))),IF(INDEX('Parametri Modello'!$F$57:$F$60,MATCH($B149,'Parametri Modello'!$A$57:$A$60,0))=0,0,($O149/INDEX('Parametri Modello'!$F$57:$F$60,MATCH($B149,'Parametri Modello'!$A$57:$A$60,0)))*((1-INDEX('Parametri Modello'!$D$57:$D$60,MATCH($B149,'Parametri Modello'!$A$57:$A$60,0)))*(INDEX('Parametri Modello'!$B$50:$B$53,MATCH($B149,'Parametri Modello'!$A$50:$A$53,0))*'Parametri Modello'!$B$44))))*(1+IF(IF($B149="D",'Info Lega'!$B$25,IF($B149="C",'Info Lega'!$B$26,"No"))="Si",'Parametri Modello'!$B$5,0))*(1+MAX(-0.25,MIN(0.25,IF(OR($T149="",$I149="",$I149=0,INDEX('Parametri Modello'!$B$19:$B$22,MATCH($B149,'Parametri Modello'!$A$19:$A$22,0))="",INDEX('Parametri Modello'!$B$19:$B$22,MATCH($B149,'Parametri Modello'!$A$19:$A$22,0))=0),0,(($T149-INDEX('Parametri Modello'!$B$19:$B$22,MATCH($B149,'Parametri Modello'!$A$19:$A$22,0)))/INDEX('Parametri Modello'!$B$19:$B$22,MATCH($B149,'Parametri Modello'!$A$19:$A$22,0)))*'Parametri Modello'!$B$9))))*(1+IF('Parametri Modello'!$B$27="Si",MAX(-'Parametri Modello'!$B$28,MIN('Parametri Modello'!$B$28*1.5,IF(OR(INDEX('Parametri Modello'!$F$32:$F$35,MATCH($B149,'Parametri Modello'!$A$32:$A$35,0))="",INDEX('Parametri Modello'!$F$32:$F$35,MATCH($B149,'Parametri Modello'!$A$32:$A$35,0))=0),0,(1/INDEX('Parametri Modello'!$F$32:$F$35,MATCH($B149,'Parametri Modello'!$A$32:$A$35,0))-1)*'Parametri Modello'!$B$28))),0)))*(1+INDEX('Parametri Modello'!$B$12:$B$15,MATCH($B149,'Parametri Modello'!$A$12:$A$15,0))),0),"")</f>
        <v>4</v>
      </c>
      <c r="I149" s="26" t="str">
        <f aca="false">IFERROR(INDEX('Input Statistiche 2025_26'!$F$3:$F$665,MATCH($A149,'Input Statistiche 2025_26'!$A$3:$A$665,0)),"")</f>
        <v/>
      </c>
      <c r="J149" s="26" t="str">
        <f aca="false">IFERROR(IF($I149="","",MAX(0,38-$I149)),"")</f>
        <v/>
      </c>
      <c r="K149" s="26" t="str">
        <f aca="false">IFERROR(INDEX('Input Statistiche 2025_26'!$I$3:$I$665,MATCH($A149,'Input Statistiche 2025_26'!$A$3:$A$665,0)),"")</f>
        <v/>
      </c>
      <c r="L149" s="26" t="str">
        <f aca="false">IFERROR(INDEX('Input Statistiche 2025_26'!$O$3:$O$665,MATCH($A149,'Input Statistiche 2025_26'!$A$3:$A$665,0)),"")</f>
        <v/>
      </c>
      <c r="M149" s="28"/>
      <c r="N149" s="27" t="n">
        <f aca="false">IFERROR(INDEX('Input Giocatori 2026_27'!$E$3:$E$493,MATCH($A149,'Input Giocatori 2026_27'!$A$3:$A$493,0)),"")</f>
        <v>7</v>
      </c>
      <c r="O149" s="27" t="n">
        <f aca="false">IFERROR(INDEX('Input Giocatori 2026_27'!$G$3:$G$493,MATCH($A149,'Input Giocatori 2026_27'!$A$3:$A$493,0)),"")</f>
        <v>22</v>
      </c>
      <c r="P149" s="26" t="str">
        <f aca="false">IFERROR(IF($O149="","",IF((1-(COUNTIFS($B$2:$B$492,$B149,$O$2:$O$492,"&gt;"&amp;$O149)+1-1)/COUNTIF($B$2:$B$492,$B149))&gt;=0.85,"Top",IF((1-(COUNTIFS($B$2:$B$492,$B149,$O$2:$O$492,"&gt;"&amp;$O149)+1-1)/COUNTIF($B$2:$B$492,$B149))&gt;=0.6,"Buono",IF((1-(COUNTIFS($B$2:$B$492,$B149,$O$2:$O$492,"&gt;"&amp;$O149)+1-1)/COUNTIF($B$2:$B$492,$B149))&gt;=0.3,"Nella Media","Scommessa/Riserva")))),"")</f>
        <v>Buono</v>
      </c>
      <c r="Q149" s="29" t="n">
        <f aca="false">IF($D149="",COUNTIF($D$2:$D149,""),"")</f>
        <v>148</v>
      </c>
      <c r="R149" s="29" t="str">
        <f aca="false">IF($D149='Info Lega'!$B$28,COUNTIFS($D$2:$D149,'Info Lega'!$B$28),"")</f>
        <v/>
      </c>
      <c r="S149" s="30" t="str">
        <f aca="false">IFERROR(INDEX('Input Statistiche 2025_26'!$G$3:$G$665,MATCH($A149,'Input Statistiche 2025_26'!$A$3:$A$665,0)),"")</f>
        <v/>
      </c>
      <c r="T149" s="30" t="str">
        <f aca="false">IFERROR(INDEX('Input Statistiche 2025_26'!$H$3:$H$665,MATCH($A149,'Input Statistiche 2025_26'!$A$3:$A$665,0)),"")</f>
        <v/>
      </c>
      <c r="U149" s="26" t="str">
        <f aca="false">IF(OR('La Mia Rosa'!$O$12="",$D149&lt;&gt;""),"",IF($F149&lt;='La Mia Rosa'!$O$12*'Parametri Modello'!$B$24,"OK",IF($F149&lt;='La Mia Rosa'!$O$12*'Parametri Modello'!$B$25,"Attenzione","Rischio Alto")))</f>
        <v>OK</v>
      </c>
      <c r="V149" s="26" t="n">
        <f aca="false">IFERROR(COUNTIFS($B$2:$B$492,$B149,$O$2:$O$492,"&gt;"&amp;$O149)+1,"")</f>
        <v>34</v>
      </c>
      <c r="W149" s="21" t="n">
        <f aca="false">'Info Lega'!$B$4-SUMIFS($M$2:$M$492,$D$2:$D$492,'Info Lega'!$B$28)</f>
        <v>1000</v>
      </c>
      <c r="X149" s="21" t="n">
        <f aca="false">('Info Lega'!$B$5-COUNTIFS($D$2:$D$492,'Info Lega'!$B$28,$B$2:$B$492,"P"))+('Info Lega'!$B$6-COUNTIFS($D$2:$D$492,'Info Lega'!$B$28,$B$2:$B$492,"D"))+('Info Lega'!$B$7-COUNTIFS($D$2:$D$492,'Info Lega'!$B$28,$B$2:$B$492,"C"))+('Info Lega'!$B$8-COUNTIFS($D$2:$D$492,'Info Lega'!$B$28,$B$2:$B$492,"A"))</f>
        <v>25</v>
      </c>
      <c r="Y149" s="21" t="n">
        <f aca="false">X149*'Parametri Modello'!$B$30</f>
        <v>25</v>
      </c>
      <c r="Z149" s="21" t="n">
        <f aca="false">MAX(0,W149-Y149)</f>
        <v>975</v>
      </c>
      <c r="AA149" s="21" t="n">
        <f aca="false">MIN(F149,Z149)</f>
        <v>4</v>
      </c>
      <c r="AB149" s="21"/>
      <c r="AC149" s="21" t="str">
        <f aca="false">IF(AB149="","",IF(AB149&gt;AA149,"PASS",IF(AB149&lt;=AA149*0.85,"BID","ATTENZIONE")))</f>
        <v/>
      </c>
      <c r="AD149" s="31" t="str">
        <f aca="false">IF(I149="","",ROUND(100*(1-EXP(-I149/30)),0))</f>
        <v/>
      </c>
      <c r="AE149" s="7" t="str">
        <f aca="false">IFERROR(INDEX('Stato Asta'!$G$9:$G$12,MATCH($B149,'Stato Asta'!$A$9:$A$12,0)),"")</f>
        <v>🟡 Attesa rischiosa</v>
      </c>
    </row>
    <row r="150" customFormat="false" ht="14.25" hidden="false" customHeight="true" outlineLevel="0" collapsed="false">
      <c r="A150" s="21" t="n">
        <v>2765</v>
      </c>
      <c r="B150" s="21" t="s">
        <v>45</v>
      </c>
      <c r="C150" s="21" t="s">
        <v>407</v>
      </c>
      <c r="E150" s="26" t="str">
        <f aca="false">IF(COUNTIF('Info Strategia'!$D$2:$D$51,$C150)&gt;0,"SI","NO")</f>
        <v>NO</v>
      </c>
      <c r="F150" s="27" t="n">
        <f aca="false">IFERROR(ROUND(($G150+($H150-$G150)*'Info Strategia'!$B$6)*(1+IF($E150="SI",'Parametri Modello'!$B$7*'Info Strategia'!$B$6,0)),0),"")</f>
        <v>3</v>
      </c>
      <c r="G150" s="27" t="n">
        <f aca="false">IFERROR(ROUND(MAX(1,(IF($V150&lt;=INDEX('Parametri Modello'!$C$57:$C$60,MATCH($B150,'Parametri Modello'!$A$57:$A$60,0)),IF(INDEX('Parametri Modello'!$E$57:$E$60,MATCH($B150,'Parametri Modello'!$A$57:$A$60,0))=0,0,($O150/INDEX('Parametri Modello'!$E$57:$E$60,MATCH($B150,'Parametri Modello'!$A$57:$A$60,0)))*(INDEX('Parametri Modello'!$D$57:$D$60,MATCH($B150,'Parametri Modello'!$A$57:$A$60,0))*(INDEX('Parametri Modello'!$B$50:$B$53,MATCH($B150,'Parametri Modello'!$A$50:$A$53,0))*'Parametri Modello'!$B$44))),IF(INDEX('Parametri Modello'!$F$57:$F$60,MATCH($B150,'Parametri Modello'!$A$57:$A$60,0))=0,0,($O150/INDEX('Parametri Modello'!$F$57:$F$60,MATCH($B150,'Parametri Modello'!$A$57:$A$60,0)))*((1-INDEX('Parametri Modello'!$D$57:$D$60,MATCH($B150,'Parametri Modello'!$A$57:$A$60,0)))*(INDEX('Parametri Modello'!$B$50:$B$53,MATCH($B150,'Parametri Modello'!$A$50:$A$53,0))*'Parametri Modello'!$B$44))))*(1+IF(IF($B150="D",'Info Lega'!$B$25,IF($B150="C",'Info Lega'!$B$26,"No"))="Si",'Parametri Modello'!$B$5,0))*(1+MAX(-0.25,MIN(0.25,IF(OR($T150="",$I150="",$I150=0,INDEX('Parametri Modello'!$B$19:$B$22,MATCH($B150,'Parametri Modello'!$A$19:$A$22,0))="",INDEX('Parametri Modello'!$B$19:$B$22,MATCH($B150,'Parametri Modello'!$A$19:$A$22,0))=0),0,(($T150-INDEX('Parametri Modello'!$B$19:$B$22,MATCH($B150,'Parametri Modello'!$A$19:$A$22,0)))/INDEX('Parametri Modello'!$B$19:$B$22,MATCH($B150,'Parametri Modello'!$A$19:$A$22,0)))*'Parametri Modello'!$B$9))))*(1+IF('Parametri Modello'!$B$27="Si",MAX(-'Parametri Modello'!$B$28,MIN('Parametri Modello'!$B$28*1.5,IF(OR(INDEX('Parametri Modello'!$F$32:$F$35,MATCH($B150,'Parametri Modello'!$A$32:$A$35,0))="",INDEX('Parametri Modello'!$F$32:$F$35,MATCH($B150,'Parametri Modello'!$A$32:$A$35,0))=0),0,(1/INDEX('Parametri Modello'!$F$32:$F$35,MATCH($B150,'Parametri Modello'!$A$32:$A$35,0))-1)*'Parametri Modello'!$B$28))),0)))*(1-INDEX('Parametri Modello'!$B$12:$B$15,MATCH($B150,'Parametri Modello'!$A$12:$A$15,0)))),0),"")</f>
        <v>2</v>
      </c>
      <c r="H150" s="27" t="n">
        <f aca="false">IFERROR(ROUND((IF($V150&lt;=INDEX('Parametri Modello'!$C$57:$C$60,MATCH($B150,'Parametri Modello'!$A$57:$A$60,0)),IF(INDEX('Parametri Modello'!$E$57:$E$60,MATCH($B150,'Parametri Modello'!$A$57:$A$60,0))=0,0,($O150/INDEX('Parametri Modello'!$E$57:$E$60,MATCH($B150,'Parametri Modello'!$A$57:$A$60,0)))*(INDEX('Parametri Modello'!$D$57:$D$60,MATCH($B150,'Parametri Modello'!$A$57:$A$60,0))*(INDEX('Parametri Modello'!$B$50:$B$53,MATCH($B150,'Parametri Modello'!$A$50:$A$53,0))*'Parametri Modello'!$B$44))),IF(INDEX('Parametri Modello'!$F$57:$F$60,MATCH($B150,'Parametri Modello'!$A$57:$A$60,0))=0,0,($O150/INDEX('Parametri Modello'!$F$57:$F$60,MATCH($B150,'Parametri Modello'!$A$57:$A$60,0)))*((1-INDEX('Parametri Modello'!$D$57:$D$60,MATCH($B150,'Parametri Modello'!$A$57:$A$60,0)))*(INDEX('Parametri Modello'!$B$50:$B$53,MATCH($B150,'Parametri Modello'!$A$50:$A$53,0))*'Parametri Modello'!$B$44))))*(1+IF(IF($B150="D",'Info Lega'!$B$25,IF($B150="C",'Info Lega'!$B$26,"No"))="Si",'Parametri Modello'!$B$5,0))*(1+MAX(-0.25,MIN(0.25,IF(OR($T150="",$I150="",$I150=0,INDEX('Parametri Modello'!$B$19:$B$22,MATCH($B150,'Parametri Modello'!$A$19:$A$22,0))="",INDEX('Parametri Modello'!$B$19:$B$22,MATCH($B150,'Parametri Modello'!$A$19:$A$22,0))=0),0,(($T150-INDEX('Parametri Modello'!$B$19:$B$22,MATCH($B150,'Parametri Modello'!$A$19:$A$22,0)))/INDEX('Parametri Modello'!$B$19:$B$22,MATCH($B150,'Parametri Modello'!$A$19:$A$22,0)))*'Parametri Modello'!$B$9))))*(1+IF('Parametri Modello'!$B$27="Si",MAX(-'Parametri Modello'!$B$28,MIN('Parametri Modello'!$B$28*1.5,IF(OR(INDEX('Parametri Modello'!$F$32:$F$35,MATCH($B150,'Parametri Modello'!$A$32:$A$35,0))="",INDEX('Parametri Modello'!$F$32:$F$35,MATCH($B150,'Parametri Modello'!$A$32:$A$35,0))=0),0,(1/INDEX('Parametri Modello'!$F$32:$F$35,MATCH($B150,'Parametri Modello'!$A$32:$A$35,0))-1)*'Parametri Modello'!$B$28))),0)))*(1+INDEX('Parametri Modello'!$B$12:$B$15,MATCH($B150,'Parametri Modello'!$A$12:$A$15,0))),0),"")</f>
        <v>3</v>
      </c>
      <c r="I150" s="26" t="n">
        <f aca="false">IFERROR(INDEX('Input Statistiche 2025_26'!$F$3:$F$665,MATCH($A150,'Input Statistiche 2025_26'!$A$3:$A$665,0)),"")</f>
        <v>22</v>
      </c>
      <c r="J150" s="26" t="n">
        <f aca="false">IFERROR(IF($I150="","",MAX(0,38-$I150)),"")</f>
        <v>16</v>
      </c>
      <c r="K150" s="26" t="n">
        <f aca="false">IFERROR(INDEX('Input Statistiche 2025_26'!$I$3:$I$665,MATCH($A150,'Input Statistiche 2025_26'!$A$3:$A$665,0)),"")</f>
        <v>5</v>
      </c>
      <c r="L150" s="26" t="n">
        <f aca="false">IFERROR(INDEX('Input Statistiche 2025_26'!$O$3:$O$665,MATCH($A150,'Input Statistiche 2025_26'!$A$3:$A$665,0)),"")</f>
        <v>1</v>
      </c>
      <c r="M150" s="28"/>
      <c r="N150" s="27" t="n">
        <f aca="false">IFERROR(INDEX('Input Giocatori 2026_27'!$E$3:$E$493,MATCH($A150,'Input Giocatori 2026_27'!$A$3:$A$493,0)),"")</f>
        <v>8</v>
      </c>
      <c r="O150" s="27" t="n">
        <f aca="false">IFERROR(INDEX('Input Giocatori 2026_27'!$G$3:$G$493,MATCH($A150,'Input Giocatori 2026_27'!$A$3:$A$493,0)),"")</f>
        <v>22</v>
      </c>
      <c r="P150" s="26" t="str">
        <f aca="false">IFERROR(IF($O150="","",IF((1-(COUNTIFS($B$2:$B$492,$B150,$O$2:$O$492,"&gt;"&amp;$O150)+1-1)/COUNTIF($B$2:$B$492,$B150))&gt;=0.85,"Top",IF((1-(COUNTIFS($B$2:$B$492,$B150,$O$2:$O$492,"&gt;"&amp;$O150)+1-1)/COUNTIF($B$2:$B$492,$B150))&gt;=0.6,"Buono",IF((1-(COUNTIFS($B$2:$B$492,$B150,$O$2:$O$492,"&gt;"&amp;$O150)+1-1)/COUNTIF($B$2:$B$492,$B150))&gt;=0.3,"Nella Media","Scommessa/Riserva")))),"")</f>
        <v>Buono</v>
      </c>
      <c r="Q150" s="29" t="n">
        <f aca="false">IF($D150="",COUNTIF($D$2:$D150,""),"")</f>
        <v>149</v>
      </c>
      <c r="R150" s="29" t="str">
        <f aca="false">IF($D150='Info Lega'!$B$28,COUNTIFS($D$2:$D150,'Info Lega'!$B$28),"")</f>
        <v/>
      </c>
      <c r="S150" s="30" t="n">
        <f aca="false">IFERROR(INDEX('Input Statistiche 2025_26'!$G$3:$G$665,MATCH($A150,'Input Statistiche 2025_26'!$A$3:$A$665,0)),"")</f>
        <v>5.91</v>
      </c>
      <c r="T150" s="30" t="n">
        <f aca="false">IFERROR(INDEX('Input Statistiche 2025_26'!$H$3:$H$665,MATCH($A150,'Input Statistiche 2025_26'!$A$3:$A$665,0)),"")</f>
        <v>6.61</v>
      </c>
      <c r="U150" s="26" t="str">
        <f aca="false">IF(OR('La Mia Rosa'!$O$12="",$D150&lt;&gt;""),"",IF($F150&lt;='La Mia Rosa'!$O$12*'Parametri Modello'!$B$24,"OK",IF($F150&lt;='La Mia Rosa'!$O$12*'Parametri Modello'!$B$25,"Attenzione","Rischio Alto")))</f>
        <v>OK</v>
      </c>
      <c r="V150" s="26" t="n">
        <f aca="false">IFERROR(COUNTIFS($B$2:$B$492,$B150,$O$2:$O$492,"&gt;"&amp;$O150)+1,"")</f>
        <v>56</v>
      </c>
      <c r="W150" s="21" t="n">
        <f aca="false">'Info Lega'!$B$4-SUMIFS($M$2:$M$492,$D$2:$D$492,'Info Lega'!$B$28)</f>
        <v>1000</v>
      </c>
      <c r="X150" s="21" t="n">
        <f aca="false">('Info Lega'!$B$5-COUNTIFS($D$2:$D$492,'Info Lega'!$B$28,$B$2:$B$492,"P"))+('Info Lega'!$B$6-COUNTIFS($D$2:$D$492,'Info Lega'!$B$28,$B$2:$B$492,"D"))+('Info Lega'!$B$7-COUNTIFS($D$2:$D$492,'Info Lega'!$B$28,$B$2:$B$492,"C"))+('Info Lega'!$B$8-COUNTIFS($D$2:$D$492,'Info Lega'!$B$28,$B$2:$B$492,"A"))</f>
        <v>25</v>
      </c>
      <c r="Y150" s="21" t="n">
        <f aca="false">X150*'Parametri Modello'!$B$30</f>
        <v>25</v>
      </c>
      <c r="Z150" s="21" t="n">
        <f aca="false">MAX(0,W150-Y150)</f>
        <v>975</v>
      </c>
      <c r="AA150" s="21" t="n">
        <f aca="false">MIN(F150,Z150)</f>
        <v>3</v>
      </c>
      <c r="AB150" s="21"/>
      <c r="AC150" s="21" t="str">
        <f aca="false">IF(AB150="","",IF(AB150&gt;AA150,"PASS",IF(AB150&lt;=AA150*0.85,"BID","ATTENZIONE")))</f>
        <v/>
      </c>
      <c r="AD150" s="31" t="n">
        <f aca="false">IF(I150="","",ROUND(100*(1-EXP(-I150/30)),0))</f>
        <v>52</v>
      </c>
      <c r="AE150" s="7" t="str">
        <f aca="false">IFERROR(INDEX('Stato Asta'!$G$9:$G$12,MATCH($B150,'Stato Asta'!$A$9:$A$12,0)),"")</f>
        <v>🟡 Attesa rischiosa</v>
      </c>
    </row>
    <row r="151" customFormat="false" ht="14.25" hidden="false" customHeight="true" outlineLevel="0" collapsed="false">
      <c r="A151" s="21" t="n">
        <v>6678</v>
      </c>
      <c r="B151" s="21" t="s">
        <v>45</v>
      </c>
      <c r="C151" s="21" t="s">
        <v>434</v>
      </c>
      <c r="E151" s="26" t="str">
        <f aca="false">IF(COUNTIF('Info Strategia'!$D$2:$D$51,$C151)&gt;0,"SI","NO")</f>
        <v>NO</v>
      </c>
      <c r="F151" s="27" t="n">
        <f aca="false">IFERROR(ROUND(($G151+($H151-$G151)*'Info Strategia'!$B$6)*(1+IF($E151="SI",'Parametri Modello'!$B$7*'Info Strategia'!$B$6,0)),0),"")</f>
        <v>3</v>
      </c>
      <c r="G151" s="27" t="n">
        <f aca="false">IFERROR(ROUND(MAX(1,(IF($V151&lt;=INDEX('Parametri Modello'!$C$57:$C$60,MATCH($B151,'Parametri Modello'!$A$57:$A$60,0)),IF(INDEX('Parametri Modello'!$E$57:$E$60,MATCH($B151,'Parametri Modello'!$A$57:$A$60,0))=0,0,($O151/INDEX('Parametri Modello'!$E$57:$E$60,MATCH($B151,'Parametri Modello'!$A$57:$A$60,0)))*(INDEX('Parametri Modello'!$D$57:$D$60,MATCH($B151,'Parametri Modello'!$A$57:$A$60,0))*(INDEX('Parametri Modello'!$B$50:$B$53,MATCH($B151,'Parametri Modello'!$A$50:$A$53,0))*'Parametri Modello'!$B$44))),IF(INDEX('Parametri Modello'!$F$57:$F$60,MATCH($B151,'Parametri Modello'!$A$57:$A$60,0))=0,0,($O151/INDEX('Parametri Modello'!$F$57:$F$60,MATCH($B151,'Parametri Modello'!$A$57:$A$60,0)))*((1-INDEX('Parametri Modello'!$D$57:$D$60,MATCH($B151,'Parametri Modello'!$A$57:$A$60,0)))*(INDEX('Parametri Modello'!$B$50:$B$53,MATCH($B151,'Parametri Modello'!$A$50:$A$53,0))*'Parametri Modello'!$B$44))))*(1+IF(IF($B151="D",'Info Lega'!$B$25,IF($B151="C",'Info Lega'!$B$26,"No"))="Si",'Parametri Modello'!$B$5,0))*(1+MAX(-0.25,MIN(0.25,IF(OR($T151="",$I151="",$I151=0,INDEX('Parametri Modello'!$B$19:$B$22,MATCH($B151,'Parametri Modello'!$A$19:$A$22,0))="",INDEX('Parametri Modello'!$B$19:$B$22,MATCH($B151,'Parametri Modello'!$A$19:$A$22,0))=0),0,(($T151-INDEX('Parametri Modello'!$B$19:$B$22,MATCH($B151,'Parametri Modello'!$A$19:$A$22,0)))/INDEX('Parametri Modello'!$B$19:$B$22,MATCH($B151,'Parametri Modello'!$A$19:$A$22,0)))*'Parametri Modello'!$B$9))))*(1+IF('Parametri Modello'!$B$27="Si",MAX(-'Parametri Modello'!$B$28,MIN('Parametri Modello'!$B$28*1.5,IF(OR(INDEX('Parametri Modello'!$F$32:$F$35,MATCH($B151,'Parametri Modello'!$A$32:$A$35,0))="",INDEX('Parametri Modello'!$F$32:$F$35,MATCH($B151,'Parametri Modello'!$A$32:$A$35,0))=0),0,(1/INDEX('Parametri Modello'!$F$32:$F$35,MATCH($B151,'Parametri Modello'!$A$32:$A$35,0))-1)*'Parametri Modello'!$B$28))),0)))*(1-INDEX('Parametri Modello'!$B$12:$B$15,MATCH($B151,'Parametri Modello'!$A$12:$A$15,0)))),0),"")</f>
        <v>2</v>
      </c>
      <c r="H151" s="27" t="n">
        <f aca="false">IFERROR(ROUND((IF($V151&lt;=INDEX('Parametri Modello'!$C$57:$C$60,MATCH($B151,'Parametri Modello'!$A$57:$A$60,0)),IF(INDEX('Parametri Modello'!$E$57:$E$60,MATCH($B151,'Parametri Modello'!$A$57:$A$60,0))=0,0,($O151/INDEX('Parametri Modello'!$E$57:$E$60,MATCH($B151,'Parametri Modello'!$A$57:$A$60,0)))*(INDEX('Parametri Modello'!$D$57:$D$60,MATCH($B151,'Parametri Modello'!$A$57:$A$60,0))*(INDEX('Parametri Modello'!$B$50:$B$53,MATCH($B151,'Parametri Modello'!$A$50:$A$53,0))*'Parametri Modello'!$B$44))),IF(INDEX('Parametri Modello'!$F$57:$F$60,MATCH($B151,'Parametri Modello'!$A$57:$A$60,0))=0,0,($O151/INDEX('Parametri Modello'!$F$57:$F$60,MATCH($B151,'Parametri Modello'!$A$57:$A$60,0)))*((1-INDEX('Parametri Modello'!$D$57:$D$60,MATCH($B151,'Parametri Modello'!$A$57:$A$60,0)))*(INDEX('Parametri Modello'!$B$50:$B$53,MATCH($B151,'Parametri Modello'!$A$50:$A$53,0))*'Parametri Modello'!$B$44))))*(1+IF(IF($B151="D",'Info Lega'!$B$25,IF($B151="C",'Info Lega'!$B$26,"No"))="Si",'Parametri Modello'!$B$5,0))*(1+MAX(-0.25,MIN(0.25,IF(OR($T151="",$I151="",$I151=0,INDEX('Parametri Modello'!$B$19:$B$22,MATCH($B151,'Parametri Modello'!$A$19:$A$22,0))="",INDEX('Parametri Modello'!$B$19:$B$22,MATCH($B151,'Parametri Modello'!$A$19:$A$22,0))=0),0,(($T151-INDEX('Parametri Modello'!$B$19:$B$22,MATCH($B151,'Parametri Modello'!$A$19:$A$22,0)))/INDEX('Parametri Modello'!$B$19:$B$22,MATCH($B151,'Parametri Modello'!$A$19:$A$22,0)))*'Parametri Modello'!$B$9))))*(1+IF('Parametri Modello'!$B$27="Si",MAX(-'Parametri Modello'!$B$28,MIN('Parametri Modello'!$B$28*1.5,IF(OR(INDEX('Parametri Modello'!$F$32:$F$35,MATCH($B151,'Parametri Modello'!$A$32:$A$35,0))="",INDEX('Parametri Modello'!$F$32:$F$35,MATCH($B151,'Parametri Modello'!$A$32:$A$35,0))=0),0,(1/INDEX('Parametri Modello'!$F$32:$F$35,MATCH($B151,'Parametri Modello'!$A$32:$A$35,0))-1)*'Parametri Modello'!$B$28))),0)))*(1+INDEX('Parametri Modello'!$B$12:$B$15,MATCH($B151,'Parametri Modello'!$A$12:$A$15,0))),0),"")</f>
        <v>3</v>
      </c>
      <c r="I151" s="26" t="n">
        <f aca="false">IFERROR(INDEX('Input Statistiche 2025_26'!$F$3:$F$665,MATCH($A151,'Input Statistiche 2025_26'!$A$3:$A$665,0)),"")</f>
        <v>0</v>
      </c>
      <c r="J151" s="26" t="n">
        <f aca="false">IFERROR(IF($I151="","",MAX(0,38-$I151)),"")</f>
        <v>38</v>
      </c>
      <c r="K151" s="26" t="n">
        <f aca="false">IFERROR(INDEX('Input Statistiche 2025_26'!$I$3:$I$665,MATCH($A151,'Input Statistiche 2025_26'!$A$3:$A$665,0)),"")</f>
        <v>0</v>
      </c>
      <c r="L151" s="26" t="n">
        <f aca="false">IFERROR(INDEX('Input Statistiche 2025_26'!$O$3:$O$665,MATCH($A151,'Input Statistiche 2025_26'!$A$3:$A$665,0)),"")</f>
        <v>0</v>
      </c>
      <c r="M151" s="28"/>
      <c r="N151" s="27" t="n">
        <f aca="false">IFERROR(INDEX('Input Giocatori 2026_27'!$E$3:$E$493,MATCH($A151,'Input Giocatori 2026_27'!$A$3:$A$493,0)),"")</f>
        <v>6</v>
      </c>
      <c r="O151" s="27" t="n">
        <f aca="false">IFERROR(INDEX('Input Giocatori 2026_27'!$G$3:$G$493,MATCH($A151,'Input Giocatori 2026_27'!$A$3:$A$493,0)),"")</f>
        <v>22</v>
      </c>
      <c r="P151" s="26" t="str">
        <f aca="false">IFERROR(IF($O151="","",IF((1-(COUNTIFS($B$2:$B$492,$B151,$O$2:$O$492,"&gt;"&amp;$O151)+1-1)/COUNTIF($B$2:$B$492,$B151))&gt;=0.85,"Top",IF((1-(COUNTIFS($B$2:$B$492,$B151,$O$2:$O$492,"&gt;"&amp;$O151)+1-1)/COUNTIF($B$2:$B$492,$B151))&gt;=0.6,"Buono",IF((1-(COUNTIFS($B$2:$B$492,$B151,$O$2:$O$492,"&gt;"&amp;$O151)+1-1)/COUNTIF($B$2:$B$492,$B151))&gt;=0.3,"Nella Media","Scommessa/Riserva")))),"")</f>
        <v>Buono</v>
      </c>
      <c r="Q151" s="29" t="n">
        <f aca="false">IF($D151="",COUNTIF($D$2:$D151,""),"")</f>
        <v>150</v>
      </c>
      <c r="R151" s="29" t="str">
        <f aca="false">IF($D151='Info Lega'!$B$28,COUNTIFS($D$2:$D151,'Info Lega'!$B$28),"")</f>
        <v/>
      </c>
      <c r="S151" s="30" t="n">
        <f aca="false">IFERROR(INDEX('Input Statistiche 2025_26'!$G$3:$G$665,MATCH($A151,'Input Statistiche 2025_26'!$A$3:$A$665,0)),"")</f>
        <v>0</v>
      </c>
      <c r="T151" s="30" t="n">
        <f aca="false">IFERROR(INDEX('Input Statistiche 2025_26'!$H$3:$H$665,MATCH($A151,'Input Statistiche 2025_26'!$A$3:$A$665,0)),"")</f>
        <v>0</v>
      </c>
      <c r="U151" s="26" t="str">
        <f aca="false">IF(OR('La Mia Rosa'!$O$12="",$D151&lt;&gt;""),"",IF($F151&lt;='La Mia Rosa'!$O$12*'Parametri Modello'!$B$24,"OK",IF($F151&lt;='La Mia Rosa'!$O$12*'Parametri Modello'!$B$25,"Attenzione","Rischio Alto")))</f>
        <v>OK</v>
      </c>
      <c r="V151" s="26" t="n">
        <f aca="false">IFERROR(COUNTIFS($B$2:$B$492,$B151,$O$2:$O$492,"&gt;"&amp;$O151)+1,"")</f>
        <v>56</v>
      </c>
      <c r="W151" s="21" t="n">
        <f aca="false">'Info Lega'!$B$4-SUMIFS($M$2:$M$492,$D$2:$D$492,'Info Lega'!$B$28)</f>
        <v>1000</v>
      </c>
      <c r="X151" s="21" t="n">
        <f aca="false">('Info Lega'!$B$5-COUNTIFS($D$2:$D$492,'Info Lega'!$B$28,$B$2:$B$492,"P"))+('Info Lega'!$B$6-COUNTIFS($D$2:$D$492,'Info Lega'!$B$28,$B$2:$B$492,"D"))+('Info Lega'!$B$7-COUNTIFS($D$2:$D$492,'Info Lega'!$B$28,$B$2:$B$492,"C"))+('Info Lega'!$B$8-COUNTIFS($D$2:$D$492,'Info Lega'!$B$28,$B$2:$B$492,"A"))</f>
        <v>25</v>
      </c>
      <c r="Y151" s="21" t="n">
        <f aca="false">X151*'Parametri Modello'!$B$30</f>
        <v>25</v>
      </c>
      <c r="Z151" s="21" t="n">
        <f aca="false">MAX(0,W151-Y151)</f>
        <v>975</v>
      </c>
      <c r="AA151" s="21" t="n">
        <f aca="false">MIN(F151,Z151)</f>
        <v>3</v>
      </c>
      <c r="AB151" s="21"/>
      <c r="AC151" s="21" t="str">
        <f aca="false">IF(AB151="","",IF(AB151&gt;AA151,"PASS",IF(AB151&lt;=AA151*0.85,"BID","ATTENZIONE")))</f>
        <v/>
      </c>
      <c r="AD151" s="31" t="n">
        <f aca="false">IF(I151="","",ROUND(100*(1-EXP(-I151/30)),0))</f>
        <v>0</v>
      </c>
      <c r="AE151" s="7" t="str">
        <f aca="false">IFERROR(INDEX('Stato Asta'!$G$9:$G$12,MATCH($B151,'Stato Asta'!$A$9:$A$12,0)),"")</f>
        <v>🟡 Attesa rischiosa</v>
      </c>
    </row>
    <row r="152" customFormat="false" ht="14.25" hidden="false" customHeight="true" outlineLevel="0" collapsed="false">
      <c r="A152" s="21" t="n">
        <v>6831</v>
      </c>
      <c r="B152" s="21" t="s">
        <v>46</v>
      </c>
      <c r="C152" s="21" t="s">
        <v>592</v>
      </c>
      <c r="E152" s="26" t="str">
        <f aca="false">IF(COUNTIF('Info Strategia'!$D$2:$D$51,$C152)&gt;0,"SI","NO")</f>
        <v>NO</v>
      </c>
      <c r="F152" s="27" t="n">
        <f aca="false">IFERROR(ROUND(($G152+($H152-$G152)*'Info Strategia'!$B$6)*(1+IF($E152="SI",'Parametri Modello'!$B$7*'Info Strategia'!$B$6,0)),0),"")</f>
        <v>7</v>
      </c>
      <c r="G152" s="27" t="n">
        <f aca="false">IFERROR(ROUND(MAX(1,(IF($V152&lt;=INDEX('Parametri Modello'!$C$57:$C$60,MATCH($B152,'Parametri Modello'!$A$57:$A$60,0)),IF(INDEX('Parametri Modello'!$E$57:$E$60,MATCH($B152,'Parametri Modello'!$A$57:$A$60,0))=0,0,($O152/INDEX('Parametri Modello'!$E$57:$E$60,MATCH($B152,'Parametri Modello'!$A$57:$A$60,0)))*(INDEX('Parametri Modello'!$D$57:$D$60,MATCH($B152,'Parametri Modello'!$A$57:$A$60,0))*(INDEX('Parametri Modello'!$B$50:$B$53,MATCH($B152,'Parametri Modello'!$A$50:$A$53,0))*'Parametri Modello'!$B$44))),IF(INDEX('Parametri Modello'!$F$57:$F$60,MATCH($B152,'Parametri Modello'!$A$57:$A$60,0))=0,0,($O152/INDEX('Parametri Modello'!$F$57:$F$60,MATCH($B152,'Parametri Modello'!$A$57:$A$60,0)))*((1-INDEX('Parametri Modello'!$D$57:$D$60,MATCH($B152,'Parametri Modello'!$A$57:$A$60,0)))*(INDEX('Parametri Modello'!$B$50:$B$53,MATCH($B152,'Parametri Modello'!$A$50:$A$53,0))*'Parametri Modello'!$B$44))))*(1+IF(IF($B152="D",'Info Lega'!$B$25,IF($B152="C",'Info Lega'!$B$26,"No"))="Si",'Parametri Modello'!$B$5,0))*(1+MAX(-0.25,MIN(0.25,IF(OR($T152="",$I152="",$I152=0,INDEX('Parametri Modello'!$B$19:$B$22,MATCH($B152,'Parametri Modello'!$A$19:$A$22,0))="",INDEX('Parametri Modello'!$B$19:$B$22,MATCH($B152,'Parametri Modello'!$A$19:$A$22,0))=0),0,(($T152-INDEX('Parametri Modello'!$B$19:$B$22,MATCH($B152,'Parametri Modello'!$A$19:$A$22,0)))/INDEX('Parametri Modello'!$B$19:$B$22,MATCH($B152,'Parametri Modello'!$A$19:$A$22,0)))*'Parametri Modello'!$B$9))))*(1+IF('Parametri Modello'!$B$27="Si",MAX(-'Parametri Modello'!$B$28,MIN('Parametri Modello'!$B$28*1.5,IF(OR(INDEX('Parametri Modello'!$F$32:$F$35,MATCH($B152,'Parametri Modello'!$A$32:$A$35,0))="",INDEX('Parametri Modello'!$F$32:$F$35,MATCH($B152,'Parametri Modello'!$A$32:$A$35,0))=0),0,(1/INDEX('Parametri Modello'!$F$32:$F$35,MATCH($B152,'Parametri Modello'!$A$32:$A$35,0))-1)*'Parametri Modello'!$B$28))),0)))*(1-INDEX('Parametri Modello'!$B$12:$B$15,MATCH($B152,'Parametri Modello'!$A$12:$A$15,0)))),0),"")</f>
        <v>4</v>
      </c>
      <c r="H152" s="27" t="n">
        <f aca="false">IFERROR(ROUND((IF($V152&lt;=INDEX('Parametri Modello'!$C$57:$C$60,MATCH($B152,'Parametri Modello'!$A$57:$A$60,0)),IF(INDEX('Parametri Modello'!$E$57:$E$60,MATCH($B152,'Parametri Modello'!$A$57:$A$60,0))=0,0,($O152/INDEX('Parametri Modello'!$E$57:$E$60,MATCH($B152,'Parametri Modello'!$A$57:$A$60,0)))*(INDEX('Parametri Modello'!$D$57:$D$60,MATCH($B152,'Parametri Modello'!$A$57:$A$60,0))*(INDEX('Parametri Modello'!$B$50:$B$53,MATCH($B152,'Parametri Modello'!$A$50:$A$53,0))*'Parametri Modello'!$B$44))),IF(INDEX('Parametri Modello'!$F$57:$F$60,MATCH($B152,'Parametri Modello'!$A$57:$A$60,0))=0,0,($O152/INDEX('Parametri Modello'!$F$57:$F$60,MATCH($B152,'Parametri Modello'!$A$57:$A$60,0)))*((1-INDEX('Parametri Modello'!$D$57:$D$60,MATCH($B152,'Parametri Modello'!$A$57:$A$60,0)))*(INDEX('Parametri Modello'!$B$50:$B$53,MATCH($B152,'Parametri Modello'!$A$50:$A$53,0))*'Parametri Modello'!$B$44))))*(1+IF(IF($B152="D",'Info Lega'!$B$25,IF($B152="C",'Info Lega'!$B$26,"No"))="Si",'Parametri Modello'!$B$5,0))*(1+MAX(-0.25,MIN(0.25,IF(OR($T152="",$I152="",$I152=0,INDEX('Parametri Modello'!$B$19:$B$22,MATCH($B152,'Parametri Modello'!$A$19:$A$22,0))="",INDEX('Parametri Modello'!$B$19:$B$22,MATCH($B152,'Parametri Modello'!$A$19:$A$22,0))=0),0,(($T152-INDEX('Parametri Modello'!$B$19:$B$22,MATCH($B152,'Parametri Modello'!$A$19:$A$22,0)))/INDEX('Parametri Modello'!$B$19:$B$22,MATCH($B152,'Parametri Modello'!$A$19:$A$22,0)))*'Parametri Modello'!$B$9))))*(1+IF('Parametri Modello'!$B$27="Si",MAX(-'Parametri Modello'!$B$28,MIN('Parametri Modello'!$B$28*1.5,IF(OR(INDEX('Parametri Modello'!$F$32:$F$35,MATCH($B152,'Parametri Modello'!$A$32:$A$35,0))="",INDEX('Parametri Modello'!$F$32:$F$35,MATCH($B152,'Parametri Modello'!$A$32:$A$35,0))=0),0,(1/INDEX('Parametri Modello'!$F$32:$F$35,MATCH($B152,'Parametri Modello'!$A$32:$A$35,0))-1)*'Parametri Modello'!$B$28))),0)))*(1+INDEX('Parametri Modello'!$B$12:$B$15,MATCH($B152,'Parametri Modello'!$A$12:$A$15,0))),0),"")</f>
        <v>8</v>
      </c>
      <c r="I152" s="26" t="n">
        <f aca="false">IFERROR(INDEX('Input Statistiche 2025_26'!$F$3:$F$665,MATCH($A152,'Input Statistiche 2025_26'!$A$3:$A$665,0)),"")</f>
        <v>16</v>
      </c>
      <c r="J152" s="26" t="n">
        <f aca="false">IFERROR(IF($I152="","",MAX(0,38-$I152)),"")</f>
        <v>22</v>
      </c>
      <c r="K152" s="26" t="n">
        <f aca="false">IFERROR(INDEX('Input Statistiche 2025_26'!$I$3:$I$665,MATCH($A152,'Input Statistiche 2025_26'!$A$3:$A$665,0)),"")</f>
        <v>3</v>
      </c>
      <c r="L152" s="26" t="n">
        <f aca="false">IFERROR(INDEX('Input Statistiche 2025_26'!$O$3:$O$665,MATCH($A152,'Input Statistiche 2025_26'!$A$3:$A$665,0)),"")</f>
        <v>3</v>
      </c>
      <c r="M152" s="28"/>
      <c r="N152" s="27" t="n">
        <f aca="false">IFERROR(INDEX('Input Giocatori 2026_27'!$E$3:$E$493,MATCH($A152,'Input Giocatori 2026_27'!$A$3:$A$493,0)),"")</f>
        <v>6</v>
      </c>
      <c r="O152" s="27" t="n">
        <f aca="false">IFERROR(INDEX('Input Giocatori 2026_27'!$G$3:$G$493,MATCH($A152,'Input Giocatori 2026_27'!$A$3:$A$493,0)),"")</f>
        <v>22</v>
      </c>
      <c r="P152" s="26" t="str">
        <f aca="false">IFERROR(IF($O152="","",IF((1-(COUNTIFS($B$2:$B$492,$B152,$O$2:$O$492,"&gt;"&amp;$O152)+1-1)/COUNTIF($B$2:$B$492,$B152))&gt;=0.85,"Top",IF((1-(COUNTIFS($B$2:$B$492,$B152,$O$2:$O$492,"&gt;"&amp;$O152)+1-1)/COUNTIF($B$2:$B$492,$B152))&gt;=0.6,"Buono",IF((1-(COUNTIFS($B$2:$B$492,$B152,$O$2:$O$492,"&gt;"&amp;$O152)+1-1)/COUNTIF($B$2:$B$492,$B152))&gt;=0.3,"Nella Media","Scommessa/Riserva")))),"")</f>
        <v>Nella Media</v>
      </c>
      <c r="Q152" s="29" t="n">
        <f aca="false">IF($D152="",COUNTIF($D$2:$D152,""),"")</f>
        <v>151</v>
      </c>
      <c r="R152" s="29" t="str">
        <f aca="false">IF($D152='Info Lega'!$B$28,COUNTIFS($D$2:$D152,'Info Lega'!$B$28),"")</f>
        <v/>
      </c>
      <c r="S152" s="30" t="n">
        <f aca="false">IFERROR(INDEX('Input Statistiche 2025_26'!$G$3:$G$665,MATCH($A152,'Input Statistiche 2025_26'!$A$3:$A$665,0)),"")</f>
        <v>6.19</v>
      </c>
      <c r="T152" s="30" t="n">
        <f aca="false">IFERROR(INDEX('Input Statistiche 2025_26'!$H$3:$H$665,MATCH($A152,'Input Statistiche 2025_26'!$A$3:$A$665,0)),"")</f>
        <v>6.84</v>
      </c>
      <c r="U152" s="26" t="str">
        <f aca="false">IF(OR('La Mia Rosa'!$O$12="",$D152&lt;&gt;""),"",IF($F152&lt;='La Mia Rosa'!$O$12*'Parametri Modello'!$B$24,"OK",IF($F152&lt;='La Mia Rosa'!$O$12*'Parametri Modello'!$B$25,"Attenzione","Rischio Alto")))</f>
        <v>OK</v>
      </c>
      <c r="V152" s="26" t="n">
        <f aca="false">IFERROR(COUNTIFS($B$2:$B$492,$B152,$O$2:$O$492,"&gt;"&amp;$O152)+1,"")</f>
        <v>46</v>
      </c>
      <c r="W152" s="21" t="n">
        <f aca="false">'Info Lega'!$B$4-SUMIFS($M$2:$M$492,$D$2:$D$492,'Info Lega'!$B$28)</f>
        <v>1000</v>
      </c>
      <c r="X152" s="21" t="n">
        <f aca="false">('Info Lega'!$B$5-COUNTIFS($D$2:$D$492,'Info Lega'!$B$28,$B$2:$B$492,"P"))+('Info Lega'!$B$6-COUNTIFS($D$2:$D$492,'Info Lega'!$B$28,$B$2:$B$492,"D"))+('Info Lega'!$B$7-COUNTIFS($D$2:$D$492,'Info Lega'!$B$28,$B$2:$B$492,"C"))+('Info Lega'!$B$8-COUNTIFS($D$2:$D$492,'Info Lega'!$B$28,$B$2:$B$492,"A"))</f>
        <v>25</v>
      </c>
      <c r="Y152" s="21" t="n">
        <f aca="false">X152*'Parametri Modello'!$B$30</f>
        <v>25</v>
      </c>
      <c r="Z152" s="21" t="n">
        <f aca="false">MAX(0,W152-Y152)</f>
        <v>975</v>
      </c>
      <c r="AA152" s="21" t="n">
        <f aca="false">MIN(F152,Z152)</f>
        <v>7</v>
      </c>
      <c r="AB152" s="21"/>
      <c r="AC152" s="21" t="str">
        <f aca="false">IF(AB152="","",IF(AB152&gt;AA152,"PASS",IF(AB152&lt;=AA152*0.85,"BID","ATTENZIONE")))</f>
        <v/>
      </c>
      <c r="AD152" s="31" t="n">
        <f aca="false">IF(I152="","",ROUND(100*(1-EXP(-I152/30)),0))</f>
        <v>41</v>
      </c>
      <c r="AE152" s="7" t="str">
        <f aca="false">IFERROR(INDEX('Stato Asta'!$G$9:$G$12,MATCH($B152,'Stato Asta'!$A$9:$A$12,0)),"")</f>
        <v>🔴 Non aspettare</v>
      </c>
    </row>
    <row r="153" customFormat="false" ht="14.25" hidden="false" customHeight="true" outlineLevel="0" collapsed="false">
      <c r="A153" s="21" t="n">
        <v>4657</v>
      </c>
      <c r="B153" s="21" t="s">
        <v>44</v>
      </c>
      <c r="C153" s="21" t="s">
        <v>221</v>
      </c>
      <c r="E153" s="26" t="str">
        <f aca="false">IF(COUNTIF('Info Strategia'!$D$2:$D$51,$C153)&gt;0,"SI","NO")</f>
        <v>NO</v>
      </c>
      <c r="F153" s="27" t="n">
        <f aca="false">IFERROR(ROUND(($G153+($H153-$G153)*'Info Strategia'!$B$6)*(1+IF($E153="SI",'Parametri Modello'!$B$7*'Info Strategia'!$B$6,0)),0),"")</f>
        <v>4</v>
      </c>
      <c r="G153" s="27" t="n">
        <f aca="false">IFERROR(ROUND(MAX(1,(IF($V153&lt;=INDEX('Parametri Modello'!$C$57:$C$60,MATCH($B153,'Parametri Modello'!$A$57:$A$60,0)),IF(INDEX('Parametri Modello'!$E$57:$E$60,MATCH($B153,'Parametri Modello'!$A$57:$A$60,0))=0,0,($O153/INDEX('Parametri Modello'!$E$57:$E$60,MATCH($B153,'Parametri Modello'!$A$57:$A$60,0)))*(INDEX('Parametri Modello'!$D$57:$D$60,MATCH($B153,'Parametri Modello'!$A$57:$A$60,0))*(INDEX('Parametri Modello'!$B$50:$B$53,MATCH($B153,'Parametri Modello'!$A$50:$A$53,0))*'Parametri Modello'!$B$44))),IF(INDEX('Parametri Modello'!$F$57:$F$60,MATCH($B153,'Parametri Modello'!$A$57:$A$60,0))=0,0,($O153/INDEX('Parametri Modello'!$F$57:$F$60,MATCH($B153,'Parametri Modello'!$A$57:$A$60,0)))*((1-INDEX('Parametri Modello'!$D$57:$D$60,MATCH($B153,'Parametri Modello'!$A$57:$A$60,0)))*(INDEX('Parametri Modello'!$B$50:$B$53,MATCH($B153,'Parametri Modello'!$A$50:$A$53,0))*'Parametri Modello'!$B$44))))*(1+IF(IF($B153="D",'Info Lega'!$B$25,IF($B153="C",'Info Lega'!$B$26,"No"))="Si",'Parametri Modello'!$B$5,0))*(1+MAX(-0.25,MIN(0.25,IF(OR($T153="",$I153="",$I153=0,INDEX('Parametri Modello'!$B$19:$B$22,MATCH($B153,'Parametri Modello'!$A$19:$A$22,0))="",INDEX('Parametri Modello'!$B$19:$B$22,MATCH($B153,'Parametri Modello'!$A$19:$A$22,0))=0),0,(($T153-INDEX('Parametri Modello'!$B$19:$B$22,MATCH($B153,'Parametri Modello'!$A$19:$A$22,0)))/INDEX('Parametri Modello'!$B$19:$B$22,MATCH($B153,'Parametri Modello'!$A$19:$A$22,0)))*'Parametri Modello'!$B$9))))*(1+IF('Parametri Modello'!$B$27="Si",MAX(-'Parametri Modello'!$B$28,MIN('Parametri Modello'!$B$28*1.5,IF(OR(INDEX('Parametri Modello'!$F$32:$F$35,MATCH($B153,'Parametri Modello'!$A$32:$A$35,0))="",INDEX('Parametri Modello'!$F$32:$F$35,MATCH($B153,'Parametri Modello'!$A$32:$A$35,0))=0),0,(1/INDEX('Parametri Modello'!$F$32:$F$35,MATCH($B153,'Parametri Modello'!$A$32:$A$35,0))-1)*'Parametri Modello'!$B$28))),0)))*(1-INDEX('Parametri Modello'!$B$12:$B$15,MATCH($B153,'Parametri Modello'!$A$12:$A$15,0)))),0),"")</f>
        <v>3</v>
      </c>
      <c r="H153" s="27" t="n">
        <f aca="false">IFERROR(ROUND((IF($V153&lt;=INDEX('Parametri Modello'!$C$57:$C$60,MATCH($B153,'Parametri Modello'!$A$57:$A$60,0)),IF(INDEX('Parametri Modello'!$E$57:$E$60,MATCH($B153,'Parametri Modello'!$A$57:$A$60,0))=0,0,($O153/INDEX('Parametri Modello'!$E$57:$E$60,MATCH($B153,'Parametri Modello'!$A$57:$A$60,0)))*(INDEX('Parametri Modello'!$D$57:$D$60,MATCH($B153,'Parametri Modello'!$A$57:$A$60,0))*(INDEX('Parametri Modello'!$B$50:$B$53,MATCH($B153,'Parametri Modello'!$A$50:$A$53,0))*'Parametri Modello'!$B$44))),IF(INDEX('Parametri Modello'!$F$57:$F$60,MATCH($B153,'Parametri Modello'!$A$57:$A$60,0))=0,0,($O153/INDEX('Parametri Modello'!$F$57:$F$60,MATCH($B153,'Parametri Modello'!$A$57:$A$60,0)))*((1-INDEX('Parametri Modello'!$D$57:$D$60,MATCH($B153,'Parametri Modello'!$A$57:$A$60,0)))*(INDEX('Parametri Modello'!$B$50:$B$53,MATCH($B153,'Parametri Modello'!$A$50:$A$53,0))*'Parametri Modello'!$B$44))))*(1+IF(IF($B153="D",'Info Lega'!$B$25,IF($B153="C",'Info Lega'!$B$26,"No"))="Si",'Parametri Modello'!$B$5,0))*(1+MAX(-0.25,MIN(0.25,IF(OR($T153="",$I153="",$I153=0,INDEX('Parametri Modello'!$B$19:$B$22,MATCH($B153,'Parametri Modello'!$A$19:$A$22,0))="",INDEX('Parametri Modello'!$B$19:$B$22,MATCH($B153,'Parametri Modello'!$A$19:$A$22,0))=0),0,(($T153-INDEX('Parametri Modello'!$B$19:$B$22,MATCH($B153,'Parametri Modello'!$A$19:$A$22,0)))/INDEX('Parametri Modello'!$B$19:$B$22,MATCH($B153,'Parametri Modello'!$A$19:$A$22,0)))*'Parametri Modello'!$B$9))))*(1+IF('Parametri Modello'!$B$27="Si",MAX(-'Parametri Modello'!$B$28,MIN('Parametri Modello'!$B$28*1.5,IF(OR(INDEX('Parametri Modello'!$F$32:$F$35,MATCH($B153,'Parametri Modello'!$A$32:$A$35,0))="",INDEX('Parametri Modello'!$F$32:$F$35,MATCH($B153,'Parametri Modello'!$A$32:$A$35,0))=0),0,(1/INDEX('Parametri Modello'!$F$32:$F$35,MATCH($B153,'Parametri Modello'!$A$32:$A$35,0))-1)*'Parametri Modello'!$B$28))),0)))*(1+INDEX('Parametri Modello'!$B$12:$B$15,MATCH($B153,'Parametri Modello'!$A$12:$A$15,0))),0),"")</f>
        <v>4</v>
      </c>
      <c r="I153" s="26" t="n">
        <f aca="false">IFERROR(INDEX('Input Statistiche 2025_26'!$F$3:$F$665,MATCH($A153,'Input Statistiche 2025_26'!$A$3:$A$665,0)),"")</f>
        <v>32</v>
      </c>
      <c r="J153" s="26" t="n">
        <f aca="false">IFERROR(IF($I153="","",MAX(0,38-$I153)),"")</f>
        <v>6</v>
      </c>
      <c r="K153" s="26" t="n">
        <f aca="false">IFERROR(INDEX('Input Statistiche 2025_26'!$I$3:$I$665,MATCH($A153,'Input Statistiche 2025_26'!$A$3:$A$665,0)),"")</f>
        <v>1</v>
      </c>
      <c r="L153" s="26" t="n">
        <f aca="false">IFERROR(INDEX('Input Statistiche 2025_26'!$O$3:$O$665,MATCH($A153,'Input Statistiche 2025_26'!$A$3:$A$665,0)),"")</f>
        <v>2</v>
      </c>
      <c r="M153" s="28"/>
      <c r="N153" s="27" t="n">
        <f aca="false">IFERROR(INDEX('Input Giocatori 2026_27'!$E$3:$E$493,MATCH($A153,'Input Giocatori 2026_27'!$A$3:$A$493,0)),"")</f>
        <v>8</v>
      </c>
      <c r="O153" s="27" t="n">
        <f aca="false">IFERROR(INDEX('Input Giocatori 2026_27'!$G$3:$G$493,MATCH($A153,'Input Giocatori 2026_27'!$A$3:$A$493,0)),"")</f>
        <v>21</v>
      </c>
      <c r="P153" s="26" t="str">
        <f aca="false">IFERROR(IF($O153="","",IF((1-(COUNTIFS($B$2:$B$492,$B153,$O$2:$O$492,"&gt;"&amp;$O153)+1-1)/COUNTIF($B$2:$B$492,$B153))&gt;=0.85,"Top",IF((1-(COUNTIFS($B$2:$B$492,$B153,$O$2:$O$492,"&gt;"&amp;$O153)+1-1)/COUNTIF($B$2:$B$492,$B153))&gt;=0.6,"Buono",IF((1-(COUNTIFS($B$2:$B$492,$B153,$O$2:$O$492,"&gt;"&amp;$O153)+1-1)/COUNTIF($B$2:$B$492,$B153))&gt;=0.3,"Nella Media","Scommessa/Riserva")))),"")</f>
        <v>Buono</v>
      </c>
      <c r="Q153" s="29" t="n">
        <f aca="false">IF($D153="",COUNTIF($D$2:$D153,""),"")</f>
        <v>152</v>
      </c>
      <c r="R153" s="29" t="str">
        <f aca="false">IF($D153='Info Lega'!$B$28,COUNTIFS($D$2:$D153,'Info Lega'!$B$28),"")</f>
        <v/>
      </c>
      <c r="S153" s="30" t="n">
        <f aca="false">IFERROR(INDEX('Input Statistiche 2025_26'!$G$3:$G$665,MATCH($A153,'Input Statistiche 2025_26'!$A$3:$A$665,0)),"")</f>
        <v>6.17</v>
      </c>
      <c r="T153" s="30" t="n">
        <f aca="false">IFERROR(INDEX('Input Statistiche 2025_26'!$H$3:$H$665,MATCH($A153,'Input Statistiche 2025_26'!$A$3:$A$665,0)),"")</f>
        <v>6.27</v>
      </c>
      <c r="U153" s="26" t="str">
        <f aca="false">IF(OR('La Mia Rosa'!$O$12="",$D153&lt;&gt;""),"",IF($F153&lt;='La Mia Rosa'!$O$12*'Parametri Modello'!$B$24,"OK",IF($F153&lt;='La Mia Rosa'!$O$12*'Parametri Modello'!$B$25,"Attenzione","Rischio Alto")))</f>
        <v>OK</v>
      </c>
      <c r="V153" s="26" t="n">
        <f aca="false">IFERROR(COUNTIFS($B$2:$B$492,$B153,$O$2:$O$492,"&gt;"&amp;$O153)+1,"")</f>
        <v>36</v>
      </c>
      <c r="W153" s="21" t="n">
        <f aca="false">'Info Lega'!$B$4-SUMIFS($M$2:$M$492,$D$2:$D$492,'Info Lega'!$B$28)</f>
        <v>1000</v>
      </c>
      <c r="X153" s="21" t="n">
        <f aca="false">('Info Lega'!$B$5-COUNTIFS($D$2:$D$492,'Info Lega'!$B$28,$B$2:$B$492,"P"))+('Info Lega'!$B$6-COUNTIFS($D$2:$D$492,'Info Lega'!$B$28,$B$2:$B$492,"D"))+('Info Lega'!$B$7-COUNTIFS($D$2:$D$492,'Info Lega'!$B$28,$B$2:$B$492,"C"))+('Info Lega'!$B$8-COUNTIFS($D$2:$D$492,'Info Lega'!$B$28,$B$2:$B$492,"A"))</f>
        <v>25</v>
      </c>
      <c r="Y153" s="21" t="n">
        <f aca="false">X153*'Parametri Modello'!$B$30</f>
        <v>25</v>
      </c>
      <c r="Z153" s="21" t="n">
        <f aca="false">MAX(0,W153-Y153)</f>
        <v>975</v>
      </c>
      <c r="AA153" s="21" t="n">
        <f aca="false">MIN(F153,Z153)</f>
        <v>4</v>
      </c>
      <c r="AB153" s="21"/>
      <c r="AC153" s="21" t="str">
        <f aca="false">IF(AB153="","",IF(AB153&gt;AA153,"PASS",IF(AB153&lt;=AA153*0.85,"BID","ATTENZIONE")))</f>
        <v/>
      </c>
      <c r="AD153" s="31" t="n">
        <f aca="false">IF(I153="","",ROUND(100*(1-EXP(-I153/30)),0))</f>
        <v>66</v>
      </c>
      <c r="AE153" s="7" t="str">
        <f aca="false">IFERROR(INDEX('Stato Asta'!$G$9:$G$12,MATCH($B153,'Stato Asta'!$A$9:$A$12,0)),"")</f>
        <v>🟡 Attesa rischiosa</v>
      </c>
    </row>
    <row r="154" customFormat="false" ht="14.25" hidden="false" customHeight="true" outlineLevel="0" collapsed="false">
      <c r="A154" s="21" t="n">
        <v>6664</v>
      </c>
      <c r="B154" s="21" t="s">
        <v>44</v>
      </c>
      <c r="C154" s="21" t="s">
        <v>224</v>
      </c>
      <c r="E154" s="26" t="str">
        <f aca="false">IF(COUNTIF('Info Strategia'!$D$2:$D$51,$C154)&gt;0,"SI","NO")</f>
        <v>NO</v>
      </c>
      <c r="F154" s="27" t="n">
        <f aca="false">IFERROR(ROUND(($G154+($H154-$G154)*'Info Strategia'!$B$6)*(1+IF($E154="SI",'Parametri Modello'!$B$7*'Info Strategia'!$B$6,0)),0),"")</f>
        <v>4</v>
      </c>
      <c r="G154" s="27" t="n">
        <f aca="false">IFERROR(ROUND(MAX(1,(IF($V154&lt;=INDEX('Parametri Modello'!$C$57:$C$60,MATCH($B154,'Parametri Modello'!$A$57:$A$60,0)),IF(INDEX('Parametri Modello'!$E$57:$E$60,MATCH($B154,'Parametri Modello'!$A$57:$A$60,0))=0,0,($O154/INDEX('Parametri Modello'!$E$57:$E$60,MATCH($B154,'Parametri Modello'!$A$57:$A$60,0)))*(INDEX('Parametri Modello'!$D$57:$D$60,MATCH($B154,'Parametri Modello'!$A$57:$A$60,0))*(INDEX('Parametri Modello'!$B$50:$B$53,MATCH($B154,'Parametri Modello'!$A$50:$A$53,0))*'Parametri Modello'!$B$44))),IF(INDEX('Parametri Modello'!$F$57:$F$60,MATCH($B154,'Parametri Modello'!$A$57:$A$60,0))=0,0,($O154/INDEX('Parametri Modello'!$F$57:$F$60,MATCH($B154,'Parametri Modello'!$A$57:$A$60,0)))*((1-INDEX('Parametri Modello'!$D$57:$D$60,MATCH($B154,'Parametri Modello'!$A$57:$A$60,0)))*(INDEX('Parametri Modello'!$B$50:$B$53,MATCH($B154,'Parametri Modello'!$A$50:$A$53,0))*'Parametri Modello'!$B$44))))*(1+IF(IF($B154="D",'Info Lega'!$B$25,IF($B154="C",'Info Lega'!$B$26,"No"))="Si",'Parametri Modello'!$B$5,0))*(1+MAX(-0.25,MIN(0.25,IF(OR($T154="",$I154="",$I154=0,INDEX('Parametri Modello'!$B$19:$B$22,MATCH($B154,'Parametri Modello'!$A$19:$A$22,0))="",INDEX('Parametri Modello'!$B$19:$B$22,MATCH($B154,'Parametri Modello'!$A$19:$A$22,0))=0),0,(($T154-INDEX('Parametri Modello'!$B$19:$B$22,MATCH($B154,'Parametri Modello'!$A$19:$A$22,0)))/INDEX('Parametri Modello'!$B$19:$B$22,MATCH($B154,'Parametri Modello'!$A$19:$A$22,0)))*'Parametri Modello'!$B$9))))*(1+IF('Parametri Modello'!$B$27="Si",MAX(-'Parametri Modello'!$B$28,MIN('Parametri Modello'!$B$28*1.5,IF(OR(INDEX('Parametri Modello'!$F$32:$F$35,MATCH($B154,'Parametri Modello'!$A$32:$A$35,0))="",INDEX('Parametri Modello'!$F$32:$F$35,MATCH($B154,'Parametri Modello'!$A$32:$A$35,0))=0),0,(1/INDEX('Parametri Modello'!$F$32:$F$35,MATCH($B154,'Parametri Modello'!$A$32:$A$35,0))-1)*'Parametri Modello'!$B$28))),0)))*(1-INDEX('Parametri Modello'!$B$12:$B$15,MATCH($B154,'Parametri Modello'!$A$12:$A$15,0)))),0),"")</f>
        <v>3</v>
      </c>
      <c r="H154" s="27" t="n">
        <f aca="false">IFERROR(ROUND((IF($V154&lt;=INDEX('Parametri Modello'!$C$57:$C$60,MATCH($B154,'Parametri Modello'!$A$57:$A$60,0)),IF(INDEX('Parametri Modello'!$E$57:$E$60,MATCH($B154,'Parametri Modello'!$A$57:$A$60,0))=0,0,($O154/INDEX('Parametri Modello'!$E$57:$E$60,MATCH($B154,'Parametri Modello'!$A$57:$A$60,0)))*(INDEX('Parametri Modello'!$D$57:$D$60,MATCH($B154,'Parametri Modello'!$A$57:$A$60,0))*(INDEX('Parametri Modello'!$B$50:$B$53,MATCH($B154,'Parametri Modello'!$A$50:$A$53,0))*'Parametri Modello'!$B$44))),IF(INDEX('Parametri Modello'!$F$57:$F$60,MATCH($B154,'Parametri Modello'!$A$57:$A$60,0))=0,0,($O154/INDEX('Parametri Modello'!$F$57:$F$60,MATCH($B154,'Parametri Modello'!$A$57:$A$60,0)))*((1-INDEX('Parametri Modello'!$D$57:$D$60,MATCH($B154,'Parametri Modello'!$A$57:$A$60,0)))*(INDEX('Parametri Modello'!$B$50:$B$53,MATCH($B154,'Parametri Modello'!$A$50:$A$53,0))*'Parametri Modello'!$B$44))))*(1+IF(IF($B154="D",'Info Lega'!$B$25,IF($B154="C",'Info Lega'!$B$26,"No"))="Si",'Parametri Modello'!$B$5,0))*(1+MAX(-0.25,MIN(0.25,IF(OR($T154="",$I154="",$I154=0,INDEX('Parametri Modello'!$B$19:$B$22,MATCH($B154,'Parametri Modello'!$A$19:$A$22,0))="",INDEX('Parametri Modello'!$B$19:$B$22,MATCH($B154,'Parametri Modello'!$A$19:$A$22,0))=0),0,(($T154-INDEX('Parametri Modello'!$B$19:$B$22,MATCH($B154,'Parametri Modello'!$A$19:$A$22,0)))/INDEX('Parametri Modello'!$B$19:$B$22,MATCH($B154,'Parametri Modello'!$A$19:$A$22,0)))*'Parametri Modello'!$B$9))))*(1+IF('Parametri Modello'!$B$27="Si",MAX(-'Parametri Modello'!$B$28,MIN('Parametri Modello'!$B$28*1.5,IF(OR(INDEX('Parametri Modello'!$F$32:$F$35,MATCH($B154,'Parametri Modello'!$A$32:$A$35,0))="",INDEX('Parametri Modello'!$F$32:$F$35,MATCH($B154,'Parametri Modello'!$A$32:$A$35,0))=0),0,(1/INDEX('Parametri Modello'!$F$32:$F$35,MATCH($B154,'Parametri Modello'!$A$32:$A$35,0))-1)*'Parametri Modello'!$B$28))),0)))*(1+INDEX('Parametri Modello'!$B$12:$B$15,MATCH($B154,'Parametri Modello'!$A$12:$A$15,0))),0),"")</f>
        <v>4</v>
      </c>
      <c r="I154" s="26" t="n">
        <f aca="false">IFERROR(INDEX('Input Statistiche 2025_26'!$F$3:$F$665,MATCH($A154,'Input Statistiche 2025_26'!$A$3:$A$665,0)),"")</f>
        <v>35</v>
      </c>
      <c r="J154" s="26" t="n">
        <f aca="false">IFERROR(IF($I154="","",MAX(0,38-$I154)),"")</f>
        <v>3</v>
      </c>
      <c r="K154" s="26" t="n">
        <f aca="false">IFERROR(INDEX('Input Statistiche 2025_26'!$I$3:$I$665,MATCH($A154,'Input Statistiche 2025_26'!$A$3:$A$665,0)),"")</f>
        <v>2</v>
      </c>
      <c r="L154" s="26" t="n">
        <f aca="false">IFERROR(INDEX('Input Statistiche 2025_26'!$O$3:$O$665,MATCH($A154,'Input Statistiche 2025_26'!$A$3:$A$665,0)),"")</f>
        <v>0</v>
      </c>
      <c r="M154" s="28"/>
      <c r="N154" s="27" t="n">
        <f aca="false">IFERROR(INDEX('Input Giocatori 2026_27'!$E$3:$E$493,MATCH($A154,'Input Giocatori 2026_27'!$A$3:$A$493,0)),"")</f>
        <v>8</v>
      </c>
      <c r="O154" s="27" t="n">
        <f aca="false">IFERROR(INDEX('Input Giocatori 2026_27'!$G$3:$G$493,MATCH($A154,'Input Giocatori 2026_27'!$A$3:$A$493,0)),"")</f>
        <v>21</v>
      </c>
      <c r="P154" s="26" t="str">
        <f aca="false">IFERROR(IF($O154="","",IF((1-(COUNTIFS($B$2:$B$492,$B154,$O$2:$O$492,"&gt;"&amp;$O154)+1-1)/COUNTIF($B$2:$B$492,$B154))&gt;=0.85,"Top",IF((1-(COUNTIFS($B$2:$B$492,$B154,$O$2:$O$492,"&gt;"&amp;$O154)+1-1)/COUNTIF($B$2:$B$492,$B154))&gt;=0.6,"Buono",IF((1-(COUNTIFS($B$2:$B$492,$B154,$O$2:$O$492,"&gt;"&amp;$O154)+1-1)/COUNTIF($B$2:$B$492,$B154))&gt;=0.3,"Nella Media","Scommessa/Riserva")))),"")</f>
        <v>Buono</v>
      </c>
      <c r="Q154" s="29" t="n">
        <f aca="false">IF($D154="",COUNTIF($D$2:$D154,""),"")</f>
        <v>153</v>
      </c>
      <c r="R154" s="29" t="str">
        <f aca="false">IF($D154='Info Lega'!$B$28,COUNTIFS($D$2:$D154,'Info Lega'!$B$28),"")</f>
        <v/>
      </c>
      <c r="S154" s="30" t="n">
        <f aca="false">IFERROR(INDEX('Input Statistiche 2025_26'!$G$3:$G$665,MATCH($A154,'Input Statistiche 2025_26'!$A$3:$A$665,0)),"")</f>
        <v>5.91</v>
      </c>
      <c r="T154" s="30" t="n">
        <f aca="false">IFERROR(INDEX('Input Statistiche 2025_26'!$H$3:$H$665,MATCH($A154,'Input Statistiche 2025_26'!$A$3:$A$665,0)),"")</f>
        <v>6.01</v>
      </c>
      <c r="U154" s="26" t="str">
        <f aca="false">IF(OR('La Mia Rosa'!$O$12="",$D154&lt;&gt;""),"",IF($F154&lt;='La Mia Rosa'!$O$12*'Parametri Modello'!$B$24,"OK",IF($F154&lt;='La Mia Rosa'!$O$12*'Parametri Modello'!$B$25,"Attenzione","Rischio Alto")))</f>
        <v>OK</v>
      </c>
      <c r="V154" s="26" t="n">
        <f aca="false">IFERROR(COUNTIFS($B$2:$B$492,$B154,$O$2:$O$492,"&gt;"&amp;$O154)+1,"")</f>
        <v>36</v>
      </c>
      <c r="W154" s="21" t="n">
        <f aca="false">'Info Lega'!$B$4-SUMIFS($M$2:$M$492,$D$2:$D$492,'Info Lega'!$B$28)</f>
        <v>1000</v>
      </c>
      <c r="X154" s="21" t="n">
        <f aca="false">('Info Lega'!$B$5-COUNTIFS($D$2:$D$492,'Info Lega'!$B$28,$B$2:$B$492,"P"))+('Info Lega'!$B$6-COUNTIFS($D$2:$D$492,'Info Lega'!$B$28,$B$2:$B$492,"D"))+('Info Lega'!$B$7-COUNTIFS($D$2:$D$492,'Info Lega'!$B$28,$B$2:$B$492,"C"))+('Info Lega'!$B$8-COUNTIFS($D$2:$D$492,'Info Lega'!$B$28,$B$2:$B$492,"A"))</f>
        <v>25</v>
      </c>
      <c r="Y154" s="21" t="n">
        <f aca="false">X154*'Parametri Modello'!$B$30</f>
        <v>25</v>
      </c>
      <c r="Z154" s="21" t="n">
        <f aca="false">MAX(0,W154-Y154)</f>
        <v>975</v>
      </c>
      <c r="AA154" s="21" t="n">
        <f aca="false">MIN(F154,Z154)</f>
        <v>4</v>
      </c>
      <c r="AB154" s="21"/>
      <c r="AC154" s="21" t="str">
        <f aca="false">IF(AB154="","",IF(AB154&gt;AA154,"PASS",IF(AB154&lt;=AA154*0.85,"BID","ATTENZIONE")))</f>
        <v/>
      </c>
      <c r="AD154" s="31" t="n">
        <f aca="false">IF(I154="","",ROUND(100*(1-EXP(-I154/30)),0))</f>
        <v>69</v>
      </c>
      <c r="AE154" s="7" t="str">
        <f aca="false">IFERROR(INDEX('Stato Asta'!$G$9:$G$12,MATCH($B154,'Stato Asta'!$A$9:$A$12,0)),"")</f>
        <v>🟡 Attesa rischiosa</v>
      </c>
    </row>
    <row r="155" customFormat="false" ht="14.25" hidden="false" customHeight="true" outlineLevel="0" collapsed="false">
      <c r="A155" s="21" t="n">
        <v>184</v>
      </c>
      <c r="B155" s="21" t="s">
        <v>45</v>
      </c>
      <c r="C155" s="21" t="s">
        <v>402</v>
      </c>
      <c r="E155" s="26" t="str">
        <f aca="false">IF(COUNTIF('Info Strategia'!$D$2:$D$51,$C155)&gt;0,"SI","NO")</f>
        <v>NO</v>
      </c>
      <c r="F155" s="27" t="n">
        <f aca="false">IFERROR(ROUND(($G155+($H155-$G155)*'Info Strategia'!$B$6)*(1+IF($E155="SI",'Parametri Modello'!$B$7*'Info Strategia'!$B$6,0)),0),"")</f>
        <v>3</v>
      </c>
      <c r="G155" s="27" t="n">
        <f aca="false">IFERROR(ROUND(MAX(1,(IF($V155&lt;=INDEX('Parametri Modello'!$C$57:$C$60,MATCH($B155,'Parametri Modello'!$A$57:$A$60,0)),IF(INDEX('Parametri Modello'!$E$57:$E$60,MATCH($B155,'Parametri Modello'!$A$57:$A$60,0))=0,0,($O155/INDEX('Parametri Modello'!$E$57:$E$60,MATCH($B155,'Parametri Modello'!$A$57:$A$60,0)))*(INDEX('Parametri Modello'!$D$57:$D$60,MATCH($B155,'Parametri Modello'!$A$57:$A$60,0))*(INDEX('Parametri Modello'!$B$50:$B$53,MATCH($B155,'Parametri Modello'!$A$50:$A$53,0))*'Parametri Modello'!$B$44))),IF(INDEX('Parametri Modello'!$F$57:$F$60,MATCH($B155,'Parametri Modello'!$A$57:$A$60,0))=0,0,($O155/INDEX('Parametri Modello'!$F$57:$F$60,MATCH($B155,'Parametri Modello'!$A$57:$A$60,0)))*((1-INDEX('Parametri Modello'!$D$57:$D$60,MATCH($B155,'Parametri Modello'!$A$57:$A$60,0)))*(INDEX('Parametri Modello'!$B$50:$B$53,MATCH($B155,'Parametri Modello'!$A$50:$A$53,0))*'Parametri Modello'!$B$44))))*(1+IF(IF($B155="D",'Info Lega'!$B$25,IF($B155="C",'Info Lega'!$B$26,"No"))="Si",'Parametri Modello'!$B$5,0))*(1+MAX(-0.25,MIN(0.25,IF(OR($T155="",$I155="",$I155=0,INDEX('Parametri Modello'!$B$19:$B$22,MATCH($B155,'Parametri Modello'!$A$19:$A$22,0))="",INDEX('Parametri Modello'!$B$19:$B$22,MATCH($B155,'Parametri Modello'!$A$19:$A$22,0))=0),0,(($T155-INDEX('Parametri Modello'!$B$19:$B$22,MATCH($B155,'Parametri Modello'!$A$19:$A$22,0)))/INDEX('Parametri Modello'!$B$19:$B$22,MATCH($B155,'Parametri Modello'!$A$19:$A$22,0)))*'Parametri Modello'!$B$9))))*(1+IF('Parametri Modello'!$B$27="Si",MAX(-'Parametri Modello'!$B$28,MIN('Parametri Modello'!$B$28*1.5,IF(OR(INDEX('Parametri Modello'!$F$32:$F$35,MATCH($B155,'Parametri Modello'!$A$32:$A$35,0))="",INDEX('Parametri Modello'!$F$32:$F$35,MATCH($B155,'Parametri Modello'!$A$32:$A$35,0))=0),0,(1/INDEX('Parametri Modello'!$F$32:$F$35,MATCH($B155,'Parametri Modello'!$A$32:$A$35,0))-1)*'Parametri Modello'!$B$28))),0)))*(1-INDEX('Parametri Modello'!$B$12:$B$15,MATCH($B155,'Parametri Modello'!$A$12:$A$15,0)))),0),"")</f>
        <v>2</v>
      </c>
      <c r="H155" s="27" t="n">
        <f aca="false">IFERROR(ROUND((IF($V155&lt;=INDEX('Parametri Modello'!$C$57:$C$60,MATCH($B155,'Parametri Modello'!$A$57:$A$60,0)),IF(INDEX('Parametri Modello'!$E$57:$E$60,MATCH($B155,'Parametri Modello'!$A$57:$A$60,0))=0,0,($O155/INDEX('Parametri Modello'!$E$57:$E$60,MATCH($B155,'Parametri Modello'!$A$57:$A$60,0)))*(INDEX('Parametri Modello'!$D$57:$D$60,MATCH($B155,'Parametri Modello'!$A$57:$A$60,0))*(INDEX('Parametri Modello'!$B$50:$B$53,MATCH($B155,'Parametri Modello'!$A$50:$A$53,0))*'Parametri Modello'!$B$44))),IF(INDEX('Parametri Modello'!$F$57:$F$60,MATCH($B155,'Parametri Modello'!$A$57:$A$60,0))=0,0,($O155/INDEX('Parametri Modello'!$F$57:$F$60,MATCH($B155,'Parametri Modello'!$A$57:$A$60,0)))*((1-INDEX('Parametri Modello'!$D$57:$D$60,MATCH($B155,'Parametri Modello'!$A$57:$A$60,0)))*(INDEX('Parametri Modello'!$B$50:$B$53,MATCH($B155,'Parametri Modello'!$A$50:$A$53,0))*'Parametri Modello'!$B$44))))*(1+IF(IF($B155="D",'Info Lega'!$B$25,IF($B155="C",'Info Lega'!$B$26,"No"))="Si",'Parametri Modello'!$B$5,0))*(1+MAX(-0.25,MIN(0.25,IF(OR($T155="",$I155="",$I155=0,INDEX('Parametri Modello'!$B$19:$B$22,MATCH($B155,'Parametri Modello'!$A$19:$A$22,0))="",INDEX('Parametri Modello'!$B$19:$B$22,MATCH($B155,'Parametri Modello'!$A$19:$A$22,0))=0),0,(($T155-INDEX('Parametri Modello'!$B$19:$B$22,MATCH($B155,'Parametri Modello'!$A$19:$A$22,0)))/INDEX('Parametri Modello'!$B$19:$B$22,MATCH($B155,'Parametri Modello'!$A$19:$A$22,0)))*'Parametri Modello'!$B$9))))*(1+IF('Parametri Modello'!$B$27="Si",MAX(-'Parametri Modello'!$B$28,MIN('Parametri Modello'!$B$28*1.5,IF(OR(INDEX('Parametri Modello'!$F$32:$F$35,MATCH($B155,'Parametri Modello'!$A$32:$A$35,0))="",INDEX('Parametri Modello'!$F$32:$F$35,MATCH($B155,'Parametri Modello'!$A$32:$A$35,0))=0),0,(1/INDEX('Parametri Modello'!$F$32:$F$35,MATCH($B155,'Parametri Modello'!$A$32:$A$35,0))-1)*'Parametri Modello'!$B$28))),0)))*(1+INDEX('Parametri Modello'!$B$12:$B$15,MATCH($B155,'Parametri Modello'!$A$12:$A$15,0))),0),"")</f>
        <v>3</v>
      </c>
      <c r="I155" s="26" t="n">
        <f aca="false">IFERROR(INDEX('Input Statistiche 2025_26'!$F$3:$F$665,MATCH($A155,'Input Statistiche 2025_26'!$A$3:$A$665,0)),"")</f>
        <v>24</v>
      </c>
      <c r="J155" s="26" t="n">
        <f aca="false">IFERROR(IF($I155="","",MAX(0,38-$I155)),"")</f>
        <v>14</v>
      </c>
      <c r="K155" s="26" t="n">
        <f aca="false">IFERROR(INDEX('Input Statistiche 2025_26'!$I$3:$I$665,MATCH($A155,'Input Statistiche 2025_26'!$A$3:$A$665,0)),"")</f>
        <v>4</v>
      </c>
      <c r="L155" s="26" t="n">
        <f aca="false">IFERROR(INDEX('Input Statistiche 2025_26'!$O$3:$O$665,MATCH($A155,'Input Statistiche 2025_26'!$A$3:$A$665,0)),"")</f>
        <v>2</v>
      </c>
      <c r="M155" s="28"/>
      <c r="N155" s="27" t="n">
        <f aca="false">IFERROR(INDEX('Input Giocatori 2026_27'!$E$3:$E$493,MATCH($A155,'Input Giocatori 2026_27'!$A$3:$A$493,0)),"")</f>
        <v>9</v>
      </c>
      <c r="O155" s="27" t="n">
        <f aca="false">IFERROR(INDEX('Input Giocatori 2026_27'!$G$3:$G$493,MATCH($A155,'Input Giocatori 2026_27'!$A$3:$A$493,0)),"")</f>
        <v>21</v>
      </c>
      <c r="P155" s="26" t="str">
        <f aca="false">IFERROR(IF($O155="","",IF((1-(COUNTIFS($B$2:$B$492,$B155,$O$2:$O$492,"&gt;"&amp;$O155)+1-1)/COUNTIF($B$2:$B$492,$B155))&gt;=0.85,"Top",IF((1-(COUNTIFS($B$2:$B$492,$B155,$O$2:$O$492,"&gt;"&amp;$O155)+1-1)/COUNTIF($B$2:$B$492,$B155))&gt;=0.6,"Buono",IF((1-(COUNTIFS($B$2:$B$492,$B155,$O$2:$O$492,"&gt;"&amp;$O155)+1-1)/COUNTIF($B$2:$B$492,$B155))&gt;=0.3,"Nella Media","Scommessa/Riserva")))),"")</f>
        <v>Buono</v>
      </c>
      <c r="Q155" s="29" t="n">
        <f aca="false">IF($D155="",COUNTIF($D$2:$D155,""),"")</f>
        <v>154</v>
      </c>
      <c r="R155" s="29" t="str">
        <f aca="false">IF($D155='Info Lega'!$B$28,COUNTIFS($D$2:$D155,'Info Lega'!$B$28),"")</f>
        <v/>
      </c>
      <c r="S155" s="30" t="n">
        <f aca="false">IFERROR(INDEX('Input Statistiche 2025_26'!$G$3:$G$665,MATCH($A155,'Input Statistiche 2025_26'!$A$3:$A$665,0)),"")</f>
        <v>6.04</v>
      </c>
      <c r="T155" s="30" t="n">
        <f aca="false">IFERROR(INDEX('Input Statistiche 2025_26'!$H$3:$H$665,MATCH($A155,'Input Statistiche 2025_26'!$A$3:$A$665,0)),"")</f>
        <v>6.56</v>
      </c>
      <c r="U155" s="26" t="str">
        <f aca="false">IF(OR('La Mia Rosa'!$O$12="",$D155&lt;&gt;""),"",IF($F155&lt;='La Mia Rosa'!$O$12*'Parametri Modello'!$B$24,"OK",IF($F155&lt;='La Mia Rosa'!$O$12*'Parametri Modello'!$B$25,"Attenzione","Rischio Alto")))</f>
        <v>OK</v>
      </c>
      <c r="V155" s="26" t="n">
        <f aca="false">IFERROR(COUNTIFS($B$2:$B$492,$B155,$O$2:$O$492,"&gt;"&amp;$O155)+1,"")</f>
        <v>58</v>
      </c>
      <c r="W155" s="21" t="n">
        <f aca="false">'Info Lega'!$B$4-SUMIFS($M$2:$M$492,$D$2:$D$492,'Info Lega'!$B$28)</f>
        <v>1000</v>
      </c>
      <c r="X155" s="21" t="n">
        <f aca="false">('Info Lega'!$B$5-COUNTIFS($D$2:$D$492,'Info Lega'!$B$28,$B$2:$B$492,"P"))+('Info Lega'!$B$6-COUNTIFS($D$2:$D$492,'Info Lega'!$B$28,$B$2:$B$492,"D"))+('Info Lega'!$B$7-COUNTIFS($D$2:$D$492,'Info Lega'!$B$28,$B$2:$B$492,"C"))+('Info Lega'!$B$8-COUNTIFS($D$2:$D$492,'Info Lega'!$B$28,$B$2:$B$492,"A"))</f>
        <v>25</v>
      </c>
      <c r="Y155" s="21" t="n">
        <f aca="false">X155*'Parametri Modello'!$B$30</f>
        <v>25</v>
      </c>
      <c r="Z155" s="21" t="n">
        <f aca="false">MAX(0,W155-Y155)</f>
        <v>975</v>
      </c>
      <c r="AA155" s="21" t="n">
        <f aca="false">MIN(F155,Z155)</f>
        <v>3</v>
      </c>
      <c r="AB155" s="21"/>
      <c r="AC155" s="21" t="str">
        <f aca="false">IF(AB155="","",IF(AB155&gt;AA155,"PASS",IF(AB155&lt;=AA155*0.85,"BID","ATTENZIONE")))</f>
        <v/>
      </c>
      <c r="AD155" s="31" t="n">
        <f aca="false">IF(I155="","",ROUND(100*(1-EXP(-I155/30)),0))</f>
        <v>55</v>
      </c>
      <c r="AE155" s="7" t="str">
        <f aca="false">IFERROR(INDEX('Stato Asta'!$G$9:$G$12,MATCH($B155,'Stato Asta'!$A$9:$A$12,0)),"")</f>
        <v>🟡 Attesa rischiosa</v>
      </c>
    </row>
    <row r="156" customFormat="false" ht="14.25" hidden="false" customHeight="true" outlineLevel="0" collapsed="false">
      <c r="A156" s="21" t="n">
        <v>5422</v>
      </c>
      <c r="B156" s="21" t="s">
        <v>45</v>
      </c>
      <c r="C156" s="21" t="s">
        <v>429</v>
      </c>
      <c r="E156" s="26" t="str">
        <f aca="false">IF(COUNTIF('Info Strategia'!$D$2:$D$51,$C156)&gt;0,"SI","NO")</f>
        <v>NO</v>
      </c>
      <c r="F156" s="27" t="n">
        <f aca="false">IFERROR(ROUND(($G156+($H156-$G156)*'Info Strategia'!$B$6)*(1+IF($E156="SI",'Parametri Modello'!$B$7*'Info Strategia'!$B$6,0)),0),"")</f>
        <v>3</v>
      </c>
      <c r="G156" s="27" t="n">
        <f aca="false">IFERROR(ROUND(MAX(1,(IF($V156&lt;=INDEX('Parametri Modello'!$C$57:$C$60,MATCH($B156,'Parametri Modello'!$A$57:$A$60,0)),IF(INDEX('Parametri Modello'!$E$57:$E$60,MATCH($B156,'Parametri Modello'!$A$57:$A$60,0))=0,0,($O156/INDEX('Parametri Modello'!$E$57:$E$60,MATCH($B156,'Parametri Modello'!$A$57:$A$60,0)))*(INDEX('Parametri Modello'!$D$57:$D$60,MATCH($B156,'Parametri Modello'!$A$57:$A$60,0))*(INDEX('Parametri Modello'!$B$50:$B$53,MATCH($B156,'Parametri Modello'!$A$50:$A$53,0))*'Parametri Modello'!$B$44))),IF(INDEX('Parametri Modello'!$F$57:$F$60,MATCH($B156,'Parametri Modello'!$A$57:$A$60,0))=0,0,($O156/INDEX('Parametri Modello'!$F$57:$F$60,MATCH($B156,'Parametri Modello'!$A$57:$A$60,0)))*((1-INDEX('Parametri Modello'!$D$57:$D$60,MATCH($B156,'Parametri Modello'!$A$57:$A$60,0)))*(INDEX('Parametri Modello'!$B$50:$B$53,MATCH($B156,'Parametri Modello'!$A$50:$A$53,0))*'Parametri Modello'!$B$44))))*(1+IF(IF($B156="D",'Info Lega'!$B$25,IF($B156="C",'Info Lega'!$B$26,"No"))="Si",'Parametri Modello'!$B$5,0))*(1+MAX(-0.25,MIN(0.25,IF(OR($T156="",$I156="",$I156=0,INDEX('Parametri Modello'!$B$19:$B$22,MATCH($B156,'Parametri Modello'!$A$19:$A$22,0))="",INDEX('Parametri Modello'!$B$19:$B$22,MATCH($B156,'Parametri Modello'!$A$19:$A$22,0))=0),0,(($T156-INDEX('Parametri Modello'!$B$19:$B$22,MATCH($B156,'Parametri Modello'!$A$19:$A$22,0)))/INDEX('Parametri Modello'!$B$19:$B$22,MATCH($B156,'Parametri Modello'!$A$19:$A$22,0)))*'Parametri Modello'!$B$9))))*(1+IF('Parametri Modello'!$B$27="Si",MAX(-'Parametri Modello'!$B$28,MIN('Parametri Modello'!$B$28*1.5,IF(OR(INDEX('Parametri Modello'!$F$32:$F$35,MATCH($B156,'Parametri Modello'!$A$32:$A$35,0))="",INDEX('Parametri Modello'!$F$32:$F$35,MATCH($B156,'Parametri Modello'!$A$32:$A$35,0))=0),0,(1/INDEX('Parametri Modello'!$F$32:$F$35,MATCH($B156,'Parametri Modello'!$A$32:$A$35,0))-1)*'Parametri Modello'!$B$28))),0)))*(1-INDEX('Parametri Modello'!$B$12:$B$15,MATCH($B156,'Parametri Modello'!$A$12:$A$15,0)))),0),"")</f>
        <v>2</v>
      </c>
      <c r="H156" s="27" t="n">
        <f aca="false">IFERROR(ROUND((IF($V156&lt;=INDEX('Parametri Modello'!$C$57:$C$60,MATCH($B156,'Parametri Modello'!$A$57:$A$60,0)),IF(INDEX('Parametri Modello'!$E$57:$E$60,MATCH($B156,'Parametri Modello'!$A$57:$A$60,0))=0,0,($O156/INDEX('Parametri Modello'!$E$57:$E$60,MATCH($B156,'Parametri Modello'!$A$57:$A$60,0)))*(INDEX('Parametri Modello'!$D$57:$D$60,MATCH($B156,'Parametri Modello'!$A$57:$A$60,0))*(INDEX('Parametri Modello'!$B$50:$B$53,MATCH($B156,'Parametri Modello'!$A$50:$A$53,0))*'Parametri Modello'!$B$44))),IF(INDEX('Parametri Modello'!$F$57:$F$60,MATCH($B156,'Parametri Modello'!$A$57:$A$60,0))=0,0,($O156/INDEX('Parametri Modello'!$F$57:$F$60,MATCH($B156,'Parametri Modello'!$A$57:$A$60,0)))*((1-INDEX('Parametri Modello'!$D$57:$D$60,MATCH($B156,'Parametri Modello'!$A$57:$A$60,0)))*(INDEX('Parametri Modello'!$B$50:$B$53,MATCH($B156,'Parametri Modello'!$A$50:$A$53,0))*'Parametri Modello'!$B$44))))*(1+IF(IF($B156="D",'Info Lega'!$B$25,IF($B156="C",'Info Lega'!$B$26,"No"))="Si",'Parametri Modello'!$B$5,0))*(1+MAX(-0.25,MIN(0.25,IF(OR($T156="",$I156="",$I156=0,INDEX('Parametri Modello'!$B$19:$B$22,MATCH($B156,'Parametri Modello'!$A$19:$A$22,0))="",INDEX('Parametri Modello'!$B$19:$B$22,MATCH($B156,'Parametri Modello'!$A$19:$A$22,0))=0),0,(($T156-INDEX('Parametri Modello'!$B$19:$B$22,MATCH($B156,'Parametri Modello'!$A$19:$A$22,0)))/INDEX('Parametri Modello'!$B$19:$B$22,MATCH($B156,'Parametri Modello'!$A$19:$A$22,0)))*'Parametri Modello'!$B$9))))*(1+IF('Parametri Modello'!$B$27="Si",MAX(-'Parametri Modello'!$B$28,MIN('Parametri Modello'!$B$28*1.5,IF(OR(INDEX('Parametri Modello'!$F$32:$F$35,MATCH($B156,'Parametri Modello'!$A$32:$A$35,0))="",INDEX('Parametri Modello'!$F$32:$F$35,MATCH($B156,'Parametri Modello'!$A$32:$A$35,0))=0),0,(1/INDEX('Parametri Modello'!$F$32:$F$35,MATCH($B156,'Parametri Modello'!$A$32:$A$35,0))-1)*'Parametri Modello'!$B$28))),0)))*(1+INDEX('Parametri Modello'!$B$12:$B$15,MATCH($B156,'Parametri Modello'!$A$12:$A$15,0))),0),"")</f>
        <v>3</v>
      </c>
      <c r="I156" s="26" t="n">
        <f aca="false">IFERROR(INDEX('Input Statistiche 2025_26'!$F$3:$F$665,MATCH($A156,'Input Statistiche 2025_26'!$A$3:$A$665,0)),"")</f>
        <v>31</v>
      </c>
      <c r="J156" s="26" t="n">
        <f aca="false">IFERROR(IF($I156="","",MAX(0,38-$I156)),"")</f>
        <v>7</v>
      </c>
      <c r="K156" s="26" t="n">
        <f aca="false">IFERROR(INDEX('Input Statistiche 2025_26'!$I$3:$I$665,MATCH($A156,'Input Statistiche 2025_26'!$A$3:$A$665,0)),"")</f>
        <v>2</v>
      </c>
      <c r="L156" s="26" t="n">
        <f aca="false">IFERROR(INDEX('Input Statistiche 2025_26'!$O$3:$O$665,MATCH($A156,'Input Statistiche 2025_26'!$A$3:$A$665,0)),"")</f>
        <v>5</v>
      </c>
      <c r="M156" s="28"/>
      <c r="N156" s="27" t="n">
        <f aca="false">IFERROR(INDEX('Input Giocatori 2026_27'!$E$3:$E$493,MATCH($A156,'Input Giocatori 2026_27'!$A$3:$A$493,0)),"")</f>
        <v>6</v>
      </c>
      <c r="O156" s="27" t="n">
        <f aca="false">IFERROR(INDEX('Input Giocatori 2026_27'!$G$3:$G$493,MATCH($A156,'Input Giocatori 2026_27'!$A$3:$A$493,0)),"")</f>
        <v>21</v>
      </c>
      <c r="P156" s="26" t="str">
        <f aca="false">IFERROR(IF($O156="","",IF((1-(COUNTIFS($B$2:$B$492,$B156,$O$2:$O$492,"&gt;"&amp;$O156)+1-1)/COUNTIF($B$2:$B$492,$B156))&gt;=0.85,"Top",IF((1-(COUNTIFS($B$2:$B$492,$B156,$O$2:$O$492,"&gt;"&amp;$O156)+1-1)/COUNTIF($B$2:$B$492,$B156))&gt;=0.6,"Buono",IF((1-(COUNTIFS($B$2:$B$492,$B156,$O$2:$O$492,"&gt;"&amp;$O156)+1-1)/COUNTIF($B$2:$B$492,$B156))&gt;=0.3,"Nella Media","Scommessa/Riserva")))),"")</f>
        <v>Buono</v>
      </c>
      <c r="Q156" s="29" t="n">
        <f aca="false">IF($D156="",COUNTIF($D$2:$D156,""),"")</f>
        <v>155</v>
      </c>
      <c r="R156" s="29" t="str">
        <f aca="false">IF($D156='Info Lega'!$B$28,COUNTIFS($D$2:$D156,'Info Lega'!$B$28),"")</f>
        <v/>
      </c>
      <c r="S156" s="30" t="n">
        <f aca="false">IFERROR(INDEX('Input Statistiche 2025_26'!$G$3:$G$665,MATCH($A156,'Input Statistiche 2025_26'!$A$3:$A$665,0)),"")</f>
        <v>6.1</v>
      </c>
      <c r="T156" s="30" t="n">
        <f aca="false">IFERROR(INDEX('Input Statistiche 2025_26'!$H$3:$H$665,MATCH($A156,'Input Statistiche 2025_26'!$A$3:$A$665,0)),"")</f>
        <v>6.4</v>
      </c>
      <c r="U156" s="26" t="str">
        <f aca="false">IF(OR('La Mia Rosa'!$O$12="",$D156&lt;&gt;""),"",IF($F156&lt;='La Mia Rosa'!$O$12*'Parametri Modello'!$B$24,"OK",IF($F156&lt;='La Mia Rosa'!$O$12*'Parametri Modello'!$B$25,"Attenzione","Rischio Alto")))</f>
        <v>OK</v>
      </c>
      <c r="V156" s="26" t="n">
        <f aca="false">IFERROR(COUNTIFS($B$2:$B$492,$B156,$O$2:$O$492,"&gt;"&amp;$O156)+1,"")</f>
        <v>58</v>
      </c>
      <c r="W156" s="21" t="n">
        <f aca="false">'Info Lega'!$B$4-SUMIFS($M$2:$M$492,$D$2:$D$492,'Info Lega'!$B$28)</f>
        <v>1000</v>
      </c>
      <c r="X156" s="21" t="n">
        <f aca="false">('Info Lega'!$B$5-COUNTIFS($D$2:$D$492,'Info Lega'!$B$28,$B$2:$B$492,"P"))+('Info Lega'!$B$6-COUNTIFS($D$2:$D$492,'Info Lega'!$B$28,$B$2:$B$492,"D"))+('Info Lega'!$B$7-COUNTIFS($D$2:$D$492,'Info Lega'!$B$28,$B$2:$B$492,"C"))+('Info Lega'!$B$8-COUNTIFS($D$2:$D$492,'Info Lega'!$B$28,$B$2:$B$492,"A"))</f>
        <v>25</v>
      </c>
      <c r="Y156" s="21" t="n">
        <f aca="false">X156*'Parametri Modello'!$B$30</f>
        <v>25</v>
      </c>
      <c r="Z156" s="21" t="n">
        <f aca="false">MAX(0,W156-Y156)</f>
        <v>975</v>
      </c>
      <c r="AA156" s="21" t="n">
        <f aca="false">MIN(F156,Z156)</f>
        <v>3</v>
      </c>
      <c r="AB156" s="21"/>
      <c r="AC156" s="21" t="str">
        <f aca="false">IF(AB156="","",IF(AB156&gt;AA156,"PASS",IF(AB156&lt;=AA156*0.85,"BID","ATTENZIONE")))</f>
        <v/>
      </c>
      <c r="AD156" s="31" t="n">
        <f aca="false">IF(I156="","",ROUND(100*(1-EXP(-I156/30)),0))</f>
        <v>64</v>
      </c>
      <c r="AE156" s="7" t="str">
        <f aca="false">IFERROR(INDEX('Stato Asta'!$G$9:$G$12,MATCH($B156,'Stato Asta'!$A$9:$A$12,0)),"")</f>
        <v>🟡 Attesa rischiosa</v>
      </c>
    </row>
    <row r="157" customFormat="false" ht="14.25" hidden="false" customHeight="true" outlineLevel="0" collapsed="false">
      <c r="A157" s="21" t="n">
        <v>6669</v>
      </c>
      <c r="B157" s="21" t="s">
        <v>46</v>
      </c>
      <c r="C157" s="21" t="s">
        <v>584</v>
      </c>
      <c r="E157" s="26" t="str">
        <f aca="false">IF(COUNTIF('Info Strategia'!$D$2:$D$51,$C157)&gt;0,"SI","NO")</f>
        <v>NO</v>
      </c>
      <c r="F157" s="27" t="n">
        <f aca="false">IFERROR(ROUND(($G157+($H157-$G157)*'Info Strategia'!$B$6)*(1+IF($E157="SI",'Parametri Modello'!$B$7*'Info Strategia'!$B$6,0)),0),"")</f>
        <v>7</v>
      </c>
      <c r="G157" s="27" t="n">
        <f aca="false">IFERROR(ROUND(MAX(1,(IF($V157&lt;=INDEX('Parametri Modello'!$C$57:$C$60,MATCH($B157,'Parametri Modello'!$A$57:$A$60,0)),IF(INDEX('Parametri Modello'!$E$57:$E$60,MATCH($B157,'Parametri Modello'!$A$57:$A$60,0))=0,0,($O157/INDEX('Parametri Modello'!$E$57:$E$60,MATCH($B157,'Parametri Modello'!$A$57:$A$60,0)))*(INDEX('Parametri Modello'!$D$57:$D$60,MATCH($B157,'Parametri Modello'!$A$57:$A$60,0))*(INDEX('Parametri Modello'!$B$50:$B$53,MATCH($B157,'Parametri Modello'!$A$50:$A$53,0))*'Parametri Modello'!$B$44))),IF(INDEX('Parametri Modello'!$F$57:$F$60,MATCH($B157,'Parametri Modello'!$A$57:$A$60,0))=0,0,($O157/INDEX('Parametri Modello'!$F$57:$F$60,MATCH($B157,'Parametri Modello'!$A$57:$A$60,0)))*((1-INDEX('Parametri Modello'!$D$57:$D$60,MATCH($B157,'Parametri Modello'!$A$57:$A$60,0)))*(INDEX('Parametri Modello'!$B$50:$B$53,MATCH($B157,'Parametri Modello'!$A$50:$A$53,0))*'Parametri Modello'!$B$44))))*(1+IF(IF($B157="D",'Info Lega'!$B$25,IF($B157="C",'Info Lega'!$B$26,"No"))="Si",'Parametri Modello'!$B$5,0))*(1+MAX(-0.25,MIN(0.25,IF(OR($T157="",$I157="",$I157=0,INDEX('Parametri Modello'!$B$19:$B$22,MATCH($B157,'Parametri Modello'!$A$19:$A$22,0))="",INDEX('Parametri Modello'!$B$19:$B$22,MATCH($B157,'Parametri Modello'!$A$19:$A$22,0))=0),0,(($T157-INDEX('Parametri Modello'!$B$19:$B$22,MATCH($B157,'Parametri Modello'!$A$19:$A$22,0)))/INDEX('Parametri Modello'!$B$19:$B$22,MATCH($B157,'Parametri Modello'!$A$19:$A$22,0)))*'Parametri Modello'!$B$9))))*(1+IF('Parametri Modello'!$B$27="Si",MAX(-'Parametri Modello'!$B$28,MIN('Parametri Modello'!$B$28*1.5,IF(OR(INDEX('Parametri Modello'!$F$32:$F$35,MATCH($B157,'Parametri Modello'!$A$32:$A$35,0))="",INDEX('Parametri Modello'!$F$32:$F$35,MATCH($B157,'Parametri Modello'!$A$32:$A$35,0))=0),0,(1/INDEX('Parametri Modello'!$F$32:$F$35,MATCH($B157,'Parametri Modello'!$A$32:$A$35,0))-1)*'Parametri Modello'!$B$28))),0)))*(1-INDEX('Parametri Modello'!$B$12:$B$15,MATCH($B157,'Parametri Modello'!$A$12:$A$15,0)))),0),"")</f>
        <v>4</v>
      </c>
      <c r="H157" s="27" t="n">
        <f aca="false">IFERROR(ROUND((IF($V157&lt;=INDEX('Parametri Modello'!$C$57:$C$60,MATCH($B157,'Parametri Modello'!$A$57:$A$60,0)),IF(INDEX('Parametri Modello'!$E$57:$E$60,MATCH($B157,'Parametri Modello'!$A$57:$A$60,0))=0,0,($O157/INDEX('Parametri Modello'!$E$57:$E$60,MATCH($B157,'Parametri Modello'!$A$57:$A$60,0)))*(INDEX('Parametri Modello'!$D$57:$D$60,MATCH($B157,'Parametri Modello'!$A$57:$A$60,0))*(INDEX('Parametri Modello'!$B$50:$B$53,MATCH($B157,'Parametri Modello'!$A$50:$A$53,0))*'Parametri Modello'!$B$44))),IF(INDEX('Parametri Modello'!$F$57:$F$60,MATCH($B157,'Parametri Modello'!$A$57:$A$60,0))=0,0,($O157/INDEX('Parametri Modello'!$F$57:$F$60,MATCH($B157,'Parametri Modello'!$A$57:$A$60,0)))*((1-INDEX('Parametri Modello'!$D$57:$D$60,MATCH($B157,'Parametri Modello'!$A$57:$A$60,0)))*(INDEX('Parametri Modello'!$B$50:$B$53,MATCH($B157,'Parametri Modello'!$A$50:$A$53,0))*'Parametri Modello'!$B$44))))*(1+IF(IF($B157="D",'Info Lega'!$B$25,IF($B157="C",'Info Lega'!$B$26,"No"))="Si",'Parametri Modello'!$B$5,0))*(1+MAX(-0.25,MIN(0.25,IF(OR($T157="",$I157="",$I157=0,INDEX('Parametri Modello'!$B$19:$B$22,MATCH($B157,'Parametri Modello'!$A$19:$A$22,0))="",INDEX('Parametri Modello'!$B$19:$B$22,MATCH($B157,'Parametri Modello'!$A$19:$A$22,0))=0),0,(($T157-INDEX('Parametri Modello'!$B$19:$B$22,MATCH($B157,'Parametri Modello'!$A$19:$A$22,0)))/INDEX('Parametri Modello'!$B$19:$B$22,MATCH($B157,'Parametri Modello'!$A$19:$A$22,0)))*'Parametri Modello'!$B$9))))*(1+IF('Parametri Modello'!$B$27="Si",MAX(-'Parametri Modello'!$B$28,MIN('Parametri Modello'!$B$28*1.5,IF(OR(INDEX('Parametri Modello'!$F$32:$F$35,MATCH($B157,'Parametri Modello'!$A$32:$A$35,0))="",INDEX('Parametri Modello'!$F$32:$F$35,MATCH($B157,'Parametri Modello'!$A$32:$A$35,0))=0),0,(1/INDEX('Parametri Modello'!$F$32:$F$35,MATCH($B157,'Parametri Modello'!$A$32:$A$35,0))-1)*'Parametri Modello'!$B$28))),0)))*(1+INDEX('Parametri Modello'!$B$12:$B$15,MATCH($B157,'Parametri Modello'!$A$12:$A$15,0))),0),"")</f>
        <v>8</v>
      </c>
      <c r="I157" s="26" t="n">
        <f aca="false">IFERROR(INDEX('Input Statistiche 2025_26'!$F$3:$F$665,MATCH($A157,'Input Statistiche 2025_26'!$A$3:$A$665,0)),"")</f>
        <v>27</v>
      </c>
      <c r="J157" s="26" t="n">
        <f aca="false">IFERROR(IF($I157="","",MAX(0,38-$I157)),"")</f>
        <v>11</v>
      </c>
      <c r="K157" s="26" t="n">
        <f aca="false">IFERROR(INDEX('Input Statistiche 2025_26'!$I$3:$I$665,MATCH($A157,'Input Statistiche 2025_26'!$A$3:$A$665,0)),"")</f>
        <v>5</v>
      </c>
      <c r="L157" s="26" t="n">
        <f aca="false">IFERROR(INDEX('Input Statistiche 2025_26'!$O$3:$O$665,MATCH($A157,'Input Statistiche 2025_26'!$A$3:$A$665,0)),"")</f>
        <v>4</v>
      </c>
      <c r="M157" s="28"/>
      <c r="N157" s="27" t="n">
        <f aca="false">IFERROR(INDEX('Input Giocatori 2026_27'!$E$3:$E$493,MATCH($A157,'Input Giocatori 2026_27'!$A$3:$A$493,0)),"")</f>
        <v>7</v>
      </c>
      <c r="O157" s="27" t="n">
        <f aca="false">IFERROR(INDEX('Input Giocatori 2026_27'!$G$3:$G$493,MATCH($A157,'Input Giocatori 2026_27'!$A$3:$A$493,0)),"")</f>
        <v>21</v>
      </c>
      <c r="P157" s="26" t="str">
        <f aca="false">IFERROR(IF($O157="","",IF((1-(COUNTIFS($B$2:$B$492,$B157,$O$2:$O$492,"&gt;"&amp;$O157)+1-1)/COUNTIF($B$2:$B$492,$B157))&gt;=0.85,"Top",IF((1-(COUNTIFS($B$2:$B$492,$B157,$O$2:$O$492,"&gt;"&amp;$O157)+1-1)/COUNTIF($B$2:$B$492,$B157))&gt;=0.6,"Buono",IF((1-(COUNTIFS($B$2:$B$492,$B157,$O$2:$O$492,"&gt;"&amp;$O157)+1-1)/COUNTIF($B$2:$B$492,$B157))&gt;=0.3,"Nella Media","Scommessa/Riserva")))),"")</f>
        <v>Nella Media</v>
      </c>
      <c r="Q157" s="29" t="n">
        <f aca="false">IF($D157="",COUNTIF($D$2:$D157,""),"")</f>
        <v>156</v>
      </c>
      <c r="R157" s="29" t="str">
        <f aca="false">IF($D157='Info Lega'!$B$28,COUNTIFS($D$2:$D157,'Info Lega'!$B$28),"")</f>
        <v/>
      </c>
      <c r="S157" s="30" t="n">
        <f aca="false">IFERROR(INDEX('Input Statistiche 2025_26'!$G$3:$G$665,MATCH($A157,'Input Statistiche 2025_26'!$A$3:$A$665,0)),"")</f>
        <v>6.15</v>
      </c>
      <c r="T157" s="30" t="n">
        <f aca="false">IFERROR(INDEX('Input Statistiche 2025_26'!$H$3:$H$665,MATCH($A157,'Input Statistiche 2025_26'!$A$3:$A$665,0)),"")</f>
        <v>6.83</v>
      </c>
      <c r="U157" s="26" t="str">
        <f aca="false">IF(OR('La Mia Rosa'!$O$12="",$D157&lt;&gt;""),"",IF($F157&lt;='La Mia Rosa'!$O$12*'Parametri Modello'!$B$24,"OK",IF($F157&lt;='La Mia Rosa'!$O$12*'Parametri Modello'!$B$25,"Attenzione","Rischio Alto")))</f>
        <v>OK</v>
      </c>
      <c r="V157" s="26" t="n">
        <f aca="false">IFERROR(COUNTIFS($B$2:$B$492,$B157,$O$2:$O$492,"&gt;"&amp;$O157)+1,"")</f>
        <v>47</v>
      </c>
      <c r="W157" s="21" t="n">
        <f aca="false">'Info Lega'!$B$4-SUMIFS($M$2:$M$492,$D$2:$D$492,'Info Lega'!$B$28)</f>
        <v>1000</v>
      </c>
      <c r="X157" s="21" t="n">
        <f aca="false">('Info Lega'!$B$5-COUNTIFS($D$2:$D$492,'Info Lega'!$B$28,$B$2:$B$492,"P"))+('Info Lega'!$B$6-COUNTIFS($D$2:$D$492,'Info Lega'!$B$28,$B$2:$B$492,"D"))+('Info Lega'!$B$7-COUNTIFS($D$2:$D$492,'Info Lega'!$B$28,$B$2:$B$492,"C"))+('Info Lega'!$B$8-COUNTIFS($D$2:$D$492,'Info Lega'!$B$28,$B$2:$B$492,"A"))</f>
        <v>25</v>
      </c>
      <c r="Y157" s="21" t="n">
        <f aca="false">X157*'Parametri Modello'!$B$30</f>
        <v>25</v>
      </c>
      <c r="Z157" s="21" t="n">
        <f aca="false">MAX(0,W157-Y157)</f>
        <v>975</v>
      </c>
      <c r="AA157" s="21" t="n">
        <f aca="false">MIN(F157,Z157)</f>
        <v>7</v>
      </c>
      <c r="AB157" s="21"/>
      <c r="AC157" s="21" t="str">
        <f aca="false">IF(AB157="","",IF(AB157&gt;AA157,"PASS",IF(AB157&lt;=AA157*0.85,"BID","ATTENZIONE")))</f>
        <v/>
      </c>
      <c r="AD157" s="31" t="n">
        <f aca="false">IF(I157="","",ROUND(100*(1-EXP(-I157/30)),0))</f>
        <v>59</v>
      </c>
      <c r="AE157" s="7" t="str">
        <f aca="false">IFERROR(INDEX('Stato Asta'!$G$9:$G$12,MATCH($B157,'Stato Asta'!$A$9:$A$12,0)),"")</f>
        <v>🔴 Non aspettare</v>
      </c>
    </row>
    <row r="158" customFormat="false" ht="14.25" hidden="false" customHeight="true" outlineLevel="0" collapsed="false">
      <c r="A158" s="21" t="n">
        <v>6641</v>
      </c>
      <c r="B158" s="21" t="s">
        <v>43</v>
      </c>
      <c r="C158" s="21" t="s">
        <v>142</v>
      </c>
      <c r="E158" s="26" t="str">
        <f aca="false">IF(COUNTIF('Info Strategia'!$D$2:$D$51,$C158)&gt;0,"SI","NO")</f>
        <v>NO</v>
      </c>
      <c r="F158" s="27" t="n">
        <f aca="false">IFERROR(ROUND(($G158+($H158-$G158)*'Info Strategia'!$B$6)*(1+IF($E158="SI",'Parametri Modello'!$B$7*'Info Strategia'!$B$6,0)),0),"")</f>
        <v>6</v>
      </c>
      <c r="G158" s="27" t="n">
        <f aca="false">IFERROR(ROUND(MAX(1,(IF($V158&lt;=INDEX('Parametri Modello'!$C$57:$C$60,MATCH($B158,'Parametri Modello'!$A$57:$A$60,0)),IF(INDEX('Parametri Modello'!$E$57:$E$60,MATCH($B158,'Parametri Modello'!$A$57:$A$60,0))=0,0,($O158/INDEX('Parametri Modello'!$E$57:$E$60,MATCH($B158,'Parametri Modello'!$A$57:$A$60,0)))*(INDEX('Parametri Modello'!$D$57:$D$60,MATCH($B158,'Parametri Modello'!$A$57:$A$60,0))*(INDEX('Parametri Modello'!$B$50:$B$53,MATCH($B158,'Parametri Modello'!$A$50:$A$53,0))*'Parametri Modello'!$B$44))),IF(INDEX('Parametri Modello'!$F$57:$F$60,MATCH($B158,'Parametri Modello'!$A$57:$A$60,0))=0,0,($O158/INDEX('Parametri Modello'!$F$57:$F$60,MATCH($B158,'Parametri Modello'!$A$57:$A$60,0)))*((1-INDEX('Parametri Modello'!$D$57:$D$60,MATCH($B158,'Parametri Modello'!$A$57:$A$60,0)))*(INDEX('Parametri Modello'!$B$50:$B$53,MATCH($B158,'Parametri Modello'!$A$50:$A$53,0))*'Parametri Modello'!$B$44))))*(1+IF(IF($B158="D",'Info Lega'!$B$25,IF($B158="C",'Info Lega'!$B$26,"No"))="Si",'Parametri Modello'!$B$5,0))*(1+MAX(-0.25,MIN(0.25,IF(OR($T158="",$I158="",$I158=0,INDEX('Parametri Modello'!$B$19:$B$22,MATCH($B158,'Parametri Modello'!$A$19:$A$22,0))="",INDEX('Parametri Modello'!$B$19:$B$22,MATCH($B158,'Parametri Modello'!$A$19:$A$22,0))=0),0,(($T158-INDEX('Parametri Modello'!$B$19:$B$22,MATCH($B158,'Parametri Modello'!$A$19:$A$22,0)))/INDEX('Parametri Modello'!$B$19:$B$22,MATCH($B158,'Parametri Modello'!$A$19:$A$22,0)))*'Parametri Modello'!$B$9))))*(1+IF('Parametri Modello'!$B$27="Si",MAX(-'Parametri Modello'!$B$28,MIN('Parametri Modello'!$B$28*1.5,IF(OR(INDEX('Parametri Modello'!$F$32:$F$35,MATCH($B158,'Parametri Modello'!$A$32:$A$35,0))="",INDEX('Parametri Modello'!$F$32:$F$35,MATCH($B158,'Parametri Modello'!$A$32:$A$35,0))=0),0,(1/INDEX('Parametri Modello'!$F$32:$F$35,MATCH($B158,'Parametri Modello'!$A$32:$A$35,0))-1)*'Parametri Modello'!$B$28))),0)))*(1-INDEX('Parametri Modello'!$B$12:$B$15,MATCH($B158,'Parametri Modello'!$A$12:$A$15,0)))),0),"")</f>
        <v>5</v>
      </c>
      <c r="H158" s="27" t="n">
        <f aca="false">IFERROR(ROUND((IF($V158&lt;=INDEX('Parametri Modello'!$C$57:$C$60,MATCH($B158,'Parametri Modello'!$A$57:$A$60,0)),IF(INDEX('Parametri Modello'!$E$57:$E$60,MATCH($B158,'Parametri Modello'!$A$57:$A$60,0))=0,0,($O158/INDEX('Parametri Modello'!$E$57:$E$60,MATCH($B158,'Parametri Modello'!$A$57:$A$60,0)))*(INDEX('Parametri Modello'!$D$57:$D$60,MATCH($B158,'Parametri Modello'!$A$57:$A$60,0))*(INDEX('Parametri Modello'!$B$50:$B$53,MATCH($B158,'Parametri Modello'!$A$50:$A$53,0))*'Parametri Modello'!$B$44))),IF(INDEX('Parametri Modello'!$F$57:$F$60,MATCH($B158,'Parametri Modello'!$A$57:$A$60,0))=0,0,($O158/INDEX('Parametri Modello'!$F$57:$F$60,MATCH($B158,'Parametri Modello'!$A$57:$A$60,0)))*((1-INDEX('Parametri Modello'!$D$57:$D$60,MATCH($B158,'Parametri Modello'!$A$57:$A$60,0)))*(INDEX('Parametri Modello'!$B$50:$B$53,MATCH($B158,'Parametri Modello'!$A$50:$A$53,0))*'Parametri Modello'!$B$44))))*(1+IF(IF($B158="D",'Info Lega'!$B$25,IF($B158="C",'Info Lega'!$B$26,"No"))="Si",'Parametri Modello'!$B$5,0))*(1+MAX(-0.25,MIN(0.25,IF(OR($T158="",$I158="",$I158=0,INDEX('Parametri Modello'!$B$19:$B$22,MATCH($B158,'Parametri Modello'!$A$19:$A$22,0))="",INDEX('Parametri Modello'!$B$19:$B$22,MATCH($B158,'Parametri Modello'!$A$19:$A$22,0))=0),0,(($T158-INDEX('Parametri Modello'!$B$19:$B$22,MATCH($B158,'Parametri Modello'!$A$19:$A$22,0)))/INDEX('Parametri Modello'!$B$19:$B$22,MATCH($B158,'Parametri Modello'!$A$19:$A$22,0)))*'Parametri Modello'!$B$9))))*(1+IF('Parametri Modello'!$B$27="Si",MAX(-'Parametri Modello'!$B$28,MIN('Parametri Modello'!$B$28*1.5,IF(OR(INDEX('Parametri Modello'!$F$32:$F$35,MATCH($B158,'Parametri Modello'!$A$32:$A$35,0))="",INDEX('Parametri Modello'!$F$32:$F$35,MATCH($B158,'Parametri Modello'!$A$32:$A$35,0))=0),0,(1/INDEX('Parametri Modello'!$F$32:$F$35,MATCH($B158,'Parametri Modello'!$A$32:$A$35,0))-1)*'Parametri Modello'!$B$28))),0)))*(1+INDEX('Parametri Modello'!$B$12:$B$15,MATCH($B158,'Parametri Modello'!$A$12:$A$15,0))),0),"")</f>
        <v>7</v>
      </c>
      <c r="I158" s="26" t="n">
        <f aca="false">IFERROR(INDEX('Input Statistiche 2025_26'!$F$3:$F$665,MATCH($A158,'Input Statistiche 2025_26'!$A$3:$A$665,0)),"")</f>
        <v>20</v>
      </c>
      <c r="J158" s="26" t="n">
        <f aca="false">IFERROR(IF($I158="","",MAX(0,38-$I158)),"")</f>
        <v>18</v>
      </c>
      <c r="K158" s="26" t="n">
        <f aca="false">IFERROR(INDEX('Input Statistiche 2025_26'!$I$3:$I$665,MATCH($A158,'Input Statistiche 2025_26'!$A$3:$A$665,0)),"")</f>
        <v>0</v>
      </c>
      <c r="L158" s="26" t="n">
        <f aca="false">IFERROR(INDEX('Input Statistiche 2025_26'!$O$3:$O$665,MATCH($A158,'Input Statistiche 2025_26'!$A$3:$A$665,0)),"")</f>
        <v>0</v>
      </c>
      <c r="M158" s="28"/>
      <c r="N158" s="27" t="n">
        <f aca="false">IFERROR(INDEX('Input Giocatori 2026_27'!$E$3:$E$493,MATCH($A158,'Input Giocatori 2026_27'!$A$3:$A$493,0)),"")</f>
        <v>7</v>
      </c>
      <c r="O158" s="27" t="n">
        <f aca="false">IFERROR(INDEX('Input Giocatori 2026_27'!$G$3:$G$493,MATCH($A158,'Input Giocatori 2026_27'!$A$3:$A$493,0)),"")</f>
        <v>20</v>
      </c>
      <c r="P158" s="26" t="str">
        <f aca="false">IFERROR(IF($O158="","",IF((1-(COUNTIFS($B$2:$B$492,$B158,$O$2:$O$492,"&gt;"&amp;$O158)+1-1)/COUNTIF($B$2:$B$492,$B158))&gt;=0.85,"Top",IF((1-(COUNTIFS($B$2:$B$492,$B158,$O$2:$O$492,"&gt;"&amp;$O158)+1-1)/COUNTIF($B$2:$B$492,$B158))&gt;=0.6,"Buono",IF((1-(COUNTIFS($B$2:$B$492,$B158,$O$2:$O$492,"&gt;"&amp;$O158)+1-1)/COUNTIF($B$2:$B$492,$B158))&gt;=0.3,"Nella Media","Scommessa/Riserva")))),"")</f>
        <v>Buono</v>
      </c>
      <c r="Q158" s="29" t="n">
        <f aca="false">IF($D158="",COUNTIF($D$2:$D158,""),"")</f>
        <v>157</v>
      </c>
      <c r="R158" s="29" t="str">
        <f aca="false">IF($D158='Info Lega'!$B$28,COUNTIFS($D$2:$D158,'Info Lega'!$B$28),"")</f>
        <v/>
      </c>
      <c r="S158" s="30" t="n">
        <f aca="false">IFERROR(INDEX('Input Statistiche 2025_26'!$G$3:$G$665,MATCH($A158,'Input Statistiche 2025_26'!$A$3:$A$665,0)),"")</f>
        <v>6.02</v>
      </c>
      <c r="T158" s="30" t="n">
        <f aca="false">IFERROR(INDEX('Input Statistiche 2025_26'!$H$3:$H$665,MATCH($A158,'Input Statistiche 2025_26'!$A$3:$A$665,0)),"")</f>
        <v>4.75</v>
      </c>
      <c r="U158" s="26" t="str">
        <f aca="false">IF(OR('La Mia Rosa'!$O$12="",$D158&lt;&gt;""),"",IF($F158&lt;='La Mia Rosa'!$O$12*'Parametri Modello'!$B$24,"OK",IF($F158&lt;='La Mia Rosa'!$O$12*'Parametri Modello'!$B$25,"Attenzione","Rischio Alto")))</f>
        <v>OK</v>
      </c>
      <c r="V158" s="26" t="n">
        <f aca="false">IFERROR(COUNTIFS($B$2:$B$492,$B158,$O$2:$O$492,"&gt;"&amp;$O158)+1,"")</f>
        <v>14</v>
      </c>
      <c r="W158" s="21" t="n">
        <f aca="false">'Info Lega'!$B$4-SUMIFS($M$2:$M$492,$D$2:$D$492,'Info Lega'!$B$28)</f>
        <v>1000</v>
      </c>
      <c r="X158" s="21" t="n">
        <f aca="false">('Info Lega'!$B$5-COUNTIFS($D$2:$D$492,'Info Lega'!$B$28,$B$2:$B$492,"P"))+('Info Lega'!$B$6-COUNTIFS($D$2:$D$492,'Info Lega'!$B$28,$B$2:$B$492,"D"))+('Info Lega'!$B$7-COUNTIFS($D$2:$D$492,'Info Lega'!$B$28,$B$2:$B$492,"C"))+('Info Lega'!$B$8-COUNTIFS($D$2:$D$492,'Info Lega'!$B$28,$B$2:$B$492,"A"))</f>
        <v>25</v>
      </c>
      <c r="Y158" s="21" t="n">
        <f aca="false">X158*'Parametri Modello'!$B$30</f>
        <v>25</v>
      </c>
      <c r="Z158" s="21" t="n">
        <f aca="false">MAX(0,W158-Y158)</f>
        <v>975</v>
      </c>
      <c r="AA158" s="21" t="n">
        <f aca="false">MIN(F158,Z158)</f>
        <v>6</v>
      </c>
      <c r="AB158" s="21"/>
      <c r="AC158" s="21" t="str">
        <f aca="false">IF(AB158="","",IF(AB158&gt;AA158,"PASS",IF(AB158&lt;=AA158*0.85,"BID","ATTENZIONE")))</f>
        <v/>
      </c>
      <c r="AD158" s="31" t="n">
        <f aca="false">IF(I158="","",ROUND(100*(1-EXP(-I158/30)),0))</f>
        <v>49</v>
      </c>
      <c r="AE158" s="7" t="str">
        <f aca="false">IFERROR(INDEX('Stato Asta'!$G$9:$G$12,MATCH($B158,'Stato Asta'!$A$9:$A$12,0)),"")</f>
        <v>🟡 Attesa rischiosa</v>
      </c>
    </row>
    <row r="159" customFormat="false" ht="14.25" hidden="false" customHeight="true" outlineLevel="0" collapsed="false">
      <c r="A159" s="21" t="n">
        <v>4210</v>
      </c>
      <c r="B159" s="21" t="s">
        <v>44</v>
      </c>
      <c r="C159" s="21" t="s">
        <v>217</v>
      </c>
      <c r="E159" s="26" t="str">
        <f aca="false">IF(COUNTIF('Info Strategia'!$D$2:$D$51,$C159)&gt;0,"SI","NO")</f>
        <v>NO</v>
      </c>
      <c r="F159" s="27" t="n">
        <f aca="false">IFERROR(ROUND(($G159+($H159-$G159)*'Info Strategia'!$B$6)*(1+IF($E159="SI",'Parametri Modello'!$B$7*'Info Strategia'!$B$6,0)),0),"")</f>
        <v>4</v>
      </c>
      <c r="G159" s="27" t="n">
        <f aca="false">IFERROR(ROUND(MAX(1,(IF($V159&lt;=INDEX('Parametri Modello'!$C$57:$C$60,MATCH($B159,'Parametri Modello'!$A$57:$A$60,0)),IF(INDEX('Parametri Modello'!$E$57:$E$60,MATCH($B159,'Parametri Modello'!$A$57:$A$60,0))=0,0,($O159/INDEX('Parametri Modello'!$E$57:$E$60,MATCH($B159,'Parametri Modello'!$A$57:$A$60,0)))*(INDEX('Parametri Modello'!$D$57:$D$60,MATCH($B159,'Parametri Modello'!$A$57:$A$60,0))*(INDEX('Parametri Modello'!$B$50:$B$53,MATCH($B159,'Parametri Modello'!$A$50:$A$53,0))*'Parametri Modello'!$B$44))),IF(INDEX('Parametri Modello'!$F$57:$F$60,MATCH($B159,'Parametri Modello'!$A$57:$A$60,0))=0,0,($O159/INDEX('Parametri Modello'!$F$57:$F$60,MATCH($B159,'Parametri Modello'!$A$57:$A$60,0)))*((1-INDEX('Parametri Modello'!$D$57:$D$60,MATCH($B159,'Parametri Modello'!$A$57:$A$60,0)))*(INDEX('Parametri Modello'!$B$50:$B$53,MATCH($B159,'Parametri Modello'!$A$50:$A$53,0))*'Parametri Modello'!$B$44))))*(1+IF(IF($B159="D",'Info Lega'!$B$25,IF($B159="C",'Info Lega'!$B$26,"No"))="Si",'Parametri Modello'!$B$5,0))*(1+MAX(-0.25,MIN(0.25,IF(OR($T159="",$I159="",$I159=0,INDEX('Parametri Modello'!$B$19:$B$22,MATCH($B159,'Parametri Modello'!$A$19:$A$22,0))="",INDEX('Parametri Modello'!$B$19:$B$22,MATCH($B159,'Parametri Modello'!$A$19:$A$22,0))=0),0,(($T159-INDEX('Parametri Modello'!$B$19:$B$22,MATCH($B159,'Parametri Modello'!$A$19:$A$22,0)))/INDEX('Parametri Modello'!$B$19:$B$22,MATCH($B159,'Parametri Modello'!$A$19:$A$22,0)))*'Parametri Modello'!$B$9))))*(1+IF('Parametri Modello'!$B$27="Si",MAX(-'Parametri Modello'!$B$28,MIN('Parametri Modello'!$B$28*1.5,IF(OR(INDEX('Parametri Modello'!$F$32:$F$35,MATCH($B159,'Parametri Modello'!$A$32:$A$35,0))="",INDEX('Parametri Modello'!$F$32:$F$35,MATCH($B159,'Parametri Modello'!$A$32:$A$35,0))=0),0,(1/INDEX('Parametri Modello'!$F$32:$F$35,MATCH($B159,'Parametri Modello'!$A$32:$A$35,0))-1)*'Parametri Modello'!$B$28))),0)))*(1-INDEX('Parametri Modello'!$B$12:$B$15,MATCH($B159,'Parametri Modello'!$A$12:$A$15,0)))),0),"")</f>
        <v>3</v>
      </c>
      <c r="H159" s="27" t="n">
        <f aca="false">IFERROR(ROUND((IF($V159&lt;=INDEX('Parametri Modello'!$C$57:$C$60,MATCH($B159,'Parametri Modello'!$A$57:$A$60,0)),IF(INDEX('Parametri Modello'!$E$57:$E$60,MATCH($B159,'Parametri Modello'!$A$57:$A$60,0))=0,0,($O159/INDEX('Parametri Modello'!$E$57:$E$60,MATCH($B159,'Parametri Modello'!$A$57:$A$60,0)))*(INDEX('Parametri Modello'!$D$57:$D$60,MATCH($B159,'Parametri Modello'!$A$57:$A$60,0))*(INDEX('Parametri Modello'!$B$50:$B$53,MATCH($B159,'Parametri Modello'!$A$50:$A$53,0))*'Parametri Modello'!$B$44))),IF(INDEX('Parametri Modello'!$F$57:$F$60,MATCH($B159,'Parametri Modello'!$A$57:$A$60,0))=0,0,($O159/INDEX('Parametri Modello'!$F$57:$F$60,MATCH($B159,'Parametri Modello'!$A$57:$A$60,0)))*((1-INDEX('Parametri Modello'!$D$57:$D$60,MATCH($B159,'Parametri Modello'!$A$57:$A$60,0)))*(INDEX('Parametri Modello'!$B$50:$B$53,MATCH($B159,'Parametri Modello'!$A$50:$A$53,0))*'Parametri Modello'!$B$44))))*(1+IF(IF($B159="D",'Info Lega'!$B$25,IF($B159="C",'Info Lega'!$B$26,"No"))="Si",'Parametri Modello'!$B$5,0))*(1+MAX(-0.25,MIN(0.25,IF(OR($T159="",$I159="",$I159=0,INDEX('Parametri Modello'!$B$19:$B$22,MATCH($B159,'Parametri Modello'!$A$19:$A$22,0))="",INDEX('Parametri Modello'!$B$19:$B$22,MATCH($B159,'Parametri Modello'!$A$19:$A$22,0))=0),0,(($T159-INDEX('Parametri Modello'!$B$19:$B$22,MATCH($B159,'Parametri Modello'!$A$19:$A$22,0)))/INDEX('Parametri Modello'!$B$19:$B$22,MATCH($B159,'Parametri Modello'!$A$19:$A$22,0)))*'Parametri Modello'!$B$9))))*(1+IF('Parametri Modello'!$B$27="Si",MAX(-'Parametri Modello'!$B$28,MIN('Parametri Modello'!$B$28*1.5,IF(OR(INDEX('Parametri Modello'!$F$32:$F$35,MATCH($B159,'Parametri Modello'!$A$32:$A$35,0))="",INDEX('Parametri Modello'!$F$32:$F$35,MATCH($B159,'Parametri Modello'!$A$32:$A$35,0))=0),0,(1/INDEX('Parametri Modello'!$F$32:$F$35,MATCH($B159,'Parametri Modello'!$A$32:$A$35,0))-1)*'Parametri Modello'!$B$28))),0)))*(1+INDEX('Parametri Modello'!$B$12:$B$15,MATCH($B159,'Parametri Modello'!$A$12:$A$15,0))),0),"")</f>
        <v>4</v>
      </c>
      <c r="I159" s="26" t="n">
        <f aca="false">IFERROR(INDEX('Input Statistiche 2025_26'!$F$3:$F$665,MATCH($A159,'Input Statistiche 2025_26'!$A$3:$A$665,0)),"")</f>
        <v>26</v>
      </c>
      <c r="J159" s="26" t="n">
        <f aca="false">IFERROR(IF($I159="","",MAX(0,38-$I159)),"")</f>
        <v>12</v>
      </c>
      <c r="K159" s="26" t="n">
        <f aca="false">IFERROR(INDEX('Input Statistiche 2025_26'!$I$3:$I$665,MATCH($A159,'Input Statistiche 2025_26'!$A$3:$A$665,0)),"")</f>
        <v>2</v>
      </c>
      <c r="L159" s="26" t="n">
        <f aca="false">IFERROR(INDEX('Input Statistiche 2025_26'!$O$3:$O$665,MATCH($A159,'Input Statistiche 2025_26'!$A$3:$A$665,0)),"")</f>
        <v>1</v>
      </c>
      <c r="M159" s="28"/>
      <c r="N159" s="27" t="n">
        <f aca="false">IFERROR(INDEX('Input Giocatori 2026_27'!$E$3:$E$493,MATCH($A159,'Input Giocatori 2026_27'!$A$3:$A$493,0)),"")</f>
        <v>8</v>
      </c>
      <c r="O159" s="27" t="n">
        <f aca="false">IFERROR(INDEX('Input Giocatori 2026_27'!$G$3:$G$493,MATCH($A159,'Input Giocatori 2026_27'!$A$3:$A$493,0)),"")</f>
        <v>20</v>
      </c>
      <c r="P159" s="26" t="str">
        <f aca="false">IFERROR(IF($O159="","",IF((1-(COUNTIFS($B$2:$B$492,$B159,$O$2:$O$492,"&gt;"&amp;$O159)+1-1)/COUNTIF($B$2:$B$492,$B159))&gt;=0.85,"Top",IF((1-(COUNTIFS($B$2:$B$492,$B159,$O$2:$O$492,"&gt;"&amp;$O159)+1-1)/COUNTIF($B$2:$B$492,$B159))&gt;=0.6,"Buono",IF((1-(COUNTIFS($B$2:$B$492,$B159,$O$2:$O$492,"&gt;"&amp;$O159)+1-1)/COUNTIF($B$2:$B$492,$B159))&gt;=0.3,"Nella Media","Scommessa/Riserva")))),"")</f>
        <v>Buono</v>
      </c>
      <c r="Q159" s="29" t="n">
        <f aca="false">IF($D159="",COUNTIF($D$2:$D159,""),"")</f>
        <v>158</v>
      </c>
      <c r="R159" s="29" t="str">
        <f aca="false">IF($D159='Info Lega'!$B$28,COUNTIFS($D$2:$D159,'Info Lega'!$B$28),"")</f>
        <v/>
      </c>
      <c r="S159" s="30" t="n">
        <f aca="false">IFERROR(INDEX('Input Statistiche 2025_26'!$G$3:$G$665,MATCH($A159,'Input Statistiche 2025_26'!$A$3:$A$665,0)),"")</f>
        <v>6</v>
      </c>
      <c r="T159" s="30" t="n">
        <f aca="false">IFERROR(INDEX('Input Statistiche 2025_26'!$H$3:$H$665,MATCH($A159,'Input Statistiche 2025_26'!$A$3:$A$665,0)),"")</f>
        <v>6.17</v>
      </c>
      <c r="U159" s="26" t="str">
        <f aca="false">IF(OR('La Mia Rosa'!$O$12="",$D159&lt;&gt;""),"",IF($F159&lt;='La Mia Rosa'!$O$12*'Parametri Modello'!$B$24,"OK",IF($F159&lt;='La Mia Rosa'!$O$12*'Parametri Modello'!$B$25,"Attenzione","Rischio Alto")))</f>
        <v>OK</v>
      </c>
      <c r="V159" s="26" t="n">
        <f aca="false">IFERROR(COUNTIFS($B$2:$B$492,$B159,$O$2:$O$492,"&gt;"&amp;$O159)+1,"")</f>
        <v>38</v>
      </c>
      <c r="W159" s="21" t="n">
        <f aca="false">'Info Lega'!$B$4-SUMIFS($M$2:$M$492,$D$2:$D$492,'Info Lega'!$B$28)</f>
        <v>1000</v>
      </c>
      <c r="X159" s="21" t="n">
        <f aca="false">('Info Lega'!$B$5-COUNTIFS($D$2:$D$492,'Info Lega'!$B$28,$B$2:$B$492,"P"))+('Info Lega'!$B$6-COUNTIFS($D$2:$D$492,'Info Lega'!$B$28,$B$2:$B$492,"D"))+('Info Lega'!$B$7-COUNTIFS($D$2:$D$492,'Info Lega'!$B$28,$B$2:$B$492,"C"))+('Info Lega'!$B$8-COUNTIFS($D$2:$D$492,'Info Lega'!$B$28,$B$2:$B$492,"A"))</f>
        <v>25</v>
      </c>
      <c r="Y159" s="21" t="n">
        <f aca="false">X159*'Parametri Modello'!$B$30</f>
        <v>25</v>
      </c>
      <c r="Z159" s="21" t="n">
        <f aca="false">MAX(0,W159-Y159)</f>
        <v>975</v>
      </c>
      <c r="AA159" s="21" t="n">
        <f aca="false">MIN(F159,Z159)</f>
        <v>4</v>
      </c>
      <c r="AB159" s="21"/>
      <c r="AC159" s="21" t="str">
        <f aca="false">IF(AB159="","",IF(AB159&gt;AA159,"PASS",IF(AB159&lt;=AA159*0.85,"BID","ATTENZIONE")))</f>
        <v/>
      </c>
      <c r="AD159" s="31" t="n">
        <f aca="false">IF(I159="","",ROUND(100*(1-EXP(-I159/30)),0))</f>
        <v>58</v>
      </c>
      <c r="AE159" s="7" t="str">
        <f aca="false">IFERROR(INDEX('Stato Asta'!$G$9:$G$12,MATCH($B159,'Stato Asta'!$A$9:$A$12,0)),"")</f>
        <v>🟡 Attesa rischiosa</v>
      </c>
    </row>
    <row r="160" customFormat="false" ht="14.25" hidden="false" customHeight="true" outlineLevel="0" collapsed="false">
      <c r="A160" s="21" t="n">
        <v>7529</v>
      </c>
      <c r="B160" s="21" t="s">
        <v>44</v>
      </c>
      <c r="C160" s="21" t="s">
        <v>226</v>
      </c>
      <c r="E160" s="26" t="str">
        <f aca="false">IF(COUNTIF('Info Strategia'!$D$2:$D$51,$C160)&gt;0,"SI","NO")</f>
        <v>NO</v>
      </c>
      <c r="F160" s="27" t="n">
        <f aca="false">IFERROR(ROUND(($G160+($H160-$G160)*'Info Strategia'!$B$6)*(1+IF($E160="SI",'Parametri Modello'!$B$7*'Info Strategia'!$B$6,0)),0),"")</f>
        <v>4</v>
      </c>
      <c r="G160" s="27" t="n">
        <f aca="false">IFERROR(ROUND(MAX(1,(IF($V160&lt;=INDEX('Parametri Modello'!$C$57:$C$60,MATCH($B160,'Parametri Modello'!$A$57:$A$60,0)),IF(INDEX('Parametri Modello'!$E$57:$E$60,MATCH($B160,'Parametri Modello'!$A$57:$A$60,0))=0,0,($O160/INDEX('Parametri Modello'!$E$57:$E$60,MATCH($B160,'Parametri Modello'!$A$57:$A$60,0)))*(INDEX('Parametri Modello'!$D$57:$D$60,MATCH($B160,'Parametri Modello'!$A$57:$A$60,0))*(INDEX('Parametri Modello'!$B$50:$B$53,MATCH($B160,'Parametri Modello'!$A$50:$A$53,0))*'Parametri Modello'!$B$44))),IF(INDEX('Parametri Modello'!$F$57:$F$60,MATCH($B160,'Parametri Modello'!$A$57:$A$60,0))=0,0,($O160/INDEX('Parametri Modello'!$F$57:$F$60,MATCH($B160,'Parametri Modello'!$A$57:$A$60,0)))*((1-INDEX('Parametri Modello'!$D$57:$D$60,MATCH($B160,'Parametri Modello'!$A$57:$A$60,0)))*(INDEX('Parametri Modello'!$B$50:$B$53,MATCH($B160,'Parametri Modello'!$A$50:$A$53,0))*'Parametri Modello'!$B$44))))*(1+IF(IF($B160="D",'Info Lega'!$B$25,IF($B160="C",'Info Lega'!$B$26,"No"))="Si",'Parametri Modello'!$B$5,0))*(1+MAX(-0.25,MIN(0.25,IF(OR($T160="",$I160="",$I160=0,INDEX('Parametri Modello'!$B$19:$B$22,MATCH($B160,'Parametri Modello'!$A$19:$A$22,0))="",INDEX('Parametri Modello'!$B$19:$B$22,MATCH($B160,'Parametri Modello'!$A$19:$A$22,0))=0),0,(($T160-INDEX('Parametri Modello'!$B$19:$B$22,MATCH($B160,'Parametri Modello'!$A$19:$A$22,0)))/INDEX('Parametri Modello'!$B$19:$B$22,MATCH($B160,'Parametri Modello'!$A$19:$A$22,0)))*'Parametri Modello'!$B$9))))*(1+IF('Parametri Modello'!$B$27="Si",MAX(-'Parametri Modello'!$B$28,MIN('Parametri Modello'!$B$28*1.5,IF(OR(INDEX('Parametri Modello'!$F$32:$F$35,MATCH($B160,'Parametri Modello'!$A$32:$A$35,0))="",INDEX('Parametri Modello'!$F$32:$F$35,MATCH($B160,'Parametri Modello'!$A$32:$A$35,0))=0),0,(1/INDEX('Parametri Modello'!$F$32:$F$35,MATCH($B160,'Parametri Modello'!$A$32:$A$35,0))-1)*'Parametri Modello'!$B$28))),0)))*(1-INDEX('Parametri Modello'!$B$12:$B$15,MATCH($B160,'Parametri Modello'!$A$12:$A$15,0)))),0),"")</f>
        <v>3</v>
      </c>
      <c r="H160" s="27" t="n">
        <f aca="false">IFERROR(ROUND((IF($V160&lt;=INDEX('Parametri Modello'!$C$57:$C$60,MATCH($B160,'Parametri Modello'!$A$57:$A$60,0)),IF(INDEX('Parametri Modello'!$E$57:$E$60,MATCH($B160,'Parametri Modello'!$A$57:$A$60,0))=0,0,($O160/INDEX('Parametri Modello'!$E$57:$E$60,MATCH($B160,'Parametri Modello'!$A$57:$A$60,0)))*(INDEX('Parametri Modello'!$D$57:$D$60,MATCH($B160,'Parametri Modello'!$A$57:$A$60,0))*(INDEX('Parametri Modello'!$B$50:$B$53,MATCH($B160,'Parametri Modello'!$A$50:$A$53,0))*'Parametri Modello'!$B$44))),IF(INDEX('Parametri Modello'!$F$57:$F$60,MATCH($B160,'Parametri Modello'!$A$57:$A$60,0))=0,0,($O160/INDEX('Parametri Modello'!$F$57:$F$60,MATCH($B160,'Parametri Modello'!$A$57:$A$60,0)))*((1-INDEX('Parametri Modello'!$D$57:$D$60,MATCH($B160,'Parametri Modello'!$A$57:$A$60,0)))*(INDEX('Parametri Modello'!$B$50:$B$53,MATCH($B160,'Parametri Modello'!$A$50:$A$53,0))*'Parametri Modello'!$B$44))))*(1+IF(IF($B160="D",'Info Lega'!$B$25,IF($B160="C",'Info Lega'!$B$26,"No"))="Si",'Parametri Modello'!$B$5,0))*(1+MAX(-0.25,MIN(0.25,IF(OR($T160="",$I160="",$I160=0,INDEX('Parametri Modello'!$B$19:$B$22,MATCH($B160,'Parametri Modello'!$A$19:$A$22,0))="",INDEX('Parametri Modello'!$B$19:$B$22,MATCH($B160,'Parametri Modello'!$A$19:$A$22,0))=0),0,(($T160-INDEX('Parametri Modello'!$B$19:$B$22,MATCH($B160,'Parametri Modello'!$A$19:$A$22,0)))/INDEX('Parametri Modello'!$B$19:$B$22,MATCH($B160,'Parametri Modello'!$A$19:$A$22,0)))*'Parametri Modello'!$B$9))))*(1+IF('Parametri Modello'!$B$27="Si",MAX(-'Parametri Modello'!$B$28,MIN('Parametri Modello'!$B$28*1.5,IF(OR(INDEX('Parametri Modello'!$F$32:$F$35,MATCH($B160,'Parametri Modello'!$A$32:$A$35,0))="",INDEX('Parametri Modello'!$F$32:$F$35,MATCH($B160,'Parametri Modello'!$A$32:$A$35,0))=0),0,(1/INDEX('Parametri Modello'!$F$32:$F$35,MATCH($B160,'Parametri Modello'!$A$32:$A$35,0))-1)*'Parametri Modello'!$B$28))),0)))*(1+INDEX('Parametri Modello'!$B$12:$B$15,MATCH($B160,'Parametri Modello'!$A$12:$A$15,0))),0),"")</f>
        <v>4</v>
      </c>
      <c r="I160" s="26" t="str">
        <f aca="false">IFERROR(INDEX('Input Statistiche 2025_26'!$F$3:$F$665,MATCH($A160,'Input Statistiche 2025_26'!$A$3:$A$665,0)),"")</f>
        <v/>
      </c>
      <c r="J160" s="26" t="str">
        <f aca="false">IFERROR(IF($I160="","",MAX(0,38-$I160)),"")</f>
        <v/>
      </c>
      <c r="K160" s="26" t="str">
        <f aca="false">IFERROR(INDEX('Input Statistiche 2025_26'!$I$3:$I$665,MATCH($A160,'Input Statistiche 2025_26'!$A$3:$A$665,0)),"")</f>
        <v/>
      </c>
      <c r="L160" s="26" t="str">
        <f aca="false">IFERROR(INDEX('Input Statistiche 2025_26'!$O$3:$O$665,MATCH($A160,'Input Statistiche 2025_26'!$A$3:$A$665,0)),"")</f>
        <v/>
      </c>
      <c r="M160" s="28"/>
      <c r="N160" s="27" t="n">
        <f aca="false">IFERROR(INDEX('Input Giocatori 2026_27'!$E$3:$E$493,MATCH($A160,'Input Giocatori 2026_27'!$A$3:$A$493,0)),"")</f>
        <v>8</v>
      </c>
      <c r="O160" s="27" t="n">
        <f aca="false">IFERROR(INDEX('Input Giocatori 2026_27'!$G$3:$G$493,MATCH($A160,'Input Giocatori 2026_27'!$A$3:$A$493,0)),"")</f>
        <v>20</v>
      </c>
      <c r="P160" s="26" t="str">
        <f aca="false">IFERROR(IF($O160="","",IF((1-(COUNTIFS($B$2:$B$492,$B160,$O$2:$O$492,"&gt;"&amp;$O160)+1-1)/COUNTIF($B$2:$B$492,$B160))&gt;=0.85,"Top",IF((1-(COUNTIFS($B$2:$B$492,$B160,$O$2:$O$492,"&gt;"&amp;$O160)+1-1)/COUNTIF($B$2:$B$492,$B160))&gt;=0.6,"Buono",IF((1-(COUNTIFS($B$2:$B$492,$B160,$O$2:$O$492,"&gt;"&amp;$O160)+1-1)/COUNTIF($B$2:$B$492,$B160))&gt;=0.3,"Nella Media","Scommessa/Riserva")))),"")</f>
        <v>Buono</v>
      </c>
      <c r="Q160" s="29" t="n">
        <f aca="false">IF($D160="",COUNTIF($D$2:$D160,""),"")</f>
        <v>159</v>
      </c>
      <c r="R160" s="29" t="str">
        <f aca="false">IF($D160='Info Lega'!$B$28,COUNTIFS($D$2:$D160,'Info Lega'!$B$28),"")</f>
        <v/>
      </c>
      <c r="S160" s="30" t="str">
        <f aca="false">IFERROR(INDEX('Input Statistiche 2025_26'!$G$3:$G$665,MATCH($A160,'Input Statistiche 2025_26'!$A$3:$A$665,0)),"")</f>
        <v/>
      </c>
      <c r="T160" s="30" t="str">
        <f aca="false">IFERROR(INDEX('Input Statistiche 2025_26'!$H$3:$H$665,MATCH($A160,'Input Statistiche 2025_26'!$A$3:$A$665,0)),"")</f>
        <v/>
      </c>
      <c r="U160" s="26" t="str">
        <f aca="false">IF(OR('La Mia Rosa'!$O$12="",$D160&lt;&gt;""),"",IF($F160&lt;='La Mia Rosa'!$O$12*'Parametri Modello'!$B$24,"OK",IF($F160&lt;='La Mia Rosa'!$O$12*'Parametri Modello'!$B$25,"Attenzione","Rischio Alto")))</f>
        <v>OK</v>
      </c>
      <c r="V160" s="26" t="n">
        <f aca="false">IFERROR(COUNTIFS($B$2:$B$492,$B160,$O$2:$O$492,"&gt;"&amp;$O160)+1,"")</f>
        <v>38</v>
      </c>
      <c r="W160" s="21" t="n">
        <f aca="false">'Info Lega'!$B$4-SUMIFS($M$2:$M$492,$D$2:$D$492,'Info Lega'!$B$28)</f>
        <v>1000</v>
      </c>
      <c r="X160" s="21" t="n">
        <f aca="false">('Info Lega'!$B$5-COUNTIFS($D$2:$D$492,'Info Lega'!$B$28,$B$2:$B$492,"P"))+('Info Lega'!$B$6-COUNTIFS($D$2:$D$492,'Info Lega'!$B$28,$B$2:$B$492,"D"))+('Info Lega'!$B$7-COUNTIFS($D$2:$D$492,'Info Lega'!$B$28,$B$2:$B$492,"C"))+('Info Lega'!$B$8-COUNTIFS($D$2:$D$492,'Info Lega'!$B$28,$B$2:$B$492,"A"))</f>
        <v>25</v>
      </c>
      <c r="Y160" s="21" t="n">
        <f aca="false">X160*'Parametri Modello'!$B$30</f>
        <v>25</v>
      </c>
      <c r="Z160" s="21" t="n">
        <f aca="false">MAX(0,W160-Y160)</f>
        <v>975</v>
      </c>
      <c r="AA160" s="21" t="n">
        <f aca="false">MIN(F160,Z160)</f>
        <v>4</v>
      </c>
      <c r="AB160" s="21"/>
      <c r="AC160" s="21" t="str">
        <f aca="false">IF(AB160="","",IF(AB160&gt;AA160,"PASS",IF(AB160&lt;=AA160*0.85,"BID","ATTENZIONE")))</f>
        <v/>
      </c>
      <c r="AD160" s="31" t="str">
        <f aca="false">IF(I160="","",ROUND(100*(1-EXP(-I160/30)),0))</f>
        <v/>
      </c>
      <c r="AE160" s="7" t="str">
        <f aca="false">IFERROR(INDEX('Stato Asta'!$G$9:$G$12,MATCH($B160,'Stato Asta'!$A$9:$A$12,0)),"")</f>
        <v>🟡 Attesa rischiosa</v>
      </c>
    </row>
    <row r="161" customFormat="false" ht="14.25" hidden="false" customHeight="true" outlineLevel="0" collapsed="false">
      <c r="A161" s="21" t="n">
        <v>4751</v>
      </c>
      <c r="B161" s="21" t="s">
        <v>44</v>
      </c>
      <c r="C161" s="21" t="s">
        <v>236</v>
      </c>
      <c r="E161" s="26" t="str">
        <f aca="false">IF(COUNTIF('Info Strategia'!$D$2:$D$51,$C161)&gt;0,"SI","NO")</f>
        <v>NO</v>
      </c>
      <c r="F161" s="27" t="n">
        <f aca="false">IFERROR(ROUND(($G161+($H161-$G161)*'Info Strategia'!$B$6)*(1+IF($E161="SI",'Parametri Modello'!$B$7*'Info Strategia'!$B$6,0)),0),"")</f>
        <v>4</v>
      </c>
      <c r="G161" s="27" t="n">
        <f aca="false">IFERROR(ROUND(MAX(1,(IF($V161&lt;=INDEX('Parametri Modello'!$C$57:$C$60,MATCH($B161,'Parametri Modello'!$A$57:$A$60,0)),IF(INDEX('Parametri Modello'!$E$57:$E$60,MATCH($B161,'Parametri Modello'!$A$57:$A$60,0))=0,0,($O161/INDEX('Parametri Modello'!$E$57:$E$60,MATCH($B161,'Parametri Modello'!$A$57:$A$60,0)))*(INDEX('Parametri Modello'!$D$57:$D$60,MATCH($B161,'Parametri Modello'!$A$57:$A$60,0))*(INDEX('Parametri Modello'!$B$50:$B$53,MATCH($B161,'Parametri Modello'!$A$50:$A$53,0))*'Parametri Modello'!$B$44))),IF(INDEX('Parametri Modello'!$F$57:$F$60,MATCH($B161,'Parametri Modello'!$A$57:$A$60,0))=0,0,($O161/INDEX('Parametri Modello'!$F$57:$F$60,MATCH($B161,'Parametri Modello'!$A$57:$A$60,0)))*((1-INDEX('Parametri Modello'!$D$57:$D$60,MATCH($B161,'Parametri Modello'!$A$57:$A$60,0)))*(INDEX('Parametri Modello'!$B$50:$B$53,MATCH($B161,'Parametri Modello'!$A$50:$A$53,0))*'Parametri Modello'!$B$44))))*(1+IF(IF($B161="D",'Info Lega'!$B$25,IF($B161="C",'Info Lega'!$B$26,"No"))="Si",'Parametri Modello'!$B$5,0))*(1+MAX(-0.25,MIN(0.25,IF(OR($T161="",$I161="",$I161=0,INDEX('Parametri Modello'!$B$19:$B$22,MATCH($B161,'Parametri Modello'!$A$19:$A$22,0))="",INDEX('Parametri Modello'!$B$19:$B$22,MATCH($B161,'Parametri Modello'!$A$19:$A$22,0))=0),0,(($T161-INDEX('Parametri Modello'!$B$19:$B$22,MATCH($B161,'Parametri Modello'!$A$19:$A$22,0)))/INDEX('Parametri Modello'!$B$19:$B$22,MATCH($B161,'Parametri Modello'!$A$19:$A$22,0)))*'Parametri Modello'!$B$9))))*(1+IF('Parametri Modello'!$B$27="Si",MAX(-'Parametri Modello'!$B$28,MIN('Parametri Modello'!$B$28*1.5,IF(OR(INDEX('Parametri Modello'!$F$32:$F$35,MATCH($B161,'Parametri Modello'!$A$32:$A$35,0))="",INDEX('Parametri Modello'!$F$32:$F$35,MATCH($B161,'Parametri Modello'!$A$32:$A$35,0))=0),0,(1/INDEX('Parametri Modello'!$F$32:$F$35,MATCH($B161,'Parametri Modello'!$A$32:$A$35,0))-1)*'Parametri Modello'!$B$28))),0)))*(1-INDEX('Parametri Modello'!$B$12:$B$15,MATCH($B161,'Parametri Modello'!$A$12:$A$15,0)))),0),"")</f>
        <v>3</v>
      </c>
      <c r="H161" s="27" t="n">
        <f aca="false">IFERROR(ROUND((IF($V161&lt;=INDEX('Parametri Modello'!$C$57:$C$60,MATCH($B161,'Parametri Modello'!$A$57:$A$60,0)),IF(INDEX('Parametri Modello'!$E$57:$E$60,MATCH($B161,'Parametri Modello'!$A$57:$A$60,0))=0,0,($O161/INDEX('Parametri Modello'!$E$57:$E$60,MATCH($B161,'Parametri Modello'!$A$57:$A$60,0)))*(INDEX('Parametri Modello'!$D$57:$D$60,MATCH($B161,'Parametri Modello'!$A$57:$A$60,0))*(INDEX('Parametri Modello'!$B$50:$B$53,MATCH($B161,'Parametri Modello'!$A$50:$A$53,0))*'Parametri Modello'!$B$44))),IF(INDEX('Parametri Modello'!$F$57:$F$60,MATCH($B161,'Parametri Modello'!$A$57:$A$60,0))=0,0,($O161/INDEX('Parametri Modello'!$F$57:$F$60,MATCH($B161,'Parametri Modello'!$A$57:$A$60,0)))*((1-INDEX('Parametri Modello'!$D$57:$D$60,MATCH($B161,'Parametri Modello'!$A$57:$A$60,0)))*(INDEX('Parametri Modello'!$B$50:$B$53,MATCH($B161,'Parametri Modello'!$A$50:$A$53,0))*'Parametri Modello'!$B$44))))*(1+IF(IF($B161="D",'Info Lega'!$B$25,IF($B161="C",'Info Lega'!$B$26,"No"))="Si",'Parametri Modello'!$B$5,0))*(1+MAX(-0.25,MIN(0.25,IF(OR($T161="",$I161="",$I161=0,INDEX('Parametri Modello'!$B$19:$B$22,MATCH($B161,'Parametri Modello'!$A$19:$A$22,0))="",INDEX('Parametri Modello'!$B$19:$B$22,MATCH($B161,'Parametri Modello'!$A$19:$A$22,0))=0),0,(($T161-INDEX('Parametri Modello'!$B$19:$B$22,MATCH($B161,'Parametri Modello'!$A$19:$A$22,0)))/INDEX('Parametri Modello'!$B$19:$B$22,MATCH($B161,'Parametri Modello'!$A$19:$A$22,0)))*'Parametri Modello'!$B$9))))*(1+IF('Parametri Modello'!$B$27="Si",MAX(-'Parametri Modello'!$B$28,MIN('Parametri Modello'!$B$28*1.5,IF(OR(INDEX('Parametri Modello'!$F$32:$F$35,MATCH($B161,'Parametri Modello'!$A$32:$A$35,0))="",INDEX('Parametri Modello'!$F$32:$F$35,MATCH($B161,'Parametri Modello'!$A$32:$A$35,0))=0),0,(1/INDEX('Parametri Modello'!$F$32:$F$35,MATCH($B161,'Parametri Modello'!$A$32:$A$35,0))-1)*'Parametri Modello'!$B$28))),0)))*(1+INDEX('Parametri Modello'!$B$12:$B$15,MATCH($B161,'Parametri Modello'!$A$12:$A$15,0))),0),"")</f>
        <v>4</v>
      </c>
      <c r="I161" s="26" t="n">
        <f aca="false">IFERROR(INDEX('Input Statistiche 2025_26'!$F$3:$F$665,MATCH($A161,'Input Statistiche 2025_26'!$A$3:$A$665,0)),"")</f>
        <v>32</v>
      </c>
      <c r="J161" s="26" t="n">
        <f aca="false">IFERROR(IF($I161="","",MAX(0,38-$I161)),"")</f>
        <v>6</v>
      </c>
      <c r="K161" s="26" t="n">
        <f aca="false">IFERROR(INDEX('Input Statistiche 2025_26'!$I$3:$I$665,MATCH($A161,'Input Statistiche 2025_26'!$A$3:$A$665,0)),"")</f>
        <v>0</v>
      </c>
      <c r="L161" s="26" t="n">
        <f aca="false">IFERROR(INDEX('Input Statistiche 2025_26'!$O$3:$O$665,MATCH($A161,'Input Statistiche 2025_26'!$A$3:$A$665,0)),"")</f>
        <v>1</v>
      </c>
      <c r="M161" s="28"/>
      <c r="N161" s="27" t="n">
        <f aca="false">IFERROR(INDEX('Input Giocatori 2026_27'!$E$3:$E$493,MATCH($A161,'Input Giocatori 2026_27'!$A$3:$A$493,0)),"")</f>
        <v>7</v>
      </c>
      <c r="O161" s="27" t="n">
        <f aca="false">IFERROR(INDEX('Input Giocatori 2026_27'!$G$3:$G$493,MATCH($A161,'Input Giocatori 2026_27'!$A$3:$A$493,0)),"")</f>
        <v>20</v>
      </c>
      <c r="P161" s="26" t="str">
        <f aca="false">IFERROR(IF($O161="","",IF((1-(COUNTIFS($B$2:$B$492,$B161,$O$2:$O$492,"&gt;"&amp;$O161)+1-1)/COUNTIF($B$2:$B$492,$B161))&gt;=0.85,"Top",IF((1-(COUNTIFS($B$2:$B$492,$B161,$O$2:$O$492,"&gt;"&amp;$O161)+1-1)/COUNTIF($B$2:$B$492,$B161))&gt;=0.6,"Buono",IF((1-(COUNTIFS($B$2:$B$492,$B161,$O$2:$O$492,"&gt;"&amp;$O161)+1-1)/COUNTIF($B$2:$B$492,$B161))&gt;=0.3,"Nella Media","Scommessa/Riserva")))),"")</f>
        <v>Buono</v>
      </c>
      <c r="Q161" s="29" t="n">
        <f aca="false">IF($D161="",COUNTIF($D$2:$D161,""),"")</f>
        <v>160</v>
      </c>
      <c r="R161" s="29" t="str">
        <f aca="false">IF($D161='Info Lega'!$B$28,COUNTIFS($D$2:$D161,'Info Lega'!$B$28),"")</f>
        <v/>
      </c>
      <c r="S161" s="30" t="n">
        <f aca="false">IFERROR(INDEX('Input Statistiche 2025_26'!$G$3:$G$665,MATCH($A161,'Input Statistiche 2025_26'!$A$3:$A$665,0)),"")</f>
        <v>5.97</v>
      </c>
      <c r="T161" s="30" t="n">
        <f aca="false">IFERROR(INDEX('Input Statistiche 2025_26'!$H$3:$H$665,MATCH($A161,'Input Statistiche 2025_26'!$A$3:$A$665,0)),"")</f>
        <v>5.88</v>
      </c>
      <c r="U161" s="26" t="str">
        <f aca="false">IF(OR('La Mia Rosa'!$O$12="",$D161&lt;&gt;""),"",IF($F161&lt;='La Mia Rosa'!$O$12*'Parametri Modello'!$B$24,"OK",IF($F161&lt;='La Mia Rosa'!$O$12*'Parametri Modello'!$B$25,"Attenzione","Rischio Alto")))</f>
        <v>OK</v>
      </c>
      <c r="V161" s="26" t="n">
        <f aca="false">IFERROR(COUNTIFS($B$2:$B$492,$B161,$O$2:$O$492,"&gt;"&amp;$O161)+1,"")</f>
        <v>38</v>
      </c>
      <c r="W161" s="21" t="n">
        <f aca="false">'Info Lega'!$B$4-SUMIFS($M$2:$M$492,$D$2:$D$492,'Info Lega'!$B$28)</f>
        <v>1000</v>
      </c>
      <c r="X161" s="21" t="n">
        <f aca="false">('Info Lega'!$B$5-COUNTIFS($D$2:$D$492,'Info Lega'!$B$28,$B$2:$B$492,"P"))+('Info Lega'!$B$6-COUNTIFS($D$2:$D$492,'Info Lega'!$B$28,$B$2:$B$492,"D"))+('Info Lega'!$B$7-COUNTIFS($D$2:$D$492,'Info Lega'!$B$28,$B$2:$B$492,"C"))+('Info Lega'!$B$8-COUNTIFS($D$2:$D$492,'Info Lega'!$B$28,$B$2:$B$492,"A"))</f>
        <v>25</v>
      </c>
      <c r="Y161" s="21" t="n">
        <f aca="false">X161*'Parametri Modello'!$B$30</f>
        <v>25</v>
      </c>
      <c r="Z161" s="21" t="n">
        <f aca="false">MAX(0,W161-Y161)</f>
        <v>975</v>
      </c>
      <c r="AA161" s="21" t="n">
        <f aca="false">MIN(F161,Z161)</f>
        <v>4</v>
      </c>
      <c r="AB161" s="21"/>
      <c r="AC161" s="21" t="str">
        <f aca="false">IF(AB161="","",IF(AB161&gt;AA161,"PASS",IF(AB161&lt;=AA161*0.85,"BID","ATTENZIONE")))</f>
        <v/>
      </c>
      <c r="AD161" s="31" t="n">
        <f aca="false">IF(I161="","",ROUND(100*(1-EXP(-I161/30)),0))</f>
        <v>66</v>
      </c>
      <c r="AE161" s="7" t="str">
        <f aca="false">IFERROR(INDEX('Stato Asta'!$G$9:$G$12,MATCH($B161,'Stato Asta'!$A$9:$A$12,0)),"")</f>
        <v>🟡 Attesa rischiosa</v>
      </c>
    </row>
    <row r="162" customFormat="false" ht="14.25" hidden="false" customHeight="true" outlineLevel="0" collapsed="false">
      <c r="A162" s="21" t="n">
        <v>2188</v>
      </c>
      <c r="B162" s="21" t="s">
        <v>44</v>
      </c>
      <c r="C162" s="21" t="s">
        <v>254</v>
      </c>
      <c r="E162" s="26" t="str">
        <f aca="false">IF(COUNTIF('Info Strategia'!$D$2:$D$51,$C162)&gt;0,"SI","NO")</f>
        <v>NO</v>
      </c>
      <c r="F162" s="27" t="n">
        <f aca="false">IFERROR(ROUND(($G162+($H162-$G162)*'Info Strategia'!$B$6)*(1+IF($E162="SI",'Parametri Modello'!$B$7*'Info Strategia'!$B$6,0)),0),"")</f>
        <v>4</v>
      </c>
      <c r="G162" s="27" t="n">
        <f aca="false">IFERROR(ROUND(MAX(1,(IF($V162&lt;=INDEX('Parametri Modello'!$C$57:$C$60,MATCH($B162,'Parametri Modello'!$A$57:$A$60,0)),IF(INDEX('Parametri Modello'!$E$57:$E$60,MATCH($B162,'Parametri Modello'!$A$57:$A$60,0))=0,0,($O162/INDEX('Parametri Modello'!$E$57:$E$60,MATCH($B162,'Parametri Modello'!$A$57:$A$60,0)))*(INDEX('Parametri Modello'!$D$57:$D$60,MATCH($B162,'Parametri Modello'!$A$57:$A$60,0))*(INDEX('Parametri Modello'!$B$50:$B$53,MATCH($B162,'Parametri Modello'!$A$50:$A$53,0))*'Parametri Modello'!$B$44))),IF(INDEX('Parametri Modello'!$F$57:$F$60,MATCH($B162,'Parametri Modello'!$A$57:$A$60,0))=0,0,($O162/INDEX('Parametri Modello'!$F$57:$F$60,MATCH($B162,'Parametri Modello'!$A$57:$A$60,0)))*((1-INDEX('Parametri Modello'!$D$57:$D$60,MATCH($B162,'Parametri Modello'!$A$57:$A$60,0)))*(INDEX('Parametri Modello'!$B$50:$B$53,MATCH($B162,'Parametri Modello'!$A$50:$A$53,0))*'Parametri Modello'!$B$44))))*(1+IF(IF($B162="D",'Info Lega'!$B$25,IF($B162="C",'Info Lega'!$B$26,"No"))="Si",'Parametri Modello'!$B$5,0))*(1+MAX(-0.25,MIN(0.25,IF(OR($T162="",$I162="",$I162=0,INDEX('Parametri Modello'!$B$19:$B$22,MATCH($B162,'Parametri Modello'!$A$19:$A$22,0))="",INDEX('Parametri Modello'!$B$19:$B$22,MATCH($B162,'Parametri Modello'!$A$19:$A$22,0))=0),0,(($T162-INDEX('Parametri Modello'!$B$19:$B$22,MATCH($B162,'Parametri Modello'!$A$19:$A$22,0)))/INDEX('Parametri Modello'!$B$19:$B$22,MATCH($B162,'Parametri Modello'!$A$19:$A$22,0)))*'Parametri Modello'!$B$9))))*(1+IF('Parametri Modello'!$B$27="Si",MAX(-'Parametri Modello'!$B$28,MIN('Parametri Modello'!$B$28*1.5,IF(OR(INDEX('Parametri Modello'!$F$32:$F$35,MATCH($B162,'Parametri Modello'!$A$32:$A$35,0))="",INDEX('Parametri Modello'!$F$32:$F$35,MATCH($B162,'Parametri Modello'!$A$32:$A$35,0))=0),0,(1/INDEX('Parametri Modello'!$F$32:$F$35,MATCH($B162,'Parametri Modello'!$A$32:$A$35,0))-1)*'Parametri Modello'!$B$28))),0)))*(1-INDEX('Parametri Modello'!$B$12:$B$15,MATCH($B162,'Parametri Modello'!$A$12:$A$15,0)))),0),"")</f>
        <v>3</v>
      </c>
      <c r="H162" s="27" t="n">
        <f aca="false">IFERROR(ROUND((IF($V162&lt;=INDEX('Parametri Modello'!$C$57:$C$60,MATCH($B162,'Parametri Modello'!$A$57:$A$60,0)),IF(INDEX('Parametri Modello'!$E$57:$E$60,MATCH($B162,'Parametri Modello'!$A$57:$A$60,0))=0,0,($O162/INDEX('Parametri Modello'!$E$57:$E$60,MATCH($B162,'Parametri Modello'!$A$57:$A$60,0)))*(INDEX('Parametri Modello'!$D$57:$D$60,MATCH($B162,'Parametri Modello'!$A$57:$A$60,0))*(INDEX('Parametri Modello'!$B$50:$B$53,MATCH($B162,'Parametri Modello'!$A$50:$A$53,0))*'Parametri Modello'!$B$44))),IF(INDEX('Parametri Modello'!$F$57:$F$60,MATCH($B162,'Parametri Modello'!$A$57:$A$60,0))=0,0,($O162/INDEX('Parametri Modello'!$F$57:$F$60,MATCH($B162,'Parametri Modello'!$A$57:$A$60,0)))*((1-INDEX('Parametri Modello'!$D$57:$D$60,MATCH($B162,'Parametri Modello'!$A$57:$A$60,0)))*(INDEX('Parametri Modello'!$B$50:$B$53,MATCH($B162,'Parametri Modello'!$A$50:$A$53,0))*'Parametri Modello'!$B$44))))*(1+IF(IF($B162="D",'Info Lega'!$B$25,IF($B162="C",'Info Lega'!$B$26,"No"))="Si",'Parametri Modello'!$B$5,0))*(1+MAX(-0.25,MIN(0.25,IF(OR($T162="",$I162="",$I162=0,INDEX('Parametri Modello'!$B$19:$B$22,MATCH($B162,'Parametri Modello'!$A$19:$A$22,0))="",INDEX('Parametri Modello'!$B$19:$B$22,MATCH($B162,'Parametri Modello'!$A$19:$A$22,0))=0),0,(($T162-INDEX('Parametri Modello'!$B$19:$B$22,MATCH($B162,'Parametri Modello'!$A$19:$A$22,0)))/INDEX('Parametri Modello'!$B$19:$B$22,MATCH($B162,'Parametri Modello'!$A$19:$A$22,0)))*'Parametri Modello'!$B$9))))*(1+IF('Parametri Modello'!$B$27="Si",MAX(-'Parametri Modello'!$B$28,MIN('Parametri Modello'!$B$28*1.5,IF(OR(INDEX('Parametri Modello'!$F$32:$F$35,MATCH($B162,'Parametri Modello'!$A$32:$A$35,0))="",INDEX('Parametri Modello'!$F$32:$F$35,MATCH($B162,'Parametri Modello'!$A$32:$A$35,0))=0),0,(1/INDEX('Parametri Modello'!$F$32:$F$35,MATCH($B162,'Parametri Modello'!$A$32:$A$35,0))-1)*'Parametri Modello'!$B$28))),0)))*(1+INDEX('Parametri Modello'!$B$12:$B$15,MATCH($B162,'Parametri Modello'!$A$12:$A$15,0))),0),"")</f>
        <v>4</v>
      </c>
      <c r="I162" s="26" t="n">
        <f aca="false">IFERROR(INDEX('Input Statistiche 2025_26'!$F$3:$F$665,MATCH($A162,'Input Statistiche 2025_26'!$A$3:$A$665,0)),"")</f>
        <v>33</v>
      </c>
      <c r="J162" s="26" t="n">
        <f aca="false">IFERROR(IF($I162="","",MAX(0,38-$I162)),"")</f>
        <v>5</v>
      </c>
      <c r="K162" s="26" t="n">
        <f aca="false">IFERROR(INDEX('Input Statistiche 2025_26'!$I$3:$I$665,MATCH($A162,'Input Statistiche 2025_26'!$A$3:$A$665,0)),"")</f>
        <v>1</v>
      </c>
      <c r="L162" s="26" t="n">
        <f aca="false">IFERROR(INDEX('Input Statistiche 2025_26'!$O$3:$O$665,MATCH($A162,'Input Statistiche 2025_26'!$A$3:$A$665,0)),"")</f>
        <v>2</v>
      </c>
      <c r="M162" s="28"/>
      <c r="N162" s="27" t="n">
        <f aca="false">IFERROR(INDEX('Input Giocatori 2026_27'!$E$3:$E$493,MATCH($A162,'Input Giocatori 2026_27'!$A$3:$A$493,0)),"")</f>
        <v>6</v>
      </c>
      <c r="O162" s="27" t="n">
        <f aca="false">IFERROR(INDEX('Input Giocatori 2026_27'!$G$3:$G$493,MATCH($A162,'Input Giocatori 2026_27'!$A$3:$A$493,0)),"")</f>
        <v>20</v>
      </c>
      <c r="P162" s="26" t="str">
        <f aca="false">IFERROR(IF($O162="","",IF((1-(COUNTIFS($B$2:$B$492,$B162,$O$2:$O$492,"&gt;"&amp;$O162)+1-1)/COUNTIF($B$2:$B$492,$B162))&gt;=0.85,"Top",IF((1-(COUNTIFS($B$2:$B$492,$B162,$O$2:$O$492,"&gt;"&amp;$O162)+1-1)/COUNTIF($B$2:$B$492,$B162))&gt;=0.6,"Buono",IF((1-(COUNTIFS($B$2:$B$492,$B162,$O$2:$O$492,"&gt;"&amp;$O162)+1-1)/COUNTIF($B$2:$B$492,$B162))&gt;=0.3,"Nella Media","Scommessa/Riserva")))),"")</f>
        <v>Buono</v>
      </c>
      <c r="Q162" s="29" t="n">
        <f aca="false">IF($D162="",COUNTIF($D$2:$D162,""),"")</f>
        <v>161</v>
      </c>
      <c r="R162" s="29" t="str">
        <f aca="false">IF($D162='Info Lega'!$B$28,COUNTIFS($D$2:$D162,'Info Lega'!$B$28),"")</f>
        <v/>
      </c>
      <c r="S162" s="30" t="n">
        <f aca="false">IFERROR(INDEX('Input Statistiche 2025_26'!$G$3:$G$665,MATCH($A162,'Input Statistiche 2025_26'!$A$3:$A$665,0)),"")</f>
        <v>5.86</v>
      </c>
      <c r="T162" s="30" t="n">
        <f aca="false">IFERROR(INDEX('Input Statistiche 2025_26'!$H$3:$H$665,MATCH($A162,'Input Statistiche 2025_26'!$A$3:$A$665,0)),"")</f>
        <v>5.97</v>
      </c>
      <c r="U162" s="26" t="str">
        <f aca="false">IF(OR('La Mia Rosa'!$O$12="",$D162&lt;&gt;""),"",IF($F162&lt;='La Mia Rosa'!$O$12*'Parametri Modello'!$B$24,"OK",IF($F162&lt;='La Mia Rosa'!$O$12*'Parametri Modello'!$B$25,"Attenzione","Rischio Alto")))</f>
        <v>OK</v>
      </c>
      <c r="V162" s="26" t="n">
        <f aca="false">IFERROR(COUNTIFS($B$2:$B$492,$B162,$O$2:$O$492,"&gt;"&amp;$O162)+1,"")</f>
        <v>38</v>
      </c>
      <c r="W162" s="21" t="n">
        <f aca="false">'Info Lega'!$B$4-SUMIFS($M$2:$M$492,$D$2:$D$492,'Info Lega'!$B$28)</f>
        <v>1000</v>
      </c>
      <c r="X162" s="21" t="n">
        <f aca="false">('Info Lega'!$B$5-COUNTIFS($D$2:$D$492,'Info Lega'!$B$28,$B$2:$B$492,"P"))+('Info Lega'!$B$6-COUNTIFS($D$2:$D$492,'Info Lega'!$B$28,$B$2:$B$492,"D"))+('Info Lega'!$B$7-COUNTIFS($D$2:$D$492,'Info Lega'!$B$28,$B$2:$B$492,"C"))+('Info Lega'!$B$8-COUNTIFS($D$2:$D$492,'Info Lega'!$B$28,$B$2:$B$492,"A"))</f>
        <v>25</v>
      </c>
      <c r="Y162" s="21" t="n">
        <f aca="false">X162*'Parametri Modello'!$B$30</f>
        <v>25</v>
      </c>
      <c r="Z162" s="21" t="n">
        <f aca="false">MAX(0,W162-Y162)</f>
        <v>975</v>
      </c>
      <c r="AA162" s="21" t="n">
        <f aca="false">MIN(F162,Z162)</f>
        <v>4</v>
      </c>
      <c r="AB162" s="21"/>
      <c r="AC162" s="21" t="str">
        <f aca="false">IF(AB162="","",IF(AB162&gt;AA162,"PASS",IF(AB162&lt;=AA162*0.85,"BID","ATTENZIONE")))</f>
        <v/>
      </c>
      <c r="AD162" s="31" t="n">
        <f aca="false">IF(I162="","",ROUND(100*(1-EXP(-I162/30)),0))</f>
        <v>67</v>
      </c>
      <c r="AE162" s="7" t="str">
        <f aca="false">IFERROR(INDEX('Stato Asta'!$G$9:$G$12,MATCH($B162,'Stato Asta'!$A$9:$A$12,0)),"")</f>
        <v>🟡 Attesa rischiosa</v>
      </c>
    </row>
    <row r="163" customFormat="false" ht="14.25" hidden="false" customHeight="true" outlineLevel="0" collapsed="false">
      <c r="A163" s="21" t="n">
        <v>6717</v>
      </c>
      <c r="B163" s="21" t="s">
        <v>45</v>
      </c>
      <c r="C163" s="21" t="s">
        <v>406</v>
      </c>
      <c r="E163" s="26" t="str">
        <f aca="false">IF(COUNTIF('Info Strategia'!$D$2:$D$51,$C163)&gt;0,"SI","NO")</f>
        <v>NO</v>
      </c>
      <c r="F163" s="27" t="n">
        <f aca="false">IFERROR(ROUND(($G163+($H163-$G163)*'Info Strategia'!$B$6)*(1+IF($E163="SI",'Parametri Modello'!$B$7*'Info Strategia'!$B$6,0)),0),"")</f>
        <v>3</v>
      </c>
      <c r="G163" s="27" t="n">
        <f aca="false">IFERROR(ROUND(MAX(1,(IF($V163&lt;=INDEX('Parametri Modello'!$C$57:$C$60,MATCH($B163,'Parametri Modello'!$A$57:$A$60,0)),IF(INDEX('Parametri Modello'!$E$57:$E$60,MATCH($B163,'Parametri Modello'!$A$57:$A$60,0))=0,0,($O163/INDEX('Parametri Modello'!$E$57:$E$60,MATCH($B163,'Parametri Modello'!$A$57:$A$60,0)))*(INDEX('Parametri Modello'!$D$57:$D$60,MATCH($B163,'Parametri Modello'!$A$57:$A$60,0))*(INDEX('Parametri Modello'!$B$50:$B$53,MATCH($B163,'Parametri Modello'!$A$50:$A$53,0))*'Parametri Modello'!$B$44))),IF(INDEX('Parametri Modello'!$F$57:$F$60,MATCH($B163,'Parametri Modello'!$A$57:$A$60,0))=0,0,($O163/INDEX('Parametri Modello'!$F$57:$F$60,MATCH($B163,'Parametri Modello'!$A$57:$A$60,0)))*((1-INDEX('Parametri Modello'!$D$57:$D$60,MATCH($B163,'Parametri Modello'!$A$57:$A$60,0)))*(INDEX('Parametri Modello'!$B$50:$B$53,MATCH($B163,'Parametri Modello'!$A$50:$A$53,0))*'Parametri Modello'!$B$44))))*(1+IF(IF($B163="D",'Info Lega'!$B$25,IF($B163="C",'Info Lega'!$B$26,"No"))="Si",'Parametri Modello'!$B$5,0))*(1+MAX(-0.25,MIN(0.25,IF(OR($T163="",$I163="",$I163=0,INDEX('Parametri Modello'!$B$19:$B$22,MATCH($B163,'Parametri Modello'!$A$19:$A$22,0))="",INDEX('Parametri Modello'!$B$19:$B$22,MATCH($B163,'Parametri Modello'!$A$19:$A$22,0))=0),0,(($T163-INDEX('Parametri Modello'!$B$19:$B$22,MATCH($B163,'Parametri Modello'!$A$19:$A$22,0)))/INDEX('Parametri Modello'!$B$19:$B$22,MATCH($B163,'Parametri Modello'!$A$19:$A$22,0)))*'Parametri Modello'!$B$9))))*(1+IF('Parametri Modello'!$B$27="Si",MAX(-'Parametri Modello'!$B$28,MIN('Parametri Modello'!$B$28*1.5,IF(OR(INDEX('Parametri Modello'!$F$32:$F$35,MATCH($B163,'Parametri Modello'!$A$32:$A$35,0))="",INDEX('Parametri Modello'!$F$32:$F$35,MATCH($B163,'Parametri Modello'!$A$32:$A$35,0))=0),0,(1/INDEX('Parametri Modello'!$F$32:$F$35,MATCH($B163,'Parametri Modello'!$A$32:$A$35,0))-1)*'Parametri Modello'!$B$28))),0)))*(1-INDEX('Parametri Modello'!$B$12:$B$15,MATCH($B163,'Parametri Modello'!$A$12:$A$15,0)))),0),"")</f>
        <v>2</v>
      </c>
      <c r="H163" s="27" t="n">
        <f aca="false">IFERROR(ROUND((IF($V163&lt;=INDEX('Parametri Modello'!$C$57:$C$60,MATCH($B163,'Parametri Modello'!$A$57:$A$60,0)),IF(INDEX('Parametri Modello'!$E$57:$E$60,MATCH($B163,'Parametri Modello'!$A$57:$A$60,0))=0,0,($O163/INDEX('Parametri Modello'!$E$57:$E$60,MATCH($B163,'Parametri Modello'!$A$57:$A$60,0)))*(INDEX('Parametri Modello'!$D$57:$D$60,MATCH($B163,'Parametri Modello'!$A$57:$A$60,0))*(INDEX('Parametri Modello'!$B$50:$B$53,MATCH($B163,'Parametri Modello'!$A$50:$A$53,0))*'Parametri Modello'!$B$44))),IF(INDEX('Parametri Modello'!$F$57:$F$60,MATCH($B163,'Parametri Modello'!$A$57:$A$60,0))=0,0,($O163/INDEX('Parametri Modello'!$F$57:$F$60,MATCH($B163,'Parametri Modello'!$A$57:$A$60,0)))*((1-INDEX('Parametri Modello'!$D$57:$D$60,MATCH($B163,'Parametri Modello'!$A$57:$A$60,0)))*(INDEX('Parametri Modello'!$B$50:$B$53,MATCH($B163,'Parametri Modello'!$A$50:$A$53,0))*'Parametri Modello'!$B$44))))*(1+IF(IF($B163="D",'Info Lega'!$B$25,IF($B163="C",'Info Lega'!$B$26,"No"))="Si",'Parametri Modello'!$B$5,0))*(1+MAX(-0.25,MIN(0.25,IF(OR($T163="",$I163="",$I163=0,INDEX('Parametri Modello'!$B$19:$B$22,MATCH($B163,'Parametri Modello'!$A$19:$A$22,0))="",INDEX('Parametri Modello'!$B$19:$B$22,MATCH($B163,'Parametri Modello'!$A$19:$A$22,0))=0),0,(($T163-INDEX('Parametri Modello'!$B$19:$B$22,MATCH($B163,'Parametri Modello'!$A$19:$A$22,0)))/INDEX('Parametri Modello'!$B$19:$B$22,MATCH($B163,'Parametri Modello'!$A$19:$A$22,0)))*'Parametri Modello'!$B$9))))*(1+IF('Parametri Modello'!$B$27="Si",MAX(-'Parametri Modello'!$B$28,MIN('Parametri Modello'!$B$28*1.5,IF(OR(INDEX('Parametri Modello'!$F$32:$F$35,MATCH($B163,'Parametri Modello'!$A$32:$A$35,0))="",INDEX('Parametri Modello'!$F$32:$F$35,MATCH($B163,'Parametri Modello'!$A$32:$A$35,0))=0),0,(1/INDEX('Parametri Modello'!$F$32:$F$35,MATCH($B163,'Parametri Modello'!$A$32:$A$35,0))-1)*'Parametri Modello'!$B$28))),0)))*(1+INDEX('Parametri Modello'!$B$12:$B$15,MATCH($B163,'Parametri Modello'!$A$12:$A$15,0))),0),"")</f>
        <v>3</v>
      </c>
      <c r="I163" s="26" t="n">
        <f aca="false">IFERROR(INDEX('Input Statistiche 2025_26'!$F$3:$F$665,MATCH($A163,'Input Statistiche 2025_26'!$A$3:$A$665,0)),"")</f>
        <v>35</v>
      </c>
      <c r="J163" s="26" t="n">
        <f aca="false">IFERROR(IF($I163="","",MAX(0,38-$I163)),"")</f>
        <v>3</v>
      </c>
      <c r="K163" s="26" t="n">
        <f aca="false">IFERROR(INDEX('Input Statistiche 2025_26'!$I$3:$I$665,MATCH($A163,'Input Statistiche 2025_26'!$A$3:$A$665,0)),"")</f>
        <v>6</v>
      </c>
      <c r="L163" s="26" t="n">
        <f aca="false">IFERROR(INDEX('Input Statistiche 2025_26'!$O$3:$O$665,MATCH($A163,'Input Statistiche 2025_26'!$A$3:$A$665,0)),"")</f>
        <v>0</v>
      </c>
      <c r="M163" s="28"/>
      <c r="N163" s="27" t="n">
        <f aca="false">IFERROR(INDEX('Input Giocatori 2026_27'!$E$3:$E$493,MATCH($A163,'Input Giocatori 2026_27'!$A$3:$A$493,0)),"")</f>
        <v>9</v>
      </c>
      <c r="O163" s="27" t="n">
        <f aca="false">IFERROR(INDEX('Input Giocatori 2026_27'!$G$3:$G$493,MATCH($A163,'Input Giocatori 2026_27'!$A$3:$A$493,0)),"")</f>
        <v>20</v>
      </c>
      <c r="P163" s="26" t="str">
        <f aca="false">IFERROR(IF($O163="","",IF((1-(COUNTIFS($B$2:$B$492,$B163,$O$2:$O$492,"&gt;"&amp;$O163)+1-1)/COUNTIF($B$2:$B$492,$B163))&gt;=0.85,"Top",IF((1-(COUNTIFS($B$2:$B$492,$B163,$O$2:$O$492,"&gt;"&amp;$O163)+1-1)/COUNTIF($B$2:$B$492,$B163))&gt;=0.6,"Buono",IF((1-(COUNTIFS($B$2:$B$492,$B163,$O$2:$O$492,"&gt;"&amp;$O163)+1-1)/COUNTIF($B$2:$B$492,$B163))&gt;=0.3,"Nella Media","Scommessa/Riserva")))),"")</f>
        <v>Buono</v>
      </c>
      <c r="Q163" s="29" t="n">
        <f aca="false">IF($D163="",COUNTIF($D$2:$D163,""),"")</f>
        <v>162</v>
      </c>
      <c r="R163" s="29" t="str">
        <f aca="false">IF($D163='Info Lega'!$B$28,COUNTIFS($D$2:$D163,'Info Lega'!$B$28),"")</f>
        <v/>
      </c>
      <c r="S163" s="30" t="n">
        <f aca="false">IFERROR(INDEX('Input Statistiche 2025_26'!$G$3:$G$665,MATCH($A163,'Input Statistiche 2025_26'!$A$3:$A$665,0)),"")</f>
        <v>6.19</v>
      </c>
      <c r="T163" s="30" t="n">
        <f aca="false">IFERROR(INDEX('Input Statistiche 2025_26'!$H$3:$H$665,MATCH($A163,'Input Statistiche 2025_26'!$A$3:$A$665,0)),"")</f>
        <v>6.63</v>
      </c>
      <c r="U163" s="26" t="str">
        <f aca="false">IF(OR('La Mia Rosa'!$O$12="",$D163&lt;&gt;""),"",IF($F163&lt;='La Mia Rosa'!$O$12*'Parametri Modello'!$B$24,"OK",IF($F163&lt;='La Mia Rosa'!$O$12*'Parametri Modello'!$B$25,"Attenzione","Rischio Alto")))</f>
        <v>OK</v>
      </c>
      <c r="V163" s="26" t="n">
        <f aca="false">IFERROR(COUNTIFS($B$2:$B$492,$B163,$O$2:$O$492,"&gt;"&amp;$O163)+1,"")</f>
        <v>60</v>
      </c>
      <c r="W163" s="21" t="n">
        <f aca="false">'Info Lega'!$B$4-SUMIFS($M$2:$M$492,$D$2:$D$492,'Info Lega'!$B$28)</f>
        <v>1000</v>
      </c>
      <c r="X163" s="21" t="n">
        <f aca="false">('Info Lega'!$B$5-COUNTIFS($D$2:$D$492,'Info Lega'!$B$28,$B$2:$B$492,"P"))+('Info Lega'!$B$6-COUNTIFS($D$2:$D$492,'Info Lega'!$B$28,$B$2:$B$492,"D"))+('Info Lega'!$B$7-COUNTIFS($D$2:$D$492,'Info Lega'!$B$28,$B$2:$B$492,"C"))+('Info Lega'!$B$8-COUNTIFS($D$2:$D$492,'Info Lega'!$B$28,$B$2:$B$492,"A"))</f>
        <v>25</v>
      </c>
      <c r="Y163" s="21" t="n">
        <f aca="false">X163*'Parametri Modello'!$B$30</f>
        <v>25</v>
      </c>
      <c r="Z163" s="21" t="n">
        <f aca="false">MAX(0,W163-Y163)</f>
        <v>975</v>
      </c>
      <c r="AA163" s="21" t="n">
        <f aca="false">MIN(F163,Z163)</f>
        <v>3</v>
      </c>
      <c r="AB163" s="21"/>
      <c r="AC163" s="21" t="str">
        <f aca="false">IF(AB163="","",IF(AB163&gt;AA163,"PASS",IF(AB163&lt;=AA163*0.85,"BID","ATTENZIONE")))</f>
        <v/>
      </c>
      <c r="AD163" s="31" t="n">
        <f aca="false">IF(I163="","",ROUND(100*(1-EXP(-I163/30)),0))</f>
        <v>69</v>
      </c>
      <c r="AE163" s="7" t="str">
        <f aca="false">IFERROR(INDEX('Stato Asta'!$G$9:$G$12,MATCH($B163,'Stato Asta'!$A$9:$A$12,0)),"")</f>
        <v>🟡 Attesa rischiosa</v>
      </c>
    </row>
    <row r="164" customFormat="false" ht="14.25" hidden="false" customHeight="true" outlineLevel="0" collapsed="false">
      <c r="A164" s="21" t="n">
        <v>2741</v>
      </c>
      <c r="B164" s="21" t="s">
        <v>45</v>
      </c>
      <c r="C164" s="21" t="s">
        <v>423</v>
      </c>
      <c r="E164" s="26" t="str">
        <f aca="false">IF(COUNTIF('Info Strategia'!$D$2:$D$51,$C164)&gt;0,"SI","NO")</f>
        <v>NO</v>
      </c>
      <c r="F164" s="27" t="n">
        <f aca="false">IFERROR(ROUND(($G164+($H164-$G164)*'Info Strategia'!$B$6)*(1+IF($E164="SI",'Parametri Modello'!$B$7*'Info Strategia'!$B$6,0)),0),"")</f>
        <v>3</v>
      </c>
      <c r="G164" s="27" t="n">
        <f aca="false">IFERROR(ROUND(MAX(1,(IF($V164&lt;=INDEX('Parametri Modello'!$C$57:$C$60,MATCH($B164,'Parametri Modello'!$A$57:$A$60,0)),IF(INDEX('Parametri Modello'!$E$57:$E$60,MATCH($B164,'Parametri Modello'!$A$57:$A$60,0))=0,0,($O164/INDEX('Parametri Modello'!$E$57:$E$60,MATCH($B164,'Parametri Modello'!$A$57:$A$60,0)))*(INDEX('Parametri Modello'!$D$57:$D$60,MATCH($B164,'Parametri Modello'!$A$57:$A$60,0))*(INDEX('Parametri Modello'!$B$50:$B$53,MATCH($B164,'Parametri Modello'!$A$50:$A$53,0))*'Parametri Modello'!$B$44))),IF(INDEX('Parametri Modello'!$F$57:$F$60,MATCH($B164,'Parametri Modello'!$A$57:$A$60,0))=0,0,($O164/INDEX('Parametri Modello'!$F$57:$F$60,MATCH($B164,'Parametri Modello'!$A$57:$A$60,0)))*((1-INDEX('Parametri Modello'!$D$57:$D$60,MATCH($B164,'Parametri Modello'!$A$57:$A$60,0)))*(INDEX('Parametri Modello'!$B$50:$B$53,MATCH($B164,'Parametri Modello'!$A$50:$A$53,0))*'Parametri Modello'!$B$44))))*(1+IF(IF($B164="D",'Info Lega'!$B$25,IF($B164="C",'Info Lega'!$B$26,"No"))="Si",'Parametri Modello'!$B$5,0))*(1+MAX(-0.25,MIN(0.25,IF(OR($T164="",$I164="",$I164=0,INDEX('Parametri Modello'!$B$19:$B$22,MATCH($B164,'Parametri Modello'!$A$19:$A$22,0))="",INDEX('Parametri Modello'!$B$19:$B$22,MATCH($B164,'Parametri Modello'!$A$19:$A$22,0))=0),0,(($T164-INDEX('Parametri Modello'!$B$19:$B$22,MATCH($B164,'Parametri Modello'!$A$19:$A$22,0)))/INDEX('Parametri Modello'!$B$19:$B$22,MATCH($B164,'Parametri Modello'!$A$19:$A$22,0)))*'Parametri Modello'!$B$9))))*(1+IF('Parametri Modello'!$B$27="Si",MAX(-'Parametri Modello'!$B$28,MIN('Parametri Modello'!$B$28*1.5,IF(OR(INDEX('Parametri Modello'!$F$32:$F$35,MATCH($B164,'Parametri Modello'!$A$32:$A$35,0))="",INDEX('Parametri Modello'!$F$32:$F$35,MATCH($B164,'Parametri Modello'!$A$32:$A$35,0))=0),0,(1/INDEX('Parametri Modello'!$F$32:$F$35,MATCH($B164,'Parametri Modello'!$A$32:$A$35,0))-1)*'Parametri Modello'!$B$28))),0)))*(1-INDEX('Parametri Modello'!$B$12:$B$15,MATCH($B164,'Parametri Modello'!$A$12:$A$15,0)))),0),"")</f>
        <v>2</v>
      </c>
      <c r="H164" s="27" t="n">
        <f aca="false">IFERROR(ROUND((IF($V164&lt;=INDEX('Parametri Modello'!$C$57:$C$60,MATCH($B164,'Parametri Modello'!$A$57:$A$60,0)),IF(INDEX('Parametri Modello'!$E$57:$E$60,MATCH($B164,'Parametri Modello'!$A$57:$A$60,0))=0,0,($O164/INDEX('Parametri Modello'!$E$57:$E$60,MATCH($B164,'Parametri Modello'!$A$57:$A$60,0)))*(INDEX('Parametri Modello'!$D$57:$D$60,MATCH($B164,'Parametri Modello'!$A$57:$A$60,0))*(INDEX('Parametri Modello'!$B$50:$B$53,MATCH($B164,'Parametri Modello'!$A$50:$A$53,0))*'Parametri Modello'!$B$44))),IF(INDEX('Parametri Modello'!$F$57:$F$60,MATCH($B164,'Parametri Modello'!$A$57:$A$60,0))=0,0,($O164/INDEX('Parametri Modello'!$F$57:$F$60,MATCH($B164,'Parametri Modello'!$A$57:$A$60,0)))*((1-INDEX('Parametri Modello'!$D$57:$D$60,MATCH($B164,'Parametri Modello'!$A$57:$A$60,0)))*(INDEX('Parametri Modello'!$B$50:$B$53,MATCH($B164,'Parametri Modello'!$A$50:$A$53,0))*'Parametri Modello'!$B$44))))*(1+IF(IF($B164="D",'Info Lega'!$B$25,IF($B164="C",'Info Lega'!$B$26,"No"))="Si",'Parametri Modello'!$B$5,0))*(1+MAX(-0.25,MIN(0.25,IF(OR($T164="",$I164="",$I164=0,INDEX('Parametri Modello'!$B$19:$B$22,MATCH($B164,'Parametri Modello'!$A$19:$A$22,0))="",INDEX('Parametri Modello'!$B$19:$B$22,MATCH($B164,'Parametri Modello'!$A$19:$A$22,0))=0),0,(($T164-INDEX('Parametri Modello'!$B$19:$B$22,MATCH($B164,'Parametri Modello'!$A$19:$A$22,0)))/INDEX('Parametri Modello'!$B$19:$B$22,MATCH($B164,'Parametri Modello'!$A$19:$A$22,0)))*'Parametri Modello'!$B$9))))*(1+IF('Parametri Modello'!$B$27="Si",MAX(-'Parametri Modello'!$B$28,MIN('Parametri Modello'!$B$28*1.5,IF(OR(INDEX('Parametri Modello'!$F$32:$F$35,MATCH($B164,'Parametri Modello'!$A$32:$A$35,0))="",INDEX('Parametri Modello'!$F$32:$F$35,MATCH($B164,'Parametri Modello'!$A$32:$A$35,0))=0),0,(1/INDEX('Parametri Modello'!$F$32:$F$35,MATCH($B164,'Parametri Modello'!$A$32:$A$35,0))-1)*'Parametri Modello'!$B$28))),0)))*(1+INDEX('Parametri Modello'!$B$12:$B$15,MATCH($B164,'Parametri Modello'!$A$12:$A$15,0))),0),"")</f>
        <v>3</v>
      </c>
      <c r="I164" s="26" t="str">
        <f aca="false">IFERROR(INDEX('Input Statistiche 2025_26'!$F$3:$F$665,MATCH($A164,'Input Statistiche 2025_26'!$A$3:$A$665,0)),"")</f>
        <v/>
      </c>
      <c r="J164" s="26" t="str">
        <f aca="false">IFERROR(IF($I164="","",MAX(0,38-$I164)),"")</f>
        <v/>
      </c>
      <c r="K164" s="26" t="str">
        <f aca="false">IFERROR(INDEX('Input Statistiche 2025_26'!$I$3:$I$665,MATCH($A164,'Input Statistiche 2025_26'!$A$3:$A$665,0)),"")</f>
        <v/>
      </c>
      <c r="L164" s="26" t="str">
        <f aca="false">IFERROR(INDEX('Input Statistiche 2025_26'!$O$3:$O$665,MATCH($A164,'Input Statistiche 2025_26'!$A$3:$A$665,0)),"")</f>
        <v/>
      </c>
      <c r="M164" s="28"/>
      <c r="N164" s="27" t="n">
        <f aca="false">IFERROR(INDEX('Input Giocatori 2026_27'!$E$3:$E$493,MATCH($A164,'Input Giocatori 2026_27'!$A$3:$A$493,0)),"")</f>
        <v>7</v>
      </c>
      <c r="O164" s="27" t="n">
        <f aca="false">IFERROR(INDEX('Input Giocatori 2026_27'!$G$3:$G$493,MATCH($A164,'Input Giocatori 2026_27'!$A$3:$A$493,0)),"")</f>
        <v>20</v>
      </c>
      <c r="P164" s="26" t="str">
        <f aca="false">IFERROR(IF($O164="","",IF((1-(COUNTIFS($B$2:$B$492,$B164,$O$2:$O$492,"&gt;"&amp;$O164)+1-1)/COUNTIF($B$2:$B$492,$B164))&gt;=0.85,"Top",IF((1-(COUNTIFS($B$2:$B$492,$B164,$O$2:$O$492,"&gt;"&amp;$O164)+1-1)/COUNTIF($B$2:$B$492,$B164))&gt;=0.6,"Buono",IF((1-(COUNTIFS($B$2:$B$492,$B164,$O$2:$O$492,"&gt;"&amp;$O164)+1-1)/COUNTIF($B$2:$B$492,$B164))&gt;=0.3,"Nella Media","Scommessa/Riserva")))),"")</f>
        <v>Buono</v>
      </c>
      <c r="Q164" s="29" t="n">
        <f aca="false">IF($D164="",COUNTIF($D$2:$D164,""),"")</f>
        <v>163</v>
      </c>
      <c r="R164" s="29" t="str">
        <f aca="false">IF($D164='Info Lega'!$B$28,COUNTIFS($D$2:$D164,'Info Lega'!$B$28),"")</f>
        <v/>
      </c>
      <c r="S164" s="30" t="str">
        <f aca="false">IFERROR(INDEX('Input Statistiche 2025_26'!$G$3:$G$665,MATCH($A164,'Input Statistiche 2025_26'!$A$3:$A$665,0)),"")</f>
        <v/>
      </c>
      <c r="T164" s="30" t="str">
        <f aca="false">IFERROR(INDEX('Input Statistiche 2025_26'!$H$3:$H$665,MATCH($A164,'Input Statistiche 2025_26'!$A$3:$A$665,0)),"")</f>
        <v/>
      </c>
      <c r="U164" s="26" t="str">
        <f aca="false">IF(OR('La Mia Rosa'!$O$12="",$D164&lt;&gt;""),"",IF($F164&lt;='La Mia Rosa'!$O$12*'Parametri Modello'!$B$24,"OK",IF($F164&lt;='La Mia Rosa'!$O$12*'Parametri Modello'!$B$25,"Attenzione","Rischio Alto")))</f>
        <v>OK</v>
      </c>
      <c r="V164" s="26" t="n">
        <f aca="false">IFERROR(COUNTIFS($B$2:$B$492,$B164,$O$2:$O$492,"&gt;"&amp;$O164)+1,"")</f>
        <v>60</v>
      </c>
      <c r="W164" s="21" t="n">
        <f aca="false">'Info Lega'!$B$4-SUMIFS($M$2:$M$492,$D$2:$D$492,'Info Lega'!$B$28)</f>
        <v>1000</v>
      </c>
      <c r="X164" s="21" t="n">
        <f aca="false">('Info Lega'!$B$5-COUNTIFS($D$2:$D$492,'Info Lega'!$B$28,$B$2:$B$492,"P"))+('Info Lega'!$B$6-COUNTIFS($D$2:$D$492,'Info Lega'!$B$28,$B$2:$B$492,"D"))+('Info Lega'!$B$7-COUNTIFS($D$2:$D$492,'Info Lega'!$B$28,$B$2:$B$492,"C"))+('Info Lega'!$B$8-COUNTIFS($D$2:$D$492,'Info Lega'!$B$28,$B$2:$B$492,"A"))</f>
        <v>25</v>
      </c>
      <c r="Y164" s="21" t="n">
        <f aca="false">X164*'Parametri Modello'!$B$30</f>
        <v>25</v>
      </c>
      <c r="Z164" s="21" t="n">
        <f aca="false">MAX(0,W164-Y164)</f>
        <v>975</v>
      </c>
      <c r="AA164" s="21" t="n">
        <f aca="false">MIN(F164,Z164)</f>
        <v>3</v>
      </c>
      <c r="AB164" s="21"/>
      <c r="AC164" s="21" t="str">
        <f aca="false">IF(AB164="","",IF(AB164&gt;AA164,"PASS",IF(AB164&lt;=AA164*0.85,"BID","ATTENZIONE")))</f>
        <v/>
      </c>
      <c r="AD164" s="31" t="str">
        <f aca="false">IF(I164="","",ROUND(100*(1-EXP(-I164/30)),0))</f>
        <v/>
      </c>
      <c r="AE164" s="7" t="str">
        <f aca="false">IFERROR(INDEX('Stato Asta'!$G$9:$G$12,MATCH($B164,'Stato Asta'!$A$9:$A$12,0)),"")</f>
        <v>🟡 Attesa rischiosa</v>
      </c>
    </row>
    <row r="165" customFormat="false" ht="14.25" hidden="false" customHeight="true" outlineLevel="0" collapsed="false">
      <c r="A165" s="21" t="n">
        <v>4287</v>
      </c>
      <c r="B165" s="21" t="s">
        <v>45</v>
      </c>
      <c r="C165" s="21" t="s">
        <v>424</v>
      </c>
      <c r="E165" s="26" t="str">
        <f aca="false">IF(COUNTIF('Info Strategia'!$D$2:$D$51,$C165)&gt;0,"SI","NO")</f>
        <v>NO</v>
      </c>
      <c r="F165" s="27" t="n">
        <f aca="false">IFERROR(ROUND(($G165+($H165-$G165)*'Info Strategia'!$B$6)*(1+IF($E165="SI",'Parametri Modello'!$B$7*'Info Strategia'!$B$6,0)),0),"")</f>
        <v>3</v>
      </c>
      <c r="G165" s="27" t="n">
        <f aca="false">IFERROR(ROUND(MAX(1,(IF($V165&lt;=INDEX('Parametri Modello'!$C$57:$C$60,MATCH($B165,'Parametri Modello'!$A$57:$A$60,0)),IF(INDEX('Parametri Modello'!$E$57:$E$60,MATCH($B165,'Parametri Modello'!$A$57:$A$60,0))=0,0,($O165/INDEX('Parametri Modello'!$E$57:$E$60,MATCH($B165,'Parametri Modello'!$A$57:$A$60,0)))*(INDEX('Parametri Modello'!$D$57:$D$60,MATCH($B165,'Parametri Modello'!$A$57:$A$60,0))*(INDEX('Parametri Modello'!$B$50:$B$53,MATCH($B165,'Parametri Modello'!$A$50:$A$53,0))*'Parametri Modello'!$B$44))),IF(INDEX('Parametri Modello'!$F$57:$F$60,MATCH($B165,'Parametri Modello'!$A$57:$A$60,0))=0,0,($O165/INDEX('Parametri Modello'!$F$57:$F$60,MATCH($B165,'Parametri Modello'!$A$57:$A$60,0)))*((1-INDEX('Parametri Modello'!$D$57:$D$60,MATCH($B165,'Parametri Modello'!$A$57:$A$60,0)))*(INDEX('Parametri Modello'!$B$50:$B$53,MATCH($B165,'Parametri Modello'!$A$50:$A$53,0))*'Parametri Modello'!$B$44))))*(1+IF(IF($B165="D",'Info Lega'!$B$25,IF($B165="C",'Info Lega'!$B$26,"No"))="Si",'Parametri Modello'!$B$5,0))*(1+MAX(-0.25,MIN(0.25,IF(OR($T165="",$I165="",$I165=0,INDEX('Parametri Modello'!$B$19:$B$22,MATCH($B165,'Parametri Modello'!$A$19:$A$22,0))="",INDEX('Parametri Modello'!$B$19:$B$22,MATCH($B165,'Parametri Modello'!$A$19:$A$22,0))=0),0,(($T165-INDEX('Parametri Modello'!$B$19:$B$22,MATCH($B165,'Parametri Modello'!$A$19:$A$22,0)))/INDEX('Parametri Modello'!$B$19:$B$22,MATCH($B165,'Parametri Modello'!$A$19:$A$22,0)))*'Parametri Modello'!$B$9))))*(1+IF('Parametri Modello'!$B$27="Si",MAX(-'Parametri Modello'!$B$28,MIN('Parametri Modello'!$B$28*1.5,IF(OR(INDEX('Parametri Modello'!$F$32:$F$35,MATCH($B165,'Parametri Modello'!$A$32:$A$35,0))="",INDEX('Parametri Modello'!$F$32:$F$35,MATCH($B165,'Parametri Modello'!$A$32:$A$35,0))=0),0,(1/INDEX('Parametri Modello'!$F$32:$F$35,MATCH($B165,'Parametri Modello'!$A$32:$A$35,0))-1)*'Parametri Modello'!$B$28))),0)))*(1-INDEX('Parametri Modello'!$B$12:$B$15,MATCH($B165,'Parametri Modello'!$A$12:$A$15,0)))),0),"")</f>
        <v>2</v>
      </c>
      <c r="H165" s="27" t="n">
        <f aca="false">IFERROR(ROUND((IF($V165&lt;=INDEX('Parametri Modello'!$C$57:$C$60,MATCH($B165,'Parametri Modello'!$A$57:$A$60,0)),IF(INDEX('Parametri Modello'!$E$57:$E$60,MATCH($B165,'Parametri Modello'!$A$57:$A$60,0))=0,0,($O165/INDEX('Parametri Modello'!$E$57:$E$60,MATCH($B165,'Parametri Modello'!$A$57:$A$60,0)))*(INDEX('Parametri Modello'!$D$57:$D$60,MATCH($B165,'Parametri Modello'!$A$57:$A$60,0))*(INDEX('Parametri Modello'!$B$50:$B$53,MATCH($B165,'Parametri Modello'!$A$50:$A$53,0))*'Parametri Modello'!$B$44))),IF(INDEX('Parametri Modello'!$F$57:$F$60,MATCH($B165,'Parametri Modello'!$A$57:$A$60,0))=0,0,($O165/INDEX('Parametri Modello'!$F$57:$F$60,MATCH($B165,'Parametri Modello'!$A$57:$A$60,0)))*((1-INDEX('Parametri Modello'!$D$57:$D$60,MATCH($B165,'Parametri Modello'!$A$57:$A$60,0)))*(INDEX('Parametri Modello'!$B$50:$B$53,MATCH($B165,'Parametri Modello'!$A$50:$A$53,0))*'Parametri Modello'!$B$44))))*(1+IF(IF($B165="D",'Info Lega'!$B$25,IF($B165="C",'Info Lega'!$B$26,"No"))="Si",'Parametri Modello'!$B$5,0))*(1+MAX(-0.25,MIN(0.25,IF(OR($T165="",$I165="",$I165=0,INDEX('Parametri Modello'!$B$19:$B$22,MATCH($B165,'Parametri Modello'!$A$19:$A$22,0))="",INDEX('Parametri Modello'!$B$19:$B$22,MATCH($B165,'Parametri Modello'!$A$19:$A$22,0))=0),0,(($T165-INDEX('Parametri Modello'!$B$19:$B$22,MATCH($B165,'Parametri Modello'!$A$19:$A$22,0)))/INDEX('Parametri Modello'!$B$19:$B$22,MATCH($B165,'Parametri Modello'!$A$19:$A$22,0)))*'Parametri Modello'!$B$9))))*(1+IF('Parametri Modello'!$B$27="Si",MAX(-'Parametri Modello'!$B$28,MIN('Parametri Modello'!$B$28*1.5,IF(OR(INDEX('Parametri Modello'!$F$32:$F$35,MATCH($B165,'Parametri Modello'!$A$32:$A$35,0))="",INDEX('Parametri Modello'!$F$32:$F$35,MATCH($B165,'Parametri Modello'!$A$32:$A$35,0))=0),0,(1/INDEX('Parametri Modello'!$F$32:$F$35,MATCH($B165,'Parametri Modello'!$A$32:$A$35,0))-1)*'Parametri Modello'!$B$28))),0)))*(1+INDEX('Parametri Modello'!$B$12:$B$15,MATCH($B165,'Parametri Modello'!$A$12:$A$15,0))),0),"")</f>
        <v>3</v>
      </c>
      <c r="I165" s="26" t="n">
        <f aca="false">IFERROR(INDEX('Input Statistiche 2025_26'!$F$3:$F$665,MATCH($A165,'Input Statistiche 2025_26'!$A$3:$A$665,0)),"")</f>
        <v>31</v>
      </c>
      <c r="J165" s="26" t="n">
        <f aca="false">IFERROR(IF($I165="","",MAX(0,38-$I165)),"")</f>
        <v>7</v>
      </c>
      <c r="K165" s="26" t="n">
        <f aca="false">IFERROR(INDEX('Input Statistiche 2025_26'!$I$3:$I$665,MATCH($A165,'Input Statistiche 2025_26'!$A$3:$A$665,0)),"")</f>
        <v>1</v>
      </c>
      <c r="L165" s="26" t="n">
        <f aca="false">IFERROR(INDEX('Input Statistiche 2025_26'!$O$3:$O$665,MATCH($A165,'Input Statistiche 2025_26'!$A$3:$A$665,0)),"")</f>
        <v>0</v>
      </c>
      <c r="M165" s="28"/>
      <c r="N165" s="27" t="n">
        <f aca="false">IFERROR(INDEX('Input Giocatori 2026_27'!$E$3:$E$493,MATCH($A165,'Input Giocatori 2026_27'!$A$3:$A$493,0)),"")</f>
        <v>7</v>
      </c>
      <c r="O165" s="27" t="n">
        <f aca="false">IFERROR(INDEX('Input Giocatori 2026_27'!$G$3:$G$493,MATCH($A165,'Input Giocatori 2026_27'!$A$3:$A$493,0)),"")</f>
        <v>20</v>
      </c>
      <c r="P165" s="26" t="str">
        <f aca="false">IFERROR(IF($O165="","",IF((1-(COUNTIFS($B$2:$B$492,$B165,$O$2:$O$492,"&gt;"&amp;$O165)+1-1)/COUNTIF($B$2:$B$492,$B165))&gt;=0.85,"Top",IF((1-(COUNTIFS($B$2:$B$492,$B165,$O$2:$O$492,"&gt;"&amp;$O165)+1-1)/COUNTIF($B$2:$B$492,$B165))&gt;=0.6,"Buono",IF((1-(COUNTIFS($B$2:$B$492,$B165,$O$2:$O$492,"&gt;"&amp;$O165)+1-1)/COUNTIF($B$2:$B$492,$B165))&gt;=0.3,"Nella Media","Scommessa/Riserva")))),"")</f>
        <v>Buono</v>
      </c>
      <c r="Q165" s="29" t="n">
        <f aca="false">IF($D165="",COUNTIF($D$2:$D165,""),"")</f>
        <v>164</v>
      </c>
      <c r="R165" s="29" t="str">
        <f aca="false">IF($D165='Info Lega'!$B$28,COUNTIFS($D$2:$D165,'Info Lega'!$B$28),"")</f>
        <v/>
      </c>
      <c r="S165" s="30" t="n">
        <f aca="false">IFERROR(INDEX('Input Statistiche 2025_26'!$G$3:$G$665,MATCH($A165,'Input Statistiche 2025_26'!$A$3:$A$665,0)),"")</f>
        <v>6.05</v>
      </c>
      <c r="T165" s="30" t="n">
        <f aca="false">IFERROR(INDEX('Input Statistiche 2025_26'!$H$3:$H$665,MATCH($A165,'Input Statistiche 2025_26'!$A$3:$A$665,0)),"")</f>
        <v>6.1</v>
      </c>
      <c r="U165" s="26" t="str">
        <f aca="false">IF(OR('La Mia Rosa'!$O$12="",$D165&lt;&gt;""),"",IF($F165&lt;='La Mia Rosa'!$O$12*'Parametri Modello'!$B$24,"OK",IF($F165&lt;='La Mia Rosa'!$O$12*'Parametri Modello'!$B$25,"Attenzione","Rischio Alto")))</f>
        <v>OK</v>
      </c>
      <c r="V165" s="26" t="n">
        <f aca="false">IFERROR(COUNTIFS($B$2:$B$492,$B165,$O$2:$O$492,"&gt;"&amp;$O165)+1,"")</f>
        <v>60</v>
      </c>
      <c r="W165" s="21" t="n">
        <f aca="false">'Info Lega'!$B$4-SUMIFS($M$2:$M$492,$D$2:$D$492,'Info Lega'!$B$28)</f>
        <v>1000</v>
      </c>
      <c r="X165" s="21" t="n">
        <f aca="false">('Info Lega'!$B$5-COUNTIFS($D$2:$D$492,'Info Lega'!$B$28,$B$2:$B$492,"P"))+('Info Lega'!$B$6-COUNTIFS($D$2:$D$492,'Info Lega'!$B$28,$B$2:$B$492,"D"))+('Info Lega'!$B$7-COUNTIFS($D$2:$D$492,'Info Lega'!$B$28,$B$2:$B$492,"C"))+('Info Lega'!$B$8-COUNTIFS($D$2:$D$492,'Info Lega'!$B$28,$B$2:$B$492,"A"))</f>
        <v>25</v>
      </c>
      <c r="Y165" s="21" t="n">
        <f aca="false">X165*'Parametri Modello'!$B$30</f>
        <v>25</v>
      </c>
      <c r="Z165" s="21" t="n">
        <f aca="false">MAX(0,W165-Y165)</f>
        <v>975</v>
      </c>
      <c r="AA165" s="21" t="n">
        <f aca="false">MIN(F165,Z165)</f>
        <v>3</v>
      </c>
      <c r="AB165" s="21"/>
      <c r="AC165" s="21" t="str">
        <f aca="false">IF(AB165="","",IF(AB165&gt;AA165,"PASS",IF(AB165&lt;=AA165*0.85,"BID","ATTENZIONE")))</f>
        <v/>
      </c>
      <c r="AD165" s="31" t="n">
        <f aca="false">IF(I165="","",ROUND(100*(1-EXP(-I165/30)),0))</f>
        <v>64</v>
      </c>
      <c r="AE165" s="7" t="str">
        <f aca="false">IFERROR(INDEX('Stato Asta'!$G$9:$G$12,MATCH($B165,'Stato Asta'!$A$9:$A$12,0)),"")</f>
        <v>🟡 Attesa rischiosa</v>
      </c>
    </row>
    <row r="166" customFormat="false" ht="14.25" hidden="false" customHeight="true" outlineLevel="0" collapsed="false">
      <c r="A166" s="21" t="n">
        <v>5036</v>
      </c>
      <c r="B166" s="21" t="s">
        <v>45</v>
      </c>
      <c r="C166" s="21" t="s">
        <v>433</v>
      </c>
      <c r="E166" s="26" t="str">
        <f aca="false">IF(COUNTIF('Info Strategia'!$D$2:$D$51,$C166)&gt;0,"SI","NO")</f>
        <v>NO</v>
      </c>
      <c r="F166" s="27" t="n">
        <f aca="false">IFERROR(ROUND(($G166+($H166-$G166)*'Info Strategia'!$B$6)*(1+IF($E166="SI",'Parametri Modello'!$B$7*'Info Strategia'!$B$6,0)),0),"")</f>
        <v>3</v>
      </c>
      <c r="G166" s="27" t="n">
        <f aca="false">IFERROR(ROUND(MAX(1,(IF($V166&lt;=INDEX('Parametri Modello'!$C$57:$C$60,MATCH($B166,'Parametri Modello'!$A$57:$A$60,0)),IF(INDEX('Parametri Modello'!$E$57:$E$60,MATCH($B166,'Parametri Modello'!$A$57:$A$60,0))=0,0,($O166/INDEX('Parametri Modello'!$E$57:$E$60,MATCH($B166,'Parametri Modello'!$A$57:$A$60,0)))*(INDEX('Parametri Modello'!$D$57:$D$60,MATCH($B166,'Parametri Modello'!$A$57:$A$60,0))*(INDEX('Parametri Modello'!$B$50:$B$53,MATCH($B166,'Parametri Modello'!$A$50:$A$53,0))*'Parametri Modello'!$B$44))),IF(INDEX('Parametri Modello'!$F$57:$F$60,MATCH($B166,'Parametri Modello'!$A$57:$A$60,0))=0,0,($O166/INDEX('Parametri Modello'!$F$57:$F$60,MATCH($B166,'Parametri Modello'!$A$57:$A$60,0)))*((1-INDEX('Parametri Modello'!$D$57:$D$60,MATCH($B166,'Parametri Modello'!$A$57:$A$60,0)))*(INDEX('Parametri Modello'!$B$50:$B$53,MATCH($B166,'Parametri Modello'!$A$50:$A$53,0))*'Parametri Modello'!$B$44))))*(1+IF(IF($B166="D",'Info Lega'!$B$25,IF($B166="C",'Info Lega'!$B$26,"No"))="Si",'Parametri Modello'!$B$5,0))*(1+MAX(-0.25,MIN(0.25,IF(OR($T166="",$I166="",$I166=0,INDEX('Parametri Modello'!$B$19:$B$22,MATCH($B166,'Parametri Modello'!$A$19:$A$22,0))="",INDEX('Parametri Modello'!$B$19:$B$22,MATCH($B166,'Parametri Modello'!$A$19:$A$22,0))=0),0,(($T166-INDEX('Parametri Modello'!$B$19:$B$22,MATCH($B166,'Parametri Modello'!$A$19:$A$22,0)))/INDEX('Parametri Modello'!$B$19:$B$22,MATCH($B166,'Parametri Modello'!$A$19:$A$22,0)))*'Parametri Modello'!$B$9))))*(1+IF('Parametri Modello'!$B$27="Si",MAX(-'Parametri Modello'!$B$28,MIN('Parametri Modello'!$B$28*1.5,IF(OR(INDEX('Parametri Modello'!$F$32:$F$35,MATCH($B166,'Parametri Modello'!$A$32:$A$35,0))="",INDEX('Parametri Modello'!$F$32:$F$35,MATCH($B166,'Parametri Modello'!$A$32:$A$35,0))=0),0,(1/INDEX('Parametri Modello'!$F$32:$F$35,MATCH($B166,'Parametri Modello'!$A$32:$A$35,0))-1)*'Parametri Modello'!$B$28))),0)))*(1-INDEX('Parametri Modello'!$B$12:$B$15,MATCH($B166,'Parametri Modello'!$A$12:$A$15,0)))),0),"")</f>
        <v>2</v>
      </c>
      <c r="H166" s="27" t="n">
        <f aca="false">IFERROR(ROUND((IF($V166&lt;=INDEX('Parametri Modello'!$C$57:$C$60,MATCH($B166,'Parametri Modello'!$A$57:$A$60,0)),IF(INDEX('Parametri Modello'!$E$57:$E$60,MATCH($B166,'Parametri Modello'!$A$57:$A$60,0))=0,0,($O166/INDEX('Parametri Modello'!$E$57:$E$60,MATCH($B166,'Parametri Modello'!$A$57:$A$60,0)))*(INDEX('Parametri Modello'!$D$57:$D$60,MATCH($B166,'Parametri Modello'!$A$57:$A$60,0))*(INDEX('Parametri Modello'!$B$50:$B$53,MATCH($B166,'Parametri Modello'!$A$50:$A$53,0))*'Parametri Modello'!$B$44))),IF(INDEX('Parametri Modello'!$F$57:$F$60,MATCH($B166,'Parametri Modello'!$A$57:$A$60,0))=0,0,($O166/INDEX('Parametri Modello'!$F$57:$F$60,MATCH($B166,'Parametri Modello'!$A$57:$A$60,0)))*((1-INDEX('Parametri Modello'!$D$57:$D$60,MATCH($B166,'Parametri Modello'!$A$57:$A$60,0)))*(INDEX('Parametri Modello'!$B$50:$B$53,MATCH($B166,'Parametri Modello'!$A$50:$A$53,0))*'Parametri Modello'!$B$44))))*(1+IF(IF($B166="D",'Info Lega'!$B$25,IF($B166="C",'Info Lega'!$B$26,"No"))="Si",'Parametri Modello'!$B$5,0))*(1+MAX(-0.25,MIN(0.25,IF(OR($T166="",$I166="",$I166=0,INDEX('Parametri Modello'!$B$19:$B$22,MATCH($B166,'Parametri Modello'!$A$19:$A$22,0))="",INDEX('Parametri Modello'!$B$19:$B$22,MATCH($B166,'Parametri Modello'!$A$19:$A$22,0))=0),0,(($T166-INDEX('Parametri Modello'!$B$19:$B$22,MATCH($B166,'Parametri Modello'!$A$19:$A$22,0)))/INDEX('Parametri Modello'!$B$19:$B$22,MATCH($B166,'Parametri Modello'!$A$19:$A$22,0)))*'Parametri Modello'!$B$9))))*(1+IF('Parametri Modello'!$B$27="Si",MAX(-'Parametri Modello'!$B$28,MIN('Parametri Modello'!$B$28*1.5,IF(OR(INDEX('Parametri Modello'!$F$32:$F$35,MATCH($B166,'Parametri Modello'!$A$32:$A$35,0))="",INDEX('Parametri Modello'!$F$32:$F$35,MATCH($B166,'Parametri Modello'!$A$32:$A$35,0))=0),0,(1/INDEX('Parametri Modello'!$F$32:$F$35,MATCH($B166,'Parametri Modello'!$A$32:$A$35,0))-1)*'Parametri Modello'!$B$28))),0)))*(1+INDEX('Parametri Modello'!$B$12:$B$15,MATCH($B166,'Parametri Modello'!$A$12:$A$15,0))),0),"")</f>
        <v>3</v>
      </c>
      <c r="I166" s="26" t="n">
        <f aca="false">IFERROR(INDEX('Input Statistiche 2025_26'!$F$3:$F$665,MATCH($A166,'Input Statistiche 2025_26'!$A$3:$A$665,0)),"")</f>
        <v>28</v>
      </c>
      <c r="J166" s="26" t="n">
        <f aca="false">IFERROR(IF($I166="","",MAX(0,38-$I166)),"")</f>
        <v>10</v>
      </c>
      <c r="K166" s="26" t="n">
        <f aca="false">IFERROR(INDEX('Input Statistiche 2025_26'!$I$3:$I$665,MATCH($A166,'Input Statistiche 2025_26'!$A$3:$A$665,0)),"")</f>
        <v>2</v>
      </c>
      <c r="L166" s="26" t="n">
        <f aca="false">IFERROR(INDEX('Input Statistiche 2025_26'!$O$3:$O$665,MATCH($A166,'Input Statistiche 2025_26'!$A$3:$A$665,0)),"")</f>
        <v>4</v>
      </c>
      <c r="M166" s="28"/>
      <c r="N166" s="27" t="n">
        <f aca="false">IFERROR(INDEX('Input Giocatori 2026_27'!$E$3:$E$493,MATCH($A166,'Input Giocatori 2026_27'!$A$3:$A$493,0)),"")</f>
        <v>6</v>
      </c>
      <c r="O166" s="27" t="n">
        <f aca="false">IFERROR(INDEX('Input Giocatori 2026_27'!$G$3:$G$493,MATCH($A166,'Input Giocatori 2026_27'!$A$3:$A$493,0)),"")</f>
        <v>20</v>
      </c>
      <c r="P166" s="26" t="str">
        <f aca="false">IFERROR(IF($O166="","",IF((1-(COUNTIFS($B$2:$B$492,$B166,$O$2:$O$492,"&gt;"&amp;$O166)+1-1)/COUNTIF($B$2:$B$492,$B166))&gt;=0.85,"Top",IF((1-(COUNTIFS($B$2:$B$492,$B166,$O$2:$O$492,"&gt;"&amp;$O166)+1-1)/COUNTIF($B$2:$B$492,$B166))&gt;=0.6,"Buono",IF((1-(COUNTIFS($B$2:$B$492,$B166,$O$2:$O$492,"&gt;"&amp;$O166)+1-1)/COUNTIF($B$2:$B$492,$B166))&gt;=0.3,"Nella Media","Scommessa/Riserva")))),"")</f>
        <v>Buono</v>
      </c>
      <c r="Q166" s="29" t="n">
        <f aca="false">IF($D166="",COUNTIF($D$2:$D166,""),"")</f>
        <v>165</v>
      </c>
      <c r="R166" s="29" t="str">
        <f aca="false">IF($D166='Info Lega'!$B$28,COUNTIFS($D$2:$D166,'Info Lega'!$B$28),"")</f>
        <v/>
      </c>
      <c r="S166" s="30" t="n">
        <f aca="false">IFERROR(INDEX('Input Statistiche 2025_26'!$G$3:$G$665,MATCH($A166,'Input Statistiche 2025_26'!$A$3:$A$665,0)),"")</f>
        <v>6.11</v>
      </c>
      <c r="T166" s="30" t="n">
        <f aca="false">IFERROR(INDEX('Input Statistiche 2025_26'!$H$3:$H$665,MATCH($A166,'Input Statistiche 2025_26'!$A$3:$A$665,0)),"")</f>
        <v>6.41</v>
      </c>
      <c r="U166" s="26" t="str">
        <f aca="false">IF(OR('La Mia Rosa'!$O$12="",$D166&lt;&gt;""),"",IF($F166&lt;='La Mia Rosa'!$O$12*'Parametri Modello'!$B$24,"OK",IF($F166&lt;='La Mia Rosa'!$O$12*'Parametri Modello'!$B$25,"Attenzione","Rischio Alto")))</f>
        <v>OK</v>
      </c>
      <c r="V166" s="26" t="n">
        <f aca="false">IFERROR(COUNTIFS($B$2:$B$492,$B166,$O$2:$O$492,"&gt;"&amp;$O166)+1,"")</f>
        <v>60</v>
      </c>
      <c r="W166" s="21" t="n">
        <f aca="false">'Info Lega'!$B$4-SUMIFS($M$2:$M$492,$D$2:$D$492,'Info Lega'!$B$28)</f>
        <v>1000</v>
      </c>
      <c r="X166" s="21" t="n">
        <f aca="false">('Info Lega'!$B$5-COUNTIFS($D$2:$D$492,'Info Lega'!$B$28,$B$2:$B$492,"P"))+('Info Lega'!$B$6-COUNTIFS($D$2:$D$492,'Info Lega'!$B$28,$B$2:$B$492,"D"))+('Info Lega'!$B$7-COUNTIFS($D$2:$D$492,'Info Lega'!$B$28,$B$2:$B$492,"C"))+('Info Lega'!$B$8-COUNTIFS($D$2:$D$492,'Info Lega'!$B$28,$B$2:$B$492,"A"))</f>
        <v>25</v>
      </c>
      <c r="Y166" s="21" t="n">
        <f aca="false">X166*'Parametri Modello'!$B$30</f>
        <v>25</v>
      </c>
      <c r="Z166" s="21" t="n">
        <f aca="false">MAX(0,W166-Y166)</f>
        <v>975</v>
      </c>
      <c r="AA166" s="21" t="n">
        <f aca="false">MIN(F166,Z166)</f>
        <v>3</v>
      </c>
      <c r="AB166" s="21"/>
      <c r="AC166" s="21" t="str">
        <f aca="false">IF(AB166="","",IF(AB166&gt;AA166,"PASS",IF(AB166&lt;=AA166*0.85,"BID","ATTENZIONE")))</f>
        <v/>
      </c>
      <c r="AD166" s="31" t="n">
        <f aca="false">IF(I166="","",ROUND(100*(1-EXP(-I166/30)),0))</f>
        <v>61</v>
      </c>
      <c r="AE166" s="7" t="str">
        <f aca="false">IFERROR(INDEX('Stato Asta'!$G$9:$G$12,MATCH($B166,'Stato Asta'!$A$9:$A$12,0)),"")</f>
        <v>🟡 Attesa rischiosa</v>
      </c>
    </row>
    <row r="167" customFormat="false" ht="14.25" hidden="false" customHeight="true" outlineLevel="0" collapsed="false">
      <c r="A167" s="21" t="n">
        <v>7464</v>
      </c>
      <c r="B167" s="21" t="s">
        <v>45</v>
      </c>
      <c r="C167" s="21" t="s">
        <v>435</v>
      </c>
      <c r="E167" s="26" t="str">
        <f aca="false">IF(COUNTIF('Info Strategia'!$D$2:$D$51,$C167)&gt;0,"SI","NO")</f>
        <v>NO</v>
      </c>
      <c r="F167" s="27" t="n">
        <f aca="false">IFERROR(ROUND(($G167+($H167-$G167)*'Info Strategia'!$B$6)*(1+IF($E167="SI",'Parametri Modello'!$B$7*'Info Strategia'!$B$6,0)),0),"")</f>
        <v>3</v>
      </c>
      <c r="G167" s="27" t="n">
        <f aca="false">IFERROR(ROUND(MAX(1,(IF($V167&lt;=INDEX('Parametri Modello'!$C$57:$C$60,MATCH($B167,'Parametri Modello'!$A$57:$A$60,0)),IF(INDEX('Parametri Modello'!$E$57:$E$60,MATCH($B167,'Parametri Modello'!$A$57:$A$60,0))=0,0,($O167/INDEX('Parametri Modello'!$E$57:$E$60,MATCH($B167,'Parametri Modello'!$A$57:$A$60,0)))*(INDEX('Parametri Modello'!$D$57:$D$60,MATCH($B167,'Parametri Modello'!$A$57:$A$60,0))*(INDEX('Parametri Modello'!$B$50:$B$53,MATCH($B167,'Parametri Modello'!$A$50:$A$53,0))*'Parametri Modello'!$B$44))),IF(INDEX('Parametri Modello'!$F$57:$F$60,MATCH($B167,'Parametri Modello'!$A$57:$A$60,0))=0,0,($O167/INDEX('Parametri Modello'!$F$57:$F$60,MATCH($B167,'Parametri Modello'!$A$57:$A$60,0)))*((1-INDEX('Parametri Modello'!$D$57:$D$60,MATCH($B167,'Parametri Modello'!$A$57:$A$60,0)))*(INDEX('Parametri Modello'!$B$50:$B$53,MATCH($B167,'Parametri Modello'!$A$50:$A$53,0))*'Parametri Modello'!$B$44))))*(1+IF(IF($B167="D",'Info Lega'!$B$25,IF($B167="C",'Info Lega'!$B$26,"No"))="Si",'Parametri Modello'!$B$5,0))*(1+MAX(-0.25,MIN(0.25,IF(OR($T167="",$I167="",$I167=0,INDEX('Parametri Modello'!$B$19:$B$22,MATCH($B167,'Parametri Modello'!$A$19:$A$22,0))="",INDEX('Parametri Modello'!$B$19:$B$22,MATCH($B167,'Parametri Modello'!$A$19:$A$22,0))=0),0,(($T167-INDEX('Parametri Modello'!$B$19:$B$22,MATCH($B167,'Parametri Modello'!$A$19:$A$22,0)))/INDEX('Parametri Modello'!$B$19:$B$22,MATCH($B167,'Parametri Modello'!$A$19:$A$22,0)))*'Parametri Modello'!$B$9))))*(1+IF('Parametri Modello'!$B$27="Si",MAX(-'Parametri Modello'!$B$28,MIN('Parametri Modello'!$B$28*1.5,IF(OR(INDEX('Parametri Modello'!$F$32:$F$35,MATCH($B167,'Parametri Modello'!$A$32:$A$35,0))="",INDEX('Parametri Modello'!$F$32:$F$35,MATCH($B167,'Parametri Modello'!$A$32:$A$35,0))=0),0,(1/INDEX('Parametri Modello'!$F$32:$F$35,MATCH($B167,'Parametri Modello'!$A$32:$A$35,0))-1)*'Parametri Modello'!$B$28))),0)))*(1-INDEX('Parametri Modello'!$B$12:$B$15,MATCH($B167,'Parametri Modello'!$A$12:$A$15,0)))),0),"")</f>
        <v>2</v>
      </c>
      <c r="H167" s="27" t="n">
        <f aca="false">IFERROR(ROUND((IF($V167&lt;=INDEX('Parametri Modello'!$C$57:$C$60,MATCH($B167,'Parametri Modello'!$A$57:$A$60,0)),IF(INDEX('Parametri Modello'!$E$57:$E$60,MATCH($B167,'Parametri Modello'!$A$57:$A$60,0))=0,0,($O167/INDEX('Parametri Modello'!$E$57:$E$60,MATCH($B167,'Parametri Modello'!$A$57:$A$60,0)))*(INDEX('Parametri Modello'!$D$57:$D$60,MATCH($B167,'Parametri Modello'!$A$57:$A$60,0))*(INDEX('Parametri Modello'!$B$50:$B$53,MATCH($B167,'Parametri Modello'!$A$50:$A$53,0))*'Parametri Modello'!$B$44))),IF(INDEX('Parametri Modello'!$F$57:$F$60,MATCH($B167,'Parametri Modello'!$A$57:$A$60,0))=0,0,($O167/INDEX('Parametri Modello'!$F$57:$F$60,MATCH($B167,'Parametri Modello'!$A$57:$A$60,0)))*((1-INDEX('Parametri Modello'!$D$57:$D$60,MATCH($B167,'Parametri Modello'!$A$57:$A$60,0)))*(INDEX('Parametri Modello'!$B$50:$B$53,MATCH($B167,'Parametri Modello'!$A$50:$A$53,0))*'Parametri Modello'!$B$44))))*(1+IF(IF($B167="D",'Info Lega'!$B$25,IF($B167="C",'Info Lega'!$B$26,"No"))="Si",'Parametri Modello'!$B$5,0))*(1+MAX(-0.25,MIN(0.25,IF(OR($T167="",$I167="",$I167=0,INDEX('Parametri Modello'!$B$19:$B$22,MATCH($B167,'Parametri Modello'!$A$19:$A$22,0))="",INDEX('Parametri Modello'!$B$19:$B$22,MATCH($B167,'Parametri Modello'!$A$19:$A$22,0))=0),0,(($T167-INDEX('Parametri Modello'!$B$19:$B$22,MATCH($B167,'Parametri Modello'!$A$19:$A$22,0)))/INDEX('Parametri Modello'!$B$19:$B$22,MATCH($B167,'Parametri Modello'!$A$19:$A$22,0)))*'Parametri Modello'!$B$9))))*(1+IF('Parametri Modello'!$B$27="Si",MAX(-'Parametri Modello'!$B$28,MIN('Parametri Modello'!$B$28*1.5,IF(OR(INDEX('Parametri Modello'!$F$32:$F$35,MATCH($B167,'Parametri Modello'!$A$32:$A$35,0))="",INDEX('Parametri Modello'!$F$32:$F$35,MATCH($B167,'Parametri Modello'!$A$32:$A$35,0))=0),0,(1/INDEX('Parametri Modello'!$F$32:$F$35,MATCH($B167,'Parametri Modello'!$A$32:$A$35,0))-1)*'Parametri Modello'!$B$28))),0)))*(1+INDEX('Parametri Modello'!$B$12:$B$15,MATCH($B167,'Parametri Modello'!$A$12:$A$15,0))),0),"")</f>
        <v>3</v>
      </c>
      <c r="I167" s="26" t="str">
        <f aca="false">IFERROR(INDEX('Input Statistiche 2025_26'!$F$3:$F$665,MATCH($A167,'Input Statistiche 2025_26'!$A$3:$A$665,0)),"")</f>
        <v/>
      </c>
      <c r="J167" s="26" t="str">
        <f aca="false">IFERROR(IF($I167="","",MAX(0,38-$I167)),"")</f>
        <v/>
      </c>
      <c r="K167" s="26" t="str">
        <f aca="false">IFERROR(INDEX('Input Statistiche 2025_26'!$I$3:$I$665,MATCH($A167,'Input Statistiche 2025_26'!$A$3:$A$665,0)),"")</f>
        <v/>
      </c>
      <c r="L167" s="26" t="str">
        <f aca="false">IFERROR(INDEX('Input Statistiche 2025_26'!$O$3:$O$665,MATCH($A167,'Input Statistiche 2025_26'!$A$3:$A$665,0)),"")</f>
        <v/>
      </c>
      <c r="M167" s="28"/>
      <c r="N167" s="27" t="n">
        <f aca="false">IFERROR(INDEX('Input Giocatori 2026_27'!$E$3:$E$493,MATCH($A167,'Input Giocatori 2026_27'!$A$3:$A$493,0)),"")</f>
        <v>6</v>
      </c>
      <c r="O167" s="27" t="n">
        <f aca="false">IFERROR(INDEX('Input Giocatori 2026_27'!$G$3:$G$493,MATCH($A167,'Input Giocatori 2026_27'!$A$3:$A$493,0)),"")</f>
        <v>20</v>
      </c>
      <c r="P167" s="26" t="str">
        <f aca="false">IFERROR(IF($O167="","",IF((1-(COUNTIFS($B$2:$B$492,$B167,$O$2:$O$492,"&gt;"&amp;$O167)+1-1)/COUNTIF($B$2:$B$492,$B167))&gt;=0.85,"Top",IF((1-(COUNTIFS($B$2:$B$492,$B167,$O$2:$O$492,"&gt;"&amp;$O167)+1-1)/COUNTIF($B$2:$B$492,$B167))&gt;=0.6,"Buono",IF((1-(COUNTIFS($B$2:$B$492,$B167,$O$2:$O$492,"&gt;"&amp;$O167)+1-1)/COUNTIF($B$2:$B$492,$B167))&gt;=0.3,"Nella Media","Scommessa/Riserva")))),"")</f>
        <v>Buono</v>
      </c>
      <c r="Q167" s="29" t="n">
        <f aca="false">IF($D167="",COUNTIF($D$2:$D167,""),"")</f>
        <v>166</v>
      </c>
      <c r="R167" s="29" t="str">
        <f aca="false">IF($D167='Info Lega'!$B$28,COUNTIFS($D$2:$D167,'Info Lega'!$B$28),"")</f>
        <v/>
      </c>
      <c r="S167" s="30" t="str">
        <f aca="false">IFERROR(INDEX('Input Statistiche 2025_26'!$G$3:$G$665,MATCH($A167,'Input Statistiche 2025_26'!$A$3:$A$665,0)),"")</f>
        <v/>
      </c>
      <c r="T167" s="30" t="str">
        <f aca="false">IFERROR(INDEX('Input Statistiche 2025_26'!$H$3:$H$665,MATCH($A167,'Input Statistiche 2025_26'!$A$3:$A$665,0)),"")</f>
        <v/>
      </c>
      <c r="U167" s="26" t="str">
        <f aca="false">IF(OR('La Mia Rosa'!$O$12="",$D167&lt;&gt;""),"",IF($F167&lt;='La Mia Rosa'!$O$12*'Parametri Modello'!$B$24,"OK",IF($F167&lt;='La Mia Rosa'!$O$12*'Parametri Modello'!$B$25,"Attenzione","Rischio Alto")))</f>
        <v>OK</v>
      </c>
      <c r="V167" s="26" t="n">
        <f aca="false">IFERROR(COUNTIFS($B$2:$B$492,$B167,$O$2:$O$492,"&gt;"&amp;$O167)+1,"")</f>
        <v>60</v>
      </c>
      <c r="W167" s="21" t="n">
        <f aca="false">'Info Lega'!$B$4-SUMIFS($M$2:$M$492,$D$2:$D$492,'Info Lega'!$B$28)</f>
        <v>1000</v>
      </c>
      <c r="X167" s="21" t="n">
        <f aca="false">('Info Lega'!$B$5-COUNTIFS($D$2:$D$492,'Info Lega'!$B$28,$B$2:$B$492,"P"))+('Info Lega'!$B$6-COUNTIFS($D$2:$D$492,'Info Lega'!$B$28,$B$2:$B$492,"D"))+('Info Lega'!$B$7-COUNTIFS($D$2:$D$492,'Info Lega'!$B$28,$B$2:$B$492,"C"))+('Info Lega'!$B$8-COUNTIFS($D$2:$D$492,'Info Lega'!$B$28,$B$2:$B$492,"A"))</f>
        <v>25</v>
      </c>
      <c r="Y167" s="21" t="n">
        <f aca="false">X167*'Parametri Modello'!$B$30</f>
        <v>25</v>
      </c>
      <c r="Z167" s="21" t="n">
        <f aca="false">MAX(0,W167-Y167)</f>
        <v>975</v>
      </c>
      <c r="AA167" s="21" t="n">
        <f aca="false">MIN(F167,Z167)</f>
        <v>3</v>
      </c>
      <c r="AB167" s="21"/>
      <c r="AC167" s="21" t="str">
        <f aca="false">IF(AB167="","",IF(AB167&gt;AA167,"PASS",IF(AB167&lt;=AA167*0.85,"BID","ATTENZIONE")))</f>
        <v/>
      </c>
      <c r="AD167" s="31" t="str">
        <f aca="false">IF(I167="","",ROUND(100*(1-EXP(-I167/30)),0))</f>
        <v/>
      </c>
      <c r="AE167" s="7" t="str">
        <f aca="false">IFERROR(INDEX('Stato Asta'!$G$9:$G$12,MATCH($B167,'Stato Asta'!$A$9:$A$12,0)),"")</f>
        <v>🟡 Attesa rischiosa</v>
      </c>
    </row>
    <row r="168" customFormat="false" ht="14.25" hidden="false" customHeight="true" outlineLevel="0" collapsed="false">
      <c r="A168" s="21" t="n">
        <v>6680</v>
      </c>
      <c r="B168" s="21" t="s">
        <v>45</v>
      </c>
      <c r="C168" s="21" t="s">
        <v>444</v>
      </c>
      <c r="E168" s="26" t="str">
        <f aca="false">IF(COUNTIF('Info Strategia'!$D$2:$D$51,$C168)&gt;0,"SI","NO")</f>
        <v>NO</v>
      </c>
      <c r="F168" s="27" t="n">
        <f aca="false">IFERROR(ROUND(($G168+($H168-$G168)*'Info Strategia'!$B$6)*(1+IF($E168="SI",'Parametri Modello'!$B$7*'Info Strategia'!$B$6,0)),0),"")</f>
        <v>3</v>
      </c>
      <c r="G168" s="27" t="n">
        <f aca="false">IFERROR(ROUND(MAX(1,(IF($V168&lt;=INDEX('Parametri Modello'!$C$57:$C$60,MATCH($B168,'Parametri Modello'!$A$57:$A$60,0)),IF(INDEX('Parametri Modello'!$E$57:$E$60,MATCH($B168,'Parametri Modello'!$A$57:$A$60,0))=0,0,($O168/INDEX('Parametri Modello'!$E$57:$E$60,MATCH($B168,'Parametri Modello'!$A$57:$A$60,0)))*(INDEX('Parametri Modello'!$D$57:$D$60,MATCH($B168,'Parametri Modello'!$A$57:$A$60,0))*(INDEX('Parametri Modello'!$B$50:$B$53,MATCH($B168,'Parametri Modello'!$A$50:$A$53,0))*'Parametri Modello'!$B$44))),IF(INDEX('Parametri Modello'!$F$57:$F$60,MATCH($B168,'Parametri Modello'!$A$57:$A$60,0))=0,0,($O168/INDEX('Parametri Modello'!$F$57:$F$60,MATCH($B168,'Parametri Modello'!$A$57:$A$60,0)))*((1-INDEX('Parametri Modello'!$D$57:$D$60,MATCH($B168,'Parametri Modello'!$A$57:$A$60,0)))*(INDEX('Parametri Modello'!$B$50:$B$53,MATCH($B168,'Parametri Modello'!$A$50:$A$53,0))*'Parametri Modello'!$B$44))))*(1+IF(IF($B168="D",'Info Lega'!$B$25,IF($B168="C",'Info Lega'!$B$26,"No"))="Si",'Parametri Modello'!$B$5,0))*(1+MAX(-0.25,MIN(0.25,IF(OR($T168="",$I168="",$I168=0,INDEX('Parametri Modello'!$B$19:$B$22,MATCH($B168,'Parametri Modello'!$A$19:$A$22,0))="",INDEX('Parametri Modello'!$B$19:$B$22,MATCH($B168,'Parametri Modello'!$A$19:$A$22,0))=0),0,(($T168-INDEX('Parametri Modello'!$B$19:$B$22,MATCH($B168,'Parametri Modello'!$A$19:$A$22,0)))/INDEX('Parametri Modello'!$B$19:$B$22,MATCH($B168,'Parametri Modello'!$A$19:$A$22,0)))*'Parametri Modello'!$B$9))))*(1+IF('Parametri Modello'!$B$27="Si",MAX(-'Parametri Modello'!$B$28,MIN('Parametri Modello'!$B$28*1.5,IF(OR(INDEX('Parametri Modello'!$F$32:$F$35,MATCH($B168,'Parametri Modello'!$A$32:$A$35,0))="",INDEX('Parametri Modello'!$F$32:$F$35,MATCH($B168,'Parametri Modello'!$A$32:$A$35,0))=0),0,(1/INDEX('Parametri Modello'!$F$32:$F$35,MATCH($B168,'Parametri Modello'!$A$32:$A$35,0))-1)*'Parametri Modello'!$B$28))),0)))*(1-INDEX('Parametri Modello'!$B$12:$B$15,MATCH($B168,'Parametri Modello'!$A$12:$A$15,0)))),0),"")</f>
        <v>2</v>
      </c>
      <c r="H168" s="27" t="n">
        <f aca="false">IFERROR(ROUND((IF($V168&lt;=INDEX('Parametri Modello'!$C$57:$C$60,MATCH($B168,'Parametri Modello'!$A$57:$A$60,0)),IF(INDEX('Parametri Modello'!$E$57:$E$60,MATCH($B168,'Parametri Modello'!$A$57:$A$60,0))=0,0,($O168/INDEX('Parametri Modello'!$E$57:$E$60,MATCH($B168,'Parametri Modello'!$A$57:$A$60,0)))*(INDEX('Parametri Modello'!$D$57:$D$60,MATCH($B168,'Parametri Modello'!$A$57:$A$60,0))*(INDEX('Parametri Modello'!$B$50:$B$53,MATCH($B168,'Parametri Modello'!$A$50:$A$53,0))*'Parametri Modello'!$B$44))),IF(INDEX('Parametri Modello'!$F$57:$F$60,MATCH($B168,'Parametri Modello'!$A$57:$A$60,0))=0,0,($O168/INDEX('Parametri Modello'!$F$57:$F$60,MATCH($B168,'Parametri Modello'!$A$57:$A$60,0)))*((1-INDEX('Parametri Modello'!$D$57:$D$60,MATCH($B168,'Parametri Modello'!$A$57:$A$60,0)))*(INDEX('Parametri Modello'!$B$50:$B$53,MATCH($B168,'Parametri Modello'!$A$50:$A$53,0))*'Parametri Modello'!$B$44))))*(1+IF(IF($B168="D",'Info Lega'!$B$25,IF($B168="C",'Info Lega'!$B$26,"No"))="Si",'Parametri Modello'!$B$5,0))*(1+MAX(-0.25,MIN(0.25,IF(OR($T168="",$I168="",$I168=0,INDEX('Parametri Modello'!$B$19:$B$22,MATCH($B168,'Parametri Modello'!$A$19:$A$22,0))="",INDEX('Parametri Modello'!$B$19:$B$22,MATCH($B168,'Parametri Modello'!$A$19:$A$22,0))=0),0,(($T168-INDEX('Parametri Modello'!$B$19:$B$22,MATCH($B168,'Parametri Modello'!$A$19:$A$22,0)))/INDEX('Parametri Modello'!$B$19:$B$22,MATCH($B168,'Parametri Modello'!$A$19:$A$22,0)))*'Parametri Modello'!$B$9))))*(1+IF('Parametri Modello'!$B$27="Si",MAX(-'Parametri Modello'!$B$28,MIN('Parametri Modello'!$B$28*1.5,IF(OR(INDEX('Parametri Modello'!$F$32:$F$35,MATCH($B168,'Parametri Modello'!$A$32:$A$35,0))="",INDEX('Parametri Modello'!$F$32:$F$35,MATCH($B168,'Parametri Modello'!$A$32:$A$35,0))=0),0,(1/INDEX('Parametri Modello'!$F$32:$F$35,MATCH($B168,'Parametri Modello'!$A$32:$A$35,0))-1)*'Parametri Modello'!$B$28))),0)))*(1+INDEX('Parametri Modello'!$B$12:$B$15,MATCH($B168,'Parametri Modello'!$A$12:$A$15,0))),0),"")</f>
        <v>3</v>
      </c>
      <c r="I168" s="26" t="n">
        <f aca="false">IFERROR(INDEX('Input Statistiche 2025_26'!$F$3:$F$665,MATCH($A168,'Input Statistiche 2025_26'!$A$3:$A$665,0)),"")</f>
        <v>36</v>
      </c>
      <c r="J168" s="26" t="n">
        <f aca="false">IFERROR(IF($I168="","",MAX(0,38-$I168)),"")</f>
        <v>2</v>
      </c>
      <c r="K168" s="26" t="n">
        <f aca="false">IFERROR(INDEX('Input Statistiche 2025_26'!$I$3:$I$665,MATCH($A168,'Input Statistiche 2025_26'!$A$3:$A$665,0)),"")</f>
        <v>1</v>
      </c>
      <c r="L168" s="26" t="n">
        <f aca="false">IFERROR(INDEX('Input Statistiche 2025_26'!$O$3:$O$665,MATCH($A168,'Input Statistiche 2025_26'!$A$3:$A$665,0)),"")</f>
        <v>0</v>
      </c>
      <c r="M168" s="28"/>
      <c r="N168" s="27" t="n">
        <f aca="false">IFERROR(INDEX('Input Giocatori 2026_27'!$E$3:$E$493,MATCH($A168,'Input Giocatori 2026_27'!$A$3:$A$493,0)),"")</f>
        <v>6</v>
      </c>
      <c r="O168" s="27" t="n">
        <f aca="false">IFERROR(INDEX('Input Giocatori 2026_27'!$G$3:$G$493,MATCH($A168,'Input Giocatori 2026_27'!$A$3:$A$493,0)),"")</f>
        <v>20</v>
      </c>
      <c r="P168" s="26" t="str">
        <f aca="false">IFERROR(IF($O168="","",IF((1-(COUNTIFS($B$2:$B$492,$B168,$O$2:$O$492,"&gt;"&amp;$O168)+1-1)/COUNTIF($B$2:$B$492,$B168))&gt;=0.85,"Top",IF((1-(COUNTIFS($B$2:$B$492,$B168,$O$2:$O$492,"&gt;"&amp;$O168)+1-1)/COUNTIF($B$2:$B$492,$B168))&gt;=0.6,"Buono",IF((1-(COUNTIFS($B$2:$B$492,$B168,$O$2:$O$492,"&gt;"&amp;$O168)+1-1)/COUNTIF($B$2:$B$492,$B168))&gt;=0.3,"Nella Media","Scommessa/Riserva")))),"")</f>
        <v>Buono</v>
      </c>
      <c r="Q168" s="29" t="n">
        <f aca="false">IF($D168="",COUNTIF($D$2:$D168,""),"")</f>
        <v>167</v>
      </c>
      <c r="R168" s="29" t="str">
        <f aca="false">IF($D168='Info Lega'!$B$28,COUNTIFS($D$2:$D168,'Info Lega'!$B$28),"")</f>
        <v/>
      </c>
      <c r="S168" s="30" t="n">
        <f aca="false">IFERROR(INDEX('Input Statistiche 2025_26'!$G$3:$G$665,MATCH($A168,'Input Statistiche 2025_26'!$A$3:$A$665,0)),"")</f>
        <v>5.96</v>
      </c>
      <c r="T168" s="30" t="n">
        <f aca="false">IFERROR(INDEX('Input Statistiche 2025_26'!$H$3:$H$665,MATCH($A168,'Input Statistiche 2025_26'!$A$3:$A$665,0)),"")</f>
        <v>5.96</v>
      </c>
      <c r="U168" s="26" t="str">
        <f aca="false">IF(OR('La Mia Rosa'!$O$12="",$D168&lt;&gt;""),"",IF($F168&lt;='La Mia Rosa'!$O$12*'Parametri Modello'!$B$24,"OK",IF($F168&lt;='La Mia Rosa'!$O$12*'Parametri Modello'!$B$25,"Attenzione","Rischio Alto")))</f>
        <v>OK</v>
      </c>
      <c r="V168" s="26" t="n">
        <f aca="false">IFERROR(COUNTIFS($B$2:$B$492,$B168,$O$2:$O$492,"&gt;"&amp;$O168)+1,"")</f>
        <v>60</v>
      </c>
      <c r="W168" s="21" t="n">
        <f aca="false">'Info Lega'!$B$4-SUMIFS($M$2:$M$492,$D$2:$D$492,'Info Lega'!$B$28)</f>
        <v>1000</v>
      </c>
      <c r="X168" s="21" t="n">
        <f aca="false">('Info Lega'!$B$5-COUNTIFS($D$2:$D$492,'Info Lega'!$B$28,$B$2:$B$492,"P"))+('Info Lega'!$B$6-COUNTIFS($D$2:$D$492,'Info Lega'!$B$28,$B$2:$B$492,"D"))+('Info Lega'!$B$7-COUNTIFS($D$2:$D$492,'Info Lega'!$B$28,$B$2:$B$492,"C"))+('Info Lega'!$B$8-COUNTIFS($D$2:$D$492,'Info Lega'!$B$28,$B$2:$B$492,"A"))</f>
        <v>25</v>
      </c>
      <c r="Y168" s="21" t="n">
        <f aca="false">X168*'Parametri Modello'!$B$30</f>
        <v>25</v>
      </c>
      <c r="Z168" s="21" t="n">
        <f aca="false">MAX(0,W168-Y168)</f>
        <v>975</v>
      </c>
      <c r="AA168" s="21" t="n">
        <f aca="false">MIN(F168,Z168)</f>
        <v>3</v>
      </c>
      <c r="AB168" s="21"/>
      <c r="AC168" s="21" t="str">
        <f aca="false">IF(AB168="","",IF(AB168&gt;AA168,"PASS",IF(AB168&lt;=AA168*0.85,"BID","ATTENZIONE")))</f>
        <v/>
      </c>
      <c r="AD168" s="31" t="n">
        <f aca="false">IF(I168="","",ROUND(100*(1-EXP(-I168/30)),0))</f>
        <v>70</v>
      </c>
      <c r="AE168" s="7" t="str">
        <f aca="false">IFERROR(INDEX('Stato Asta'!$G$9:$G$12,MATCH($B168,'Stato Asta'!$A$9:$A$12,0)),"")</f>
        <v>🟡 Attesa rischiosa</v>
      </c>
    </row>
    <row r="169" customFormat="false" ht="14.25" hidden="false" customHeight="true" outlineLevel="0" collapsed="false">
      <c r="A169" s="21" t="n">
        <v>6164</v>
      </c>
      <c r="B169" s="21" t="s">
        <v>46</v>
      </c>
      <c r="C169" s="21" t="s">
        <v>580</v>
      </c>
      <c r="E169" s="26" t="str">
        <f aca="false">IF(COUNTIF('Info Strategia'!$D$2:$D$51,$C169)&gt;0,"SI","NO")</f>
        <v>NO</v>
      </c>
      <c r="F169" s="27" t="n">
        <f aca="false">IFERROR(ROUND(($G169+($H169-$G169)*'Info Strategia'!$B$6)*(1+IF($E169="SI",'Parametri Modello'!$B$7*'Info Strategia'!$B$6,0)),0),"")</f>
        <v>6</v>
      </c>
      <c r="G169" s="27" t="n">
        <f aca="false">IFERROR(ROUND(MAX(1,(IF($V169&lt;=INDEX('Parametri Modello'!$C$57:$C$60,MATCH($B169,'Parametri Modello'!$A$57:$A$60,0)),IF(INDEX('Parametri Modello'!$E$57:$E$60,MATCH($B169,'Parametri Modello'!$A$57:$A$60,0))=0,0,($O169/INDEX('Parametri Modello'!$E$57:$E$60,MATCH($B169,'Parametri Modello'!$A$57:$A$60,0)))*(INDEX('Parametri Modello'!$D$57:$D$60,MATCH($B169,'Parametri Modello'!$A$57:$A$60,0))*(INDEX('Parametri Modello'!$B$50:$B$53,MATCH($B169,'Parametri Modello'!$A$50:$A$53,0))*'Parametri Modello'!$B$44))),IF(INDEX('Parametri Modello'!$F$57:$F$60,MATCH($B169,'Parametri Modello'!$A$57:$A$60,0))=0,0,($O169/INDEX('Parametri Modello'!$F$57:$F$60,MATCH($B169,'Parametri Modello'!$A$57:$A$60,0)))*((1-INDEX('Parametri Modello'!$D$57:$D$60,MATCH($B169,'Parametri Modello'!$A$57:$A$60,0)))*(INDEX('Parametri Modello'!$B$50:$B$53,MATCH($B169,'Parametri Modello'!$A$50:$A$53,0))*'Parametri Modello'!$B$44))))*(1+IF(IF($B169="D",'Info Lega'!$B$25,IF($B169="C",'Info Lega'!$B$26,"No"))="Si",'Parametri Modello'!$B$5,0))*(1+MAX(-0.25,MIN(0.25,IF(OR($T169="",$I169="",$I169=0,INDEX('Parametri Modello'!$B$19:$B$22,MATCH($B169,'Parametri Modello'!$A$19:$A$22,0))="",INDEX('Parametri Modello'!$B$19:$B$22,MATCH($B169,'Parametri Modello'!$A$19:$A$22,0))=0),0,(($T169-INDEX('Parametri Modello'!$B$19:$B$22,MATCH($B169,'Parametri Modello'!$A$19:$A$22,0)))/INDEX('Parametri Modello'!$B$19:$B$22,MATCH($B169,'Parametri Modello'!$A$19:$A$22,0)))*'Parametri Modello'!$B$9))))*(1+IF('Parametri Modello'!$B$27="Si",MAX(-'Parametri Modello'!$B$28,MIN('Parametri Modello'!$B$28*1.5,IF(OR(INDEX('Parametri Modello'!$F$32:$F$35,MATCH($B169,'Parametri Modello'!$A$32:$A$35,0))="",INDEX('Parametri Modello'!$F$32:$F$35,MATCH($B169,'Parametri Modello'!$A$32:$A$35,0))=0),0,(1/INDEX('Parametri Modello'!$F$32:$F$35,MATCH($B169,'Parametri Modello'!$A$32:$A$35,0))-1)*'Parametri Modello'!$B$28))),0)))*(1-INDEX('Parametri Modello'!$B$12:$B$15,MATCH($B169,'Parametri Modello'!$A$12:$A$15,0)))),0),"")</f>
        <v>4</v>
      </c>
      <c r="H169" s="27" t="n">
        <f aca="false">IFERROR(ROUND((IF($V169&lt;=INDEX('Parametri Modello'!$C$57:$C$60,MATCH($B169,'Parametri Modello'!$A$57:$A$60,0)),IF(INDEX('Parametri Modello'!$E$57:$E$60,MATCH($B169,'Parametri Modello'!$A$57:$A$60,0))=0,0,($O169/INDEX('Parametri Modello'!$E$57:$E$60,MATCH($B169,'Parametri Modello'!$A$57:$A$60,0)))*(INDEX('Parametri Modello'!$D$57:$D$60,MATCH($B169,'Parametri Modello'!$A$57:$A$60,0))*(INDEX('Parametri Modello'!$B$50:$B$53,MATCH($B169,'Parametri Modello'!$A$50:$A$53,0))*'Parametri Modello'!$B$44))),IF(INDEX('Parametri Modello'!$F$57:$F$60,MATCH($B169,'Parametri Modello'!$A$57:$A$60,0))=0,0,($O169/INDEX('Parametri Modello'!$F$57:$F$60,MATCH($B169,'Parametri Modello'!$A$57:$A$60,0)))*((1-INDEX('Parametri Modello'!$D$57:$D$60,MATCH($B169,'Parametri Modello'!$A$57:$A$60,0)))*(INDEX('Parametri Modello'!$B$50:$B$53,MATCH($B169,'Parametri Modello'!$A$50:$A$53,0))*'Parametri Modello'!$B$44))))*(1+IF(IF($B169="D",'Info Lega'!$B$25,IF($B169="C",'Info Lega'!$B$26,"No"))="Si",'Parametri Modello'!$B$5,0))*(1+MAX(-0.25,MIN(0.25,IF(OR($T169="",$I169="",$I169=0,INDEX('Parametri Modello'!$B$19:$B$22,MATCH($B169,'Parametri Modello'!$A$19:$A$22,0))="",INDEX('Parametri Modello'!$B$19:$B$22,MATCH($B169,'Parametri Modello'!$A$19:$A$22,0))=0),0,(($T169-INDEX('Parametri Modello'!$B$19:$B$22,MATCH($B169,'Parametri Modello'!$A$19:$A$22,0)))/INDEX('Parametri Modello'!$B$19:$B$22,MATCH($B169,'Parametri Modello'!$A$19:$A$22,0)))*'Parametri Modello'!$B$9))))*(1+IF('Parametri Modello'!$B$27="Si",MAX(-'Parametri Modello'!$B$28,MIN('Parametri Modello'!$B$28*1.5,IF(OR(INDEX('Parametri Modello'!$F$32:$F$35,MATCH($B169,'Parametri Modello'!$A$32:$A$35,0))="",INDEX('Parametri Modello'!$F$32:$F$35,MATCH($B169,'Parametri Modello'!$A$32:$A$35,0))=0),0,(1/INDEX('Parametri Modello'!$F$32:$F$35,MATCH($B169,'Parametri Modello'!$A$32:$A$35,0))-1)*'Parametri Modello'!$B$28))),0)))*(1+INDEX('Parametri Modello'!$B$12:$B$15,MATCH($B169,'Parametri Modello'!$A$12:$A$15,0))),0),"")</f>
        <v>7</v>
      </c>
      <c r="I169" s="26" t="n">
        <f aca="false">IFERROR(INDEX('Input Statistiche 2025_26'!$F$3:$F$665,MATCH($A169,'Input Statistiche 2025_26'!$A$3:$A$665,0)),"")</f>
        <v>31</v>
      </c>
      <c r="J169" s="26" t="n">
        <f aca="false">IFERROR(IF($I169="","",MAX(0,38-$I169)),"")</f>
        <v>7</v>
      </c>
      <c r="K169" s="26" t="n">
        <f aca="false">IFERROR(INDEX('Input Statistiche 2025_26'!$I$3:$I$665,MATCH($A169,'Input Statistiche 2025_26'!$A$3:$A$665,0)),"")</f>
        <v>5</v>
      </c>
      <c r="L169" s="26" t="n">
        <f aca="false">IFERROR(INDEX('Input Statistiche 2025_26'!$O$3:$O$665,MATCH($A169,'Input Statistiche 2025_26'!$A$3:$A$665,0)),"")</f>
        <v>1</v>
      </c>
      <c r="M169" s="28"/>
      <c r="N169" s="27" t="n">
        <f aca="false">IFERROR(INDEX('Input Giocatori 2026_27'!$E$3:$E$493,MATCH($A169,'Input Giocatori 2026_27'!$A$3:$A$493,0)),"")</f>
        <v>8</v>
      </c>
      <c r="O169" s="27" t="n">
        <f aca="false">IFERROR(INDEX('Input Giocatori 2026_27'!$G$3:$G$493,MATCH($A169,'Input Giocatori 2026_27'!$A$3:$A$493,0)),"")</f>
        <v>20</v>
      </c>
      <c r="P169" s="26" t="str">
        <f aca="false">IFERROR(IF($O169="","",IF((1-(COUNTIFS($B$2:$B$492,$B169,$O$2:$O$492,"&gt;"&amp;$O169)+1-1)/COUNTIF($B$2:$B$492,$B169))&gt;=0.85,"Top",IF((1-(COUNTIFS($B$2:$B$492,$B169,$O$2:$O$492,"&gt;"&amp;$O169)+1-1)/COUNTIF($B$2:$B$492,$B169))&gt;=0.6,"Buono",IF((1-(COUNTIFS($B$2:$B$492,$B169,$O$2:$O$492,"&gt;"&amp;$O169)+1-1)/COUNTIF($B$2:$B$492,$B169))&gt;=0.3,"Nella Media","Scommessa/Riserva")))),"")</f>
        <v>Nella Media</v>
      </c>
      <c r="Q169" s="29" t="n">
        <f aca="false">IF($D169="",COUNTIF($D$2:$D169,""),"")</f>
        <v>168</v>
      </c>
      <c r="R169" s="29" t="str">
        <f aca="false">IF($D169='Info Lega'!$B$28,COUNTIFS($D$2:$D169,'Info Lega'!$B$28),"")</f>
        <v/>
      </c>
      <c r="S169" s="30" t="n">
        <f aca="false">IFERROR(INDEX('Input Statistiche 2025_26'!$G$3:$G$665,MATCH($A169,'Input Statistiche 2025_26'!$A$3:$A$665,0)),"")</f>
        <v>5.95</v>
      </c>
      <c r="T169" s="30" t="n">
        <f aca="false">IFERROR(INDEX('Input Statistiche 2025_26'!$H$3:$H$665,MATCH($A169,'Input Statistiche 2025_26'!$A$3:$A$665,0)),"")</f>
        <v>6.39</v>
      </c>
      <c r="U169" s="26" t="str">
        <f aca="false">IF(OR('La Mia Rosa'!$O$12="",$D169&lt;&gt;""),"",IF($F169&lt;='La Mia Rosa'!$O$12*'Parametri Modello'!$B$24,"OK",IF($F169&lt;='La Mia Rosa'!$O$12*'Parametri Modello'!$B$25,"Attenzione","Rischio Alto")))</f>
        <v>OK</v>
      </c>
      <c r="V169" s="26" t="n">
        <f aca="false">IFERROR(COUNTIFS($B$2:$B$492,$B169,$O$2:$O$492,"&gt;"&amp;$O169)+1,"")</f>
        <v>48</v>
      </c>
      <c r="W169" s="21" t="n">
        <f aca="false">'Info Lega'!$B$4-SUMIFS($M$2:$M$492,$D$2:$D$492,'Info Lega'!$B$28)</f>
        <v>1000</v>
      </c>
      <c r="X169" s="21" t="n">
        <f aca="false">('Info Lega'!$B$5-COUNTIFS($D$2:$D$492,'Info Lega'!$B$28,$B$2:$B$492,"P"))+('Info Lega'!$B$6-COUNTIFS($D$2:$D$492,'Info Lega'!$B$28,$B$2:$B$492,"D"))+('Info Lega'!$B$7-COUNTIFS($D$2:$D$492,'Info Lega'!$B$28,$B$2:$B$492,"C"))+('Info Lega'!$B$8-COUNTIFS($D$2:$D$492,'Info Lega'!$B$28,$B$2:$B$492,"A"))</f>
        <v>25</v>
      </c>
      <c r="Y169" s="21" t="n">
        <f aca="false">X169*'Parametri Modello'!$B$30</f>
        <v>25</v>
      </c>
      <c r="Z169" s="21" t="n">
        <f aca="false">MAX(0,W169-Y169)</f>
        <v>975</v>
      </c>
      <c r="AA169" s="21" t="n">
        <f aca="false">MIN(F169,Z169)</f>
        <v>6</v>
      </c>
      <c r="AB169" s="21"/>
      <c r="AC169" s="21" t="str">
        <f aca="false">IF(AB169="","",IF(AB169&gt;AA169,"PASS",IF(AB169&lt;=AA169*0.85,"BID","ATTENZIONE")))</f>
        <v/>
      </c>
      <c r="AD169" s="31" t="n">
        <f aca="false">IF(I169="","",ROUND(100*(1-EXP(-I169/30)),0))</f>
        <v>64</v>
      </c>
      <c r="AE169" s="7" t="str">
        <f aca="false">IFERROR(INDEX('Stato Asta'!$G$9:$G$12,MATCH($B169,'Stato Asta'!$A$9:$A$12,0)),"")</f>
        <v>🔴 Non aspettare</v>
      </c>
    </row>
    <row r="170" customFormat="false" ht="14.25" hidden="false" customHeight="true" outlineLevel="0" collapsed="false">
      <c r="A170" s="21" t="n">
        <v>7449</v>
      </c>
      <c r="B170" s="21" t="s">
        <v>46</v>
      </c>
      <c r="C170" s="21" t="s">
        <v>582</v>
      </c>
      <c r="E170" s="26" t="str">
        <f aca="false">IF(COUNTIF('Info Strategia'!$D$2:$D$51,$C170)&gt;0,"SI","NO")</f>
        <v>NO</v>
      </c>
      <c r="F170" s="27" t="n">
        <f aca="false">IFERROR(ROUND(($G170+($H170-$G170)*'Info Strategia'!$B$6)*(1+IF($E170="SI",'Parametri Modello'!$B$7*'Info Strategia'!$B$6,0)),0),"")</f>
        <v>6</v>
      </c>
      <c r="G170" s="27" t="n">
        <f aca="false">IFERROR(ROUND(MAX(1,(IF($V170&lt;=INDEX('Parametri Modello'!$C$57:$C$60,MATCH($B170,'Parametri Modello'!$A$57:$A$60,0)),IF(INDEX('Parametri Modello'!$E$57:$E$60,MATCH($B170,'Parametri Modello'!$A$57:$A$60,0))=0,0,($O170/INDEX('Parametri Modello'!$E$57:$E$60,MATCH($B170,'Parametri Modello'!$A$57:$A$60,0)))*(INDEX('Parametri Modello'!$D$57:$D$60,MATCH($B170,'Parametri Modello'!$A$57:$A$60,0))*(INDEX('Parametri Modello'!$B$50:$B$53,MATCH($B170,'Parametri Modello'!$A$50:$A$53,0))*'Parametri Modello'!$B$44))),IF(INDEX('Parametri Modello'!$F$57:$F$60,MATCH($B170,'Parametri Modello'!$A$57:$A$60,0))=0,0,($O170/INDEX('Parametri Modello'!$F$57:$F$60,MATCH($B170,'Parametri Modello'!$A$57:$A$60,0)))*((1-INDEX('Parametri Modello'!$D$57:$D$60,MATCH($B170,'Parametri Modello'!$A$57:$A$60,0)))*(INDEX('Parametri Modello'!$B$50:$B$53,MATCH($B170,'Parametri Modello'!$A$50:$A$53,0))*'Parametri Modello'!$B$44))))*(1+IF(IF($B170="D",'Info Lega'!$B$25,IF($B170="C",'Info Lega'!$B$26,"No"))="Si",'Parametri Modello'!$B$5,0))*(1+MAX(-0.25,MIN(0.25,IF(OR($T170="",$I170="",$I170=0,INDEX('Parametri Modello'!$B$19:$B$22,MATCH($B170,'Parametri Modello'!$A$19:$A$22,0))="",INDEX('Parametri Modello'!$B$19:$B$22,MATCH($B170,'Parametri Modello'!$A$19:$A$22,0))=0),0,(($T170-INDEX('Parametri Modello'!$B$19:$B$22,MATCH($B170,'Parametri Modello'!$A$19:$A$22,0)))/INDEX('Parametri Modello'!$B$19:$B$22,MATCH($B170,'Parametri Modello'!$A$19:$A$22,0)))*'Parametri Modello'!$B$9))))*(1+IF('Parametri Modello'!$B$27="Si",MAX(-'Parametri Modello'!$B$28,MIN('Parametri Modello'!$B$28*1.5,IF(OR(INDEX('Parametri Modello'!$F$32:$F$35,MATCH($B170,'Parametri Modello'!$A$32:$A$35,0))="",INDEX('Parametri Modello'!$F$32:$F$35,MATCH($B170,'Parametri Modello'!$A$32:$A$35,0))=0),0,(1/INDEX('Parametri Modello'!$F$32:$F$35,MATCH($B170,'Parametri Modello'!$A$32:$A$35,0))-1)*'Parametri Modello'!$B$28))),0)))*(1-INDEX('Parametri Modello'!$B$12:$B$15,MATCH($B170,'Parametri Modello'!$A$12:$A$15,0)))),0),"")</f>
        <v>4</v>
      </c>
      <c r="H170" s="27" t="n">
        <f aca="false">IFERROR(ROUND((IF($V170&lt;=INDEX('Parametri Modello'!$C$57:$C$60,MATCH($B170,'Parametri Modello'!$A$57:$A$60,0)),IF(INDEX('Parametri Modello'!$E$57:$E$60,MATCH($B170,'Parametri Modello'!$A$57:$A$60,0))=0,0,($O170/INDEX('Parametri Modello'!$E$57:$E$60,MATCH($B170,'Parametri Modello'!$A$57:$A$60,0)))*(INDEX('Parametri Modello'!$D$57:$D$60,MATCH($B170,'Parametri Modello'!$A$57:$A$60,0))*(INDEX('Parametri Modello'!$B$50:$B$53,MATCH($B170,'Parametri Modello'!$A$50:$A$53,0))*'Parametri Modello'!$B$44))),IF(INDEX('Parametri Modello'!$F$57:$F$60,MATCH($B170,'Parametri Modello'!$A$57:$A$60,0))=0,0,($O170/INDEX('Parametri Modello'!$F$57:$F$60,MATCH($B170,'Parametri Modello'!$A$57:$A$60,0)))*((1-INDEX('Parametri Modello'!$D$57:$D$60,MATCH($B170,'Parametri Modello'!$A$57:$A$60,0)))*(INDEX('Parametri Modello'!$B$50:$B$53,MATCH($B170,'Parametri Modello'!$A$50:$A$53,0))*'Parametri Modello'!$B$44))))*(1+IF(IF($B170="D",'Info Lega'!$B$25,IF($B170="C",'Info Lega'!$B$26,"No"))="Si",'Parametri Modello'!$B$5,0))*(1+MAX(-0.25,MIN(0.25,IF(OR($T170="",$I170="",$I170=0,INDEX('Parametri Modello'!$B$19:$B$22,MATCH($B170,'Parametri Modello'!$A$19:$A$22,0))="",INDEX('Parametri Modello'!$B$19:$B$22,MATCH($B170,'Parametri Modello'!$A$19:$A$22,0))=0),0,(($T170-INDEX('Parametri Modello'!$B$19:$B$22,MATCH($B170,'Parametri Modello'!$A$19:$A$22,0)))/INDEX('Parametri Modello'!$B$19:$B$22,MATCH($B170,'Parametri Modello'!$A$19:$A$22,0)))*'Parametri Modello'!$B$9))))*(1+IF('Parametri Modello'!$B$27="Si",MAX(-'Parametri Modello'!$B$28,MIN('Parametri Modello'!$B$28*1.5,IF(OR(INDEX('Parametri Modello'!$F$32:$F$35,MATCH($B170,'Parametri Modello'!$A$32:$A$35,0))="",INDEX('Parametri Modello'!$F$32:$F$35,MATCH($B170,'Parametri Modello'!$A$32:$A$35,0))=0),0,(1/INDEX('Parametri Modello'!$F$32:$F$35,MATCH($B170,'Parametri Modello'!$A$32:$A$35,0))-1)*'Parametri Modello'!$B$28))),0)))*(1+INDEX('Parametri Modello'!$B$12:$B$15,MATCH($B170,'Parametri Modello'!$A$12:$A$15,0))),0),"")</f>
        <v>7</v>
      </c>
      <c r="I170" s="26" t="str">
        <f aca="false">IFERROR(INDEX('Input Statistiche 2025_26'!$F$3:$F$665,MATCH($A170,'Input Statistiche 2025_26'!$A$3:$A$665,0)),"")</f>
        <v/>
      </c>
      <c r="J170" s="26" t="str">
        <f aca="false">IFERROR(IF($I170="","",MAX(0,38-$I170)),"")</f>
        <v/>
      </c>
      <c r="K170" s="26" t="str">
        <f aca="false">IFERROR(INDEX('Input Statistiche 2025_26'!$I$3:$I$665,MATCH($A170,'Input Statistiche 2025_26'!$A$3:$A$665,0)),"")</f>
        <v/>
      </c>
      <c r="L170" s="26" t="str">
        <f aca="false">IFERROR(INDEX('Input Statistiche 2025_26'!$O$3:$O$665,MATCH($A170,'Input Statistiche 2025_26'!$A$3:$A$665,0)),"")</f>
        <v/>
      </c>
      <c r="M170" s="28"/>
      <c r="N170" s="27" t="n">
        <f aca="false">IFERROR(INDEX('Input Giocatori 2026_27'!$E$3:$E$493,MATCH($A170,'Input Giocatori 2026_27'!$A$3:$A$493,0)),"")</f>
        <v>8</v>
      </c>
      <c r="O170" s="27" t="n">
        <f aca="false">IFERROR(INDEX('Input Giocatori 2026_27'!$G$3:$G$493,MATCH($A170,'Input Giocatori 2026_27'!$A$3:$A$493,0)),"")</f>
        <v>20</v>
      </c>
      <c r="P170" s="26" t="str">
        <f aca="false">IFERROR(IF($O170="","",IF((1-(COUNTIFS($B$2:$B$492,$B170,$O$2:$O$492,"&gt;"&amp;$O170)+1-1)/COUNTIF($B$2:$B$492,$B170))&gt;=0.85,"Top",IF((1-(COUNTIFS($B$2:$B$492,$B170,$O$2:$O$492,"&gt;"&amp;$O170)+1-1)/COUNTIF($B$2:$B$492,$B170))&gt;=0.6,"Buono",IF((1-(COUNTIFS($B$2:$B$492,$B170,$O$2:$O$492,"&gt;"&amp;$O170)+1-1)/COUNTIF($B$2:$B$492,$B170))&gt;=0.3,"Nella Media","Scommessa/Riserva")))),"")</f>
        <v>Nella Media</v>
      </c>
      <c r="Q170" s="29" t="n">
        <f aca="false">IF($D170="",COUNTIF($D$2:$D170,""),"")</f>
        <v>169</v>
      </c>
      <c r="R170" s="29" t="str">
        <f aca="false">IF($D170='Info Lega'!$B$28,COUNTIFS($D$2:$D170,'Info Lega'!$B$28),"")</f>
        <v/>
      </c>
      <c r="S170" s="30" t="str">
        <f aca="false">IFERROR(INDEX('Input Statistiche 2025_26'!$G$3:$G$665,MATCH($A170,'Input Statistiche 2025_26'!$A$3:$A$665,0)),"")</f>
        <v/>
      </c>
      <c r="T170" s="30" t="str">
        <f aca="false">IFERROR(INDEX('Input Statistiche 2025_26'!$H$3:$H$665,MATCH($A170,'Input Statistiche 2025_26'!$A$3:$A$665,0)),"")</f>
        <v/>
      </c>
      <c r="U170" s="26" t="str">
        <f aca="false">IF(OR('La Mia Rosa'!$O$12="",$D170&lt;&gt;""),"",IF($F170&lt;='La Mia Rosa'!$O$12*'Parametri Modello'!$B$24,"OK",IF($F170&lt;='La Mia Rosa'!$O$12*'Parametri Modello'!$B$25,"Attenzione","Rischio Alto")))</f>
        <v>OK</v>
      </c>
      <c r="V170" s="26" t="n">
        <f aca="false">IFERROR(COUNTIFS($B$2:$B$492,$B170,$O$2:$O$492,"&gt;"&amp;$O170)+1,"")</f>
        <v>48</v>
      </c>
      <c r="W170" s="21" t="n">
        <f aca="false">'Info Lega'!$B$4-SUMIFS($M$2:$M$492,$D$2:$D$492,'Info Lega'!$B$28)</f>
        <v>1000</v>
      </c>
      <c r="X170" s="21" t="n">
        <f aca="false">('Info Lega'!$B$5-COUNTIFS($D$2:$D$492,'Info Lega'!$B$28,$B$2:$B$492,"P"))+('Info Lega'!$B$6-COUNTIFS($D$2:$D$492,'Info Lega'!$B$28,$B$2:$B$492,"D"))+('Info Lega'!$B$7-COUNTIFS($D$2:$D$492,'Info Lega'!$B$28,$B$2:$B$492,"C"))+('Info Lega'!$B$8-COUNTIFS($D$2:$D$492,'Info Lega'!$B$28,$B$2:$B$492,"A"))</f>
        <v>25</v>
      </c>
      <c r="Y170" s="21" t="n">
        <f aca="false">X170*'Parametri Modello'!$B$30</f>
        <v>25</v>
      </c>
      <c r="Z170" s="21" t="n">
        <f aca="false">MAX(0,W170-Y170)</f>
        <v>975</v>
      </c>
      <c r="AA170" s="21" t="n">
        <f aca="false">MIN(F170,Z170)</f>
        <v>6</v>
      </c>
      <c r="AB170" s="21"/>
      <c r="AC170" s="21" t="str">
        <f aca="false">IF(AB170="","",IF(AB170&gt;AA170,"PASS",IF(AB170&lt;=AA170*0.85,"BID","ATTENZIONE")))</f>
        <v/>
      </c>
      <c r="AD170" s="31" t="str">
        <f aca="false">IF(I170="","",ROUND(100*(1-EXP(-I170/30)),0))</f>
        <v/>
      </c>
      <c r="AE170" s="7" t="str">
        <f aca="false">IFERROR(INDEX('Stato Asta'!$G$9:$G$12,MATCH($B170,'Stato Asta'!$A$9:$A$12,0)),"")</f>
        <v>🔴 Non aspettare</v>
      </c>
    </row>
    <row r="171" customFormat="false" ht="14.25" hidden="false" customHeight="true" outlineLevel="0" collapsed="false">
      <c r="A171" s="21" t="n">
        <v>4994</v>
      </c>
      <c r="B171" s="21" t="s">
        <v>44</v>
      </c>
      <c r="C171" s="21" t="s">
        <v>227</v>
      </c>
      <c r="E171" s="26" t="str">
        <f aca="false">IF(COUNTIF('Info Strategia'!$D$2:$D$51,$C171)&gt;0,"SI","NO")</f>
        <v>NO</v>
      </c>
      <c r="F171" s="27" t="n">
        <f aca="false">IFERROR(ROUND(($G171+($H171-$G171)*'Info Strategia'!$B$6)*(1+IF($E171="SI",'Parametri Modello'!$B$7*'Info Strategia'!$B$6,0)),0),"")</f>
        <v>4</v>
      </c>
      <c r="G171" s="27" t="n">
        <f aca="false">IFERROR(ROUND(MAX(1,(IF($V171&lt;=INDEX('Parametri Modello'!$C$57:$C$60,MATCH($B171,'Parametri Modello'!$A$57:$A$60,0)),IF(INDEX('Parametri Modello'!$E$57:$E$60,MATCH($B171,'Parametri Modello'!$A$57:$A$60,0))=0,0,($O171/INDEX('Parametri Modello'!$E$57:$E$60,MATCH($B171,'Parametri Modello'!$A$57:$A$60,0)))*(INDEX('Parametri Modello'!$D$57:$D$60,MATCH($B171,'Parametri Modello'!$A$57:$A$60,0))*(INDEX('Parametri Modello'!$B$50:$B$53,MATCH($B171,'Parametri Modello'!$A$50:$A$53,0))*'Parametri Modello'!$B$44))),IF(INDEX('Parametri Modello'!$F$57:$F$60,MATCH($B171,'Parametri Modello'!$A$57:$A$60,0))=0,0,($O171/INDEX('Parametri Modello'!$F$57:$F$60,MATCH($B171,'Parametri Modello'!$A$57:$A$60,0)))*((1-INDEX('Parametri Modello'!$D$57:$D$60,MATCH($B171,'Parametri Modello'!$A$57:$A$60,0)))*(INDEX('Parametri Modello'!$B$50:$B$53,MATCH($B171,'Parametri Modello'!$A$50:$A$53,0))*'Parametri Modello'!$B$44))))*(1+IF(IF($B171="D",'Info Lega'!$B$25,IF($B171="C",'Info Lega'!$B$26,"No"))="Si",'Parametri Modello'!$B$5,0))*(1+MAX(-0.25,MIN(0.25,IF(OR($T171="",$I171="",$I171=0,INDEX('Parametri Modello'!$B$19:$B$22,MATCH($B171,'Parametri Modello'!$A$19:$A$22,0))="",INDEX('Parametri Modello'!$B$19:$B$22,MATCH($B171,'Parametri Modello'!$A$19:$A$22,0))=0),0,(($T171-INDEX('Parametri Modello'!$B$19:$B$22,MATCH($B171,'Parametri Modello'!$A$19:$A$22,0)))/INDEX('Parametri Modello'!$B$19:$B$22,MATCH($B171,'Parametri Modello'!$A$19:$A$22,0)))*'Parametri Modello'!$B$9))))*(1+IF('Parametri Modello'!$B$27="Si",MAX(-'Parametri Modello'!$B$28,MIN('Parametri Modello'!$B$28*1.5,IF(OR(INDEX('Parametri Modello'!$F$32:$F$35,MATCH($B171,'Parametri Modello'!$A$32:$A$35,0))="",INDEX('Parametri Modello'!$F$32:$F$35,MATCH($B171,'Parametri Modello'!$A$32:$A$35,0))=0),0,(1/INDEX('Parametri Modello'!$F$32:$F$35,MATCH($B171,'Parametri Modello'!$A$32:$A$35,0))-1)*'Parametri Modello'!$B$28))),0)))*(1-INDEX('Parametri Modello'!$B$12:$B$15,MATCH($B171,'Parametri Modello'!$A$12:$A$15,0)))),0),"")</f>
        <v>3</v>
      </c>
      <c r="H171" s="27" t="n">
        <f aca="false">IFERROR(ROUND((IF($V171&lt;=INDEX('Parametri Modello'!$C$57:$C$60,MATCH($B171,'Parametri Modello'!$A$57:$A$60,0)),IF(INDEX('Parametri Modello'!$E$57:$E$60,MATCH($B171,'Parametri Modello'!$A$57:$A$60,0))=0,0,($O171/INDEX('Parametri Modello'!$E$57:$E$60,MATCH($B171,'Parametri Modello'!$A$57:$A$60,0)))*(INDEX('Parametri Modello'!$D$57:$D$60,MATCH($B171,'Parametri Modello'!$A$57:$A$60,0))*(INDEX('Parametri Modello'!$B$50:$B$53,MATCH($B171,'Parametri Modello'!$A$50:$A$53,0))*'Parametri Modello'!$B$44))),IF(INDEX('Parametri Modello'!$F$57:$F$60,MATCH($B171,'Parametri Modello'!$A$57:$A$60,0))=0,0,($O171/INDEX('Parametri Modello'!$F$57:$F$60,MATCH($B171,'Parametri Modello'!$A$57:$A$60,0)))*((1-INDEX('Parametri Modello'!$D$57:$D$60,MATCH($B171,'Parametri Modello'!$A$57:$A$60,0)))*(INDEX('Parametri Modello'!$B$50:$B$53,MATCH($B171,'Parametri Modello'!$A$50:$A$53,0))*'Parametri Modello'!$B$44))))*(1+IF(IF($B171="D",'Info Lega'!$B$25,IF($B171="C",'Info Lega'!$B$26,"No"))="Si",'Parametri Modello'!$B$5,0))*(1+MAX(-0.25,MIN(0.25,IF(OR($T171="",$I171="",$I171=0,INDEX('Parametri Modello'!$B$19:$B$22,MATCH($B171,'Parametri Modello'!$A$19:$A$22,0))="",INDEX('Parametri Modello'!$B$19:$B$22,MATCH($B171,'Parametri Modello'!$A$19:$A$22,0))=0),0,(($T171-INDEX('Parametri Modello'!$B$19:$B$22,MATCH($B171,'Parametri Modello'!$A$19:$A$22,0)))/INDEX('Parametri Modello'!$B$19:$B$22,MATCH($B171,'Parametri Modello'!$A$19:$A$22,0)))*'Parametri Modello'!$B$9))))*(1+IF('Parametri Modello'!$B$27="Si",MAX(-'Parametri Modello'!$B$28,MIN('Parametri Modello'!$B$28*1.5,IF(OR(INDEX('Parametri Modello'!$F$32:$F$35,MATCH($B171,'Parametri Modello'!$A$32:$A$35,0))="",INDEX('Parametri Modello'!$F$32:$F$35,MATCH($B171,'Parametri Modello'!$A$32:$A$35,0))=0),0,(1/INDEX('Parametri Modello'!$F$32:$F$35,MATCH($B171,'Parametri Modello'!$A$32:$A$35,0))-1)*'Parametri Modello'!$B$28))),0)))*(1+INDEX('Parametri Modello'!$B$12:$B$15,MATCH($B171,'Parametri Modello'!$A$12:$A$15,0))),0),"")</f>
        <v>4</v>
      </c>
      <c r="I171" s="26" t="n">
        <f aca="false">IFERROR(INDEX('Input Statistiche 2025_26'!$F$3:$F$665,MATCH($A171,'Input Statistiche 2025_26'!$A$3:$A$665,0)),"")</f>
        <v>27</v>
      </c>
      <c r="J171" s="26" t="n">
        <f aca="false">IFERROR(IF($I171="","",MAX(0,38-$I171)),"")</f>
        <v>11</v>
      </c>
      <c r="K171" s="26" t="n">
        <f aca="false">IFERROR(INDEX('Input Statistiche 2025_26'!$I$3:$I$665,MATCH($A171,'Input Statistiche 2025_26'!$A$3:$A$665,0)),"")</f>
        <v>2</v>
      </c>
      <c r="L171" s="26" t="n">
        <f aca="false">IFERROR(INDEX('Input Statistiche 2025_26'!$O$3:$O$665,MATCH($A171,'Input Statistiche 2025_26'!$A$3:$A$665,0)),"")</f>
        <v>1</v>
      </c>
      <c r="M171" s="28"/>
      <c r="N171" s="27" t="n">
        <f aca="false">IFERROR(INDEX('Input Giocatori 2026_27'!$E$3:$E$493,MATCH($A171,'Input Giocatori 2026_27'!$A$3:$A$493,0)),"")</f>
        <v>8</v>
      </c>
      <c r="O171" s="27" t="n">
        <f aca="false">IFERROR(INDEX('Input Giocatori 2026_27'!$G$3:$G$493,MATCH($A171,'Input Giocatori 2026_27'!$A$3:$A$493,0)),"")</f>
        <v>19</v>
      </c>
      <c r="P171" s="26" t="str">
        <f aca="false">IFERROR(IF($O171="","",IF((1-(COUNTIFS($B$2:$B$492,$B171,$O$2:$O$492,"&gt;"&amp;$O171)+1-1)/COUNTIF($B$2:$B$492,$B171))&gt;=0.85,"Top",IF((1-(COUNTIFS($B$2:$B$492,$B171,$O$2:$O$492,"&gt;"&amp;$O171)+1-1)/COUNTIF($B$2:$B$492,$B171))&gt;=0.6,"Buono",IF((1-(COUNTIFS($B$2:$B$492,$B171,$O$2:$O$492,"&gt;"&amp;$O171)+1-1)/COUNTIF($B$2:$B$492,$B171))&gt;=0.3,"Nella Media","Scommessa/Riserva")))),"")</f>
        <v>Buono</v>
      </c>
      <c r="Q171" s="29" t="n">
        <f aca="false">IF($D171="",COUNTIF($D$2:$D171,""),"")</f>
        <v>170</v>
      </c>
      <c r="R171" s="29" t="str">
        <f aca="false">IF($D171='Info Lega'!$B$28,COUNTIFS($D$2:$D171,'Info Lega'!$B$28),"")</f>
        <v/>
      </c>
      <c r="S171" s="30" t="n">
        <f aca="false">IFERROR(INDEX('Input Statistiche 2025_26'!$G$3:$G$665,MATCH($A171,'Input Statistiche 2025_26'!$A$3:$A$665,0)),"")</f>
        <v>6.02</v>
      </c>
      <c r="T171" s="30" t="n">
        <f aca="false">IFERROR(INDEX('Input Statistiche 2025_26'!$H$3:$H$665,MATCH($A171,'Input Statistiche 2025_26'!$A$3:$A$665,0)),"")</f>
        <v>6.24</v>
      </c>
      <c r="U171" s="26" t="str">
        <f aca="false">IF(OR('La Mia Rosa'!$O$12="",$D171&lt;&gt;""),"",IF($F171&lt;='La Mia Rosa'!$O$12*'Parametri Modello'!$B$24,"OK",IF($F171&lt;='La Mia Rosa'!$O$12*'Parametri Modello'!$B$25,"Attenzione","Rischio Alto")))</f>
        <v>OK</v>
      </c>
      <c r="V171" s="26" t="n">
        <f aca="false">IFERROR(COUNTIFS($B$2:$B$492,$B171,$O$2:$O$492,"&gt;"&amp;$O171)+1,"")</f>
        <v>42</v>
      </c>
      <c r="W171" s="21" t="n">
        <f aca="false">'Info Lega'!$B$4-SUMIFS($M$2:$M$492,$D$2:$D$492,'Info Lega'!$B$28)</f>
        <v>1000</v>
      </c>
      <c r="X171" s="21" t="n">
        <f aca="false">('Info Lega'!$B$5-COUNTIFS($D$2:$D$492,'Info Lega'!$B$28,$B$2:$B$492,"P"))+('Info Lega'!$B$6-COUNTIFS($D$2:$D$492,'Info Lega'!$B$28,$B$2:$B$492,"D"))+('Info Lega'!$B$7-COUNTIFS($D$2:$D$492,'Info Lega'!$B$28,$B$2:$B$492,"C"))+('Info Lega'!$B$8-COUNTIFS($D$2:$D$492,'Info Lega'!$B$28,$B$2:$B$492,"A"))</f>
        <v>25</v>
      </c>
      <c r="Y171" s="21" t="n">
        <f aca="false">X171*'Parametri Modello'!$B$30</f>
        <v>25</v>
      </c>
      <c r="Z171" s="21" t="n">
        <f aca="false">MAX(0,W171-Y171)</f>
        <v>975</v>
      </c>
      <c r="AA171" s="21" t="n">
        <f aca="false">MIN(F171,Z171)</f>
        <v>4</v>
      </c>
      <c r="AB171" s="21"/>
      <c r="AC171" s="21" t="str">
        <f aca="false">IF(AB171="","",IF(AB171&gt;AA171,"PASS",IF(AB171&lt;=AA171*0.85,"BID","ATTENZIONE")))</f>
        <v/>
      </c>
      <c r="AD171" s="31" t="n">
        <f aca="false">IF(I171="","",ROUND(100*(1-EXP(-I171/30)),0))</f>
        <v>59</v>
      </c>
      <c r="AE171" s="7" t="str">
        <f aca="false">IFERROR(INDEX('Stato Asta'!$G$9:$G$12,MATCH($B171,'Stato Asta'!$A$9:$A$12,0)),"")</f>
        <v>🟡 Attesa rischiosa</v>
      </c>
    </row>
    <row r="172" customFormat="false" ht="14.25" hidden="false" customHeight="true" outlineLevel="0" collapsed="false">
      <c r="A172" s="21" t="n">
        <v>4433</v>
      </c>
      <c r="B172" s="21" t="s">
        <v>44</v>
      </c>
      <c r="C172" s="21" t="s">
        <v>246</v>
      </c>
      <c r="E172" s="26" t="str">
        <f aca="false">IF(COUNTIF('Info Strategia'!$D$2:$D$51,$C172)&gt;0,"SI","NO")</f>
        <v>NO</v>
      </c>
      <c r="F172" s="27" t="n">
        <f aca="false">IFERROR(ROUND(($G172+($H172-$G172)*'Info Strategia'!$B$6)*(1+IF($E172="SI",'Parametri Modello'!$B$7*'Info Strategia'!$B$6,0)),0),"")</f>
        <v>4</v>
      </c>
      <c r="G172" s="27" t="n">
        <f aca="false">IFERROR(ROUND(MAX(1,(IF($V172&lt;=INDEX('Parametri Modello'!$C$57:$C$60,MATCH($B172,'Parametri Modello'!$A$57:$A$60,0)),IF(INDEX('Parametri Modello'!$E$57:$E$60,MATCH($B172,'Parametri Modello'!$A$57:$A$60,0))=0,0,($O172/INDEX('Parametri Modello'!$E$57:$E$60,MATCH($B172,'Parametri Modello'!$A$57:$A$60,0)))*(INDEX('Parametri Modello'!$D$57:$D$60,MATCH($B172,'Parametri Modello'!$A$57:$A$60,0))*(INDEX('Parametri Modello'!$B$50:$B$53,MATCH($B172,'Parametri Modello'!$A$50:$A$53,0))*'Parametri Modello'!$B$44))),IF(INDEX('Parametri Modello'!$F$57:$F$60,MATCH($B172,'Parametri Modello'!$A$57:$A$60,0))=0,0,($O172/INDEX('Parametri Modello'!$F$57:$F$60,MATCH($B172,'Parametri Modello'!$A$57:$A$60,0)))*((1-INDEX('Parametri Modello'!$D$57:$D$60,MATCH($B172,'Parametri Modello'!$A$57:$A$60,0)))*(INDEX('Parametri Modello'!$B$50:$B$53,MATCH($B172,'Parametri Modello'!$A$50:$A$53,0))*'Parametri Modello'!$B$44))))*(1+IF(IF($B172="D",'Info Lega'!$B$25,IF($B172="C",'Info Lega'!$B$26,"No"))="Si",'Parametri Modello'!$B$5,0))*(1+MAX(-0.25,MIN(0.25,IF(OR($T172="",$I172="",$I172=0,INDEX('Parametri Modello'!$B$19:$B$22,MATCH($B172,'Parametri Modello'!$A$19:$A$22,0))="",INDEX('Parametri Modello'!$B$19:$B$22,MATCH($B172,'Parametri Modello'!$A$19:$A$22,0))=0),0,(($T172-INDEX('Parametri Modello'!$B$19:$B$22,MATCH($B172,'Parametri Modello'!$A$19:$A$22,0)))/INDEX('Parametri Modello'!$B$19:$B$22,MATCH($B172,'Parametri Modello'!$A$19:$A$22,0)))*'Parametri Modello'!$B$9))))*(1+IF('Parametri Modello'!$B$27="Si",MAX(-'Parametri Modello'!$B$28,MIN('Parametri Modello'!$B$28*1.5,IF(OR(INDEX('Parametri Modello'!$F$32:$F$35,MATCH($B172,'Parametri Modello'!$A$32:$A$35,0))="",INDEX('Parametri Modello'!$F$32:$F$35,MATCH($B172,'Parametri Modello'!$A$32:$A$35,0))=0),0,(1/INDEX('Parametri Modello'!$F$32:$F$35,MATCH($B172,'Parametri Modello'!$A$32:$A$35,0))-1)*'Parametri Modello'!$B$28))),0)))*(1-INDEX('Parametri Modello'!$B$12:$B$15,MATCH($B172,'Parametri Modello'!$A$12:$A$15,0)))),0),"")</f>
        <v>3</v>
      </c>
      <c r="H172" s="27" t="n">
        <f aca="false">IFERROR(ROUND((IF($V172&lt;=INDEX('Parametri Modello'!$C$57:$C$60,MATCH($B172,'Parametri Modello'!$A$57:$A$60,0)),IF(INDEX('Parametri Modello'!$E$57:$E$60,MATCH($B172,'Parametri Modello'!$A$57:$A$60,0))=0,0,($O172/INDEX('Parametri Modello'!$E$57:$E$60,MATCH($B172,'Parametri Modello'!$A$57:$A$60,0)))*(INDEX('Parametri Modello'!$D$57:$D$60,MATCH($B172,'Parametri Modello'!$A$57:$A$60,0))*(INDEX('Parametri Modello'!$B$50:$B$53,MATCH($B172,'Parametri Modello'!$A$50:$A$53,0))*'Parametri Modello'!$B$44))),IF(INDEX('Parametri Modello'!$F$57:$F$60,MATCH($B172,'Parametri Modello'!$A$57:$A$60,0))=0,0,($O172/INDEX('Parametri Modello'!$F$57:$F$60,MATCH($B172,'Parametri Modello'!$A$57:$A$60,0)))*((1-INDEX('Parametri Modello'!$D$57:$D$60,MATCH($B172,'Parametri Modello'!$A$57:$A$60,0)))*(INDEX('Parametri Modello'!$B$50:$B$53,MATCH($B172,'Parametri Modello'!$A$50:$A$53,0))*'Parametri Modello'!$B$44))))*(1+IF(IF($B172="D",'Info Lega'!$B$25,IF($B172="C",'Info Lega'!$B$26,"No"))="Si",'Parametri Modello'!$B$5,0))*(1+MAX(-0.25,MIN(0.25,IF(OR($T172="",$I172="",$I172=0,INDEX('Parametri Modello'!$B$19:$B$22,MATCH($B172,'Parametri Modello'!$A$19:$A$22,0))="",INDEX('Parametri Modello'!$B$19:$B$22,MATCH($B172,'Parametri Modello'!$A$19:$A$22,0))=0),0,(($T172-INDEX('Parametri Modello'!$B$19:$B$22,MATCH($B172,'Parametri Modello'!$A$19:$A$22,0)))/INDEX('Parametri Modello'!$B$19:$B$22,MATCH($B172,'Parametri Modello'!$A$19:$A$22,0)))*'Parametri Modello'!$B$9))))*(1+IF('Parametri Modello'!$B$27="Si",MAX(-'Parametri Modello'!$B$28,MIN('Parametri Modello'!$B$28*1.5,IF(OR(INDEX('Parametri Modello'!$F$32:$F$35,MATCH($B172,'Parametri Modello'!$A$32:$A$35,0))="",INDEX('Parametri Modello'!$F$32:$F$35,MATCH($B172,'Parametri Modello'!$A$32:$A$35,0))=0),0,(1/INDEX('Parametri Modello'!$F$32:$F$35,MATCH($B172,'Parametri Modello'!$A$32:$A$35,0))-1)*'Parametri Modello'!$B$28))),0)))*(1+INDEX('Parametri Modello'!$B$12:$B$15,MATCH($B172,'Parametri Modello'!$A$12:$A$15,0))),0),"")</f>
        <v>4</v>
      </c>
      <c r="I172" s="26" t="n">
        <f aca="false">IFERROR(INDEX('Input Statistiche 2025_26'!$F$3:$F$665,MATCH($A172,'Input Statistiche 2025_26'!$A$3:$A$665,0)),"")</f>
        <v>28</v>
      </c>
      <c r="J172" s="26" t="n">
        <f aca="false">IFERROR(IF($I172="","",MAX(0,38-$I172)),"")</f>
        <v>10</v>
      </c>
      <c r="K172" s="26" t="n">
        <f aca="false">IFERROR(INDEX('Input Statistiche 2025_26'!$I$3:$I$665,MATCH($A172,'Input Statistiche 2025_26'!$A$3:$A$665,0)),"")</f>
        <v>0</v>
      </c>
      <c r="L172" s="26" t="n">
        <f aca="false">IFERROR(INDEX('Input Statistiche 2025_26'!$O$3:$O$665,MATCH($A172,'Input Statistiche 2025_26'!$A$3:$A$665,0)),"")</f>
        <v>2</v>
      </c>
      <c r="M172" s="28"/>
      <c r="N172" s="27" t="n">
        <f aca="false">IFERROR(INDEX('Input Giocatori 2026_27'!$E$3:$E$493,MATCH($A172,'Input Giocatori 2026_27'!$A$3:$A$493,0)),"")</f>
        <v>6</v>
      </c>
      <c r="O172" s="27" t="n">
        <f aca="false">IFERROR(INDEX('Input Giocatori 2026_27'!$G$3:$G$493,MATCH($A172,'Input Giocatori 2026_27'!$A$3:$A$493,0)),"")</f>
        <v>19</v>
      </c>
      <c r="P172" s="26" t="str">
        <f aca="false">IFERROR(IF($O172="","",IF((1-(COUNTIFS($B$2:$B$492,$B172,$O$2:$O$492,"&gt;"&amp;$O172)+1-1)/COUNTIF($B$2:$B$492,$B172))&gt;=0.85,"Top",IF((1-(COUNTIFS($B$2:$B$492,$B172,$O$2:$O$492,"&gt;"&amp;$O172)+1-1)/COUNTIF($B$2:$B$492,$B172))&gt;=0.6,"Buono",IF((1-(COUNTIFS($B$2:$B$492,$B172,$O$2:$O$492,"&gt;"&amp;$O172)+1-1)/COUNTIF($B$2:$B$492,$B172))&gt;=0.3,"Nella Media","Scommessa/Riserva")))),"")</f>
        <v>Buono</v>
      </c>
      <c r="Q172" s="29" t="n">
        <f aca="false">IF($D172="",COUNTIF($D$2:$D172,""),"")</f>
        <v>171</v>
      </c>
      <c r="R172" s="29" t="str">
        <f aca="false">IF($D172='Info Lega'!$B$28,COUNTIFS($D$2:$D172,'Info Lega'!$B$28),"")</f>
        <v/>
      </c>
      <c r="S172" s="30" t="n">
        <f aca="false">IFERROR(INDEX('Input Statistiche 2025_26'!$G$3:$G$665,MATCH($A172,'Input Statistiche 2025_26'!$A$3:$A$665,0)),"")</f>
        <v>5.86</v>
      </c>
      <c r="T172" s="30" t="n">
        <f aca="false">IFERROR(INDEX('Input Statistiche 2025_26'!$H$3:$H$665,MATCH($A172,'Input Statistiche 2025_26'!$A$3:$A$665,0)),"")</f>
        <v>5.89</v>
      </c>
      <c r="U172" s="26" t="str">
        <f aca="false">IF(OR('La Mia Rosa'!$O$12="",$D172&lt;&gt;""),"",IF($F172&lt;='La Mia Rosa'!$O$12*'Parametri Modello'!$B$24,"OK",IF($F172&lt;='La Mia Rosa'!$O$12*'Parametri Modello'!$B$25,"Attenzione","Rischio Alto")))</f>
        <v>OK</v>
      </c>
      <c r="V172" s="26" t="n">
        <f aca="false">IFERROR(COUNTIFS($B$2:$B$492,$B172,$O$2:$O$492,"&gt;"&amp;$O172)+1,"")</f>
        <v>42</v>
      </c>
      <c r="W172" s="21" t="n">
        <f aca="false">'Info Lega'!$B$4-SUMIFS($M$2:$M$492,$D$2:$D$492,'Info Lega'!$B$28)</f>
        <v>1000</v>
      </c>
      <c r="X172" s="21" t="n">
        <f aca="false">('Info Lega'!$B$5-COUNTIFS($D$2:$D$492,'Info Lega'!$B$28,$B$2:$B$492,"P"))+('Info Lega'!$B$6-COUNTIFS($D$2:$D$492,'Info Lega'!$B$28,$B$2:$B$492,"D"))+('Info Lega'!$B$7-COUNTIFS($D$2:$D$492,'Info Lega'!$B$28,$B$2:$B$492,"C"))+('Info Lega'!$B$8-COUNTIFS($D$2:$D$492,'Info Lega'!$B$28,$B$2:$B$492,"A"))</f>
        <v>25</v>
      </c>
      <c r="Y172" s="21" t="n">
        <f aca="false">X172*'Parametri Modello'!$B$30</f>
        <v>25</v>
      </c>
      <c r="Z172" s="21" t="n">
        <f aca="false">MAX(0,W172-Y172)</f>
        <v>975</v>
      </c>
      <c r="AA172" s="21" t="n">
        <f aca="false">MIN(F172,Z172)</f>
        <v>4</v>
      </c>
      <c r="AB172" s="21"/>
      <c r="AC172" s="21" t="str">
        <f aca="false">IF(AB172="","",IF(AB172&gt;AA172,"PASS",IF(AB172&lt;=AA172*0.85,"BID","ATTENZIONE")))</f>
        <v/>
      </c>
      <c r="AD172" s="31" t="n">
        <f aca="false">IF(I172="","",ROUND(100*(1-EXP(-I172/30)),0))</f>
        <v>61</v>
      </c>
      <c r="AE172" s="7" t="str">
        <f aca="false">IFERROR(INDEX('Stato Asta'!$G$9:$G$12,MATCH($B172,'Stato Asta'!$A$9:$A$12,0)),"")</f>
        <v>🟡 Attesa rischiosa</v>
      </c>
    </row>
    <row r="173" customFormat="false" ht="14.25" hidden="false" customHeight="true" outlineLevel="0" collapsed="false">
      <c r="A173" s="21" t="n">
        <v>7410</v>
      </c>
      <c r="B173" s="21" t="s">
        <v>44</v>
      </c>
      <c r="C173" s="21" t="s">
        <v>249</v>
      </c>
      <c r="E173" s="26" t="str">
        <f aca="false">IF(COUNTIF('Info Strategia'!$D$2:$D$51,$C173)&gt;0,"SI","NO")</f>
        <v>NO</v>
      </c>
      <c r="F173" s="27" t="n">
        <f aca="false">IFERROR(ROUND(($G173+($H173-$G173)*'Info Strategia'!$B$6)*(1+IF($E173="SI",'Parametri Modello'!$B$7*'Info Strategia'!$B$6,0)),0),"")</f>
        <v>4</v>
      </c>
      <c r="G173" s="27" t="n">
        <f aca="false">IFERROR(ROUND(MAX(1,(IF($V173&lt;=INDEX('Parametri Modello'!$C$57:$C$60,MATCH($B173,'Parametri Modello'!$A$57:$A$60,0)),IF(INDEX('Parametri Modello'!$E$57:$E$60,MATCH($B173,'Parametri Modello'!$A$57:$A$60,0))=0,0,($O173/INDEX('Parametri Modello'!$E$57:$E$60,MATCH($B173,'Parametri Modello'!$A$57:$A$60,0)))*(INDEX('Parametri Modello'!$D$57:$D$60,MATCH($B173,'Parametri Modello'!$A$57:$A$60,0))*(INDEX('Parametri Modello'!$B$50:$B$53,MATCH($B173,'Parametri Modello'!$A$50:$A$53,0))*'Parametri Modello'!$B$44))),IF(INDEX('Parametri Modello'!$F$57:$F$60,MATCH($B173,'Parametri Modello'!$A$57:$A$60,0))=0,0,($O173/INDEX('Parametri Modello'!$F$57:$F$60,MATCH($B173,'Parametri Modello'!$A$57:$A$60,0)))*((1-INDEX('Parametri Modello'!$D$57:$D$60,MATCH($B173,'Parametri Modello'!$A$57:$A$60,0)))*(INDEX('Parametri Modello'!$B$50:$B$53,MATCH($B173,'Parametri Modello'!$A$50:$A$53,0))*'Parametri Modello'!$B$44))))*(1+IF(IF($B173="D",'Info Lega'!$B$25,IF($B173="C",'Info Lega'!$B$26,"No"))="Si",'Parametri Modello'!$B$5,0))*(1+MAX(-0.25,MIN(0.25,IF(OR($T173="",$I173="",$I173=0,INDEX('Parametri Modello'!$B$19:$B$22,MATCH($B173,'Parametri Modello'!$A$19:$A$22,0))="",INDEX('Parametri Modello'!$B$19:$B$22,MATCH($B173,'Parametri Modello'!$A$19:$A$22,0))=0),0,(($T173-INDEX('Parametri Modello'!$B$19:$B$22,MATCH($B173,'Parametri Modello'!$A$19:$A$22,0)))/INDEX('Parametri Modello'!$B$19:$B$22,MATCH($B173,'Parametri Modello'!$A$19:$A$22,0)))*'Parametri Modello'!$B$9))))*(1+IF('Parametri Modello'!$B$27="Si",MAX(-'Parametri Modello'!$B$28,MIN('Parametri Modello'!$B$28*1.5,IF(OR(INDEX('Parametri Modello'!$F$32:$F$35,MATCH($B173,'Parametri Modello'!$A$32:$A$35,0))="",INDEX('Parametri Modello'!$F$32:$F$35,MATCH($B173,'Parametri Modello'!$A$32:$A$35,0))=0),0,(1/INDEX('Parametri Modello'!$F$32:$F$35,MATCH($B173,'Parametri Modello'!$A$32:$A$35,0))-1)*'Parametri Modello'!$B$28))),0)))*(1-INDEX('Parametri Modello'!$B$12:$B$15,MATCH($B173,'Parametri Modello'!$A$12:$A$15,0)))),0),"")</f>
        <v>3</v>
      </c>
      <c r="H173" s="27" t="n">
        <f aca="false">IFERROR(ROUND((IF($V173&lt;=INDEX('Parametri Modello'!$C$57:$C$60,MATCH($B173,'Parametri Modello'!$A$57:$A$60,0)),IF(INDEX('Parametri Modello'!$E$57:$E$60,MATCH($B173,'Parametri Modello'!$A$57:$A$60,0))=0,0,($O173/INDEX('Parametri Modello'!$E$57:$E$60,MATCH($B173,'Parametri Modello'!$A$57:$A$60,0)))*(INDEX('Parametri Modello'!$D$57:$D$60,MATCH($B173,'Parametri Modello'!$A$57:$A$60,0))*(INDEX('Parametri Modello'!$B$50:$B$53,MATCH($B173,'Parametri Modello'!$A$50:$A$53,0))*'Parametri Modello'!$B$44))),IF(INDEX('Parametri Modello'!$F$57:$F$60,MATCH($B173,'Parametri Modello'!$A$57:$A$60,0))=0,0,($O173/INDEX('Parametri Modello'!$F$57:$F$60,MATCH($B173,'Parametri Modello'!$A$57:$A$60,0)))*((1-INDEX('Parametri Modello'!$D$57:$D$60,MATCH($B173,'Parametri Modello'!$A$57:$A$60,0)))*(INDEX('Parametri Modello'!$B$50:$B$53,MATCH($B173,'Parametri Modello'!$A$50:$A$53,0))*'Parametri Modello'!$B$44))))*(1+IF(IF($B173="D",'Info Lega'!$B$25,IF($B173="C",'Info Lega'!$B$26,"No"))="Si",'Parametri Modello'!$B$5,0))*(1+MAX(-0.25,MIN(0.25,IF(OR($T173="",$I173="",$I173=0,INDEX('Parametri Modello'!$B$19:$B$22,MATCH($B173,'Parametri Modello'!$A$19:$A$22,0))="",INDEX('Parametri Modello'!$B$19:$B$22,MATCH($B173,'Parametri Modello'!$A$19:$A$22,0))=0),0,(($T173-INDEX('Parametri Modello'!$B$19:$B$22,MATCH($B173,'Parametri Modello'!$A$19:$A$22,0)))/INDEX('Parametri Modello'!$B$19:$B$22,MATCH($B173,'Parametri Modello'!$A$19:$A$22,0)))*'Parametri Modello'!$B$9))))*(1+IF('Parametri Modello'!$B$27="Si",MAX(-'Parametri Modello'!$B$28,MIN('Parametri Modello'!$B$28*1.5,IF(OR(INDEX('Parametri Modello'!$F$32:$F$35,MATCH($B173,'Parametri Modello'!$A$32:$A$35,0))="",INDEX('Parametri Modello'!$F$32:$F$35,MATCH($B173,'Parametri Modello'!$A$32:$A$35,0))=0),0,(1/INDEX('Parametri Modello'!$F$32:$F$35,MATCH($B173,'Parametri Modello'!$A$32:$A$35,0))-1)*'Parametri Modello'!$B$28))),0)))*(1+INDEX('Parametri Modello'!$B$12:$B$15,MATCH($B173,'Parametri Modello'!$A$12:$A$15,0))),0),"")</f>
        <v>4</v>
      </c>
      <c r="I173" s="26" t="str">
        <f aca="false">IFERROR(INDEX('Input Statistiche 2025_26'!$F$3:$F$665,MATCH($A173,'Input Statistiche 2025_26'!$A$3:$A$665,0)),"")</f>
        <v/>
      </c>
      <c r="J173" s="26" t="str">
        <f aca="false">IFERROR(IF($I173="","",MAX(0,38-$I173)),"")</f>
        <v/>
      </c>
      <c r="K173" s="26" t="str">
        <f aca="false">IFERROR(INDEX('Input Statistiche 2025_26'!$I$3:$I$665,MATCH($A173,'Input Statistiche 2025_26'!$A$3:$A$665,0)),"")</f>
        <v/>
      </c>
      <c r="L173" s="26" t="str">
        <f aca="false">IFERROR(INDEX('Input Statistiche 2025_26'!$O$3:$O$665,MATCH($A173,'Input Statistiche 2025_26'!$A$3:$A$665,0)),"")</f>
        <v/>
      </c>
      <c r="M173" s="28"/>
      <c r="N173" s="27" t="n">
        <f aca="false">IFERROR(INDEX('Input Giocatori 2026_27'!$E$3:$E$493,MATCH($A173,'Input Giocatori 2026_27'!$A$3:$A$493,0)),"")</f>
        <v>6</v>
      </c>
      <c r="O173" s="27" t="n">
        <f aca="false">IFERROR(INDEX('Input Giocatori 2026_27'!$G$3:$G$493,MATCH($A173,'Input Giocatori 2026_27'!$A$3:$A$493,0)),"")</f>
        <v>19</v>
      </c>
      <c r="P173" s="26" t="str">
        <f aca="false">IFERROR(IF($O173="","",IF((1-(COUNTIFS($B$2:$B$492,$B173,$O$2:$O$492,"&gt;"&amp;$O173)+1-1)/COUNTIF($B$2:$B$492,$B173))&gt;=0.85,"Top",IF((1-(COUNTIFS($B$2:$B$492,$B173,$O$2:$O$492,"&gt;"&amp;$O173)+1-1)/COUNTIF($B$2:$B$492,$B173))&gt;=0.6,"Buono",IF((1-(COUNTIFS($B$2:$B$492,$B173,$O$2:$O$492,"&gt;"&amp;$O173)+1-1)/COUNTIF($B$2:$B$492,$B173))&gt;=0.3,"Nella Media","Scommessa/Riserva")))),"")</f>
        <v>Buono</v>
      </c>
      <c r="Q173" s="29" t="n">
        <f aca="false">IF($D173="",COUNTIF($D$2:$D173,""),"")</f>
        <v>172</v>
      </c>
      <c r="R173" s="29" t="str">
        <f aca="false">IF($D173='Info Lega'!$B$28,COUNTIFS($D$2:$D173,'Info Lega'!$B$28),"")</f>
        <v/>
      </c>
      <c r="S173" s="30" t="str">
        <f aca="false">IFERROR(INDEX('Input Statistiche 2025_26'!$G$3:$G$665,MATCH($A173,'Input Statistiche 2025_26'!$A$3:$A$665,0)),"")</f>
        <v/>
      </c>
      <c r="T173" s="30" t="str">
        <f aca="false">IFERROR(INDEX('Input Statistiche 2025_26'!$H$3:$H$665,MATCH($A173,'Input Statistiche 2025_26'!$A$3:$A$665,0)),"")</f>
        <v/>
      </c>
      <c r="U173" s="26" t="str">
        <f aca="false">IF(OR('La Mia Rosa'!$O$12="",$D173&lt;&gt;""),"",IF($F173&lt;='La Mia Rosa'!$O$12*'Parametri Modello'!$B$24,"OK",IF($F173&lt;='La Mia Rosa'!$O$12*'Parametri Modello'!$B$25,"Attenzione","Rischio Alto")))</f>
        <v>OK</v>
      </c>
      <c r="V173" s="26" t="n">
        <f aca="false">IFERROR(COUNTIFS($B$2:$B$492,$B173,$O$2:$O$492,"&gt;"&amp;$O173)+1,"")</f>
        <v>42</v>
      </c>
      <c r="W173" s="21" t="n">
        <f aca="false">'Info Lega'!$B$4-SUMIFS($M$2:$M$492,$D$2:$D$492,'Info Lega'!$B$28)</f>
        <v>1000</v>
      </c>
      <c r="X173" s="21" t="n">
        <f aca="false">('Info Lega'!$B$5-COUNTIFS($D$2:$D$492,'Info Lega'!$B$28,$B$2:$B$492,"P"))+('Info Lega'!$B$6-COUNTIFS($D$2:$D$492,'Info Lega'!$B$28,$B$2:$B$492,"D"))+('Info Lega'!$B$7-COUNTIFS($D$2:$D$492,'Info Lega'!$B$28,$B$2:$B$492,"C"))+('Info Lega'!$B$8-COUNTIFS($D$2:$D$492,'Info Lega'!$B$28,$B$2:$B$492,"A"))</f>
        <v>25</v>
      </c>
      <c r="Y173" s="21" t="n">
        <f aca="false">X173*'Parametri Modello'!$B$30</f>
        <v>25</v>
      </c>
      <c r="Z173" s="21" t="n">
        <f aca="false">MAX(0,W173-Y173)</f>
        <v>975</v>
      </c>
      <c r="AA173" s="21" t="n">
        <f aca="false">MIN(F173,Z173)</f>
        <v>4</v>
      </c>
      <c r="AB173" s="21"/>
      <c r="AC173" s="21" t="str">
        <f aca="false">IF(AB173="","",IF(AB173&gt;AA173,"PASS",IF(AB173&lt;=AA173*0.85,"BID","ATTENZIONE")))</f>
        <v/>
      </c>
      <c r="AD173" s="31" t="str">
        <f aca="false">IF(I173="","",ROUND(100*(1-EXP(-I173/30)),0))</f>
        <v/>
      </c>
      <c r="AE173" s="7" t="str">
        <f aca="false">IFERROR(INDEX('Stato Asta'!$G$9:$G$12,MATCH($B173,'Stato Asta'!$A$9:$A$12,0)),"")</f>
        <v>🟡 Attesa rischiosa</v>
      </c>
    </row>
    <row r="174" customFormat="false" ht="14.25" hidden="false" customHeight="true" outlineLevel="0" collapsed="false">
      <c r="A174" s="21" t="n">
        <v>6010</v>
      </c>
      <c r="B174" s="21" t="s">
        <v>45</v>
      </c>
      <c r="C174" s="21" t="s">
        <v>419</v>
      </c>
      <c r="E174" s="26" t="str">
        <f aca="false">IF(COUNTIF('Info Strategia'!$D$2:$D$51,$C174)&gt;0,"SI","NO")</f>
        <v>NO</v>
      </c>
      <c r="F174" s="27" t="n">
        <f aca="false">IFERROR(ROUND(($G174+($H174-$G174)*'Info Strategia'!$B$6)*(1+IF($E174="SI",'Parametri Modello'!$B$7*'Info Strategia'!$B$6,0)),0),"")</f>
        <v>3</v>
      </c>
      <c r="G174" s="27" t="n">
        <f aca="false">IFERROR(ROUND(MAX(1,(IF($V174&lt;=INDEX('Parametri Modello'!$C$57:$C$60,MATCH($B174,'Parametri Modello'!$A$57:$A$60,0)),IF(INDEX('Parametri Modello'!$E$57:$E$60,MATCH($B174,'Parametri Modello'!$A$57:$A$60,0))=0,0,($O174/INDEX('Parametri Modello'!$E$57:$E$60,MATCH($B174,'Parametri Modello'!$A$57:$A$60,0)))*(INDEX('Parametri Modello'!$D$57:$D$60,MATCH($B174,'Parametri Modello'!$A$57:$A$60,0))*(INDEX('Parametri Modello'!$B$50:$B$53,MATCH($B174,'Parametri Modello'!$A$50:$A$53,0))*'Parametri Modello'!$B$44))),IF(INDEX('Parametri Modello'!$F$57:$F$60,MATCH($B174,'Parametri Modello'!$A$57:$A$60,0))=0,0,($O174/INDEX('Parametri Modello'!$F$57:$F$60,MATCH($B174,'Parametri Modello'!$A$57:$A$60,0)))*((1-INDEX('Parametri Modello'!$D$57:$D$60,MATCH($B174,'Parametri Modello'!$A$57:$A$60,0)))*(INDEX('Parametri Modello'!$B$50:$B$53,MATCH($B174,'Parametri Modello'!$A$50:$A$53,0))*'Parametri Modello'!$B$44))))*(1+IF(IF($B174="D",'Info Lega'!$B$25,IF($B174="C",'Info Lega'!$B$26,"No"))="Si",'Parametri Modello'!$B$5,0))*(1+MAX(-0.25,MIN(0.25,IF(OR($T174="",$I174="",$I174=0,INDEX('Parametri Modello'!$B$19:$B$22,MATCH($B174,'Parametri Modello'!$A$19:$A$22,0))="",INDEX('Parametri Modello'!$B$19:$B$22,MATCH($B174,'Parametri Modello'!$A$19:$A$22,0))=0),0,(($T174-INDEX('Parametri Modello'!$B$19:$B$22,MATCH($B174,'Parametri Modello'!$A$19:$A$22,0)))/INDEX('Parametri Modello'!$B$19:$B$22,MATCH($B174,'Parametri Modello'!$A$19:$A$22,0)))*'Parametri Modello'!$B$9))))*(1+IF('Parametri Modello'!$B$27="Si",MAX(-'Parametri Modello'!$B$28,MIN('Parametri Modello'!$B$28*1.5,IF(OR(INDEX('Parametri Modello'!$F$32:$F$35,MATCH($B174,'Parametri Modello'!$A$32:$A$35,0))="",INDEX('Parametri Modello'!$F$32:$F$35,MATCH($B174,'Parametri Modello'!$A$32:$A$35,0))=0),0,(1/INDEX('Parametri Modello'!$F$32:$F$35,MATCH($B174,'Parametri Modello'!$A$32:$A$35,0))-1)*'Parametri Modello'!$B$28))),0)))*(1-INDEX('Parametri Modello'!$B$12:$B$15,MATCH($B174,'Parametri Modello'!$A$12:$A$15,0)))),0),"")</f>
        <v>2</v>
      </c>
      <c r="H174" s="27" t="n">
        <f aca="false">IFERROR(ROUND((IF($V174&lt;=INDEX('Parametri Modello'!$C$57:$C$60,MATCH($B174,'Parametri Modello'!$A$57:$A$60,0)),IF(INDEX('Parametri Modello'!$E$57:$E$60,MATCH($B174,'Parametri Modello'!$A$57:$A$60,0))=0,0,($O174/INDEX('Parametri Modello'!$E$57:$E$60,MATCH($B174,'Parametri Modello'!$A$57:$A$60,0)))*(INDEX('Parametri Modello'!$D$57:$D$60,MATCH($B174,'Parametri Modello'!$A$57:$A$60,0))*(INDEX('Parametri Modello'!$B$50:$B$53,MATCH($B174,'Parametri Modello'!$A$50:$A$53,0))*'Parametri Modello'!$B$44))),IF(INDEX('Parametri Modello'!$F$57:$F$60,MATCH($B174,'Parametri Modello'!$A$57:$A$60,0))=0,0,($O174/INDEX('Parametri Modello'!$F$57:$F$60,MATCH($B174,'Parametri Modello'!$A$57:$A$60,0)))*((1-INDEX('Parametri Modello'!$D$57:$D$60,MATCH($B174,'Parametri Modello'!$A$57:$A$60,0)))*(INDEX('Parametri Modello'!$B$50:$B$53,MATCH($B174,'Parametri Modello'!$A$50:$A$53,0))*'Parametri Modello'!$B$44))))*(1+IF(IF($B174="D",'Info Lega'!$B$25,IF($B174="C",'Info Lega'!$B$26,"No"))="Si",'Parametri Modello'!$B$5,0))*(1+MAX(-0.25,MIN(0.25,IF(OR($T174="",$I174="",$I174=0,INDEX('Parametri Modello'!$B$19:$B$22,MATCH($B174,'Parametri Modello'!$A$19:$A$22,0))="",INDEX('Parametri Modello'!$B$19:$B$22,MATCH($B174,'Parametri Modello'!$A$19:$A$22,0))=0),0,(($T174-INDEX('Parametri Modello'!$B$19:$B$22,MATCH($B174,'Parametri Modello'!$A$19:$A$22,0)))/INDEX('Parametri Modello'!$B$19:$B$22,MATCH($B174,'Parametri Modello'!$A$19:$A$22,0)))*'Parametri Modello'!$B$9))))*(1+IF('Parametri Modello'!$B$27="Si",MAX(-'Parametri Modello'!$B$28,MIN('Parametri Modello'!$B$28*1.5,IF(OR(INDEX('Parametri Modello'!$F$32:$F$35,MATCH($B174,'Parametri Modello'!$A$32:$A$35,0))="",INDEX('Parametri Modello'!$F$32:$F$35,MATCH($B174,'Parametri Modello'!$A$32:$A$35,0))=0),0,(1/INDEX('Parametri Modello'!$F$32:$F$35,MATCH($B174,'Parametri Modello'!$A$32:$A$35,0))-1)*'Parametri Modello'!$B$28))),0)))*(1+INDEX('Parametri Modello'!$B$12:$B$15,MATCH($B174,'Parametri Modello'!$A$12:$A$15,0))),0),"")</f>
        <v>3</v>
      </c>
      <c r="I174" s="26" t="n">
        <f aca="false">IFERROR(INDEX('Input Statistiche 2025_26'!$F$3:$F$665,MATCH($A174,'Input Statistiche 2025_26'!$A$3:$A$665,0)),"")</f>
        <v>12</v>
      </c>
      <c r="J174" s="26" t="n">
        <f aca="false">IFERROR(IF($I174="","",MAX(0,38-$I174)),"")</f>
        <v>26</v>
      </c>
      <c r="K174" s="26" t="n">
        <f aca="false">IFERROR(INDEX('Input Statistiche 2025_26'!$I$3:$I$665,MATCH($A174,'Input Statistiche 2025_26'!$A$3:$A$665,0)),"")</f>
        <v>0</v>
      </c>
      <c r="L174" s="26" t="n">
        <f aca="false">IFERROR(INDEX('Input Statistiche 2025_26'!$O$3:$O$665,MATCH($A174,'Input Statistiche 2025_26'!$A$3:$A$665,0)),"")</f>
        <v>0</v>
      </c>
      <c r="M174" s="28"/>
      <c r="N174" s="27" t="n">
        <f aca="false">IFERROR(INDEX('Input Giocatori 2026_27'!$E$3:$E$493,MATCH($A174,'Input Giocatori 2026_27'!$A$3:$A$493,0)),"")</f>
        <v>7</v>
      </c>
      <c r="O174" s="27" t="n">
        <f aca="false">IFERROR(INDEX('Input Giocatori 2026_27'!$G$3:$G$493,MATCH($A174,'Input Giocatori 2026_27'!$A$3:$A$493,0)),"")</f>
        <v>19</v>
      </c>
      <c r="P174" s="26" t="str">
        <f aca="false">IFERROR(IF($O174="","",IF((1-(COUNTIFS($B$2:$B$492,$B174,$O$2:$O$492,"&gt;"&amp;$O174)+1-1)/COUNTIF($B$2:$B$492,$B174))&gt;=0.85,"Top",IF((1-(COUNTIFS($B$2:$B$492,$B174,$O$2:$O$492,"&gt;"&amp;$O174)+1-1)/COUNTIF($B$2:$B$492,$B174))&gt;=0.6,"Buono",IF((1-(COUNTIFS($B$2:$B$492,$B174,$O$2:$O$492,"&gt;"&amp;$O174)+1-1)/COUNTIF($B$2:$B$492,$B174))&gt;=0.3,"Nella Media","Scommessa/Riserva")))),"")</f>
        <v>Buono</v>
      </c>
      <c r="Q174" s="29" t="n">
        <f aca="false">IF($D174="",COUNTIF($D$2:$D174,""),"")</f>
        <v>173</v>
      </c>
      <c r="R174" s="29" t="str">
        <f aca="false">IF($D174='Info Lega'!$B$28,COUNTIFS($D$2:$D174,'Info Lega'!$B$28),"")</f>
        <v/>
      </c>
      <c r="S174" s="30" t="n">
        <f aca="false">IFERROR(INDEX('Input Statistiche 2025_26'!$G$3:$G$665,MATCH($A174,'Input Statistiche 2025_26'!$A$3:$A$665,0)),"")</f>
        <v>5.88</v>
      </c>
      <c r="T174" s="30" t="n">
        <f aca="false">IFERROR(INDEX('Input Statistiche 2025_26'!$H$3:$H$665,MATCH($A174,'Input Statistiche 2025_26'!$A$3:$A$665,0)),"")</f>
        <v>5.83</v>
      </c>
      <c r="U174" s="26" t="str">
        <f aca="false">IF(OR('La Mia Rosa'!$O$12="",$D174&lt;&gt;""),"",IF($F174&lt;='La Mia Rosa'!$O$12*'Parametri Modello'!$B$24,"OK",IF($F174&lt;='La Mia Rosa'!$O$12*'Parametri Modello'!$B$25,"Attenzione","Rischio Alto")))</f>
        <v>OK</v>
      </c>
      <c r="V174" s="26" t="n">
        <f aca="false">IFERROR(COUNTIFS($B$2:$B$492,$B174,$O$2:$O$492,"&gt;"&amp;$O174)+1,"")</f>
        <v>66</v>
      </c>
      <c r="W174" s="21" t="n">
        <f aca="false">'Info Lega'!$B$4-SUMIFS($M$2:$M$492,$D$2:$D$492,'Info Lega'!$B$28)</f>
        <v>1000</v>
      </c>
      <c r="X174" s="21" t="n">
        <f aca="false">('Info Lega'!$B$5-COUNTIFS($D$2:$D$492,'Info Lega'!$B$28,$B$2:$B$492,"P"))+('Info Lega'!$B$6-COUNTIFS($D$2:$D$492,'Info Lega'!$B$28,$B$2:$B$492,"D"))+('Info Lega'!$B$7-COUNTIFS($D$2:$D$492,'Info Lega'!$B$28,$B$2:$B$492,"C"))+('Info Lega'!$B$8-COUNTIFS($D$2:$D$492,'Info Lega'!$B$28,$B$2:$B$492,"A"))</f>
        <v>25</v>
      </c>
      <c r="Y174" s="21" t="n">
        <f aca="false">X174*'Parametri Modello'!$B$30</f>
        <v>25</v>
      </c>
      <c r="Z174" s="21" t="n">
        <f aca="false">MAX(0,W174-Y174)</f>
        <v>975</v>
      </c>
      <c r="AA174" s="21" t="n">
        <f aca="false">MIN(F174,Z174)</f>
        <v>3</v>
      </c>
      <c r="AB174" s="21"/>
      <c r="AC174" s="21" t="str">
        <f aca="false">IF(AB174="","",IF(AB174&gt;AA174,"PASS",IF(AB174&lt;=AA174*0.85,"BID","ATTENZIONE")))</f>
        <v/>
      </c>
      <c r="AD174" s="31" t="n">
        <f aca="false">IF(I174="","",ROUND(100*(1-EXP(-I174/30)),0))</f>
        <v>33</v>
      </c>
      <c r="AE174" s="7" t="str">
        <f aca="false">IFERROR(INDEX('Stato Asta'!$G$9:$G$12,MATCH($B174,'Stato Asta'!$A$9:$A$12,0)),"")</f>
        <v>🟡 Attesa rischiosa</v>
      </c>
    </row>
    <row r="175" customFormat="false" ht="14.25" hidden="false" customHeight="true" outlineLevel="0" collapsed="false">
      <c r="A175" s="21" t="n">
        <v>5791</v>
      </c>
      <c r="B175" s="21" t="s">
        <v>45</v>
      </c>
      <c r="C175" s="21" t="s">
        <v>421</v>
      </c>
      <c r="E175" s="26" t="str">
        <f aca="false">IF(COUNTIF('Info Strategia'!$D$2:$D$51,$C175)&gt;0,"SI","NO")</f>
        <v>NO</v>
      </c>
      <c r="F175" s="27" t="n">
        <f aca="false">IFERROR(ROUND(($G175+($H175-$G175)*'Info Strategia'!$B$6)*(1+IF($E175="SI",'Parametri Modello'!$B$7*'Info Strategia'!$B$6,0)),0),"")</f>
        <v>3</v>
      </c>
      <c r="G175" s="27" t="n">
        <f aca="false">IFERROR(ROUND(MAX(1,(IF($V175&lt;=INDEX('Parametri Modello'!$C$57:$C$60,MATCH($B175,'Parametri Modello'!$A$57:$A$60,0)),IF(INDEX('Parametri Modello'!$E$57:$E$60,MATCH($B175,'Parametri Modello'!$A$57:$A$60,0))=0,0,($O175/INDEX('Parametri Modello'!$E$57:$E$60,MATCH($B175,'Parametri Modello'!$A$57:$A$60,0)))*(INDEX('Parametri Modello'!$D$57:$D$60,MATCH($B175,'Parametri Modello'!$A$57:$A$60,0))*(INDEX('Parametri Modello'!$B$50:$B$53,MATCH($B175,'Parametri Modello'!$A$50:$A$53,0))*'Parametri Modello'!$B$44))),IF(INDEX('Parametri Modello'!$F$57:$F$60,MATCH($B175,'Parametri Modello'!$A$57:$A$60,0))=0,0,($O175/INDEX('Parametri Modello'!$F$57:$F$60,MATCH($B175,'Parametri Modello'!$A$57:$A$60,0)))*((1-INDEX('Parametri Modello'!$D$57:$D$60,MATCH($B175,'Parametri Modello'!$A$57:$A$60,0)))*(INDEX('Parametri Modello'!$B$50:$B$53,MATCH($B175,'Parametri Modello'!$A$50:$A$53,0))*'Parametri Modello'!$B$44))))*(1+IF(IF($B175="D",'Info Lega'!$B$25,IF($B175="C",'Info Lega'!$B$26,"No"))="Si",'Parametri Modello'!$B$5,0))*(1+MAX(-0.25,MIN(0.25,IF(OR($T175="",$I175="",$I175=0,INDEX('Parametri Modello'!$B$19:$B$22,MATCH($B175,'Parametri Modello'!$A$19:$A$22,0))="",INDEX('Parametri Modello'!$B$19:$B$22,MATCH($B175,'Parametri Modello'!$A$19:$A$22,0))=0),0,(($T175-INDEX('Parametri Modello'!$B$19:$B$22,MATCH($B175,'Parametri Modello'!$A$19:$A$22,0)))/INDEX('Parametri Modello'!$B$19:$B$22,MATCH($B175,'Parametri Modello'!$A$19:$A$22,0)))*'Parametri Modello'!$B$9))))*(1+IF('Parametri Modello'!$B$27="Si",MAX(-'Parametri Modello'!$B$28,MIN('Parametri Modello'!$B$28*1.5,IF(OR(INDEX('Parametri Modello'!$F$32:$F$35,MATCH($B175,'Parametri Modello'!$A$32:$A$35,0))="",INDEX('Parametri Modello'!$F$32:$F$35,MATCH($B175,'Parametri Modello'!$A$32:$A$35,0))=0),0,(1/INDEX('Parametri Modello'!$F$32:$F$35,MATCH($B175,'Parametri Modello'!$A$32:$A$35,0))-1)*'Parametri Modello'!$B$28))),0)))*(1-INDEX('Parametri Modello'!$B$12:$B$15,MATCH($B175,'Parametri Modello'!$A$12:$A$15,0)))),0),"")</f>
        <v>2</v>
      </c>
      <c r="H175" s="27" t="n">
        <f aca="false">IFERROR(ROUND((IF($V175&lt;=INDEX('Parametri Modello'!$C$57:$C$60,MATCH($B175,'Parametri Modello'!$A$57:$A$60,0)),IF(INDEX('Parametri Modello'!$E$57:$E$60,MATCH($B175,'Parametri Modello'!$A$57:$A$60,0))=0,0,($O175/INDEX('Parametri Modello'!$E$57:$E$60,MATCH($B175,'Parametri Modello'!$A$57:$A$60,0)))*(INDEX('Parametri Modello'!$D$57:$D$60,MATCH($B175,'Parametri Modello'!$A$57:$A$60,0))*(INDEX('Parametri Modello'!$B$50:$B$53,MATCH($B175,'Parametri Modello'!$A$50:$A$53,0))*'Parametri Modello'!$B$44))),IF(INDEX('Parametri Modello'!$F$57:$F$60,MATCH($B175,'Parametri Modello'!$A$57:$A$60,0))=0,0,($O175/INDEX('Parametri Modello'!$F$57:$F$60,MATCH($B175,'Parametri Modello'!$A$57:$A$60,0)))*((1-INDEX('Parametri Modello'!$D$57:$D$60,MATCH($B175,'Parametri Modello'!$A$57:$A$60,0)))*(INDEX('Parametri Modello'!$B$50:$B$53,MATCH($B175,'Parametri Modello'!$A$50:$A$53,0))*'Parametri Modello'!$B$44))))*(1+IF(IF($B175="D",'Info Lega'!$B$25,IF($B175="C",'Info Lega'!$B$26,"No"))="Si",'Parametri Modello'!$B$5,0))*(1+MAX(-0.25,MIN(0.25,IF(OR($T175="",$I175="",$I175=0,INDEX('Parametri Modello'!$B$19:$B$22,MATCH($B175,'Parametri Modello'!$A$19:$A$22,0))="",INDEX('Parametri Modello'!$B$19:$B$22,MATCH($B175,'Parametri Modello'!$A$19:$A$22,0))=0),0,(($T175-INDEX('Parametri Modello'!$B$19:$B$22,MATCH($B175,'Parametri Modello'!$A$19:$A$22,0)))/INDEX('Parametri Modello'!$B$19:$B$22,MATCH($B175,'Parametri Modello'!$A$19:$A$22,0)))*'Parametri Modello'!$B$9))))*(1+IF('Parametri Modello'!$B$27="Si",MAX(-'Parametri Modello'!$B$28,MIN('Parametri Modello'!$B$28*1.5,IF(OR(INDEX('Parametri Modello'!$F$32:$F$35,MATCH($B175,'Parametri Modello'!$A$32:$A$35,0))="",INDEX('Parametri Modello'!$F$32:$F$35,MATCH($B175,'Parametri Modello'!$A$32:$A$35,0))=0),0,(1/INDEX('Parametri Modello'!$F$32:$F$35,MATCH($B175,'Parametri Modello'!$A$32:$A$35,0))-1)*'Parametri Modello'!$B$28))),0)))*(1+INDEX('Parametri Modello'!$B$12:$B$15,MATCH($B175,'Parametri Modello'!$A$12:$A$15,0))),0),"")</f>
        <v>3</v>
      </c>
      <c r="I175" s="26" t="n">
        <f aca="false">IFERROR(INDEX('Input Statistiche 2025_26'!$F$3:$F$665,MATCH($A175,'Input Statistiche 2025_26'!$A$3:$A$665,0)),"")</f>
        <v>36</v>
      </c>
      <c r="J175" s="26" t="n">
        <f aca="false">IFERROR(IF($I175="","",MAX(0,38-$I175)),"")</f>
        <v>2</v>
      </c>
      <c r="K175" s="26" t="n">
        <f aca="false">IFERROR(INDEX('Input Statistiche 2025_26'!$I$3:$I$665,MATCH($A175,'Input Statistiche 2025_26'!$A$3:$A$665,0)),"")</f>
        <v>1</v>
      </c>
      <c r="L175" s="26" t="n">
        <f aca="false">IFERROR(INDEX('Input Statistiche 2025_26'!$O$3:$O$665,MATCH($A175,'Input Statistiche 2025_26'!$A$3:$A$665,0)),"")</f>
        <v>0</v>
      </c>
      <c r="M175" s="28"/>
      <c r="N175" s="27" t="n">
        <f aca="false">IFERROR(INDEX('Input Giocatori 2026_27'!$E$3:$E$493,MATCH($A175,'Input Giocatori 2026_27'!$A$3:$A$493,0)),"")</f>
        <v>7</v>
      </c>
      <c r="O175" s="27" t="n">
        <f aca="false">IFERROR(INDEX('Input Giocatori 2026_27'!$G$3:$G$493,MATCH($A175,'Input Giocatori 2026_27'!$A$3:$A$493,0)),"")</f>
        <v>19</v>
      </c>
      <c r="P175" s="26" t="str">
        <f aca="false">IFERROR(IF($O175="","",IF((1-(COUNTIFS($B$2:$B$492,$B175,$O$2:$O$492,"&gt;"&amp;$O175)+1-1)/COUNTIF($B$2:$B$492,$B175))&gt;=0.85,"Top",IF((1-(COUNTIFS($B$2:$B$492,$B175,$O$2:$O$492,"&gt;"&amp;$O175)+1-1)/COUNTIF($B$2:$B$492,$B175))&gt;=0.6,"Buono",IF((1-(COUNTIFS($B$2:$B$492,$B175,$O$2:$O$492,"&gt;"&amp;$O175)+1-1)/COUNTIF($B$2:$B$492,$B175))&gt;=0.3,"Nella Media","Scommessa/Riserva")))),"")</f>
        <v>Buono</v>
      </c>
      <c r="Q175" s="29" t="n">
        <f aca="false">IF($D175="",COUNTIF($D$2:$D175,""),"")</f>
        <v>174</v>
      </c>
      <c r="R175" s="29" t="str">
        <f aca="false">IF($D175='Info Lega'!$B$28,COUNTIFS($D$2:$D175,'Info Lega'!$B$28),"")</f>
        <v/>
      </c>
      <c r="S175" s="30" t="n">
        <f aca="false">IFERROR(INDEX('Input Statistiche 2025_26'!$G$3:$G$665,MATCH($A175,'Input Statistiche 2025_26'!$A$3:$A$665,0)),"")</f>
        <v>5.96</v>
      </c>
      <c r="T175" s="30" t="n">
        <f aca="false">IFERROR(INDEX('Input Statistiche 2025_26'!$H$3:$H$665,MATCH($A175,'Input Statistiche 2025_26'!$A$3:$A$665,0)),"")</f>
        <v>5.97</v>
      </c>
      <c r="U175" s="26" t="str">
        <f aca="false">IF(OR('La Mia Rosa'!$O$12="",$D175&lt;&gt;""),"",IF($F175&lt;='La Mia Rosa'!$O$12*'Parametri Modello'!$B$24,"OK",IF($F175&lt;='La Mia Rosa'!$O$12*'Parametri Modello'!$B$25,"Attenzione","Rischio Alto")))</f>
        <v>OK</v>
      </c>
      <c r="V175" s="26" t="n">
        <f aca="false">IFERROR(COUNTIFS($B$2:$B$492,$B175,$O$2:$O$492,"&gt;"&amp;$O175)+1,"")</f>
        <v>66</v>
      </c>
      <c r="W175" s="21" t="n">
        <f aca="false">'Info Lega'!$B$4-SUMIFS($M$2:$M$492,$D$2:$D$492,'Info Lega'!$B$28)</f>
        <v>1000</v>
      </c>
      <c r="X175" s="21" t="n">
        <f aca="false">('Info Lega'!$B$5-COUNTIFS($D$2:$D$492,'Info Lega'!$B$28,$B$2:$B$492,"P"))+('Info Lega'!$B$6-COUNTIFS($D$2:$D$492,'Info Lega'!$B$28,$B$2:$B$492,"D"))+('Info Lega'!$B$7-COUNTIFS($D$2:$D$492,'Info Lega'!$B$28,$B$2:$B$492,"C"))+('Info Lega'!$B$8-COUNTIFS($D$2:$D$492,'Info Lega'!$B$28,$B$2:$B$492,"A"))</f>
        <v>25</v>
      </c>
      <c r="Y175" s="21" t="n">
        <f aca="false">X175*'Parametri Modello'!$B$30</f>
        <v>25</v>
      </c>
      <c r="Z175" s="21" t="n">
        <f aca="false">MAX(0,W175-Y175)</f>
        <v>975</v>
      </c>
      <c r="AA175" s="21" t="n">
        <f aca="false">MIN(F175,Z175)</f>
        <v>3</v>
      </c>
      <c r="AB175" s="21"/>
      <c r="AC175" s="21" t="str">
        <f aca="false">IF(AB175="","",IF(AB175&gt;AA175,"PASS",IF(AB175&lt;=AA175*0.85,"BID","ATTENZIONE")))</f>
        <v/>
      </c>
      <c r="AD175" s="31" t="n">
        <f aca="false">IF(I175="","",ROUND(100*(1-EXP(-I175/30)),0))</f>
        <v>70</v>
      </c>
      <c r="AE175" s="7" t="str">
        <f aca="false">IFERROR(INDEX('Stato Asta'!$G$9:$G$12,MATCH($B175,'Stato Asta'!$A$9:$A$12,0)),"")</f>
        <v>🟡 Attesa rischiosa</v>
      </c>
    </row>
    <row r="176" customFormat="false" ht="14.25" hidden="false" customHeight="true" outlineLevel="0" collapsed="false">
      <c r="A176" s="21" t="n">
        <v>6549</v>
      </c>
      <c r="B176" s="21" t="s">
        <v>45</v>
      </c>
      <c r="C176" s="21" t="s">
        <v>440</v>
      </c>
      <c r="E176" s="26" t="str">
        <f aca="false">IF(COUNTIF('Info Strategia'!$D$2:$D$51,$C176)&gt;0,"SI","NO")</f>
        <v>NO</v>
      </c>
      <c r="F176" s="27" t="n">
        <f aca="false">IFERROR(ROUND(($G176+($H176-$G176)*'Info Strategia'!$B$6)*(1+IF($E176="SI",'Parametri Modello'!$B$7*'Info Strategia'!$B$6,0)),0),"")</f>
        <v>3</v>
      </c>
      <c r="G176" s="27" t="n">
        <f aca="false">IFERROR(ROUND(MAX(1,(IF($V176&lt;=INDEX('Parametri Modello'!$C$57:$C$60,MATCH($B176,'Parametri Modello'!$A$57:$A$60,0)),IF(INDEX('Parametri Modello'!$E$57:$E$60,MATCH($B176,'Parametri Modello'!$A$57:$A$60,0))=0,0,($O176/INDEX('Parametri Modello'!$E$57:$E$60,MATCH($B176,'Parametri Modello'!$A$57:$A$60,0)))*(INDEX('Parametri Modello'!$D$57:$D$60,MATCH($B176,'Parametri Modello'!$A$57:$A$60,0))*(INDEX('Parametri Modello'!$B$50:$B$53,MATCH($B176,'Parametri Modello'!$A$50:$A$53,0))*'Parametri Modello'!$B$44))),IF(INDEX('Parametri Modello'!$F$57:$F$60,MATCH($B176,'Parametri Modello'!$A$57:$A$60,0))=0,0,($O176/INDEX('Parametri Modello'!$F$57:$F$60,MATCH($B176,'Parametri Modello'!$A$57:$A$60,0)))*((1-INDEX('Parametri Modello'!$D$57:$D$60,MATCH($B176,'Parametri Modello'!$A$57:$A$60,0)))*(INDEX('Parametri Modello'!$B$50:$B$53,MATCH($B176,'Parametri Modello'!$A$50:$A$53,0))*'Parametri Modello'!$B$44))))*(1+IF(IF($B176="D",'Info Lega'!$B$25,IF($B176="C",'Info Lega'!$B$26,"No"))="Si",'Parametri Modello'!$B$5,0))*(1+MAX(-0.25,MIN(0.25,IF(OR($T176="",$I176="",$I176=0,INDEX('Parametri Modello'!$B$19:$B$22,MATCH($B176,'Parametri Modello'!$A$19:$A$22,0))="",INDEX('Parametri Modello'!$B$19:$B$22,MATCH($B176,'Parametri Modello'!$A$19:$A$22,0))=0),0,(($T176-INDEX('Parametri Modello'!$B$19:$B$22,MATCH($B176,'Parametri Modello'!$A$19:$A$22,0)))/INDEX('Parametri Modello'!$B$19:$B$22,MATCH($B176,'Parametri Modello'!$A$19:$A$22,0)))*'Parametri Modello'!$B$9))))*(1+IF('Parametri Modello'!$B$27="Si",MAX(-'Parametri Modello'!$B$28,MIN('Parametri Modello'!$B$28*1.5,IF(OR(INDEX('Parametri Modello'!$F$32:$F$35,MATCH($B176,'Parametri Modello'!$A$32:$A$35,0))="",INDEX('Parametri Modello'!$F$32:$F$35,MATCH($B176,'Parametri Modello'!$A$32:$A$35,0))=0),0,(1/INDEX('Parametri Modello'!$F$32:$F$35,MATCH($B176,'Parametri Modello'!$A$32:$A$35,0))-1)*'Parametri Modello'!$B$28))),0)))*(1-INDEX('Parametri Modello'!$B$12:$B$15,MATCH($B176,'Parametri Modello'!$A$12:$A$15,0)))),0),"")</f>
        <v>2</v>
      </c>
      <c r="H176" s="27" t="n">
        <f aca="false">IFERROR(ROUND((IF($V176&lt;=INDEX('Parametri Modello'!$C$57:$C$60,MATCH($B176,'Parametri Modello'!$A$57:$A$60,0)),IF(INDEX('Parametri Modello'!$E$57:$E$60,MATCH($B176,'Parametri Modello'!$A$57:$A$60,0))=0,0,($O176/INDEX('Parametri Modello'!$E$57:$E$60,MATCH($B176,'Parametri Modello'!$A$57:$A$60,0)))*(INDEX('Parametri Modello'!$D$57:$D$60,MATCH($B176,'Parametri Modello'!$A$57:$A$60,0))*(INDEX('Parametri Modello'!$B$50:$B$53,MATCH($B176,'Parametri Modello'!$A$50:$A$53,0))*'Parametri Modello'!$B$44))),IF(INDEX('Parametri Modello'!$F$57:$F$60,MATCH($B176,'Parametri Modello'!$A$57:$A$60,0))=0,0,($O176/INDEX('Parametri Modello'!$F$57:$F$60,MATCH($B176,'Parametri Modello'!$A$57:$A$60,0)))*((1-INDEX('Parametri Modello'!$D$57:$D$60,MATCH($B176,'Parametri Modello'!$A$57:$A$60,0)))*(INDEX('Parametri Modello'!$B$50:$B$53,MATCH($B176,'Parametri Modello'!$A$50:$A$53,0))*'Parametri Modello'!$B$44))))*(1+IF(IF($B176="D",'Info Lega'!$B$25,IF($B176="C",'Info Lega'!$B$26,"No"))="Si",'Parametri Modello'!$B$5,0))*(1+MAX(-0.25,MIN(0.25,IF(OR($T176="",$I176="",$I176=0,INDEX('Parametri Modello'!$B$19:$B$22,MATCH($B176,'Parametri Modello'!$A$19:$A$22,0))="",INDEX('Parametri Modello'!$B$19:$B$22,MATCH($B176,'Parametri Modello'!$A$19:$A$22,0))=0),0,(($T176-INDEX('Parametri Modello'!$B$19:$B$22,MATCH($B176,'Parametri Modello'!$A$19:$A$22,0)))/INDEX('Parametri Modello'!$B$19:$B$22,MATCH($B176,'Parametri Modello'!$A$19:$A$22,0)))*'Parametri Modello'!$B$9))))*(1+IF('Parametri Modello'!$B$27="Si",MAX(-'Parametri Modello'!$B$28,MIN('Parametri Modello'!$B$28*1.5,IF(OR(INDEX('Parametri Modello'!$F$32:$F$35,MATCH($B176,'Parametri Modello'!$A$32:$A$35,0))="",INDEX('Parametri Modello'!$F$32:$F$35,MATCH($B176,'Parametri Modello'!$A$32:$A$35,0))=0),0,(1/INDEX('Parametri Modello'!$F$32:$F$35,MATCH($B176,'Parametri Modello'!$A$32:$A$35,0))-1)*'Parametri Modello'!$B$28))),0)))*(1+INDEX('Parametri Modello'!$B$12:$B$15,MATCH($B176,'Parametri Modello'!$A$12:$A$15,0))),0),"")</f>
        <v>3</v>
      </c>
      <c r="I176" s="26" t="n">
        <f aca="false">IFERROR(INDEX('Input Statistiche 2025_26'!$F$3:$F$665,MATCH($A176,'Input Statistiche 2025_26'!$A$3:$A$665,0)),"")</f>
        <v>37</v>
      </c>
      <c r="J176" s="26" t="n">
        <f aca="false">IFERROR(IF($I176="","",MAX(0,38-$I176)),"")</f>
        <v>1</v>
      </c>
      <c r="K176" s="26" t="n">
        <f aca="false">IFERROR(INDEX('Input Statistiche 2025_26'!$I$3:$I$665,MATCH($A176,'Input Statistiche 2025_26'!$A$3:$A$665,0)),"")</f>
        <v>1</v>
      </c>
      <c r="L176" s="26" t="n">
        <f aca="false">IFERROR(INDEX('Input Statistiche 2025_26'!$O$3:$O$665,MATCH($A176,'Input Statistiche 2025_26'!$A$3:$A$665,0)),"")</f>
        <v>1</v>
      </c>
      <c r="M176" s="28"/>
      <c r="N176" s="27" t="n">
        <f aca="false">IFERROR(INDEX('Input Giocatori 2026_27'!$E$3:$E$493,MATCH($A176,'Input Giocatori 2026_27'!$A$3:$A$493,0)),"")</f>
        <v>6</v>
      </c>
      <c r="O176" s="27" t="n">
        <f aca="false">IFERROR(INDEX('Input Giocatori 2026_27'!$G$3:$G$493,MATCH($A176,'Input Giocatori 2026_27'!$A$3:$A$493,0)),"")</f>
        <v>19</v>
      </c>
      <c r="P176" s="26" t="str">
        <f aca="false">IFERROR(IF($O176="","",IF((1-(COUNTIFS($B$2:$B$492,$B176,$O$2:$O$492,"&gt;"&amp;$O176)+1-1)/COUNTIF($B$2:$B$492,$B176))&gt;=0.85,"Top",IF((1-(COUNTIFS($B$2:$B$492,$B176,$O$2:$O$492,"&gt;"&amp;$O176)+1-1)/COUNTIF($B$2:$B$492,$B176))&gt;=0.6,"Buono",IF((1-(COUNTIFS($B$2:$B$492,$B176,$O$2:$O$492,"&gt;"&amp;$O176)+1-1)/COUNTIF($B$2:$B$492,$B176))&gt;=0.3,"Nella Media","Scommessa/Riserva")))),"")</f>
        <v>Buono</v>
      </c>
      <c r="Q176" s="29" t="n">
        <f aca="false">IF($D176="",COUNTIF($D$2:$D176,""),"")</f>
        <v>175</v>
      </c>
      <c r="R176" s="29" t="str">
        <f aca="false">IF($D176='Info Lega'!$B$28,COUNTIFS($D$2:$D176,'Info Lega'!$B$28),"")</f>
        <v/>
      </c>
      <c r="S176" s="30" t="n">
        <f aca="false">IFERROR(INDEX('Input Statistiche 2025_26'!$G$3:$G$665,MATCH($A176,'Input Statistiche 2025_26'!$A$3:$A$665,0)),"")</f>
        <v>5.8</v>
      </c>
      <c r="T176" s="30" t="n">
        <f aca="false">IFERROR(INDEX('Input Statistiche 2025_26'!$H$3:$H$665,MATCH($A176,'Input Statistiche 2025_26'!$A$3:$A$665,0)),"")</f>
        <v>5.85</v>
      </c>
      <c r="U176" s="26" t="str">
        <f aca="false">IF(OR('La Mia Rosa'!$O$12="",$D176&lt;&gt;""),"",IF($F176&lt;='La Mia Rosa'!$O$12*'Parametri Modello'!$B$24,"OK",IF($F176&lt;='La Mia Rosa'!$O$12*'Parametri Modello'!$B$25,"Attenzione","Rischio Alto")))</f>
        <v>OK</v>
      </c>
      <c r="V176" s="26" t="n">
        <f aca="false">IFERROR(COUNTIFS($B$2:$B$492,$B176,$O$2:$O$492,"&gt;"&amp;$O176)+1,"")</f>
        <v>66</v>
      </c>
      <c r="W176" s="21" t="n">
        <f aca="false">'Info Lega'!$B$4-SUMIFS($M$2:$M$492,$D$2:$D$492,'Info Lega'!$B$28)</f>
        <v>1000</v>
      </c>
      <c r="X176" s="21" t="n">
        <f aca="false">('Info Lega'!$B$5-COUNTIFS($D$2:$D$492,'Info Lega'!$B$28,$B$2:$B$492,"P"))+('Info Lega'!$B$6-COUNTIFS($D$2:$D$492,'Info Lega'!$B$28,$B$2:$B$492,"D"))+('Info Lega'!$B$7-COUNTIFS($D$2:$D$492,'Info Lega'!$B$28,$B$2:$B$492,"C"))+('Info Lega'!$B$8-COUNTIFS($D$2:$D$492,'Info Lega'!$B$28,$B$2:$B$492,"A"))</f>
        <v>25</v>
      </c>
      <c r="Y176" s="21" t="n">
        <f aca="false">X176*'Parametri Modello'!$B$30</f>
        <v>25</v>
      </c>
      <c r="Z176" s="21" t="n">
        <f aca="false">MAX(0,W176-Y176)</f>
        <v>975</v>
      </c>
      <c r="AA176" s="21" t="n">
        <f aca="false">MIN(F176,Z176)</f>
        <v>3</v>
      </c>
      <c r="AB176" s="21"/>
      <c r="AC176" s="21" t="str">
        <f aca="false">IF(AB176="","",IF(AB176&gt;AA176,"PASS",IF(AB176&lt;=AA176*0.85,"BID","ATTENZIONE")))</f>
        <v/>
      </c>
      <c r="AD176" s="31" t="n">
        <f aca="false">IF(I176="","",ROUND(100*(1-EXP(-I176/30)),0))</f>
        <v>71</v>
      </c>
      <c r="AE176" s="7" t="str">
        <f aca="false">IFERROR(INDEX('Stato Asta'!$G$9:$G$12,MATCH($B176,'Stato Asta'!$A$9:$A$12,0)),"")</f>
        <v>🟡 Attesa rischiosa</v>
      </c>
    </row>
    <row r="177" customFormat="false" ht="14.25" hidden="false" customHeight="true" outlineLevel="0" collapsed="false">
      <c r="A177" s="21" t="n">
        <v>5674</v>
      </c>
      <c r="B177" s="21" t="s">
        <v>45</v>
      </c>
      <c r="C177" s="21" t="s">
        <v>445</v>
      </c>
      <c r="E177" s="26" t="str">
        <f aca="false">IF(COUNTIF('Info Strategia'!$D$2:$D$51,$C177)&gt;0,"SI","NO")</f>
        <v>NO</v>
      </c>
      <c r="F177" s="27" t="n">
        <f aca="false">IFERROR(ROUND(($G177+($H177-$G177)*'Info Strategia'!$B$6)*(1+IF($E177="SI",'Parametri Modello'!$B$7*'Info Strategia'!$B$6,0)),0),"")</f>
        <v>3</v>
      </c>
      <c r="G177" s="27" t="n">
        <f aca="false">IFERROR(ROUND(MAX(1,(IF($V177&lt;=INDEX('Parametri Modello'!$C$57:$C$60,MATCH($B177,'Parametri Modello'!$A$57:$A$60,0)),IF(INDEX('Parametri Modello'!$E$57:$E$60,MATCH($B177,'Parametri Modello'!$A$57:$A$60,0))=0,0,($O177/INDEX('Parametri Modello'!$E$57:$E$60,MATCH($B177,'Parametri Modello'!$A$57:$A$60,0)))*(INDEX('Parametri Modello'!$D$57:$D$60,MATCH($B177,'Parametri Modello'!$A$57:$A$60,0))*(INDEX('Parametri Modello'!$B$50:$B$53,MATCH($B177,'Parametri Modello'!$A$50:$A$53,0))*'Parametri Modello'!$B$44))),IF(INDEX('Parametri Modello'!$F$57:$F$60,MATCH($B177,'Parametri Modello'!$A$57:$A$60,0))=0,0,($O177/INDEX('Parametri Modello'!$F$57:$F$60,MATCH($B177,'Parametri Modello'!$A$57:$A$60,0)))*((1-INDEX('Parametri Modello'!$D$57:$D$60,MATCH($B177,'Parametri Modello'!$A$57:$A$60,0)))*(INDEX('Parametri Modello'!$B$50:$B$53,MATCH($B177,'Parametri Modello'!$A$50:$A$53,0))*'Parametri Modello'!$B$44))))*(1+IF(IF($B177="D",'Info Lega'!$B$25,IF($B177="C",'Info Lega'!$B$26,"No"))="Si",'Parametri Modello'!$B$5,0))*(1+MAX(-0.25,MIN(0.25,IF(OR($T177="",$I177="",$I177=0,INDEX('Parametri Modello'!$B$19:$B$22,MATCH($B177,'Parametri Modello'!$A$19:$A$22,0))="",INDEX('Parametri Modello'!$B$19:$B$22,MATCH($B177,'Parametri Modello'!$A$19:$A$22,0))=0),0,(($T177-INDEX('Parametri Modello'!$B$19:$B$22,MATCH($B177,'Parametri Modello'!$A$19:$A$22,0)))/INDEX('Parametri Modello'!$B$19:$B$22,MATCH($B177,'Parametri Modello'!$A$19:$A$22,0)))*'Parametri Modello'!$B$9))))*(1+IF('Parametri Modello'!$B$27="Si",MAX(-'Parametri Modello'!$B$28,MIN('Parametri Modello'!$B$28*1.5,IF(OR(INDEX('Parametri Modello'!$F$32:$F$35,MATCH($B177,'Parametri Modello'!$A$32:$A$35,0))="",INDEX('Parametri Modello'!$F$32:$F$35,MATCH($B177,'Parametri Modello'!$A$32:$A$35,0))=0),0,(1/INDEX('Parametri Modello'!$F$32:$F$35,MATCH($B177,'Parametri Modello'!$A$32:$A$35,0))-1)*'Parametri Modello'!$B$28))),0)))*(1-INDEX('Parametri Modello'!$B$12:$B$15,MATCH($B177,'Parametri Modello'!$A$12:$A$15,0)))),0),"")</f>
        <v>2</v>
      </c>
      <c r="H177" s="27" t="n">
        <f aca="false">IFERROR(ROUND((IF($V177&lt;=INDEX('Parametri Modello'!$C$57:$C$60,MATCH($B177,'Parametri Modello'!$A$57:$A$60,0)),IF(INDEX('Parametri Modello'!$E$57:$E$60,MATCH($B177,'Parametri Modello'!$A$57:$A$60,0))=0,0,($O177/INDEX('Parametri Modello'!$E$57:$E$60,MATCH($B177,'Parametri Modello'!$A$57:$A$60,0)))*(INDEX('Parametri Modello'!$D$57:$D$60,MATCH($B177,'Parametri Modello'!$A$57:$A$60,0))*(INDEX('Parametri Modello'!$B$50:$B$53,MATCH($B177,'Parametri Modello'!$A$50:$A$53,0))*'Parametri Modello'!$B$44))),IF(INDEX('Parametri Modello'!$F$57:$F$60,MATCH($B177,'Parametri Modello'!$A$57:$A$60,0))=0,0,($O177/INDEX('Parametri Modello'!$F$57:$F$60,MATCH($B177,'Parametri Modello'!$A$57:$A$60,0)))*((1-INDEX('Parametri Modello'!$D$57:$D$60,MATCH($B177,'Parametri Modello'!$A$57:$A$60,0)))*(INDEX('Parametri Modello'!$B$50:$B$53,MATCH($B177,'Parametri Modello'!$A$50:$A$53,0))*'Parametri Modello'!$B$44))))*(1+IF(IF($B177="D",'Info Lega'!$B$25,IF($B177="C",'Info Lega'!$B$26,"No"))="Si",'Parametri Modello'!$B$5,0))*(1+MAX(-0.25,MIN(0.25,IF(OR($T177="",$I177="",$I177=0,INDEX('Parametri Modello'!$B$19:$B$22,MATCH($B177,'Parametri Modello'!$A$19:$A$22,0))="",INDEX('Parametri Modello'!$B$19:$B$22,MATCH($B177,'Parametri Modello'!$A$19:$A$22,0))=0),0,(($T177-INDEX('Parametri Modello'!$B$19:$B$22,MATCH($B177,'Parametri Modello'!$A$19:$A$22,0)))/INDEX('Parametri Modello'!$B$19:$B$22,MATCH($B177,'Parametri Modello'!$A$19:$A$22,0)))*'Parametri Modello'!$B$9))))*(1+IF('Parametri Modello'!$B$27="Si",MAX(-'Parametri Modello'!$B$28,MIN('Parametri Modello'!$B$28*1.5,IF(OR(INDEX('Parametri Modello'!$F$32:$F$35,MATCH($B177,'Parametri Modello'!$A$32:$A$35,0))="",INDEX('Parametri Modello'!$F$32:$F$35,MATCH($B177,'Parametri Modello'!$A$32:$A$35,0))=0),0,(1/INDEX('Parametri Modello'!$F$32:$F$35,MATCH($B177,'Parametri Modello'!$A$32:$A$35,0))-1)*'Parametri Modello'!$B$28))),0)))*(1+INDEX('Parametri Modello'!$B$12:$B$15,MATCH($B177,'Parametri Modello'!$A$12:$A$15,0))),0),"")</f>
        <v>3</v>
      </c>
      <c r="I177" s="26" t="n">
        <f aca="false">IFERROR(INDEX('Input Statistiche 2025_26'!$F$3:$F$665,MATCH($A177,'Input Statistiche 2025_26'!$A$3:$A$665,0)),"")</f>
        <v>23</v>
      </c>
      <c r="J177" s="26" t="n">
        <f aca="false">IFERROR(IF($I177="","",MAX(0,38-$I177)),"")</f>
        <v>15</v>
      </c>
      <c r="K177" s="26" t="n">
        <f aca="false">IFERROR(INDEX('Input Statistiche 2025_26'!$I$3:$I$665,MATCH($A177,'Input Statistiche 2025_26'!$A$3:$A$665,0)),"")</f>
        <v>2</v>
      </c>
      <c r="L177" s="26" t="n">
        <f aca="false">IFERROR(INDEX('Input Statistiche 2025_26'!$O$3:$O$665,MATCH($A177,'Input Statistiche 2025_26'!$A$3:$A$665,0)),"")</f>
        <v>3</v>
      </c>
      <c r="M177" s="28"/>
      <c r="N177" s="27" t="n">
        <f aca="false">IFERROR(INDEX('Input Giocatori 2026_27'!$E$3:$E$493,MATCH($A177,'Input Giocatori 2026_27'!$A$3:$A$493,0)),"")</f>
        <v>6</v>
      </c>
      <c r="O177" s="27" t="n">
        <f aca="false">IFERROR(INDEX('Input Giocatori 2026_27'!$G$3:$G$493,MATCH($A177,'Input Giocatori 2026_27'!$A$3:$A$493,0)),"")</f>
        <v>19</v>
      </c>
      <c r="P177" s="26" t="str">
        <f aca="false">IFERROR(IF($O177="","",IF((1-(COUNTIFS($B$2:$B$492,$B177,$O$2:$O$492,"&gt;"&amp;$O177)+1-1)/COUNTIF($B$2:$B$492,$B177))&gt;=0.85,"Top",IF((1-(COUNTIFS($B$2:$B$492,$B177,$O$2:$O$492,"&gt;"&amp;$O177)+1-1)/COUNTIF($B$2:$B$492,$B177))&gt;=0.6,"Buono",IF((1-(COUNTIFS($B$2:$B$492,$B177,$O$2:$O$492,"&gt;"&amp;$O177)+1-1)/COUNTIF($B$2:$B$492,$B177))&gt;=0.3,"Nella Media","Scommessa/Riserva")))),"")</f>
        <v>Buono</v>
      </c>
      <c r="Q177" s="29" t="n">
        <f aca="false">IF($D177="",COUNTIF($D$2:$D177,""),"")</f>
        <v>176</v>
      </c>
      <c r="R177" s="29" t="str">
        <f aca="false">IF($D177='Info Lega'!$B$28,COUNTIFS($D$2:$D177,'Info Lega'!$B$28),"")</f>
        <v/>
      </c>
      <c r="S177" s="30" t="n">
        <f aca="false">IFERROR(INDEX('Input Statistiche 2025_26'!$G$3:$G$665,MATCH($A177,'Input Statistiche 2025_26'!$A$3:$A$665,0)),"")</f>
        <v>6.09</v>
      </c>
      <c r="T177" s="30" t="n">
        <f aca="false">IFERROR(INDEX('Input Statistiche 2025_26'!$H$3:$H$665,MATCH($A177,'Input Statistiche 2025_26'!$A$3:$A$665,0)),"")</f>
        <v>6.43</v>
      </c>
      <c r="U177" s="26" t="str">
        <f aca="false">IF(OR('La Mia Rosa'!$O$12="",$D177&lt;&gt;""),"",IF($F177&lt;='La Mia Rosa'!$O$12*'Parametri Modello'!$B$24,"OK",IF($F177&lt;='La Mia Rosa'!$O$12*'Parametri Modello'!$B$25,"Attenzione","Rischio Alto")))</f>
        <v>OK</v>
      </c>
      <c r="V177" s="26" t="n">
        <f aca="false">IFERROR(COUNTIFS($B$2:$B$492,$B177,$O$2:$O$492,"&gt;"&amp;$O177)+1,"")</f>
        <v>66</v>
      </c>
      <c r="W177" s="21" t="n">
        <f aca="false">'Info Lega'!$B$4-SUMIFS($M$2:$M$492,$D$2:$D$492,'Info Lega'!$B$28)</f>
        <v>1000</v>
      </c>
      <c r="X177" s="21" t="n">
        <f aca="false">('Info Lega'!$B$5-COUNTIFS($D$2:$D$492,'Info Lega'!$B$28,$B$2:$B$492,"P"))+('Info Lega'!$B$6-COUNTIFS($D$2:$D$492,'Info Lega'!$B$28,$B$2:$B$492,"D"))+('Info Lega'!$B$7-COUNTIFS($D$2:$D$492,'Info Lega'!$B$28,$B$2:$B$492,"C"))+('Info Lega'!$B$8-COUNTIFS($D$2:$D$492,'Info Lega'!$B$28,$B$2:$B$492,"A"))</f>
        <v>25</v>
      </c>
      <c r="Y177" s="21" t="n">
        <f aca="false">X177*'Parametri Modello'!$B$30</f>
        <v>25</v>
      </c>
      <c r="Z177" s="21" t="n">
        <f aca="false">MAX(0,W177-Y177)</f>
        <v>975</v>
      </c>
      <c r="AA177" s="21" t="n">
        <f aca="false">MIN(F177,Z177)</f>
        <v>3</v>
      </c>
      <c r="AB177" s="21"/>
      <c r="AC177" s="21" t="str">
        <f aca="false">IF(AB177="","",IF(AB177&gt;AA177,"PASS",IF(AB177&lt;=AA177*0.85,"BID","ATTENZIONE")))</f>
        <v/>
      </c>
      <c r="AD177" s="31" t="n">
        <f aca="false">IF(I177="","",ROUND(100*(1-EXP(-I177/30)),0))</f>
        <v>54</v>
      </c>
      <c r="AE177" s="7" t="str">
        <f aca="false">IFERROR(INDEX('Stato Asta'!$G$9:$G$12,MATCH($B177,'Stato Asta'!$A$9:$A$12,0)),"")</f>
        <v>🟡 Attesa rischiosa</v>
      </c>
    </row>
    <row r="178" customFormat="false" ht="14.25" hidden="false" customHeight="true" outlineLevel="0" collapsed="false">
      <c r="A178" s="21" t="n">
        <v>2529</v>
      </c>
      <c r="B178" s="21" t="s">
        <v>45</v>
      </c>
      <c r="C178" s="21" t="s">
        <v>454</v>
      </c>
      <c r="E178" s="26" t="str">
        <f aca="false">IF(COUNTIF('Info Strategia'!$D$2:$D$51,$C178)&gt;0,"SI","NO")</f>
        <v>NO</v>
      </c>
      <c r="F178" s="27" t="n">
        <f aca="false">IFERROR(ROUND(($G178+($H178-$G178)*'Info Strategia'!$B$6)*(1+IF($E178="SI",'Parametri Modello'!$B$7*'Info Strategia'!$B$6,0)),0),"")</f>
        <v>3</v>
      </c>
      <c r="G178" s="27" t="n">
        <f aca="false">IFERROR(ROUND(MAX(1,(IF($V178&lt;=INDEX('Parametri Modello'!$C$57:$C$60,MATCH($B178,'Parametri Modello'!$A$57:$A$60,0)),IF(INDEX('Parametri Modello'!$E$57:$E$60,MATCH($B178,'Parametri Modello'!$A$57:$A$60,0))=0,0,($O178/INDEX('Parametri Modello'!$E$57:$E$60,MATCH($B178,'Parametri Modello'!$A$57:$A$60,0)))*(INDEX('Parametri Modello'!$D$57:$D$60,MATCH($B178,'Parametri Modello'!$A$57:$A$60,0))*(INDEX('Parametri Modello'!$B$50:$B$53,MATCH($B178,'Parametri Modello'!$A$50:$A$53,0))*'Parametri Modello'!$B$44))),IF(INDEX('Parametri Modello'!$F$57:$F$60,MATCH($B178,'Parametri Modello'!$A$57:$A$60,0))=0,0,($O178/INDEX('Parametri Modello'!$F$57:$F$60,MATCH($B178,'Parametri Modello'!$A$57:$A$60,0)))*((1-INDEX('Parametri Modello'!$D$57:$D$60,MATCH($B178,'Parametri Modello'!$A$57:$A$60,0)))*(INDEX('Parametri Modello'!$B$50:$B$53,MATCH($B178,'Parametri Modello'!$A$50:$A$53,0))*'Parametri Modello'!$B$44))))*(1+IF(IF($B178="D",'Info Lega'!$B$25,IF($B178="C",'Info Lega'!$B$26,"No"))="Si",'Parametri Modello'!$B$5,0))*(1+MAX(-0.25,MIN(0.25,IF(OR($T178="",$I178="",$I178=0,INDEX('Parametri Modello'!$B$19:$B$22,MATCH($B178,'Parametri Modello'!$A$19:$A$22,0))="",INDEX('Parametri Modello'!$B$19:$B$22,MATCH($B178,'Parametri Modello'!$A$19:$A$22,0))=0),0,(($T178-INDEX('Parametri Modello'!$B$19:$B$22,MATCH($B178,'Parametri Modello'!$A$19:$A$22,0)))/INDEX('Parametri Modello'!$B$19:$B$22,MATCH($B178,'Parametri Modello'!$A$19:$A$22,0)))*'Parametri Modello'!$B$9))))*(1+IF('Parametri Modello'!$B$27="Si",MAX(-'Parametri Modello'!$B$28,MIN('Parametri Modello'!$B$28*1.5,IF(OR(INDEX('Parametri Modello'!$F$32:$F$35,MATCH($B178,'Parametri Modello'!$A$32:$A$35,0))="",INDEX('Parametri Modello'!$F$32:$F$35,MATCH($B178,'Parametri Modello'!$A$32:$A$35,0))=0),0,(1/INDEX('Parametri Modello'!$F$32:$F$35,MATCH($B178,'Parametri Modello'!$A$32:$A$35,0))-1)*'Parametri Modello'!$B$28))),0)))*(1-INDEX('Parametri Modello'!$B$12:$B$15,MATCH($B178,'Parametri Modello'!$A$12:$A$15,0)))),0),"")</f>
        <v>2</v>
      </c>
      <c r="H178" s="27" t="n">
        <f aca="false">IFERROR(ROUND((IF($V178&lt;=INDEX('Parametri Modello'!$C$57:$C$60,MATCH($B178,'Parametri Modello'!$A$57:$A$60,0)),IF(INDEX('Parametri Modello'!$E$57:$E$60,MATCH($B178,'Parametri Modello'!$A$57:$A$60,0))=0,0,($O178/INDEX('Parametri Modello'!$E$57:$E$60,MATCH($B178,'Parametri Modello'!$A$57:$A$60,0)))*(INDEX('Parametri Modello'!$D$57:$D$60,MATCH($B178,'Parametri Modello'!$A$57:$A$60,0))*(INDEX('Parametri Modello'!$B$50:$B$53,MATCH($B178,'Parametri Modello'!$A$50:$A$53,0))*'Parametri Modello'!$B$44))),IF(INDEX('Parametri Modello'!$F$57:$F$60,MATCH($B178,'Parametri Modello'!$A$57:$A$60,0))=0,0,($O178/INDEX('Parametri Modello'!$F$57:$F$60,MATCH($B178,'Parametri Modello'!$A$57:$A$60,0)))*((1-INDEX('Parametri Modello'!$D$57:$D$60,MATCH($B178,'Parametri Modello'!$A$57:$A$60,0)))*(INDEX('Parametri Modello'!$B$50:$B$53,MATCH($B178,'Parametri Modello'!$A$50:$A$53,0))*'Parametri Modello'!$B$44))))*(1+IF(IF($B178="D",'Info Lega'!$B$25,IF($B178="C",'Info Lega'!$B$26,"No"))="Si",'Parametri Modello'!$B$5,0))*(1+MAX(-0.25,MIN(0.25,IF(OR($T178="",$I178="",$I178=0,INDEX('Parametri Modello'!$B$19:$B$22,MATCH($B178,'Parametri Modello'!$A$19:$A$22,0))="",INDEX('Parametri Modello'!$B$19:$B$22,MATCH($B178,'Parametri Modello'!$A$19:$A$22,0))=0),0,(($T178-INDEX('Parametri Modello'!$B$19:$B$22,MATCH($B178,'Parametri Modello'!$A$19:$A$22,0)))/INDEX('Parametri Modello'!$B$19:$B$22,MATCH($B178,'Parametri Modello'!$A$19:$A$22,0)))*'Parametri Modello'!$B$9))))*(1+IF('Parametri Modello'!$B$27="Si",MAX(-'Parametri Modello'!$B$28,MIN('Parametri Modello'!$B$28*1.5,IF(OR(INDEX('Parametri Modello'!$F$32:$F$35,MATCH($B178,'Parametri Modello'!$A$32:$A$35,0))="",INDEX('Parametri Modello'!$F$32:$F$35,MATCH($B178,'Parametri Modello'!$A$32:$A$35,0))=0),0,(1/INDEX('Parametri Modello'!$F$32:$F$35,MATCH($B178,'Parametri Modello'!$A$32:$A$35,0))-1)*'Parametri Modello'!$B$28))),0)))*(1+INDEX('Parametri Modello'!$B$12:$B$15,MATCH($B178,'Parametri Modello'!$A$12:$A$15,0))),0),"")</f>
        <v>3</v>
      </c>
      <c r="I178" s="26" t="n">
        <f aca="false">IFERROR(INDEX('Input Statistiche 2025_26'!$F$3:$F$665,MATCH($A178,'Input Statistiche 2025_26'!$A$3:$A$665,0)),"")</f>
        <v>28</v>
      </c>
      <c r="J178" s="26" t="n">
        <f aca="false">IFERROR(IF($I178="","",MAX(0,38-$I178)),"")</f>
        <v>10</v>
      </c>
      <c r="K178" s="26" t="n">
        <f aca="false">IFERROR(INDEX('Input Statistiche 2025_26'!$I$3:$I$665,MATCH($A178,'Input Statistiche 2025_26'!$A$3:$A$665,0)),"")</f>
        <v>4</v>
      </c>
      <c r="L178" s="26" t="n">
        <f aca="false">IFERROR(INDEX('Input Statistiche 2025_26'!$O$3:$O$665,MATCH($A178,'Input Statistiche 2025_26'!$A$3:$A$665,0)),"")</f>
        <v>1</v>
      </c>
      <c r="M178" s="28"/>
      <c r="N178" s="27" t="n">
        <f aca="false">IFERROR(INDEX('Input Giocatori 2026_27'!$E$3:$E$493,MATCH($A178,'Input Giocatori 2026_27'!$A$3:$A$493,0)),"")</f>
        <v>5</v>
      </c>
      <c r="O178" s="27" t="n">
        <f aca="false">IFERROR(INDEX('Input Giocatori 2026_27'!$G$3:$G$493,MATCH($A178,'Input Giocatori 2026_27'!$A$3:$A$493,0)),"")</f>
        <v>19</v>
      </c>
      <c r="P178" s="26" t="str">
        <f aca="false">IFERROR(IF($O178="","",IF((1-(COUNTIFS($B$2:$B$492,$B178,$O$2:$O$492,"&gt;"&amp;$O178)+1-1)/COUNTIF($B$2:$B$492,$B178))&gt;=0.85,"Top",IF((1-(COUNTIFS($B$2:$B$492,$B178,$O$2:$O$492,"&gt;"&amp;$O178)+1-1)/COUNTIF($B$2:$B$492,$B178))&gt;=0.6,"Buono",IF((1-(COUNTIFS($B$2:$B$492,$B178,$O$2:$O$492,"&gt;"&amp;$O178)+1-1)/COUNTIF($B$2:$B$492,$B178))&gt;=0.3,"Nella Media","Scommessa/Riserva")))),"")</f>
        <v>Buono</v>
      </c>
      <c r="Q178" s="29" t="n">
        <f aca="false">IF($D178="",COUNTIF($D$2:$D178,""),"")</f>
        <v>177</v>
      </c>
      <c r="R178" s="29" t="str">
        <f aca="false">IF($D178='Info Lega'!$B$28,COUNTIFS($D$2:$D178,'Info Lega'!$B$28),"")</f>
        <v/>
      </c>
      <c r="S178" s="30" t="n">
        <f aca="false">IFERROR(INDEX('Input Statistiche 2025_26'!$G$3:$G$665,MATCH($A178,'Input Statistiche 2025_26'!$A$3:$A$665,0)),"")</f>
        <v>6.21</v>
      </c>
      <c r="T178" s="30" t="n">
        <f aca="false">IFERROR(INDEX('Input Statistiche 2025_26'!$H$3:$H$665,MATCH($A178,'Input Statistiche 2025_26'!$A$3:$A$665,0)),"")</f>
        <v>6.59</v>
      </c>
      <c r="U178" s="26" t="str">
        <f aca="false">IF(OR('La Mia Rosa'!$O$12="",$D178&lt;&gt;""),"",IF($F178&lt;='La Mia Rosa'!$O$12*'Parametri Modello'!$B$24,"OK",IF($F178&lt;='La Mia Rosa'!$O$12*'Parametri Modello'!$B$25,"Attenzione","Rischio Alto")))</f>
        <v>OK</v>
      </c>
      <c r="V178" s="26" t="n">
        <f aca="false">IFERROR(COUNTIFS($B$2:$B$492,$B178,$O$2:$O$492,"&gt;"&amp;$O178)+1,"")</f>
        <v>66</v>
      </c>
      <c r="W178" s="21" t="n">
        <f aca="false">'Info Lega'!$B$4-SUMIFS($M$2:$M$492,$D$2:$D$492,'Info Lega'!$B$28)</f>
        <v>1000</v>
      </c>
      <c r="X178" s="21" t="n">
        <f aca="false">('Info Lega'!$B$5-COUNTIFS($D$2:$D$492,'Info Lega'!$B$28,$B$2:$B$492,"P"))+('Info Lega'!$B$6-COUNTIFS($D$2:$D$492,'Info Lega'!$B$28,$B$2:$B$492,"D"))+('Info Lega'!$B$7-COUNTIFS($D$2:$D$492,'Info Lega'!$B$28,$B$2:$B$492,"C"))+('Info Lega'!$B$8-COUNTIFS($D$2:$D$492,'Info Lega'!$B$28,$B$2:$B$492,"A"))</f>
        <v>25</v>
      </c>
      <c r="Y178" s="21" t="n">
        <f aca="false">X178*'Parametri Modello'!$B$30</f>
        <v>25</v>
      </c>
      <c r="Z178" s="21" t="n">
        <f aca="false">MAX(0,W178-Y178)</f>
        <v>975</v>
      </c>
      <c r="AA178" s="21" t="n">
        <f aca="false">MIN(F178,Z178)</f>
        <v>3</v>
      </c>
      <c r="AB178" s="21"/>
      <c r="AC178" s="21" t="str">
        <f aca="false">IF(AB178="","",IF(AB178&gt;AA178,"PASS",IF(AB178&lt;=AA178*0.85,"BID","ATTENZIONE")))</f>
        <v/>
      </c>
      <c r="AD178" s="31" t="n">
        <f aca="false">IF(I178="","",ROUND(100*(1-EXP(-I178/30)),0))</f>
        <v>61</v>
      </c>
      <c r="AE178" s="7" t="str">
        <f aca="false">IFERROR(INDEX('Stato Asta'!$G$9:$G$12,MATCH($B178,'Stato Asta'!$A$9:$A$12,0)),"")</f>
        <v>🟡 Attesa rischiosa</v>
      </c>
    </row>
    <row r="179" customFormat="false" ht="14.25" hidden="false" customHeight="true" outlineLevel="0" collapsed="false">
      <c r="A179" s="21" t="n">
        <v>6598</v>
      </c>
      <c r="B179" s="21" t="s">
        <v>46</v>
      </c>
      <c r="C179" s="21" t="s">
        <v>588</v>
      </c>
      <c r="E179" s="26" t="str">
        <f aca="false">IF(COUNTIF('Info Strategia'!$D$2:$D$51,$C179)&gt;0,"SI","NO")</f>
        <v>NO</v>
      </c>
      <c r="F179" s="27" t="n">
        <f aca="false">IFERROR(ROUND(($G179+($H179-$G179)*'Info Strategia'!$B$6)*(1+IF($E179="SI",'Parametri Modello'!$B$7*'Info Strategia'!$B$6,0)),0),"")</f>
        <v>6</v>
      </c>
      <c r="G179" s="27" t="n">
        <f aca="false">IFERROR(ROUND(MAX(1,(IF($V179&lt;=INDEX('Parametri Modello'!$C$57:$C$60,MATCH($B179,'Parametri Modello'!$A$57:$A$60,0)),IF(INDEX('Parametri Modello'!$E$57:$E$60,MATCH($B179,'Parametri Modello'!$A$57:$A$60,0))=0,0,($O179/INDEX('Parametri Modello'!$E$57:$E$60,MATCH($B179,'Parametri Modello'!$A$57:$A$60,0)))*(INDEX('Parametri Modello'!$D$57:$D$60,MATCH($B179,'Parametri Modello'!$A$57:$A$60,0))*(INDEX('Parametri Modello'!$B$50:$B$53,MATCH($B179,'Parametri Modello'!$A$50:$A$53,0))*'Parametri Modello'!$B$44))),IF(INDEX('Parametri Modello'!$F$57:$F$60,MATCH($B179,'Parametri Modello'!$A$57:$A$60,0))=0,0,($O179/INDEX('Parametri Modello'!$F$57:$F$60,MATCH($B179,'Parametri Modello'!$A$57:$A$60,0)))*((1-INDEX('Parametri Modello'!$D$57:$D$60,MATCH($B179,'Parametri Modello'!$A$57:$A$60,0)))*(INDEX('Parametri Modello'!$B$50:$B$53,MATCH($B179,'Parametri Modello'!$A$50:$A$53,0))*'Parametri Modello'!$B$44))))*(1+IF(IF($B179="D",'Info Lega'!$B$25,IF($B179="C",'Info Lega'!$B$26,"No"))="Si",'Parametri Modello'!$B$5,0))*(1+MAX(-0.25,MIN(0.25,IF(OR($T179="",$I179="",$I179=0,INDEX('Parametri Modello'!$B$19:$B$22,MATCH($B179,'Parametri Modello'!$A$19:$A$22,0))="",INDEX('Parametri Modello'!$B$19:$B$22,MATCH($B179,'Parametri Modello'!$A$19:$A$22,0))=0),0,(($T179-INDEX('Parametri Modello'!$B$19:$B$22,MATCH($B179,'Parametri Modello'!$A$19:$A$22,0)))/INDEX('Parametri Modello'!$B$19:$B$22,MATCH($B179,'Parametri Modello'!$A$19:$A$22,0)))*'Parametri Modello'!$B$9))))*(1+IF('Parametri Modello'!$B$27="Si",MAX(-'Parametri Modello'!$B$28,MIN('Parametri Modello'!$B$28*1.5,IF(OR(INDEX('Parametri Modello'!$F$32:$F$35,MATCH($B179,'Parametri Modello'!$A$32:$A$35,0))="",INDEX('Parametri Modello'!$F$32:$F$35,MATCH($B179,'Parametri Modello'!$A$32:$A$35,0))=0),0,(1/INDEX('Parametri Modello'!$F$32:$F$35,MATCH($B179,'Parametri Modello'!$A$32:$A$35,0))-1)*'Parametri Modello'!$B$28))),0)))*(1-INDEX('Parametri Modello'!$B$12:$B$15,MATCH($B179,'Parametri Modello'!$A$12:$A$15,0)))),0),"")</f>
        <v>4</v>
      </c>
      <c r="H179" s="27" t="n">
        <f aca="false">IFERROR(ROUND((IF($V179&lt;=INDEX('Parametri Modello'!$C$57:$C$60,MATCH($B179,'Parametri Modello'!$A$57:$A$60,0)),IF(INDEX('Parametri Modello'!$E$57:$E$60,MATCH($B179,'Parametri Modello'!$A$57:$A$60,0))=0,0,($O179/INDEX('Parametri Modello'!$E$57:$E$60,MATCH($B179,'Parametri Modello'!$A$57:$A$60,0)))*(INDEX('Parametri Modello'!$D$57:$D$60,MATCH($B179,'Parametri Modello'!$A$57:$A$60,0))*(INDEX('Parametri Modello'!$B$50:$B$53,MATCH($B179,'Parametri Modello'!$A$50:$A$53,0))*'Parametri Modello'!$B$44))),IF(INDEX('Parametri Modello'!$F$57:$F$60,MATCH($B179,'Parametri Modello'!$A$57:$A$60,0))=0,0,($O179/INDEX('Parametri Modello'!$F$57:$F$60,MATCH($B179,'Parametri Modello'!$A$57:$A$60,0)))*((1-INDEX('Parametri Modello'!$D$57:$D$60,MATCH($B179,'Parametri Modello'!$A$57:$A$60,0)))*(INDEX('Parametri Modello'!$B$50:$B$53,MATCH($B179,'Parametri Modello'!$A$50:$A$53,0))*'Parametri Modello'!$B$44))))*(1+IF(IF($B179="D",'Info Lega'!$B$25,IF($B179="C",'Info Lega'!$B$26,"No"))="Si",'Parametri Modello'!$B$5,0))*(1+MAX(-0.25,MIN(0.25,IF(OR($T179="",$I179="",$I179=0,INDEX('Parametri Modello'!$B$19:$B$22,MATCH($B179,'Parametri Modello'!$A$19:$A$22,0))="",INDEX('Parametri Modello'!$B$19:$B$22,MATCH($B179,'Parametri Modello'!$A$19:$A$22,0))=0),0,(($T179-INDEX('Parametri Modello'!$B$19:$B$22,MATCH($B179,'Parametri Modello'!$A$19:$A$22,0)))/INDEX('Parametri Modello'!$B$19:$B$22,MATCH($B179,'Parametri Modello'!$A$19:$A$22,0)))*'Parametri Modello'!$B$9))))*(1+IF('Parametri Modello'!$B$27="Si",MAX(-'Parametri Modello'!$B$28,MIN('Parametri Modello'!$B$28*1.5,IF(OR(INDEX('Parametri Modello'!$F$32:$F$35,MATCH($B179,'Parametri Modello'!$A$32:$A$35,0))="",INDEX('Parametri Modello'!$F$32:$F$35,MATCH($B179,'Parametri Modello'!$A$32:$A$35,0))=0),0,(1/INDEX('Parametri Modello'!$F$32:$F$35,MATCH($B179,'Parametri Modello'!$A$32:$A$35,0))-1)*'Parametri Modello'!$B$28))),0)))*(1+INDEX('Parametri Modello'!$B$12:$B$15,MATCH($B179,'Parametri Modello'!$A$12:$A$15,0))),0),"")</f>
        <v>7</v>
      </c>
      <c r="I179" s="26" t="str">
        <f aca="false">IFERROR(INDEX('Input Statistiche 2025_26'!$F$3:$F$665,MATCH($A179,'Input Statistiche 2025_26'!$A$3:$A$665,0)),"")</f>
        <v/>
      </c>
      <c r="J179" s="26" t="str">
        <f aca="false">IFERROR(IF($I179="","",MAX(0,38-$I179)),"")</f>
        <v/>
      </c>
      <c r="K179" s="26" t="str">
        <f aca="false">IFERROR(INDEX('Input Statistiche 2025_26'!$I$3:$I$665,MATCH($A179,'Input Statistiche 2025_26'!$A$3:$A$665,0)),"")</f>
        <v/>
      </c>
      <c r="L179" s="26" t="str">
        <f aca="false">IFERROR(INDEX('Input Statistiche 2025_26'!$O$3:$O$665,MATCH($A179,'Input Statistiche 2025_26'!$A$3:$A$665,0)),"")</f>
        <v/>
      </c>
      <c r="M179" s="28"/>
      <c r="N179" s="27" t="n">
        <f aca="false">IFERROR(INDEX('Input Giocatori 2026_27'!$E$3:$E$493,MATCH($A179,'Input Giocatori 2026_27'!$A$3:$A$493,0)),"")</f>
        <v>6</v>
      </c>
      <c r="O179" s="27" t="n">
        <f aca="false">IFERROR(INDEX('Input Giocatori 2026_27'!$G$3:$G$493,MATCH($A179,'Input Giocatori 2026_27'!$A$3:$A$493,0)),"")</f>
        <v>19</v>
      </c>
      <c r="P179" s="26" t="str">
        <f aca="false">IFERROR(IF($O179="","",IF((1-(COUNTIFS($B$2:$B$492,$B179,$O$2:$O$492,"&gt;"&amp;$O179)+1-1)/COUNTIF($B$2:$B$492,$B179))&gt;=0.85,"Top",IF((1-(COUNTIFS($B$2:$B$492,$B179,$O$2:$O$492,"&gt;"&amp;$O179)+1-1)/COUNTIF($B$2:$B$492,$B179))&gt;=0.6,"Buono",IF((1-(COUNTIFS($B$2:$B$492,$B179,$O$2:$O$492,"&gt;"&amp;$O179)+1-1)/COUNTIF($B$2:$B$492,$B179))&gt;=0.3,"Nella Media","Scommessa/Riserva")))),"")</f>
        <v>Nella Media</v>
      </c>
      <c r="Q179" s="29" t="n">
        <f aca="false">IF($D179="",COUNTIF($D$2:$D179,""),"")</f>
        <v>178</v>
      </c>
      <c r="R179" s="29" t="str">
        <f aca="false">IF($D179='Info Lega'!$B$28,COUNTIFS($D$2:$D179,'Info Lega'!$B$28),"")</f>
        <v/>
      </c>
      <c r="S179" s="30" t="str">
        <f aca="false">IFERROR(INDEX('Input Statistiche 2025_26'!$G$3:$G$665,MATCH($A179,'Input Statistiche 2025_26'!$A$3:$A$665,0)),"")</f>
        <v/>
      </c>
      <c r="T179" s="30" t="str">
        <f aca="false">IFERROR(INDEX('Input Statistiche 2025_26'!$H$3:$H$665,MATCH($A179,'Input Statistiche 2025_26'!$A$3:$A$665,0)),"")</f>
        <v/>
      </c>
      <c r="U179" s="26" t="str">
        <f aca="false">IF(OR('La Mia Rosa'!$O$12="",$D179&lt;&gt;""),"",IF($F179&lt;='La Mia Rosa'!$O$12*'Parametri Modello'!$B$24,"OK",IF($F179&lt;='La Mia Rosa'!$O$12*'Parametri Modello'!$B$25,"Attenzione","Rischio Alto")))</f>
        <v>OK</v>
      </c>
      <c r="V179" s="26" t="n">
        <f aca="false">IFERROR(COUNTIFS($B$2:$B$492,$B179,$O$2:$O$492,"&gt;"&amp;$O179)+1,"")</f>
        <v>50</v>
      </c>
      <c r="W179" s="21" t="n">
        <f aca="false">'Info Lega'!$B$4-SUMIFS($M$2:$M$492,$D$2:$D$492,'Info Lega'!$B$28)</f>
        <v>1000</v>
      </c>
      <c r="X179" s="21" t="n">
        <f aca="false">('Info Lega'!$B$5-COUNTIFS($D$2:$D$492,'Info Lega'!$B$28,$B$2:$B$492,"P"))+('Info Lega'!$B$6-COUNTIFS($D$2:$D$492,'Info Lega'!$B$28,$B$2:$B$492,"D"))+('Info Lega'!$B$7-COUNTIFS($D$2:$D$492,'Info Lega'!$B$28,$B$2:$B$492,"C"))+('Info Lega'!$B$8-COUNTIFS($D$2:$D$492,'Info Lega'!$B$28,$B$2:$B$492,"A"))</f>
        <v>25</v>
      </c>
      <c r="Y179" s="21" t="n">
        <f aca="false">X179*'Parametri Modello'!$B$30</f>
        <v>25</v>
      </c>
      <c r="Z179" s="21" t="n">
        <f aca="false">MAX(0,W179-Y179)</f>
        <v>975</v>
      </c>
      <c r="AA179" s="21" t="n">
        <f aca="false">MIN(F179,Z179)</f>
        <v>6</v>
      </c>
      <c r="AB179" s="21"/>
      <c r="AC179" s="21" t="str">
        <f aca="false">IF(AB179="","",IF(AB179&gt;AA179,"PASS",IF(AB179&lt;=AA179*0.85,"BID","ATTENZIONE")))</f>
        <v/>
      </c>
      <c r="AD179" s="31" t="str">
        <f aca="false">IF(I179="","",ROUND(100*(1-EXP(-I179/30)),0))</f>
        <v/>
      </c>
      <c r="AE179" s="7" t="str">
        <f aca="false">IFERROR(INDEX('Stato Asta'!$G$9:$G$12,MATCH($B179,'Stato Asta'!$A$9:$A$12,0)),"")</f>
        <v>🔴 Non aspettare</v>
      </c>
    </row>
    <row r="180" customFormat="false" ht="14.25" hidden="false" customHeight="true" outlineLevel="0" collapsed="false">
      <c r="A180" s="21" t="n">
        <v>7332</v>
      </c>
      <c r="B180" s="21" t="s">
        <v>43</v>
      </c>
      <c r="C180" s="21" t="s">
        <v>136</v>
      </c>
      <c r="E180" s="26" t="str">
        <f aca="false">IF(COUNTIF('Info Strategia'!$D$2:$D$51,$C180)&gt;0,"SI","NO")</f>
        <v>NO</v>
      </c>
      <c r="F180" s="27" t="n">
        <f aca="false">IFERROR(ROUND(($G180+($H180-$G180)*'Info Strategia'!$B$6)*(1+IF($E180="SI",'Parametri Modello'!$B$7*'Info Strategia'!$B$6,0)),0),"")</f>
        <v>6</v>
      </c>
      <c r="G180" s="27" t="n">
        <f aca="false">IFERROR(ROUND(MAX(1,(IF($V180&lt;=INDEX('Parametri Modello'!$C$57:$C$60,MATCH($B180,'Parametri Modello'!$A$57:$A$60,0)),IF(INDEX('Parametri Modello'!$E$57:$E$60,MATCH($B180,'Parametri Modello'!$A$57:$A$60,0))=0,0,($O180/INDEX('Parametri Modello'!$E$57:$E$60,MATCH($B180,'Parametri Modello'!$A$57:$A$60,0)))*(INDEX('Parametri Modello'!$D$57:$D$60,MATCH($B180,'Parametri Modello'!$A$57:$A$60,0))*(INDEX('Parametri Modello'!$B$50:$B$53,MATCH($B180,'Parametri Modello'!$A$50:$A$53,0))*'Parametri Modello'!$B$44))),IF(INDEX('Parametri Modello'!$F$57:$F$60,MATCH($B180,'Parametri Modello'!$A$57:$A$60,0))=0,0,($O180/INDEX('Parametri Modello'!$F$57:$F$60,MATCH($B180,'Parametri Modello'!$A$57:$A$60,0)))*((1-INDEX('Parametri Modello'!$D$57:$D$60,MATCH($B180,'Parametri Modello'!$A$57:$A$60,0)))*(INDEX('Parametri Modello'!$B$50:$B$53,MATCH($B180,'Parametri Modello'!$A$50:$A$53,0))*'Parametri Modello'!$B$44))))*(1+IF(IF($B180="D",'Info Lega'!$B$25,IF($B180="C",'Info Lega'!$B$26,"No"))="Si",'Parametri Modello'!$B$5,0))*(1+MAX(-0.25,MIN(0.25,IF(OR($T180="",$I180="",$I180=0,INDEX('Parametri Modello'!$B$19:$B$22,MATCH($B180,'Parametri Modello'!$A$19:$A$22,0))="",INDEX('Parametri Modello'!$B$19:$B$22,MATCH($B180,'Parametri Modello'!$A$19:$A$22,0))=0),0,(($T180-INDEX('Parametri Modello'!$B$19:$B$22,MATCH($B180,'Parametri Modello'!$A$19:$A$22,0)))/INDEX('Parametri Modello'!$B$19:$B$22,MATCH($B180,'Parametri Modello'!$A$19:$A$22,0)))*'Parametri Modello'!$B$9))))*(1+IF('Parametri Modello'!$B$27="Si",MAX(-'Parametri Modello'!$B$28,MIN('Parametri Modello'!$B$28*1.5,IF(OR(INDEX('Parametri Modello'!$F$32:$F$35,MATCH($B180,'Parametri Modello'!$A$32:$A$35,0))="",INDEX('Parametri Modello'!$F$32:$F$35,MATCH($B180,'Parametri Modello'!$A$32:$A$35,0))=0),0,(1/INDEX('Parametri Modello'!$F$32:$F$35,MATCH($B180,'Parametri Modello'!$A$32:$A$35,0))-1)*'Parametri Modello'!$B$28))),0)))*(1-INDEX('Parametri Modello'!$B$12:$B$15,MATCH($B180,'Parametri Modello'!$A$12:$A$15,0)))),0),"")</f>
        <v>5</v>
      </c>
      <c r="H180" s="27" t="n">
        <f aca="false">IFERROR(ROUND((IF($V180&lt;=INDEX('Parametri Modello'!$C$57:$C$60,MATCH($B180,'Parametri Modello'!$A$57:$A$60,0)),IF(INDEX('Parametri Modello'!$E$57:$E$60,MATCH($B180,'Parametri Modello'!$A$57:$A$60,0))=0,0,($O180/INDEX('Parametri Modello'!$E$57:$E$60,MATCH($B180,'Parametri Modello'!$A$57:$A$60,0)))*(INDEX('Parametri Modello'!$D$57:$D$60,MATCH($B180,'Parametri Modello'!$A$57:$A$60,0))*(INDEX('Parametri Modello'!$B$50:$B$53,MATCH($B180,'Parametri Modello'!$A$50:$A$53,0))*'Parametri Modello'!$B$44))),IF(INDEX('Parametri Modello'!$F$57:$F$60,MATCH($B180,'Parametri Modello'!$A$57:$A$60,0))=0,0,($O180/INDEX('Parametri Modello'!$F$57:$F$60,MATCH($B180,'Parametri Modello'!$A$57:$A$60,0)))*((1-INDEX('Parametri Modello'!$D$57:$D$60,MATCH($B180,'Parametri Modello'!$A$57:$A$60,0)))*(INDEX('Parametri Modello'!$B$50:$B$53,MATCH($B180,'Parametri Modello'!$A$50:$A$53,0))*'Parametri Modello'!$B$44))))*(1+IF(IF($B180="D",'Info Lega'!$B$25,IF($B180="C",'Info Lega'!$B$26,"No"))="Si",'Parametri Modello'!$B$5,0))*(1+MAX(-0.25,MIN(0.25,IF(OR($T180="",$I180="",$I180=0,INDEX('Parametri Modello'!$B$19:$B$22,MATCH($B180,'Parametri Modello'!$A$19:$A$22,0))="",INDEX('Parametri Modello'!$B$19:$B$22,MATCH($B180,'Parametri Modello'!$A$19:$A$22,0))=0),0,(($T180-INDEX('Parametri Modello'!$B$19:$B$22,MATCH($B180,'Parametri Modello'!$A$19:$A$22,0)))/INDEX('Parametri Modello'!$B$19:$B$22,MATCH($B180,'Parametri Modello'!$A$19:$A$22,0)))*'Parametri Modello'!$B$9))))*(1+IF('Parametri Modello'!$B$27="Si",MAX(-'Parametri Modello'!$B$28,MIN('Parametri Modello'!$B$28*1.5,IF(OR(INDEX('Parametri Modello'!$F$32:$F$35,MATCH($B180,'Parametri Modello'!$A$32:$A$35,0))="",INDEX('Parametri Modello'!$F$32:$F$35,MATCH($B180,'Parametri Modello'!$A$32:$A$35,0))=0),0,(1/INDEX('Parametri Modello'!$F$32:$F$35,MATCH($B180,'Parametri Modello'!$A$32:$A$35,0))-1)*'Parametri Modello'!$B$28))),0)))*(1+INDEX('Parametri Modello'!$B$12:$B$15,MATCH($B180,'Parametri Modello'!$A$12:$A$15,0))),0),"")</f>
        <v>7</v>
      </c>
      <c r="I180" s="26" t="n">
        <f aca="false">IFERROR(INDEX('Input Statistiche 2025_26'!$F$3:$F$665,MATCH($A180,'Input Statistiche 2025_26'!$A$3:$A$665,0)),"")</f>
        <v>16</v>
      </c>
      <c r="J180" s="26" t="n">
        <f aca="false">IFERROR(IF($I180="","",MAX(0,38-$I180)),"")</f>
        <v>22</v>
      </c>
      <c r="K180" s="26" t="n">
        <f aca="false">IFERROR(INDEX('Input Statistiche 2025_26'!$I$3:$I$665,MATCH($A180,'Input Statistiche 2025_26'!$A$3:$A$665,0)),"")</f>
        <v>0</v>
      </c>
      <c r="L180" s="26" t="n">
        <f aca="false">IFERROR(INDEX('Input Statistiche 2025_26'!$O$3:$O$665,MATCH($A180,'Input Statistiche 2025_26'!$A$3:$A$665,0)),"")</f>
        <v>0</v>
      </c>
      <c r="M180" s="28"/>
      <c r="N180" s="27" t="n">
        <f aca="false">IFERROR(INDEX('Input Giocatori 2026_27'!$E$3:$E$493,MATCH($A180,'Input Giocatori 2026_27'!$A$3:$A$493,0)),"")</f>
        <v>8</v>
      </c>
      <c r="O180" s="27" t="n">
        <f aca="false">IFERROR(INDEX('Input Giocatori 2026_27'!$G$3:$G$493,MATCH($A180,'Input Giocatori 2026_27'!$A$3:$A$493,0)),"")</f>
        <v>18</v>
      </c>
      <c r="P180" s="26" t="str">
        <f aca="false">IFERROR(IF($O180="","",IF((1-(COUNTIFS($B$2:$B$492,$B180,$O$2:$O$492,"&gt;"&amp;$O180)+1-1)/COUNTIF($B$2:$B$492,$B180))&gt;=0.85,"Top",IF((1-(COUNTIFS($B$2:$B$492,$B180,$O$2:$O$492,"&gt;"&amp;$O180)+1-1)/COUNTIF($B$2:$B$492,$B180))&gt;=0.6,"Buono",IF((1-(COUNTIFS($B$2:$B$492,$B180,$O$2:$O$492,"&gt;"&amp;$O180)+1-1)/COUNTIF($B$2:$B$492,$B180))&gt;=0.3,"Nella Media","Scommessa/Riserva")))),"")</f>
        <v>Buono</v>
      </c>
      <c r="Q180" s="29" t="n">
        <f aca="false">IF($D180="",COUNTIF($D$2:$D180,""),"")</f>
        <v>179</v>
      </c>
      <c r="R180" s="29" t="str">
        <f aca="false">IF($D180='Info Lega'!$B$28,COUNTIFS($D$2:$D180,'Info Lega'!$B$28),"")</f>
        <v/>
      </c>
      <c r="S180" s="30" t="n">
        <f aca="false">IFERROR(INDEX('Input Statistiche 2025_26'!$G$3:$G$665,MATCH($A180,'Input Statistiche 2025_26'!$A$3:$A$665,0)),"")</f>
        <v>6.06</v>
      </c>
      <c r="T180" s="30" t="n">
        <f aca="false">IFERROR(INDEX('Input Statistiche 2025_26'!$H$3:$H$665,MATCH($A180,'Input Statistiche 2025_26'!$A$3:$A$665,0)),"")</f>
        <v>4.78</v>
      </c>
      <c r="U180" s="26" t="str">
        <f aca="false">IF(OR('La Mia Rosa'!$O$12="",$D180&lt;&gt;""),"",IF($F180&lt;='La Mia Rosa'!$O$12*'Parametri Modello'!$B$24,"OK",IF($F180&lt;='La Mia Rosa'!$O$12*'Parametri Modello'!$B$25,"Attenzione","Rischio Alto")))</f>
        <v>OK</v>
      </c>
      <c r="V180" s="26" t="n">
        <f aca="false">IFERROR(COUNTIFS($B$2:$B$492,$B180,$O$2:$O$492,"&gt;"&amp;$O180)+1,"")</f>
        <v>15</v>
      </c>
      <c r="W180" s="21" t="n">
        <f aca="false">'Info Lega'!$B$4-SUMIFS($M$2:$M$492,$D$2:$D$492,'Info Lega'!$B$28)</f>
        <v>1000</v>
      </c>
      <c r="X180" s="21" t="n">
        <f aca="false">('Info Lega'!$B$5-COUNTIFS($D$2:$D$492,'Info Lega'!$B$28,$B$2:$B$492,"P"))+('Info Lega'!$B$6-COUNTIFS($D$2:$D$492,'Info Lega'!$B$28,$B$2:$B$492,"D"))+('Info Lega'!$B$7-COUNTIFS($D$2:$D$492,'Info Lega'!$B$28,$B$2:$B$492,"C"))+('Info Lega'!$B$8-COUNTIFS($D$2:$D$492,'Info Lega'!$B$28,$B$2:$B$492,"A"))</f>
        <v>25</v>
      </c>
      <c r="Y180" s="21" t="n">
        <f aca="false">X180*'Parametri Modello'!$B$30</f>
        <v>25</v>
      </c>
      <c r="Z180" s="21" t="n">
        <f aca="false">MAX(0,W180-Y180)</f>
        <v>975</v>
      </c>
      <c r="AA180" s="21" t="n">
        <f aca="false">MIN(F180,Z180)</f>
        <v>6</v>
      </c>
      <c r="AB180" s="21"/>
      <c r="AC180" s="21" t="str">
        <f aca="false">IF(AB180="","",IF(AB180&gt;AA180,"PASS",IF(AB180&lt;=AA180*0.85,"BID","ATTENZIONE")))</f>
        <v/>
      </c>
      <c r="AD180" s="31" t="n">
        <f aca="false">IF(I180="","",ROUND(100*(1-EXP(-I180/30)),0))</f>
        <v>41</v>
      </c>
      <c r="AE180" s="7" t="str">
        <f aca="false">IFERROR(INDEX('Stato Asta'!$G$9:$G$12,MATCH($B180,'Stato Asta'!$A$9:$A$12,0)),"")</f>
        <v>🟡 Attesa rischiosa</v>
      </c>
    </row>
    <row r="181" customFormat="false" ht="14.25" hidden="false" customHeight="true" outlineLevel="0" collapsed="false">
      <c r="A181" s="21" t="n">
        <v>6042</v>
      </c>
      <c r="B181" s="21" t="s">
        <v>44</v>
      </c>
      <c r="C181" s="21" t="s">
        <v>215</v>
      </c>
      <c r="E181" s="26" t="str">
        <f aca="false">IF(COUNTIF('Info Strategia'!$D$2:$D$51,$C181)&gt;0,"SI","NO")</f>
        <v>NO</v>
      </c>
      <c r="F181" s="27" t="n">
        <f aca="false">IFERROR(ROUND(($G181+($H181-$G181)*'Info Strategia'!$B$6)*(1+IF($E181="SI",'Parametri Modello'!$B$7*'Info Strategia'!$B$6,0)),0),"")</f>
        <v>3</v>
      </c>
      <c r="G181" s="27" t="n">
        <f aca="false">IFERROR(ROUND(MAX(1,(IF($V181&lt;=INDEX('Parametri Modello'!$C$57:$C$60,MATCH($B181,'Parametri Modello'!$A$57:$A$60,0)),IF(INDEX('Parametri Modello'!$E$57:$E$60,MATCH($B181,'Parametri Modello'!$A$57:$A$60,0))=0,0,($O181/INDEX('Parametri Modello'!$E$57:$E$60,MATCH($B181,'Parametri Modello'!$A$57:$A$60,0)))*(INDEX('Parametri Modello'!$D$57:$D$60,MATCH($B181,'Parametri Modello'!$A$57:$A$60,0))*(INDEX('Parametri Modello'!$B$50:$B$53,MATCH($B181,'Parametri Modello'!$A$50:$A$53,0))*'Parametri Modello'!$B$44))),IF(INDEX('Parametri Modello'!$F$57:$F$60,MATCH($B181,'Parametri Modello'!$A$57:$A$60,0))=0,0,($O181/INDEX('Parametri Modello'!$F$57:$F$60,MATCH($B181,'Parametri Modello'!$A$57:$A$60,0)))*((1-INDEX('Parametri Modello'!$D$57:$D$60,MATCH($B181,'Parametri Modello'!$A$57:$A$60,0)))*(INDEX('Parametri Modello'!$B$50:$B$53,MATCH($B181,'Parametri Modello'!$A$50:$A$53,0))*'Parametri Modello'!$B$44))))*(1+IF(IF($B181="D",'Info Lega'!$B$25,IF($B181="C",'Info Lega'!$B$26,"No"))="Si",'Parametri Modello'!$B$5,0))*(1+MAX(-0.25,MIN(0.25,IF(OR($T181="",$I181="",$I181=0,INDEX('Parametri Modello'!$B$19:$B$22,MATCH($B181,'Parametri Modello'!$A$19:$A$22,0))="",INDEX('Parametri Modello'!$B$19:$B$22,MATCH($B181,'Parametri Modello'!$A$19:$A$22,0))=0),0,(($T181-INDEX('Parametri Modello'!$B$19:$B$22,MATCH($B181,'Parametri Modello'!$A$19:$A$22,0)))/INDEX('Parametri Modello'!$B$19:$B$22,MATCH($B181,'Parametri Modello'!$A$19:$A$22,0)))*'Parametri Modello'!$B$9))))*(1+IF('Parametri Modello'!$B$27="Si",MAX(-'Parametri Modello'!$B$28,MIN('Parametri Modello'!$B$28*1.5,IF(OR(INDEX('Parametri Modello'!$F$32:$F$35,MATCH($B181,'Parametri Modello'!$A$32:$A$35,0))="",INDEX('Parametri Modello'!$F$32:$F$35,MATCH($B181,'Parametri Modello'!$A$32:$A$35,0))=0),0,(1/INDEX('Parametri Modello'!$F$32:$F$35,MATCH($B181,'Parametri Modello'!$A$32:$A$35,0))-1)*'Parametri Modello'!$B$28))),0)))*(1-INDEX('Parametri Modello'!$B$12:$B$15,MATCH($B181,'Parametri Modello'!$A$12:$A$15,0)))),0),"")</f>
        <v>2</v>
      </c>
      <c r="H181" s="27" t="n">
        <f aca="false">IFERROR(ROUND((IF($V181&lt;=INDEX('Parametri Modello'!$C$57:$C$60,MATCH($B181,'Parametri Modello'!$A$57:$A$60,0)),IF(INDEX('Parametri Modello'!$E$57:$E$60,MATCH($B181,'Parametri Modello'!$A$57:$A$60,0))=0,0,($O181/INDEX('Parametri Modello'!$E$57:$E$60,MATCH($B181,'Parametri Modello'!$A$57:$A$60,0)))*(INDEX('Parametri Modello'!$D$57:$D$60,MATCH($B181,'Parametri Modello'!$A$57:$A$60,0))*(INDEX('Parametri Modello'!$B$50:$B$53,MATCH($B181,'Parametri Modello'!$A$50:$A$53,0))*'Parametri Modello'!$B$44))),IF(INDEX('Parametri Modello'!$F$57:$F$60,MATCH($B181,'Parametri Modello'!$A$57:$A$60,0))=0,0,($O181/INDEX('Parametri Modello'!$F$57:$F$60,MATCH($B181,'Parametri Modello'!$A$57:$A$60,0)))*((1-INDEX('Parametri Modello'!$D$57:$D$60,MATCH($B181,'Parametri Modello'!$A$57:$A$60,0)))*(INDEX('Parametri Modello'!$B$50:$B$53,MATCH($B181,'Parametri Modello'!$A$50:$A$53,0))*'Parametri Modello'!$B$44))))*(1+IF(IF($B181="D",'Info Lega'!$B$25,IF($B181="C",'Info Lega'!$B$26,"No"))="Si",'Parametri Modello'!$B$5,0))*(1+MAX(-0.25,MIN(0.25,IF(OR($T181="",$I181="",$I181=0,INDEX('Parametri Modello'!$B$19:$B$22,MATCH($B181,'Parametri Modello'!$A$19:$A$22,0))="",INDEX('Parametri Modello'!$B$19:$B$22,MATCH($B181,'Parametri Modello'!$A$19:$A$22,0))=0),0,(($T181-INDEX('Parametri Modello'!$B$19:$B$22,MATCH($B181,'Parametri Modello'!$A$19:$A$22,0)))/INDEX('Parametri Modello'!$B$19:$B$22,MATCH($B181,'Parametri Modello'!$A$19:$A$22,0)))*'Parametri Modello'!$B$9))))*(1+IF('Parametri Modello'!$B$27="Si",MAX(-'Parametri Modello'!$B$28,MIN('Parametri Modello'!$B$28*1.5,IF(OR(INDEX('Parametri Modello'!$F$32:$F$35,MATCH($B181,'Parametri Modello'!$A$32:$A$35,0))="",INDEX('Parametri Modello'!$F$32:$F$35,MATCH($B181,'Parametri Modello'!$A$32:$A$35,0))=0),0,(1/INDEX('Parametri Modello'!$F$32:$F$35,MATCH($B181,'Parametri Modello'!$A$32:$A$35,0))-1)*'Parametri Modello'!$B$28))),0)))*(1+INDEX('Parametri Modello'!$B$12:$B$15,MATCH($B181,'Parametri Modello'!$A$12:$A$15,0))),0),"")</f>
        <v>4</v>
      </c>
      <c r="I181" s="26" t="n">
        <f aca="false">IFERROR(INDEX('Input Statistiche 2025_26'!$F$3:$F$665,MATCH($A181,'Input Statistiche 2025_26'!$A$3:$A$665,0)),"")</f>
        <v>28</v>
      </c>
      <c r="J181" s="26" t="n">
        <f aca="false">IFERROR(IF($I181="","",MAX(0,38-$I181)),"")</f>
        <v>10</v>
      </c>
      <c r="K181" s="26" t="n">
        <f aca="false">IFERROR(INDEX('Input Statistiche 2025_26'!$I$3:$I$665,MATCH($A181,'Input Statistiche 2025_26'!$A$3:$A$665,0)),"")</f>
        <v>1</v>
      </c>
      <c r="L181" s="26" t="n">
        <f aca="false">IFERROR(INDEX('Input Statistiche 2025_26'!$O$3:$O$665,MATCH($A181,'Input Statistiche 2025_26'!$A$3:$A$665,0)),"")</f>
        <v>0</v>
      </c>
      <c r="M181" s="28"/>
      <c r="N181" s="27" t="n">
        <f aca="false">IFERROR(INDEX('Input Giocatori 2026_27'!$E$3:$E$493,MATCH($A181,'Input Giocatori 2026_27'!$A$3:$A$493,0)),"")</f>
        <v>8</v>
      </c>
      <c r="O181" s="27" t="n">
        <f aca="false">IFERROR(INDEX('Input Giocatori 2026_27'!$G$3:$G$493,MATCH($A181,'Input Giocatori 2026_27'!$A$3:$A$493,0)),"")</f>
        <v>18</v>
      </c>
      <c r="P181" s="26" t="str">
        <f aca="false">IFERROR(IF($O181="","",IF((1-(COUNTIFS($B$2:$B$492,$B181,$O$2:$O$492,"&gt;"&amp;$O181)+1-1)/COUNTIF($B$2:$B$492,$B181))&gt;=0.85,"Top",IF((1-(COUNTIFS($B$2:$B$492,$B181,$O$2:$O$492,"&gt;"&amp;$O181)+1-1)/COUNTIF($B$2:$B$492,$B181))&gt;=0.6,"Buono",IF((1-(COUNTIFS($B$2:$B$492,$B181,$O$2:$O$492,"&gt;"&amp;$O181)+1-1)/COUNTIF($B$2:$B$492,$B181))&gt;=0.3,"Nella Media","Scommessa/Riserva")))),"")</f>
        <v>Buono</v>
      </c>
      <c r="Q181" s="29" t="n">
        <f aca="false">IF($D181="",COUNTIF($D$2:$D181,""),"")</f>
        <v>180</v>
      </c>
      <c r="R181" s="29" t="str">
        <f aca="false">IF($D181='Info Lega'!$B$28,COUNTIFS($D$2:$D181,'Info Lega'!$B$28),"")</f>
        <v/>
      </c>
      <c r="S181" s="30" t="n">
        <f aca="false">IFERROR(INDEX('Input Statistiche 2025_26'!$G$3:$G$665,MATCH($A181,'Input Statistiche 2025_26'!$A$3:$A$665,0)),"")</f>
        <v>5.88</v>
      </c>
      <c r="T181" s="30" t="n">
        <f aca="false">IFERROR(INDEX('Input Statistiche 2025_26'!$H$3:$H$665,MATCH($A181,'Input Statistiche 2025_26'!$A$3:$A$665,0)),"")</f>
        <v>5.89</v>
      </c>
      <c r="U181" s="26" t="str">
        <f aca="false">IF(OR('La Mia Rosa'!$O$12="",$D181&lt;&gt;""),"",IF($F181&lt;='La Mia Rosa'!$O$12*'Parametri Modello'!$B$24,"OK",IF($F181&lt;='La Mia Rosa'!$O$12*'Parametri Modello'!$B$25,"Attenzione","Rischio Alto")))</f>
        <v>OK</v>
      </c>
      <c r="V181" s="26" t="n">
        <f aca="false">IFERROR(COUNTIFS($B$2:$B$492,$B181,$O$2:$O$492,"&gt;"&amp;$O181)+1,"")</f>
        <v>45</v>
      </c>
      <c r="W181" s="21" t="n">
        <f aca="false">'Info Lega'!$B$4-SUMIFS($M$2:$M$492,$D$2:$D$492,'Info Lega'!$B$28)</f>
        <v>1000</v>
      </c>
      <c r="X181" s="21" t="n">
        <f aca="false">('Info Lega'!$B$5-COUNTIFS($D$2:$D$492,'Info Lega'!$B$28,$B$2:$B$492,"P"))+('Info Lega'!$B$6-COUNTIFS($D$2:$D$492,'Info Lega'!$B$28,$B$2:$B$492,"D"))+('Info Lega'!$B$7-COUNTIFS($D$2:$D$492,'Info Lega'!$B$28,$B$2:$B$492,"C"))+('Info Lega'!$B$8-COUNTIFS($D$2:$D$492,'Info Lega'!$B$28,$B$2:$B$492,"A"))</f>
        <v>25</v>
      </c>
      <c r="Y181" s="21" t="n">
        <f aca="false">X181*'Parametri Modello'!$B$30</f>
        <v>25</v>
      </c>
      <c r="Z181" s="21" t="n">
        <f aca="false">MAX(0,W181-Y181)</f>
        <v>975</v>
      </c>
      <c r="AA181" s="21" t="n">
        <f aca="false">MIN(F181,Z181)</f>
        <v>3</v>
      </c>
      <c r="AB181" s="21"/>
      <c r="AC181" s="21" t="str">
        <f aca="false">IF(AB181="","",IF(AB181&gt;AA181,"PASS",IF(AB181&lt;=AA181*0.85,"BID","ATTENZIONE")))</f>
        <v/>
      </c>
      <c r="AD181" s="31" t="n">
        <f aca="false">IF(I181="","",ROUND(100*(1-EXP(-I181/30)),0))</f>
        <v>61</v>
      </c>
      <c r="AE181" s="7" t="str">
        <f aca="false">IFERROR(INDEX('Stato Asta'!$G$9:$G$12,MATCH($B181,'Stato Asta'!$A$9:$A$12,0)),"")</f>
        <v>🟡 Attesa rischiosa</v>
      </c>
    </row>
    <row r="182" customFormat="false" ht="14.25" hidden="false" customHeight="true" outlineLevel="0" collapsed="false">
      <c r="A182" s="21" t="n">
        <v>2724</v>
      </c>
      <c r="B182" s="21" t="s">
        <v>44</v>
      </c>
      <c r="C182" s="21" t="s">
        <v>237</v>
      </c>
      <c r="E182" s="26" t="str">
        <f aca="false">IF(COUNTIF('Info Strategia'!$D$2:$D$51,$C182)&gt;0,"SI","NO")</f>
        <v>NO</v>
      </c>
      <c r="F182" s="27" t="n">
        <f aca="false">IFERROR(ROUND(($G182+($H182-$G182)*'Info Strategia'!$B$6)*(1+IF($E182="SI",'Parametri Modello'!$B$7*'Info Strategia'!$B$6,0)),0),"")</f>
        <v>3</v>
      </c>
      <c r="G182" s="27" t="n">
        <f aca="false">IFERROR(ROUND(MAX(1,(IF($V182&lt;=INDEX('Parametri Modello'!$C$57:$C$60,MATCH($B182,'Parametri Modello'!$A$57:$A$60,0)),IF(INDEX('Parametri Modello'!$E$57:$E$60,MATCH($B182,'Parametri Modello'!$A$57:$A$60,0))=0,0,($O182/INDEX('Parametri Modello'!$E$57:$E$60,MATCH($B182,'Parametri Modello'!$A$57:$A$60,0)))*(INDEX('Parametri Modello'!$D$57:$D$60,MATCH($B182,'Parametri Modello'!$A$57:$A$60,0))*(INDEX('Parametri Modello'!$B$50:$B$53,MATCH($B182,'Parametri Modello'!$A$50:$A$53,0))*'Parametri Modello'!$B$44))),IF(INDEX('Parametri Modello'!$F$57:$F$60,MATCH($B182,'Parametri Modello'!$A$57:$A$60,0))=0,0,($O182/INDEX('Parametri Modello'!$F$57:$F$60,MATCH($B182,'Parametri Modello'!$A$57:$A$60,0)))*((1-INDEX('Parametri Modello'!$D$57:$D$60,MATCH($B182,'Parametri Modello'!$A$57:$A$60,0)))*(INDEX('Parametri Modello'!$B$50:$B$53,MATCH($B182,'Parametri Modello'!$A$50:$A$53,0))*'Parametri Modello'!$B$44))))*(1+IF(IF($B182="D",'Info Lega'!$B$25,IF($B182="C",'Info Lega'!$B$26,"No"))="Si",'Parametri Modello'!$B$5,0))*(1+MAX(-0.25,MIN(0.25,IF(OR($T182="",$I182="",$I182=0,INDEX('Parametri Modello'!$B$19:$B$22,MATCH($B182,'Parametri Modello'!$A$19:$A$22,0))="",INDEX('Parametri Modello'!$B$19:$B$22,MATCH($B182,'Parametri Modello'!$A$19:$A$22,0))=0),0,(($T182-INDEX('Parametri Modello'!$B$19:$B$22,MATCH($B182,'Parametri Modello'!$A$19:$A$22,0)))/INDEX('Parametri Modello'!$B$19:$B$22,MATCH($B182,'Parametri Modello'!$A$19:$A$22,0)))*'Parametri Modello'!$B$9))))*(1+IF('Parametri Modello'!$B$27="Si",MAX(-'Parametri Modello'!$B$28,MIN('Parametri Modello'!$B$28*1.5,IF(OR(INDEX('Parametri Modello'!$F$32:$F$35,MATCH($B182,'Parametri Modello'!$A$32:$A$35,0))="",INDEX('Parametri Modello'!$F$32:$F$35,MATCH($B182,'Parametri Modello'!$A$32:$A$35,0))=0),0,(1/INDEX('Parametri Modello'!$F$32:$F$35,MATCH($B182,'Parametri Modello'!$A$32:$A$35,0))-1)*'Parametri Modello'!$B$28))),0)))*(1-INDEX('Parametri Modello'!$B$12:$B$15,MATCH($B182,'Parametri Modello'!$A$12:$A$15,0)))),0),"")</f>
        <v>2</v>
      </c>
      <c r="H182" s="27" t="n">
        <f aca="false">IFERROR(ROUND((IF($V182&lt;=INDEX('Parametri Modello'!$C$57:$C$60,MATCH($B182,'Parametri Modello'!$A$57:$A$60,0)),IF(INDEX('Parametri Modello'!$E$57:$E$60,MATCH($B182,'Parametri Modello'!$A$57:$A$60,0))=0,0,($O182/INDEX('Parametri Modello'!$E$57:$E$60,MATCH($B182,'Parametri Modello'!$A$57:$A$60,0)))*(INDEX('Parametri Modello'!$D$57:$D$60,MATCH($B182,'Parametri Modello'!$A$57:$A$60,0))*(INDEX('Parametri Modello'!$B$50:$B$53,MATCH($B182,'Parametri Modello'!$A$50:$A$53,0))*'Parametri Modello'!$B$44))),IF(INDEX('Parametri Modello'!$F$57:$F$60,MATCH($B182,'Parametri Modello'!$A$57:$A$60,0))=0,0,($O182/INDEX('Parametri Modello'!$F$57:$F$60,MATCH($B182,'Parametri Modello'!$A$57:$A$60,0)))*((1-INDEX('Parametri Modello'!$D$57:$D$60,MATCH($B182,'Parametri Modello'!$A$57:$A$60,0)))*(INDEX('Parametri Modello'!$B$50:$B$53,MATCH($B182,'Parametri Modello'!$A$50:$A$53,0))*'Parametri Modello'!$B$44))))*(1+IF(IF($B182="D",'Info Lega'!$B$25,IF($B182="C",'Info Lega'!$B$26,"No"))="Si",'Parametri Modello'!$B$5,0))*(1+MAX(-0.25,MIN(0.25,IF(OR($T182="",$I182="",$I182=0,INDEX('Parametri Modello'!$B$19:$B$22,MATCH($B182,'Parametri Modello'!$A$19:$A$22,0))="",INDEX('Parametri Modello'!$B$19:$B$22,MATCH($B182,'Parametri Modello'!$A$19:$A$22,0))=0),0,(($T182-INDEX('Parametri Modello'!$B$19:$B$22,MATCH($B182,'Parametri Modello'!$A$19:$A$22,0)))/INDEX('Parametri Modello'!$B$19:$B$22,MATCH($B182,'Parametri Modello'!$A$19:$A$22,0)))*'Parametri Modello'!$B$9))))*(1+IF('Parametri Modello'!$B$27="Si",MAX(-'Parametri Modello'!$B$28,MIN('Parametri Modello'!$B$28*1.5,IF(OR(INDEX('Parametri Modello'!$F$32:$F$35,MATCH($B182,'Parametri Modello'!$A$32:$A$35,0))="",INDEX('Parametri Modello'!$F$32:$F$35,MATCH($B182,'Parametri Modello'!$A$32:$A$35,0))=0),0,(1/INDEX('Parametri Modello'!$F$32:$F$35,MATCH($B182,'Parametri Modello'!$A$32:$A$35,0))-1)*'Parametri Modello'!$B$28))),0)))*(1+INDEX('Parametri Modello'!$B$12:$B$15,MATCH($B182,'Parametri Modello'!$A$12:$A$15,0))),0),"")</f>
        <v>4</v>
      </c>
      <c r="I182" s="26" t="n">
        <f aca="false">IFERROR(INDEX('Input Statistiche 2025_26'!$F$3:$F$665,MATCH($A182,'Input Statistiche 2025_26'!$A$3:$A$665,0)),"")</f>
        <v>32</v>
      </c>
      <c r="J182" s="26" t="n">
        <f aca="false">IFERROR(IF($I182="","",MAX(0,38-$I182)),"")</f>
        <v>6</v>
      </c>
      <c r="K182" s="26" t="n">
        <f aca="false">IFERROR(INDEX('Input Statistiche 2025_26'!$I$3:$I$665,MATCH($A182,'Input Statistiche 2025_26'!$A$3:$A$665,0)),"")</f>
        <v>0</v>
      </c>
      <c r="L182" s="26" t="n">
        <f aca="false">IFERROR(INDEX('Input Statistiche 2025_26'!$O$3:$O$665,MATCH($A182,'Input Statistiche 2025_26'!$A$3:$A$665,0)),"")</f>
        <v>1</v>
      </c>
      <c r="M182" s="28"/>
      <c r="N182" s="27" t="n">
        <f aca="false">IFERROR(INDEX('Input Giocatori 2026_27'!$E$3:$E$493,MATCH($A182,'Input Giocatori 2026_27'!$A$3:$A$493,0)),"")</f>
        <v>7</v>
      </c>
      <c r="O182" s="27" t="n">
        <f aca="false">IFERROR(INDEX('Input Giocatori 2026_27'!$G$3:$G$493,MATCH($A182,'Input Giocatori 2026_27'!$A$3:$A$493,0)),"")</f>
        <v>18</v>
      </c>
      <c r="P182" s="26" t="str">
        <f aca="false">IFERROR(IF($O182="","",IF((1-(COUNTIFS($B$2:$B$492,$B182,$O$2:$O$492,"&gt;"&amp;$O182)+1-1)/COUNTIF($B$2:$B$492,$B182))&gt;=0.85,"Top",IF((1-(COUNTIFS($B$2:$B$492,$B182,$O$2:$O$492,"&gt;"&amp;$O182)+1-1)/COUNTIF($B$2:$B$492,$B182))&gt;=0.6,"Buono",IF((1-(COUNTIFS($B$2:$B$492,$B182,$O$2:$O$492,"&gt;"&amp;$O182)+1-1)/COUNTIF($B$2:$B$492,$B182))&gt;=0.3,"Nella Media","Scommessa/Riserva")))),"")</f>
        <v>Buono</v>
      </c>
      <c r="Q182" s="29" t="n">
        <f aca="false">IF($D182="",COUNTIF($D$2:$D182,""),"")</f>
        <v>181</v>
      </c>
      <c r="R182" s="29" t="str">
        <f aca="false">IF($D182='Info Lega'!$B$28,COUNTIFS($D$2:$D182,'Info Lega'!$B$28),"")</f>
        <v/>
      </c>
      <c r="S182" s="30" t="n">
        <f aca="false">IFERROR(INDEX('Input Statistiche 2025_26'!$G$3:$G$665,MATCH($A182,'Input Statistiche 2025_26'!$A$3:$A$665,0)),"")</f>
        <v>5.89</v>
      </c>
      <c r="T182" s="30" t="n">
        <f aca="false">IFERROR(INDEX('Input Statistiche 2025_26'!$H$3:$H$665,MATCH($A182,'Input Statistiche 2025_26'!$A$3:$A$665,0)),"")</f>
        <v>5.88</v>
      </c>
      <c r="U182" s="26" t="str">
        <f aca="false">IF(OR('La Mia Rosa'!$O$12="",$D182&lt;&gt;""),"",IF($F182&lt;='La Mia Rosa'!$O$12*'Parametri Modello'!$B$24,"OK",IF($F182&lt;='La Mia Rosa'!$O$12*'Parametri Modello'!$B$25,"Attenzione","Rischio Alto")))</f>
        <v>OK</v>
      </c>
      <c r="V182" s="26" t="n">
        <f aca="false">IFERROR(COUNTIFS($B$2:$B$492,$B182,$O$2:$O$492,"&gt;"&amp;$O182)+1,"")</f>
        <v>45</v>
      </c>
      <c r="W182" s="21" t="n">
        <f aca="false">'Info Lega'!$B$4-SUMIFS($M$2:$M$492,$D$2:$D$492,'Info Lega'!$B$28)</f>
        <v>1000</v>
      </c>
      <c r="X182" s="21" t="n">
        <f aca="false">('Info Lega'!$B$5-COUNTIFS($D$2:$D$492,'Info Lega'!$B$28,$B$2:$B$492,"P"))+('Info Lega'!$B$6-COUNTIFS($D$2:$D$492,'Info Lega'!$B$28,$B$2:$B$492,"D"))+('Info Lega'!$B$7-COUNTIFS($D$2:$D$492,'Info Lega'!$B$28,$B$2:$B$492,"C"))+('Info Lega'!$B$8-COUNTIFS($D$2:$D$492,'Info Lega'!$B$28,$B$2:$B$492,"A"))</f>
        <v>25</v>
      </c>
      <c r="Y182" s="21" t="n">
        <f aca="false">X182*'Parametri Modello'!$B$30</f>
        <v>25</v>
      </c>
      <c r="Z182" s="21" t="n">
        <f aca="false">MAX(0,W182-Y182)</f>
        <v>975</v>
      </c>
      <c r="AA182" s="21" t="n">
        <f aca="false">MIN(F182,Z182)</f>
        <v>3</v>
      </c>
      <c r="AB182" s="21"/>
      <c r="AC182" s="21" t="str">
        <f aca="false">IF(AB182="","",IF(AB182&gt;AA182,"PASS",IF(AB182&lt;=AA182*0.85,"BID","ATTENZIONE")))</f>
        <v/>
      </c>
      <c r="AD182" s="31" t="n">
        <f aca="false">IF(I182="","",ROUND(100*(1-EXP(-I182/30)),0))</f>
        <v>66</v>
      </c>
      <c r="AE182" s="7" t="str">
        <f aca="false">IFERROR(INDEX('Stato Asta'!$G$9:$G$12,MATCH($B182,'Stato Asta'!$A$9:$A$12,0)),"")</f>
        <v>🟡 Attesa rischiosa</v>
      </c>
    </row>
    <row r="183" customFormat="false" ht="14.25" hidden="false" customHeight="true" outlineLevel="0" collapsed="false">
      <c r="A183" s="21" t="n">
        <v>6642</v>
      </c>
      <c r="B183" s="21" t="s">
        <v>44</v>
      </c>
      <c r="C183" s="21" t="s">
        <v>239</v>
      </c>
      <c r="E183" s="26" t="str">
        <f aca="false">IF(COUNTIF('Info Strategia'!$D$2:$D$51,$C183)&gt;0,"SI","NO")</f>
        <v>NO</v>
      </c>
      <c r="F183" s="27" t="n">
        <f aca="false">IFERROR(ROUND(($G183+($H183-$G183)*'Info Strategia'!$B$6)*(1+IF($E183="SI",'Parametri Modello'!$B$7*'Info Strategia'!$B$6,0)),0),"")</f>
        <v>3</v>
      </c>
      <c r="G183" s="27" t="n">
        <f aca="false">IFERROR(ROUND(MAX(1,(IF($V183&lt;=INDEX('Parametri Modello'!$C$57:$C$60,MATCH($B183,'Parametri Modello'!$A$57:$A$60,0)),IF(INDEX('Parametri Modello'!$E$57:$E$60,MATCH($B183,'Parametri Modello'!$A$57:$A$60,0))=0,0,($O183/INDEX('Parametri Modello'!$E$57:$E$60,MATCH($B183,'Parametri Modello'!$A$57:$A$60,0)))*(INDEX('Parametri Modello'!$D$57:$D$60,MATCH($B183,'Parametri Modello'!$A$57:$A$60,0))*(INDEX('Parametri Modello'!$B$50:$B$53,MATCH($B183,'Parametri Modello'!$A$50:$A$53,0))*'Parametri Modello'!$B$44))),IF(INDEX('Parametri Modello'!$F$57:$F$60,MATCH($B183,'Parametri Modello'!$A$57:$A$60,0))=0,0,($O183/INDEX('Parametri Modello'!$F$57:$F$60,MATCH($B183,'Parametri Modello'!$A$57:$A$60,0)))*((1-INDEX('Parametri Modello'!$D$57:$D$60,MATCH($B183,'Parametri Modello'!$A$57:$A$60,0)))*(INDEX('Parametri Modello'!$B$50:$B$53,MATCH($B183,'Parametri Modello'!$A$50:$A$53,0))*'Parametri Modello'!$B$44))))*(1+IF(IF($B183="D",'Info Lega'!$B$25,IF($B183="C",'Info Lega'!$B$26,"No"))="Si",'Parametri Modello'!$B$5,0))*(1+MAX(-0.25,MIN(0.25,IF(OR($T183="",$I183="",$I183=0,INDEX('Parametri Modello'!$B$19:$B$22,MATCH($B183,'Parametri Modello'!$A$19:$A$22,0))="",INDEX('Parametri Modello'!$B$19:$B$22,MATCH($B183,'Parametri Modello'!$A$19:$A$22,0))=0),0,(($T183-INDEX('Parametri Modello'!$B$19:$B$22,MATCH($B183,'Parametri Modello'!$A$19:$A$22,0)))/INDEX('Parametri Modello'!$B$19:$B$22,MATCH($B183,'Parametri Modello'!$A$19:$A$22,0)))*'Parametri Modello'!$B$9))))*(1+IF('Parametri Modello'!$B$27="Si",MAX(-'Parametri Modello'!$B$28,MIN('Parametri Modello'!$B$28*1.5,IF(OR(INDEX('Parametri Modello'!$F$32:$F$35,MATCH($B183,'Parametri Modello'!$A$32:$A$35,0))="",INDEX('Parametri Modello'!$F$32:$F$35,MATCH($B183,'Parametri Modello'!$A$32:$A$35,0))=0),0,(1/INDEX('Parametri Modello'!$F$32:$F$35,MATCH($B183,'Parametri Modello'!$A$32:$A$35,0))-1)*'Parametri Modello'!$B$28))),0)))*(1-INDEX('Parametri Modello'!$B$12:$B$15,MATCH($B183,'Parametri Modello'!$A$12:$A$15,0)))),0),"")</f>
        <v>2</v>
      </c>
      <c r="H183" s="27" t="n">
        <f aca="false">IFERROR(ROUND((IF($V183&lt;=INDEX('Parametri Modello'!$C$57:$C$60,MATCH($B183,'Parametri Modello'!$A$57:$A$60,0)),IF(INDEX('Parametri Modello'!$E$57:$E$60,MATCH($B183,'Parametri Modello'!$A$57:$A$60,0))=0,0,($O183/INDEX('Parametri Modello'!$E$57:$E$60,MATCH($B183,'Parametri Modello'!$A$57:$A$60,0)))*(INDEX('Parametri Modello'!$D$57:$D$60,MATCH($B183,'Parametri Modello'!$A$57:$A$60,0))*(INDEX('Parametri Modello'!$B$50:$B$53,MATCH($B183,'Parametri Modello'!$A$50:$A$53,0))*'Parametri Modello'!$B$44))),IF(INDEX('Parametri Modello'!$F$57:$F$60,MATCH($B183,'Parametri Modello'!$A$57:$A$60,0))=0,0,($O183/INDEX('Parametri Modello'!$F$57:$F$60,MATCH($B183,'Parametri Modello'!$A$57:$A$60,0)))*((1-INDEX('Parametri Modello'!$D$57:$D$60,MATCH($B183,'Parametri Modello'!$A$57:$A$60,0)))*(INDEX('Parametri Modello'!$B$50:$B$53,MATCH($B183,'Parametri Modello'!$A$50:$A$53,0))*'Parametri Modello'!$B$44))))*(1+IF(IF($B183="D",'Info Lega'!$B$25,IF($B183="C",'Info Lega'!$B$26,"No"))="Si",'Parametri Modello'!$B$5,0))*(1+MAX(-0.25,MIN(0.25,IF(OR($T183="",$I183="",$I183=0,INDEX('Parametri Modello'!$B$19:$B$22,MATCH($B183,'Parametri Modello'!$A$19:$A$22,0))="",INDEX('Parametri Modello'!$B$19:$B$22,MATCH($B183,'Parametri Modello'!$A$19:$A$22,0))=0),0,(($T183-INDEX('Parametri Modello'!$B$19:$B$22,MATCH($B183,'Parametri Modello'!$A$19:$A$22,0)))/INDEX('Parametri Modello'!$B$19:$B$22,MATCH($B183,'Parametri Modello'!$A$19:$A$22,0)))*'Parametri Modello'!$B$9))))*(1+IF('Parametri Modello'!$B$27="Si",MAX(-'Parametri Modello'!$B$28,MIN('Parametri Modello'!$B$28*1.5,IF(OR(INDEX('Parametri Modello'!$F$32:$F$35,MATCH($B183,'Parametri Modello'!$A$32:$A$35,0))="",INDEX('Parametri Modello'!$F$32:$F$35,MATCH($B183,'Parametri Modello'!$A$32:$A$35,0))=0),0,(1/INDEX('Parametri Modello'!$F$32:$F$35,MATCH($B183,'Parametri Modello'!$A$32:$A$35,0))-1)*'Parametri Modello'!$B$28))),0)))*(1+INDEX('Parametri Modello'!$B$12:$B$15,MATCH($B183,'Parametri Modello'!$A$12:$A$15,0))),0),"")</f>
        <v>4</v>
      </c>
      <c r="I183" s="26" t="n">
        <f aca="false">IFERROR(INDEX('Input Statistiche 2025_26'!$F$3:$F$665,MATCH($A183,'Input Statistiche 2025_26'!$A$3:$A$665,0)),"")</f>
        <v>35</v>
      </c>
      <c r="J183" s="26" t="n">
        <f aca="false">IFERROR(IF($I183="","",MAX(0,38-$I183)),"")</f>
        <v>3</v>
      </c>
      <c r="K183" s="26" t="n">
        <f aca="false">IFERROR(INDEX('Input Statistiche 2025_26'!$I$3:$I$665,MATCH($A183,'Input Statistiche 2025_26'!$A$3:$A$665,0)),"")</f>
        <v>1</v>
      </c>
      <c r="L183" s="26" t="n">
        <f aca="false">IFERROR(INDEX('Input Statistiche 2025_26'!$O$3:$O$665,MATCH($A183,'Input Statistiche 2025_26'!$A$3:$A$665,0)),"")</f>
        <v>1</v>
      </c>
      <c r="M183" s="28"/>
      <c r="N183" s="27" t="n">
        <f aca="false">IFERROR(INDEX('Input Giocatori 2026_27'!$E$3:$E$493,MATCH($A183,'Input Giocatori 2026_27'!$A$3:$A$493,0)),"")</f>
        <v>7</v>
      </c>
      <c r="O183" s="27" t="n">
        <f aca="false">IFERROR(INDEX('Input Giocatori 2026_27'!$G$3:$G$493,MATCH($A183,'Input Giocatori 2026_27'!$A$3:$A$493,0)),"")</f>
        <v>18</v>
      </c>
      <c r="P183" s="26" t="str">
        <f aca="false">IFERROR(IF($O183="","",IF((1-(COUNTIFS($B$2:$B$492,$B183,$O$2:$O$492,"&gt;"&amp;$O183)+1-1)/COUNTIF($B$2:$B$492,$B183))&gt;=0.85,"Top",IF((1-(COUNTIFS($B$2:$B$492,$B183,$O$2:$O$492,"&gt;"&amp;$O183)+1-1)/COUNTIF($B$2:$B$492,$B183))&gt;=0.6,"Buono",IF((1-(COUNTIFS($B$2:$B$492,$B183,$O$2:$O$492,"&gt;"&amp;$O183)+1-1)/COUNTIF($B$2:$B$492,$B183))&gt;=0.3,"Nella Media","Scommessa/Riserva")))),"")</f>
        <v>Buono</v>
      </c>
      <c r="Q183" s="29" t="n">
        <f aca="false">IF($D183="",COUNTIF($D$2:$D183,""),"")</f>
        <v>182</v>
      </c>
      <c r="R183" s="29" t="str">
        <f aca="false">IF($D183='Info Lega'!$B$28,COUNTIFS($D$2:$D183,'Info Lega'!$B$28),"")</f>
        <v/>
      </c>
      <c r="S183" s="30" t="n">
        <f aca="false">IFERROR(INDEX('Input Statistiche 2025_26'!$G$3:$G$665,MATCH($A183,'Input Statistiche 2025_26'!$A$3:$A$665,0)),"")</f>
        <v>5.84</v>
      </c>
      <c r="T183" s="30" t="n">
        <f aca="false">IFERROR(INDEX('Input Statistiche 2025_26'!$H$3:$H$665,MATCH($A183,'Input Statistiche 2025_26'!$A$3:$A$665,0)),"")</f>
        <v>5.91</v>
      </c>
      <c r="U183" s="26" t="str">
        <f aca="false">IF(OR('La Mia Rosa'!$O$12="",$D183&lt;&gt;""),"",IF($F183&lt;='La Mia Rosa'!$O$12*'Parametri Modello'!$B$24,"OK",IF($F183&lt;='La Mia Rosa'!$O$12*'Parametri Modello'!$B$25,"Attenzione","Rischio Alto")))</f>
        <v>OK</v>
      </c>
      <c r="V183" s="26" t="n">
        <f aca="false">IFERROR(COUNTIFS($B$2:$B$492,$B183,$O$2:$O$492,"&gt;"&amp;$O183)+1,"")</f>
        <v>45</v>
      </c>
      <c r="W183" s="21" t="n">
        <f aca="false">'Info Lega'!$B$4-SUMIFS($M$2:$M$492,$D$2:$D$492,'Info Lega'!$B$28)</f>
        <v>1000</v>
      </c>
      <c r="X183" s="21" t="n">
        <f aca="false">('Info Lega'!$B$5-COUNTIFS($D$2:$D$492,'Info Lega'!$B$28,$B$2:$B$492,"P"))+('Info Lega'!$B$6-COUNTIFS($D$2:$D$492,'Info Lega'!$B$28,$B$2:$B$492,"D"))+('Info Lega'!$B$7-COUNTIFS($D$2:$D$492,'Info Lega'!$B$28,$B$2:$B$492,"C"))+('Info Lega'!$B$8-COUNTIFS($D$2:$D$492,'Info Lega'!$B$28,$B$2:$B$492,"A"))</f>
        <v>25</v>
      </c>
      <c r="Y183" s="21" t="n">
        <f aca="false">X183*'Parametri Modello'!$B$30</f>
        <v>25</v>
      </c>
      <c r="Z183" s="21" t="n">
        <f aca="false">MAX(0,W183-Y183)</f>
        <v>975</v>
      </c>
      <c r="AA183" s="21" t="n">
        <f aca="false">MIN(F183,Z183)</f>
        <v>3</v>
      </c>
      <c r="AB183" s="21"/>
      <c r="AC183" s="21" t="str">
        <f aca="false">IF(AB183="","",IF(AB183&gt;AA183,"PASS",IF(AB183&lt;=AA183*0.85,"BID","ATTENZIONE")))</f>
        <v/>
      </c>
      <c r="AD183" s="31" t="n">
        <f aca="false">IF(I183="","",ROUND(100*(1-EXP(-I183/30)),0))</f>
        <v>69</v>
      </c>
      <c r="AE183" s="7" t="str">
        <f aca="false">IFERROR(INDEX('Stato Asta'!$G$9:$G$12,MATCH($B183,'Stato Asta'!$A$9:$A$12,0)),"")</f>
        <v>🟡 Attesa rischiosa</v>
      </c>
    </row>
    <row r="184" customFormat="false" ht="14.25" hidden="false" customHeight="true" outlineLevel="0" collapsed="false">
      <c r="A184" s="21" t="n">
        <v>5010</v>
      </c>
      <c r="B184" s="21" t="s">
        <v>44</v>
      </c>
      <c r="C184" s="21" t="s">
        <v>240</v>
      </c>
      <c r="E184" s="26" t="str">
        <f aca="false">IF(COUNTIF('Info Strategia'!$D$2:$D$51,$C184)&gt;0,"SI","NO")</f>
        <v>NO</v>
      </c>
      <c r="F184" s="27" t="n">
        <f aca="false">IFERROR(ROUND(($G184+($H184-$G184)*'Info Strategia'!$B$6)*(1+IF($E184="SI",'Parametri Modello'!$B$7*'Info Strategia'!$B$6,0)),0),"")</f>
        <v>3</v>
      </c>
      <c r="G184" s="27" t="n">
        <f aca="false">IFERROR(ROUND(MAX(1,(IF($V184&lt;=INDEX('Parametri Modello'!$C$57:$C$60,MATCH($B184,'Parametri Modello'!$A$57:$A$60,0)),IF(INDEX('Parametri Modello'!$E$57:$E$60,MATCH($B184,'Parametri Modello'!$A$57:$A$60,0))=0,0,($O184/INDEX('Parametri Modello'!$E$57:$E$60,MATCH($B184,'Parametri Modello'!$A$57:$A$60,0)))*(INDEX('Parametri Modello'!$D$57:$D$60,MATCH($B184,'Parametri Modello'!$A$57:$A$60,0))*(INDEX('Parametri Modello'!$B$50:$B$53,MATCH($B184,'Parametri Modello'!$A$50:$A$53,0))*'Parametri Modello'!$B$44))),IF(INDEX('Parametri Modello'!$F$57:$F$60,MATCH($B184,'Parametri Modello'!$A$57:$A$60,0))=0,0,($O184/INDEX('Parametri Modello'!$F$57:$F$60,MATCH($B184,'Parametri Modello'!$A$57:$A$60,0)))*((1-INDEX('Parametri Modello'!$D$57:$D$60,MATCH($B184,'Parametri Modello'!$A$57:$A$60,0)))*(INDEX('Parametri Modello'!$B$50:$B$53,MATCH($B184,'Parametri Modello'!$A$50:$A$53,0))*'Parametri Modello'!$B$44))))*(1+IF(IF($B184="D",'Info Lega'!$B$25,IF($B184="C",'Info Lega'!$B$26,"No"))="Si",'Parametri Modello'!$B$5,0))*(1+MAX(-0.25,MIN(0.25,IF(OR($T184="",$I184="",$I184=0,INDEX('Parametri Modello'!$B$19:$B$22,MATCH($B184,'Parametri Modello'!$A$19:$A$22,0))="",INDEX('Parametri Modello'!$B$19:$B$22,MATCH($B184,'Parametri Modello'!$A$19:$A$22,0))=0),0,(($T184-INDEX('Parametri Modello'!$B$19:$B$22,MATCH($B184,'Parametri Modello'!$A$19:$A$22,0)))/INDEX('Parametri Modello'!$B$19:$B$22,MATCH($B184,'Parametri Modello'!$A$19:$A$22,0)))*'Parametri Modello'!$B$9))))*(1+IF('Parametri Modello'!$B$27="Si",MAX(-'Parametri Modello'!$B$28,MIN('Parametri Modello'!$B$28*1.5,IF(OR(INDEX('Parametri Modello'!$F$32:$F$35,MATCH($B184,'Parametri Modello'!$A$32:$A$35,0))="",INDEX('Parametri Modello'!$F$32:$F$35,MATCH($B184,'Parametri Modello'!$A$32:$A$35,0))=0),0,(1/INDEX('Parametri Modello'!$F$32:$F$35,MATCH($B184,'Parametri Modello'!$A$32:$A$35,0))-1)*'Parametri Modello'!$B$28))),0)))*(1-INDEX('Parametri Modello'!$B$12:$B$15,MATCH($B184,'Parametri Modello'!$A$12:$A$15,0)))),0),"")</f>
        <v>2</v>
      </c>
      <c r="H184" s="27" t="n">
        <f aca="false">IFERROR(ROUND((IF($V184&lt;=INDEX('Parametri Modello'!$C$57:$C$60,MATCH($B184,'Parametri Modello'!$A$57:$A$60,0)),IF(INDEX('Parametri Modello'!$E$57:$E$60,MATCH($B184,'Parametri Modello'!$A$57:$A$60,0))=0,0,($O184/INDEX('Parametri Modello'!$E$57:$E$60,MATCH($B184,'Parametri Modello'!$A$57:$A$60,0)))*(INDEX('Parametri Modello'!$D$57:$D$60,MATCH($B184,'Parametri Modello'!$A$57:$A$60,0))*(INDEX('Parametri Modello'!$B$50:$B$53,MATCH($B184,'Parametri Modello'!$A$50:$A$53,0))*'Parametri Modello'!$B$44))),IF(INDEX('Parametri Modello'!$F$57:$F$60,MATCH($B184,'Parametri Modello'!$A$57:$A$60,0))=0,0,($O184/INDEX('Parametri Modello'!$F$57:$F$60,MATCH($B184,'Parametri Modello'!$A$57:$A$60,0)))*((1-INDEX('Parametri Modello'!$D$57:$D$60,MATCH($B184,'Parametri Modello'!$A$57:$A$60,0)))*(INDEX('Parametri Modello'!$B$50:$B$53,MATCH($B184,'Parametri Modello'!$A$50:$A$53,0))*'Parametri Modello'!$B$44))))*(1+IF(IF($B184="D",'Info Lega'!$B$25,IF($B184="C",'Info Lega'!$B$26,"No"))="Si",'Parametri Modello'!$B$5,0))*(1+MAX(-0.25,MIN(0.25,IF(OR($T184="",$I184="",$I184=0,INDEX('Parametri Modello'!$B$19:$B$22,MATCH($B184,'Parametri Modello'!$A$19:$A$22,0))="",INDEX('Parametri Modello'!$B$19:$B$22,MATCH($B184,'Parametri Modello'!$A$19:$A$22,0))=0),0,(($T184-INDEX('Parametri Modello'!$B$19:$B$22,MATCH($B184,'Parametri Modello'!$A$19:$A$22,0)))/INDEX('Parametri Modello'!$B$19:$B$22,MATCH($B184,'Parametri Modello'!$A$19:$A$22,0)))*'Parametri Modello'!$B$9))))*(1+IF('Parametri Modello'!$B$27="Si",MAX(-'Parametri Modello'!$B$28,MIN('Parametri Modello'!$B$28*1.5,IF(OR(INDEX('Parametri Modello'!$F$32:$F$35,MATCH($B184,'Parametri Modello'!$A$32:$A$35,0))="",INDEX('Parametri Modello'!$F$32:$F$35,MATCH($B184,'Parametri Modello'!$A$32:$A$35,0))=0),0,(1/INDEX('Parametri Modello'!$F$32:$F$35,MATCH($B184,'Parametri Modello'!$A$32:$A$35,0))-1)*'Parametri Modello'!$B$28))),0)))*(1+INDEX('Parametri Modello'!$B$12:$B$15,MATCH($B184,'Parametri Modello'!$A$12:$A$15,0))),0),"")</f>
        <v>4</v>
      </c>
      <c r="I184" s="26" t="n">
        <f aca="false">IFERROR(INDEX('Input Statistiche 2025_26'!$F$3:$F$665,MATCH($A184,'Input Statistiche 2025_26'!$A$3:$A$665,0)),"")</f>
        <v>24</v>
      </c>
      <c r="J184" s="26" t="n">
        <f aca="false">IFERROR(IF($I184="","",MAX(0,38-$I184)),"")</f>
        <v>14</v>
      </c>
      <c r="K184" s="26" t="n">
        <f aca="false">IFERROR(INDEX('Input Statistiche 2025_26'!$I$3:$I$665,MATCH($A184,'Input Statistiche 2025_26'!$A$3:$A$665,0)),"")</f>
        <v>0</v>
      </c>
      <c r="L184" s="26" t="n">
        <f aca="false">IFERROR(INDEX('Input Statistiche 2025_26'!$O$3:$O$665,MATCH($A184,'Input Statistiche 2025_26'!$A$3:$A$665,0)),"")</f>
        <v>2</v>
      </c>
      <c r="M184" s="28"/>
      <c r="N184" s="27" t="n">
        <f aca="false">IFERROR(INDEX('Input Giocatori 2026_27'!$E$3:$E$493,MATCH($A184,'Input Giocatori 2026_27'!$A$3:$A$493,0)),"")</f>
        <v>7</v>
      </c>
      <c r="O184" s="27" t="n">
        <f aca="false">IFERROR(INDEX('Input Giocatori 2026_27'!$G$3:$G$493,MATCH($A184,'Input Giocatori 2026_27'!$A$3:$A$493,0)),"")</f>
        <v>18</v>
      </c>
      <c r="P184" s="26" t="str">
        <f aca="false">IFERROR(IF($O184="","",IF((1-(COUNTIFS($B$2:$B$492,$B184,$O$2:$O$492,"&gt;"&amp;$O184)+1-1)/COUNTIF($B$2:$B$492,$B184))&gt;=0.85,"Top",IF((1-(COUNTIFS($B$2:$B$492,$B184,$O$2:$O$492,"&gt;"&amp;$O184)+1-1)/COUNTIF($B$2:$B$492,$B184))&gt;=0.6,"Buono",IF((1-(COUNTIFS($B$2:$B$492,$B184,$O$2:$O$492,"&gt;"&amp;$O184)+1-1)/COUNTIF($B$2:$B$492,$B184))&gt;=0.3,"Nella Media","Scommessa/Riserva")))),"")</f>
        <v>Buono</v>
      </c>
      <c r="Q184" s="29" t="n">
        <f aca="false">IF($D184="",COUNTIF($D$2:$D184,""),"")</f>
        <v>183</v>
      </c>
      <c r="R184" s="29" t="str">
        <f aca="false">IF($D184='Info Lega'!$B$28,COUNTIFS($D$2:$D184,'Info Lega'!$B$28),"")</f>
        <v/>
      </c>
      <c r="S184" s="30" t="n">
        <f aca="false">IFERROR(INDEX('Input Statistiche 2025_26'!$G$3:$G$665,MATCH($A184,'Input Statistiche 2025_26'!$A$3:$A$665,0)),"")</f>
        <v>5.92</v>
      </c>
      <c r="T184" s="30" t="n">
        <f aca="false">IFERROR(INDEX('Input Statistiche 2025_26'!$H$3:$H$665,MATCH($A184,'Input Statistiche 2025_26'!$A$3:$A$665,0)),"")</f>
        <v>5.9</v>
      </c>
      <c r="U184" s="26" t="str">
        <f aca="false">IF(OR('La Mia Rosa'!$O$12="",$D184&lt;&gt;""),"",IF($F184&lt;='La Mia Rosa'!$O$12*'Parametri Modello'!$B$24,"OK",IF($F184&lt;='La Mia Rosa'!$O$12*'Parametri Modello'!$B$25,"Attenzione","Rischio Alto")))</f>
        <v>OK</v>
      </c>
      <c r="V184" s="26" t="n">
        <f aca="false">IFERROR(COUNTIFS($B$2:$B$492,$B184,$O$2:$O$492,"&gt;"&amp;$O184)+1,"")</f>
        <v>45</v>
      </c>
      <c r="W184" s="21" t="n">
        <f aca="false">'Info Lega'!$B$4-SUMIFS($M$2:$M$492,$D$2:$D$492,'Info Lega'!$B$28)</f>
        <v>1000</v>
      </c>
      <c r="X184" s="21" t="n">
        <f aca="false">('Info Lega'!$B$5-COUNTIFS($D$2:$D$492,'Info Lega'!$B$28,$B$2:$B$492,"P"))+('Info Lega'!$B$6-COUNTIFS($D$2:$D$492,'Info Lega'!$B$28,$B$2:$B$492,"D"))+('Info Lega'!$B$7-COUNTIFS($D$2:$D$492,'Info Lega'!$B$28,$B$2:$B$492,"C"))+('Info Lega'!$B$8-COUNTIFS($D$2:$D$492,'Info Lega'!$B$28,$B$2:$B$492,"A"))</f>
        <v>25</v>
      </c>
      <c r="Y184" s="21" t="n">
        <f aca="false">X184*'Parametri Modello'!$B$30</f>
        <v>25</v>
      </c>
      <c r="Z184" s="21" t="n">
        <f aca="false">MAX(0,W184-Y184)</f>
        <v>975</v>
      </c>
      <c r="AA184" s="21" t="n">
        <f aca="false">MIN(F184,Z184)</f>
        <v>3</v>
      </c>
      <c r="AB184" s="21"/>
      <c r="AC184" s="21" t="str">
        <f aca="false">IF(AB184="","",IF(AB184&gt;AA184,"PASS",IF(AB184&lt;=AA184*0.85,"BID","ATTENZIONE")))</f>
        <v/>
      </c>
      <c r="AD184" s="31" t="n">
        <f aca="false">IF(I184="","",ROUND(100*(1-EXP(-I184/30)),0))</f>
        <v>55</v>
      </c>
      <c r="AE184" s="7" t="str">
        <f aca="false">IFERROR(INDEX('Stato Asta'!$G$9:$G$12,MATCH($B184,'Stato Asta'!$A$9:$A$12,0)),"")</f>
        <v>🟡 Attesa rischiosa</v>
      </c>
    </row>
    <row r="185" customFormat="false" ht="14.25" hidden="false" customHeight="true" outlineLevel="0" collapsed="false">
      <c r="A185" s="21" t="n">
        <v>6867</v>
      </c>
      <c r="B185" s="21" t="s">
        <v>44</v>
      </c>
      <c r="C185" s="21" t="s">
        <v>247</v>
      </c>
      <c r="E185" s="26" t="str">
        <f aca="false">IF(COUNTIF('Info Strategia'!$D$2:$D$51,$C185)&gt;0,"SI","NO")</f>
        <v>NO</v>
      </c>
      <c r="F185" s="27" t="n">
        <f aca="false">IFERROR(ROUND(($G185+($H185-$G185)*'Info Strategia'!$B$6)*(1+IF($E185="SI",'Parametri Modello'!$B$7*'Info Strategia'!$B$6,0)),0),"")</f>
        <v>3</v>
      </c>
      <c r="G185" s="27" t="n">
        <f aca="false">IFERROR(ROUND(MAX(1,(IF($V185&lt;=INDEX('Parametri Modello'!$C$57:$C$60,MATCH($B185,'Parametri Modello'!$A$57:$A$60,0)),IF(INDEX('Parametri Modello'!$E$57:$E$60,MATCH($B185,'Parametri Modello'!$A$57:$A$60,0))=0,0,($O185/INDEX('Parametri Modello'!$E$57:$E$60,MATCH($B185,'Parametri Modello'!$A$57:$A$60,0)))*(INDEX('Parametri Modello'!$D$57:$D$60,MATCH($B185,'Parametri Modello'!$A$57:$A$60,0))*(INDEX('Parametri Modello'!$B$50:$B$53,MATCH($B185,'Parametri Modello'!$A$50:$A$53,0))*'Parametri Modello'!$B$44))),IF(INDEX('Parametri Modello'!$F$57:$F$60,MATCH($B185,'Parametri Modello'!$A$57:$A$60,0))=0,0,($O185/INDEX('Parametri Modello'!$F$57:$F$60,MATCH($B185,'Parametri Modello'!$A$57:$A$60,0)))*((1-INDEX('Parametri Modello'!$D$57:$D$60,MATCH($B185,'Parametri Modello'!$A$57:$A$60,0)))*(INDEX('Parametri Modello'!$B$50:$B$53,MATCH($B185,'Parametri Modello'!$A$50:$A$53,0))*'Parametri Modello'!$B$44))))*(1+IF(IF($B185="D",'Info Lega'!$B$25,IF($B185="C",'Info Lega'!$B$26,"No"))="Si",'Parametri Modello'!$B$5,0))*(1+MAX(-0.25,MIN(0.25,IF(OR($T185="",$I185="",$I185=0,INDEX('Parametri Modello'!$B$19:$B$22,MATCH($B185,'Parametri Modello'!$A$19:$A$22,0))="",INDEX('Parametri Modello'!$B$19:$B$22,MATCH($B185,'Parametri Modello'!$A$19:$A$22,0))=0),0,(($T185-INDEX('Parametri Modello'!$B$19:$B$22,MATCH($B185,'Parametri Modello'!$A$19:$A$22,0)))/INDEX('Parametri Modello'!$B$19:$B$22,MATCH($B185,'Parametri Modello'!$A$19:$A$22,0)))*'Parametri Modello'!$B$9))))*(1+IF('Parametri Modello'!$B$27="Si",MAX(-'Parametri Modello'!$B$28,MIN('Parametri Modello'!$B$28*1.5,IF(OR(INDEX('Parametri Modello'!$F$32:$F$35,MATCH($B185,'Parametri Modello'!$A$32:$A$35,0))="",INDEX('Parametri Modello'!$F$32:$F$35,MATCH($B185,'Parametri Modello'!$A$32:$A$35,0))=0),0,(1/INDEX('Parametri Modello'!$F$32:$F$35,MATCH($B185,'Parametri Modello'!$A$32:$A$35,0))-1)*'Parametri Modello'!$B$28))),0)))*(1-INDEX('Parametri Modello'!$B$12:$B$15,MATCH($B185,'Parametri Modello'!$A$12:$A$15,0)))),0),"")</f>
        <v>2</v>
      </c>
      <c r="H185" s="27" t="n">
        <f aca="false">IFERROR(ROUND((IF($V185&lt;=INDEX('Parametri Modello'!$C$57:$C$60,MATCH($B185,'Parametri Modello'!$A$57:$A$60,0)),IF(INDEX('Parametri Modello'!$E$57:$E$60,MATCH($B185,'Parametri Modello'!$A$57:$A$60,0))=0,0,($O185/INDEX('Parametri Modello'!$E$57:$E$60,MATCH($B185,'Parametri Modello'!$A$57:$A$60,0)))*(INDEX('Parametri Modello'!$D$57:$D$60,MATCH($B185,'Parametri Modello'!$A$57:$A$60,0))*(INDEX('Parametri Modello'!$B$50:$B$53,MATCH($B185,'Parametri Modello'!$A$50:$A$53,0))*'Parametri Modello'!$B$44))),IF(INDEX('Parametri Modello'!$F$57:$F$60,MATCH($B185,'Parametri Modello'!$A$57:$A$60,0))=0,0,($O185/INDEX('Parametri Modello'!$F$57:$F$60,MATCH($B185,'Parametri Modello'!$A$57:$A$60,0)))*((1-INDEX('Parametri Modello'!$D$57:$D$60,MATCH($B185,'Parametri Modello'!$A$57:$A$60,0)))*(INDEX('Parametri Modello'!$B$50:$B$53,MATCH($B185,'Parametri Modello'!$A$50:$A$53,0))*'Parametri Modello'!$B$44))))*(1+IF(IF($B185="D",'Info Lega'!$B$25,IF($B185="C",'Info Lega'!$B$26,"No"))="Si",'Parametri Modello'!$B$5,0))*(1+MAX(-0.25,MIN(0.25,IF(OR($T185="",$I185="",$I185=0,INDEX('Parametri Modello'!$B$19:$B$22,MATCH($B185,'Parametri Modello'!$A$19:$A$22,0))="",INDEX('Parametri Modello'!$B$19:$B$22,MATCH($B185,'Parametri Modello'!$A$19:$A$22,0))=0),0,(($T185-INDEX('Parametri Modello'!$B$19:$B$22,MATCH($B185,'Parametri Modello'!$A$19:$A$22,0)))/INDEX('Parametri Modello'!$B$19:$B$22,MATCH($B185,'Parametri Modello'!$A$19:$A$22,0)))*'Parametri Modello'!$B$9))))*(1+IF('Parametri Modello'!$B$27="Si",MAX(-'Parametri Modello'!$B$28,MIN('Parametri Modello'!$B$28*1.5,IF(OR(INDEX('Parametri Modello'!$F$32:$F$35,MATCH($B185,'Parametri Modello'!$A$32:$A$35,0))="",INDEX('Parametri Modello'!$F$32:$F$35,MATCH($B185,'Parametri Modello'!$A$32:$A$35,0))=0),0,(1/INDEX('Parametri Modello'!$F$32:$F$35,MATCH($B185,'Parametri Modello'!$A$32:$A$35,0))-1)*'Parametri Modello'!$B$28))),0)))*(1+INDEX('Parametri Modello'!$B$12:$B$15,MATCH($B185,'Parametri Modello'!$A$12:$A$15,0))),0),"")</f>
        <v>4</v>
      </c>
      <c r="I185" s="26" t="n">
        <f aca="false">IFERROR(INDEX('Input Statistiche 2025_26'!$F$3:$F$665,MATCH($A185,'Input Statistiche 2025_26'!$A$3:$A$665,0)),"")</f>
        <v>26</v>
      </c>
      <c r="J185" s="26" t="n">
        <f aca="false">IFERROR(IF($I185="","",MAX(0,38-$I185)),"")</f>
        <v>12</v>
      </c>
      <c r="K185" s="26" t="n">
        <f aca="false">IFERROR(INDEX('Input Statistiche 2025_26'!$I$3:$I$665,MATCH($A185,'Input Statistiche 2025_26'!$A$3:$A$665,0)),"")</f>
        <v>1</v>
      </c>
      <c r="L185" s="26" t="n">
        <f aca="false">IFERROR(INDEX('Input Statistiche 2025_26'!$O$3:$O$665,MATCH($A185,'Input Statistiche 2025_26'!$A$3:$A$665,0)),"")</f>
        <v>3</v>
      </c>
      <c r="M185" s="28"/>
      <c r="N185" s="27" t="n">
        <f aca="false">IFERROR(INDEX('Input Giocatori 2026_27'!$E$3:$E$493,MATCH($A185,'Input Giocatori 2026_27'!$A$3:$A$493,0)),"")</f>
        <v>6</v>
      </c>
      <c r="O185" s="27" t="n">
        <f aca="false">IFERROR(INDEX('Input Giocatori 2026_27'!$G$3:$G$493,MATCH($A185,'Input Giocatori 2026_27'!$A$3:$A$493,0)),"")</f>
        <v>18</v>
      </c>
      <c r="P185" s="26" t="str">
        <f aca="false">IFERROR(IF($O185="","",IF((1-(COUNTIFS($B$2:$B$492,$B185,$O$2:$O$492,"&gt;"&amp;$O185)+1-1)/COUNTIF($B$2:$B$492,$B185))&gt;=0.85,"Top",IF((1-(COUNTIFS($B$2:$B$492,$B185,$O$2:$O$492,"&gt;"&amp;$O185)+1-1)/COUNTIF($B$2:$B$492,$B185))&gt;=0.6,"Buono",IF((1-(COUNTIFS($B$2:$B$492,$B185,$O$2:$O$492,"&gt;"&amp;$O185)+1-1)/COUNTIF($B$2:$B$492,$B185))&gt;=0.3,"Nella Media","Scommessa/Riserva")))),"")</f>
        <v>Buono</v>
      </c>
      <c r="Q185" s="29" t="n">
        <f aca="false">IF($D185="",COUNTIF($D$2:$D185,""),"")</f>
        <v>184</v>
      </c>
      <c r="R185" s="29" t="str">
        <f aca="false">IF($D185='Info Lega'!$B$28,COUNTIFS($D$2:$D185,'Info Lega'!$B$28),"")</f>
        <v/>
      </c>
      <c r="S185" s="30" t="n">
        <f aca="false">IFERROR(INDEX('Input Statistiche 2025_26'!$G$3:$G$665,MATCH($A185,'Input Statistiche 2025_26'!$A$3:$A$665,0)),"")</f>
        <v>6.06</v>
      </c>
      <c r="T185" s="30" t="n">
        <f aca="false">IFERROR(INDEX('Input Statistiche 2025_26'!$H$3:$H$665,MATCH($A185,'Input Statistiche 2025_26'!$A$3:$A$665,0)),"")</f>
        <v>6.23</v>
      </c>
      <c r="U185" s="26" t="str">
        <f aca="false">IF(OR('La Mia Rosa'!$O$12="",$D185&lt;&gt;""),"",IF($F185&lt;='La Mia Rosa'!$O$12*'Parametri Modello'!$B$24,"OK",IF($F185&lt;='La Mia Rosa'!$O$12*'Parametri Modello'!$B$25,"Attenzione","Rischio Alto")))</f>
        <v>OK</v>
      </c>
      <c r="V185" s="26" t="n">
        <f aca="false">IFERROR(COUNTIFS($B$2:$B$492,$B185,$O$2:$O$492,"&gt;"&amp;$O185)+1,"")</f>
        <v>45</v>
      </c>
      <c r="W185" s="21" t="n">
        <f aca="false">'Info Lega'!$B$4-SUMIFS($M$2:$M$492,$D$2:$D$492,'Info Lega'!$B$28)</f>
        <v>1000</v>
      </c>
      <c r="X185" s="21" t="n">
        <f aca="false">('Info Lega'!$B$5-COUNTIFS($D$2:$D$492,'Info Lega'!$B$28,$B$2:$B$492,"P"))+('Info Lega'!$B$6-COUNTIFS($D$2:$D$492,'Info Lega'!$B$28,$B$2:$B$492,"D"))+('Info Lega'!$B$7-COUNTIFS($D$2:$D$492,'Info Lega'!$B$28,$B$2:$B$492,"C"))+('Info Lega'!$B$8-COUNTIFS($D$2:$D$492,'Info Lega'!$B$28,$B$2:$B$492,"A"))</f>
        <v>25</v>
      </c>
      <c r="Y185" s="21" t="n">
        <f aca="false">X185*'Parametri Modello'!$B$30</f>
        <v>25</v>
      </c>
      <c r="Z185" s="21" t="n">
        <f aca="false">MAX(0,W185-Y185)</f>
        <v>975</v>
      </c>
      <c r="AA185" s="21" t="n">
        <f aca="false">MIN(F185,Z185)</f>
        <v>3</v>
      </c>
      <c r="AB185" s="21"/>
      <c r="AC185" s="21" t="str">
        <f aca="false">IF(AB185="","",IF(AB185&gt;AA185,"PASS",IF(AB185&lt;=AA185*0.85,"BID","ATTENZIONE")))</f>
        <v/>
      </c>
      <c r="AD185" s="31" t="n">
        <f aca="false">IF(I185="","",ROUND(100*(1-EXP(-I185/30)),0))</f>
        <v>58</v>
      </c>
      <c r="AE185" s="7" t="str">
        <f aca="false">IFERROR(INDEX('Stato Asta'!$G$9:$G$12,MATCH($B185,'Stato Asta'!$A$9:$A$12,0)),"")</f>
        <v>🟡 Attesa rischiosa</v>
      </c>
    </row>
    <row r="186" customFormat="false" ht="14.25" hidden="false" customHeight="true" outlineLevel="0" collapsed="false">
      <c r="A186" s="21" t="n">
        <v>7294</v>
      </c>
      <c r="B186" s="21" t="s">
        <v>44</v>
      </c>
      <c r="C186" s="21" t="s">
        <v>248</v>
      </c>
      <c r="E186" s="26" t="str">
        <f aca="false">IF(COUNTIF('Info Strategia'!$D$2:$D$51,$C186)&gt;0,"SI","NO")</f>
        <v>NO</v>
      </c>
      <c r="F186" s="27" t="n">
        <f aca="false">IFERROR(ROUND(($G186+($H186-$G186)*'Info Strategia'!$B$6)*(1+IF($E186="SI",'Parametri Modello'!$B$7*'Info Strategia'!$B$6,0)),0),"")</f>
        <v>3</v>
      </c>
      <c r="G186" s="27" t="n">
        <f aca="false">IFERROR(ROUND(MAX(1,(IF($V186&lt;=INDEX('Parametri Modello'!$C$57:$C$60,MATCH($B186,'Parametri Modello'!$A$57:$A$60,0)),IF(INDEX('Parametri Modello'!$E$57:$E$60,MATCH($B186,'Parametri Modello'!$A$57:$A$60,0))=0,0,($O186/INDEX('Parametri Modello'!$E$57:$E$60,MATCH($B186,'Parametri Modello'!$A$57:$A$60,0)))*(INDEX('Parametri Modello'!$D$57:$D$60,MATCH($B186,'Parametri Modello'!$A$57:$A$60,0))*(INDEX('Parametri Modello'!$B$50:$B$53,MATCH($B186,'Parametri Modello'!$A$50:$A$53,0))*'Parametri Modello'!$B$44))),IF(INDEX('Parametri Modello'!$F$57:$F$60,MATCH($B186,'Parametri Modello'!$A$57:$A$60,0))=0,0,($O186/INDEX('Parametri Modello'!$F$57:$F$60,MATCH($B186,'Parametri Modello'!$A$57:$A$60,0)))*((1-INDEX('Parametri Modello'!$D$57:$D$60,MATCH($B186,'Parametri Modello'!$A$57:$A$60,0)))*(INDEX('Parametri Modello'!$B$50:$B$53,MATCH($B186,'Parametri Modello'!$A$50:$A$53,0))*'Parametri Modello'!$B$44))))*(1+IF(IF($B186="D",'Info Lega'!$B$25,IF($B186="C",'Info Lega'!$B$26,"No"))="Si",'Parametri Modello'!$B$5,0))*(1+MAX(-0.25,MIN(0.25,IF(OR($T186="",$I186="",$I186=0,INDEX('Parametri Modello'!$B$19:$B$22,MATCH($B186,'Parametri Modello'!$A$19:$A$22,0))="",INDEX('Parametri Modello'!$B$19:$B$22,MATCH($B186,'Parametri Modello'!$A$19:$A$22,0))=0),0,(($T186-INDEX('Parametri Modello'!$B$19:$B$22,MATCH($B186,'Parametri Modello'!$A$19:$A$22,0)))/INDEX('Parametri Modello'!$B$19:$B$22,MATCH($B186,'Parametri Modello'!$A$19:$A$22,0)))*'Parametri Modello'!$B$9))))*(1+IF('Parametri Modello'!$B$27="Si",MAX(-'Parametri Modello'!$B$28,MIN('Parametri Modello'!$B$28*1.5,IF(OR(INDEX('Parametri Modello'!$F$32:$F$35,MATCH($B186,'Parametri Modello'!$A$32:$A$35,0))="",INDEX('Parametri Modello'!$F$32:$F$35,MATCH($B186,'Parametri Modello'!$A$32:$A$35,0))=0),0,(1/INDEX('Parametri Modello'!$F$32:$F$35,MATCH($B186,'Parametri Modello'!$A$32:$A$35,0))-1)*'Parametri Modello'!$B$28))),0)))*(1-INDEX('Parametri Modello'!$B$12:$B$15,MATCH($B186,'Parametri Modello'!$A$12:$A$15,0)))),0),"")</f>
        <v>2</v>
      </c>
      <c r="H186" s="27" t="n">
        <f aca="false">IFERROR(ROUND((IF($V186&lt;=INDEX('Parametri Modello'!$C$57:$C$60,MATCH($B186,'Parametri Modello'!$A$57:$A$60,0)),IF(INDEX('Parametri Modello'!$E$57:$E$60,MATCH($B186,'Parametri Modello'!$A$57:$A$60,0))=0,0,($O186/INDEX('Parametri Modello'!$E$57:$E$60,MATCH($B186,'Parametri Modello'!$A$57:$A$60,0)))*(INDEX('Parametri Modello'!$D$57:$D$60,MATCH($B186,'Parametri Modello'!$A$57:$A$60,0))*(INDEX('Parametri Modello'!$B$50:$B$53,MATCH($B186,'Parametri Modello'!$A$50:$A$53,0))*'Parametri Modello'!$B$44))),IF(INDEX('Parametri Modello'!$F$57:$F$60,MATCH($B186,'Parametri Modello'!$A$57:$A$60,0))=0,0,($O186/INDEX('Parametri Modello'!$F$57:$F$60,MATCH($B186,'Parametri Modello'!$A$57:$A$60,0)))*((1-INDEX('Parametri Modello'!$D$57:$D$60,MATCH($B186,'Parametri Modello'!$A$57:$A$60,0)))*(INDEX('Parametri Modello'!$B$50:$B$53,MATCH($B186,'Parametri Modello'!$A$50:$A$53,0))*'Parametri Modello'!$B$44))))*(1+IF(IF($B186="D",'Info Lega'!$B$25,IF($B186="C",'Info Lega'!$B$26,"No"))="Si",'Parametri Modello'!$B$5,0))*(1+MAX(-0.25,MIN(0.25,IF(OR($T186="",$I186="",$I186=0,INDEX('Parametri Modello'!$B$19:$B$22,MATCH($B186,'Parametri Modello'!$A$19:$A$22,0))="",INDEX('Parametri Modello'!$B$19:$B$22,MATCH($B186,'Parametri Modello'!$A$19:$A$22,0))=0),0,(($T186-INDEX('Parametri Modello'!$B$19:$B$22,MATCH($B186,'Parametri Modello'!$A$19:$A$22,0)))/INDEX('Parametri Modello'!$B$19:$B$22,MATCH($B186,'Parametri Modello'!$A$19:$A$22,0)))*'Parametri Modello'!$B$9))))*(1+IF('Parametri Modello'!$B$27="Si",MAX(-'Parametri Modello'!$B$28,MIN('Parametri Modello'!$B$28*1.5,IF(OR(INDEX('Parametri Modello'!$F$32:$F$35,MATCH($B186,'Parametri Modello'!$A$32:$A$35,0))="",INDEX('Parametri Modello'!$F$32:$F$35,MATCH($B186,'Parametri Modello'!$A$32:$A$35,0))=0),0,(1/INDEX('Parametri Modello'!$F$32:$F$35,MATCH($B186,'Parametri Modello'!$A$32:$A$35,0))-1)*'Parametri Modello'!$B$28))),0)))*(1+INDEX('Parametri Modello'!$B$12:$B$15,MATCH($B186,'Parametri Modello'!$A$12:$A$15,0))),0),"")</f>
        <v>4</v>
      </c>
      <c r="I186" s="26" t="str">
        <f aca="false">IFERROR(INDEX('Input Statistiche 2025_26'!$F$3:$F$665,MATCH($A186,'Input Statistiche 2025_26'!$A$3:$A$665,0)),"")</f>
        <v/>
      </c>
      <c r="J186" s="26" t="str">
        <f aca="false">IFERROR(IF($I186="","",MAX(0,38-$I186)),"")</f>
        <v/>
      </c>
      <c r="K186" s="26" t="str">
        <f aca="false">IFERROR(INDEX('Input Statistiche 2025_26'!$I$3:$I$665,MATCH($A186,'Input Statistiche 2025_26'!$A$3:$A$665,0)),"")</f>
        <v/>
      </c>
      <c r="L186" s="26" t="str">
        <f aca="false">IFERROR(INDEX('Input Statistiche 2025_26'!$O$3:$O$665,MATCH($A186,'Input Statistiche 2025_26'!$A$3:$A$665,0)),"")</f>
        <v/>
      </c>
      <c r="M186" s="28"/>
      <c r="N186" s="27" t="n">
        <f aca="false">IFERROR(INDEX('Input Giocatori 2026_27'!$E$3:$E$493,MATCH($A186,'Input Giocatori 2026_27'!$A$3:$A$493,0)),"")</f>
        <v>6</v>
      </c>
      <c r="O186" s="27" t="n">
        <f aca="false">IFERROR(INDEX('Input Giocatori 2026_27'!$G$3:$G$493,MATCH($A186,'Input Giocatori 2026_27'!$A$3:$A$493,0)),"")</f>
        <v>18</v>
      </c>
      <c r="P186" s="26" t="str">
        <f aca="false">IFERROR(IF($O186="","",IF((1-(COUNTIFS($B$2:$B$492,$B186,$O$2:$O$492,"&gt;"&amp;$O186)+1-1)/COUNTIF($B$2:$B$492,$B186))&gt;=0.85,"Top",IF((1-(COUNTIFS($B$2:$B$492,$B186,$O$2:$O$492,"&gt;"&amp;$O186)+1-1)/COUNTIF($B$2:$B$492,$B186))&gt;=0.6,"Buono",IF((1-(COUNTIFS($B$2:$B$492,$B186,$O$2:$O$492,"&gt;"&amp;$O186)+1-1)/COUNTIF($B$2:$B$492,$B186))&gt;=0.3,"Nella Media","Scommessa/Riserva")))),"")</f>
        <v>Buono</v>
      </c>
      <c r="Q186" s="29" t="n">
        <f aca="false">IF($D186="",COUNTIF($D$2:$D186,""),"")</f>
        <v>185</v>
      </c>
      <c r="R186" s="29" t="str">
        <f aca="false">IF($D186='Info Lega'!$B$28,COUNTIFS($D$2:$D186,'Info Lega'!$B$28),"")</f>
        <v/>
      </c>
      <c r="S186" s="30" t="str">
        <f aca="false">IFERROR(INDEX('Input Statistiche 2025_26'!$G$3:$G$665,MATCH($A186,'Input Statistiche 2025_26'!$A$3:$A$665,0)),"")</f>
        <v/>
      </c>
      <c r="T186" s="30" t="str">
        <f aca="false">IFERROR(INDEX('Input Statistiche 2025_26'!$H$3:$H$665,MATCH($A186,'Input Statistiche 2025_26'!$A$3:$A$665,0)),"")</f>
        <v/>
      </c>
      <c r="U186" s="26" t="str">
        <f aca="false">IF(OR('La Mia Rosa'!$O$12="",$D186&lt;&gt;""),"",IF($F186&lt;='La Mia Rosa'!$O$12*'Parametri Modello'!$B$24,"OK",IF($F186&lt;='La Mia Rosa'!$O$12*'Parametri Modello'!$B$25,"Attenzione","Rischio Alto")))</f>
        <v>OK</v>
      </c>
      <c r="V186" s="26" t="n">
        <f aca="false">IFERROR(COUNTIFS($B$2:$B$492,$B186,$O$2:$O$492,"&gt;"&amp;$O186)+1,"")</f>
        <v>45</v>
      </c>
      <c r="W186" s="21" t="n">
        <f aca="false">'Info Lega'!$B$4-SUMIFS($M$2:$M$492,$D$2:$D$492,'Info Lega'!$B$28)</f>
        <v>1000</v>
      </c>
      <c r="X186" s="21" t="n">
        <f aca="false">('Info Lega'!$B$5-COUNTIFS($D$2:$D$492,'Info Lega'!$B$28,$B$2:$B$492,"P"))+('Info Lega'!$B$6-COUNTIFS($D$2:$D$492,'Info Lega'!$B$28,$B$2:$B$492,"D"))+('Info Lega'!$B$7-COUNTIFS($D$2:$D$492,'Info Lega'!$B$28,$B$2:$B$492,"C"))+('Info Lega'!$B$8-COUNTIFS($D$2:$D$492,'Info Lega'!$B$28,$B$2:$B$492,"A"))</f>
        <v>25</v>
      </c>
      <c r="Y186" s="21" t="n">
        <f aca="false">X186*'Parametri Modello'!$B$30</f>
        <v>25</v>
      </c>
      <c r="Z186" s="21" t="n">
        <f aca="false">MAX(0,W186-Y186)</f>
        <v>975</v>
      </c>
      <c r="AA186" s="21" t="n">
        <f aca="false">MIN(F186,Z186)</f>
        <v>3</v>
      </c>
      <c r="AB186" s="21"/>
      <c r="AC186" s="21" t="str">
        <f aca="false">IF(AB186="","",IF(AB186&gt;AA186,"PASS",IF(AB186&lt;=AA186*0.85,"BID","ATTENZIONE")))</f>
        <v/>
      </c>
      <c r="AD186" s="31" t="str">
        <f aca="false">IF(I186="","",ROUND(100*(1-EXP(-I186/30)),0))</f>
        <v/>
      </c>
      <c r="AE186" s="7" t="str">
        <f aca="false">IFERROR(INDEX('Stato Asta'!$G$9:$G$12,MATCH($B186,'Stato Asta'!$A$9:$A$12,0)),"")</f>
        <v>🟡 Attesa rischiosa</v>
      </c>
    </row>
    <row r="187" customFormat="false" ht="14.25" hidden="false" customHeight="true" outlineLevel="0" collapsed="false">
      <c r="A187" s="21" t="n">
        <v>4177</v>
      </c>
      <c r="B187" s="21" t="s">
        <v>44</v>
      </c>
      <c r="C187" s="21" t="s">
        <v>252</v>
      </c>
      <c r="E187" s="26" t="str">
        <f aca="false">IF(COUNTIF('Info Strategia'!$D$2:$D$51,$C187)&gt;0,"SI","NO")</f>
        <v>NO</v>
      </c>
      <c r="F187" s="27" t="n">
        <f aca="false">IFERROR(ROUND(($G187+($H187-$G187)*'Info Strategia'!$B$6)*(1+IF($E187="SI",'Parametri Modello'!$B$7*'Info Strategia'!$B$6,0)),0),"")</f>
        <v>3</v>
      </c>
      <c r="G187" s="27" t="n">
        <f aca="false">IFERROR(ROUND(MAX(1,(IF($V187&lt;=INDEX('Parametri Modello'!$C$57:$C$60,MATCH($B187,'Parametri Modello'!$A$57:$A$60,0)),IF(INDEX('Parametri Modello'!$E$57:$E$60,MATCH($B187,'Parametri Modello'!$A$57:$A$60,0))=0,0,($O187/INDEX('Parametri Modello'!$E$57:$E$60,MATCH($B187,'Parametri Modello'!$A$57:$A$60,0)))*(INDEX('Parametri Modello'!$D$57:$D$60,MATCH($B187,'Parametri Modello'!$A$57:$A$60,0))*(INDEX('Parametri Modello'!$B$50:$B$53,MATCH($B187,'Parametri Modello'!$A$50:$A$53,0))*'Parametri Modello'!$B$44))),IF(INDEX('Parametri Modello'!$F$57:$F$60,MATCH($B187,'Parametri Modello'!$A$57:$A$60,0))=0,0,($O187/INDEX('Parametri Modello'!$F$57:$F$60,MATCH($B187,'Parametri Modello'!$A$57:$A$60,0)))*((1-INDEX('Parametri Modello'!$D$57:$D$60,MATCH($B187,'Parametri Modello'!$A$57:$A$60,0)))*(INDEX('Parametri Modello'!$B$50:$B$53,MATCH($B187,'Parametri Modello'!$A$50:$A$53,0))*'Parametri Modello'!$B$44))))*(1+IF(IF($B187="D",'Info Lega'!$B$25,IF($B187="C",'Info Lega'!$B$26,"No"))="Si",'Parametri Modello'!$B$5,0))*(1+MAX(-0.25,MIN(0.25,IF(OR($T187="",$I187="",$I187=0,INDEX('Parametri Modello'!$B$19:$B$22,MATCH($B187,'Parametri Modello'!$A$19:$A$22,0))="",INDEX('Parametri Modello'!$B$19:$B$22,MATCH($B187,'Parametri Modello'!$A$19:$A$22,0))=0),0,(($T187-INDEX('Parametri Modello'!$B$19:$B$22,MATCH($B187,'Parametri Modello'!$A$19:$A$22,0)))/INDEX('Parametri Modello'!$B$19:$B$22,MATCH($B187,'Parametri Modello'!$A$19:$A$22,0)))*'Parametri Modello'!$B$9))))*(1+IF('Parametri Modello'!$B$27="Si",MAX(-'Parametri Modello'!$B$28,MIN('Parametri Modello'!$B$28*1.5,IF(OR(INDEX('Parametri Modello'!$F$32:$F$35,MATCH($B187,'Parametri Modello'!$A$32:$A$35,0))="",INDEX('Parametri Modello'!$F$32:$F$35,MATCH($B187,'Parametri Modello'!$A$32:$A$35,0))=0),0,(1/INDEX('Parametri Modello'!$F$32:$F$35,MATCH($B187,'Parametri Modello'!$A$32:$A$35,0))-1)*'Parametri Modello'!$B$28))),0)))*(1-INDEX('Parametri Modello'!$B$12:$B$15,MATCH($B187,'Parametri Modello'!$A$12:$A$15,0)))),0),"")</f>
        <v>2</v>
      </c>
      <c r="H187" s="27" t="n">
        <f aca="false">IFERROR(ROUND((IF($V187&lt;=INDEX('Parametri Modello'!$C$57:$C$60,MATCH($B187,'Parametri Modello'!$A$57:$A$60,0)),IF(INDEX('Parametri Modello'!$E$57:$E$60,MATCH($B187,'Parametri Modello'!$A$57:$A$60,0))=0,0,($O187/INDEX('Parametri Modello'!$E$57:$E$60,MATCH($B187,'Parametri Modello'!$A$57:$A$60,0)))*(INDEX('Parametri Modello'!$D$57:$D$60,MATCH($B187,'Parametri Modello'!$A$57:$A$60,0))*(INDEX('Parametri Modello'!$B$50:$B$53,MATCH($B187,'Parametri Modello'!$A$50:$A$53,0))*'Parametri Modello'!$B$44))),IF(INDEX('Parametri Modello'!$F$57:$F$60,MATCH($B187,'Parametri Modello'!$A$57:$A$60,0))=0,0,($O187/INDEX('Parametri Modello'!$F$57:$F$60,MATCH($B187,'Parametri Modello'!$A$57:$A$60,0)))*((1-INDEX('Parametri Modello'!$D$57:$D$60,MATCH($B187,'Parametri Modello'!$A$57:$A$60,0)))*(INDEX('Parametri Modello'!$B$50:$B$53,MATCH($B187,'Parametri Modello'!$A$50:$A$53,0))*'Parametri Modello'!$B$44))))*(1+IF(IF($B187="D",'Info Lega'!$B$25,IF($B187="C",'Info Lega'!$B$26,"No"))="Si",'Parametri Modello'!$B$5,0))*(1+MAX(-0.25,MIN(0.25,IF(OR($T187="",$I187="",$I187=0,INDEX('Parametri Modello'!$B$19:$B$22,MATCH($B187,'Parametri Modello'!$A$19:$A$22,0))="",INDEX('Parametri Modello'!$B$19:$B$22,MATCH($B187,'Parametri Modello'!$A$19:$A$22,0))=0),0,(($T187-INDEX('Parametri Modello'!$B$19:$B$22,MATCH($B187,'Parametri Modello'!$A$19:$A$22,0)))/INDEX('Parametri Modello'!$B$19:$B$22,MATCH($B187,'Parametri Modello'!$A$19:$A$22,0)))*'Parametri Modello'!$B$9))))*(1+IF('Parametri Modello'!$B$27="Si",MAX(-'Parametri Modello'!$B$28,MIN('Parametri Modello'!$B$28*1.5,IF(OR(INDEX('Parametri Modello'!$F$32:$F$35,MATCH($B187,'Parametri Modello'!$A$32:$A$35,0))="",INDEX('Parametri Modello'!$F$32:$F$35,MATCH($B187,'Parametri Modello'!$A$32:$A$35,0))=0),0,(1/INDEX('Parametri Modello'!$F$32:$F$35,MATCH($B187,'Parametri Modello'!$A$32:$A$35,0))-1)*'Parametri Modello'!$B$28))),0)))*(1+INDEX('Parametri Modello'!$B$12:$B$15,MATCH($B187,'Parametri Modello'!$A$12:$A$15,0))),0),"")</f>
        <v>4</v>
      </c>
      <c r="I187" s="26" t="n">
        <f aca="false">IFERROR(INDEX('Input Statistiche 2025_26'!$F$3:$F$665,MATCH($A187,'Input Statistiche 2025_26'!$A$3:$A$665,0)),"")</f>
        <v>1</v>
      </c>
      <c r="J187" s="26" t="n">
        <f aca="false">IFERROR(IF($I187="","",MAX(0,38-$I187)),"")</f>
        <v>37</v>
      </c>
      <c r="K187" s="26" t="n">
        <f aca="false">IFERROR(INDEX('Input Statistiche 2025_26'!$I$3:$I$665,MATCH($A187,'Input Statistiche 2025_26'!$A$3:$A$665,0)),"")</f>
        <v>0</v>
      </c>
      <c r="L187" s="26" t="n">
        <f aca="false">IFERROR(INDEX('Input Statistiche 2025_26'!$O$3:$O$665,MATCH($A187,'Input Statistiche 2025_26'!$A$3:$A$665,0)),"")</f>
        <v>0</v>
      </c>
      <c r="M187" s="28"/>
      <c r="N187" s="27" t="n">
        <f aca="false">IFERROR(INDEX('Input Giocatori 2026_27'!$E$3:$E$493,MATCH($A187,'Input Giocatori 2026_27'!$A$3:$A$493,0)),"")</f>
        <v>6</v>
      </c>
      <c r="O187" s="27" t="n">
        <f aca="false">IFERROR(INDEX('Input Giocatori 2026_27'!$G$3:$G$493,MATCH($A187,'Input Giocatori 2026_27'!$A$3:$A$493,0)),"")</f>
        <v>18</v>
      </c>
      <c r="P187" s="26" t="str">
        <f aca="false">IFERROR(IF($O187="","",IF((1-(COUNTIFS($B$2:$B$492,$B187,$O$2:$O$492,"&gt;"&amp;$O187)+1-1)/COUNTIF($B$2:$B$492,$B187))&gt;=0.85,"Top",IF((1-(COUNTIFS($B$2:$B$492,$B187,$O$2:$O$492,"&gt;"&amp;$O187)+1-1)/COUNTIF($B$2:$B$492,$B187))&gt;=0.6,"Buono",IF((1-(COUNTIFS($B$2:$B$492,$B187,$O$2:$O$492,"&gt;"&amp;$O187)+1-1)/COUNTIF($B$2:$B$492,$B187))&gt;=0.3,"Nella Media","Scommessa/Riserva")))),"")</f>
        <v>Buono</v>
      </c>
      <c r="Q187" s="29" t="n">
        <f aca="false">IF($D187="",COUNTIF($D$2:$D187,""),"")</f>
        <v>186</v>
      </c>
      <c r="R187" s="29" t="str">
        <f aca="false">IF($D187='Info Lega'!$B$28,COUNTIFS($D$2:$D187,'Info Lega'!$B$28),"")</f>
        <v/>
      </c>
      <c r="S187" s="30" t="n">
        <f aca="false">IFERROR(INDEX('Input Statistiche 2025_26'!$G$3:$G$665,MATCH($A187,'Input Statistiche 2025_26'!$A$3:$A$665,0)),"")</f>
        <v>6.5</v>
      </c>
      <c r="T187" s="30" t="n">
        <f aca="false">IFERROR(INDEX('Input Statistiche 2025_26'!$H$3:$H$665,MATCH($A187,'Input Statistiche 2025_26'!$A$3:$A$665,0)),"")</f>
        <v>6.5</v>
      </c>
      <c r="U187" s="26" t="str">
        <f aca="false">IF(OR('La Mia Rosa'!$O$12="",$D187&lt;&gt;""),"",IF($F187&lt;='La Mia Rosa'!$O$12*'Parametri Modello'!$B$24,"OK",IF($F187&lt;='La Mia Rosa'!$O$12*'Parametri Modello'!$B$25,"Attenzione","Rischio Alto")))</f>
        <v>OK</v>
      </c>
      <c r="V187" s="26" t="n">
        <f aca="false">IFERROR(COUNTIFS($B$2:$B$492,$B187,$O$2:$O$492,"&gt;"&amp;$O187)+1,"")</f>
        <v>45</v>
      </c>
      <c r="W187" s="21" t="n">
        <f aca="false">'Info Lega'!$B$4-SUMIFS($M$2:$M$492,$D$2:$D$492,'Info Lega'!$B$28)</f>
        <v>1000</v>
      </c>
      <c r="X187" s="21" t="n">
        <f aca="false">('Info Lega'!$B$5-COUNTIFS($D$2:$D$492,'Info Lega'!$B$28,$B$2:$B$492,"P"))+('Info Lega'!$B$6-COUNTIFS($D$2:$D$492,'Info Lega'!$B$28,$B$2:$B$492,"D"))+('Info Lega'!$B$7-COUNTIFS($D$2:$D$492,'Info Lega'!$B$28,$B$2:$B$492,"C"))+('Info Lega'!$B$8-COUNTIFS($D$2:$D$492,'Info Lega'!$B$28,$B$2:$B$492,"A"))</f>
        <v>25</v>
      </c>
      <c r="Y187" s="21" t="n">
        <f aca="false">X187*'Parametri Modello'!$B$30</f>
        <v>25</v>
      </c>
      <c r="Z187" s="21" t="n">
        <f aca="false">MAX(0,W187-Y187)</f>
        <v>975</v>
      </c>
      <c r="AA187" s="21" t="n">
        <f aca="false">MIN(F187,Z187)</f>
        <v>3</v>
      </c>
      <c r="AB187" s="21"/>
      <c r="AC187" s="21" t="str">
        <f aca="false">IF(AB187="","",IF(AB187&gt;AA187,"PASS",IF(AB187&lt;=AA187*0.85,"BID","ATTENZIONE")))</f>
        <v/>
      </c>
      <c r="AD187" s="31" t="n">
        <f aca="false">IF(I187="","",ROUND(100*(1-EXP(-I187/30)),0))</f>
        <v>3</v>
      </c>
      <c r="AE187" s="7" t="str">
        <f aca="false">IFERROR(INDEX('Stato Asta'!$G$9:$G$12,MATCH($B187,'Stato Asta'!$A$9:$A$12,0)),"")</f>
        <v>🟡 Attesa rischiosa</v>
      </c>
    </row>
    <row r="188" customFormat="false" ht="14.25" hidden="false" customHeight="true" outlineLevel="0" collapsed="false">
      <c r="A188" s="21" t="n">
        <v>6663</v>
      </c>
      <c r="B188" s="21" t="s">
        <v>44</v>
      </c>
      <c r="C188" s="21" t="s">
        <v>258</v>
      </c>
      <c r="E188" s="26" t="str">
        <f aca="false">IF(COUNTIF('Info Strategia'!$D$2:$D$51,$C188)&gt;0,"SI","NO")</f>
        <v>NO</v>
      </c>
      <c r="F188" s="27" t="n">
        <f aca="false">IFERROR(ROUND(($G188+($H188-$G188)*'Info Strategia'!$B$6)*(1+IF($E188="SI",'Parametri Modello'!$B$7*'Info Strategia'!$B$6,0)),0),"")</f>
        <v>3</v>
      </c>
      <c r="G188" s="27" t="n">
        <f aca="false">IFERROR(ROUND(MAX(1,(IF($V188&lt;=INDEX('Parametri Modello'!$C$57:$C$60,MATCH($B188,'Parametri Modello'!$A$57:$A$60,0)),IF(INDEX('Parametri Modello'!$E$57:$E$60,MATCH($B188,'Parametri Modello'!$A$57:$A$60,0))=0,0,($O188/INDEX('Parametri Modello'!$E$57:$E$60,MATCH($B188,'Parametri Modello'!$A$57:$A$60,0)))*(INDEX('Parametri Modello'!$D$57:$D$60,MATCH($B188,'Parametri Modello'!$A$57:$A$60,0))*(INDEX('Parametri Modello'!$B$50:$B$53,MATCH($B188,'Parametri Modello'!$A$50:$A$53,0))*'Parametri Modello'!$B$44))),IF(INDEX('Parametri Modello'!$F$57:$F$60,MATCH($B188,'Parametri Modello'!$A$57:$A$60,0))=0,0,($O188/INDEX('Parametri Modello'!$F$57:$F$60,MATCH($B188,'Parametri Modello'!$A$57:$A$60,0)))*((1-INDEX('Parametri Modello'!$D$57:$D$60,MATCH($B188,'Parametri Modello'!$A$57:$A$60,0)))*(INDEX('Parametri Modello'!$B$50:$B$53,MATCH($B188,'Parametri Modello'!$A$50:$A$53,0))*'Parametri Modello'!$B$44))))*(1+IF(IF($B188="D",'Info Lega'!$B$25,IF($B188="C",'Info Lega'!$B$26,"No"))="Si",'Parametri Modello'!$B$5,0))*(1+MAX(-0.25,MIN(0.25,IF(OR($T188="",$I188="",$I188=0,INDEX('Parametri Modello'!$B$19:$B$22,MATCH($B188,'Parametri Modello'!$A$19:$A$22,0))="",INDEX('Parametri Modello'!$B$19:$B$22,MATCH($B188,'Parametri Modello'!$A$19:$A$22,0))=0),0,(($T188-INDEX('Parametri Modello'!$B$19:$B$22,MATCH($B188,'Parametri Modello'!$A$19:$A$22,0)))/INDEX('Parametri Modello'!$B$19:$B$22,MATCH($B188,'Parametri Modello'!$A$19:$A$22,0)))*'Parametri Modello'!$B$9))))*(1+IF('Parametri Modello'!$B$27="Si",MAX(-'Parametri Modello'!$B$28,MIN('Parametri Modello'!$B$28*1.5,IF(OR(INDEX('Parametri Modello'!$F$32:$F$35,MATCH($B188,'Parametri Modello'!$A$32:$A$35,0))="",INDEX('Parametri Modello'!$F$32:$F$35,MATCH($B188,'Parametri Modello'!$A$32:$A$35,0))=0),0,(1/INDEX('Parametri Modello'!$F$32:$F$35,MATCH($B188,'Parametri Modello'!$A$32:$A$35,0))-1)*'Parametri Modello'!$B$28))),0)))*(1-INDEX('Parametri Modello'!$B$12:$B$15,MATCH($B188,'Parametri Modello'!$A$12:$A$15,0)))),0),"")</f>
        <v>2</v>
      </c>
      <c r="H188" s="27" t="n">
        <f aca="false">IFERROR(ROUND((IF($V188&lt;=INDEX('Parametri Modello'!$C$57:$C$60,MATCH($B188,'Parametri Modello'!$A$57:$A$60,0)),IF(INDEX('Parametri Modello'!$E$57:$E$60,MATCH($B188,'Parametri Modello'!$A$57:$A$60,0))=0,0,($O188/INDEX('Parametri Modello'!$E$57:$E$60,MATCH($B188,'Parametri Modello'!$A$57:$A$60,0)))*(INDEX('Parametri Modello'!$D$57:$D$60,MATCH($B188,'Parametri Modello'!$A$57:$A$60,0))*(INDEX('Parametri Modello'!$B$50:$B$53,MATCH($B188,'Parametri Modello'!$A$50:$A$53,0))*'Parametri Modello'!$B$44))),IF(INDEX('Parametri Modello'!$F$57:$F$60,MATCH($B188,'Parametri Modello'!$A$57:$A$60,0))=0,0,($O188/INDEX('Parametri Modello'!$F$57:$F$60,MATCH($B188,'Parametri Modello'!$A$57:$A$60,0)))*((1-INDEX('Parametri Modello'!$D$57:$D$60,MATCH($B188,'Parametri Modello'!$A$57:$A$60,0)))*(INDEX('Parametri Modello'!$B$50:$B$53,MATCH($B188,'Parametri Modello'!$A$50:$A$53,0))*'Parametri Modello'!$B$44))))*(1+IF(IF($B188="D",'Info Lega'!$B$25,IF($B188="C",'Info Lega'!$B$26,"No"))="Si",'Parametri Modello'!$B$5,0))*(1+MAX(-0.25,MIN(0.25,IF(OR($T188="",$I188="",$I188=0,INDEX('Parametri Modello'!$B$19:$B$22,MATCH($B188,'Parametri Modello'!$A$19:$A$22,0))="",INDEX('Parametri Modello'!$B$19:$B$22,MATCH($B188,'Parametri Modello'!$A$19:$A$22,0))=0),0,(($T188-INDEX('Parametri Modello'!$B$19:$B$22,MATCH($B188,'Parametri Modello'!$A$19:$A$22,0)))/INDEX('Parametri Modello'!$B$19:$B$22,MATCH($B188,'Parametri Modello'!$A$19:$A$22,0)))*'Parametri Modello'!$B$9))))*(1+IF('Parametri Modello'!$B$27="Si",MAX(-'Parametri Modello'!$B$28,MIN('Parametri Modello'!$B$28*1.5,IF(OR(INDEX('Parametri Modello'!$F$32:$F$35,MATCH($B188,'Parametri Modello'!$A$32:$A$35,0))="",INDEX('Parametri Modello'!$F$32:$F$35,MATCH($B188,'Parametri Modello'!$A$32:$A$35,0))=0),0,(1/INDEX('Parametri Modello'!$F$32:$F$35,MATCH($B188,'Parametri Modello'!$A$32:$A$35,0))-1)*'Parametri Modello'!$B$28))),0)))*(1+INDEX('Parametri Modello'!$B$12:$B$15,MATCH($B188,'Parametri Modello'!$A$12:$A$15,0))),0),"")</f>
        <v>4</v>
      </c>
      <c r="I188" s="26" t="n">
        <f aca="false">IFERROR(INDEX('Input Statistiche 2025_26'!$F$3:$F$665,MATCH($A188,'Input Statistiche 2025_26'!$A$3:$A$665,0)),"")</f>
        <v>31</v>
      </c>
      <c r="J188" s="26" t="n">
        <f aca="false">IFERROR(IF($I188="","",MAX(0,38-$I188)),"")</f>
        <v>7</v>
      </c>
      <c r="K188" s="26" t="n">
        <f aca="false">IFERROR(INDEX('Input Statistiche 2025_26'!$I$3:$I$665,MATCH($A188,'Input Statistiche 2025_26'!$A$3:$A$665,0)),"")</f>
        <v>1</v>
      </c>
      <c r="L188" s="26" t="n">
        <f aca="false">IFERROR(INDEX('Input Statistiche 2025_26'!$O$3:$O$665,MATCH($A188,'Input Statistiche 2025_26'!$A$3:$A$665,0)),"")</f>
        <v>0</v>
      </c>
      <c r="M188" s="28"/>
      <c r="N188" s="27" t="n">
        <f aca="false">IFERROR(INDEX('Input Giocatori 2026_27'!$E$3:$E$493,MATCH($A188,'Input Giocatori 2026_27'!$A$3:$A$493,0)),"")</f>
        <v>6</v>
      </c>
      <c r="O188" s="27" t="n">
        <f aca="false">IFERROR(INDEX('Input Giocatori 2026_27'!$G$3:$G$493,MATCH($A188,'Input Giocatori 2026_27'!$A$3:$A$493,0)),"")</f>
        <v>18</v>
      </c>
      <c r="P188" s="26" t="str">
        <f aca="false">IFERROR(IF($O188="","",IF((1-(COUNTIFS($B$2:$B$492,$B188,$O$2:$O$492,"&gt;"&amp;$O188)+1-1)/COUNTIF($B$2:$B$492,$B188))&gt;=0.85,"Top",IF((1-(COUNTIFS($B$2:$B$492,$B188,$O$2:$O$492,"&gt;"&amp;$O188)+1-1)/COUNTIF($B$2:$B$492,$B188))&gt;=0.6,"Buono",IF((1-(COUNTIFS($B$2:$B$492,$B188,$O$2:$O$492,"&gt;"&amp;$O188)+1-1)/COUNTIF($B$2:$B$492,$B188))&gt;=0.3,"Nella Media","Scommessa/Riserva")))),"")</f>
        <v>Buono</v>
      </c>
      <c r="Q188" s="29" t="n">
        <f aca="false">IF($D188="",COUNTIF($D$2:$D188,""),"")</f>
        <v>187</v>
      </c>
      <c r="R188" s="29" t="str">
        <f aca="false">IF($D188='Info Lega'!$B$28,COUNTIFS($D$2:$D188,'Info Lega'!$B$28),"")</f>
        <v/>
      </c>
      <c r="S188" s="30" t="n">
        <f aca="false">IFERROR(INDEX('Input Statistiche 2025_26'!$G$3:$G$665,MATCH($A188,'Input Statistiche 2025_26'!$A$3:$A$665,0)),"")</f>
        <v>5.92</v>
      </c>
      <c r="T188" s="30" t="n">
        <f aca="false">IFERROR(INDEX('Input Statistiche 2025_26'!$H$3:$H$665,MATCH($A188,'Input Statistiche 2025_26'!$A$3:$A$665,0)),"")</f>
        <v>5.92</v>
      </c>
      <c r="U188" s="26" t="str">
        <f aca="false">IF(OR('La Mia Rosa'!$O$12="",$D188&lt;&gt;""),"",IF($F188&lt;='La Mia Rosa'!$O$12*'Parametri Modello'!$B$24,"OK",IF($F188&lt;='La Mia Rosa'!$O$12*'Parametri Modello'!$B$25,"Attenzione","Rischio Alto")))</f>
        <v>OK</v>
      </c>
      <c r="V188" s="26" t="n">
        <f aca="false">IFERROR(COUNTIFS($B$2:$B$492,$B188,$O$2:$O$492,"&gt;"&amp;$O188)+1,"")</f>
        <v>45</v>
      </c>
      <c r="W188" s="21" t="n">
        <f aca="false">'Info Lega'!$B$4-SUMIFS($M$2:$M$492,$D$2:$D$492,'Info Lega'!$B$28)</f>
        <v>1000</v>
      </c>
      <c r="X188" s="21" t="n">
        <f aca="false">('Info Lega'!$B$5-COUNTIFS($D$2:$D$492,'Info Lega'!$B$28,$B$2:$B$492,"P"))+('Info Lega'!$B$6-COUNTIFS($D$2:$D$492,'Info Lega'!$B$28,$B$2:$B$492,"D"))+('Info Lega'!$B$7-COUNTIFS($D$2:$D$492,'Info Lega'!$B$28,$B$2:$B$492,"C"))+('Info Lega'!$B$8-COUNTIFS($D$2:$D$492,'Info Lega'!$B$28,$B$2:$B$492,"A"))</f>
        <v>25</v>
      </c>
      <c r="Y188" s="21" t="n">
        <f aca="false">X188*'Parametri Modello'!$B$30</f>
        <v>25</v>
      </c>
      <c r="Z188" s="21" t="n">
        <f aca="false">MAX(0,W188-Y188)</f>
        <v>975</v>
      </c>
      <c r="AA188" s="21" t="n">
        <f aca="false">MIN(F188,Z188)</f>
        <v>3</v>
      </c>
      <c r="AB188" s="21"/>
      <c r="AC188" s="21" t="str">
        <f aca="false">IF(AB188="","",IF(AB188&gt;AA188,"PASS",IF(AB188&lt;=AA188*0.85,"BID","ATTENZIONE")))</f>
        <v/>
      </c>
      <c r="AD188" s="31" t="n">
        <f aca="false">IF(I188="","",ROUND(100*(1-EXP(-I188/30)),0))</f>
        <v>64</v>
      </c>
      <c r="AE188" s="7" t="str">
        <f aca="false">IFERROR(INDEX('Stato Asta'!$G$9:$G$12,MATCH($B188,'Stato Asta'!$A$9:$A$12,0)),"")</f>
        <v>🟡 Attesa rischiosa</v>
      </c>
    </row>
    <row r="189" customFormat="false" ht="14.25" hidden="false" customHeight="true" outlineLevel="0" collapsed="false">
      <c r="A189" s="21" t="n">
        <v>5858</v>
      </c>
      <c r="B189" s="21" t="s">
        <v>45</v>
      </c>
      <c r="C189" s="21" t="s">
        <v>418</v>
      </c>
      <c r="E189" s="26" t="str">
        <f aca="false">IF(COUNTIF('Info Strategia'!$D$2:$D$51,$C189)&gt;0,"SI","NO")</f>
        <v>NO</v>
      </c>
      <c r="F189" s="27" t="n">
        <f aca="false">IFERROR(ROUND(($G189+($H189-$G189)*'Info Strategia'!$B$6)*(1+IF($E189="SI",'Parametri Modello'!$B$7*'Info Strategia'!$B$6,0)),0),"")</f>
        <v>3</v>
      </c>
      <c r="G189" s="27" t="n">
        <f aca="false">IFERROR(ROUND(MAX(1,(IF($V189&lt;=INDEX('Parametri Modello'!$C$57:$C$60,MATCH($B189,'Parametri Modello'!$A$57:$A$60,0)),IF(INDEX('Parametri Modello'!$E$57:$E$60,MATCH($B189,'Parametri Modello'!$A$57:$A$60,0))=0,0,($O189/INDEX('Parametri Modello'!$E$57:$E$60,MATCH($B189,'Parametri Modello'!$A$57:$A$60,0)))*(INDEX('Parametri Modello'!$D$57:$D$60,MATCH($B189,'Parametri Modello'!$A$57:$A$60,0))*(INDEX('Parametri Modello'!$B$50:$B$53,MATCH($B189,'Parametri Modello'!$A$50:$A$53,0))*'Parametri Modello'!$B$44))),IF(INDEX('Parametri Modello'!$F$57:$F$60,MATCH($B189,'Parametri Modello'!$A$57:$A$60,0))=0,0,($O189/INDEX('Parametri Modello'!$F$57:$F$60,MATCH($B189,'Parametri Modello'!$A$57:$A$60,0)))*((1-INDEX('Parametri Modello'!$D$57:$D$60,MATCH($B189,'Parametri Modello'!$A$57:$A$60,0)))*(INDEX('Parametri Modello'!$B$50:$B$53,MATCH($B189,'Parametri Modello'!$A$50:$A$53,0))*'Parametri Modello'!$B$44))))*(1+IF(IF($B189="D",'Info Lega'!$B$25,IF($B189="C",'Info Lega'!$B$26,"No"))="Si",'Parametri Modello'!$B$5,0))*(1+MAX(-0.25,MIN(0.25,IF(OR($T189="",$I189="",$I189=0,INDEX('Parametri Modello'!$B$19:$B$22,MATCH($B189,'Parametri Modello'!$A$19:$A$22,0))="",INDEX('Parametri Modello'!$B$19:$B$22,MATCH($B189,'Parametri Modello'!$A$19:$A$22,0))=0),0,(($T189-INDEX('Parametri Modello'!$B$19:$B$22,MATCH($B189,'Parametri Modello'!$A$19:$A$22,0)))/INDEX('Parametri Modello'!$B$19:$B$22,MATCH($B189,'Parametri Modello'!$A$19:$A$22,0)))*'Parametri Modello'!$B$9))))*(1+IF('Parametri Modello'!$B$27="Si",MAX(-'Parametri Modello'!$B$28,MIN('Parametri Modello'!$B$28*1.5,IF(OR(INDEX('Parametri Modello'!$F$32:$F$35,MATCH($B189,'Parametri Modello'!$A$32:$A$35,0))="",INDEX('Parametri Modello'!$F$32:$F$35,MATCH($B189,'Parametri Modello'!$A$32:$A$35,0))=0),0,(1/INDEX('Parametri Modello'!$F$32:$F$35,MATCH($B189,'Parametri Modello'!$A$32:$A$35,0))-1)*'Parametri Modello'!$B$28))),0)))*(1-INDEX('Parametri Modello'!$B$12:$B$15,MATCH($B189,'Parametri Modello'!$A$12:$A$15,0)))),0),"")</f>
        <v>2</v>
      </c>
      <c r="H189" s="27" t="n">
        <f aca="false">IFERROR(ROUND((IF($V189&lt;=INDEX('Parametri Modello'!$C$57:$C$60,MATCH($B189,'Parametri Modello'!$A$57:$A$60,0)),IF(INDEX('Parametri Modello'!$E$57:$E$60,MATCH($B189,'Parametri Modello'!$A$57:$A$60,0))=0,0,($O189/INDEX('Parametri Modello'!$E$57:$E$60,MATCH($B189,'Parametri Modello'!$A$57:$A$60,0)))*(INDEX('Parametri Modello'!$D$57:$D$60,MATCH($B189,'Parametri Modello'!$A$57:$A$60,0))*(INDEX('Parametri Modello'!$B$50:$B$53,MATCH($B189,'Parametri Modello'!$A$50:$A$53,0))*'Parametri Modello'!$B$44))),IF(INDEX('Parametri Modello'!$F$57:$F$60,MATCH($B189,'Parametri Modello'!$A$57:$A$60,0))=0,0,($O189/INDEX('Parametri Modello'!$F$57:$F$60,MATCH($B189,'Parametri Modello'!$A$57:$A$60,0)))*((1-INDEX('Parametri Modello'!$D$57:$D$60,MATCH($B189,'Parametri Modello'!$A$57:$A$60,0)))*(INDEX('Parametri Modello'!$B$50:$B$53,MATCH($B189,'Parametri Modello'!$A$50:$A$53,0))*'Parametri Modello'!$B$44))))*(1+IF(IF($B189="D",'Info Lega'!$B$25,IF($B189="C",'Info Lega'!$B$26,"No"))="Si",'Parametri Modello'!$B$5,0))*(1+MAX(-0.25,MIN(0.25,IF(OR($T189="",$I189="",$I189=0,INDEX('Parametri Modello'!$B$19:$B$22,MATCH($B189,'Parametri Modello'!$A$19:$A$22,0))="",INDEX('Parametri Modello'!$B$19:$B$22,MATCH($B189,'Parametri Modello'!$A$19:$A$22,0))=0),0,(($T189-INDEX('Parametri Modello'!$B$19:$B$22,MATCH($B189,'Parametri Modello'!$A$19:$A$22,0)))/INDEX('Parametri Modello'!$B$19:$B$22,MATCH($B189,'Parametri Modello'!$A$19:$A$22,0)))*'Parametri Modello'!$B$9))))*(1+IF('Parametri Modello'!$B$27="Si",MAX(-'Parametri Modello'!$B$28,MIN('Parametri Modello'!$B$28*1.5,IF(OR(INDEX('Parametri Modello'!$F$32:$F$35,MATCH($B189,'Parametri Modello'!$A$32:$A$35,0))="",INDEX('Parametri Modello'!$F$32:$F$35,MATCH($B189,'Parametri Modello'!$A$32:$A$35,0))=0),0,(1/INDEX('Parametri Modello'!$F$32:$F$35,MATCH($B189,'Parametri Modello'!$A$32:$A$35,0))-1)*'Parametri Modello'!$B$28))),0)))*(1+INDEX('Parametri Modello'!$B$12:$B$15,MATCH($B189,'Parametri Modello'!$A$12:$A$15,0))),0),"")</f>
        <v>3</v>
      </c>
      <c r="I189" s="26" t="n">
        <f aca="false">IFERROR(INDEX('Input Statistiche 2025_26'!$F$3:$F$665,MATCH($A189,'Input Statistiche 2025_26'!$A$3:$A$665,0)),"")</f>
        <v>23</v>
      </c>
      <c r="J189" s="26" t="n">
        <f aca="false">IFERROR(IF($I189="","",MAX(0,38-$I189)),"")</f>
        <v>15</v>
      </c>
      <c r="K189" s="26" t="n">
        <f aca="false">IFERROR(INDEX('Input Statistiche 2025_26'!$I$3:$I$665,MATCH($A189,'Input Statistiche 2025_26'!$A$3:$A$665,0)),"")</f>
        <v>1</v>
      </c>
      <c r="L189" s="26" t="n">
        <f aca="false">IFERROR(INDEX('Input Statistiche 2025_26'!$O$3:$O$665,MATCH($A189,'Input Statistiche 2025_26'!$A$3:$A$665,0)),"")</f>
        <v>0</v>
      </c>
      <c r="M189" s="28"/>
      <c r="N189" s="27" t="n">
        <f aca="false">IFERROR(INDEX('Input Giocatori 2026_27'!$E$3:$E$493,MATCH($A189,'Input Giocatori 2026_27'!$A$3:$A$493,0)),"")</f>
        <v>7</v>
      </c>
      <c r="O189" s="27" t="n">
        <f aca="false">IFERROR(INDEX('Input Giocatori 2026_27'!$G$3:$G$493,MATCH($A189,'Input Giocatori 2026_27'!$A$3:$A$493,0)),"")</f>
        <v>18</v>
      </c>
      <c r="P189" s="26" t="str">
        <f aca="false">IFERROR(IF($O189="","",IF((1-(COUNTIFS($B$2:$B$492,$B189,$O$2:$O$492,"&gt;"&amp;$O189)+1-1)/COUNTIF($B$2:$B$492,$B189))&gt;=0.85,"Top",IF((1-(COUNTIFS($B$2:$B$492,$B189,$O$2:$O$492,"&gt;"&amp;$O189)+1-1)/COUNTIF($B$2:$B$492,$B189))&gt;=0.6,"Buono",IF((1-(COUNTIFS($B$2:$B$492,$B189,$O$2:$O$492,"&gt;"&amp;$O189)+1-1)/COUNTIF($B$2:$B$492,$B189))&gt;=0.3,"Nella Media","Scommessa/Riserva")))),"")</f>
        <v>Nella Media</v>
      </c>
      <c r="Q189" s="29" t="n">
        <f aca="false">IF($D189="",COUNTIF($D$2:$D189,""),"")</f>
        <v>188</v>
      </c>
      <c r="R189" s="29" t="str">
        <f aca="false">IF($D189='Info Lega'!$B$28,COUNTIFS($D$2:$D189,'Info Lega'!$B$28),"")</f>
        <v/>
      </c>
      <c r="S189" s="30" t="n">
        <f aca="false">IFERROR(INDEX('Input Statistiche 2025_26'!$G$3:$G$665,MATCH($A189,'Input Statistiche 2025_26'!$A$3:$A$665,0)),"")</f>
        <v>5.8</v>
      </c>
      <c r="T189" s="30" t="n">
        <f aca="false">IFERROR(INDEX('Input Statistiche 2025_26'!$H$3:$H$665,MATCH($A189,'Input Statistiche 2025_26'!$A$3:$A$665,0)),"")</f>
        <v>5.78</v>
      </c>
      <c r="U189" s="26" t="str">
        <f aca="false">IF(OR('La Mia Rosa'!$O$12="",$D189&lt;&gt;""),"",IF($F189&lt;='La Mia Rosa'!$O$12*'Parametri Modello'!$B$24,"OK",IF($F189&lt;='La Mia Rosa'!$O$12*'Parametri Modello'!$B$25,"Attenzione","Rischio Alto")))</f>
        <v>OK</v>
      </c>
      <c r="V189" s="26" t="n">
        <f aca="false">IFERROR(COUNTIFS($B$2:$B$492,$B189,$O$2:$O$492,"&gt;"&amp;$O189)+1,"")</f>
        <v>71</v>
      </c>
      <c r="W189" s="21" t="n">
        <f aca="false">'Info Lega'!$B$4-SUMIFS($M$2:$M$492,$D$2:$D$492,'Info Lega'!$B$28)</f>
        <v>1000</v>
      </c>
      <c r="X189" s="21" t="n">
        <f aca="false">('Info Lega'!$B$5-COUNTIFS($D$2:$D$492,'Info Lega'!$B$28,$B$2:$B$492,"P"))+('Info Lega'!$B$6-COUNTIFS($D$2:$D$492,'Info Lega'!$B$28,$B$2:$B$492,"D"))+('Info Lega'!$B$7-COUNTIFS($D$2:$D$492,'Info Lega'!$B$28,$B$2:$B$492,"C"))+('Info Lega'!$B$8-COUNTIFS($D$2:$D$492,'Info Lega'!$B$28,$B$2:$B$492,"A"))</f>
        <v>25</v>
      </c>
      <c r="Y189" s="21" t="n">
        <f aca="false">X189*'Parametri Modello'!$B$30</f>
        <v>25</v>
      </c>
      <c r="Z189" s="21" t="n">
        <f aca="false">MAX(0,W189-Y189)</f>
        <v>975</v>
      </c>
      <c r="AA189" s="21" t="n">
        <f aca="false">MIN(F189,Z189)</f>
        <v>3</v>
      </c>
      <c r="AB189" s="21"/>
      <c r="AC189" s="21" t="str">
        <f aca="false">IF(AB189="","",IF(AB189&gt;AA189,"PASS",IF(AB189&lt;=AA189*0.85,"BID","ATTENZIONE")))</f>
        <v/>
      </c>
      <c r="AD189" s="31" t="n">
        <f aca="false">IF(I189="","",ROUND(100*(1-EXP(-I189/30)),0))</f>
        <v>54</v>
      </c>
      <c r="AE189" s="7" t="str">
        <f aca="false">IFERROR(INDEX('Stato Asta'!$G$9:$G$12,MATCH($B189,'Stato Asta'!$A$9:$A$12,0)),"")</f>
        <v>🟡 Attesa rischiosa</v>
      </c>
    </row>
    <row r="190" customFormat="false" ht="14.25" hidden="false" customHeight="true" outlineLevel="0" collapsed="false">
      <c r="A190" s="21" t="n">
        <v>6020</v>
      </c>
      <c r="B190" s="21" t="s">
        <v>45</v>
      </c>
      <c r="C190" s="21" t="s">
        <v>436</v>
      </c>
      <c r="E190" s="26" t="str">
        <f aca="false">IF(COUNTIF('Info Strategia'!$D$2:$D$51,$C190)&gt;0,"SI","NO")</f>
        <v>NO</v>
      </c>
      <c r="F190" s="27" t="n">
        <f aca="false">IFERROR(ROUND(($G190+($H190-$G190)*'Info Strategia'!$B$6)*(1+IF($E190="SI",'Parametri Modello'!$B$7*'Info Strategia'!$B$6,0)),0),"")</f>
        <v>3</v>
      </c>
      <c r="G190" s="27" t="n">
        <f aca="false">IFERROR(ROUND(MAX(1,(IF($V190&lt;=INDEX('Parametri Modello'!$C$57:$C$60,MATCH($B190,'Parametri Modello'!$A$57:$A$60,0)),IF(INDEX('Parametri Modello'!$E$57:$E$60,MATCH($B190,'Parametri Modello'!$A$57:$A$60,0))=0,0,($O190/INDEX('Parametri Modello'!$E$57:$E$60,MATCH($B190,'Parametri Modello'!$A$57:$A$60,0)))*(INDEX('Parametri Modello'!$D$57:$D$60,MATCH($B190,'Parametri Modello'!$A$57:$A$60,0))*(INDEX('Parametri Modello'!$B$50:$B$53,MATCH($B190,'Parametri Modello'!$A$50:$A$53,0))*'Parametri Modello'!$B$44))),IF(INDEX('Parametri Modello'!$F$57:$F$60,MATCH($B190,'Parametri Modello'!$A$57:$A$60,0))=0,0,($O190/INDEX('Parametri Modello'!$F$57:$F$60,MATCH($B190,'Parametri Modello'!$A$57:$A$60,0)))*((1-INDEX('Parametri Modello'!$D$57:$D$60,MATCH($B190,'Parametri Modello'!$A$57:$A$60,0)))*(INDEX('Parametri Modello'!$B$50:$B$53,MATCH($B190,'Parametri Modello'!$A$50:$A$53,0))*'Parametri Modello'!$B$44))))*(1+IF(IF($B190="D",'Info Lega'!$B$25,IF($B190="C",'Info Lega'!$B$26,"No"))="Si",'Parametri Modello'!$B$5,0))*(1+MAX(-0.25,MIN(0.25,IF(OR($T190="",$I190="",$I190=0,INDEX('Parametri Modello'!$B$19:$B$22,MATCH($B190,'Parametri Modello'!$A$19:$A$22,0))="",INDEX('Parametri Modello'!$B$19:$B$22,MATCH($B190,'Parametri Modello'!$A$19:$A$22,0))=0),0,(($T190-INDEX('Parametri Modello'!$B$19:$B$22,MATCH($B190,'Parametri Modello'!$A$19:$A$22,0)))/INDEX('Parametri Modello'!$B$19:$B$22,MATCH($B190,'Parametri Modello'!$A$19:$A$22,0)))*'Parametri Modello'!$B$9))))*(1+IF('Parametri Modello'!$B$27="Si",MAX(-'Parametri Modello'!$B$28,MIN('Parametri Modello'!$B$28*1.5,IF(OR(INDEX('Parametri Modello'!$F$32:$F$35,MATCH($B190,'Parametri Modello'!$A$32:$A$35,0))="",INDEX('Parametri Modello'!$F$32:$F$35,MATCH($B190,'Parametri Modello'!$A$32:$A$35,0))=0),0,(1/INDEX('Parametri Modello'!$F$32:$F$35,MATCH($B190,'Parametri Modello'!$A$32:$A$35,0))-1)*'Parametri Modello'!$B$28))),0)))*(1-INDEX('Parametri Modello'!$B$12:$B$15,MATCH($B190,'Parametri Modello'!$A$12:$A$15,0)))),0),"")</f>
        <v>2</v>
      </c>
      <c r="H190" s="27" t="n">
        <f aca="false">IFERROR(ROUND((IF($V190&lt;=INDEX('Parametri Modello'!$C$57:$C$60,MATCH($B190,'Parametri Modello'!$A$57:$A$60,0)),IF(INDEX('Parametri Modello'!$E$57:$E$60,MATCH($B190,'Parametri Modello'!$A$57:$A$60,0))=0,0,($O190/INDEX('Parametri Modello'!$E$57:$E$60,MATCH($B190,'Parametri Modello'!$A$57:$A$60,0)))*(INDEX('Parametri Modello'!$D$57:$D$60,MATCH($B190,'Parametri Modello'!$A$57:$A$60,0))*(INDEX('Parametri Modello'!$B$50:$B$53,MATCH($B190,'Parametri Modello'!$A$50:$A$53,0))*'Parametri Modello'!$B$44))),IF(INDEX('Parametri Modello'!$F$57:$F$60,MATCH($B190,'Parametri Modello'!$A$57:$A$60,0))=0,0,($O190/INDEX('Parametri Modello'!$F$57:$F$60,MATCH($B190,'Parametri Modello'!$A$57:$A$60,0)))*((1-INDEX('Parametri Modello'!$D$57:$D$60,MATCH($B190,'Parametri Modello'!$A$57:$A$60,0)))*(INDEX('Parametri Modello'!$B$50:$B$53,MATCH($B190,'Parametri Modello'!$A$50:$A$53,0))*'Parametri Modello'!$B$44))))*(1+IF(IF($B190="D",'Info Lega'!$B$25,IF($B190="C",'Info Lega'!$B$26,"No"))="Si",'Parametri Modello'!$B$5,0))*(1+MAX(-0.25,MIN(0.25,IF(OR($T190="",$I190="",$I190=0,INDEX('Parametri Modello'!$B$19:$B$22,MATCH($B190,'Parametri Modello'!$A$19:$A$22,0))="",INDEX('Parametri Modello'!$B$19:$B$22,MATCH($B190,'Parametri Modello'!$A$19:$A$22,0))=0),0,(($T190-INDEX('Parametri Modello'!$B$19:$B$22,MATCH($B190,'Parametri Modello'!$A$19:$A$22,0)))/INDEX('Parametri Modello'!$B$19:$B$22,MATCH($B190,'Parametri Modello'!$A$19:$A$22,0)))*'Parametri Modello'!$B$9))))*(1+IF('Parametri Modello'!$B$27="Si",MAX(-'Parametri Modello'!$B$28,MIN('Parametri Modello'!$B$28*1.5,IF(OR(INDEX('Parametri Modello'!$F$32:$F$35,MATCH($B190,'Parametri Modello'!$A$32:$A$35,0))="",INDEX('Parametri Modello'!$F$32:$F$35,MATCH($B190,'Parametri Modello'!$A$32:$A$35,0))=0),0,(1/INDEX('Parametri Modello'!$F$32:$F$35,MATCH($B190,'Parametri Modello'!$A$32:$A$35,0))-1)*'Parametri Modello'!$B$28))),0)))*(1+INDEX('Parametri Modello'!$B$12:$B$15,MATCH($B190,'Parametri Modello'!$A$12:$A$15,0))),0),"")</f>
        <v>3</v>
      </c>
      <c r="I190" s="26" t="n">
        <f aca="false">IFERROR(INDEX('Input Statistiche 2025_26'!$F$3:$F$665,MATCH($A190,'Input Statistiche 2025_26'!$A$3:$A$665,0)),"")</f>
        <v>35</v>
      </c>
      <c r="J190" s="26" t="n">
        <f aca="false">IFERROR(IF($I190="","",MAX(0,38-$I190)),"")</f>
        <v>3</v>
      </c>
      <c r="K190" s="26" t="n">
        <f aca="false">IFERROR(INDEX('Input Statistiche 2025_26'!$I$3:$I$665,MATCH($A190,'Input Statistiche 2025_26'!$A$3:$A$665,0)),"")</f>
        <v>1</v>
      </c>
      <c r="L190" s="26" t="n">
        <f aca="false">IFERROR(INDEX('Input Statistiche 2025_26'!$O$3:$O$665,MATCH($A190,'Input Statistiche 2025_26'!$A$3:$A$665,0)),"")</f>
        <v>1</v>
      </c>
      <c r="M190" s="28"/>
      <c r="N190" s="27" t="n">
        <f aca="false">IFERROR(INDEX('Input Giocatori 2026_27'!$E$3:$E$493,MATCH($A190,'Input Giocatori 2026_27'!$A$3:$A$493,0)),"")</f>
        <v>6</v>
      </c>
      <c r="O190" s="27" t="n">
        <f aca="false">IFERROR(INDEX('Input Giocatori 2026_27'!$G$3:$G$493,MATCH($A190,'Input Giocatori 2026_27'!$A$3:$A$493,0)),"")</f>
        <v>18</v>
      </c>
      <c r="P190" s="26" t="str">
        <f aca="false">IFERROR(IF($O190="","",IF((1-(COUNTIFS($B$2:$B$492,$B190,$O$2:$O$492,"&gt;"&amp;$O190)+1-1)/COUNTIF($B$2:$B$492,$B190))&gt;=0.85,"Top",IF((1-(COUNTIFS($B$2:$B$492,$B190,$O$2:$O$492,"&gt;"&amp;$O190)+1-1)/COUNTIF($B$2:$B$492,$B190))&gt;=0.6,"Buono",IF((1-(COUNTIFS($B$2:$B$492,$B190,$O$2:$O$492,"&gt;"&amp;$O190)+1-1)/COUNTIF($B$2:$B$492,$B190))&gt;=0.3,"Nella Media","Scommessa/Riserva")))),"")</f>
        <v>Nella Media</v>
      </c>
      <c r="Q190" s="29" t="n">
        <f aca="false">IF($D190="",COUNTIF($D$2:$D190,""),"")</f>
        <v>189</v>
      </c>
      <c r="R190" s="29" t="str">
        <f aca="false">IF($D190='Info Lega'!$B$28,COUNTIFS($D$2:$D190,'Info Lega'!$B$28),"")</f>
        <v/>
      </c>
      <c r="S190" s="30" t="n">
        <f aca="false">IFERROR(INDEX('Input Statistiche 2025_26'!$G$3:$G$665,MATCH($A190,'Input Statistiche 2025_26'!$A$3:$A$665,0)),"")</f>
        <v>5.84</v>
      </c>
      <c r="T190" s="30" t="n">
        <f aca="false">IFERROR(INDEX('Input Statistiche 2025_26'!$H$3:$H$665,MATCH($A190,'Input Statistiche 2025_26'!$A$3:$A$665,0)),"")</f>
        <v>5.91</v>
      </c>
      <c r="U190" s="26" t="str">
        <f aca="false">IF(OR('La Mia Rosa'!$O$12="",$D190&lt;&gt;""),"",IF($F190&lt;='La Mia Rosa'!$O$12*'Parametri Modello'!$B$24,"OK",IF($F190&lt;='La Mia Rosa'!$O$12*'Parametri Modello'!$B$25,"Attenzione","Rischio Alto")))</f>
        <v>OK</v>
      </c>
      <c r="V190" s="26" t="n">
        <f aca="false">IFERROR(COUNTIFS($B$2:$B$492,$B190,$O$2:$O$492,"&gt;"&amp;$O190)+1,"")</f>
        <v>71</v>
      </c>
      <c r="W190" s="21" t="n">
        <f aca="false">'Info Lega'!$B$4-SUMIFS($M$2:$M$492,$D$2:$D$492,'Info Lega'!$B$28)</f>
        <v>1000</v>
      </c>
      <c r="X190" s="21" t="n">
        <f aca="false">('Info Lega'!$B$5-COUNTIFS($D$2:$D$492,'Info Lega'!$B$28,$B$2:$B$492,"P"))+('Info Lega'!$B$6-COUNTIFS($D$2:$D$492,'Info Lega'!$B$28,$B$2:$B$492,"D"))+('Info Lega'!$B$7-COUNTIFS($D$2:$D$492,'Info Lega'!$B$28,$B$2:$B$492,"C"))+('Info Lega'!$B$8-COUNTIFS($D$2:$D$492,'Info Lega'!$B$28,$B$2:$B$492,"A"))</f>
        <v>25</v>
      </c>
      <c r="Y190" s="21" t="n">
        <f aca="false">X190*'Parametri Modello'!$B$30</f>
        <v>25</v>
      </c>
      <c r="Z190" s="21" t="n">
        <f aca="false">MAX(0,W190-Y190)</f>
        <v>975</v>
      </c>
      <c r="AA190" s="21" t="n">
        <f aca="false">MIN(F190,Z190)</f>
        <v>3</v>
      </c>
      <c r="AB190" s="21"/>
      <c r="AC190" s="21" t="str">
        <f aca="false">IF(AB190="","",IF(AB190&gt;AA190,"PASS",IF(AB190&lt;=AA190*0.85,"BID","ATTENZIONE")))</f>
        <v/>
      </c>
      <c r="AD190" s="31" t="n">
        <f aca="false">IF(I190="","",ROUND(100*(1-EXP(-I190/30)),0))</f>
        <v>69</v>
      </c>
      <c r="AE190" s="7" t="str">
        <f aca="false">IFERROR(INDEX('Stato Asta'!$G$9:$G$12,MATCH($B190,'Stato Asta'!$A$9:$A$12,0)),"")</f>
        <v>🟡 Attesa rischiosa</v>
      </c>
    </row>
    <row r="191" customFormat="false" ht="14.25" hidden="false" customHeight="true" outlineLevel="0" collapsed="false">
      <c r="A191" s="21" t="n">
        <v>5761</v>
      </c>
      <c r="B191" s="21" t="s">
        <v>45</v>
      </c>
      <c r="C191" s="21" t="s">
        <v>437</v>
      </c>
      <c r="E191" s="26" t="str">
        <f aca="false">IF(COUNTIF('Info Strategia'!$D$2:$D$51,$C191)&gt;0,"SI","NO")</f>
        <v>NO</v>
      </c>
      <c r="F191" s="27" t="n">
        <f aca="false">IFERROR(ROUND(($G191+($H191-$G191)*'Info Strategia'!$B$6)*(1+IF($E191="SI",'Parametri Modello'!$B$7*'Info Strategia'!$B$6,0)),0),"")</f>
        <v>3</v>
      </c>
      <c r="G191" s="27" t="n">
        <f aca="false">IFERROR(ROUND(MAX(1,(IF($V191&lt;=INDEX('Parametri Modello'!$C$57:$C$60,MATCH($B191,'Parametri Modello'!$A$57:$A$60,0)),IF(INDEX('Parametri Modello'!$E$57:$E$60,MATCH($B191,'Parametri Modello'!$A$57:$A$60,0))=0,0,($O191/INDEX('Parametri Modello'!$E$57:$E$60,MATCH($B191,'Parametri Modello'!$A$57:$A$60,0)))*(INDEX('Parametri Modello'!$D$57:$D$60,MATCH($B191,'Parametri Modello'!$A$57:$A$60,0))*(INDEX('Parametri Modello'!$B$50:$B$53,MATCH($B191,'Parametri Modello'!$A$50:$A$53,0))*'Parametri Modello'!$B$44))),IF(INDEX('Parametri Modello'!$F$57:$F$60,MATCH($B191,'Parametri Modello'!$A$57:$A$60,0))=0,0,($O191/INDEX('Parametri Modello'!$F$57:$F$60,MATCH($B191,'Parametri Modello'!$A$57:$A$60,0)))*((1-INDEX('Parametri Modello'!$D$57:$D$60,MATCH($B191,'Parametri Modello'!$A$57:$A$60,0)))*(INDEX('Parametri Modello'!$B$50:$B$53,MATCH($B191,'Parametri Modello'!$A$50:$A$53,0))*'Parametri Modello'!$B$44))))*(1+IF(IF($B191="D",'Info Lega'!$B$25,IF($B191="C",'Info Lega'!$B$26,"No"))="Si",'Parametri Modello'!$B$5,0))*(1+MAX(-0.25,MIN(0.25,IF(OR($T191="",$I191="",$I191=0,INDEX('Parametri Modello'!$B$19:$B$22,MATCH($B191,'Parametri Modello'!$A$19:$A$22,0))="",INDEX('Parametri Modello'!$B$19:$B$22,MATCH($B191,'Parametri Modello'!$A$19:$A$22,0))=0),0,(($T191-INDEX('Parametri Modello'!$B$19:$B$22,MATCH($B191,'Parametri Modello'!$A$19:$A$22,0)))/INDEX('Parametri Modello'!$B$19:$B$22,MATCH($B191,'Parametri Modello'!$A$19:$A$22,0)))*'Parametri Modello'!$B$9))))*(1+IF('Parametri Modello'!$B$27="Si",MAX(-'Parametri Modello'!$B$28,MIN('Parametri Modello'!$B$28*1.5,IF(OR(INDEX('Parametri Modello'!$F$32:$F$35,MATCH($B191,'Parametri Modello'!$A$32:$A$35,0))="",INDEX('Parametri Modello'!$F$32:$F$35,MATCH($B191,'Parametri Modello'!$A$32:$A$35,0))=0),0,(1/INDEX('Parametri Modello'!$F$32:$F$35,MATCH($B191,'Parametri Modello'!$A$32:$A$35,0))-1)*'Parametri Modello'!$B$28))),0)))*(1-INDEX('Parametri Modello'!$B$12:$B$15,MATCH($B191,'Parametri Modello'!$A$12:$A$15,0)))),0),"")</f>
        <v>2</v>
      </c>
      <c r="H191" s="27" t="n">
        <f aca="false">IFERROR(ROUND((IF($V191&lt;=INDEX('Parametri Modello'!$C$57:$C$60,MATCH($B191,'Parametri Modello'!$A$57:$A$60,0)),IF(INDEX('Parametri Modello'!$E$57:$E$60,MATCH($B191,'Parametri Modello'!$A$57:$A$60,0))=0,0,($O191/INDEX('Parametri Modello'!$E$57:$E$60,MATCH($B191,'Parametri Modello'!$A$57:$A$60,0)))*(INDEX('Parametri Modello'!$D$57:$D$60,MATCH($B191,'Parametri Modello'!$A$57:$A$60,0))*(INDEX('Parametri Modello'!$B$50:$B$53,MATCH($B191,'Parametri Modello'!$A$50:$A$53,0))*'Parametri Modello'!$B$44))),IF(INDEX('Parametri Modello'!$F$57:$F$60,MATCH($B191,'Parametri Modello'!$A$57:$A$60,0))=0,0,($O191/INDEX('Parametri Modello'!$F$57:$F$60,MATCH($B191,'Parametri Modello'!$A$57:$A$60,0)))*((1-INDEX('Parametri Modello'!$D$57:$D$60,MATCH($B191,'Parametri Modello'!$A$57:$A$60,0)))*(INDEX('Parametri Modello'!$B$50:$B$53,MATCH($B191,'Parametri Modello'!$A$50:$A$53,0))*'Parametri Modello'!$B$44))))*(1+IF(IF($B191="D",'Info Lega'!$B$25,IF($B191="C",'Info Lega'!$B$26,"No"))="Si",'Parametri Modello'!$B$5,0))*(1+MAX(-0.25,MIN(0.25,IF(OR($T191="",$I191="",$I191=0,INDEX('Parametri Modello'!$B$19:$B$22,MATCH($B191,'Parametri Modello'!$A$19:$A$22,0))="",INDEX('Parametri Modello'!$B$19:$B$22,MATCH($B191,'Parametri Modello'!$A$19:$A$22,0))=0),0,(($T191-INDEX('Parametri Modello'!$B$19:$B$22,MATCH($B191,'Parametri Modello'!$A$19:$A$22,0)))/INDEX('Parametri Modello'!$B$19:$B$22,MATCH($B191,'Parametri Modello'!$A$19:$A$22,0)))*'Parametri Modello'!$B$9))))*(1+IF('Parametri Modello'!$B$27="Si",MAX(-'Parametri Modello'!$B$28,MIN('Parametri Modello'!$B$28*1.5,IF(OR(INDEX('Parametri Modello'!$F$32:$F$35,MATCH($B191,'Parametri Modello'!$A$32:$A$35,0))="",INDEX('Parametri Modello'!$F$32:$F$35,MATCH($B191,'Parametri Modello'!$A$32:$A$35,0))=0),0,(1/INDEX('Parametri Modello'!$F$32:$F$35,MATCH($B191,'Parametri Modello'!$A$32:$A$35,0))-1)*'Parametri Modello'!$B$28))),0)))*(1+INDEX('Parametri Modello'!$B$12:$B$15,MATCH($B191,'Parametri Modello'!$A$12:$A$15,0))),0),"")</f>
        <v>3</v>
      </c>
      <c r="I191" s="26" t="n">
        <f aca="false">IFERROR(INDEX('Input Statistiche 2025_26'!$F$3:$F$665,MATCH($A191,'Input Statistiche 2025_26'!$A$3:$A$665,0)),"")</f>
        <v>12</v>
      </c>
      <c r="J191" s="26" t="n">
        <f aca="false">IFERROR(IF($I191="","",MAX(0,38-$I191)),"")</f>
        <v>26</v>
      </c>
      <c r="K191" s="26" t="n">
        <f aca="false">IFERROR(INDEX('Input Statistiche 2025_26'!$I$3:$I$665,MATCH($A191,'Input Statistiche 2025_26'!$A$3:$A$665,0)),"")</f>
        <v>0</v>
      </c>
      <c r="L191" s="26" t="n">
        <f aca="false">IFERROR(INDEX('Input Statistiche 2025_26'!$O$3:$O$665,MATCH($A191,'Input Statistiche 2025_26'!$A$3:$A$665,0)),"")</f>
        <v>0</v>
      </c>
      <c r="M191" s="28"/>
      <c r="N191" s="27" t="n">
        <f aca="false">IFERROR(INDEX('Input Giocatori 2026_27'!$E$3:$E$493,MATCH($A191,'Input Giocatori 2026_27'!$A$3:$A$493,0)),"")</f>
        <v>6</v>
      </c>
      <c r="O191" s="27" t="n">
        <f aca="false">IFERROR(INDEX('Input Giocatori 2026_27'!$G$3:$G$493,MATCH($A191,'Input Giocatori 2026_27'!$A$3:$A$493,0)),"")</f>
        <v>18</v>
      </c>
      <c r="P191" s="26" t="str">
        <f aca="false">IFERROR(IF($O191="","",IF((1-(COUNTIFS($B$2:$B$492,$B191,$O$2:$O$492,"&gt;"&amp;$O191)+1-1)/COUNTIF($B$2:$B$492,$B191))&gt;=0.85,"Top",IF((1-(COUNTIFS($B$2:$B$492,$B191,$O$2:$O$492,"&gt;"&amp;$O191)+1-1)/COUNTIF($B$2:$B$492,$B191))&gt;=0.6,"Buono",IF((1-(COUNTIFS($B$2:$B$492,$B191,$O$2:$O$492,"&gt;"&amp;$O191)+1-1)/COUNTIF($B$2:$B$492,$B191))&gt;=0.3,"Nella Media","Scommessa/Riserva")))),"")</f>
        <v>Nella Media</v>
      </c>
      <c r="Q191" s="29" t="n">
        <f aca="false">IF($D191="",COUNTIF($D$2:$D191,""),"")</f>
        <v>190</v>
      </c>
      <c r="R191" s="29" t="str">
        <f aca="false">IF($D191='Info Lega'!$B$28,COUNTIFS($D$2:$D191,'Info Lega'!$B$28),"")</f>
        <v/>
      </c>
      <c r="S191" s="30" t="n">
        <f aca="false">IFERROR(INDEX('Input Statistiche 2025_26'!$G$3:$G$665,MATCH($A191,'Input Statistiche 2025_26'!$A$3:$A$665,0)),"")</f>
        <v>5.96</v>
      </c>
      <c r="T191" s="30" t="n">
        <f aca="false">IFERROR(INDEX('Input Statistiche 2025_26'!$H$3:$H$665,MATCH($A191,'Input Statistiche 2025_26'!$A$3:$A$665,0)),"")</f>
        <v>5.96</v>
      </c>
      <c r="U191" s="26" t="str">
        <f aca="false">IF(OR('La Mia Rosa'!$O$12="",$D191&lt;&gt;""),"",IF($F191&lt;='La Mia Rosa'!$O$12*'Parametri Modello'!$B$24,"OK",IF($F191&lt;='La Mia Rosa'!$O$12*'Parametri Modello'!$B$25,"Attenzione","Rischio Alto")))</f>
        <v>OK</v>
      </c>
      <c r="V191" s="26" t="n">
        <f aca="false">IFERROR(COUNTIFS($B$2:$B$492,$B191,$O$2:$O$492,"&gt;"&amp;$O191)+1,"")</f>
        <v>71</v>
      </c>
      <c r="W191" s="21" t="n">
        <f aca="false">'Info Lega'!$B$4-SUMIFS($M$2:$M$492,$D$2:$D$492,'Info Lega'!$B$28)</f>
        <v>1000</v>
      </c>
      <c r="X191" s="21" t="n">
        <f aca="false">('Info Lega'!$B$5-COUNTIFS($D$2:$D$492,'Info Lega'!$B$28,$B$2:$B$492,"P"))+('Info Lega'!$B$6-COUNTIFS($D$2:$D$492,'Info Lega'!$B$28,$B$2:$B$492,"D"))+('Info Lega'!$B$7-COUNTIFS($D$2:$D$492,'Info Lega'!$B$28,$B$2:$B$492,"C"))+('Info Lega'!$B$8-COUNTIFS($D$2:$D$492,'Info Lega'!$B$28,$B$2:$B$492,"A"))</f>
        <v>25</v>
      </c>
      <c r="Y191" s="21" t="n">
        <f aca="false">X191*'Parametri Modello'!$B$30</f>
        <v>25</v>
      </c>
      <c r="Z191" s="21" t="n">
        <f aca="false">MAX(0,W191-Y191)</f>
        <v>975</v>
      </c>
      <c r="AA191" s="21" t="n">
        <f aca="false">MIN(F191,Z191)</f>
        <v>3</v>
      </c>
      <c r="AB191" s="21"/>
      <c r="AC191" s="21" t="str">
        <f aca="false">IF(AB191="","",IF(AB191&gt;AA191,"PASS",IF(AB191&lt;=AA191*0.85,"BID","ATTENZIONE")))</f>
        <v/>
      </c>
      <c r="AD191" s="31" t="n">
        <f aca="false">IF(I191="","",ROUND(100*(1-EXP(-I191/30)),0))</f>
        <v>33</v>
      </c>
      <c r="AE191" s="7" t="str">
        <f aca="false">IFERROR(INDEX('Stato Asta'!$G$9:$G$12,MATCH($B191,'Stato Asta'!$A$9:$A$12,0)),"")</f>
        <v>🟡 Attesa rischiosa</v>
      </c>
    </row>
    <row r="192" customFormat="false" ht="14.25" hidden="false" customHeight="true" outlineLevel="0" collapsed="false">
      <c r="A192" s="21" t="n">
        <v>4349</v>
      </c>
      <c r="B192" s="21" t="s">
        <v>45</v>
      </c>
      <c r="C192" s="21" t="s">
        <v>443</v>
      </c>
      <c r="E192" s="26" t="str">
        <f aca="false">IF(COUNTIF('Info Strategia'!$D$2:$D$51,$C192)&gt;0,"SI","NO")</f>
        <v>NO</v>
      </c>
      <c r="F192" s="27" t="n">
        <f aca="false">IFERROR(ROUND(($G192+($H192-$G192)*'Info Strategia'!$B$6)*(1+IF($E192="SI",'Parametri Modello'!$B$7*'Info Strategia'!$B$6,0)),0),"")</f>
        <v>3</v>
      </c>
      <c r="G192" s="27" t="n">
        <f aca="false">IFERROR(ROUND(MAX(1,(IF($V192&lt;=INDEX('Parametri Modello'!$C$57:$C$60,MATCH($B192,'Parametri Modello'!$A$57:$A$60,0)),IF(INDEX('Parametri Modello'!$E$57:$E$60,MATCH($B192,'Parametri Modello'!$A$57:$A$60,0))=0,0,($O192/INDEX('Parametri Modello'!$E$57:$E$60,MATCH($B192,'Parametri Modello'!$A$57:$A$60,0)))*(INDEX('Parametri Modello'!$D$57:$D$60,MATCH($B192,'Parametri Modello'!$A$57:$A$60,0))*(INDEX('Parametri Modello'!$B$50:$B$53,MATCH($B192,'Parametri Modello'!$A$50:$A$53,0))*'Parametri Modello'!$B$44))),IF(INDEX('Parametri Modello'!$F$57:$F$60,MATCH($B192,'Parametri Modello'!$A$57:$A$60,0))=0,0,($O192/INDEX('Parametri Modello'!$F$57:$F$60,MATCH($B192,'Parametri Modello'!$A$57:$A$60,0)))*((1-INDEX('Parametri Modello'!$D$57:$D$60,MATCH($B192,'Parametri Modello'!$A$57:$A$60,0)))*(INDEX('Parametri Modello'!$B$50:$B$53,MATCH($B192,'Parametri Modello'!$A$50:$A$53,0))*'Parametri Modello'!$B$44))))*(1+IF(IF($B192="D",'Info Lega'!$B$25,IF($B192="C",'Info Lega'!$B$26,"No"))="Si",'Parametri Modello'!$B$5,0))*(1+MAX(-0.25,MIN(0.25,IF(OR($T192="",$I192="",$I192=0,INDEX('Parametri Modello'!$B$19:$B$22,MATCH($B192,'Parametri Modello'!$A$19:$A$22,0))="",INDEX('Parametri Modello'!$B$19:$B$22,MATCH($B192,'Parametri Modello'!$A$19:$A$22,0))=0),0,(($T192-INDEX('Parametri Modello'!$B$19:$B$22,MATCH($B192,'Parametri Modello'!$A$19:$A$22,0)))/INDEX('Parametri Modello'!$B$19:$B$22,MATCH($B192,'Parametri Modello'!$A$19:$A$22,0)))*'Parametri Modello'!$B$9))))*(1+IF('Parametri Modello'!$B$27="Si",MAX(-'Parametri Modello'!$B$28,MIN('Parametri Modello'!$B$28*1.5,IF(OR(INDEX('Parametri Modello'!$F$32:$F$35,MATCH($B192,'Parametri Modello'!$A$32:$A$35,0))="",INDEX('Parametri Modello'!$F$32:$F$35,MATCH($B192,'Parametri Modello'!$A$32:$A$35,0))=0),0,(1/INDEX('Parametri Modello'!$F$32:$F$35,MATCH($B192,'Parametri Modello'!$A$32:$A$35,0))-1)*'Parametri Modello'!$B$28))),0)))*(1-INDEX('Parametri Modello'!$B$12:$B$15,MATCH($B192,'Parametri Modello'!$A$12:$A$15,0)))),0),"")</f>
        <v>2</v>
      </c>
      <c r="H192" s="27" t="n">
        <f aca="false">IFERROR(ROUND((IF($V192&lt;=INDEX('Parametri Modello'!$C$57:$C$60,MATCH($B192,'Parametri Modello'!$A$57:$A$60,0)),IF(INDEX('Parametri Modello'!$E$57:$E$60,MATCH($B192,'Parametri Modello'!$A$57:$A$60,0))=0,0,($O192/INDEX('Parametri Modello'!$E$57:$E$60,MATCH($B192,'Parametri Modello'!$A$57:$A$60,0)))*(INDEX('Parametri Modello'!$D$57:$D$60,MATCH($B192,'Parametri Modello'!$A$57:$A$60,0))*(INDEX('Parametri Modello'!$B$50:$B$53,MATCH($B192,'Parametri Modello'!$A$50:$A$53,0))*'Parametri Modello'!$B$44))),IF(INDEX('Parametri Modello'!$F$57:$F$60,MATCH($B192,'Parametri Modello'!$A$57:$A$60,0))=0,0,($O192/INDEX('Parametri Modello'!$F$57:$F$60,MATCH($B192,'Parametri Modello'!$A$57:$A$60,0)))*((1-INDEX('Parametri Modello'!$D$57:$D$60,MATCH($B192,'Parametri Modello'!$A$57:$A$60,0)))*(INDEX('Parametri Modello'!$B$50:$B$53,MATCH($B192,'Parametri Modello'!$A$50:$A$53,0))*'Parametri Modello'!$B$44))))*(1+IF(IF($B192="D",'Info Lega'!$B$25,IF($B192="C",'Info Lega'!$B$26,"No"))="Si",'Parametri Modello'!$B$5,0))*(1+MAX(-0.25,MIN(0.25,IF(OR($T192="",$I192="",$I192=0,INDEX('Parametri Modello'!$B$19:$B$22,MATCH($B192,'Parametri Modello'!$A$19:$A$22,0))="",INDEX('Parametri Modello'!$B$19:$B$22,MATCH($B192,'Parametri Modello'!$A$19:$A$22,0))=0),0,(($T192-INDEX('Parametri Modello'!$B$19:$B$22,MATCH($B192,'Parametri Modello'!$A$19:$A$22,0)))/INDEX('Parametri Modello'!$B$19:$B$22,MATCH($B192,'Parametri Modello'!$A$19:$A$22,0)))*'Parametri Modello'!$B$9))))*(1+IF('Parametri Modello'!$B$27="Si",MAX(-'Parametri Modello'!$B$28,MIN('Parametri Modello'!$B$28*1.5,IF(OR(INDEX('Parametri Modello'!$F$32:$F$35,MATCH($B192,'Parametri Modello'!$A$32:$A$35,0))="",INDEX('Parametri Modello'!$F$32:$F$35,MATCH($B192,'Parametri Modello'!$A$32:$A$35,0))=0),0,(1/INDEX('Parametri Modello'!$F$32:$F$35,MATCH($B192,'Parametri Modello'!$A$32:$A$35,0))-1)*'Parametri Modello'!$B$28))),0)))*(1+INDEX('Parametri Modello'!$B$12:$B$15,MATCH($B192,'Parametri Modello'!$A$12:$A$15,0))),0),"")</f>
        <v>3</v>
      </c>
      <c r="I192" s="26" t="n">
        <f aca="false">IFERROR(INDEX('Input Statistiche 2025_26'!$F$3:$F$665,MATCH($A192,'Input Statistiche 2025_26'!$A$3:$A$665,0)),"")</f>
        <v>23</v>
      </c>
      <c r="J192" s="26" t="n">
        <f aca="false">IFERROR(IF($I192="","",MAX(0,38-$I192)),"")</f>
        <v>15</v>
      </c>
      <c r="K192" s="26" t="n">
        <f aca="false">IFERROR(INDEX('Input Statistiche 2025_26'!$I$3:$I$665,MATCH($A192,'Input Statistiche 2025_26'!$A$3:$A$665,0)),"")</f>
        <v>0</v>
      </c>
      <c r="L192" s="26" t="n">
        <f aca="false">IFERROR(INDEX('Input Statistiche 2025_26'!$O$3:$O$665,MATCH($A192,'Input Statistiche 2025_26'!$A$3:$A$665,0)),"")</f>
        <v>4</v>
      </c>
      <c r="M192" s="28"/>
      <c r="N192" s="27" t="n">
        <f aca="false">IFERROR(INDEX('Input Giocatori 2026_27'!$E$3:$E$493,MATCH($A192,'Input Giocatori 2026_27'!$A$3:$A$493,0)),"")</f>
        <v>6</v>
      </c>
      <c r="O192" s="27" t="n">
        <f aca="false">IFERROR(INDEX('Input Giocatori 2026_27'!$G$3:$G$493,MATCH($A192,'Input Giocatori 2026_27'!$A$3:$A$493,0)),"")</f>
        <v>18</v>
      </c>
      <c r="P192" s="26" t="str">
        <f aca="false">IFERROR(IF($O192="","",IF((1-(COUNTIFS($B$2:$B$492,$B192,$O$2:$O$492,"&gt;"&amp;$O192)+1-1)/COUNTIF($B$2:$B$492,$B192))&gt;=0.85,"Top",IF((1-(COUNTIFS($B$2:$B$492,$B192,$O$2:$O$492,"&gt;"&amp;$O192)+1-1)/COUNTIF($B$2:$B$492,$B192))&gt;=0.6,"Buono",IF((1-(COUNTIFS($B$2:$B$492,$B192,$O$2:$O$492,"&gt;"&amp;$O192)+1-1)/COUNTIF($B$2:$B$492,$B192))&gt;=0.3,"Nella Media","Scommessa/Riserva")))),"")</f>
        <v>Nella Media</v>
      </c>
      <c r="Q192" s="29" t="n">
        <f aca="false">IF($D192="",COUNTIF($D$2:$D192,""),"")</f>
        <v>191</v>
      </c>
      <c r="R192" s="29" t="str">
        <f aca="false">IF($D192='Info Lega'!$B$28,COUNTIFS($D$2:$D192,'Info Lega'!$B$28),"")</f>
        <v/>
      </c>
      <c r="S192" s="30" t="n">
        <f aca="false">IFERROR(INDEX('Input Statistiche 2025_26'!$G$3:$G$665,MATCH($A192,'Input Statistiche 2025_26'!$A$3:$A$665,0)),"")</f>
        <v>5.89</v>
      </c>
      <c r="T192" s="30" t="n">
        <f aca="false">IFERROR(INDEX('Input Statistiche 2025_26'!$H$3:$H$665,MATCH($A192,'Input Statistiche 2025_26'!$A$3:$A$665,0)),"")</f>
        <v>6.02</v>
      </c>
      <c r="U192" s="26" t="str">
        <f aca="false">IF(OR('La Mia Rosa'!$O$12="",$D192&lt;&gt;""),"",IF($F192&lt;='La Mia Rosa'!$O$12*'Parametri Modello'!$B$24,"OK",IF($F192&lt;='La Mia Rosa'!$O$12*'Parametri Modello'!$B$25,"Attenzione","Rischio Alto")))</f>
        <v>OK</v>
      </c>
      <c r="V192" s="26" t="n">
        <f aca="false">IFERROR(COUNTIFS($B$2:$B$492,$B192,$O$2:$O$492,"&gt;"&amp;$O192)+1,"")</f>
        <v>71</v>
      </c>
      <c r="W192" s="21" t="n">
        <f aca="false">'Info Lega'!$B$4-SUMIFS($M$2:$M$492,$D$2:$D$492,'Info Lega'!$B$28)</f>
        <v>1000</v>
      </c>
      <c r="X192" s="21" t="n">
        <f aca="false">('Info Lega'!$B$5-COUNTIFS($D$2:$D$492,'Info Lega'!$B$28,$B$2:$B$492,"P"))+('Info Lega'!$B$6-COUNTIFS($D$2:$D$492,'Info Lega'!$B$28,$B$2:$B$492,"D"))+('Info Lega'!$B$7-COUNTIFS($D$2:$D$492,'Info Lega'!$B$28,$B$2:$B$492,"C"))+('Info Lega'!$B$8-COUNTIFS($D$2:$D$492,'Info Lega'!$B$28,$B$2:$B$492,"A"))</f>
        <v>25</v>
      </c>
      <c r="Y192" s="21" t="n">
        <f aca="false">X192*'Parametri Modello'!$B$30</f>
        <v>25</v>
      </c>
      <c r="Z192" s="21" t="n">
        <f aca="false">MAX(0,W192-Y192)</f>
        <v>975</v>
      </c>
      <c r="AA192" s="21" t="n">
        <f aca="false">MIN(F192,Z192)</f>
        <v>3</v>
      </c>
      <c r="AB192" s="21"/>
      <c r="AC192" s="21" t="str">
        <f aca="false">IF(AB192="","",IF(AB192&gt;AA192,"PASS",IF(AB192&lt;=AA192*0.85,"BID","ATTENZIONE")))</f>
        <v/>
      </c>
      <c r="AD192" s="31" t="n">
        <f aca="false">IF(I192="","",ROUND(100*(1-EXP(-I192/30)),0))</f>
        <v>54</v>
      </c>
      <c r="AE192" s="7" t="str">
        <f aca="false">IFERROR(INDEX('Stato Asta'!$G$9:$G$12,MATCH($B192,'Stato Asta'!$A$9:$A$12,0)),"")</f>
        <v>🟡 Attesa rischiosa</v>
      </c>
    </row>
    <row r="193" customFormat="false" ht="14.25" hidden="false" customHeight="true" outlineLevel="0" collapsed="false">
      <c r="A193" s="21" t="n">
        <v>6984</v>
      </c>
      <c r="B193" s="21" t="s">
        <v>45</v>
      </c>
      <c r="C193" s="21" t="s">
        <v>461</v>
      </c>
      <c r="E193" s="26" t="str">
        <f aca="false">IF(COUNTIF('Info Strategia'!$D$2:$D$51,$C193)&gt;0,"SI","NO")</f>
        <v>NO</v>
      </c>
      <c r="F193" s="27" t="n">
        <f aca="false">IFERROR(ROUND(($G193+($H193-$G193)*'Info Strategia'!$B$6)*(1+IF($E193="SI",'Parametri Modello'!$B$7*'Info Strategia'!$B$6,0)),0),"")</f>
        <v>3</v>
      </c>
      <c r="G193" s="27" t="n">
        <f aca="false">IFERROR(ROUND(MAX(1,(IF($V193&lt;=INDEX('Parametri Modello'!$C$57:$C$60,MATCH($B193,'Parametri Modello'!$A$57:$A$60,0)),IF(INDEX('Parametri Modello'!$E$57:$E$60,MATCH($B193,'Parametri Modello'!$A$57:$A$60,0))=0,0,($O193/INDEX('Parametri Modello'!$E$57:$E$60,MATCH($B193,'Parametri Modello'!$A$57:$A$60,0)))*(INDEX('Parametri Modello'!$D$57:$D$60,MATCH($B193,'Parametri Modello'!$A$57:$A$60,0))*(INDEX('Parametri Modello'!$B$50:$B$53,MATCH($B193,'Parametri Modello'!$A$50:$A$53,0))*'Parametri Modello'!$B$44))),IF(INDEX('Parametri Modello'!$F$57:$F$60,MATCH($B193,'Parametri Modello'!$A$57:$A$60,0))=0,0,($O193/INDEX('Parametri Modello'!$F$57:$F$60,MATCH($B193,'Parametri Modello'!$A$57:$A$60,0)))*((1-INDEX('Parametri Modello'!$D$57:$D$60,MATCH($B193,'Parametri Modello'!$A$57:$A$60,0)))*(INDEX('Parametri Modello'!$B$50:$B$53,MATCH($B193,'Parametri Modello'!$A$50:$A$53,0))*'Parametri Modello'!$B$44))))*(1+IF(IF($B193="D",'Info Lega'!$B$25,IF($B193="C",'Info Lega'!$B$26,"No"))="Si",'Parametri Modello'!$B$5,0))*(1+MAX(-0.25,MIN(0.25,IF(OR($T193="",$I193="",$I193=0,INDEX('Parametri Modello'!$B$19:$B$22,MATCH($B193,'Parametri Modello'!$A$19:$A$22,0))="",INDEX('Parametri Modello'!$B$19:$B$22,MATCH($B193,'Parametri Modello'!$A$19:$A$22,0))=0),0,(($T193-INDEX('Parametri Modello'!$B$19:$B$22,MATCH($B193,'Parametri Modello'!$A$19:$A$22,0)))/INDEX('Parametri Modello'!$B$19:$B$22,MATCH($B193,'Parametri Modello'!$A$19:$A$22,0)))*'Parametri Modello'!$B$9))))*(1+IF('Parametri Modello'!$B$27="Si",MAX(-'Parametri Modello'!$B$28,MIN('Parametri Modello'!$B$28*1.5,IF(OR(INDEX('Parametri Modello'!$F$32:$F$35,MATCH($B193,'Parametri Modello'!$A$32:$A$35,0))="",INDEX('Parametri Modello'!$F$32:$F$35,MATCH($B193,'Parametri Modello'!$A$32:$A$35,0))=0),0,(1/INDEX('Parametri Modello'!$F$32:$F$35,MATCH($B193,'Parametri Modello'!$A$32:$A$35,0))-1)*'Parametri Modello'!$B$28))),0)))*(1-INDEX('Parametri Modello'!$B$12:$B$15,MATCH($B193,'Parametri Modello'!$A$12:$A$15,0)))),0),"")</f>
        <v>2</v>
      </c>
      <c r="H193" s="27" t="n">
        <f aca="false">IFERROR(ROUND((IF($V193&lt;=INDEX('Parametri Modello'!$C$57:$C$60,MATCH($B193,'Parametri Modello'!$A$57:$A$60,0)),IF(INDEX('Parametri Modello'!$E$57:$E$60,MATCH($B193,'Parametri Modello'!$A$57:$A$60,0))=0,0,($O193/INDEX('Parametri Modello'!$E$57:$E$60,MATCH($B193,'Parametri Modello'!$A$57:$A$60,0)))*(INDEX('Parametri Modello'!$D$57:$D$60,MATCH($B193,'Parametri Modello'!$A$57:$A$60,0))*(INDEX('Parametri Modello'!$B$50:$B$53,MATCH($B193,'Parametri Modello'!$A$50:$A$53,0))*'Parametri Modello'!$B$44))),IF(INDEX('Parametri Modello'!$F$57:$F$60,MATCH($B193,'Parametri Modello'!$A$57:$A$60,0))=0,0,($O193/INDEX('Parametri Modello'!$F$57:$F$60,MATCH($B193,'Parametri Modello'!$A$57:$A$60,0)))*((1-INDEX('Parametri Modello'!$D$57:$D$60,MATCH($B193,'Parametri Modello'!$A$57:$A$60,0)))*(INDEX('Parametri Modello'!$B$50:$B$53,MATCH($B193,'Parametri Modello'!$A$50:$A$53,0))*'Parametri Modello'!$B$44))))*(1+IF(IF($B193="D",'Info Lega'!$B$25,IF($B193="C",'Info Lega'!$B$26,"No"))="Si",'Parametri Modello'!$B$5,0))*(1+MAX(-0.25,MIN(0.25,IF(OR($T193="",$I193="",$I193=0,INDEX('Parametri Modello'!$B$19:$B$22,MATCH($B193,'Parametri Modello'!$A$19:$A$22,0))="",INDEX('Parametri Modello'!$B$19:$B$22,MATCH($B193,'Parametri Modello'!$A$19:$A$22,0))=0),0,(($T193-INDEX('Parametri Modello'!$B$19:$B$22,MATCH($B193,'Parametri Modello'!$A$19:$A$22,0)))/INDEX('Parametri Modello'!$B$19:$B$22,MATCH($B193,'Parametri Modello'!$A$19:$A$22,0)))*'Parametri Modello'!$B$9))))*(1+IF('Parametri Modello'!$B$27="Si",MAX(-'Parametri Modello'!$B$28,MIN('Parametri Modello'!$B$28*1.5,IF(OR(INDEX('Parametri Modello'!$F$32:$F$35,MATCH($B193,'Parametri Modello'!$A$32:$A$35,0))="",INDEX('Parametri Modello'!$F$32:$F$35,MATCH($B193,'Parametri Modello'!$A$32:$A$35,0))=0),0,(1/INDEX('Parametri Modello'!$F$32:$F$35,MATCH($B193,'Parametri Modello'!$A$32:$A$35,0))-1)*'Parametri Modello'!$B$28))),0)))*(1+INDEX('Parametri Modello'!$B$12:$B$15,MATCH($B193,'Parametri Modello'!$A$12:$A$15,0))),0),"")</f>
        <v>3</v>
      </c>
      <c r="I193" s="26" t="n">
        <f aca="false">IFERROR(INDEX('Input Statistiche 2025_26'!$F$3:$F$665,MATCH($A193,'Input Statistiche 2025_26'!$A$3:$A$665,0)),"")</f>
        <v>15</v>
      </c>
      <c r="J193" s="26" t="n">
        <f aca="false">IFERROR(IF($I193="","",MAX(0,38-$I193)),"")</f>
        <v>23</v>
      </c>
      <c r="K193" s="26" t="n">
        <f aca="false">IFERROR(INDEX('Input Statistiche 2025_26'!$I$3:$I$665,MATCH($A193,'Input Statistiche 2025_26'!$A$3:$A$665,0)),"")</f>
        <v>0</v>
      </c>
      <c r="L193" s="26" t="n">
        <f aca="false">IFERROR(INDEX('Input Statistiche 2025_26'!$O$3:$O$665,MATCH($A193,'Input Statistiche 2025_26'!$A$3:$A$665,0)),"")</f>
        <v>0</v>
      </c>
      <c r="M193" s="28"/>
      <c r="N193" s="27" t="n">
        <f aca="false">IFERROR(INDEX('Input Giocatori 2026_27'!$E$3:$E$493,MATCH($A193,'Input Giocatori 2026_27'!$A$3:$A$493,0)),"")</f>
        <v>5</v>
      </c>
      <c r="O193" s="27" t="n">
        <f aca="false">IFERROR(INDEX('Input Giocatori 2026_27'!$G$3:$G$493,MATCH($A193,'Input Giocatori 2026_27'!$A$3:$A$493,0)),"")</f>
        <v>18</v>
      </c>
      <c r="P193" s="26" t="str">
        <f aca="false">IFERROR(IF($O193="","",IF((1-(COUNTIFS($B$2:$B$492,$B193,$O$2:$O$492,"&gt;"&amp;$O193)+1-1)/COUNTIF($B$2:$B$492,$B193))&gt;=0.85,"Top",IF((1-(COUNTIFS($B$2:$B$492,$B193,$O$2:$O$492,"&gt;"&amp;$O193)+1-1)/COUNTIF($B$2:$B$492,$B193))&gt;=0.6,"Buono",IF((1-(COUNTIFS($B$2:$B$492,$B193,$O$2:$O$492,"&gt;"&amp;$O193)+1-1)/COUNTIF($B$2:$B$492,$B193))&gt;=0.3,"Nella Media","Scommessa/Riserva")))),"")</f>
        <v>Nella Media</v>
      </c>
      <c r="Q193" s="29" t="n">
        <f aca="false">IF($D193="",COUNTIF($D$2:$D193,""),"")</f>
        <v>192</v>
      </c>
      <c r="R193" s="29" t="str">
        <f aca="false">IF($D193='Info Lega'!$B$28,COUNTIFS($D$2:$D193,'Info Lega'!$B$28),"")</f>
        <v/>
      </c>
      <c r="S193" s="30" t="n">
        <f aca="false">IFERROR(INDEX('Input Statistiche 2025_26'!$G$3:$G$665,MATCH($A193,'Input Statistiche 2025_26'!$A$3:$A$665,0)),"")</f>
        <v>5.7</v>
      </c>
      <c r="T193" s="30" t="n">
        <f aca="false">IFERROR(INDEX('Input Statistiche 2025_26'!$H$3:$H$665,MATCH($A193,'Input Statistiche 2025_26'!$A$3:$A$665,0)),"")</f>
        <v>5.63</v>
      </c>
      <c r="U193" s="26" t="str">
        <f aca="false">IF(OR('La Mia Rosa'!$O$12="",$D193&lt;&gt;""),"",IF($F193&lt;='La Mia Rosa'!$O$12*'Parametri Modello'!$B$24,"OK",IF($F193&lt;='La Mia Rosa'!$O$12*'Parametri Modello'!$B$25,"Attenzione","Rischio Alto")))</f>
        <v>OK</v>
      </c>
      <c r="V193" s="26" t="n">
        <f aca="false">IFERROR(COUNTIFS($B$2:$B$492,$B193,$O$2:$O$492,"&gt;"&amp;$O193)+1,"")</f>
        <v>71</v>
      </c>
      <c r="W193" s="21" t="n">
        <f aca="false">'Info Lega'!$B$4-SUMIFS($M$2:$M$492,$D$2:$D$492,'Info Lega'!$B$28)</f>
        <v>1000</v>
      </c>
      <c r="X193" s="21" t="n">
        <f aca="false">('Info Lega'!$B$5-COUNTIFS($D$2:$D$492,'Info Lega'!$B$28,$B$2:$B$492,"P"))+('Info Lega'!$B$6-COUNTIFS($D$2:$D$492,'Info Lega'!$B$28,$B$2:$B$492,"D"))+('Info Lega'!$B$7-COUNTIFS($D$2:$D$492,'Info Lega'!$B$28,$B$2:$B$492,"C"))+('Info Lega'!$B$8-COUNTIFS($D$2:$D$492,'Info Lega'!$B$28,$B$2:$B$492,"A"))</f>
        <v>25</v>
      </c>
      <c r="Y193" s="21" t="n">
        <f aca="false">X193*'Parametri Modello'!$B$30</f>
        <v>25</v>
      </c>
      <c r="Z193" s="21" t="n">
        <f aca="false">MAX(0,W193-Y193)</f>
        <v>975</v>
      </c>
      <c r="AA193" s="21" t="n">
        <f aca="false">MIN(F193,Z193)</f>
        <v>3</v>
      </c>
      <c r="AB193" s="21"/>
      <c r="AC193" s="21" t="str">
        <f aca="false">IF(AB193="","",IF(AB193&gt;AA193,"PASS",IF(AB193&lt;=AA193*0.85,"BID","ATTENZIONE")))</f>
        <v/>
      </c>
      <c r="AD193" s="31" t="n">
        <f aca="false">IF(I193="","",ROUND(100*(1-EXP(-I193/30)),0))</f>
        <v>39</v>
      </c>
      <c r="AE193" s="7" t="str">
        <f aca="false">IFERROR(INDEX('Stato Asta'!$G$9:$G$12,MATCH($B193,'Stato Asta'!$A$9:$A$12,0)),"")</f>
        <v>🟡 Attesa rischiosa</v>
      </c>
    </row>
    <row r="194" customFormat="false" ht="14.25" hidden="false" customHeight="true" outlineLevel="0" collapsed="false">
      <c r="A194" s="21" t="n">
        <v>7060</v>
      </c>
      <c r="B194" s="21" t="s">
        <v>45</v>
      </c>
      <c r="C194" s="21" t="s">
        <v>466</v>
      </c>
      <c r="E194" s="26" t="str">
        <f aca="false">IF(COUNTIF('Info Strategia'!$D$2:$D$51,$C194)&gt;0,"SI","NO")</f>
        <v>NO</v>
      </c>
      <c r="F194" s="27" t="n">
        <f aca="false">IFERROR(ROUND(($G194+($H194-$G194)*'Info Strategia'!$B$6)*(1+IF($E194="SI",'Parametri Modello'!$B$7*'Info Strategia'!$B$6,0)),0),"")</f>
        <v>3</v>
      </c>
      <c r="G194" s="27" t="n">
        <f aca="false">IFERROR(ROUND(MAX(1,(IF($V194&lt;=INDEX('Parametri Modello'!$C$57:$C$60,MATCH($B194,'Parametri Modello'!$A$57:$A$60,0)),IF(INDEX('Parametri Modello'!$E$57:$E$60,MATCH($B194,'Parametri Modello'!$A$57:$A$60,0))=0,0,($O194/INDEX('Parametri Modello'!$E$57:$E$60,MATCH($B194,'Parametri Modello'!$A$57:$A$60,0)))*(INDEX('Parametri Modello'!$D$57:$D$60,MATCH($B194,'Parametri Modello'!$A$57:$A$60,0))*(INDEX('Parametri Modello'!$B$50:$B$53,MATCH($B194,'Parametri Modello'!$A$50:$A$53,0))*'Parametri Modello'!$B$44))),IF(INDEX('Parametri Modello'!$F$57:$F$60,MATCH($B194,'Parametri Modello'!$A$57:$A$60,0))=0,0,($O194/INDEX('Parametri Modello'!$F$57:$F$60,MATCH($B194,'Parametri Modello'!$A$57:$A$60,0)))*((1-INDEX('Parametri Modello'!$D$57:$D$60,MATCH($B194,'Parametri Modello'!$A$57:$A$60,0)))*(INDEX('Parametri Modello'!$B$50:$B$53,MATCH($B194,'Parametri Modello'!$A$50:$A$53,0))*'Parametri Modello'!$B$44))))*(1+IF(IF($B194="D",'Info Lega'!$B$25,IF($B194="C",'Info Lega'!$B$26,"No"))="Si",'Parametri Modello'!$B$5,0))*(1+MAX(-0.25,MIN(0.25,IF(OR($T194="",$I194="",$I194=0,INDEX('Parametri Modello'!$B$19:$B$22,MATCH($B194,'Parametri Modello'!$A$19:$A$22,0))="",INDEX('Parametri Modello'!$B$19:$B$22,MATCH($B194,'Parametri Modello'!$A$19:$A$22,0))=0),0,(($T194-INDEX('Parametri Modello'!$B$19:$B$22,MATCH($B194,'Parametri Modello'!$A$19:$A$22,0)))/INDEX('Parametri Modello'!$B$19:$B$22,MATCH($B194,'Parametri Modello'!$A$19:$A$22,0)))*'Parametri Modello'!$B$9))))*(1+IF('Parametri Modello'!$B$27="Si",MAX(-'Parametri Modello'!$B$28,MIN('Parametri Modello'!$B$28*1.5,IF(OR(INDEX('Parametri Modello'!$F$32:$F$35,MATCH($B194,'Parametri Modello'!$A$32:$A$35,0))="",INDEX('Parametri Modello'!$F$32:$F$35,MATCH($B194,'Parametri Modello'!$A$32:$A$35,0))=0),0,(1/INDEX('Parametri Modello'!$F$32:$F$35,MATCH($B194,'Parametri Modello'!$A$32:$A$35,0))-1)*'Parametri Modello'!$B$28))),0)))*(1-INDEX('Parametri Modello'!$B$12:$B$15,MATCH($B194,'Parametri Modello'!$A$12:$A$15,0)))),0),"")</f>
        <v>2</v>
      </c>
      <c r="H194" s="27" t="n">
        <f aca="false">IFERROR(ROUND((IF($V194&lt;=INDEX('Parametri Modello'!$C$57:$C$60,MATCH($B194,'Parametri Modello'!$A$57:$A$60,0)),IF(INDEX('Parametri Modello'!$E$57:$E$60,MATCH($B194,'Parametri Modello'!$A$57:$A$60,0))=0,0,($O194/INDEX('Parametri Modello'!$E$57:$E$60,MATCH($B194,'Parametri Modello'!$A$57:$A$60,0)))*(INDEX('Parametri Modello'!$D$57:$D$60,MATCH($B194,'Parametri Modello'!$A$57:$A$60,0))*(INDEX('Parametri Modello'!$B$50:$B$53,MATCH($B194,'Parametri Modello'!$A$50:$A$53,0))*'Parametri Modello'!$B$44))),IF(INDEX('Parametri Modello'!$F$57:$F$60,MATCH($B194,'Parametri Modello'!$A$57:$A$60,0))=0,0,($O194/INDEX('Parametri Modello'!$F$57:$F$60,MATCH($B194,'Parametri Modello'!$A$57:$A$60,0)))*((1-INDEX('Parametri Modello'!$D$57:$D$60,MATCH($B194,'Parametri Modello'!$A$57:$A$60,0)))*(INDEX('Parametri Modello'!$B$50:$B$53,MATCH($B194,'Parametri Modello'!$A$50:$A$53,0))*'Parametri Modello'!$B$44))))*(1+IF(IF($B194="D",'Info Lega'!$B$25,IF($B194="C",'Info Lega'!$B$26,"No"))="Si",'Parametri Modello'!$B$5,0))*(1+MAX(-0.25,MIN(0.25,IF(OR($T194="",$I194="",$I194=0,INDEX('Parametri Modello'!$B$19:$B$22,MATCH($B194,'Parametri Modello'!$A$19:$A$22,0))="",INDEX('Parametri Modello'!$B$19:$B$22,MATCH($B194,'Parametri Modello'!$A$19:$A$22,0))=0),0,(($T194-INDEX('Parametri Modello'!$B$19:$B$22,MATCH($B194,'Parametri Modello'!$A$19:$A$22,0)))/INDEX('Parametri Modello'!$B$19:$B$22,MATCH($B194,'Parametri Modello'!$A$19:$A$22,0)))*'Parametri Modello'!$B$9))))*(1+IF('Parametri Modello'!$B$27="Si",MAX(-'Parametri Modello'!$B$28,MIN('Parametri Modello'!$B$28*1.5,IF(OR(INDEX('Parametri Modello'!$F$32:$F$35,MATCH($B194,'Parametri Modello'!$A$32:$A$35,0))="",INDEX('Parametri Modello'!$F$32:$F$35,MATCH($B194,'Parametri Modello'!$A$32:$A$35,0))=0),0,(1/INDEX('Parametri Modello'!$F$32:$F$35,MATCH($B194,'Parametri Modello'!$A$32:$A$35,0))-1)*'Parametri Modello'!$B$28))),0)))*(1+INDEX('Parametri Modello'!$B$12:$B$15,MATCH($B194,'Parametri Modello'!$A$12:$A$15,0))),0),"")</f>
        <v>3</v>
      </c>
      <c r="I194" s="26" t="str">
        <f aca="false">IFERROR(INDEX('Input Statistiche 2025_26'!$F$3:$F$665,MATCH($A194,'Input Statistiche 2025_26'!$A$3:$A$665,0)),"")</f>
        <v/>
      </c>
      <c r="J194" s="26" t="str">
        <f aca="false">IFERROR(IF($I194="","",MAX(0,38-$I194)),"")</f>
        <v/>
      </c>
      <c r="K194" s="26" t="str">
        <f aca="false">IFERROR(INDEX('Input Statistiche 2025_26'!$I$3:$I$665,MATCH($A194,'Input Statistiche 2025_26'!$A$3:$A$665,0)),"")</f>
        <v/>
      </c>
      <c r="L194" s="26" t="str">
        <f aca="false">IFERROR(INDEX('Input Statistiche 2025_26'!$O$3:$O$665,MATCH($A194,'Input Statistiche 2025_26'!$A$3:$A$665,0)),"")</f>
        <v/>
      </c>
      <c r="M194" s="28"/>
      <c r="N194" s="27" t="n">
        <f aca="false">IFERROR(INDEX('Input Giocatori 2026_27'!$E$3:$E$493,MATCH($A194,'Input Giocatori 2026_27'!$A$3:$A$493,0)),"")</f>
        <v>5</v>
      </c>
      <c r="O194" s="27" t="n">
        <f aca="false">IFERROR(INDEX('Input Giocatori 2026_27'!$G$3:$G$493,MATCH($A194,'Input Giocatori 2026_27'!$A$3:$A$493,0)),"")</f>
        <v>18</v>
      </c>
      <c r="P194" s="26" t="str">
        <f aca="false">IFERROR(IF($O194="","",IF((1-(COUNTIFS($B$2:$B$492,$B194,$O$2:$O$492,"&gt;"&amp;$O194)+1-1)/COUNTIF($B$2:$B$492,$B194))&gt;=0.85,"Top",IF((1-(COUNTIFS($B$2:$B$492,$B194,$O$2:$O$492,"&gt;"&amp;$O194)+1-1)/COUNTIF($B$2:$B$492,$B194))&gt;=0.6,"Buono",IF((1-(COUNTIFS($B$2:$B$492,$B194,$O$2:$O$492,"&gt;"&amp;$O194)+1-1)/COUNTIF($B$2:$B$492,$B194))&gt;=0.3,"Nella Media","Scommessa/Riserva")))),"")</f>
        <v>Nella Media</v>
      </c>
      <c r="Q194" s="29" t="n">
        <f aca="false">IF($D194="",COUNTIF($D$2:$D194,""),"")</f>
        <v>193</v>
      </c>
      <c r="R194" s="29" t="str">
        <f aca="false">IF($D194='Info Lega'!$B$28,COUNTIFS($D$2:$D194,'Info Lega'!$B$28),"")</f>
        <v/>
      </c>
      <c r="S194" s="30" t="str">
        <f aca="false">IFERROR(INDEX('Input Statistiche 2025_26'!$G$3:$G$665,MATCH($A194,'Input Statistiche 2025_26'!$A$3:$A$665,0)),"")</f>
        <v/>
      </c>
      <c r="T194" s="30" t="str">
        <f aca="false">IFERROR(INDEX('Input Statistiche 2025_26'!$H$3:$H$665,MATCH($A194,'Input Statistiche 2025_26'!$A$3:$A$665,0)),"")</f>
        <v/>
      </c>
      <c r="U194" s="26" t="str">
        <f aca="false">IF(OR('La Mia Rosa'!$O$12="",$D194&lt;&gt;""),"",IF($F194&lt;='La Mia Rosa'!$O$12*'Parametri Modello'!$B$24,"OK",IF($F194&lt;='La Mia Rosa'!$O$12*'Parametri Modello'!$B$25,"Attenzione","Rischio Alto")))</f>
        <v>OK</v>
      </c>
      <c r="V194" s="26" t="n">
        <f aca="false">IFERROR(COUNTIFS($B$2:$B$492,$B194,$O$2:$O$492,"&gt;"&amp;$O194)+1,"")</f>
        <v>71</v>
      </c>
      <c r="W194" s="21" t="n">
        <f aca="false">'Info Lega'!$B$4-SUMIFS($M$2:$M$492,$D$2:$D$492,'Info Lega'!$B$28)</f>
        <v>1000</v>
      </c>
      <c r="X194" s="21" t="n">
        <f aca="false">('Info Lega'!$B$5-COUNTIFS($D$2:$D$492,'Info Lega'!$B$28,$B$2:$B$492,"P"))+('Info Lega'!$B$6-COUNTIFS($D$2:$D$492,'Info Lega'!$B$28,$B$2:$B$492,"D"))+('Info Lega'!$B$7-COUNTIFS($D$2:$D$492,'Info Lega'!$B$28,$B$2:$B$492,"C"))+('Info Lega'!$B$8-COUNTIFS($D$2:$D$492,'Info Lega'!$B$28,$B$2:$B$492,"A"))</f>
        <v>25</v>
      </c>
      <c r="Y194" s="21" t="n">
        <f aca="false">X194*'Parametri Modello'!$B$30</f>
        <v>25</v>
      </c>
      <c r="Z194" s="21" t="n">
        <f aca="false">MAX(0,W194-Y194)</f>
        <v>975</v>
      </c>
      <c r="AA194" s="21" t="n">
        <f aca="false">MIN(F194,Z194)</f>
        <v>3</v>
      </c>
      <c r="AB194" s="21"/>
      <c r="AC194" s="21" t="str">
        <f aca="false">IF(AB194="","",IF(AB194&gt;AA194,"PASS",IF(AB194&lt;=AA194*0.85,"BID","ATTENZIONE")))</f>
        <v/>
      </c>
      <c r="AD194" s="31" t="str">
        <f aca="false">IF(I194="","",ROUND(100*(1-EXP(-I194/30)),0))</f>
        <v/>
      </c>
      <c r="AE194" s="7" t="str">
        <f aca="false">IFERROR(INDEX('Stato Asta'!$G$9:$G$12,MATCH($B194,'Stato Asta'!$A$9:$A$12,0)),"")</f>
        <v>🟡 Attesa rischiosa</v>
      </c>
    </row>
    <row r="195" customFormat="false" ht="14.25" hidden="false" customHeight="true" outlineLevel="0" collapsed="false">
      <c r="A195" s="21" t="n">
        <v>6271</v>
      </c>
      <c r="B195" s="21" t="s">
        <v>45</v>
      </c>
      <c r="C195" s="21" t="s">
        <v>488</v>
      </c>
      <c r="E195" s="26" t="str">
        <f aca="false">IF(COUNTIF('Info Strategia'!$D$2:$D$51,$C195)&gt;0,"SI","NO")</f>
        <v>NO</v>
      </c>
      <c r="F195" s="27" t="n">
        <f aca="false">IFERROR(ROUND(($G195+($H195-$G195)*'Info Strategia'!$B$6)*(1+IF($E195="SI",'Parametri Modello'!$B$7*'Info Strategia'!$B$6,0)),0),"")</f>
        <v>3</v>
      </c>
      <c r="G195" s="27" t="n">
        <f aca="false">IFERROR(ROUND(MAX(1,(IF($V195&lt;=INDEX('Parametri Modello'!$C$57:$C$60,MATCH($B195,'Parametri Modello'!$A$57:$A$60,0)),IF(INDEX('Parametri Modello'!$E$57:$E$60,MATCH($B195,'Parametri Modello'!$A$57:$A$60,0))=0,0,($O195/INDEX('Parametri Modello'!$E$57:$E$60,MATCH($B195,'Parametri Modello'!$A$57:$A$60,0)))*(INDEX('Parametri Modello'!$D$57:$D$60,MATCH($B195,'Parametri Modello'!$A$57:$A$60,0))*(INDEX('Parametri Modello'!$B$50:$B$53,MATCH($B195,'Parametri Modello'!$A$50:$A$53,0))*'Parametri Modello'!$B$44))),IF(INDEX('Parametri Modello'!$F$57:$F$60,MATCH($B195,'Parametri Modello'!$A$57:$A$60,0))=0,0,($O195/INDEX('Parametri Modello'!$F$57:$F$60,MATCH($B195,'Parametri Modello'!$A$57:$A$60,0)))*((1-INDEX('Parametri Modello'!$D$57:$D$60,MATCH($B195,'Parametri Modello'!$A$57:$A$60,0)))*(INDEX('Parametri Modello'!$B$50:$B$53,MATCH($B195,'Parametri Modello'!$A$50:$A$53,0))*'Parametri Modello'!$B$44))))*(1+IF(IF($B195="D",'Info Lega'!$B$25,IF($B195="C",'Info Lega'!$B$26,"No"))="Si",'Parametri Modello'!$B$5,0))*(1+MAX(-0.25,MIN(0.25,IF(OR($T195="",$I195="",$I195=0,INDEX('Parametri Modello'!$B$19:$B$22,MATCH($B195,'Parametri Modello'!$A$19:$A$22,0))="",INDEX('Parametri Modello'!$B$19:$B$22,MATCH($B195,'Parametri Modello'!$A$19:$A$22,0))=0),0,(($T195-INDEX('Parametri Modello'!$B$19:$B$22,MATCH($B195,'Parametri Modello'!$A$19:$A$22,0)))/INDEX('Parametri Modello'!$B$19:$B$22,MATCH($B195,'Parametri Modello'!$A$19:$A$22,0)))*'Parametri Modello'!$B$9))))*(1+IF('Parametri Modello'!$B$27="Si",MAX(-'Parametri Modello'!$B$28,MIN('Parametri Modello'!$B$28*1.5,IF(OR(INDEX('Parametri Modello'!$F$32:$F$35,MATCH($B195,'Parametri Modello'!$A$32:$A$35,0))="",INDEX('Parametri Modello'!$F$32:$F$35,MATCH($B195,'Parametri Modello'!$A$32:$A$35,0))=0),0,(1/INDEX('Parametri Modello'!$F$32:$F$35,MATCH($B195,'Parametri Modello'!$A$32:$A$35,0))-1)*'Parametri Modello'!$B$28))),0)))*(1-INDEX('Parametri Modello'!$B$12:$B$15,MATCH($B195,'Parametri Modello'!$A$12:$A$15,0)))),0),"")</f>
        <v>2</v>
      </c>
      <c r="H195" s="27" t="n">
        <f aca="false">IFERROR(ROUND((IF($V195&lt;=INDEX('Parametri Modello'!$C$57:$C$60,MATCH($B195,'Parametri Modello'!$A$57:$A$60,0)),IF(INDEX('Parametri Modello'!$E$57:$E$60,MATCH($B195,'Parametri Modello'!$A$57:$A$60,0))=0,0,($O195/INDEX('Parametri Modello'!$E$57:$E$60,MATCH($B195,'Parametri Modello'!$A$57:$A$60,0)))*(INDEX('Parametri Modello'!$D$57:$D$60,MATCH($B195,'Parametri Modello'!$A$57:$A$60,0))*(INDEX('Parametri Modello'!$B$50:$B$53,MATCH($B195,'Parametri Modello'!$A$50:$A$53,0))*'Parametri Modello'!$B$44))),IF(INDEX('Parametri Modello'!$F$57:$F$60,MATCH($B195,'Parametri Modello'!$A$57:$A$60,0))=0,0,($O195/INDEX('Parametri Modello'!$F$57:$F$60,MATCH($B195,'Parametri Modello'!$A$57:$A$60,0)))*((1-INDEX('Parametri Modello'!$D$57:$D$60,MATCH($B195,'Parametri Modello'!$A$57:$A$60,0)))*(INDEX('Parametri Modello'!$B$50:$B$53,MATCH($B195,'Parametri Modello'!$A$50:$A$53,0))*'Parametri Modello'!$B$44))))*(1+IF(IF($B195="D",'Info Lega'!$B$25,IF($B195="C",'Info Lega'!$B$26,"No"))="Si",'Parametri Modello'!$B$5,0))*(1+MAX(-0.25,MIN(0.25,IF(OR($T195="",$I195="",$I195=0,INDEX('Parametri Modello'!$B$19:$B$22,MATCH($B195,'Parametri Modello'!$A$19:$A$22,0))="",INDEX('Parametri Modello'!$B$19:$B$22,MATCH($B195,'Parametri Modello'!$A$19:$A$22,0))=0),0,(($T195-INDEX('Parametri Modello'!$B$19:$B$22,MATCH($B195,'Parametri Modello'!$A$19:$A$22,0)))/INDEX('Parametri Modello'!$B$19:$B$22,MATCH($B195,'Parametri Modello'!$A$19:$A$22,0)))*'Parametri Modello'!$B$9))))*(1+IF('Parametri Modello'!$B$27="Si",MAX(-'Parametri Modello'!$B$28,MIN('Parametri Modello'!$B$28*1.5,IF(OR(INDEX('Parametri Modello'!$F$32:$F$35,MATCH($B195,'Parametri Modello'!$A$32:$A$35,0))="",INDEX('Parametri Modello'!$F$32:$F$35,MATCH($B195,'Parametri Modello'!$A$32:$A$35,0))=0),0,(1/INDEX('Parametri Modello'!$F$32:$F$35,MATCH($B195,'Parametri Modello'!$A$32:$A$35,0))-1)*'Parametri Modello'!$B$28))),0)))*(1+INDEX('Parametri Modello'!$B$12:$B$15,MATCH($B195,'Parametri Modello'!$A$12:$A$15,0))),0),"")</f>
        <v>3</v>
      </c>
      <c r="I195" s="26" t="n">
        <f aca="false">IFERROR(INDEX('Input Statistiche 2025_26'!$F$3:$F$665,MATCH($A195,'Input Statistiche 2025_26'!$A$3:$A$665,0)),"")</f>
        <v>21</v>
      </c>
      <c r="J195" s="26" t="n">
        <f aca="false">IFERROR(IF($I195="","",MAX(0,38-$I195)),"")</f>
        <v>17</v>
      </c>
      <c r="K195" s="26" t="n">
        <f aca="false">IFERROR(INDEX('Input Statistiche 2025_26'!$I$3:$I$665,MATCH($A195,'Input Statistiche 2025_26'!$A$3:$A$665,0)),"")</f>
        <v>1</v>
      </c>
      <c r="L195" s="26" t="n">
        <f aca="false">IFERROR(INDEX('Input Statistiche 2025_26'!$O$3:$O$665,MATCH($A195,'Input Statistiche 2025_26'!$A$3:$A$665,0)),"")</f>
        <v>2</v>
      </c>
      <c r="M195" s="28"/>
      <c r="N195" s="27" t="n">
        <f aca="false">IFERROR(INDEX('Input Giocatori 2026_27'!$E$3:$E$493,MATCH($A195,'Input Giocatori 2026_27'!$A$3:$A$493,0)),"")</f>
        <v>4</v>
      </c>
      <c r="O195" s="27" t="n">
        <f aca="false">IFERROR(INDEX('Input Giocatori 2026_27'!$G$3:$G$493,MATCH($A195,'Input Giocatori 2026_27'!$A$3:$A$493,0)),"")</f>
        <v>18</v>
      </c>
      <c r="P195" s="26" t="str">
        <f aca="false">IFERROR(IF($O195="","",IF((1-(COUNTIFS($B$2:$B$492,$B195,$O$2:$O$492,"&gt;"&amp;$O195)+1-1)/COUNTIF($B$2:$B$492,$B195))&gt;=0.85,"Top",IF((1-(COUNTIFS($B$2:$B$492,$B195,$O$2:$O$492,"&gt;"&amp;$O195)+1-1)/COUNTIF($B$2:$B$492,$B195))&gt;=0.6,"Buono",IF((1-(COUNTIFS($B$2:$B$492,$B195,$O$2:$O$492,"&gt;"&amp;$O195)+1-1)/COUNTIF($B$2:$B$492,$B195))&gt;=0.3,"Nella Media","Scommessa/Riserva")))),"")</f>
        <v>Nella Media</v>
      </c>
      <c r="Q195" s="29" t="n">
        <f aca="false">IF($D195="",COUNTIF($D$2:$D195,""),"")</f>
        <v>194</v>
      </c>
      <c r="R195" s="29" t="str">
        <f aca="false">IF($D195='Info Lega'!$B$28,COUNTIFS($D$2:$D195,'Info Lega'!$B$28),"")</f>
        <v/>
      </c>
      <c r="S195" s="30" t="n">
        <f aca="false">IFERROR(INDEX('Input Statistiche 2025_26'!$G$3:$G$665,MATCH($A195,'Input Statistiche 2025_26'!$A$3:$A$665,0)),"")</f>
        <v>5.98</v>
      </c>
      <c r="T195" s="30" t="n">
        <f aca="false">IFERROR(INDEX('Input Statistiche 2025_26'!$H$3:$H$665,MATCH($A195,'Input Statistiche 2025_26'!$A$3:$A$665,0)),"")</f>
        <v>6.1</v>
      </c>
      <c r="U195" s="26" t="str">
        <f aca="false">IF(OR('La Mia Rosa'!$O$12="",$D195&lt;&gt;""),"",IF($F195&lt;='La Mia Rosa'!$O$12*'Parametri Modello'!$B$24,"OK",IF($F195&lt;='La Mia Rosa'!$O$12*'Parametri Modello'!$B$25,"Attenzione","Rischio Alto")))</f>
        <v>OK</v>
      </c>
      <c r="V195" s="26" t="n">
        <f aca="false">IFERROR(COUNTIFS($B$2:$B$492,$B195,$O$2:$O$492,"&gt;"&amp;$O195)+1,"")</f>
        <v>71</v>
      </c>
      <c r="W195" s="21" t="n">
        <f aca="false">'Info Lega'!$B$4-SUMIFS($M$2:$M$492,$D$2:$D$492,'Info Lega'!$B$28)</f>
        <v>1000</v>
      </c>
      <c r="X195" s="21" t="n">
        <f aca="false">('Info Lega'!$B$5-COUNTIFS($D$2:$D$492,'Info Lega'!$B$28,$B$2:$B$492,"P"))+('Info Lega'!$B$6-COUNTIFS($D$2:$D$492,'Info Lega'!$B$28,$B$2:$B$492,"D"))+('Info Lega'!$B$7-COUNTIFS($D$2:$D$492,'Info Lega'!$B$28,$B$2:$B$492,"C"))+('Info Lega'!$B$8-COUNTIFS($D$2:$D$492,'Info Lega'!$B$28,$B$2:$B$492,"A"))</f>
        <v>25</v>
      </c>
      <c r="Y195" s="21" t="n">
        <f aca="false">X195*'Parametri Modello'!$B$30</f>
        <v>25</v>
      </c>
      <c r="Z195" s="21" t="n">
        <f aca="false">MAX(0,W195-Y195)</f>
        <v>975</v>
      </c>
      <c r="AA195" s="21" t="n">
        <f aca="false">MIN(F195,Z195)</f>
        <v>3</v>
      </c>
      <c r="AB195" s="21"/>
      <c r="AC195" s="21" t="str">
        <f aca="false">IF(AB195="","",IF(AB195&gt;AA195,"PASS",IF(AB195&lt;=AA195*0.85,"BID","ATTENZIONE")))</f>
        <v/>
      </c>
      <c r="AD195" s="31" t="n">
        <f aca="false">IF(I195="","",ROUND(100*(1-EXP(-I195/30)),0))</f>
        <v>50</v>
      </c>
      <c r="AE195" s="7" t="str">
        <f aca="false">IFERROR(INDEX('Stato Asta'!$G$9:$G$12,MATCH($B195,'Stato Asta'!$A$9:$A$12,0)),"")</f>
        <v>🟡 Attesa rischiosa</v>
      </c>
    </row>
    <row r="196" customFormat="false" ht="14.25" hidden="false" customHeight="true" outlineLevel="0" collapsed="false">
      <c r="A196" s="21" t="n">
        <v>7252</v>
      </c>
      <c r="B196" s="21" t="s">
        <v>46</v>
      </c>
      <c r="C196" s="21" t="s">
        <v>585</v>
      </c>
      <c r="E196" s="26" t="str">
        <f aca="false">IF(COUNTIF('Info Strategia'!$D$2:$D$51,$C196)&gt;0,"SI","NO")</f>
        <v>NO</v>
      </c>
      <c r="F196" s="27" t="n">
        <f aca="false">IFERROR(ROUND(($G196+($H196-$G196)*'Info Strategia'!$B$6)*(1+IF($E196="SI",'Parametri Modello'!$B$7*'Info Strategia'!$B$6,0)),0),"")</f>
        <v>6</v>
      </c>
      <c r="G196" s="27" t="n">
        <f aca="false">IFERROR(ROUND(MAX(1,(IF($V196&lt;=INDEX('Parametri Modello'!$C$57:$C$60,MATCH($B196,'Parametri Modello'!$A$57:$A$60,0)),IF(INDEX('Parametri Modello'!$E$57:$E$60,MATCH($B196,'Parametri Modello'!$A$57:$A$60,0))=0,0,($O196/INDEX('Parametri Modello'!$E$57:$E$60,MATCH($B196,'Parametri Modello'!$A$57:$A$60,0)))*(INDEX('Parametri Modello'!$D$57:$D$60,MATCH($B196,'Parametri Modello'!$A$57:$A$60,0))*(INDEX('Parametri Modello'!$B$50:$B$53,MATCH($B196,'Parametri Modello'!$A$50:$A$53,0))*'Parametri Modello'!$B$44))),IF(INDEX('Parametri Modello'!$F$57:$F$60,MATCH($B196,'Parametri Modello'!$A$57:$A$60,0))=0,0,($O196/INDEX('Parametri Modello'!$F$57:$F$60,MATCH($B196,'Parametri Modello'!$A$57:$A$60,0)))*((1-INDEX('Parametri Modello'!$D$57:$D$60,MATCH($B196,'Parametri Modello'!$A$57:$A$60,0)))*(INDEX('Parametri Modello'!$B$50:$B$53,MATCH($B196,'Parametri Modello'!$A$50:$A$53,0))*'Parametri Modello'!$B$44))))*(1+IF(IF($B196="D",'Info Lega'!$B$25,IF($B196="C",'Info Lega'!$B$26,"No"))="Si",'Parametri Modello'!$B$5,0))*(1+MAX(-0.25,MIN(0.25,IF(OR($T196="",$I196="",$I196=0,INDEX('Parametri Modello'!$B$19:$B$22,MATCH($B196,'Parametri Modello'!$A$19:$A$22,0))="",INDEX('Parametri Modello'!$B$19:$B$22,MATCH($B196,'Parametri Modello'!$A$19:$A$22,0))=0),0,(($T196-INDEX('Parametri Modello'!$B$19:$B$22,MATCH($B196,'Parametri Modello'!$A$19:$A$22,0)))/INDEX('Parametri Modello'!$B$19:$B$22,MATCH($B196,'Parametri Modello'!$A$19:$A$22,0)))*'Parametri Modello'!$B$9))))*(1+IF('Parametri Modello'!$B$27="Si",MAX(-'Parametri Modello'!$B$28,MIN('Parametri Modello'!$B$28*1.5,IF(OR(INDEX('Parametri Modello'!$F$32:$F$35,MATCH($B196,'Parametri Modello'!$A$32:$A$35,0))="",INDEX('Parametri Modello'!$F$32:$F$35,MATCH($B196,'Parametri Modello'!$A$32:$A$35,0))=0),0,(1/INDEX('Parametri Modello'!$F$32:$F$35,MATCH($B196,'Parametri Modello'!$A$32:$A$35,0))-1)*'Parametri Modello'!$B$28))),0)))*(1-INDEX('Parametri Modello'!$B$12:$B$15,MATCH($B196,'Parametri Modello'!$A$12:$A$15,0)))),0),"")</f>
        <v>4</v>
      </c>
      <c r="H196" s="27" t="n">
        <f aca="false">IFERROR(ROUND((IF($V196&lt;=INDEX('Parametri Modello'!$C$57:$C$60,MATCH($B196,'Parametri Modello'!$A$57:$A$60,0)),IF(INDEX('Parametri Modello'!$E$57:$E$60,MATCH($B196,'Parametri Modello'!$A$57:$A$60,0))=0,0,($O196/INDEX('Parametri Modello'!$E$57:$E$60,MATCH($B196,'Parametri Modello'!$A$57:$A$60,0)))*(INDEX('Parametri Modello'!$D$57:$D$60,MATCH($B196,'Parametri Modello'!$A$57:$A$60,0))*(INDEX('Parametri Modello'!$B$50:$B$53,MATCH($B196,'Parametri Modello'!$A$50:$A$53,0))*'Parametri Modello'!$B$44))),IF(INDEX('Parametri Modello'!$F$57:$F$60,MATCH($B196,'Parametri Modello'!$A$57:$A$60,0))=0,0,($O196/INDEX('Parametri Modello'!$F$57:$F$60,MATCH($B196,'Parametri Modello'!$A$57:$A$60,0)))*((1-INDEX('Parametri Modello'!$D$57:$D$60,MATCH($B196,'Parametri Modello'!$A$57:$A$60,0)))*(INDEX('Parametri Modello'!$B$50:$B$53,MATCH($B196,'Parametri Modello'!$A$50:$A$53,0))*'Parametri Modello'!$B$44))))*(1+IF(IF($B196="D",'Info Lega'!$B$25,IF($B196="C",'Info Lega'!$B$26,"No"))="Si",'Parametri Modello'!$B$5,0))*(1+MAX(-0.25,MIN(0.25,IF(OR($T196="",$I196="",$I196=0,INDEX('Parametri Modello'!$B$19:$B$22,MATCH($B196,'Parametri Modello'!$A$19:$A$22,0))="",INDEX('Parametri Modello'!$B$19:$B$22,MATCH($B196,'Parametri Modello'!$A$19:$A$22,0))=0),0,(($T196-INDEX('Parametri Modello'!$B$19:$B$22,MATCH($B196,'Parametri Modello'!$A$19:$A$22,0)))/INDEX('Parametri Modello'!$B$19:$B$22,MATCH($B196,'Parametri Modello'!$A$19:$A$22,0)))*'Parametri Modello'!$B$9))))*(1+IF('Parametri Modello'!$B$27="Si",MAX(-'Parametri Modello'!$B$28,MIN('Parametri Modello'!$B$28*1.5,IF(OR(INDEX('Parametri Modello'!$F$32:$F$35,MATCH($B196,'Parametri Modello'!$A$32:$A$35,0))="",INDEX('Parametri Modello'!$F$32:$F$35,MATCH($B196,'Parametri Modello'!$A$32:$A$35,0))=0),0,(1/INDEX('Parametri Modello'!$F$32:$F$35,MATCH($B196,'Parametri Modello'!$A$32:$A$35,0))-1)*'Parametri Modello'!$B$28))),0)))*(1+INDEX('Parametri Modello'!$B$12:$B$15,MATCH($B196,'Parametri Modello'!$A$12:$A$15,0))),0),"")</f>
        <v>7</v>
      </c>
      <c r="I196" s="26" t="n">
        <f aca="false">IFERROR(INDEX('Input Statistiche 2025_26'!$F$3:$F$665,MATCH($A196,'Input Statistiche 2025_26'!$A$3:$A$665,0)),"")</f>
        <v>30</v>
      </c>
      <c r="J196" s="26" t="n">
        <f aca="false">IFERROR(IF($I196="","",MAX(0,38-$I196)),"")</f>
        <v>8</v>
      </c>
      <c r="K196" s="26" t="n">
        <f aca="false">IFERROR(INDEX('Input Statistiche 2025_26'!$I$3:$I$665,MATCH($A196,'Input Statistiche 2025_26'!$A$3:$A$665,0)),"")</f>
        <v>4</v>
      </c>
      <c r="L196" s="26" t="n">
        <f aca="false">IFERROR(INDEX('Input Statistiche 2025_26'!$O$3:$O$665,MATCH($A196,'Input Statistiche 2025_26'!$A$3:$A$665,0)),"")</f>
        <v>0</v>
      </c>
      <c r="M196" s="28"/>
      <c r="N196" s="27" t="n">
        <f aca="false">IFERROR(INDEX('Input Giocatori 2026_27'!$E$3:$E$493,MATCH($A196,'Input Giocatori 2026_27'!$A$3:$A$493,0)),"")</f>
        <v>7</v>
      </c>
      <c r="O196" s="27" t="n">
        <f aca="false">IFERROR(INDEX('Input Giocatori 2026_27'!$G$3:$G$493,MATCH($A196,'Input Giocatori 2026_27'!$A$3:$A$493,0)),"")</f>
        <v>18</v>
      </c>
      <c r="P196" s="26" t="str">
        <f aca="false">IFERROR(IF($O196="","",IF((1-(COUNTIFS($B$2:$B$492,$B196,$O$2:$O$492,"&gt;"&amp;$O196)+1-1)/COUNTIF($B$2:$B$492,$B196))&gt;=0.85,"Top",IF((1-(COUNTIFS($B$2:$B$492,$B196,$O$2:$O$492,"&gt;"&amp;$O196)+1-1)/COUNTIF($B$2:$B$492,$B196))&gt;=0.6,"Buono",IF((1-(COUNTIFS($B$2:$B$492,$B196,$O$2:$O$492,"&gt;"&amp;$O196)+1-1)/COUNTIF($B$2:$B$492,$B196))&gt;=0.3,"Nella Media","Scommessa/Riserva")))),"")</f>
        <v>Nella Media</v>
      </c>
      <c r="Q196" s="29" t="n">
        <f aca="false">IF($D196="",COUNTIF($D$2:$D196,""),"")</f>
        <v>195</v>
      </c>
      <c r="R196" s="29" t="str">
        <f aca="false">IF($D196='Info Lega'!$B$28,COUNTIFS($D$2:$D196,'Info Lega'!$B$28),"")</f>
        <v/>
      </c>
      <c r="S196" s="30" t="n">
        <f aca="false">IFERROR(INDEX('Input Statistiche 2025_26'!$G$3:$G$665,MATCH($A196,'Input Statistiche 2025_26'!$A$3:$A$665,0)),"")</f>
        <v>5.73</v>
      </c>
      <c r="T196" s="30" t="n">
        <f aca="false">IFERROR(INDEX('Input Statistiche 2025_26'!$H$3:$H$665,MATCH($A196,'Input Statistiche 2025_26'!$A$3:$A$665,0)),"")</f>
        <v>6.12</v>
      </c>
      <c r="U196" s="26" t="str">
        <f aca="false">IF(OR('La Mia Rosa'!$O$12="",$D196&lt;&gt;""),"",IF($F196&lt;='La Mia Rosa'!$O$12*'Parametri Modello'!$B$24,"OK",IF($F196&lt;='La Mia Rosa'!$O$12*'Parametri Modello'!$B$25,"Attenzione","Rischio Alto")))</f>
        <v>OK</v>
      </c>
      <c r="V196" s="26" t="n">
        <f aca="false">IFERROR(COUNTIFS($B$2:$B$492,$B196,$O$2:$O$492,"&gt;"&amp;$O196)+1,"")</f>
        <v>51</v>
      </c>
      <c r="W196" s="21" t="n">
        <f aca="false">'Info Lega'!$B$4-SUMIFS($M$2:$M$492,$D$2:$D$492,'Info Lega'!$B$28)</f>
        <v>1000</v>
      </c>
      <c r="X196" s="21" t="n">
        <f aca="false">('Info Lega'!$B$5-COUNTIFS($D$2:$D$492,'Info Lega'!$B$28,$B$2:$B$492,"P"))+('Info Lega'!$B$6-COUNTIFS($D$2:$D$492,'Info Lega'!$B$28,$B$2:$B$492,"D"))+('Info Lega'!$B$7-COUNTIFS($D$2:$D$492,'Info Lega'!$B$28,$B$2:$B$492,"C"))+('Info Lega'!$B$8-COUNTIFS($D$2:$D$492,'Info Lega'!$B$28,$B$2:$B$492,"A"))</f>
        <v>25</v>
      </c>
      <c r="Y196" s="21" t="n">
        <f aca="false">X196*'Parametri Modello'!$B$30</f>
        <v>25</v>
      </c>
      <c r="Z196" s="21" t="n">
        <f aca="false">MAX(0,W196-Y196)</f>
        <v>975</v>
      </c>
      <c r="AA196" s="21" t="n">
        <f aca="false">MIN(F196,Z196)</f>
        <v>6</v>
      </c>
      <c r="AB196" s="21"/>
      <c r="AC196" s="21" t="str">
        <f aca="false">IF(AB196="","",IF(AB196&gt;AA196,"PASS",IF(AB196&lt;=AA196*0.85,"BID","ATTENZIONE")))</f>
        <v/>
      </c>
      <c r="AD196" s="31" t="n">
        <f aca="false">IF(I196="","",ROUND(100*(1-EXP(-I196/30)),0))</f>
        <v>63</v>
      </c>
      <c r="AE196" s="7" t="str">
        <f aca="false">IFERROR(INDEX('Stato Asta'!$G$9:$G$12,MATCH($B196,'Stato Asta'!$A$9:$A$12,0)),"")</f>
        <v>🔴 Non aspettare</v>
      </c>
    </row>
    <row r="197" customFormat="false" ht="14.25" hidden="false" customHeight="true" outlineLevel="0" collapsed="false">
      <c r="A197" s="21" t="n">
        <v>608</v>
      </c>
      <c r="B197" s="21" t="s">
        <v>46</v>
      </c>
      <c r="C197" s="21" t="s">
        <v>586</v>
      </c>
      <c r="E197" s="26" t="str">
        <f aca="false">IF(COUNTIF('Info Strategia'!$D$2:$D$51,$C197)&gt;0,"SI","NO")</f>
        <v>NO</v>
      </c>
      <c r="F197" s="27" t="n">
        <f aca="false">IFERROR(ROUND(($G197+($H197-$G197)*'Info Strategia'!$B$6)*(1+IF($E197="SI",'Parametri Modello'!$B$7*'Info Strategia'!$B$6,0)),0),"")</f>
        <v>6</v>
      </c>
      <c r="G197" s="27" t="n">
        <f aca="false">IFERROR(ROUND(MAX(1,(IF($V197&lt;=INDEX('Parametri Modello'!$C$57:$C$60,MATCH($B197,'Parametri Modello'!$A$57:$A$60,0)),IF(INDEX('Parametri Modello'!$E$57:$E$60,MATCH($B197,'Parametri Modello'!$A$57:$A$60,0))=0,0,($O197/INDEX('Parametri Modello'!$E$57:$E$60,MATCH($B197,'Parametri Modello'!$A$57:$A$60,0)))*(INDEX('Parametri Modello'!$D$57:$D$60,MATCH($B197,'Parametri Modello'!$A$57:$A$60,0))*(INDEX('Parametri Modello'!$B$50:$B$53,MATCH($B197,'Parametri Modello'!$A$50:$A$53,0))*'Parametri Modello'!$B$44))),IF(INDEX('Parametri Modello'!$F$57:$F$60,MATCH($B197,'Parametri Modello'!$A$57:$A$60,0))=0,0,($O197/INDEX('Parametri Modello'!$F$57:$F$60,MATCH($B197,'Parametri Modello'!$A$57:$A$60,0)))*((1-INDEX('Parametri Modello'!$D$57:$D$60,MATCH($B197,'Parametri Modello'!$A$57:$A$60,0)))*(INDEX('Parametri Modello'!$B$50:$B$53,MATCH($B197,'Parametri Modello'!$A$50:$A$53,0))*'Parametri Modello'!$B$44))))*(1+IF(IF($B197="D",'Info Lega'!$B$25,IF($B197="C",'Info Lega'!$B$26,"No"))="Si",'Parametri Modello'!$B$5,0))*(1+MAX(-0.25,MIN(0.25,IF(OR($T197="",$I197="",$I197=0,INDEX('Parametri Modello'!$B$19:$B$22,MATCH($B197,'Parametri Modello'!$A$19:$A$22,0))="",INDEX('Parametri Modello'!$B$19:$B$22,MATCH($B197,'Parametri Modello'!$A$19:$A$22,0))=0),0,(($T197-INDEX('Parametri Modello'!$B$19:$B$22,MATCH($B197,'Parametri Modello'!$A$19:$A$22,0)))/INDEX('Parametri Modello'!$B$19:$B$22,MATCH($B197,'Parametri Modello'!$A$19:$A$22,0)))*'Parametri Modello'!$B$9))))*(1+IF('Parametri Modello'!$B$27="Si",MAX(-'Parametri Modello'!$B$28,MIN('Parametri Modello'!$B$28*1.5,IF(OR(INDEX('Parametri Modello'!$F$32:$F$35,MATCH($B197,'Parametri Modello'!$A$32:$A$35,0))="",INDEX('Parametri Modello'!$F$32:$F$35,MATCH($B197,'Parametri Modello'!$A$32:$A$35,0))=0),0,(1/INDEX('Parametri Modello'!$F$32:$F$35,MATCH($B197,'Parametri Modello'!$A$32:$A$35,0))-1)*'Parametri Modello'!$B$28))),0)))*(1-INDEX('Parametri Modello'!$B$12:$B$15,MATCH($B197,'Parametri Modello'!$A$12:$A$15,0)))),0),"")</f>
        <v>4</v>
      </c>
      <c r="H197" s="27" t="n">
        <f aca="false">IFERROR(ROUND((IF($V197&lt;=INDEX('Parametri Modello'!$C$57:$C$60,MATCH($B197,'Parametri Modello'!$A$57:$A$60,0)),IF(INDEX('Parametri Modello'!$E$57:$E$60,MATCH($B197,'Parametri Modello'!$A$57:$A$60,0))=0,0,($O197/INDEX('Parametri Modello'!$E$57:$E$60,MATCH($B197,'Parametri Modello'!$A$57:$A$60,0)))*(INDEX('Parametri Modello'!$D$57:$D$60,MATCH($B197,'Parametri Modello'!$A$57:$A$60,0))*(INDEX('Parametri Modello'!$B$50:$B$53,MATCH($B197,'Parametri Modello'!$A$50:$A$53,0))*'Parametri Modello'!$B$44))),IF(INDEX('Parametri Modello'!$F$57:$F$60,MATCH($B197,'Parametri Modello'!$A$57:$A$60,0))=0,0,($O197/INDEX('Parametri Modello'!$F$57:$F$60,MATCH($B197,'Parametri Modello'!$A$57:$A$60,0)))*((1-INDEX('Parametri Modello'!$D$57:$D$60,MATCH($B197,'Parametri Modello'!$A$57:$A$60,0)))*(INDEX('Parametri Modello'!$B$50:$B$53,MATCH($B197,'Parametri Modello'!$A$50:$A$53,0))*'Parametri Modello'!$B$44))))*(1+IF(IF($B197="D",'Info Lega'!$B$25,IF($B197="C",'Info Lega'!$B$26,"No"))="Si",'Parametri Modello'!$B$5,0))*(1+MAX(-0.25,MIN(0.25,IF(OR($T197="",$I197="",$I197=0,INDEX('Parametri Modello'!$B$19:$B$22,MATCH($B197,'Parametri Modello'!$A$19:$A$22,0))="",INDEX('Parametri Modello'!$B$19:$B$22,MATCH($B197,'Parametri Modello'!$A$19:$A$22,0))=0),0,(($T197-INDEX('Parametri Modello'!$B$19:$B$22,MATCH($B197,'Parametri Modello'!$A$19:$A$22,0)))/INDEX('Parametri Modello'!$B$19:$B$22,MATCH($B197,'Parametri Modello'!$A$19:$A$22,0)))*'Parametri Modello'!$B$9))))*(1+IF('Parametri Modello'!$B$27="Si",MAX(-'Parametri Modello'!$B$28,MIN('Parametri Modello'!$B$28*1.5,IF(OR(INDEX('Parametri Modello'!$F$32:$F$35,MATCH($B197,'Parametri Modello'!$A$32:$A$35,0))="",INDEX('Parametri Modello'!$F$32:$F$35,MATCH($B197,'Parametri Modello'!$A$32:$A$35,0))=0),0,(1/INDEX('Parametri Modello'!$F$32:$F$35,MATCH($B197,'Parametri Modello'!$A$32:$A$35,0))-1)*'Parametri Modello'!$B$28))),0)))*(1+INDEX('Parametri Modello'!$B$12:$B$15,MATCH($B197,'Parametri Modello'!$A$12:$A$15,0))),0),"")</f>
        <v>7</v>
      </c>
      <c r="I197" s="26" t="n">
        <f aca="false">IFERROR(INDEX('Input Statistiche 2025_26'!$F$3:$F$665,MATCH($A197,'Input Statistiche 2025_26'!$A$3:$A$665,0)),"")</f>
        <v>23</v>
      </c>
      <c r="J197" s="26" t="n">
        <f aca="false">IFERROR(IF($I197="","",MAX(0,38-$I197)),"")</f>
        <v>15</v>
      </c>
      <c r="K197" s="26" t="n">
        <f aca="false">IFERROR(INDEX('Input Statistiche 2025_26'!$I$3:$I$665,MATCH($A197,'Input Statistiche 2025_26'!$A$3:$A$665,0)),"")</f>
        <v>3</v>
      </c>
      <c r="L197" s="26" t="n">
        <f aca="false">IFERROR(INDEX('Input Statistiche 2025_26'!$O$3:$O$665,MATCH($A197,'Input Statistiche 2025_26'!$A$3:$A$665,0)),"")</f>
        <v>1</v>
      </c>
      <c r="M197" s="28"/>
      <c r="N197" s="27" t="n">
        <f aca="false">IFERROR(INDEX('Input Giocatori 2026_27'!$E$3:$E$493,MATCH($A197,'Input Giocatori 2026_27'!$A$3:$A$493,0)),"")</f>
        <v>7</v>
      </c>
      <c r="O197" s="27" t="n">
        <f aca="false">IFERROR(INDEX('Input Giocatori 2026_27'!$G$3:$G$493,MATCH($A197,'Input Giocatori 2026_27'!$A$3:$A$493,0)),"")</f>
        <v>18</v>
      </c>
      <c r="P197" s="26" t="str">
        <f aca="false">IFERROR(IF($O197="","",IF((1-(COUNTIFS($B$2:$B$492,$B197,$O$2:$O$492,"&gt;"&amp;$O197)+1-1)/COUNTIF($B$2:$B$492,$B197))&gt;=0.85,"Top",IF((1-(COUNTIFS($B$2:$B$492,$B197,$O$2:$O$492,"&gt;"&amp;$O197)+1-1)/COUNTIF($B$2:$B$492,$B197))&gt;=0.6,"Buono",IF((1-(COUNTIFS($B$2:$B$492,$B197,$O$2:$O$492,"&gt;"&amp;$O197)+1-1)/COUNTIF($B$2:$B$492,$B197))&gt;=0.3,"Nella Media","Scommessa/Riserva")))),"")</f>
        <v>Nella Media</v>
      </c>
      <c r="Q197" s="29" t="n">
        <f aca="false">IF($D197="",COUNTIF($D$2:$D197,""),"")</f>
        <v>196</v>
      </c>
      <c r="R197" s="29" t="str">
        <f aca="false">IF($D197='Info Lega'!$B$28,COUNTIFS($D$2:$D197,'Info Lega'!$B$28),"")</f>
        <v/>
      </c>
      <c r="S197" s="30" t="n">
        <f aca="false">IFERROR(INDEX('Input Statistiche 2025_26'!$G$3:$G$665,MATCH($A197,'Input Statistiche 2025_26'!$A$3:$A$665,0)),"")</f>
        <v>5.83</v>
      </c>
      <c r="T197" s="30" t="n">
        <f aca="false">IFERROR(INDEX('Input Statistiche 2025_26'!$H$3:$H$665,MATCH($A197,'Input Statistiche 2025_26'!$A$3:$A$665,0)),"")</f>
        <v>6.13</v>
      </c>
      <c r="U197" s="26" t="str">
        <f aca="false">IF(OR('La Mia Rosa'!$O$12="",$D197&lt;&gt;""),"",IF($F197&lt;='La Mia Rosa'!$O$12*'Parametri Modello'!$B$24,"OK",IF($F197&lt;='La Mia Rosa'!$O$12*'Parametri Modello'!$B$25,"Attenzione","Rischio Alto")))</f>
        <v>OK</v>
      </c>
      <c r="V197" s="26" t="n">
        <f aca="false">IFERROR(COUNTIFS($B$2:$B$492,$B197,$O$2:$O$492,"&gt;"&amp;$O197)+1,"")</f>
        <v>51</v>
      </c>
      <c r="W197" s="21" t="n">
        <f aca="false">'Info Lega'!$B$4-SUMIFS($M$2:$M$492,$D$2:$D$492,'Info Lega'!$B$28)</f>
        <v>1000</v>
      </c>
      <c r="X197" s="21" t="n">
        <f aca="false">('Info Lega'!$B$5-COUNTIFS($D$2:$D$492,'Info Lega'!$B$28,$B$2:$B$492,"P"))+('Info Lega'!$B$6-COUNTIFS($D$2:$D$492,'Info Lega'!$B$28,$B$2:$B$492,"D"))+('Info Lega'!$B$7-COUNTIFS($D$2:$D$492,'Info Lega'!$B$28,$B$2:$B$492,"C"))+('Info Lega'!$B$8-COUNTIFS($D$2:$D$492,'Info Lega'!$B$28,$B$2:$B$492,"A"))</f>
        <v>25</v>
      </c>
      <c r="Y197" s="21" t="n">
        <f aca="false">X197*'Parametri Modello'!$B$30</f>
        <v>25</v>
      </c>
      <c r="Z197" s="21" t="n">
        <f aca="false">MAX(0,W197-Y197)</f>
        <v>975</v>
      </c>
      <c r="AA197" s="21" t="n">
        <f aca="false">MIN(F197,Z197)</f>
        <v>6</v>
      </c>
      <c r="AB197" s="21"/>
      <c r="AC197" s="21" t="str">
        <f aca="false">IF(AB197="","",IF(AB197&gt;AA197,"PASS",IF(AB197&lt;=AA197*0.85,"BID","ATTENZIONE")))</f>
        <v/>
      </c>
      <c r="AD197" s="31" t="n">
        <f aca="false">IF(I197="","",ROUND(100*(1-EXP(-I197/30)),0))</f>
        <v>54</v>
      </c>
      <c r="AE197" s="7" t="str">
        <f aca="false">IFERROR(INDEX('Stato Asta'!$G$9:$G$12,MATCH($B197,'Stato Asta'!$A$9:$A$12,0)),"")</f>
        <v>🔴 Non aspettare</v>
      </c>
    </row>
    <row r="198" customFormat="false" ht="14.25" hidden="false" customHeight="true" outlineLevel="0" collapsed="false">
      <c r="A198" s="21" t="n">
        <v>6519</v>
      </c>
      <c r="B198" s="21" t="s">
        <v>46</v>
      </c>
      <c r="C198" s="21" t="s">
        <v>594</v>
      </c>
      <c r="E198" s="26" t="str">
        <f aca="false">IF(COUNTIF('Info Strategia'!$D$2:$D$51,$C198)&gt;0,"SI","NO")</f>
        <v>NO</v>
      </c>
      <c r="F198" s="27" t="n">
        <f aca="false">IFERROR(ROUND(($G198+($H198-$G198)*'Info Strategia'!$B$6)*(1+IF($E198="SI",'Parametri Modello'!$B$7*'Info Strategia'!$B$6,0)),0),"")</f>
        <v>6</v>
      </c>
      <c r="G198" s="27" t="n">
        <f aca="false">IFERROR(ROUND(MAX(1,(IF($V198&lt;=INDEX('Parametri Modello'!$C$57:$C$60,MATCH($B198,'Parametri Modello'!$A$57:$A$60,0)),IF(INDEX('Parametri Modello'!$E$57:$E$60,MATCH($B198,'Parametri Modello'!$A$57:$A$60,0))=0,0,($O198/INDEX('Parametri Modello'!$E$57:$E$60,MATCH($B198,'Parametri Modello'!$A$57:$A$60,0)))*(INDEX('Parametri Modello'!$D$57:$D$60,MATCH($B198,'Parametri Modello'!$A$57:$A$60,0))*(INDEX('Parametri Modello'!$B$50:$B$53,MATCH($B198,'Parametri Modello'!$A$50:$A$53,0))*'Parametri Modello'!$B$44))),IF(INDEX('Parametri Modello'!$F$57:$F$60,MATCH($B198,'Parametri Modello'!$A$57:$A$60,0))=0,0,($O198/INDEX('Parametri Modello'!$F$57:$F$60,MATCH($B198,'Parametri Modello'!$A$57:$A$60,0)))*((1-INDEX('Parametri Modello'!$D$57:$D$60,MATCH($B198,'Parametri Modello'!$A$57:$A$60,0)))*(INDEX('Parametri Modello'!$B$50:$B$53,MATCH($B198,'Parametri Modello'!$A$50:$A$53,0))*'Parametri Modello'!$B$44))))*(1+IF(IF($B198="D",'Info Lega'!$B$25,IF($B198="C",'Info Lega'!$B$26,"No"))="Si",'Parametri Modello'!$B$5,0))*(1+MAX(-0.25,MIN(0.25,IF(OR($T198="",$I198="",$I198=0,INDEX('Parametri Modello'!$B$19:$B$22,MATCH($B198,'Parametri Modello'!$A$19:$A$22,0))="",INDEX('Parametri Modello'!$B$19:$B$22,MATCH($B198,'Parametri Modello'!$A$19:$A$22,0))=0),0,(($T198-INDEX('Parametri Modello'!$B$19:$B$22,MATCH($B198,'Parametri Modello'!$A$19:$A$22,0)))/INDEX('Parametri Modello'!$B$19:$B$22,MATCH($B198,'Parametri Modello'!$A$19:$A$22,0)))*'Parametri Modello'!$B$9))))*(1+IF('Parametri Modello'!$B$27="Si",MAX(-'Parametri Modello'!$B$28,MIN('Parametri Modello'!$B$28*1.5,IF(OR(INDEX('Parametri Modello'!$F$32:$F$35,MATCH($B198,'Parametri Modello'!$A$32:$A$35,0))="",INDEX('Parametri Modello'!$F$32:$F$35,MATCH($B198,'Parametri Modello'!$A$32:$A$35,0))=0),0,(1/INDEX('Parametri Modello'!$F$32:$F$35,MATCH($B198,'Parametri Modello'!$A$32:$A$35,0))-1)*'Parametri Modello'!$B$28))),0)))*(1-INDEX('Parametri Modello'!$B$12:$B$15,MATCH($B198,'Parametri Modello'!$A$12:$A$15,0)))),0),"")</f>
        <v>4</v>
      </c>
      <c r="H198" s="27" t="n">
        <f aca="false">IFERROR(ROUND((IF($V198&lt;=INDEX('Parametri Modello'!$C$57:$C$60,MATCH($B198,'Parametri Modello'!$A$57:$A$60,0)),IF(INDEX('Parametri Modello'!$E$57:$E$60,MATCH($B198,'Parametri Modello'!$A$57:$A$60,0))=0,0,($O198/INDEX('Parametri Modello'!$E$57:$E$60,MATCH($B198,'Parametri Modello'!$A$57:$A$60,0)))*(INDEX('Parametri Modello'!$D$57:$D$60,MATCH($B198,'Parametri Modello'!$A$57:$A$60,0))*(INDEX('Parametri Modello'!$B$50:$B$53,MATCH($B198,'Parametri Modello'!$A$50:$A$53,0))*'Parametri Modello'!$B$44))),IF(INDEX('Parametri Modello'!$F$57:$F$60,MATCH($B198,'Parametri Modello'!$A$57:$A$60,0))=0,0,($O198/INDEX('Parametri Modello'!$F$57:$F$60,MATCH($B198,'Parametri Modello'!$A$57:$A$60,0)))*((1-INDEX('Parametri Modello'!$D$57:$D$60,MATCH($B198,'Parametri Modello'!$A$57:$A$60,0)))*(INDEX('Parametri Modello'!$B$50:$B$53,MATCH($B198,'Parametri Modello'!$A$50:$A$53,0))*'Parametri Modello'!$B$44))))*(1+IF(IF($B198="D",'Info Lega'!$B$25,IF($B198="C",'Info Lega'!$B$26,"No"))="Si",'Parametri Modello'!$B$5,0))*(1+MAX(-0.25,MIN(0.25,IF(OR($T198="",$I198="",$I198=0,INDEX('Parametri Modello'!$B$19:$B$22,MATCH($B198,'Parametri Modello'!$A$19:$A$22,0))="",INDEX('Parametri Modello'!$B$19:$B$22,MATCH($B198,'Parametri Modello'!$A$19:$A$22,0))=0),0,(($T198-INDEX('Parametri Modello'!$B$19:$B$22,MATCH($B198,'Parametri Modello'!$A$19:$A$22,0)))/INDEX('Parametri Modello'!$B$19:$B$22,MATCH($B198,'Parametri Modello'!$A$19:$A$22,0)))*'Parametri Modello'!$B$9))))*(1+IF('Parametri Modello'!$B$27="Si",MAX(-'Parametri Modello'!$B$28,MIN('Parametri Modello'!$B$28*1.5,IF(OR(INDEX('Parametri Modello'!$F$32:$F$35,MATCH($B198,'Parametri Modello'!$A$32:$A$35,0))="",INDEX('Parametri Modello'!$F$32:$F$35,MATCH($B198,'Parametri Modello'!$A$32:$A$35,0))=0),0,(1/INDEX('Parametri Modello'!$F$32:$F$35,MATCH($B198,'Parametri Modello'!$A$32:$A$35,0))-1)*'Parametri Modello'!$B$28))),0)))*(1+INDEX('Parametri Modello'!$B$12:$B$15,MATCH($B198,'Parametri Modello'!$A$12:$A$15,0))),0),"")</f>
        <v>7</v>
      </c>
      <c r="I198" s="26" t="n">
        <f aca="false">IFERROR(INDEX('Input Statistiche 2025_26'!$F$3:$F$665,MATCH($A198,'Input Statistiche 2025_26'!$A$3:$A$665,0)),"")</f>
        <v>18</v>
      </c>
      <c r="J198" s="26" t="n">
        <f aca="false">IFERROR(IF($I198="","",MAX(0,38-$I198)),"")</f>
        <v>20</v>
      </c>
      <c r="K198" s="26" t="n">
        <f aca="false">IFERROR(INDEX('Input Statistiche 2025_26'!$I$3:$I$665,MATCH($A198,'Input Statistiche 2025_26'!$A$3:$A$665,0)),"")</f>
        <v>1</v>
      </c>
      <c r="L198" s="26" t="n">
        <f aca="false">IFERROR(INDEX('Input Statistiche 2025_26'!$O$3:$O$665,MATCH($A198,'Input Statistiche 2025_26'!$A$3:$A$665,0)),"")</f>
        <v>0</v>
      </c>
      <c r="M198" s="28"/>
      <c r="N198" s="27" t="n">
        <f aca="false">IFERROR(INDEX('Input Giocatori 2026_27'!$E$3:$E$493,MATCH($A198,'Input Giocatori 2026_27'!$A$3:$A$493,0)),"")</f>
        <v>5</v>
      </c>
      <c r="O198" s="27" t="n">
        <f aca="false">IFERROR(INDEX('Input Giocatori 2026_27'!$G$3:$G$493,MATCH($A198,'Input Giocatori 2026_27'!$A$3:$A$493,0)),"")</f>
        <v>18</v>
      </c>
      <c r="P198" s="26" t="str">
        <f aca="false">IFERROR(IF($O198="","",IF((1-(COUNTIFS($B$2:$B$492,$B198,$O$2:$O$492,"&gt;"&amp;$O198)+1-1)/COUNTIF($B$2:$B$492,$B198))&gt;=0.85,"Top",IF((1-(COUNTIFS($B$2:$B$492,$B198,$O$2:$O$492,"&gt;"&amp;$O198)+1-1)/COUNTIF($B$2:$B$492,$B198))&gt;=0.6,"Buono",IF((1-(COUNTIFS($B$2:$B$492,$B198,$O$2:$O$492,"&gt;"&amp;$O198)+1-1)/COUNTIF($B$2:$B$492,$B198))&gt;=0.3,"Nella Media","Scommessa/Riserva")))),"")</f>
        <v>Nella Media</v>
      </c>
      <c r="Q198" s="29" t="n">
        <f aca="false">IF($D198="",COUNTIF($D$2:$D198,""),"")</f>
        <v>197</v>
      </c>
      <c r="R198" s="29" t="str">
        <f aca="false">IF($D198='Info Lega'!$B$28,COUNTIFS($D$2:$D198,'Info Lega'!$B$28),"")</f>
        <v/>
      </c>
      <c r="S198" s="30" t="n">
        <f aca="false">IFERROR(INDEX('Input Statistiche 2025_26'!$G$3:$G$665,MATCH($A198,'Input Statistiche 2025_26'!$A$3:$A$665,0)),"")</f>
        <v>5.67</v>
      </c>
      <c r="T198" s="30" t="n">
        <f aca="false">IFERROR(INDEX('Input Statistiche 2025_26'!$H$3:$H$665,MATCH($A198,'Input Statistiche 2025_26'!$A$3:$A$665,0)),"")</f>
        <v>5.64</v>
      </c>
      <c r="U198" s="26" t="str">
        <f aca="false">IF(OR('La Mia Rosa'!$O$12="",$D198&lt;&gt;""),"",IF($F198&lt;='La Mia Rosa'!$O$12*'Parametri Modello'!$B$24,"OK",IF($F198&lt;='La Mia Rosa'!$O$12*'Parametri Modello'!$B$25,"Attenzione","Rischio Alto")))</f>
        <v>OK</v>
      </c>
      <c r="V198" s="26" t="n">
        <f aca="false">IFERROR(COUNTIFS($B$2:$B$492,$B198,$O$2:$O$492,"&gt;"&amp;$O198)+1,"")</f>
        <v>51</v>
      </c>
      <c r="W198" s="21" t="n">
        <f aca="false">'Info Lega'!$B$4-SUMIFS($M$2:$M$492,$D$2:$D$492,'Info Lega'!$B$28)</f>
        <v>1000</v>
      </c>
      <c r="X198" s="21" t="n">
        <f aca="false">('Info Lega'!$B$5-COUNTIFS($D$2:$D$492,'Info Lega'!$B$28,$B$2:$B$492,"P"))+('Info Lega'!$B$6-COUNTIFS($D$2:$D$492,'Info Lega'!$B$28,$B$2:$B$492,"D"))+('Info Lega'!$B$7-COUNTIFS($D$2:$D$492,'Info Lega'!$B$28,$B$2:$B$492,"C"))+('Info Lega'!$B$8-COUNTIFS($D$2:$D$492,'Info Lega'!$B$28,$B$2:$B$492,"A"))</f>
        <v>25</v>
      </c>
      <c r="Y198" s="21" t="n">
        <f aca="false">X198*'Parametri Modello'!$B$30</f>
        <v>25</v>
      </c>
      <c r="Z198" s="21" t="n">
        <f aca="false">MAX(0,W198-Y198)</f>
        <v>975</v>
      </c>
      <c r="AA198" s="21" t="n">
        <f aca="false">MIN(F198,Z198)</f>
        <v>6</v>
      </c>
      <c r="AB198" s="21"/>
      <c r="AC198" s="21" t="str">
        <f aca="false">IF(AB198="","",IF(AB198&gt;AA198,"PASS",IF(AB198&lt;=AA198*0.85,"BID","ATTENZIONE")))</f>
        <v/>
      </c>
      <c r="AD198" s="31" t="n">
        <f aca="false">IF(I198="","",ROUND(100*(1-EXP(-I198/30)),0))</f>
        <v>45</v>
      </c>
      <c r="AE198" s="7" t="str">
        <f aca="false">IFERROR(INDEX('Stato Asta'!$G$9:$G$12,MATCH($B198,'Stato Asta'!$A$9:$A$12,0)),"")</f>
        <v>🔴 Non aspettare</v>
      </c>
    </row>
    <row r="199" customFormat="false" ht="14.25" hidden="false" customHeight="true" outlineLevel="0" collapsed="false">
      <c r="A199" s="21" t="n">
        <v>5882</v>
      </c>
      <c r="B199" s="21" t="s">
        <v>46</v>
      </c>
      <c r="C199" s="21" t="s">
        <v>595</v>
      </c>
      <c r="E199" s="26" t="str">
        <f aca="false">IF(COUNTIF('Info Strategia'!$D$2:$D$51,$C199)&gt;0,"SI","NO")</f>
        <v>NO</v>
      </c>
      <c r="F199" s="27" t="n">
        <f aca="false">IFERROR(ROUND(($G199+($H199-$G199)*'Info Strategia'!$B$6)*(1+IF($E199="SI",'Parametri Modello'!$B$7*'Info Strategia'!$B$6,0)),0),"")</f>
        <v>6</v>
      </c>
      <c r="G199" s="27" t="n">
        <f aca="false">IFERROR(ROUND(MAX(1,(IF($V199&lt;=INDEX('Parametri Modello'!$C$57:$C$60,MATCH($B199,'Parametri Modello'!$A$57:$A$60,0)),IF(INDEX('Parametri Modello'!$E$57:$E$60,MATCH($B199,'Parametri Modello'!$A$57:$A$60,0))=0,0,($O199/INDEX('Parametri Modello'!$E$57:$E$60,MATCH($B199,'Parametri Modello'!$A$57:$A$60,0)))*(INDEX('Parametri Modello'!$D$57:$D$60,MATCH($B199,'Parametri Modello'!$A$57:$A$60,0))*(INDEX('Parametri Modello'!$B$50:$B$53,MATCH($B199,'Parametri Modello'!$A$50:$A$53,0))*'Parametri Modello'!$B$44))),IF(INDEX('Parametri Modello'!$F$57:$F$60,MATCH($B199,'Parametri Modello'!$A$57:$A$60,0))=0,0,($O199/INDEX('Parametri Modello'!$F$57:$F$60,MATCH($B199,'Parametri Modello'!$A$57:$A$60,0)))*((1-INDEX('Parametri Modello'!$D$57:$D$60,MATCH($B199,'Parametri Modello'!$A$57:$A$60,0)))*(INDEX('Parametri Modello'!$B$50:$B$53,MATCH($B199,'Parametri Modello'!$A$50:$A$53,0))*'Parametri Modello'!$B$44))))*(1+IF(IF($B199="D",'Info Lega'!$B$25,IF($B199="C",'Info Lega'!$B$26,"No"))="Si",'Parametri Modello'!$B$5,0))*(1+MAX(-0.25,MIN(0.25,IF(OR($T199="",$I199="",$I199=0,INDEX('Parametri Modello'!$B$19:$B$22,MATCH($B199,'Parametri Modello'!$A$19:$A$22,0))="",INDEX('Parametri Modello'!$B$19:$B$22,MATCH($B199,'Parametri Modello'!$A$19:$A$22,0))=0),0,(($T199-INDEX('Parametri Modello'!$B$19:$B$22,MATCH($B199,'Parametri Modello'!$A$19:$A$22,0)))/INDEX('Parametri Modello'!$B$19:$B$22,MATCH($B199,'Parametri Modello'!$A$19:$A$22,0)))*'Parametri Modello'!$B$9))))*(1+IF('Parametri Modello'!$B$27="Si",MAX(-'Parametri Modello'!$B$28,MIN('Parametri Modello'!$B$28*1.5,IF(OR(INDEX('Parametri Modello'!$F$32:$F$35,MATCH($B199,'Parametri Modello'!$A$32:$A$35,0))="",INDEX('Parametri Modello'!$F$32:$F$35,MATCH($B199,'Parametri Modello'!$A$32:$A$35,0))=0),0,(1/INDEX('Parametri Modello'!$F$32:$F$35,MATCH($B199,'Parametri Modello'!$A$32:$A$35,0))-1)*'Parametri Modello'!$B$28))),0)))*(1-INDEX('Parametri Modello'!$B$12:$B$15,MATCH($B199,'Parametri Modello'!$A$12:$A$15,0)))),0),"")</f>
        <v>4</v>
      </c>
      <c r="H199" s="27" t="n">
        <f aca="false">IFERROR(ROUND((IF($V199&lt;=INDEX('Parametri Modello'!$C$57:$C$60,MATCH($B199,'Parametri Modello'!$A$57:$A$60,0)),IF(INDEX('Parametri Modello'!$E$57:$E$60,MATCH($B199,'Parametri Modello'!$A$57:$A$60,0))=0,0,($O199/INDEX('Parametri Modello'!$E$57:$E$60,MATCH($B199,'Parametri Modello'!$A$57:$A$60,0)))*(INDEX('Parametri Modello'!$D$57:$D$60,MATCH($B199,'Parametri Modello'!$A$57:$A$60,0))*(INDEX('Parametri Modello'!$B$50:$B$53,MATCH($B199,'Parametri Modello'!$A$50:$A$53,0))*'Parametri Modello'!$B$44))),IF(INDEX('Parametri Modello'!$F$57:$F$60,MATCH($B199,'Parametri Modello'!$A$57:$A$60,0))=0,0,($O199/INDEX('Parametri Modello'!$F$57:$F$60,MATCH($B199,'Parametri Modello'!$A$57:$A$60,0)))*((1-INDEX('Parametri Modello'!$D$57:$D$60,MATCH($B199,'Parametri Modello'!$A$57:$A$60,0)))*(INDEX('Parametri Modello'!$B$50:$B$53,MATCH($B199,'Parametri Modello'!$A$50:$A$53,0))*'Parametri Modello'!$B$44))))*(1+IF(IF($B199="D",'Info Lega'!$B$25,IF($B199="C",'Info Lega'!$B$26,"No"))="Si",'Parametri Modello'!$B$5,0))*(1+MAX(-0.25,MIN(0.25,IF(OR($T199="",$I199="",$I199=0,INDEX('Parametri Modello'!$B$19:$B$22,MATCH($B199,'Parametri Modello'!$A$19:$A$22,0))="",INDEX('Parametri Modello'!$B$19:$B$22,MATCH($B199,'Parametri Modello'!$A$19:$A$22,0))=0),0,(($T199-INDEX('Parametri Modello'!$B$19:$B$22,MATCH($B199,'Parametri Modello'!$A$19:$A$22,0)))/INDEX('Parametri Modello'!$B$19:$B$22,MATCH($B199,'Parametri Modello'!$A$19:$A$22,0)))*'Parametri Modello'!$B$9))))*(1+IF('Parametri Modello'!$B$27="Si",MAX(-'Parametri Modello'!$B$28,MIN('Parametri Modello'!$B$28*1.5,IF(OR(INDEX('Parametri Modello'!$F$32:$F$35,MATCH($B199,'Parametri Modello'!$A$32:$A$35,0))="",INDEX('Parametri Modello'!$F$32:$F$35,MATCH($B199,'Parametri Modello'!$A$32:$A$35,0))=0),0,(1/INDEX('Parametri Modello'!$F$32:$F$35,MATCH($B199,'Parametri Modello'!$A$32:$A$35,0))-1)*'Parametri Modello'!$B$28))),0)))*(1+INDEX('Parametri Modello'!$B$12:$B$15,MATCH($B199,'Parametri Modello'!$A$12:$A$15,0))),0),"")</f>
        <v>7</v>
      </c>
      <c r="I199" s="26" t="str">
        <f aca="false">IFERROR(INDEX('Input Statistiche 2025_26'!$F$3:$F$665,MATCH($A199,'Input Statistiche 2025_26'!$A$3:$A$665,0)),"")</f>
        <v/>
      </c>
      <c r="J199" s="26" t="str">
        <f aca="false">IFERROR(IF($I199="","",MAX(0,38-$I199)),"")</f>
        <v/>
      </c>
      <c r="K199" s="26" t="str">
        <f aca="false">IFERROR(INDEX('Input Statistiche 2025_26'!$I$3:$I$665,MATCH($A199,'Input Statistiche 2025_26'!$A$3:$A$665,0)),"")</f>
        <v/>
      </c>
      <c r="L199" s="26" t="str">
        <f aca="false">IFERROR(INDEX('Input Statistiche 2025_26'!$O$3:$O$665,MATCH($A199,'Input Statistiche 2025_26'!$A$3:$A$665,0)),"")</f>
        <v/>
      </c>
      <c r="M199" s="28"/>
      <c r="N199" s="27" t="n">
        <f aca="false">IFERROR(INDEX('Input Giocatori 2026_27'!$E$3:$E$493,MATCH($A199,'Input Giocatori 2026_27'!$A$3:$A$493,0)),"")</f>
        <v>5</v>
      </c>
      <c r="O199" s="27" t="n">
        <f aca="false">IFERROR(INDEX('Input Giocatori 2026_27'!$G$3:$G$493,MATCH($A199,'Input Giocatori 2026_27'!$A$3:$A$493,0)),"")</f>
        <v>18</v>
      </c>
      <c r="P199" s="26" t="str">
        <f aca="false">IFERROR(IF($O199="","",IF((1-(COUNTIFS($B$2:$B$492,$B199,$O$2:$O$492,"&gt;"&amp;$O199)+1-1)/COUNTIF($B$2:$B$492,$B199))&gt;=0.85,"Top",IF((1-(COUNTIFS($B$2:$B$492,$B199,$O$2:$O$492,"&gt;"&amp;$O199)+1-1)/COUNTIF($B$2:$B$492,$B199))&gt;=0.6,"Buono",IF((1-(COUNTIFS($B$2:$B$492,$B199,$O$2:$O$492,"&gt;"&amp;$O199)+1-1)/COUNTIF($B$2:$B$492,$B199))&gt;=0.3,"Nella Media","Scommessa/Riserva")))),"")</f>
        <v>Nella Media</v>
      </c>
      <c r="Q199" s="29" t="n">
        <f aca="false">IF($D199="",COUNTIF($D$2:$D199,""),"")</f>
        <v>198</v>
      </c>
      <c r="R199" s="29" t="str">
        <f aca="false">IF($D199='Info Lega'!$B$28,COUNTIFS($D$2:$D199,'Info Lega'!$B$28),"")</f>
        <v/>
      </c>
      <c r="S199" s="30" t="str">
        <f aca="false">IFERROR(INDEX('Input Statistiche 2025_26'!$G$3:$G$665,MATCH($A199,'Input Statistiche 2025_26'!$A$3:$A$665,0)),"")</f>
        <v/>
      </c>
      <c r="T199" s="30" t="str">
        <f aca="false">IFERROR(INDEX('Input Statistiche 2025_26'!$H$3:$H$665,MATCH($A199,'Input Statistiche 2025_26'!$A$3:$A$665,0)),"")</f>
        <v/>
      </c>
      <c r="U199" s="26" t="str">
        <f aca="false">IF(OR('La Mia Rosa'!$O$12="",$D199&lt;&gt;""),"",IF($F199&lt;='La Mia Rosa'!$O$12*'Parametri Modello'!$B$24,"OK",IF($F199&lt;='La Mia Rosa'!$O$12*'Parametri Modello'!$B$25,"Attenzione","Rischio Alto")))</f>
        <v>OK</v>
      </c>
      <c r="V199" s="26" t="n">
        <f aca="false">IFERROR(COUNTIFS($B$2:$B$492,$B199,$O$2:$O$492,"&gt;"&amp;$O199)+1,"")</f>
        <v>51</v>
      </c>
      <c r="W199" s="21" t="n">
        <f aca="false">'Info Lega'!$B$4-SUMIFS($M$2:$M$492,$D$2:$D$492,'Info Lega'!$B$28)</f>
        <v>1000</v>
      </c>
      <c r="X199" s="21" t="n">
        <f aca="false">('Info Lega'!$B$5-COUNTIFS($D$2:$D$492,'Info Lega'!$B$28,$B$2:$B$492,"P"))+('Info Lega'!$B$6-COUNTIFS($D$2:$D$492,'Info Lega'!$B$28,$B$2:$B$492,"D"))+('Info Lega'!$B$7-COUNTIFS($D$2:$D$492,'Info Lega'!$B$28,$B$2:$B$492,"C"))+('Info Lega'!$B$8-COUNTIFS($D$2:$D$492,'Info Lega'!$B$28,$B$2:$B$492,"A"))</f>
        <v>25</v>
      </c>
      <c r="Y199" s="21" t="n">
        <f aca="false">X199*'Parametri Modello'!$B$30</f>
        <v>25</v>
      </c>
      <c r="Z199" s="21" t="n">
        <f aca="false">MAX(0,W199-Y199)</f>
        <v>975</v>
      </c>
      <c r="AA199" s="21" t="n">
        <f aca="false">MIN(F199,Z199)</f>
        <v>6</v>
      </c>
      <c r="AB199" s="21"/>
      <c r="AC199" s="21" t="str">
        <f aca="false">IF(AB199="","",IF(AB199&gt;AA199,"PASS",IF(AB199&lt;=AA199*0.85,"BID","ATTENZIONE")))</f>
        <v/>
      </c>
      <c r="AD199" s="31" t="str">
        <f aca="false">IF(I199="","",ROUND(100*(1-EXP(-I199/30)),0))</f>
        <v/>
      </c>
      <c r="AE199" s="7" t="str">
        <f aca="false">IFERROR(INDEX('Stato Asta'!$G$9:$G$12,MATCH($B199,'Stato Asta'!$A$9:$A$12,0)),"")</f>
        <v>🔴 Non aspettare</v>
      </c>
    </row>
    <row r="200" customFormat="false" ht="14.25" hidden="false" customHeight="true" outlineLevel="0" collapsed="false">
      <c r="A200" s="21" t="n">
        <v>6989</v>
      </c>
      <c r="B200" s="21" t="s">
        <v>44</v>
      </c>
      <c r="C200" s="21" t="s">
        <v>234</v>
      </c>
      <c r="E200" s="26" t="str">
        <f aca="false">IF(COUNTIF('Info Strategia'!$D$2:$D$51,$C200)&gt;0,"SI","NO")</f>
        <v>NO</v>
      </c>
      <c r="F200" s="27" t="n">
        <f aca="false">IFERROR(ROUND(($G200+($H200-$G200)*'Info Strategia'!$B$6)*(1+IF($E200="SI",'Parametri Modello'!$B$7*'Info Strategia'!$B$6,0)),0),"")</f>
        <v>3</v>
      </c>
      <c r="G200" s="27" t="n">
        <f aca="false">IFERROR(ROUND(MAX(1,(IF($V200&lt;=INDEX('Parametri Modello'!$C$57:$C$60,MATCH($B200,'Parametri Modello'!$A$57:$A$60,0)),IF(INDEX('Parametri Modello'!$E$57:$E$60,MATCH($B200,'Parametri Modello'!$A$57:$A$60,0))=0,0,($O200/INDEX('Parametri Modello'!$E$57:$E$60,MATCH($B200,'Parametri Modello'!$A$57:$A$60,0)))*(INDEX('Parametri Modello'!$D$57:$D$60,MATCH($B200,'Parametri Modello'!$A$57:$A$60,0))*(INDEX('Parametri Modello'!$B$50:$B$53,MATCH($B200,'Parametri Modello'!$A$50:$A$53,0))*'Parametri Modello'!$B$44))),IF(INDEX('Parametri Modello'!$F$57:$F$60,MATCH($B200,'Parametri Modello'!$A$57:$A$60,0))=0,0,($O200/INDEX('Parametri Modello'!$F$57:$F$60,MATCH($B200,'Parametri Modello'!$A$57:$A$60,0)))*((1-INDEX('Parametri Modello'!$D$57:$D$60,MATCH($B200,'Parametri Modello'!$A$57:$A$60,0)))*(INDEX('Parametri Modello'!$B$50:$B$53,MATCH($B200,'Parametri Modello'!$A$50:$A$53,0))*'Parametri Modello'!$B$44))))*(1+IF(IF($B200="D",'Info Lega'!$B$25,IF($B200="C",'Info Lega'!$B$26,"No"))="Si",'Parametri Modello'!$B$5,0))*(1+MAX(-0.25,MIN(0.25,IF(OR($T200="",$I200="",$I200=0,INDEX('Parametri Modello'!$B$19:$B$22,MATCH($B200,'Parametri Modello'!$A$19:$A$22,0))="",INDEX('Parametri Modello'!$B$19:$B$22,MATCH($B200,'Parametri Modello'!$A$19:$A$22,0))=0),0,(($T200-INDEX('Parametri Modello'!$B$19:$B$22,MATCH($B200,'Parametri Modello'!$A$19:$A$22,0)))/INDEX('Parametri Modello'!$B$19:$B$22,MATCH($B200,'Parametri Modello'!$A$19:$A$22,0)))*'Parametri Modello'!$B$9))))*(1+IF('Parametri Modello'!$B$27="Si",MAX(-'Parametri Modello'!$B$28,MIN('Parametri Modello'!$B$28*1.5,IF(OR(INDEX('Parametri Modello'!$F$32:$F$35,MATCH($B200,'Parametri Modello'!$A$32:$A$35,0))="",INDEX('Parametri Modello'!$F$32:$F$35,MATCH($B200,'Parametri Modello'!$A$32:$A$35,0))=0),0,(1/INDEX('Parametri Modello'!$F$32:$F$35,MATCH($B200,'Parametri Modello'!$A$32:$A$35,0))-1)*'Parametri Modello'!$B$28))),0)))*(1-INDEX('Parametri Modello'!$B$12:$B$15,MATCH($B200,'Parametri Modello'!$A$12:$A$15,0)))),0),"")</f>
        <v>2</v>
      </c>
      <c r="H200" s="27" t="n">
        <f aca="false">IFERROR(ROUND((IF($V200&lt;=INDEX('Parametri Modello'!$C$57:$C$60,MATCH($B200,'Parametri Modello'!$A$57:$A$60,0)),IF(INDEX('Parametri Modello'!$E$57:$E$60,MATCH($B200,'Parametri Modello'!$A$57:$A$60,0))=0,0,($O200/INDEX('Parametri Modello'!$E$57:$E$60,MATCH($B200,'Parametri Modello'!$A$57:$A$60,0)))*(INDEX('Parametri Modello'!$D$57:$D$60,MATCH($B200,'Parametri Modello'!$A$57:$A$60,0))*(INDEX('Parametri Modello'!$B$50:$B$53,MATCH($B200,'Parametri Modello'!$A$50:$A$53,0))*'Parametri Modello'!$B$44))),IF(INDEX('Parametri Modello'!$F$57:$F$60,MATCH($B200,'Parametri Modello'!$A$57:$A$60,0))=0,0,($O200/INDEX('Parametri Modello'!$F$57:$F$60,MATCH($B200,'Parametri Modello'!$A$57:$A$60,0)))*((1-INDEX('Parametri Modello'!$D$57:$D$60,MATCH($B200,'Parametri Modello'!$A$57:$A$60,0)))*(INDEX('Parametri Modello'!$B$50:$B$53,MATCH($B200,'Parametri Modello'!$A$50:$A$53,0))*'Parametri Modello'!$B$44))))*(1+IF(IF($B200="D",'Info Lega'!$B$25,IF($B200="C",'Info Lega'!$B$26,"No"))="Si",'Parametri Modello'!$B$5,0))*(1+MAX(-0.25,MIN(0.25,IF(OR($T200="",$I200="",$I200=0,INDEX('Parametri Modello'!$B$19:$B$22,MATCH($B200,'Parametri Modello'!$A$19:$A$22,0))="",INDEX('Parametri Modello'!$B$19:$B$22,MATCH($B200,'Parametri Modello'!$A$19:$A$22,0))=0),0,(($T200-INDEX('Parametri Modello'!$B$19:$B$22,MATCH($B200,'Parametri Modello'!$A$19:$A$22,0)))/INDEX('Parametri Modello'!$B$19:$B$22,MATCH($B200,'Parametri Modello'!$A$19:$A$22,0)))*'Parametri Modello'!$B$9))))*(1+IF('Parametri Modello'!$B$27="Si",MAX(-'Parametri Modello'!$B$28,MIN('Parametri Modello'!$B$28*1.5,IF(OR(INDEX('Parametri Modello'!$F$32:$F$35,MATCH($B200,'Parametri Modello'!$A$32:$A$35,0))="",INDEX('Parametri Modello'!$F$32:$F$35,MATCH($B200,'Parametri Modello'!$A$32:$A$35,0))=0),0,(1/INDEX('Parametri Modello'!$F$32:$F$35,MATCH($B200,'Parametri Modello'!$A$32:$A$35,0))-1)*'Parametri Modello'!$B$28))),0)))*(1+INDEX('Parametri Modello'!$B$12:$B$15,MATCH($B200,'Parametri Modello'!$A$12:$A$15,0))),0),"")</f>
        <v>3</v>
      </c>
      <c r="I200" s="26" t="n">
        <f aca="false">IFERROR(INDEX('Input Statistiche 2025_26'!$F$3:$F$665,MATCH($A200,'Input Statistiche 2025_26'!$A$3:$A$665,0)),"")</f>
        <v>36</v>
      </c>
      <c r="J200" s="26" t="n">
        <f aca="false">IFERROR(IF($I200="","",MAX(0,38-$I200)),"")</f>
        <v>2</v>
      </c>
      <c r="K200" s="26" t="n">
        <f aca="false">IFERROR(INDEX('Input Statistiche 2025_26'!$I$3:$I$665,MATCH($A200,'Input Statistiche 2025_26'!$A$3:$A$665,0)),"")</f>
        <v>2</v>
      </c>
      <c r="L200" s="26" t="n">
        <f aca="false">IFERROR(INDEX('Input Statistiche 2025_26'!$O$3:$O$665,MATCH($A200,'Input Statistiche 2025_26'!$A$3:$A$665,0)),"")</f>
        <v>0</v>
      </c>
      <c r="M200" s="28"/>
      <c r="N200" s="27" t="n">
        <f aca="false">IFERROR(INDEX('Input Giocatori 2026_27'!$E$3:$E$493,MATCH($A200,'Input Giocatori 2026_27'!$A$3:$A$493,0)),"")</f>
        <v>7</v>
      </c>
      <c r="O200" s="27" t="n">
        <f aca="false">IFERROR(INDEX('Input Giocatori 2026_27'!$G$3:$G$493,MATCH($A200,'Input Giocatori 2026_27'!$A$3:$A$493,0)),"")</f>
        <v>17</v>
      </c>
      <c r="P200" s="26" t="str">
        <f aca="false">IFERROR(IF($O200="","",IF((1-(COUNTIFS($B$2:$B$492,$B200,$O$2:$O$492,"&gt;"&amp;$O200)+1-1)/COUNTIF($B$2:$B$492,$B200))&gt;=0.85,"Top",IF((1-(COUNTIFS($B$2:$B$492,$B200,$O$2:$O$492,"&gt;"&amp;$O200)+1-1)/COUNTIF($B$2:$B$492,$B200))&gt;=0.6,"Buono",IF((1-(COUNTIFS($B$2:$B$492,$B200,$O$2:$O$492,"&gt;"&amp;$O200)+1-1)/COUNTIF($B$2:$B$492,$B200))&gt;=0.3,"Nella Media","Scommessa/Riserva")))),"")</f>
        <v>Buono</v>
      </c>
      <c r="Q200" s="29" t="n">
        <f aca="false">IF($D200="",COUNTIF($D$2:$D200,""),"")</f>
        <v>199</v>
      </c>
      <c r="R200" s="29" t="str">
        <f aca="false">IF($D200='Info Lega'!$B$28,COUNTIFS($D$2:$D200,'Info Lega'!$B$28),"")</f>
        <v/>
      </c>
      <c r="S200" s="30" t="n">
        <f aca="false">IFERROR(INDEX('Input Statistiche 2025_26'!$G$3:$G$665,MATCH($A200,'Input Statistiche 2025_26'!$A$3:$A$665,0)),"")</f>
        <v>6</v>
      </c>
      <c r="T200" s="30" t="n">
        <f aca="false">IFERROR(INDEX('Input Statistiche 2025_26'!$H$3:$H$665,MATCH($A200,'Input Statistiche 2025_26'!$A$3:$A$665,0)),"")</f>
        <v>6.01</v>
      </c>
      <c r="U200" s="26" t="str">
        <f aca="false">IF(OR('La Mia Rosa'!$O$12="",$D200&lt;&gt;""),"",IF($F200&lt;='La Mia Rosa'!$O$12*'Parametri Modello'!$B$24,"OK",IF($F200&lt;='La Mia Rosa'!$O$12*'Parametri Modello'!$B$25,"Attenzione","Rischio Alto")))</f>
        <v>OK</v>
      </c>
      <c r="V200" s="26" t="n">
        <f aca="false">IFERROR(COUNTIFS($B$2:$B$492,$B200,$O$2:$O$492,"&gt;"&amp;$O200)+1,"")</f>
        <v>53</v>
      </c>
      <c r="W200" s="21" t="n">
        <f aca="false">'Info Lega'!$B$4-SUMIFS($M$2:$M$492,$D$2:$D$492,'Info Lega'!$B$28)</f>
        <v>1000</v>
      </c>
      <c r="X200" s="21" t="n">
        <f aca="false">('Info Lega'!$B$5-COUNTIFS($D$2:$D$492,'Info Lega'!$B$28,$B$2:$B$492,"P"))+('Info Lega'!$B$6-COUNTIFS($D$2:$D$492,'Info Lega'!$B$28,$B$2:$B$492,"D"))+('Info Lega'!$B$7-COUNTIFS($D$2:$D$492,'Info Lega'!$B$28,$B$2:$B$492,"C"))+('Info Lega'!$B$8-COUNTIFS($D$2:$D$492,'Info Lega'!$B$28,$B$2:$B$492,"A"))</f>
        <v>25</v>
      </c>
      <c r="Y200" s="21" t="n">
        <f aca="false">X200*'Parametri Modello'!$B$30</f>
        <v>25</v>
      </c>
      <c r="Z200" s="21" t="n">
        <f aca="false">MAX(0,W200-Y200)</f>
        <v>975</v>
      </c>
      <c r="AA200" s="21" t="n">
        <f aca="false">MIN(F200,Z200)</f>
        <v>3</v>
      </c>
      <c r="AB200" s="21"/>
      <c r="AC200" s="21" t="str">
        <f aca="false">IF(AB200="","",IF(AB200&gt;AA200,"PASS",IF(AB200&lt;=AA200*0.85,"BID","ATTENZIONE")))</f>
        <v/>
      </c>
      <c r="AD200" s="31" t="n">
        <f aca="false">IF(I200="","",ROUND(100*(1-EXP(-I200/30)),0))</f>
        <v>70</v>
      </c>
      <c r="AE200" s="7" t="str">
        <f aca="false">IFERROR(INDEX('Stato Asta'!$G$9:$G$12,MATCH($B200,'Stato Asta'!$A$9:$A$12,0)),"")</f>
        <v>🟡 Attesa rischiosa</v>
      </c>
    </row>
    <row r="201" customFormat="false" ht="14.25" hidden="false" customHeight="true" outlineLevel="0" collapsed="false">
      <c r="A201" s="21" t="n">
        <v>7219</v>
      </c>
      <c r="B201" s="21" t="s">
        <v>44</v>
      </c>
      <c r="C201" s="21" t="s">
        <v>244</v>
      </c>
      <c r="E201" s="26" t="str">
        <f aca="false">IF(COUNTIF('Info Strategia'!$D$2:$D$51,$C201)&gt;0,"SI","NO")</f>
        <v>NO</v>
      </c>
      <c r="F201" s="27" t="n">
        <f aca="false">IFERROR(ROUND(($G201+($H201-$G201)*'Info Strategia'!$B$6)*(1+IF($E201="SI",'Parametri Modello'!$B$7*'Info Strategia'!$B$6,0)),0),"")</f>
        <v>3</v>
      </c>
      <c r="G201" s="27" t="n">
        <f aca="false">IFERROR(ROUND(MAX(1,(IF($V201&lt;=INDEX('Parametri Modello'!$C$57:$C$60,MATCH($B201,'Parametri Modello'!$A$57:$A$60,0)),IF(INDEX('Parametri Modello'!$E$57:$E$60,MATCH($B201,'Parametri Modello'!$A$57:$A$60,0))=0,0,($O201/INDEX('Parametri Modello'!$E$57:$E$60,MATCH($B201,'Parametri Modello'!$A$57:$A$60,0)))*(INDEX('Parametri Modello'!$D$57:$D$60,MATCH($B201,'Parametri Modello'!$A$57:$A$60,0))*(INDEX('Parametri Modello'!$B$50:$B$53,MATCH($B201,'Parametri Modello'!$A$50:$A$53,0))*'Parametri Modello'!$B$44))),IF(INDEX('Parametri Modello'!$F$57:$F$60,MATCH($B201,'Parametri Modello'!$A$57:$A$60,0))=0,0,($O201/INDEX('Parametri Modello'!$F$57:$F$60,MATCH($B201,'Parametri Modello'!$A$57:$A$60,0)))*((1-INDEX('Parametri Modello'!$D$57:$D$60,MATCH($B201,'Parametri Modello'!$A$57:$A$60,0)))*(INDEX('Parametri Modello'!$B$50:$B$53,MATCH($B201,'Parametri Modello'!$A$50:$A$53,0))*'Parametri Modello'!$B$44))))*(1+IF(IF($B201="D",'Info Lega'!$B$25,IF($B201="C",'Info Lega'!$B$26,"No"))="Si",'Parametri Modello'!$B$5,0))*(1+MAX(-0.25,MIN(0.25,IF(OR($T201="",$I201="",$I201=0,INDEX('Parametri Modello'!$B$19:$B$22,MATCH($B201,'Parametri Modello'!$A$19:$A$22,0))="",INDEX('Parametri Modello'!$B$19:$B$22,MATCH($B201,'Parametri Modello'!$A$19:$A$22,0))=0),0,(($T201-INDEX('Parametri Modello'!$B$19:$B$22,MATCH($B201,'Parametri Modello'!$A$19:$A$22,0)))/INDEX('Parametri Modello'!$B$19:$B$22,MATCH($B201,'Parametri Modello'!$A$19:$A$22,0)))*'Parametri Modello'!$B$9))))*(1+IF('Parametri Modello'!$B$27="Si",MAX(-'Parametri Modello'!$B$28,MIN('Parametri Modello'!$B$28*1.5,IF(OR(INDEX('Parametri Modello'!$F$32:$F$35,MATCH($B201,'Parametri Modello'!$A$32:$A$35,0))="",INDEX('Parametri Modello'!$F$32:$F$35,MATCH($B201,'Parametri Modello'!$A$32:$A$35,0))=0),0,(1/INDEX('Parametri Modello'!$F$32:$F$35,MATCH($B201,'Parametri Modello'!$A$32:$A$35,0))-1)*'Parametri Modello'!$B$28))),0)))*(1-INDEX('Parametri Modello'!$B$12:$B$15,MATCH($B201,'Parametri Modello'!$A$12:$A$15,0)))),0),"")</f>
        <v>2</v>
      </c>
      <c r="H201" s="27" t="n">
        <f aca="false">IFERROR(ROUND((IF($V201&lt;=INDEX('Parametri Modello'!$C$57:$C$60,MATCH($B201,'Parametri Modello'!$A$57:$A$60,0)),IF(INDEX('Parametri Modello'!$E$57:$E$60,MATCH($B201,'Parametri Modello'!$A$57:$A$60,0))=0,0,($O201/INDEX('Parametri Modello'!$E$57:$E$60,MATCH($B201,'Parametri Modello'!$A$57:$A$60,0)))*(INDEX('Parametri Modello'!$D$57:$D$60,MATCH($B201,'Parametri Modello'!$A$57:$A$60,0))*(INDEX('Parametri Modello'!$B$50:$B$53,MATCH($B201,'Parametri Modello'!$A$50:$A$53,0))*'Parametri Modello'!$B$44))),IF(INDEX('Parametri Modello'!$F$57:$F$60,MATCH($B201,'Parametri Modello'!$A$57:$A$60,0))=0,0,($O201/INDEX('Parametri Modello'!$F$57:$F$60,MATCH($B201,'Parametri Modello'!$A$57:$A$60,0)))*((1-INDEX('Parametri Modello'!$D$57:$D$60,MATCH($B201,'Parametri Modello'!$A$57:$A$60,0)))*(INDEX('Parametri Modello'!$B$50:$B$53,MATCH($B201,'Parametri Modello'!$A$50:$A$53,0))*'Parametri Modello'!$B$44))))*(1+IF(IF($B201="D",'Info Lega'!$B$25,IF($B201="C",'Info Lega'!$B$26,"No"))="Si",'Parametri Modello'!$B$5,0))*(1+MAX(-0.25,MIN(0.25,IF(OR($T201="",$I201="",$I201=0,INDEX('Parametri Modello'!$B$19:$B$22,MATCH($B201,'Parametri Modello'!$A$19:$A$22,0))="",INDEX('Parametri Modello'!$B$19:$B$22,MATCH($B201,'Parametri Modello'!$A$19:$A$22,0))=0),0,(($T201-INDEX('Parametri Modello'!$B$19:$B$22,MATCH($B201,'Parametri Modello'!$A$19:$A$22,0)))/INDEX('Parametri Modello'!$B$19:$B$22,MATCH($B201,'Parametri Modello'!$A$19:$A$22,0)))*'Parametri Modello'!$B$9))))*(1+IF('Parametri Modello'!$B$27="Si",MAX(-'Parametri Modello'!$B$28,MIN('Parametri Modello'!$B$28*1.5,IF(OR(INDEX('Parametri Modello'!$F$32:$F$35,MATCH($B201,'Parametri Modello'!$A$32:$A$35,0))="",INDEX('Parametri Modello'!$F$32:$F$35,MATCH($B201,'Parametri Modello'!$A$32:$A$35,0))=0),0,(1/INDEX('Parametri Modello'!$F$32:$F$35,MATCH($B201,'Parametri Modello'!$A$32:$A$35,0))-1)*'Parametri Modello'!$B$28))),0)))*(1+INDEX('Parametri Modello'!$B$12:$B$15,MATCH($B201,'Parametri Modello'!$A$12:$A$15,0))),0),"")</f>
        <v>3</v>
      </c>
      <c r="I201" s="26" t="n">
        <f aca="false">IFERROR(INDEX('Input Statistiche 2025_26'!$F$3:$F$665,MATCH($A201,'Input Statistiche 2025_26'!$A$3:$A$665,0)),"")</f>
        <v>22</v>
      </c>
      <c r="J201" s="26" t="n">
        <f aca="false">IFERROR(IF($I201="","",MAX(0,38-$I201)),"")</f>
        <v>16</v>
      </c>
      <c r="K201" s="26" t="n">
        <f aca="false">IFERROR(INDEX('Input Statistiche 2025_26'!$I$3:$I$665,MATCH($A201,'Input Statistiche 2025_26'!$A$3:$A$665,0)),"")</f>
        <v>0</v>
      </c>
      <c r="L201" s="26" t="n">
        <f aca="false">IFERROR(INDEX('Input Statistiche 2025_26'!$O$3:$O$665,MATCH($A201,'Input Statistiche 2025_26'!$A$3:$A$665,0)),"")</f>
        <v>3</v>
      </c>
      <c r="M201" s="28"/>
      <c r="N201" s="27" t="n">
        <f aca="false">IFERROR(INDEX('Input Giocatori 2026_27'!$E$3:$E$493,MATCH($A201,'Input Giocatori 2026_27'!$A$3:$A$493,0)),"")</f>
        <v>6</v>
      </c>
      <c r="O201" s="27" t="n">
        <f aca="false">IFERROR(INDEX('Input Giocatori 2026_27'!$G$3:$G$493,MATCH($A201,'Input Giocatori 2026_27'!$A$3:$A$493,0)),"")</f>
        <v>17</v>
      </c>
      <c r="P201" s="26" t="str">
        <f aca="false">IFERROR(IF($O201="","",IF((1-(COUNTIFS($B$2:$B$492,$B201,$O$2:$O$492,"&gt;"&amp;$O201)+1-1)/COUNTIF($B$2:$B$492,$B201))&gt;=0.85,"Top",IF((1-(COUNTIFS($B$2:$B$492,$B201,$O$2:$O$492,"&gt;"&amp;$O201)+1-1)/COUNTIF($B$2:$B$492,$B201))&gt;=0.6,"Buono",IF((1-(COUNTIFS($B$2:$B$492,$B201,$O$2:$O$492,"&gt;"&amp;$O201)+1-1)/COUNTIF($B$2:$B$492,$B201))&gt;=0.3,"Nella Media","Scommessa/Riserva")))),"")</f>
        <v>Buono</v>
      </c>
      <c r="Q201" s="29" t="n">
        <f aca="false">IF($D201="",COUNTIF($D$2:$D201,""),"")</f>
        <v>200</v>
      </c>
      <c r="R201" s="29" t="str">
        <f aca="false">IF($D201='Info Lega'!$B$28,COUNTIFS($D$2:$D201,'Info Lega'!$B$28),"")</f>
        <v/>
      </c>
      <c r="S201" s="30" t="n">
        <f aca="false">IFERROR(INDEX('Input Statistiche 2025_26'!$G$3:$G$665,MATCH($A201,'Input Statistiche 2025_26'!$A$3:$A$665,0)),"")</f>
        <v>6.09</v>
      </c>
      <c r="T201" s="30" t="n">
        <f aca="false">IFERROR(INDEX('Input Statistiche 2025_26'!$H$3:$H$665,MATCH($A201,'Input Statistiche 2025_26'!$A$3:$A$665,0)),"")</f>
        <v>6.16</v>
      </c>
      <c r="U201" s="26" t="str">
        <f aca="false">IF(OR('La Mia Rosa'!$O$12="",$D201&lt;&gt;""),"",IF($F201&lt;='La Mia Rosa'!$O$12*'Parametri Modello'!$B$24,"OK",IF($F201&lt;='La Mia Rosa'!$O$12*'Parametri Modello'!$B$25,"Attenzione","Rischio Alto")))</f>
        <v>OK</v>
      </c>
      <c r="V201" s="26" t="n">
        <f aca="false">IFERROR(COUNTIFS($B$2:$B$492,$B201,$O$2:$O$492,"&gt;"&amp;$O201)+1,"")</f>
        <v>53</v>
      </c>
      <c r="W201" s="21" t="n">
        <f aca="false">'Info Lega'!$B$4-SUMIFS($M$2:$M$492,$D$2:$D$492,'Info Lega'!$B$28)</f>
        <v>1000</v>
      </c>
      <c r="X201" s="21" t="n">
        <f aca="false">('Info Lega'!$B$5-COUNTIFS($D$2:$D$492,'Info Lega'!$B$28,$B$2:$B$492,"P"))+('Info Lega'!$B$6-COUNTIFS($D$2:$D$492,'Info Lega'!$B$28,$B$2:$B$492,"D"))+('Info Lega'!$B$7-COUNTIFS($D$2:$D$492,'Info Lega'!$B$28,$B$2:$B$492,"C"))+('Info Lega'!$B$8-COUNTIFS($D$2:$D$492,'Info Lega'!$B$28,$B$2:$B$492,"A"))</f>
        <v>25</v>
      </c>
      <c r="Y201" s="21" t="n">
        <f aca="false">X201*'Parametri Modello'!$B$30</f>
        <v>25</v>
      </c>
      <c r="Z201" s="21" t="n">
        <f aca="false">MAX(0,W201-Y201)</f>
        <v>975</v>
      </c>
      <c r="AA201" s="21" t="n">
        <f aca="false">MIN(F201,Z201)</f>
        <v>3</v>
      </c>
      <c r="AB201" s="21"/>
      <c r="AC201" s="21" t="str">
        <f aca="false">IF(AB201="","",IF(AB201&gt;AA201,"PASS",IF(AB201&lt;=AA201*0.85,"BID","ATTENZIONE")))</f>
        <v/>
      </c>
      <c r="AD201" s="31" t="n">
        <f aca="false">IF(I201="","",ROUND(100*(1-EXP(-I201/30)),0))</f>
        <v>52</v>
      </c>
      <c r="AE201" s="7" t="str">
        <f aca="false">IFERROR(INDEX('Stato Asta'!$G$9:$G$12,MATCH($B201,'Stato Asta'!$A$9:$A$12,0)),"")</f>
        <v>🟡 Attesa rischiosa</v>
      </c>
    </row>
    <row r="202" customFormat="false" ht="14.25" hidden="false" customHeight="true" outlineLevel="0" collapsed="false">
      <c r="A202" s="21" t="n">
        <v>5620</v>
      </c>
      <c r="B202" s="21" t="s">
        <v>44</v>
      </c>
      <c r="C202" s="21" t="s">
        <v>253</v>
      </c>
      <c r="E202" s="26" t="str">
        <f aca="false">IF(COUNTIF('Info Strategia'!$D$2:$D$51,$C202)&gt;0,"SI","NO")</f>
        <v>NO</v>
      </c>
      <c r="F202" s="27" t="n">
        <f aca="false">IFERROR(ROUND(($G202+($H202-$G202)*'Info Strategia'!$B$6)*(1+IF($E202="SI",'Parametri Modello'!$B$7*'Info Strategia'!$B$6,0)),0),"")</f>
        <v>3</v>
      </c>
      <c r="G202" s="27" t="n">
        <f aca="false">IFERROR(ROUND(MAX(1,(IF($V202&lt;=INDEX('Parametri Modello'!$C$57:$C$60,MATCH($B202,'Parametri Modello'!$A$57:$A$60,0)),IF(INDEX('Parametri Modello'!$E$57:$E$60,MATCH($B202,'Parametri Modello'!$A$57:$A$60,0))=0,0,($O202/INDEX('Parametri Modello'!$E$57:$E$60,MATCH($B202,'Parametri Modello'!$A$57:$A$60,0)))*(INDEX('Parametri Modello'!$D$57:$D$60,MATCH($B202,'Parametri Modello'!$A$57:$A$60,0))*(INDEX('Parametri Modello'!$B$50:$B$53,MATCH($B202,'Parametri Modello'!$A$50:$A$53,0))*'Parametri Modello'!$B$44))),IF(INDEX('Parametri Modello'!$F$57:$F$60,MATCH($B202,'Parametri Modello'!$A$57:$A$60,0))=0,0,($O202/INDEX('Parametri Modello'!$F$57:$F$60,MATCH($B202,'Parametri Modello'!$A$57:$A$60,0)))*((1-INDEX('Parametri Modello'!$D$57:$D$60,MATCH($B202,'Parametri Modello'!$A$57:$A$60,0)))*(INDEX('Parametri Modello'!$B$50:$B$53,MATCH($B202,'Parametri Modello'!$A$50:$A$53,0))*'Parametri Modello'!$B$44))))*(1+IF(IF($B202="D",'Info Lega'!$B$25,IF($B202="C",'Info Lega'!$B$26,"No"))="Si",'Parametri Modello'!$B$5,0))*(1+MAX(-0.25,MIN(0.25,IF(OR($T202="",$I202="",$I202=0,INDEX('Parametri Modello'!$B$19:$B$22,MATCH($B202,'Parametri Modello'!$A$19:$A$22,0))="",INDEX('Parametri Modello'!$B$19:$B$22,MATCH($B202,'Parametri Modello'!$A$19:$A$22,0))=0),0,(($T202-INDEX('Parametri Modello'!$B$19:$B$22,MATCH($B202,'Parametri Modello'!$A$19:$A$22,0)))/INDEX('Parametri Modello'!$B$19:$B$22,MATCH($B202,'Parametri Modello'!$A$19:$A$22,0)))*'Parametri Modello'!$B$9))))*(1+IF('Parametri Modello'!$B$27="Si",MAX(-'Parametri Modello'!$B$28,MIN('Parametri Modello'!$B$28*1.5,IF(OR(INDEX('Parametri Modello'!$F$32:$F$35,MATCH($B202,'Parametri Modello'!$A$32:$A$35,0))="",INDEX('Parametri Modello'!$F$32:$F$35,MATCH($B202,'Parametri Modello'!$A$32:$A$35,0))=0),0,(1/INDEX('Parametri Modello'!$F$32:$F$35,MATCH($B202,'Parametri Modello'!$A$32:$A$35,0))-1)*'Parametri Modello'!$B$28))),0)))*(1-INDEX('Parametri Modello'!$B$12:$B$15,MATCH($B202,'Parametri Modello'!$A$12:$A$15,0)))),0),"")</f>
        <v>2</v>
      </c>
      <c r="H202" s="27" t="n">
        <f aca="false">IFERROR(ROUND((IF($V202&lt;=INDEX('Parametri Modello'!$C$57:$C$60,MATCH($B202,'Parametri Modello'!$A$57:$A$60,0)),IF(INDEX('Parametri Modello'!$E$57:$E$60,MATCH($B202,'Parametri Modello'!$A$57:$A$60,0))=0,0,($O202/INDEX('Parametri Modello'!$E$57:$E$60,MATCH($B202,'Parametri Modello'!$A$57:$A$60,0)))*(INDEX('Parametri Modello'!$D$57:$D$60,MATCH($B202,'Parametri Modello'!$A$57:$A$60,0))*(INDEX('Parametri Modello'!$B$50:$B$53,MATCH($B202,'Parametri Modello'!$A$50:$A$53,0))*'Parametri Modello'!$B$44))),IF(INDEX('Parametri Modello'!$F$57:$F$60,MATCH($B202,'Parametri Modello'!$A$57:$A$60,0))=0,0,($O202/INDEX('Parametri Modello'!$F$57:$F$60,MATCH($B202,'Parametri Modello'!$A$57:$A$60,0)))*((1-INDEX('Parametri Modello'!$D$57:$D$60,MATCH($B202,'Parametri Modello'!$A$57:$A$60,0)))*(INDEX('Parametri Modello'!$B$50:$B$53,MATCH($B202,'Parametri Modello'!$A$50:$A$53,0))*'Parametri Modello'!$B$44))))*(1+IF(IF($B202="D",'Info Lega'!$B$25,IF($B202="C",'Info Lega'!$B$26,"No"))="Si",'Parametri Modello'!$B$5,0))*(1+MAX(-0.25,MIN(0.25,IF(OR($T202="",$I202="",$I202=0,INDEX('Parametri Modello'!$B$19:$B$22,MATCH($B202,'Parametri Modello'!$A$19:$A$22,0))="",INDEX('Parametri Modello'!$B$19:$B$22,MATCH($B202,'Parametri Modello'!$A$19:$A$22,0))=0),0,(($T202-INDEX('Parametri Modello'!$B$19:$B$22,MATCH($B202,'Parametri Modello'!$A$19:$A$22,0)))/INDEX('Parametri Modello'!$B$19:$B$22,MATCH($B202,'Parametri Modello'!$A$19:$A$22,0)))*'Parametri Modello'!$B$9))))*(1+IF('Parametri Modello'!$B$27="Si",MAX(-'Parametri Modello'!$B$28,MIN('Parametri Modello'!$B$28*1.5,IF(OR(INDEX('Parametri Modello'!$F$32:$F$35,MATCH($B202,'Parametri Modello'!$A$32:$A$35,0))="",INDEX('Parametri Modello'!$F$32:$F$35,MATCH($B202,'Parametri Modello'!$A$32:$A$35,0))=0),0,(1/INDEX('Parametri Modello'!$F$32:$F$35,MATCH($B202,'Parametri Modello'!$A$32:$A$35,0))-1)*'Parametri Modello'!$B$28))),0)))*(1+INDEX('Parametri Modello'!$B$12:$B$15,MATCH($B202,'Parametri Modello'!$A$12:$A$15,0))),0),"")</f>
        <v>3</v>
      </c>
      <c r="I202" s="26" t="n">
        <f aca="false">IFERROR(INDEX('Input Statistiche 2025_26'!$F$3:$F$665,MATCH($A202,'Input Statistiche 2025_26'!$A$3:$A$665,0)),"")</f>
        <v>22</v>
      </c>
      <c r="J202" s="26" t="n">
        <f aca="false">IFERROR(IF($I202="","",MAX(0,38-$I202)),"")</f>
        <v>16</v>
      </c>
      <c r="K202" s="26" t="n">
        <f aca="false">IFERROR(INDEX('Input Statistiche 2025_26'!$I$3:$I$665,MATCH($A202,'Input Statistiche 2025_26'!$A$3:$A$665,0)),"")</f>
        <v>0</v>
      </c>
      <c r="L202" s="26" t="n">
        <f aca="false">IFERROR(INDEX('Input Statistiche 2025_26'!$O$3:$O$665,MATCH($A202,'Input Statistiche 2025_26'!$A$3:$A$665,0)),"")</f>
        <v>0</v>
      </c>
      <c r="M202" s="28"/>
      <c r="N202" s="27" t="n">
        <f aca="false">IFERROR(INDEX('Input Giocatori 2026_27'!$E$3:$E$493,MATCH($A202,'Input Giocatori 2026_27'!$A$3:$A$493,0)),"")</f>
        <v>6</v>
      </c>
      <c r="O202" s="27" t="n">
        <f aca="false">IFERROR(INDEX('Input Giocatori 2026_27'!$G$3:$G$493,MATCH($A202,'Input Giocatori 2026_27'!$A$3:$A$493,0)),"")</f>
        <v>17</v>
      </c>
      <c r="P202" s="26" t="str">
        <f aca="false">IFERROR(IF($O202="","",IF((1-(COUNTIFS($B$2:$B$492,$B202,$O$2:$O$492,"&gt;"&amp;$O202)+1-1)/COUNTIF($B$2:$B$492,$B202))&gt;=0.85,"Top",IF((1-(COUNTIFS($B$2:$B$492,$B202,$O$2:$O$492,"&gt;"&amp;$O202)+1-1)/COUNTIF($B$2:$B$492,$B202))&gt;=0.6,"Buono",IF((1-(COUNTIFS($B$2:$B$492,$B202,$O$2:$O$492,"&gt;"&amp;$O202)+1-1)/COUNTIF($B$2:$B$492,$B202))&gt;=0.3,"Nella Media","Scommessa/Riserva")))),"")</f>
        <v>Buono</v>
      </c>
      <c r="Q202" s="29" t="n">
        <f aca="false">IF($D202="",COUNTIF($D$2:$D202,""),"")</f>
        <v>201</v>
      </c>
      <c r="R202" s="29" t="str">
        <f aca="false">IF($D202='Info Lega'!$B$28,COUNTIFS($D$2:$D202,'Info Lega'!$B$28),"")</f>
        <v/>
      </c>
      <c r="S202" s="30" t="n">
        <f aca="false">IFERROR(INDEX('Input Statistiche 2025_26'!$G$3:$G$665,MATCH($A202,'Input Statistiche 2025_26'!$A$3:$A$665,0)),"")</f>
        <v>5.91</v>
      </c>
      <c r="T202" s="30" t="n">
        <f aca="false">IFERROR(INDEX('Input Statistiche 2025_26'!$H$3:$H$665,MATCH($A202,'Input Statistiche 2025_26'!$A$3:$A$665,0)),"")</f>
        <v>5.8</v>
      </c>
      <c r="U202" s="26" t="str">
        <f aca="false">IF(OR('La Mia Rosa'!$O$12="",$D202&lt;&gt;""),"",IF($F202&lt;='La Mia Rosa'!$O$12*'Parametri Modello'!$B$24,"OK",IF($F202&lt;='La Mia Rosa'!$O$12*'Parametri Modello'!$B$25,"Attenzione","Rischio Alto")))</f>
        <v>OK</v>
      </c>
      <c r="V202" s="26" t="n">
        <f aca="false">IFERROR(COUNTIFS($B$2:$B$492,$B202,$O$2:$O$492,"&gt;"&amp;$O202)+1,"")</f>
        <v>53</v>
      </c>
      <c r="W202" s="21" t="n">
        <f aca="false">'Info Lega'!$B$4-SUMIFS($M$2:$M$492,$D$2:$D$492,'Info Lega'!$B$28)</f>
        <v>1000</v>
      </c>
      <c r="X202" s="21" t="n">
        <f aca="false">('Info Lega'!$B$5-COUNTIFS($D$2:$D$492,'Info Lega'!$B$28,$B$2:$B$492,"P"))+('Info Lega'!$B$6-COUNTIFS($D$2:$D$492,'Info Lega'!$B$28,$B$2:$B$492,"D"))+('Info Lega'!$B$7-COUNTIFS($D$2:$D$492,'Info Lega'!$B$28,$B$2:$B$492,"C"))+('Info Lega'!$B$8-COUNTIFS($D$2:$D$492,'Info Lega'!$B$28,$B$2:$B$492,"A"))</f>
        <v>25</v>
      </c>
      <c r="Y202" s="21" t="n">
        <f aca="false">X202*'Parametri Modello'!$B$30</f>
        <v>25</v>
      </c>
      <c r="Z202" s="21" t="n">
        <f aca="false">MAX(0,W202-Y202)</f>
        <v>975</v>
      </c>
      <c r="AA202" s="21" t="n">
        <f aca="false">MIN(F202,Z202)</f>
        <v>3</v>
      </c>
      <c r="AB202" s="21"/>
      <c r="AC202" s="21" t="str">
        <f aca="false">IF(AB202="","",IF(AB202&gt;AA202,"PASS",IF(AB202&lt;=AA202*0.85,"BID","ATTENZIONE")))</f>
        <v/>
      </c>
      <c r="AD202" s="31" t="n">
        <f aca="false">IF(I202="","",ROUND(100*(1-EXP(-I202/30)),0))</f>
        <v>52</v>
      </c>
      <c r="AE202" s="7" t="str">
        <f aca="false">IFERROR(INDEX('Stato Asta'!$G$9:$G$12,MATCH($B202,'Stato Asta'!$A$9:$A$12,0)),"")</f>
        <v>🟡 Attesa rischiosa</v>
      </c>
    </row>
    <row r="203" customFormat="false" ht="14.25" hidden="false" customHeight="true" outlineLevel="0" collapsed="false">
      <c r="A203" s="21" t="n">
        <v>6190</v>
      </c>
      <c r="B203" s="21" t="s">
        <v>45</v>
      </c>
      <c r="C203" s="21" t="s">
        <v>462</v>
      </c>
      <c r="E203" s="26" t="str">
        <f aca="false">IF(COUNTIF('Info Strategia'!$D$2:$D$51,$C203)&gt;0,"SI","NO")</f>
        <v>NO</v>
      </c>
      <c r="F203" s="27" t="n">
        <f aca="false">IFERROR(ROUND(($G203+($H203-$G203)*'Info Strategia'!$B$6)*(1+IF($E203="SI",'Parametri Modello'!$B$7*'Info Strategia'!$B$6,0)),0),"")</f>
        <v>3</v>
      </c>
      <c r="G203" s="27" t="n">
        <f aca="false">IFERROR(ROUND(MAX(1,(IF($V203&lt;=INDEX('Parametri Modello'!$C$57:$C$60,MATCH($B203,'Parametri Modello'!$A$57:$A$60,0)),IF(INDEX('Parametri Modello'!$E$57:$E$60,MATCH($B203,'Parametri Modello'!$A$57:$A$60,0))=0,0,($O203/INDEX('Parametri Modello'!$E$57:$E$60,MATCH($B203,'Parametri Modello'!$A$57:$A$60,0)))*(INDEX('Parametri Modello'!$D$57:$D$60,MATCH($B203,'Parametri Modello'!$A$57:$A$60,0))*(INDEX('Parametri Modello'!$B$50:$B$53,MATCH($B203,'Parametri Modello'!$A$50:$A$53,0))*'Parametri Modello'!$B$44))),IF(INDEX('Parametri Modello'!$F$57:$F$60,MATCH($B203,'Parametri Modello'!$A$57:$A$60,0))=0,0,($O203/INDEX('Parametri Modello'!$F$57:$F$60,MATCH($B203,'Parametri Modello'!$A$57:$A$60,0)))*((1-INDEX('Parametri Modello'!$D$57:$D$60,MATCH($B203,'Parametri Modello'!$A$57:$A$60,0)))*(INDEX('Parametri Modello'!$B$50:$B$53,MATCH($B203,'Parametri Modello'!$A$50:$A$53,0))*'Parametri Modello'!$B$44))))*(1+IF(IF($B203="D",'Info Lega'!$B$25,IF($B203="C",'Info Lega'!$B$26,"No"))="Si",'Parametri Modello'!$B$5,0))*(1+MAX(-0.25,MIN(0.25,IF(OR($T203="",$I203="",$I203=0,INDEX('Parametri Modello'!$B$19:$B$22,MATCH($B203,'Parametri Modello'!$A$19:$A$22,0))="",INDEX('Parametri Modello'!$B$19:$B$22,MATCH($B203,'Parametri Modello'!$A$19:$A$22,0))=0),0,(($T203-INDEX('Parametri Modello'!$B$19:$B$22,MATCH($B203,'Parametri Modello'!$A$19:$A$22,0)))/INDEX('Parametri Modello'!$B$19:$B$22,MATCH($B203,'Parametri Modello'!$A$19:$A$22,0)))*'Parametri Modello'!$B$9))))*(1+IF('Parametri Modello'!$B$27="Si",MAX(-'Parametri Modello'!$B$28,MIN('Parametri Modello'!$B$28*1.5,IF(OR(INDEX('Parametri Modello'!$F$32:$F$35,MATCH($B203,'Parametri Modello'!$A$32:$A$35,0))="",INDEX('Parametri Modello'!$F$32:$F$35,MATCH($B203,'Parametri Modello'!$A$32:$A$35,0))=0),0,(1/INDEX('Parametri Modello'!$F$32:$F$35,MATCH($B203,'Parametri Modello'!$A$32:$A$35,0))-1)*'Parametri Modello'!$B$28))),0)))*(1-INDEX('Parametri Modello'!$B$12:$B$15,MATCH($B203,'Parametri Modello'!$A$12:$A$15,0)))),0),"")</f>
        <v>2</v>
      </c>
      <c r="H203" s="27" t="n">
        <f aca="false">IFERROR(ROUND((IF($V203&lt;=INDEX('Parametri Modello'!$C$57:$C$60,MATCH($B203,'Parametri Modello'!$A$57:$A$60,0)),IF(INDEX('Parametri Modello'!$E$57:$E$60,MATCH($B203,'Parametri Modello'!$A$57:$A$60,0))=0,0,($O203/INDEX('Parametri Modello'!$E$57:$E$60,MATCH($B203,'Parametri Modello'!$A$57:$A$60,0)))*(INDEX('Parametri Modello'!$D$57:$D$60,MATCH($B203,'Parametri Modello'!$A$57:$A$60,0))*(INDEX('Parametri Modello'!$B$50:$B$53,MATCH($B203,'Parametri Modello'!$A$50:$A$53,0))*'Parametri Modello'!$B$44))),IF(INDEX('Parametri Modello'!$F$57:$F$60,MATCH($B203,'Parametri Modello'!$A$57:$A$60,0))=0,0,($O203/INDEX('Parametri Modello'!$F$57:$F$60,MATCH($B203,'Parametri Modello'!$A$57:$A$60,0)))*((1-INDEX('Parametri Modello'!$D$57:$D$60,MATCH($B203,'Parametri Modello'!$A$57:$A$60,0)))*(INDEX('Parametri Modello'!$B$50:$B$53,MATCH($B203,'Parametri Modello'!$A$50:$A$53,0))*'Parametri Modello'!$B$44))))*(1+IF(IF($B203="D",'Info Lega'!$B$25,IF($B203="C",'Info Lega'!$B$26,"No"))="Si",'Parametri Modello'!$B$5,0))*(1+MAX(-0.25,MIN(0.25,IF(OR($T203="",$I203="",$I203=0,INDEX('Parametri Modello'!$B$19:$B$22,MATCH($B203,'Parametri Modello'!$A$19:$A$22,0))="",INDEX('Parametri Modello'!$B$19:$B$22,MATCH($B203,'Parametri Modello'!$A$19:$A$22,0))=0),0,(($T203-INDEX('Parametri Modello'!$B$19:$B$22,MATCH($B203,'Parametri Modello'!$A$19:$A$22,0)))/INDEX('Parametri Modello'!$B$19:$B$22,MATCH($B203,'Parametri Modello'!$A$19:$A$22,0)))*'Parametri Modello'!$B$9))))*(1+IF('Parametri Modello'!$B$27="Si",MAX(-'Parametri Modello'!$B$28,MIN('Parametri Modello'!$B$28*1.5,IF(OR(INDEX('Parametri Modello'!$F$32:$F$35,MATCH($B203,'Parametri Modello'!$A$32:$A$35,0))="",INDEX('Parametri Modello'!$F$32:$F$35,MATCH($B203,'Parametri Modello'!$A$32:$A$35,0))=0),0,(1/INDEX('Parametri Modello'!$F$32:$F$35,MATCH($B203,'Parametri Modello'!$A$32:$A$35,0))-1)*'Parametri Modello'!$B$28))),0)))*(1+INDEX('Parametri Modello'!$B$12:$B$15,MATCH($B203,'Parametri Modello'!$A$12:$A$15,0))),0),"")</f>
        <v>3</v>
      </c>
      <c r="I203" s="26" t="n">
        <f aca="false">IFERROR(INDEX('Input Statistiche 2025_26'!$F$3:$F$665,MATCH($A203,'Input Statistiche 2025_26'!$A$3:$A$665,0)),"")</f>
        <v>22</v>
      </c>
      <c r="J203" s="26" t="n">
        <f aca="false">IFERROR(IF($I203="","",MAX(0,38-$I203)),"")</f>
        <v>16</v>
      </c>
      <c r="K203" s="26" t="n">
        <f aca="false">IFERROR(INDEX('Input Statistiche 2025_26'!$I$3:$I$665,MATCH($A203,'Input Statistiche 2025_26'!$A$3:$A$665,0)),"")</f>
        <v>2</v>
      </c>
      <c r="L203" s="26" t="n">
        <f aca="false">IFERROR(INDEX('Input Statistiche 2025_26'!$O$3:$O$665,MATCH($A203,'Input Statistiche 2025_26'!$A$3:$A$665,0)),"")</f>
        <v>4</v>
      </c>
      <c r="M203" s="28"/>
      <c r="N203" s="27" t="n">
        <f aca="false">IFERROR(INDEX('Input Giocatori 2026_27'!$E$3:$E$493,MATCH($A203,'Input Giocatori 2026_27'!$A$3:$A$493,0)),"")</f>
        <v>5</v>
      </c>
      <c r="O203" s="27" t="n">
        <f aca="false">IFERROR(INDEX('Input Giocatori 2026_27'!$G$3:$G$493,MATCH($A203,'Input Giocatori 2026_27'!$A$3:$A$493,0)),"")</f>
        <v>17</v>
      </c>
      <c r="P203" s="26" t="str">
        <f aca="false">IFERROR(IF($O203="","",IF((1-(COUNTIFS($B$2:$B$492,$B203,$O$2:$O$492,"&gt;"&amp;$O203)+1-1)/COUNTIF($B$2:$B$492,$B203))&gt;=0.85,"Top",IF((1-(COUNTIFS($B$2:$B$492,$B203,$O$2:$O$492,"&gt;"&amp;$O203)+1-1)/COUNTIF($B$2:$B$492,$B203))&gt;=0.6,"Buono",IF((1-(COUNTIFS($B$2:$B$492,$B203,$O$2:$O$492,"&gt;"&amp;$O203)+1-1)/COUNTIF($B$2:$B$492,$B203))&gt;=0.3,"Nella Media","Scommessa/Riserva")))),"")</f>
        <v>Nella Media</v>
      </c>
      <c r="Q203" s="29" t="n">
        <f aca="false">IF($D203="",COUNTIF($D$2:$D203,""),"")</f>
        <v>202</v>
      </c>
      <c r="R203" s="29" t="str">
        <f aca="false">IF($D203='Info Lega'!$B$28,COUNTIFS($D$2:$D203,'Info Lega'!$B$28),"")</f>
        <v/>
      </c>
      <c r="S203" s="30" t="n">
        <f aca="false">IFERROR(INDEX('Input Statistiche 2025_26'!$G$3:$G$665,MATCH($A203,'Input Statistiche 2025_26'!$A$3:$A$665,0)),"")</f>
        <v>6.09</v>
      </c>
      <c r="T203" s="30" t="n">
        <f aca="false">IFERROR(INDEX('Input Statistiche 2025_26'!$H$3:$H$665,MATCH($A203,'Input Statistiche 2025_26'!$A$3:$A$665,0)),"")</f>
        <v>6.48</v>
      </c>
      <c r="U203" s="26" t="str">
        <f aca="false">IF(OR('La Mia Rosa'!$O$12="",$D203&lt;&gt;""),"",IF($F203&lt;='La Mia Rosa'!$O$12*'Parametri Modello'!$B$24,"OK",IF($F203&lt;='La Mia Rosa'!$O$12*'Parametri Modello'!$B$25,"Attenzione","Rischio Alto")))</f>
        <v>OK</v>
      </c>
      <c r="V203" s="26" t="n">
        <f aca="false">IFERROR(COUNTIFS($B$2:$B$492,$B203,$O$2:$O$492,"&gt;"&amp;$O203)+1,"")</f>
        <v>78</v>
      </c>
      <c r="W203" s="21" t="n">
        <f aca="false">'Info Lega'!$B$4-SUMIFS($M$2:$M$492,$D$2:$D$492,'Info Lega'!$B$28)</f>
        <v>1000</v>
      </c>
      <c r="X203" s="21" t="n">
        <f aca="false">('Info Lega'!$B$5-COUNTIFS($D$2:$D$492,'Info Lega'!$B$28,$B$2:$B$492,"P"))+('Info Lega'!$B$6-COUNTIFS($D$2:$D$492,'Info Lega'!$B$28,$B$2:$B$492,"D"))+('Info Lega'!$B$7-COUNTIFS($D$2:$D$492,'Info Lega'!$B$28,$B$2:$B$492,"C"))+('Info Lega'!$B$8-COUNTIFS($D$2:$D$492,'Info Lega'!$B$28,$B$2:$B$492,"A"))</f>
        <v>25</v>
      </c>
      <c r="Y203" s="21" t="n">
        <f aca="false">X203*'Parametri Modello'!$B$30</f>
        <v>25</v>
      </c>
      <c r="Z203" s="21" t="n">
        <f aca="false">MAX(0,W203-Y203)</f>
        <v>975</v>
      </c>
      <c r="AA203" s="21" t="n">
        <f aca="false">MIN(F203,Z203)</f>
        <v>3</v>
      </c>
      <c r="AB203" s="21"/>
      <c r="AC203" s="21" t="str">
        <f aca="false">IF(AB203="","",IF(AB203&gt;AA203,"PASS",IF(AB203&lt;=AA203*0.85,"BID","ATTENZIONE")))</f>
        <v/>
      </c>
      <c r="AD203" s="31" t="n">
        <f aca="false">IF(I203="","",ROUND(100*(1-EXP(-I203/30)),0))</f>
        <v>52</v>
      </c>
      <c r="AE203" s="7" t="str">
        <f aca="false">IFERROR(INDEX('Stato Asta'!$G$9:$G$12,MATCH($B203,'Stato Asta'!$A$9:$A$12,0)),"")</f>
        <v>🟡 Attesa rischiosa</v>
      </c>
    </row>
    <row r="204" customFormat="false" ht="14.25" hidden="false" customHeight="true" outlineLevel="0" collapsed="false">
      <c r="A204" s="21" t="n">
        <v>6556</v>
      </c>
      <c r="B204" s="21" t="s">
        <v>46</v>
      </c>
      <c r="C204" s="21" t="s">
        <v>590</v>
      </c>
      <c r="E204" s="26" t="str">
        <f aca="false">IF(COUNTIF('Info Strategia'!$D$2:$D$51,$C204)&gt;0,"SI","NO")</f>
        <v>NO</v>
      </c>
      <c r="F204" s="27" t="n">
        <f aca="false">IFERROR(ROUND(($G204+($H204-$G204)*'Info Strategia'!$B$6)*(1+IF($E204="SI",'Parametri Modello'!$B$7*'Info Strategia'!$B$6,0)),0),"")</f>
        <v>5</v>
      </c>
      <c r="G204" s="27" t="n">
        <f aca="false">IFERROR(ROUND(MAX(1,(IF($V204&lt;=INDEX('Parametri Modello'!$C$57:$C$60,MATCH($B204,'Parametri Modello'!$A$57:$A$60,0)),IF(INDEX('Parametri Modello'!$E$57:$E$60,MATCH($B204,'Parametri Modello'!$A$57:$A$60,0))=0,0,($O204/INDEX('Parametri Modello'!$E$57:$E$60,MATCH($B204,'Parametri Modello'!$A$57:$A$60,0)))*(INDEX('Parametri Modello'!$D$57:$D$60,MATCH($B204,'Parametri Modello'!$A$57:$A$60,0))*(INDEX('Parametri Modello'!$B$50:$B$53,MATCH($B204,'Parametri Modello'!$A$50:$A$53,0))*'Parametri Modello'!$B$44))),IF(INDEX('Parametri Modello'!$F$57:$F$60,MATCH($B204,'Parametri Modello'!$A$57:$A$60,0))=0,0,($O204/INDEX('Parametri Modello'!$F$57:$F$60,MATCH($B204,'Parametri Modello'!$A$57:$A$60,0)))*((1-INDEX('Parametri Modello'!$D$57:$D$60,MATCH($B204,'Parametri Modello'!$A$57:$A$60,0)))*(INDEX('Parametri Modello'!$B$50:$B$53,MATCH($B204,'Parametri Modello'!$A$50:$A$53,0))*'Parametri Modello'!$B$44))))*(1+IF(IF($B204="D",'Info Lega'!$B$25,IF($B204="C",'Info Lega'!$B$26,"No"))="Si",'Parametri Modello'!$B$5,0))*(1+MAX(-0.25,MIN(0.25,IF(OR($T204="",$I204="",$I204=0,INDEX('Parametri Modello'!$B$19:$B$22,MATCH($B204,'Parametri Modello'!$A$19:$A$22,0))="",INDEX('Parametri Modello'!$B$19:$B$22,MATCH($B204,'Parametri Modello'!$A$19:$A$22,0))=0),0,(($T204-INDEX('Parametri Modello'!$B$19:$B$22,MATCH($B204,'Parametri Modello'!$A$19:$A$22,0)))/INDEX('Parametri Modello'!$B$19:$B$22,MATCH($B204,'Parametri Modello'!$A$19:$A$22,0)))*'Parametri Modello'!$B$9))))*(1+IF('Parametri Modello'!$B$27="Si",MAX(-'Parametri Modello'!$B$28,MIN('Parametri Modello'!$B$28*1.5,IF(OR(INDEX('Parametri Modello'!$F$32:$F$35,MATCH($B204,'Parametri Modello'!$A$32:$A$35,0))="",INDEX('Parametri Modello'!$F$32:$F$35,MATCH($B204,'Parametri Modello'!$A$32:$A$35,0))=0),0,(1/INDEX('Parametri Modello'!$F$32:$F$35,MATCH($B204,'Parametri Modello'!$A$32:$A$35,0))-1)*'Parametri Modello'!$B$28))),0)))*(1-INDEX('Parametri Modello'!$B$12:$B$15,MATCH($B204,'Parametri Modello'!$A$12:$A$15,0)))),0),"")</f>
        <v>3</v>
      </c>
      <c r="H204" s="27" t="n">
        <f aca="false">IFERROR(ROUND((IF($V204&lt;=INDEX('Parametri Modello'!$C$57:$C$60,MATCH($B204,'Parametri Modello'!$A$57:$A$60,0)),IF(INDEX('Parametri Modello'!$E$57:$E$60,MATCH($B204,'Parametri Modello'!$A$57:$A$60,0))=0,0,($O204/INDEX('Parametri Modello'!$E$57:$E$60,MATCH($B204,'Parametri Modello'!$A$57:$A$60,0)))*(INDEX('Parametri Modello'!$D$57:$D$60,MATCH($B204,'Parametri Modello'!$A$57:$A$60,0))*(INDEX('Parametri Modello'!$B$50:$B$53,MATCH($B204,'Parametri Modello'!$A$50:$A$53,0))*'Parametri Modello'!$B$44))),IF(INDEX('Parametri Modello'!$F$57:$F$60,MATCH($B204,'Parametri Modello'!$A$57:$A$60,0))=0,0,($O204/INDEX('Parametri Modello'!$F$57:$F$60,MATCH($B204,'Parametri Modello'!$A$57:$A$60,0)))*((1-INDEX('Parametri Modello'!$D$57:$D$60,MATCH($B204,'Parametri Modello'!$A$57:$A$60,0)))*(INDEX('Parametri Modello'!$B$50:$B$53,MATCH($B204,'Parametri Modello'!$A$50:$A$53,0))*'Parametri Modello'!$B$44))))*(1+IF(IF($B204="D",'Info Lega'!$B$25,IF($B204="C",'Info Lega'!$B$26,"No"))="Si",'Parametri Modello'!$B$5,0))*(1+MAX(-0.25,MIN(0.25,IF(OR($T204="",$I204="",$I204=0,INDEX('Parametri Modello'!$B$19:$B$22,MATCH($B204,'Parametri Modello'!$A$19:$A$22,0))="",INDEX('Parametri Modello'!$B$19:$B$22,MATCH($B204,'Parametri Modello'!$A$19:$A$22,0))=0),0,(($T204-INDEX('Parametri Modello'!$B$19:$B$22,MATCH($B204,'Parametri Modello'!$A$19:$A$22,0)))/INDEX('Parametri Modello'!$B$19:$B$22,MATCH($B204,'Parametri Modello'!$A$19:$A$22,0)))*'Parametri Modello'!$B$9))))*(1+IF('Parametri Modello'!$B$27="Si",MAX(-'Parametri Modello'!$B$28,MIN('Parametri Modello'!$B$28*1.5,IF(OR(INDEX('Parametri Modello'!$F$32:$F$35,MATCH($B204,'Parametri Modello'!$A$32:$A$35,0))="",INDEX('Parametri Modello'!$F$32:$F$35,MATCH($B204,'Parametri Modello'!$A$32:$A$35,0))=0),0,(1/INDEX('Parametri Modello'!$F$32:$F$35,MATCH($B204,'Parametri Modello'!$A$32:$A$35,0))-1)*'Parametri Modello'!$B$28))),0)))*(1+INDEX('Parametri Modello'!$B$12:$B$15,MATCH($B204,'Parametri Modello'!$A$12:$A$15,0))),0),"")</f>
        <v>6</v>
      </c>
      <c r="I204" s="26" t="n">
        <f aca="false">IFERROR(INDEX('Input Statistiche 2025_26'!$F$3:$F$665,MATCH($A204,'Input Statistiche 2025_26'!$A$3:$A$665,0)),"")</f>
        <v>23</v>
      </c>
      <c r="J204" s="26" t="n">
        <f aca="false">IFERROR(IF($I204="","",MAX(0,38-$I204)),"")</f>
        <v>15</v>
      </c>
      <c r="K204" s="26" t="n">
        <f aca="false">IFERROR(INDEX('Input Statistiche 2025_26'!$I$3:$I$665,MATCH($A204,'Input Statistiche 2025_26'!$A$3:$A$665,0)),"")</f>
        <v>4</v>
      </c>
      <c r="L204" s="26" t="n">
        <f aca="false">IFERROR(INDEX('Input Statistiche 2025_26'!$O$3:$O$665,MATCH($A204,'Input Statistiche 2025_26'!$A$3:$A$665,0)),"")</f>
        <v>2</v>
      </c>
      <c r="M204" s="28"/>
      <c r="N204" s="27" t="n">
        <f aca="false">IFERROR(INDEX('Input Giocatori 2026_27'!$E$3:$E$493,MATCH($A204,'Input Giocatori 2026_27'!$A$3:$A$493,0)),"")</f>
        <v>6</v>
      </c>
      <c r="O204" s="27" t="n">
        <f aca="false">IFERROR(INDEX('Input Giocatori 2026_27'!$G$3:$G$493,MATCH($A204,'Input Giocatori 2026_27'!$A$3:$A$493,0)),"")</f>
        <v>17</v>
      </c>
      <c r="P204" s="26" t="str">
        <f aca="false">IFERROR(IF($O204="","",IF((1-(COUNTIFS($B$2:$B$492,$B204,$O$2:$O$492,"&gt;"&amp;$O204)+1-1)/COUNTIF($B$2:$B$492,$B204))&gt;=0.85,"Top",IF((1-(COUNTIFS($B$2:$B$492,$B204,$O$2:$O$492,"&gt;"&amp;$O204)+1-1)/COUNTIF($B$2:$B$492,$B204))&gt;=0.6,"Buono",IF((1-(COUNTIFS($B$2:$B$492,$B204,$O$2:$O$492,"&gt;"&amp;$O204)+1-1)/COUNTIF($B$2:$B$492,$B204))&gt;=0.3,"Nella Media","Scommessa/Riserva")))),"")</f>
        <v>Nella Media</v>
      </c>
      <c r="Q204" s="29" t="n">
        <f aca="false">IF($D204="",COUNTIF($D$2:$D204,""),"")</f>
        <v>203</v>
      </c>
      <c r="R204" s="29" t="str">
        <f aca="false">IF($D204='Info Lega'!$B$28,COUNTIFS($D$2:$D204,'Info Lega'!$B$28),"")</f>
        <v/>
      </c>
      <c r="S204" s="30" t="n">
        <f aca="false">IFERROR(INDEX('Input Statistiche 2025_26'!$G$3:$G$665,MATCH($A204,'Input Statistiche 2025_26'!$A$3:$A$665,0)),"")</f>
        <v>6.02</v>
      </c>
      <c r="T204" s="30" t="n">
        <f aca="false">IFERROR(INDEX('Input Statistiche 2025_26'!$H$3:$H$665,MATCH($A204,'Input Statistiche 2025_26'!$A$3:$A$665,0)),"")</f>
        <v>6.5</v>
      </c>
      <c r="U204" s="26" t="str">
        <f aca="false">IF(OR('La Mia Rosa'!$O$12="",$D204&lt;&gt;""),"",IF($F204&lt;='La Mia Rosa'!$O$12*'Parametri Modello'!$B$24,"OK",IF($F204&lt;='La Mia Rosa'!$O$12*'Parametri Modello'!$B$25,"Attenzione","Rischio Alto")))</f>
        <v>OK</v>
      </c>
      <c r="V204" s="26" t="n">
        <f aca="false">IFERROR(COUNTIFS($B$2:$B$492,$B204,$O$2:$O$492,"&gt;"&amp;$O204)+1,"")</f>
        <v>55</v>
      </c>
      <c r="W204" s="21" t="n">
        <f aca="false">'Info Lega'!$B$4-SUMIFS($M$2:$M$492,$D$2:$D$492,'Info Lega'!$B$28)</f>
        <v>1000</v>
      </c>
      <c r="X204" s="21" t="n">
        <f aca="false">('Info Lega'!$B$5-COUNTIFS($D$2:$D$492,'Info Lega'!$B$28,$B$2:$B$492,"P"))+('Info Lega'!$B$6-COUNTIFS($D$2:$D$492,'Info Lega'!$B$28,$B$2:$B$492,"D"))+('Info Lega'!$B$7-COUNTIFS($D$2:$D$492,'Info Lega'!$B$28,$B$2:$B$492,"C"))+('Info Lega'!$B$8-COUNTIFS($D$2:$D$492,'Info Lega'!$B$28,$B$2:$B$492,"A"))</f>
        <v>25</v>
      </c>
      <c r="Y204" s="21" t="n">
        <f aca="false">X204*'Parametri Modello'!$B$30</f>
        <v>25</v>
      </c>
      <c r="Z204" s="21" t="n">
        <f aca="false">MAX(0,W204-Y204)</f>
        <v>975</v>
      </c>
      <c r="AA204" s="21" t="n">
        <f aca="false">MIN(F204,Z204)</f>
        <v>5</v>
      </c>
      <c r="AB204" s="21"/>
      <c r="AC204" s="21" t="str">
        <f aca="false">IF(AB204="","",IF(AB204&gt;AA204,"PASS",IF(AB204&lt;=AA204*0.85,"BID","ATTENZIONE")))</f>
        <v/>
      </c>
      <c r="AD204" s="31" t="n">
        <f aca="false">IF(I204="","",ROUND(100*(1-EXP(-I204/30)),0))</f>
        <v>54</v>
      </c>
      <c r="AE204" s="7" t="str">
        <f aca="false">IFERROR(INDEX('Stato Asta'!$G$9:$G$12,MATCH($B204,'Stato Asta'!$A$9:$A$12,0)),"")</f>
        <v>🔴 Non aspettare</v>
      </c>
    </row>
    <row r="205" customFormat="false" ht="14.25" hidden="false" customHeight="true" outlineLevel="0" collapsed="false">
      <c r="A205" s="21" t="n">
        <v>6046</v>
      </c>
      <c r="B205" s="21" t="s">
        <v>44</v>
      </c>
      <c r="C205" s="21" t="s">
        <v>213</v>
      </c>
      <c r="E205" s="26" t="str">
        <f aca="false">IF(COUNTIF('Info Strategia'!$D$2:$D$51,$C205)&gt;0,"SI","NO")</f>
        <v>NO</v>
      </c>
      <c r="F205" s="27" t="n">
        <f aca="false">IFERROR(ROUND(($G205+($H205-$G205)*'Info Strategia'!$B$6)*(1+IF($E205="SI",'Parametri Modello'!$B$7*'Info Strategia'!$B$6,0)),0),"")</f>
        <v>3</v>
      </c>
      <c r="G205" s="27" t="n">
        <f aca="false">IFERROR(ROUND(MAX(1,(IF($V205&lt;=INDEX('Parametri Modello'!$C$57:$C$60,MATCH($B205,'Parametri Modello'!$A$57:$A$60,0)),IF(INDEX('Parametri Modello'!$E$57:$E$60,MATCH($B205,'Parametri Modello'!$A$57:$A$60,0))=0,0,($O205/INDEX('Parametri Modello'!$E$57:$E$60,MATCH($B205,'Parametri Modello'!$A$57:$A$60,0)))*(INDEX('Parametri Modello'!$D$57:$D$60,MATCH($B205,'Parametri Modello'!$A$57:$A$60,0))*(INDEX('Parametri Modello'!$B$50:$B$53,MATCH($B205,'Parametri Modello'!$A$50:$A$53,0))*'Parametri Modello'!$B$44))),IF(INDEX('Parametri Modello'!$F$57:$F$60,MATCH($B205,'Parametri Modello'!$A$57:$A$60,0))=0,0,($O205/INDEX('Parametri Modello'!$F$57:$F$60,MATCH($B205,'Parametri Modello'!$A$57:$A$60,0)))*((1-INDEX('Parametri Modello'!$D$57:$D$60,MATCH($B205,'Parametri Modello'!$A$57:$A$60,0)))*(INDEX('Parametri Modello'!$B$50:$B$53,MATCH($B205,'Parametri Modello'!$A$50:$A$53,0))*'Parametri Modello'!$B$44))))*(1+IF(IF($B205="D",'Info Lega'!$B$25,IF($B205="C",'Info Lega'!$B$26,"No"))="Si",'Parametri Modello'!$B$5,0))*(1+MAX(-0.25,MIN(0.25,IF(OR($T205="",$I205="",$I205=0,INDEX('Parametri Modello'!$B$19:$B$22,MATCH($B205,'Parametri Modello'!$A$19:$A$22,0))="",INDEX('Parametri Modello'!$B$19:$B$22,MATCH($B205,'Parametri Modello'!$A$19:$A$22,0))=0),0,(($T205-INDEX('Parametri Modello'!$B$19:$B$22,MATCH($B205,'Parametri Modello'!$A$19:$A$22,0)))/INDEX('Parametri Modello'!$B$19:$B$22,MATCH($B205,'Parametri Modello'!$A$19:$A$22,0)))*'Parametri Modello'!$B$9))))*(1+IF('Parametri Modello'!$B$27="Si",MAX(-'Parametri Modello'!$B$28,MIN('Parametri Modello'!$B$28*1.5,IF(OR(INDEX('Parametri Modello'!$F$32:$F$35,MATCH($B205,'Parametri Modello'!$A$32:$A$35,0))="",INDEX('Parametri Modello'!$F$32:$F$35,MATCH($B205,'Parametri Modello'!$A$32:$A$35,0))=0),0,(1/INDEX('Parametri Modello'!$F$32:$F$35,MATCH($B205,'Parametri Modello'!$A$32:$A$35,0))-1)*'Parametri Modello'!$B$28))),0)))*(1-INDEX('Parametri Modello'!$B$12:$B$15,MATCH($B205,'Parametri Modello'!$A$12:$A$15,0)))),0),"")</f>
        <v>2</v>
      </c>
      <c r="H205" s="27" t="n">
        <f aca="false">IFERROR(ROUND((IF($V205&lt;=INDEX('Parametri Modello'!$C$57:$C$60,MATCH($B205,'Parametri Modello'!$A$57:$A$60,0)),IF(INDEX('Parametri Modello'!$E$57:$E$60,MATCH($B205,'Parametri Modello'!$A$57:$A$60,0))=0,0,($O205/INDEX('Parametri Modello'!$E$57:$E$60,MATCH($B205,'Parametri Modello'!$A$57:$A$60,0)))*(INDEX('Parametri Modello'!$D$57:$D$60,MATCH($B205,'Parametri Modello'!$A$57:$A$60,0))*(INDEX('Parametri Modello'!$B$50:$B$53,MATCH($B205,'Parametri Modello'!$A$50:$A$53,0))*'Parametri Modello'!$B$44))),IF(INDEX('Parametri Modello'!$F$57:$F$60,MATCH($B205,'Parametri Modello'!$A$57:$A$60,0))=0,0,($O205/INDEX('Parametri Modello'!$F$57:$F$60,MATCH($B205,'Parametri Modello'!$A$57:$A$60,0)))*((1-INDEX('Parametri Modello'!$D$57:$D$60,MATCH($B205,'Parametri Modello'!$A$57:$A$60,0)))*(INDEX('Parametri Modello'!$B$50:$B$53,MATCH($B205,'Parametri Modello'!$A$50:$A$53,0))*'Parametri Modello'!$B$44))))*(1+IF(IF($B205="D",'Info Lega'!$B$25,IF($B205="C",'Info Lega'!$B$26,"No"))="Si",'Parametri Modello'!$B$5,0))*(1+MAX(-0.25,MIN(0.25,IF(OR($T205="",$I205="",$I205=0,INDEX('Parametri Modello'!$B$19:$B$22,MATCH($B205,'Parametri Modello'!$A$19:$A$22,0))="",INDEX('Parametri Modello'!$B$19:$B$22,MATCH($B205,'Parametri Modello'!$A$19:$A$22,0))=0),0,(($T205-INDEX('Parametri Modello'!$B$19:$B$22,MATCH($B205,'Parametri Modello'!$A$19:$A$22,0)))/INDEX('Parametri Modello'!$B$19:$B$22,MATCH($B205,'Parametri Modello'!$A$19:$A$22,0)))*'Parametri Modello'!$B$9))))*(1+IF('Parametri Modello'!$B$27="Si",MAX(-'Parametri Modello'!$B$28,MIN('Parametri Modello'!$B$28*1.5,IF(OR(INDEX('Parametri Modello'!$F$32:$F$35,MATCH($B205,'Parametri Modello'!$A$32:$A$35,0))="",INDEX('Parametri Modello'!$F$32:$F$35,MATCH($B205,'Parametri Modello'!$A$32:$A$35,0))=0),0,(1/INDEX('Parametri Modello'!$F$32:$F$35,MATCH($B205,'Parametri Modello'!$A$32:$A$35,0))-1)*'Parametri Modello'!$B$28))),0)))*(1+INDEX('Parametri Modello'!$B$12:$B$15,MATCH($B205,'Parametri Modello'!$A$12:$A$15,0))),0),"")</f>
        <v>3</v>
      </c>
      <c r="I205" s="26" t="n">
        <f aca="false">IFERROR(INDEX('Input Statistiche 2025_26'!$F$3:$F$665,MATCH($A205,'Input Statistiche 2025_26'!$A$3:$A$665,0)),"")</f>
        <v>28</v>
      </c>
      <c r="J205" s="26" t="n">
        <f aca="false">IFERROR(IF($I205="","",MAX(0,38-$I205)),"")</f>
        <v>10</v>
      </c>
      <c r="K205" s="26" t="n">
        <f aca="false">IFERROR(INDEX('Input Statistiche 2025_26'!$I$3:$I$665,MATCH($A205,'Input Statistiche 2025_26'!$A$3:$A$665,0)),"")</f>
        <v>1</v>
      </c>
      <c r="L205" s="26" t="n">
        <f aca="false">IFERROR(INDEX('Input Statistiche 2025_26'!$O$3:$O$665,MATCH($A205,'Input Statistiche 2025_26'!$A$3:$A$665,0)),"")</f>
        <v>0</v>
      </c>
      <c r="M205" s="28"/>
      <c r="N205" s="27" t="n">
        <f aca="false">IFERROR(INDEX('Input Giocatori 2026_27'!$E$3:$E$493,MATCH($A205,'Input Giocatori 2026_27'!$A$3:$A$493,0)),"")</f>
        <v>8</v>
      </c>
      <c r="O205" s="27" t="n">
        <f aca="false">IFERROR(INDEX('Input Giocatori 2026_27'!$G$3:$G$493,MATCH($A205,'Input Giocatori 2026_27'!$A$3:$A$493,0)),"")</f>
        <v>16</v>
      </c>
      <c r="P205" s="26" t="str">
        <f aca="false">IFERROR(IF($O205="","",IF((1-(COUNTIFS($B$2:$B$492,$B205,$O$2:$O$492,"&gt;"&amp;$O205)+1-1)/COUNTIF($B$2:$B$492,$B205))&gt;=0.85,"Top",IF((1-(COUNTIFS($B$2:$B$492,$B205,$O$2:$O$492,"&gt;"&amp;$O205)+1-1)/COUNTIF($B$2:$B$492,$B205))&gt;=0.6,"Buono",IF((1-(COUNTIFS($B$2:$B$492,$B205,$O$2:$O$492,"&gt;"&amp;$O205)+1-1)/COUNTIF($B$2:$B$492,$B205))&gt;=0.3,"Nella Media","Scommessa/Riserva")))),"")</f>
        <v>Buono</v>
      </c>
      <c r="Q205" s="29" t="n">
        <f aca="false">IF($D205="",COUNTIF($D$2:$D205,""),"")</f>
        <v>204</v>
      </c>
      <c r="R205" s="29" t="str">
        <f aca="false">IF($D205='Info Lega'!$B$28,COUNTIFS($D$2:$D205,'Info Lega'!$B$28),"")</f>
        <v/>
      </c>
      <c r="S205" s="30" t="n">
        <f aca="false">IFERROR(INDEX('Input Statistiche 2025_26'!$G$3:$G$665,MATCH($A205,'Input Statistiche 2025_26'!$A$3:$A$665,0)),"")</f>
        <v>5.91</v>
      </c>
      <c r="T205" s="30" t="n">
        <f aca="false">IFERROR(INDEX('Input Statistiche 2025_26'!$H$3:$H$665,MATCH($A205,'Input Statistiche 2025_26'!$A$3:$A$665,0)),"")</f>
        <v>5.86</v>
      </c>
      <c r="U205" s="26" t="str">
        <f aca="false">IF(OR('La Mia Rosa'!$O$12="",$D205&lt;&gt;""),"",IF($F205&lt;='La Mia Rosa'!$O$12*'Parametri Modello'!$B$24,"OK",IF($F205&lt;='La Mia Rosa'!$O$12*'Parametri Modello'!$B$25,"Attenzione","Rischio Alto")))</f>
        <v>OK</v>
      </c>
      <c r="V205" s="26" t="n">
        <f aca="false">IFERROR(COUNTIFS($B$2:$B$492,$B205,$O$2:$O$492,"&gt;"&amp;$O205)+1,"")</f>
        <v>56</v>
      </c>
      <c r="W205" s="21" t="n">
        <f aca="false">'Info Lega'!$B$4-SUMIFS($M$2:$M$492,$D$2:$D$492,'Info Lega'!$B$28)</f>
        <v>1000</v>
      </c>
      <c r="X205" s="21" t="n">
        <f aca="false">('Info Lega'!$B$5-COUNTIFS($D$2:$D$492,'Info Lega'!$B$28,$B$2:$B$492,"P"))+('Info Lega'!$B$6-COUNTIFS($D$2:$D$492,'Info Lega'!$B$28,$B$2:$B$492,"D"))+('Info Lega'!$B$7-COUNTIFS($D$2:$D$492,'Info Lega'!$B$28,$B$2:$B$492,"C"))+('Info Lega'!$B$8-COUNTIFS($D$2:$D$492,'Info Lega'!$B$28,$B$2:$B$492,"A"))</f>
        <v>25</v>
      </c>
      <c r="Y205" s="21" t="n">
        <f aca="false">X205*'Parametri Modello'!$B$30</f>
        <v>25</v>
      </c>
      <c r="Z205" s="21" t="n">
        <f aca="false">MAX(0,W205-Y205)</f>
        <v>975</v>
      </c>
      <c r="AA205" s="21" t="n">
        <f aca="false">MIN(F205,Z205)</f>
        <v>3</v>
      </c>
      <c r="AB205" s="21"/>
      <c r="AC205" s="21" t="str">
        <f aca="false">IF(AB205="","",IF(AB205&gt;AA205,"PASS",IF(AB205&lt;=AA205*0.85,"BID","ATTENZIONE")))</f>
        <v/>
      </c>
      <c r="AD205" s="31" t="n">
        <f aca="false">IF(I205="","",ROUND(100*(1-EXP(-I205/30)),0))</f>
        <v>61</v>
      </c>
      <c r="AE205" s="7" t="str">
        <f aca="false">IFERROR(INDEX('Stato Asta'!$G$9:$G$12,MATCH($B205,'Stato Asta'!$A$9:$A$12,0)),"")</f>
        <v>🟡 Attesa rischiosa</v>
      </c>
    </row>
    <row r="206" customFormat="false" ht="14.25" hidden="false" customHeight="true" outlineLevel="0" collapsed="false">
      <c r="A206" s="21" t="n">
        <v>787</v>
      </c>
      <c r="B206" s="21" t="s">
        <v>44</v>
      </c>
      <c r="C206" s="21" t="s">
        <v>228</v>
      </c>
      <c r="E206" s="26" t="str">
        <f aca="false">IF(COUNTIF('Info Strategia'!$D$2:$D$51,$C206)&gt;0,"SI","NO")</f>
        <v>NO</v>
      </c>
      <c r="F206" s="27" t="n">
        <f aca="false">IFERROR(ROUND(($G206+($H206-$G206)*'Info Strategia'!$B$6)*(1+IF($E206="SI",'Parametri Modello'!$B$7*'Info Strategia'!$B$6,0)),0),"")</f>
        <v>3</v>
      </c>
      <c r="G206" s="27" t="n">
        <f aca="false">IFERROR(ROUND(MAX(1,(IF($V206&lt;=INDEX('Parametri Modello'!$C$57:$C$60,MATCH($B206,'Parametri Modello'!$A$57:$A$60,0)),IF(INDEX('Parametri Modello'!$E$57:$E$60,MATCH($B206,'Parametri Modello'!$A$57:$A$60,0))=0,0,($O206/INDEX('Parametri Modello'!$E$57:$E$60,MATCH($B206,'Parametri Modello'!$A$57:$A$60,0)))*(INDEX('Parametri Modello'!$D$57:$D$60,MATCH($B206,'Parametri Modello'!$A$57:$A$60,0))*(INDEX('Parametri Modello'!$B$50:$B$53,MATCH($B206,'Parametri Modello'!$A$50:$A$53,0))*'Parametri Modello'!$B$44))),IF(INDEX('Parametri Modello'!$F$57:$F$60,MATCH($B206,'Parametri Modello'!$A$57:$A$60,0))=0,0,($O206/INDEX('Parametri Modello'!$F$57:$F$60,MATCH($B206,'Parametri Modello'!$A$57:$A$60,0)))*((1-INDEX('Parametri Modello'!$D$57:$D$60,MATCH($B206,'Parametri Modello'!$A$57:$A$60,0)))*(INDEX('Parametri Modello'!$B$50:$B$53,MATCH($B206,'Parametri Modello'!$A$50:$A$53,0))*'Parametri Modello'!$B$44))))*(1+IF(IF($B206="D",'Info Lega'!$B$25,IF($B206="C",'Info Lega'!$B$26,"No"))="Si",'Parametri Modello'!$B$5,0))*(1+MAX(-0.25,MIN(0.25,IF(OR($T206="",$I206="",$I206=0,INDEX('Parametri Modello'!$B$19:$B$22,MATCH($B206,'Parametri Modello'!$A$19:$A$22,0))="",INDEX('Parametri Modello'!$B$19:$B$22,MATCH($B206,'Parametri Modello'!$A$19:$A$22,0))=0),0,(($T206-INDEX('Parametri Modello'!$B$19:$B$22,MATCH($B206,'Parametri Modello'!$A$19:$A$22,0)))/INDEX('Parametri Modello'!$B$19:$B$22,MATCH($B206,'Parametri Modello'!$A$19:$A$22,0)))*'Parametri Modello'!$B$9))))*(1+IF('Parametri Modello'!$B$27="Si",MAX(-'Parametri Modello'!$B$28,MIN('Parametri Modello'!$B$28*1.5,IF(OR(INDEX('Parametri Modello'!$F$32:$F$35,MATCH($B206,'Parametri Modello'!$A$32:$A$35,0))="",INDEX('Parametri Modello'!$F$32:$F$35,MATCH($B206,'Parametri Modello'!$A$32:$A$35,0))=0),0,(1/INDEX('Parametri Modello'!$F$32:$F$35,MATCH($B206,'Parametri Modello'!$A$32:$A$35,0))-1)*'Parametri Modello'!$B$28))),0)))*(1-INDEX('Parametri Modello'!$B$12:$B$15,MATCH($B206,'Parametri Modello'!$A$12:$A$15,0)))),0),"")</f>
        <v>2</v>
      </c>
      <c r="H206" s="27" t="n">
        <f aca="false">IFERROR(ROUND((IF($V206&lt;=INDEX('Parametri Modello'!$C$57:$C$60,MATCH($B206,'Parametri Modello'!$A$57:$A$60,0)),IF(INDEX('Parametri Modello'!$E$57:$E$60,MATCH($B206,'Parametri Modello'!$A$57:$A$60,0))=0,0,($O206/INDEX('Parametri Modello'!$E$57:$E$60,MATCH($B206,'Parametri Modello'!$A$57:$A$60,0)))*(INDEX('Parametri Modello'!$D$57:$D$60,MATCH($B206,'Parametri Modello'!$A$57:$A$60,0))*(INDEX('Parametri Modello'!$B$50:$B$53,MATCH($B206,'Parametri Modello'!$A$50:$A$53,0))*'Parametri Modello'!$B$44))),IF(INDEX('Parametri Modello'!$F$57:$F$60,MATCH($B206,'Parametri Modello'!$A$57:$A$60,0))=0,0,($O206/INDEX('Parametri Modello'!$F$57:$F$60,MATCH($B206,'Parametri Modello'!$A$57:$A$60,0)))*((1-INDEX('Parametri Modello'!$D$57:$D$60,MATCH($B206,'Parametri Modello'!$A$57:$A$60,0)))*(INDEX('Parametri Modello'!$B$50:$B$53,MATCH($B206,'Parametri Modello'!$A$50:$A$53,0))*'Parametri Modello'!$B$44))))*(1+IF(IF($B206="D",'Info Lega'!$B$25,IF($B206="C",'Info Lega'!$B$26,"No"))="Si",'Parametri Modello'!$B$5,0))*(1+MAX(-0.25,MIN(0.25,IF(OR($T206="",$I206="",$I206=0,INDEX('Parametri Modello'!$B$19:$B$22,MATCH($B206,'Parametri Modello'!$A$19:$A$22,0))="",INDEX('Parametri Modello'!$B$19:$B$22,MATCH($B206,'Parametri Modello'!$A$19:$A$22,0))=0),0,(($T206-INDEX('Parametri Modello'!$B$19:$B$22,MATCH($B206,'Parametri Modello'!$A$19:$A$22,0)))/INDEX('Parametri Modello'!$B$19:$B$22,MATCH($B206,'Parametri Modello'!$A$19:$A$22,0)))*'Parametri Modello'!$B$9))))*(1+IF('Parametri Modello'!$B$27="Si",MAX(-'Parametri Modello'!$B$28,MIN('Parametri Modello'!$B$28*1.5,IF(OR(INDEX('Parametri Modello'!$F$32:$F$35,MATCH($B206,'Parametri Modello'!$A$32:$A$35,0))="",INDEX('Parametri Modello'!$F$32:$F$35,MATCH($B206,'Parametri Modello'!$A$32:$A$35,0))=0),0,(1/INDEX('Parametri Modello'!$F$32:$F$35,MATCH($B206,'Parametri Modello'!$A$32:$A$35,0))-1)*'Parametri Modello'!$B$28))),0)))*(1+INDEX('Parametri Modello'!$B$12:$B$15,MATCH($B206,'Parametri Modello'!$A$12:$A$15,0))),0),"")</f>
        <v>3</v>
      </c>
      <c r="I206" s="26" t="n">
        <f aca="false">IFERROR(INDEX('Input Statistiche 2025_26'!$F$3:$F$665,MATCH($A206,'Input Statistiche 2025_26'!$A$3:$A$665,0)),"")</f>
        <v>33</v>
      </c>
      <c r="J206" s="26" t="n">
        <f aca="false">IFERROR(IF($I206="","",MAX(0,38-$I206)),"")</f>
        <v>5</v>
      </c>
      <c r="K206" s="26" t="n">
        <f aca="false">IFERROR(INDEX('Input Statistiche 2025_26'!$I$3:$I$665,MATCH($A206,'Input Statistiche 2025_26'!$A$3:$A$665,0)),"")</f>
        <v>0</v>
      </c>
      <c r="L206" s="26" t="n">
        <f aca="false">IFERROR(INDEX('Input Statistiche 2025_26'!$O$3:$O$665,MATCH($A206,'Input Statistiche 2025_26'!$A$3:$A$665,0)),"")</f>
        <v>0</v>
      </c>
      <c r="M206" s="28"/>
      <c r="N206" s="27" t="n">
        <f aca="false">IFERROR(INDEX('Input Giocatori 2026_27'!$E$3:$E$493,MATCH($A206,'Input Giocatori 2026_27'!$A$3:$A$493,0)),"")</f>
        <v>7</v>
      </c>
      <c r="O206" s="27" t="n">
        <f aca="false">IFERROR(INDEX('Input Giocatori 2026_27'!$G$3:$G$493,MATCH($A206,'Input Giocatori 2026_27'!$A$3:$A$493,0)),"")</f>
        <v>16</v>
      </c>
      <c r="P206" s="26" t="str">
        <f aca="false">IFERROR(IF($O206="","",IF((1-(COUNTIFS($B$2:$B$492,$B206,$O$2:$O$492,"&gt;"&amp;$O206)+1-1)/COUNTIF($B$2:$B$492,$B206))&gt;=0.85,"Top",IF((1-(COUNTIFS($B$2:$B$492,$B206,$O$2:$O$492,"&gt;"&amp;$O206)+1-1)/COUNTIF($B$2:$B$492,$B206))&gt;=0.6,"Buono",IF((1-(COUNTIFS($B$2:$B$492,$B206,$O$2:$O$492,"&gt;"&amp;$O206)+1-1)/COUNTIF($B$2:$B$492,$B206))&gt;=0.3,"Nella Media","Scommessa/Riserva")))),"")</f>
        <v>Buono</v>
      </c>
      <c r="Q206" s="29" t="n">
        <f aca="false">IF($D206="",COUNTIF($D$2:$D206,""),"")</f>
        <v>205</v>
      </c>
      <c r="R206" s="29" t="str">
        <f aca="false">IF($D206='Info Lega'!$B$28,COUNTIFS($D$2:$D206,'Info Lega'!$B$28),"")</f>
        <v/>
      </c>
      <c r="S206" s="30" t="n">
        <f aca="false">IFERROR(INDEX('Input Statistiche 2025_26'!$G$3:$G$665,MATCH($A206,'Input Statistiche 2025_26'!$A$3:$A$665,0)),"")</f>
        <v>5.86</v>
      </c>
      <c r="T206" s="30" t="n">
        <f aca="false">IFERROR(INDEX('Input Statistiche 2025_26'!$H$3:$H$665,MATCH($A206,'Input Statistiche 2025_26'!$A$3:$A$665,0)),"")</f>
        <v>5.8</v>
      </c>
      <c r="U206" s="26" t="str">
        <f aca="false">IF(OR('La Mia Rosa'!$O$12="",$D206&lt;&gt;""),"",IF($F206&lt;='La Mia Rosa'!$O$12*'Parametri Modello'!$B$24,"OK",IF($F206&lt;='La Mia Rosa'!$O$12*'Parametri Modello'!$B$25,"Attenzione","Rischio Alto")))</f>
        <v>OK</v>
      </c>
      <c r="V206" s="26" t="n">
        <f aca="false">IFERROR(COUNTIFS($B$2:$B$492,$B206,$O$2:$O$492,"&gt;"&amp;$O206)+1,"")</f>
        <v>56</v>
      </c>
      <c r="W206" s="21" t="n">
        <f aca="false">'Info Lega'!$B$4-SUMIFS($M$2:$M$492,$D$2:$D$492,'Info Lega'!$B$28)</f>
        <v>1000</v>
      </c>
      <c r="X206" s="21" t="n">
        <f aca="false">('Info Lega'!$B$5-COUNTIFS($D$2:$D$492,'Info Lega'!$B$28,$B$2:$B$492,"P"))+('Info Lega'!$B$6-COUNTIFS($D$2:$D$492,'Info Lega'!$B$28,$B$2:$B$492,"D"))+('Info Lega'!$B$7-COUNTIFS($D$2:$D$492,'Info Lega'!$B$28,$B$2:$B$492,"C"))+('Info Lega'!$B$8-COUNTIFS($D$2:$D$492,'Info Lega'!$B$28,$B$2:$B$492,"A"))</f>
        <v>25</v>
      </c>
      <c r="Y206" s="21" t="n">
        <f aca="false">X206*'Parametri Modello'!$B$30</f>
        <v>25</v>
      </c>
      <c r="Z206" s="21" t="n">
        <f aca="false">MAX(0,W206-Y206)</f>
        <v>975</v>
      </c>
      <c r="AA206" s="21" t="n">
        <f aca="false">MIN(F206,Z206)</f>
        <v>3</v>
      </c>
      <c r="AB206" s="21"/>
      <c r="AC206" s="21" t="str">
        <f aca="false">IF(AB206="","",IF(AB206&gt;AA206,"PASS",IF(AB206&lt;=AA206*0.85,"BID","ATTENZIONE")))</f>
        <v/>
      </c>
      <c r="AD206" s="31" t="n">
        <f aca="false">IF(I206="","",ROUND(100*(1-EXP(-I206/30)),0))</f>
        <v>67</v>
      </c>
      <c r="AE206" s="7" t="str">
        <f aca="false">IFERROR(INDEX('Stato Asta'!$G$9:$G$12,MATCH($B206,'Stato Asta'!$A$9:$A$12,0)),"")</f>
        <v>🟡 Attesa rischiosa</v>
      </c>
    </row>
    <row r="207" customFormat="false" ht="14.25" hidden="false" customHeight="true" outlineLevel="0" collapsed="false">
      <c r="A207" s="21" t="n">
        <v>6916</v>
      </c>
      <c r="B207" s="21" t="s">
        <v>44</v>
      </c>
      <c r="C207" s="21" t="s">
        <v>242</v>
      </c>
      <c r="E207" s="26" t="str">
        <f aca="false">IF(COUNTIF('Info Strategia'!$D$2:$D$51,$C207)&gt;0,"SI","NO")</f>
        <v>NO</v>
      </c>
      <c r="F207" s="27" t="n">
        <f aca="false">IFERROR(ROUND(($G207+($H207-$G207)*'Info Strategia'!$B$6)*(1+IF($E207="SI",'Parametri Modello'!$B$7*'Info Strategia'!$B$6,0)),0),"")</f>
        <v>3</v>
      </c>
      <c r="G207" s="27" t="n">
        <f aca="false">IFERROR(ROUND(MAX(1,(IF($V207&lt;=INDEX('Parametri Modello'!$C$57:$C$60,MATCH($B207,'Parametri Modello'!$A$57:$A$60,0)),IF(INDEX('Parametri Modello'!$E$57:$E$60,MATCH($B207,'Parametri Modello'!$A$57:$A$60,0))=0,0,($O207/INDEX('Parametri Modello'!$E$57:$E$60,MATCH($B207,'Parametri Modello'!$A$57:$A$60,0)))*(INDEX('Parametri Modello'!$D$57:$D$60,MATCH($B207,'Parametri Modello'!$A$57:$A$60,0))*(INDEX('Parametri Modello'!$B$50:$B$53,MATCH($B207,'Parametri Modello'!$A$50:$A$53,0))*'Parametri Modello'!$B$44))),IF(INDEX('Parametri Modello'!$F$57:$F$60,MATCH($B207,'Parametri Modello'!$A$57:$A$60,0))=0,0,($O207/INDEX('Parametri Modello'!$F$57:$F$60,MATCH($B207,'Parametri Modello'!$A$57:$A$60,0)))*((1-INDEX('Parametri Modello'!$D$57:$D$60,MATCH($B207,'Parametri Modello'!$A$57:$A$60,0)))*(INDEX('Parametri Modello'!$B$50:$B$53,MATCH($B207,'Parametri Modello'!$A$50:$A$53,0))*'Parametri Modello'!$B$44))))*(1+IF(IF($B207="D",'Info Lega'!$B$25,IF($B207="C",'Info Lega'!$B$26,"No"))="Si",'Parametri Modello'!$B$5,0))*(1+MAX(-0.25,MIN(0.25,IF(OR($T207="",$I207="",$I207=0,INDEX('Parametri Modello'!$B$19:$B$22,MATCH($B207,'Parametri Modello'!$A$19:$A$22,0))="",INDEX('Parametri Modello'!$B$19:$B$22,MATCH($B207,'Parametri Modello'!$A$19:$A$22,0))=0),0,(($T207-INDEX('Parametri Modello'!$B$19:$B$22,MATCH($B207,'Parametri Modello'!$A$19:$A$22,0)))/INDEX('Parametri Modello'!$B$19:$B$22,MATCH($B207,'Parametri Modello'!$A$19:$A$22,0)))*'Parametri Modello'!$B$9))))*(1+IF('Parametri Modello'!$B$27="Si",MAX(-'Parametri Modello'!$B$28,MIN('Parametri Modello'!$B$28*1.5,IF(OR(INDEX('Parametri Modello'!$F$32:$F$35,MATCH($B207,'Parametri Modello'!$A$32:$A$35,0))="",INDEX('Parametri Modello'!$F$32:$F$35,MATCH($B207,'Parametri Modello'!$A$32:$A$35,0))=0),0,(1/INDEX('Parametri Modello'!$F$32:$F$35,MATCH($B207,'Parametri Modello'!$A$32:$A$35,0))-1)*'Parametri Modello'!$B$28))),0)))*(1-INDEX('Parametri Modello'!$B$12:$B$15,MATCH($B207,'Parametri Modello'!$A$12:$A$15,0)))),0),"")</f>
        <v>2</v>
      </c>
      <c r="H207" s="27" t="n">
        <f aca="false">IFERROR(ROUND((IF($V207&lt;=INDEX('Parametri Modello'!$C$57:$C$60,MATCH($B207,'Parametri Modello'!$A$57:$A$60,0)),IF(INDEX('Parametri Modello'!$E$57:$E$60,MATCH($B207,'Parametri Modello'!$A$57:$A$60,0))=0,0,($O207/INDEX('Parametri Modello'!$E$57:$E$60,MATCH($B207,'Parametri Modello'!$A$57:$A$60,0)))*(INDEX('Parametri Modello'!$D$57:$D$60,MATCH($B207,'Parametri Modello'!$A$57:$A$60,0))*(INDEX('Parametri Modello'!$B$50:$B$53,MATCH($B207,'Parametri Modello'!$A$50:$A$53,0))*'Parametri Modello'!$B$44))),IF(INDEX('Parametri Modello'!$F$57:$F$60,MATCH($B207,'Parametri Modello'!$A$57:$A$60,0))=0,0,($O207/INDEX('Parametri Modello'!$F$57:$F$60,MATCH($B207,'Parametri Modello'!$A$57:$A$60,0)))*((1-INDEX('Parametri Modello'!$D$57:$D$60,MATCH($B207,'Parametri Modello'!$A$57:$A$60,0)))*(INDEX('Parametri Modello'!$B$50:$B$53,MATCH($B207,'Parametri Modello'!$A$50:$A$53,0))*'Parametri Modello'!$B$44))))*(1+IF(IF($B207="D",'Info Lega'!$B$25,IF($B207="C",'Info Lega'!$B$26,"No"))="Si",'Parametri Modello'!$B$5,0))*(1+MAX(-0.25,MIN(0.25,IF(OR($T207="",$I207="",$I207=0,INDEX('Parametri Modello'!$B$19:$B$22,MATCH($B207,'Parametri Modello'!$A$19:$A$22,0))="",INDEX('Parametri Modello'!$B$19:$B$22,MATCH($B207,'Parametri Modello'!$A$19:$A$22,0))=0),0,(($T207-INDEX('Parametri Modello'!$B$19:$B$22,MATCH($B207,'Parametri Modello'!$A$19:$A$22,0)))/INDEX('Parametri Modello'!$B$19:$B$22,MATCH($B207,'Parametri Modello'!$A$19:$A$22,0)))*'Parametri Modello'!$B$9))))*(1+IF('Parametri Modello'!$B$27="Si",MAX(-'Parametri Modello'!$B$28,MIN('Parametri Modello'!$B$28*1.5,IF(OR(INDEX('Parametri Modello'!$F$32:$F$35,MATCH($B207,'Parametri Modello'!$A$32:$A$35,0))="",INDEX('Parametri Modello'!$F$32:$F$35,MATCH($B207,'Parametri Modello'!$A$32:$A$35,0))=0),0,(1/INDEX('Parametri Modello'!$F$32:$F$35,MATCH($B207,'Parametri Modello'!$A$32:$A$35,0))-1)*'Parametri Modello'!$B$28))),0)))*(1+INDEX('Parametri Modello'!$B$12:$B$15,MATCH($B207,'Parametri Modello'!$A$12:$A$15,0))),0),"")</f>
        <v>3</v>
      </c>
      <c r="I207" s="26" t="n">
        <f aca="false">IFERROR(INDEX('Input Statistiche 2025_26'!$F$3:$F$665,MATCH($A207,'Input Statistiche 2025_26'!$A$3:$A$665,0)),"")</f>
        <v>21</v>
      </c>
      <c r="J207" s="26" t="n">
        <f aca="false">IFERROR(IF($I207="","",MAX(0,38-$I207)),"")</f>
        <v>17</v>
      </c>
      <c r="K207" s="26" t="n">
        <f aca="false">IFERROR(INDEX('Input Statistiche 2025_26'!$I$3:$I$665,MATCH($A207,'Input Statistiche 2025_26'!$A$3:$A$665,0)),"")</f>
        <v>0</v>
      </c>
      <c r="L207" s="26" t="n">
        <f aca="false">IFERROR(INDEX('Input Statistiche 2025_26'!$O$3:$O$665,MATCH($A207,'Input Statistiche 2025_26'!$A$3:$A$665,0)),"")</f>
        <v>0</v>
      </c>
      <c r="M207" s="28"/>
      <c r="N207" s="27" t="n">
        <f aca="false">IFERROR(INDEX('Input Giocatori 2026_27'!$E$3:$E$493,MATCH($A207,'Input Giocatori 2026_27'!$A$3:$A$493,0)),"")</f>
        <v>6</v>
      </c>
      <c r="O207" s="27" t="n">
        <f aca="false">IFERROR(INDEX('Input Giocatori 2026_27'!$G$3:$G$493,MATCH($A207,'Input Giocatori 2026_27'!$A$3:$A$493,0)),"")</f>
        <v>16</v>
      </c>
      <c r="P207" s="26" t="str">
        <f aca="false">IFERROR(IF($O207="","",IF((1-(COUNTIFS($B$2:$B$492,$B207,$O$2:$O$492,"&gt;"&amp;$O207)+1-1)/COUNTIF($B$2:$B$492,$B207))&gt;=0.85,"Top",IF((1-(COUNTIFS($B$2:$B$492,$B207,$O$2:$O$492,"&gt;"&amp;$O207)+1-1)/COUNTIF($B$2:$B$492,$B207))&gt;=0.6,"Buono",IF((1-(COUNTIFS($B$2:$B$492,$B207,$O$2:$O$492,"&gt;"&amp;$O207)+1-1)/COUNTIF($B$2:$B$492,$B207))&gt;=0.3,"Nella Media","Scommessa/Riserva")))),"")</f>
        <v>Buono</v>
      </c>
      <c r="Q207" s="29" t="n">
        <f aca="false">IF($D207="",COUNTIF($D$2:$D207,""),"")</f>
        <v>206</v>
      </c>
      <c r="R207" s="29" t="str">
        <f aca="false">IF($D207='Info Lega'!$B$28,COUNTIFS($D$2:$D207,'Info Lega'!$B$28),"")</f>
        <v/>
      </c>
      <c r="S207" s="30" t="n">
        <f aca="false">IFERROR(INDEX('Input Statistiche 2025_26'!$G$3:$G$665,MATCH($A207,'Input Statistiche 2025_26'!$A$3:$A$665,0)),"")</f>
        <v>5.79</v>
      </c>
      <c r="T207" s="30" t="n">
        <f aca="false">IFERROR(INDEX('Input Statistiche 2025_26'!$H$3:$H$665,MATCH($A207,'Input Statistiche 2025_26'!$A$3:$A$665,0)),"")</f>
        <v>5.69</v>
      </c>
      <c r="U207" s="26" t="str">
        <f aca="false">IF(OR('La Mia Rosa'!$O$12="",$D207&lt;&gt;""),"",IF($F207&lt;='La Mia Rosa'!$O$12*'Parametri Modello'!$B$24,"OK",IF($F207&lt;='La Mia Rosa'!$O$12*'Parametri Modello'!$B$25,"Attenzione","Rischio Alto")))</f>
        <v>OK</v>
      </c>
      <c r="V207" s="26" t="n">
        <f aca="false">IFERROR(COUNTIFS($B$2:$B$492,$B207,$O$2:$O$492,"&gt;"&amp;$O207)+1,"")</f>
        <v>56</v>
      </c>
      <c r="W207" s="21" t="n">
        <f aca="false">'Info Lega'!$B$4-SUMIFS($M$2:$M$492,$D$2:$D$492,'Info Lega'!$B$28)</f>
        <v>1000</v>
      </c>
      <c r="X207" s="21" t="n">
        <f aca="false">('Info Lega'!$B$5-COUNTIFS($D$2:$D$492,'Info Lega'!$B$28,$B$2:$B$492,"P"))+('Info Lega'!$B$6-COUNTIFS($D$2:$D$492,'Info Lega'!$B$28,$B$2:$B$492,"D"))+('Info Lega'!$B$7-COUNTIFS($D$2:$D$492,'Info Lega'!$B$28,$B$2:$B$492,"C"))+('Info Lega'!$B$8-COUNTIFS($D$2:$D$492,'Info Lega'!$B$28,$B$2:$B$492,"A"))</f>
        <v>25</v>
      </c>
      <c r="Y207" s="21" t="n">
        <f aca="false">X207*'Parametri Modello'!$B$30</f>
        <v>25</v>
      </c>
      <c r="Z207" s="21" t="n">
        <f aca="false">MAX(0,W207-Y207)</f>
        <v>975</v>
      </c>
      <c r="AA207" s="21" t="n">
        <f aca="false">MIN(F207,Z207)</f>
        <v>3</v>
      </c>
      <c r="AB207" s="21"/>
      <c r="AC207" s="21" t="str">
        <f aca="false">IF(AB207="","",IF(AB207&gt;AA207,"PASS",IF(AB207&lt;=AA207*0.85,"BID","ATTENZIONE")))</f>
        <v/>
      </c>
      <c r="AD207" s="31" t="n">
        <f aca="false">IF(I207="","",ROUND(100*(1-EXP(-I207/30)),0))</f>
        <v>50</v>
      </c>
      <c r="AE207" s="7" t="str">
        <f aca="false">IFERROR(INDEX('Stato Asta'!$G$9:$G$12,MATCH($B207,'Stato Asta'!$A$9:$A$12,0)),"")</f>
        <v>🟡 Attesa rischiosa</v>
      </c>
    </row>
    <row r="208" customFormat="false" ht="14.25" hidden="false" customHeight="true" outlineLevel="0" collapsed="false">
      <c r="A208" s="21" t="n">
        <v>6202</v>
      </c>
      <c r="B208" s="21" t="s">
        <v>44</v>
      </c>
      <c r="C208" s="21" t="s">
        <v>257</v>
      </c>
      <c r="E208" s="26" t="str">
        <f aca="false">IF(COUNTIF('Info Strategia'!$D$2:$D$51,$C208)&gt;0,"SI","NO")</f>
        <v>NO</v>
      </c>
      <c r="F208" s="27" t="n">
        <f aca="false">IFERROR(ROUND(($G208+($H208-$G208)*'Info Strategia'!$B$6)*(1+IF($E208="SI",'Parametri Modello'!$B$7*'Info Strategia'!$B$6,0)),0),"")</f>
        <v>3</v>
      </c>
      <c r="G208" s="27" t="n">
        <f aca="false">IFERROR(ROUND(MAX(1,(IF($V208&lt;=INDEX('Parametri Modello'!$C$57:$C$60,MATCH($B208,'Parametri Modello'!$A$57:$A$60,0)),IF(INDEX('Parametri Modello'!$E$57:$E$60,MATCH($B208,'Parametri Modello'!$A$57:$A$60,0))=0,0,($O208/INDEX('Parametri Modello'!$E$57:$E$60,MATCH($B208,'Parametri Modello'!$A$57:$A$60,0)))*(INDEX('Parametri Modello'!$D$57:$D$60,MATCH($B208,'Parametri Modello'!$A$57:$A$60,0))*(INDEX('Parametri Modello'!$B$50:$B$53,MATCH($B208,'Parametri Modello'!$A$50:$A$53,0))*'Parametri Modello'!$B$44))),IF(INDEX('Parametri Modello'!$F$57:$F$60,MATCH($B208,'Parametri Modello'!$A$57:$A$60,0))=0,0,($O208/INDEX('Parametri Modello'!$F$57:$F$60,MATCH($B208,'Parametri Modello'!$A$57:$A$60,0)))*((1-INDEX('Parametri Modello'!$D$57:$D$60,MATCH($B208,'Parametri Modello'!$A$57:$A$60,0)))*(INDEX('Parametri Modello'!$B$50:$B$53,MATCH($B208,'Parametri Modello'!$A$50:$A$53,0))*'Parametri Modello'!$B$44))))*(1+IF(IF($B208="D",'Info Lega'!$B$25,IF($B208="C",'Info Lega'!$B$26,"No"))="Si",'Parametri Modello'!$B$5,0))*(1+MAX(-0.25,MIN(0.25,IF(OR($T208="",$I208="",$I208=0,INDEX('Parametri Modello'!$B$19:$B$22,MATCH($B208,'Parametri Modello'!$A$19:$A$22,0))="",INDEX('Parametri Modello'!$B$19:$B$22,MATCH($B208,'Parametri Modello'!$A$19:$A$22,0))=0),0,(($T208-INDEX('Parametri Modello'!$B$19:$B$22,MATCH($B208,'Parametri Modello'!$A$19:$A$22,0)))/INDEX('Parametri Modello'!$B$19:$B$22,MATCH($B208,'Parametri Modello'!$A$19:$A$22,0)))*'Parametri Modello'!$B$9))))*(1+IF('Parametri Modello'!$B$27="Si",MAX(-'Parametri Modello'!$B$28,MIN('Parametri Modello'!$B$28*1.5,IF(OR(INDEX('Parametri Modello'!$F$32:$F$35,MATCH($B208,'Parametri Modello'!$A$32:$A$35,0))="",INDEX('Parametri Modello'!$F$32:$F$35,MATCH($B208,'Parametri Modello'!$A$32:$A$35,0))=0),0,(1/INDEX('Parametri Modello'!$F$32:$F$35,MATCH($B208,'Parametri Modello'!$A$32:$A$35,0))-1)*'Parametri Modello'!$B$28))),0)))*(1-INDEX('Parametri Modello'!$B$12:$B$15,MATCH($B208,'Parametri Modello'!$A$12:$A$15,0)))),0),"")</f>
        <v>2</v>
      </c>
      <c r="H208" s="27" t="n">
        <f aca="false">IFERROR(ROUND((IF($V208&lt;=INDEX('Parametri Modello'!$C$57:$C$60,MATCH($B208,'Parametri Modello'!$A$57:$A$60,0)),IF(INDEX('Parametri Modello'!$E$57:$E$60,MATCH($B208,'Parametri Modello'!$A$57:$A$60,0))=0,0,($O208/INDEX('Parametri Modello'!$E$57:$E$60,MATCH($B208,'Parametri Modello'!$A$57:$A$60,0)))*(INDEX('Parametri Modello'!$D$57:$D$60,MATCH($B208,'Parametri Modello'!$A$57:$A$60,0))*(INDEX('Parametri Modello'!$B$50:$B$53,MATCH($B208,'Parametri Modello'!$A$50:$A$53,0))*'Parametri Modello'!$B$44))),IF(INDEX('Parametri Modello'!$F$57:$F$60,MATCH($B208,'Parametri Modello'!$A$57:$A$60,0))=0,0,($O208/INDEX('Parametri Modello'!$F$57:$F$60,MATCH($B208,'Parametri Modello'!$A$57:$A$60,0)))*((1-INDEX('Parametri Modello'!$D$57:$D$60,MATCH($B208,'Parametri Modello'!$A$57:$A$60,0)))*(INDEX('Parametri Modello'!$B$50:$B$53,MATCH($B208,'Parametri Modello'!$A$50:$A$53,0))*'Parametri Modello'!$B$44))))*(1+IF(IF($B208="D",'Info Lega'!$B$25,IF($B208="C",'Info Lega'!$B$26,"No"))="Si",'Parametri Modello'!$B$5,0))*(1+MAX(-0.25,MIN(0.25,IF(OR($T208="",$I208="",$I208=0,INDEX('Parametri Modello'!$B$19:$B$22,MATCH($B208,'Parametri Modello'!$A$19:$A$22,0))="",INDEX('Parametri Modello'!$B$19:$B$22,MATCH($B208,'Parametri Modello'!$A$19:$A$22,0))=0),0,(($T208-INDEX('Parametri Modello'!$B$19:$B$22,MATCH($B208,'Parametri Modello'!$A$19:$A$22,0)))/INDEX('Parametri Modello'!$B$19:$B$22,MATCH($B208,'Parametri Modello'!$A$19:$A$22,0)))*'Parametri Modello'!$B$9))))*(1+IF('Parametri Modello'!$B$27="Si",MAX(-'Parametri Modello'!$B$28,MIN('Parametri Modello'!$B$28*1.5,IF(OR(INDEX('Parametri Modello'!$F$32:$F$35,MATCH($B208,'Parametri Modello'!$A$32:$A$35,0))="",INDEX('Parametri Modello'!$F$32:$F$35,MATCH($B208,'Parametri Modello'!$A$32:$A$35,0))=0),0,(1/INDEX('Parametri Modello'!$F$32:$F$35,MATCH($B208,'Parametri Modello'!$A$32:$A$35,0))-1)*'Parametri Modello'!$B$28))),0)))*(1+INDEX('Parametri Modello'!$B$12:$B$15,MATCH($B208,'Parametri Modello'!$A$12:$A$15,0))),0),"")</f>
        <v>3</v>
      </c>
      <c r="I208" s="26" t="n">
        <f aca="false">IFERROR(INDEX('Input Statistiche 2025_26'!$F$3:$F$665,MATCH($A208,'Input Statistiche 2025_26'!$A$3:$A$665,0)),"")</f>
        <v>22</v>
      </c>
      <c r="J208" s="26" t="n">
        <f aca="false">IFERROR(IF($I208="","",MAX(0,38-$I208)),"")</f>
        <v>16</v>
      </c>
      <c r="K208" s="26" t="n">
        <f aca="false">IFERROR(INDEX('Input Statistiche 2025_26'!$I$3:$I$665,MATCH($A208,'Input Statistiche 2025_26'!$A$3:$A$665,0)),"")</f>
        <v>2</v>
      </c>
      <c r="L208" s="26" t="n">
        <f aca="false">IFERROR(INDEX('Input Statistiche 2025_26'!$O$3:$O$665,MATCH($A208,'Input Statistiche 2025_26'!$A$3:$A$665,0)),"")</f>
        <v>0</v>
      </c>
      <c r="M208" s="28"/>
      <c r="N208" s="27" t="n">
        <f aca="false">IFERROR(INDEX('Input Giocatori 2026_27'!$E$3:$E$493,MATCH($A208,'Input Giocatori 2026_27'!$A$3:$A$493,0)),"")</f>
        <v>6</v>
      </c>
      <c r="O208" s="27" t="n">
        <f aca="false">IFERROR(INDEX('Input Giocatori 2026_27'!$G$3:$G$493,MATCH($A208,'Input Giocatori 2026_27'!$A$3:$A$493,0)),"")</f>
        <v>16</v>
      </c>
      <c r="P208" s="26" t="str">
        <f aca="false">IFERROR(IF($O208="","",IF((1-(COUNTIFS($B$2:$B$492,$B208,$O$2:$O$492,"&gt;"&amp;$O208)+1-1)/COUNTIF($B$2:$B$492,$B208))&gt;=0.85,"Top",IF((1-(COUNTIFS($B$2:$B$492,$B208,$O$2:$O$492,"&gt;"&amp;$O208)+1-1)/COUNTIF($B$2:$B$492,$B208))&gt;=0.6,"Buono",IF((1-(COUNTIFS($B$2:$B$492,$B208,$O$2:$O$492,"&gt;"&amp;$O208)+1-1)/COUNTIF($B$2:$B$492,$B208))&gt;=0.3,"Nella Media","Scommessa/Riserva")))),"")</f>
        <v>Buono</v>
      </c>
      <c r="Q208" s="29" t="n">
        <f aca="false">IF($D208="",COUNTIF($D$2:$D208,""),"")</f>
        <v>207</v>
      </c>
      <c r="R208" s="29" t="str">
        <f aca="false">IF($D208='Info Lega'!$B$28,COUNTIFS($D$2:$D208,'Info Lega'!$B$28),"")</f>
        <v/>
      </c>
      <c r="S208" s="30" t="n">
        <f aca="false">IFERROR(INDEX('Input Statistiche 2025_26'!$G$3:$G$665,MATCH($A208,'Input Statistiche 2025_26'!$A$3:$A$665,0)),"")</f>
        <v>5.93</v>
      </c>
      <c r="T208" s="30" t="n">
        <f aca="false">IFERROR(INDEX('Input Statistiche 2025_26'!$H$3:$H$665,MATCH($A208,'Input Statistiche 2025_26'!$A$3:$A$665,0)),"")</f>
        <v>6.16</v>
      </c>
      <c r="U208" s="26" t="str">
        <f aca="false">IF(OR('La Mia Rosa'!$O$12="",$D208&lt;&gt;""),"",IF($F208&lt;='La Mia Rosa'!$O$12*'Parametri Modello'!$B$24,"OK",IF($F208&lt;='La Mia Rosa'!$O$12*'Parametri Modello'!$B$25,"Attenzione","Rischio Alto")))</f>
        <v>OK</v>
      </c>
      <c r="V208" s="26" t="n">
        <f aca="false">IFERROR(COUNTIFS($B$2:$B$492,$B208,$O$2:$O$492,"&gt;"&amp;$O208)+1,"")</f>
        <v>56</v>
      </c>
      <c r="W208" s="21" t="n">
        <f aca="false">'Info Lega'!$B$4-SUMIFS($M$2:$M$492,$D$2:$D$492,'Info Lega'!$B$28)</f>
        <v>1000</v>
      </c>
      <c r="X208" s="21" t="n">
        <f aca="false">('Info Lega'!$B$5-COUNTIFS($D$2:$D$492,'Info Lega'!$B$28,$B$2:$B$492,"P"))+('Info Lega'!$B$6-COUNTIFS($D$2:$D$492,'Info Lega'!$B$28,$B$2:$B$492,"D"))+('Info Lega'!$B$7-COUNTIFS($D$2:$D$492,'Info Lega'!$B$28,$B$2:$B$492,"C"))+('Info Lega'!$B$8-COUNTIFS($D$2:$D$492,'Info Lega'!$B$28,$B$2:$B$492,"A"))</f>
        <v>25</v>
      </c>
      <c r="Y208" s="21" t="n">
        <f aca="false">X208*'Parametri Modello'!$B$30</f>
        <v>25</v>
      </c>
      <c r="Z208" s="21" t="n">
        <f aca="false">MAX(0,W208-Y208)</f>
        <v>975</v>
      </c>
      <c r="AA208" s="21" t="n">
        <f aca="false">MIN(F208,Z208)</f>
        <v>3</v>
      </c>
      <c r="AB208" s="21"/>
      <c r="AC208" s="21" t="str">
        <f aca="false">IF(AB208="","",IF(AB208&gt;AA208,"PASS",IF(AB208&lt;=AA208*0.85,"BID","ATTENZIONE")))</f>
        <v/>
      </c>
      <c r="AD208" s="31" t="n">
        <f aca="false">IF(I208="","",ROUND(100*(1-EXP(-I208/30)),0))</f>
        <v>52</v>
      </c>
      <c r="AE208" s="7" t="str">
        <f aca="false">IFERROR(INDEX('Stato Asta'!$G$9:$G$12,MATCH($B208,'Stato Asta'!$A$9:$A$12,0)),"")</f>
        <v>🟡 Attesa rischiosa</v>
      </c>
    </row>
    <row r="209" customFormat="false" ht="14.25" hidden="false" customHeight="true" outlineLevel="0" collapsed="false">
      <c r="A209" s="21" t="n">
        <v>6986</v>
      </c>
      <c r="B209" s="21" t="s">
        <v>44</v>
      </c>
      <c r="C209" s="21" t="s">
        <v>277</v>
      </c>
      <c r="E209" s="26" t="str">
        <f aca="false">IF(COUNTIF('Info Strategia'!$D$2:$D$51,$C209)&gt;0,"SI","NO")</f>
        <v>NO</v>
      </c>
      <c r="F209" s="27" t="n">
        <f aca="false">IFERROR(ROUND(($G209+($H209-$G209)*'Info Strategia'!$B$6)*(1+IF($E209="SI",'Parametri Modello'!$B$7*'Info Strategia'!$B$6,0)),0),"")</f>
        <v>3</v>
      </c>
      <c r="G209" s="27" t="n">
        <f aca="false">IFERROR(ROUND(MAX(1,(IF($V209&lt;=INDEX('Parametri Modello'!$C$57:$C$60,MATCH($B209,'Parametri Modello'!$A$57:$A$60,0)),IF(INDEX('Parametri Modello'!$E$57:$E$60,MATCH($B209,'Parametri Modello'!$A$57:$A$60,0))=0,0,($O209/INDEX('Parametri Modello'!$E$57:$E$60,MATCH($B209,'Parametri Modello'!$A$57:$A$60,0)))*(INDEX('Parametri Modello'!$D$57:$D$60,MATCH($B209,'Parametri Modello'!$A$57:$A$60,0))*(INDEX('Parametri Modello'!$B$50:$B$53,MATCH($B209,'Parametri Modello'!$A$50:$A$53,0))*'Parametri Modello'!$B$44))),IF(INDEX('Parametri Modello'!$F$57:$F$60,MATCH($B209,'Parametri Modello'!$A$57:$A$60,0))=0,0,($O209/INDEX('Parametri Modello'!$F$57:$F$60,MATCH($B209,'Parametri Modello'!$A$57:$A$60,0)))*((1-INDEX('Parametri Modello'!$D$57:$D$60,MATCH($B209,'Parametri Modello'!$A$57:$A$60,0)))*(INDEX('Parametri Modello'!$B$50:$B$53,MATCH($B209,'Parametri Modello'!$A$50:$A$53,0))*'Parametri Modello'!$B$44))))*(1+IF(IF($B209="D",'Info Lega'!$B$25,IF($B209="C",'Info Lega'!$B$26,"No"))="Si",'Parametri Modello'!$B$5,0))*(1+MAX(-0.25,MIN(0.25,IF(OR($T209="",$I209="",$I209=0,INDEX('Parametri Modello'!$B$19:$B$22,MATCH($B209,'Parametri Modello'!$A$19:$A$22,0))="",INDEX('Parametri Modello'!$B$19:$B$22,MATCH($B209,'Parametri Modello'!$A$19:$A$22,0))=0),0,(($T209-INDEX('Parametri Modello'!$B$19:$B$22,MATCH($B209,'Parametri Modello'!$A$19:$A$22,0)))/INDEX('Parametri Modello'!$B$19:$B$22,MATCH($B209,'Parametri Modello'!$A$19:$A$22,0)))*'Parametri Modello'!$B$9))))*(1+IF('Parametri Modello'!$B$27="Si",MAX(-'Parametri Modello'!$B$28,MIN('Parametri Modello'!$B$28*1.5,IF(OR(INDEX('Parametri Modello'!$F$32:$F$35,MATCH($B209,'Parametri Modello'!$A$32:$A$35,0))="",INDEX('Parametri Modello'!$F$32:$F$35,MATCH($B209,'Parametri Modello'!$A$32:$A$35,0))=0),0,(1/INDEX('Parametri Modello'!$F$32:$F$35,MATCH($B209,'Parametri Modello'!$A$32:$A$35,0))-1)*'Parametri Modello'!$B$28))),0)))*(1-INDEX('Parametri Modello'!$B$12:$B$15,MATCH($B209,'Parametri Modello'!$A$12:$A$15,0)))),0),"")</f>
        <v>2</v>
      </c>
      <c r="H209" s="27" t="n">
        <f aca="false">IFERROR(ROUND((IF($V209&lt;=INDEX('Parametri Modello'!$C$57:$C$60,MATCH($B209,'Parametri Modello'!$A$57:$A$60,0)),IF(INDEX('Parametri Modello'!$E$57:$E$60,MATCH($B209,'Parametri Modello'!$A$57:$A$60,0))=0,0,($O209/INDEX('Parametri Modello'!$E$57:$E$60,MATCH($B209,'Parametri Modello'!$A$57:$A$60,0)))*(INDEX('Parametri Modello'!$D$57:$D$60,MATCH($B209,'Parametri Modello'!$A$57:$A$60,0))*(INDEX('Parametri Modello'!$B$50:$B$53,MATCH($B209,'Parametri Modello'!$A$50:$A$53,0))*'Parametri Modello'!$B$44))),IF(INDEX('Parametri Modello'!$F$57:$F$60,MATCH($B209,'Parametri Modello'!$A$57:$A$60,0))=0,0,($O209/INDEX('Parametri Modello'!$F$57:$F$60,MATCH($B209,'Parametri Modello'!$A$57:$A$60,0)))*((1-INDEX('Parametri Modello'!$D$57:$D$60,MATCH($B209,'Parametri Modello'!$A$57:$A$60,0)))*(INDEX('Parametri Modello'!$B$50:$B$53,MATCH($B209,'Parametri Modello'!$A$50:$A$53,0))*'Parametri Modello'!$B$44))))*(1+IF(IF($B209="D",'Info Lega'!$B$25,IF($B209="C",'Info Lega'!$B$26,"No"))="Si",'Parametri Modello'!$B$5,0))*(1+MAX(-0.25,MIN(0.25,IF(OR($T209="",$I209="",$I209=0,INDEX('Parametri Modello'!$B$19:$B$22,MATCH($B209,'Parametri Modello'!$A$19:$A$22,0))="",INDEX('Parametri Modello'!$B$19:$B$22,MATCH($B209,'Parametri Modello'!$A$19:$A$22,0))=0),0,(($T209-INDEX('Parametri Modello'!$B$19:$B$22,MATCH($B209,'Parametri Modello'!$A$19:$A$22,0)))/INDEX('Parametri Modello'!$B$19:$B$22,MATCH($B209,'Parametri Modello'!$A$19:$A$22,0)))*'Parametri Modello'!$B$9))))*(1+IF('Parametri Modello'!$B$27="Si",MAX(-'Parametri Modello'!$B$28,MIN('Parametri Modello'!$B$28*1.5,IF(OR(INDEX('Parametri Modello'!$F$32:$F$35,MATCH($B209,'Parametri Modello'!$A$32:$A$35,0))="",INDEX('Parametri Modello'!$F$32:$F$35,MATCH($B209,'Parametri Modello'!$A$32:$A$35,0))=0),0,(1/INDEX('Parametri Modello'!$F$32:$F$35,MATCH($B209,'Parametri Modello'!$A$32:$A$35,0))-1)*'Parametri Modello'!$B$28))),0)))*(1+INDEX('Parametri Modello'!$B$12:$B$15,MATCH($B209,'Parametri Modello'!$A$12:$A$15,0))),0),"")</f>
        <v>3</v>
      </c>
      <c r="I209" s="26" t="n">
        <f aca="false">IFERROR(INDEX('Input Statistiche 2025_26'!$F$3:$F$665,MATCH($A209,'Input Statistiche 2025_26'!$A$3:$A$665,0)),"")</f>
        <v>19</v>
      </c>
      <c r="J209" s="26" t="n">
        <f aca="false">IFERROR(IF($I209="","",MAX(0,38-$I209)),"")</f>
        <v>19</v>
      </c>
      <c r="K209" s="26" t="n">
        <f aca="false">IFERROR(INDEX('Input Statistiche 2025_26'!$I$3:$I$665,MATCH($A209,'Input Statistiche 2025_26'!$A$3:$A$665,0)),"")</f>
        <v>1</v>
      </c>
      <c r="L209" s="26" t="n">
        <f aca="false">IFERROR(INDEX('Input Statistiche 2025_26'!$O$3:$O$665,MATCH($A209,'Input Statistiche 2025_26'!$A$3:$A$665,0)),"")</f>
        <v>4</v>
      </c>
      <c r="M209" s="28"/>
      <c r="N209" s="27" t="n">
        <f aca="false">IFERROR(INDEX('Input Giocatori 2026_27'!$E$3:$E$493,MATCH($A209,'Input Giocatori 2026_27'!$A$3:$A$493,0)),"")</f>
        <v>5</v>
      </c>
      <c r="O209" s="27" t="n">
        <f aca="false">IFERROR(INDEX('Input Giocatori 2026_27'!$G$3:$G$493,MATCH($A209,'Input Giocatori 2026_27'!$A$3:$A$493,0)),"")</f>
        <v>16</v>
      </c>
      <c r="P209" s="26" t="str">
        <f aca="false">IFERROR(IF($O209="","",IF((1-(COUNTIFS($B$2:$B$492,$B209,$O$2:$O$492,"&gt;"&amp;$O209)+1-1)/COUNTIF($B$2:$B$492,$B209))&gt;=0.85,"Top",IF((1-(COUNTIFS($B$2:$B$492,$B209,$O$2:$O$492,"&gt;"&amp;$O209)+1-1)/COUNTIF($B$2:$B$492,$B209))&gt;=0.6,"Buono",IF((1-(COUNTIFS($B$2:$B$492,$B209,$O$2:$O$492,"&gt;"&amp;$O209)+1-1)/COUNTIF($B$2:$B$492,$B209))&gt;=0.3,"Nella Media","Scommessa/Riserva")))),"")</f>
        <v>Buono</v>
      </c>
      <c r="Q209" s="29" t="n">
        <f aca="false">IF($D209="",COUNTIF($D$2:$D209,""),"")</f>
        <v>208</v>
      </c>
      <c r="R209" s="29" t="str">
        <f aca="false">IF($D209='Info Lega'!$B$28,COUNTIFS($D$2:$D209,'Info Lega'!$B$28),"")</f>
        <v/>
      </c>
      <c r="S209" s="30" t="n">
        <f aca="false">IFERROR(INDEX('Input Statistiche 2025_26'!$G$3:$G$665,MATCH($A209,'Input Statistiche 2025_26'!$A$3:$A$665,0)),"")</f>
        <v>6.16</v>
      </c>
      <c r="T209" s="30" t="n">
        <f aca="false">IFERROR(INDEX('Input Statistiche 2025_26'!$H$3:$H$665,MATCH($A209,'Input Statistiche 2025_26'!$A$3:$A$665,0)),"")</f>
        <v>6.5</v>
      </c>
      <c r="U209" s="26" t="str">
        <f aca="false">IF(OR('La Mia Rosa'!$O$12="",$D209&lt;&gt;""),"",IF($F209&lt;='La Mia Rosa'!$O$12*'Parametri Modello'!$B$24,"OK",IF($F209&lt;='La Mia Rosa'!$O$12*'Parametri Modello'!$B$25,"Attenzione","Rischio Alto")))</f>
        <v>OK</v>
      </c>
      <c r="V209" s="26" t="n">
        <f aca="false">IFERROR(COUNTIFS($B$2:$B$492,$B209,$O$2:$O$492,"&gt;"&amp;$O209)+1,"")</f>
        <v>56</v>
      </c>
      <c r="W209" s="21" t="n">
        <f aca="false">'Info Lega'!$B$4-SUMIFS($M$2:$M$492,$D$2:$D$492,'Info Lega'!$B$28)</f>
        <v>1000</v>
      </c>
      <c r="X209" s="21" t="n">
        <f aca="false">('Info Lega'!$B$5-COUNTIFS($D$2:$D$492,'Info Lega'!$B$28,$B$2:$B$492,"P"))+('Info Lega'!$B$6-COUNTIFS($D$2:$D$492,'Info Lega'!$B$28,$B$2:$B$492,"D"))+('Info Lega'!$B$7-COUNTIFS($D$2:$D$492,'Info Lega'!$B$28,$B$2:$B$492,"C"))+('Info Lega'!$B$8-COUNTIFS($D$2:$D$492,'Info Lega'!$B$28,$B$2:$B$492,"A"))</f>
        <v>25</v>
      </c>
      <c r="Y209" s="21" t="n">
        <f aca="false">X209*'Parametri Modello'!$B$30</f>
        <v>25</v>
      </c>
      <c r="Z209" s="21" t="n">
        <f aca="false">MAX(0,W209-Y209)</f>
        <v>975</v>
      </c>
      <c r="AA209" s="21" t="n">
        <f aca="false">MIN(F209,Z209)</f>
        <v>3</v>
      </c>
      <c r="AB209" s="21"/>
      <c r="AC209" s="21" t="str">
        <f aca="false">IF(AB209="","",IF(AB209&gt;AA209,"PASS",IF(AB209&lt;=AA209*0.85,"BID","ATTENZIONE")))</f>
        <v/>
      </c>
      <c r="AD209" s="31" t="n">
        <f aca="false">IF(I209="","",ROUND(100*(1-EXP(-I209/30)),0))</f>
        <v>47</v>
      </c>
      <c r="AE209" s="7" t="str">
        <f aca="false">IFERROR(INDEX('Stato Asta'!$G$9:$G$12,MATCH($B209,'Stato Asta'!$A$9:$A$12,0)),"")</f>
        <v>🟡 Attesa rischiosa</v>
      </c>
    </row>
    <row r="210" customFormat="false" ht="14.25" hidden="false" customHeight="true" outlineLevel="0" collapsed="false">
      <c r="A210" s="21" t="n">
        <v>4459</v>
      </c>
      <c r="B210" s="21" t="s">
        <v>45</v>
      </c>
      <c r="C210" s="21" t="s">
        <v>438</v>
      </c>
      <c r="E210" s="26" t="str">
        <f aca="false">IF(COUNTIF('Info Strategia'!$D$2:$D$51,$C210)&gt;0,"SI","NO")</f>
        <v>NO</v>
      </c>
      <c r="F210" s="27" t="n">
        <f aca="false">IFERROR(ROUND(($G210+($H210-$G210)*'Info Strategia'!$B$6)*(1+IF($E210="SI",'Parametri Modello'!$B$7*'Info Strategia'!$B$6,0)),0),"")</f>
        <v>2</v>
      </c>
      <c r="G210" s="27" t="n">
        <f aca="false">IFERROR(ROUND(MAX(1,(IF($V210&lt;=INDEX('Parametri Modello'!$C$57:$C$60,MATCH($B210,'Parametri Modello'!$A$57:$A$60,0)),IF(INDEX('Parametri Modello'!$E$57:$E$60,MATCH($B210,'Parametri Modello'!$A$57:$A$60,0))=0,0,($O210/INDEX('Parametri Modello'!$E$57:$E$60,MATCH($B210,'Parametri Modello'!$A$57:$A$60,0)))*(INDEX('Parametri Modello'!$D$57:$D$60,MATCH($B210,'Parametri Modello'!$A$57:$A$60,0))*(INDEX('Parametri Modello'!$B$50:$B$53,MATCH($B210,'Parametri Modello'!$A$50:$A$53,0))*'Parametri Modello'!$B$44))),IF(INDEX('Parametri Modello'!$F$57:$F$60,MATCH($B210,'Parametri Modello'!$A$57:$A$60,0))=0,0,($O210/INDEX('Parametri Modello'!$F$57:$F$60,MATCH($B210,'Parametri Modello'!$A$57:$A$60,0)))*((1-INDEX('Parametri Modello'!$D$57:$D$60,MATCH($B210,'Parametri Modello'!$A$57:$A$60,0)))*(INDEX('Parametri Modello'!$B$50:$B$53,MATCH($B210,'Parametri Modello'!$A$50:$A$53,0))*'Parametri Modello'!$B$44))))*(1+IF(IF($B210="D",'Info Lega'!$B$25,IF($B210="C",'Info Lega'!$B$26,"No"))="Si",'Parametri Modello'!$B$5,0))*(1+MAX(-0.25,MIN(0.25,IF(OR($T210="",$I210="",$I210=0,INDEX('Parametri Modello'!$B$19:$B$22,MATCH($B210,'Parametri Modello'!$A$19:$A$22,0))="",INDEX('Parametri Modello'!$B$19:$B$22,MATCH($B210,'Parametri Modello'!$A$19:$A$22,0))=0),0,(($T210-INDEX('Parametri Modello'!$B$19:$B$22,MATCH($B210,'Parametri Modello'!$A$19:$A$22,0)))/INDEX('Parametri Modello'!$B$19:$B$22,MATCH($B210,'Parametri Modello'!$A$19:$A$22,0)))*'Parametri Modello'!$B$9))))*(1+IF('Parametri Modello'!$B$27="Si",MAX(-'Parametri Modello'!$B$28,MIN('Parametri Modello'!$B$28*1.5,IF(OR(INDEX('Parametri Modello'!$F$32:$F$35,MATCH($B210,'Parametri Modello'!$A$32:$A$35,0))="",INDEX('Parametri Modello'!$F$32:$F$35,MATCH($B210,'Parametri Modello'!$A$32:$A$35,0))=0),0,(1/INDEX('Parametri Modello'!$F$32:$F$35,MATCH($B210,'Parametri Modello'!$A$32:$A$35,0))-1)*'Parametri Modello'!$B$28))),0)))*(1-INDEX('Parametri Modello'!$B$12:$B$15,MATCH($B210,'Parametri Modello'!$A$12:$A$15,0)))),0),"")</f>
        <v>1</v>
      </c>
      <c r="H210" s="27" t="n">
        <f aca="false">IFERROR(ROUND((IF($V210&lt;=INDEX('Parametri Modello'!$C$57:$C$60,MATCH($B210,'Parametri Modello'!$A$57:$A$60,0)),IF(INDEX('Parametri Modello'!$E$57:$E$60,MATCH($B210,'Parametri Modello'!$A$57:$A$60,0))=0,0,($O210/INDEX('Parametri Modello'!$E$57:$E$60,MATCH($B210,'Parametri Modello'!$A$57:$A$60,0)))*(INDEX('Parametri Modello'!$D$57:$D$60,MATCH($B210,'Parametri Modello'!$A$57:$A$60,0))*(INDEX('Parametri Modello'!$B$50:$B$53,MATCH($B210,'Parametri Modello'!$A$50:$A$53,0))*'Parametri Modello'!$B$44))),IF(INDEX('Parametri Modello'!$F$57:$F$60,MATCH($B210,'Parametri Modello'!$A$57:$A$60,0))=0,0,($O210/INDEX('Parametri Modello'!$F$57:$F$60,MATCH($B210,'Parametri Modello'!$A$57:$A$60,0)))*((1-INDEX('Parametri Modello'!$D$57:$D$60,MATCH($B210,'Parametri Modello'!$A$57:$A$60,0)))*(INDEX('Parametri Modello'!$B$50:$B$53,MATCH($B210,'Parametri Modello'!$A$50:$A$53,0))*'Parametri Modello'!$B$44))))*(1+IF(IF($B210="D",'Info Lega'!$B$25,IF($B210="C",'Info Lega'!$B$26,"No"))="Si",'Parametri Modello'!$B$5,0))*(1+MAX(-0.25,MIN(0.25,IF(OR($T210="",$I210="",$I210=0,INDEX('Parametri Modello'!$B$19:$B$22,MATCH($B210,'Parametri Modello'!$A$19:$A$22,0))="",INDEX('Parametri Modello'!$B$19:$B$22,MATCH($B210,'Parametri Modello'!$A$19:$A$22,0))=0),0,(($T210-INDEX('Parametri Modello'!$B$19:$B$22,MATCH($B210,'Parametri Modello'!$A$19:$A$22,0)))/INDEX('Parametri Modello'!$B$19:$B$22,MATCH($B210,'Parametri Modello'!$A$19:$A$22,0)))*'Parametri Modello'!$B$9))))*(1+IF('Parametri Modello'!$B$27="Si",MAX(-'Parametri Modello'!$B$28,MIN('Parametri Modello'!$B$28*1.5,IF(OR(INDEX('Parametri Modello'!$F$32:$F$35,MATCH($B210,'Parametri Modello'!$A$32:$A$35,0))="",INDEX('Parametri Modello'!$F$32:$F$35,MATCH($B210,'Parametri Modello'!$A$32:$A$35,0))=0),0,(1/INDEX('Parametri Modello'!$F$32:$F$35,MATCH($B210,'Parametri Modello'!$A$32:$A$35,0))-1)*'Parametri Modello'!$B$28))),0)))*(1+INDEX('Parametri Modello'!$B$12:$B$15,MATCH($B210,'Parametri Modello'!$A$12:$A$15,0))),0),"")</f>
        <v>2</v>
      </c>
      <c r="I210" s="26" t="n">
        <f aca="false">IFERROR(INDEX('Input Statistiche 2025_26'!$F$3:$F$665,MATCH($A210,'Input Statistiche 2025_26'!$A$3:$A$665,0)),"")</f>
        <v>11</v>
      </c>
      <c r="J210" s="26" t="n">
        <f aca="false">IFERROR(IF($I210="","",MAX(0,38-$I210)),"")</f>
        <v>27</v>
      </c>
      <c r="K210" s="26" t="n">
        <f aca="false">IFERROR(INDEX('Input Statistiche 2025_26'!$I$3:$I$665,MATCH($A210,'Input Statistiche 2025_26'!$A$3:$A$665,0)),"")</f>
        <v>0</v>
      </c>
      <c r="L210" s="26" t="n">
        <f aca="false">IFERROR(INDEX('Input Statistiche 2025_26'!$O$3:$O$665,MATCH($A210,'Input Statistiche 2025_26'!$A$3:$A$665,0)),"")</f>
        <v>1</v>
      </c>
      <c r="M210" s="28"/>
      <c r="N210" s="27" t="n">
        <f aca="false">IFERROR(INDEX('Input Giocatori 2026_27'!$E$3:$E$493,MATCH($A210,'Input Giocatori 2026_27'!$A$3:$A$493,0)),"")</f>
        <v>6</v>
      </c>
      <c r="O210" s="27" t="n">
        <f aca="false">IFERROR(INDEX('Input Giocatori 2026_27'!$G$3:$G$493,MATCH($A210,'Input Giocatori 2026_27'!$A$3:$A$493,0)),"")</f>
        <v>16</v>
      </c>
      <c r="P210" s="26" t="str">
        <f aca="false">IFERROR(IF($O210="","",IF((1-(COUNTIFS($B$2:$B$492,$B210,$O$2:$O$492,"&gt;"&amp;$O210)+1-1)/COUNTIF($B$2:$B$492,$B210))&gt;=0.85,"Top",IF((1-(COUNTIFS($B$2:$B$492,$B210,$O$2:$O$492,"&gt;"&amp;$O210)+1-1)/COUNTIF($B$2:$B$492,$B210))&gt;=0.6,"Buono",IF((1-(COUNTIFS($B$2:$B$492,$B210,$O$2:$O$492,"&gt;"&amp;$O210)+1-1)/COUNTIF($B$2:$B$492,$B210))&gt;=0.3,"Nella Media","Scommessa/Riserva")))),"")</f>
        <v>Nella Media</v>
      </c>
      <c r="Q210" s="29" t="n">
        <f aca="false">IF($D210="",COUNTIF($D$2:$D210,""),"")</f>
        <v>209</v>
      </c>
      <c r="R210" s="29" t="str">
        <f aca="false">IF($D210='Info Lega'!$B$28,COUNTIFS($D$2:$D210,'Info Lega'!$B$28),"")</f>
        <v/>
      </c>
      <c r="S210" s="30" t="n">
        <f aca="false">IFERROR(INDEX('Input Statistiche 2025_26'!$G$3:$G$665,MATCH($A210,'Input Statistiche 2025_26'!$A$3:$A$665,0)),"")</f>
        <v>5.73</v>
      </c>
      <c r="T210" s="30" t="n">
        <f aca="false">IFERROR(INDEX('Input Statistiche 2025_26'!$H$3:$H$665,MATCH($A210,'Input Statistiche 2025_26'!$A$3:$A$665,0)),"")</f>
        <v>5.64</v>
      </c>
      <c r="U210" s="26" t="str">
        <f aca="false">IF(OR('La Mia Rosa'!$O$12="",$D210&lt;&gt;""),"",IF($F210&lt;='La Mia Rosa'!$O$12*'Parametri Modello'!$B$24,"OK",IF($F210&lt;='La Mia Rosa'!$O$12*'Parametri Modello'!$B$25,"Attenzione","Rischio Alto")))</f>
        <v>OK</v>
      </c>
      <c r="V210" s="26" t="n">
        <f aca="false">IFERROR(COUNTIFS($B$2:$B$492,$B210,$O$2:$O$492,"&gt;"&amp;$O210)+1,"")</f>
        <v>79</v>
      </c>
      <c r="W210" s="21" t="n">
        <f aca="false">'Info Lega'!$B$4-SUMIFS($M$2:$M$492,$D$2:$D$492,'Info Lega'!$B$28)</f>
        <v>1000</v>
      </c>
      <c r="X210" s="21" t="n">
        <f aca="false">('Info Lega'!$B$5-COUNTIFS($D$2:$D$492,'Info Lega'!$B$28,$B$2:$B$492,"P"))+('Info Lega'!$B$6-COUNTIFS($D$2:$D$492,'Info Lega'!$B$28,$B$2:$B$492,"D"))+('Info Lega'!$B$7-COUNTIFS($D$2:$D$492,'Info Lega'!$B$28,$B$2:$B$492,"C"))+('Info Lega'!$B$8-COUNTIFS($D$2:$D$492,'Info Lega'!$B$28,$B$2:$B$492,"A"))</f>
        <v>25</v>
      </c>
      <c r="Y210" s="21" t="n">
        <f aca="false">X210*'Parametri Modello'!$B$30</f>
        <v>25</v>
      </c>
      <c r="Z210" s="21" t="n">
        <f aca="false">MAX(0,W210-Y210)</f>
        <v>975</v>
      </c>
      <c r="AA210" s="21" t="n">
        <f aca="false">MIN(F210,Z210)</f>
        <v>2</v>
      </c>
      <c r="AB210" s="21"/>
      <c r="AC210" s="21" t="str">
        <f aca="false">IF(AB210="","",IF(AB210&gt;AA210,"PASS",IF(AB210&lt;=AA210*0.85,"BID","ATTENZIONE")))</f>
        <v/>
      </c>
      <c r="AD210" s="31" t="n">
        <f aca="false">IF(I210="","",ROUND(100*(1-EXP(-I210/30)),0))</f>
        <v>31</v>
      </c>
      <c r="AE210" s="7" t="str">
        <f aca="false">IFERROR(INDEX('Stato Asta'!$G$9:$G$12,MATCH($B210,'Stato Asta'!$A$9:$A$12,0)),"")</f>
        <v>🟡 Attesa rischiosa</v>
      </c>
    </row>
    <row r="211" customFormat="false" ht="14.25" hidden="false" customHeight="true" outlineLevel="0" collapsed="false">
      <c r="A211" s="21" t="n">
        <v>6593</v>
      </c>
      <c r="B211" s="21" t="s">
        <v>45</v>
      </c>
      <c r="C211" s="21" t="s">
        <v>442</v>
      </c>
      <c r="E211" s="26" t="str">
        <f aca="false">IF(COUNTIF('Info Strategia'!$D$2:$D$51,$C211)&gt;0,"SI","NO")</f>
        <v>NO</v>
      </c>
      <c r="F211" s="27" t="n">
        <f aca="false">IFERROR(ROUND(($G211+($H211-$G211)*'Info Strategia'!$B$6)*(1+IF($E211="SI",'Parametri Modello'!$B$7*'Info Strategia'!$B$6,0)),0),"")</f>
        <v>2</v>
      </c>
      <c r="G211" s="27" t="n">
        <f aca="false">IFERROR(ROUND(MAX(1,(IF($V211&lt;=INDEX('Parametri Modello'!$C$57:$C$60,MATCH($B211,'Parametri Modello'!$A$57:$A$60,0)),IF(INDEX('Parametri Modello'!$E$57:$E$60,MATCH($B211,'Parametri Modello'!$A$57:$A$60,0))=0,0,($O211/INDEX('Parametri Modello'!$E$57:$E$60,MATCH($B211,'Parametri Modello'!$A$57:$A$60,0)))*(INDEX('Parametri Modello'!$D$57:$D$60,MATCH($B211,'Parametri Modello'!$A$57:$A$60,0))*(INDEX('Parametri Modello'!$B$50:$B$53,MATCH($B211,'Parametri Modello'!$A$50:$A$53,0))*'Parametri Modello'!$B$44))),IF(INDEX('Parametri Modello'!$F$57:$F$60,MATCH($B211,'Parametri Modello'!$A$57:$A$60,0))=0,0,($O211/INDEX('Parametri Modello'!$F$57:$F$60,MATCH($B211,'Parametri Modello'!$A$57:$A$60,0)))*((1-INDEX('Parametri Modello'!$D$57:$D$60,MATCH($B211,'Parametri Modello'!$A$57:$A$60,0)))*(INDEX('Parametri Modello'!$B$50:$B$53,MATCH($B211,'Parametri Modello'!$A$50:$A$53,0))*'Parametri Modello'!$B$44))))*(1+IF(IF($B211="D",'Info Lega'!$B$25,IF($B211="C",'Info Lega'!$B$26,"No"))="Si",'Parametri Modello'!$B$5,0))*(1+MAX(-0.25,MIN(0.25,IF(OR($T211="",$I211="",$I211=0,INDEX('Parametri Modello'!$B$19:$B$22,MATCH($B211,'Parametri Modello'!$A$19:$A$22,0))="",INDEX('Parametri Modello'!$B$19:$B$22,MATCH($B211,'Parametri Modello'!$A$19:$A$22,0))=0),0,(($T211-INDEX('Parametri Modello'!$B$19:$B$22,MATCH($B211,'Parametri Modello'!$A$19:$A$22,0)))/INDEX('Parametri Modello'!$B$19:$B$22,MATCH($B211,'Parametri Modello'!$A$19:$A$22,0)))*'Parametri Modello'!$B$9))))*(1+IF('Parametri Modello'!$B$27="Si",MAX(-'Parametri Modello'!$B$28,MIN('Parametri Modello'!$B$28*1.5,IF(OR(INDEX('Parametri Modello'!$F$32:$F$35,MATCH($B211,'Parametri Modello'!$A$32:$A$35,0))="",INDEX('Parametri Modello'!$F$32:$F$35,MATCH($B211,'Parametri Modello'!$A$32:$A$35,0))=0),0,(1/INDEX('Parametri Modello'!$F$32:$F$35,MATCH($B211,'Parametri Modello'!$A$32:$A$35,0))-1)*'Parametri Modello'!$B$28))),0)))*(1-INDEX('Parametri Modello'!$B$12:$B$15,MATCH($B211,'Parametri Modello'!$A$12:$A$15,0)))),0),"")</f>
        <v>1</v>
      </c>
      <c r="H211" s="27" t="n">
        <f aca="false">IFERROR(ROUND((IF($V211&lt;=INDEX('Parametri Modello'!$C$57:$C$60,MATCH($B211,'Parametri Modello'!$A$57:$A$60,0)),IF(INDEX('Parametri Modello'!$E$57:$E$60,MATCH($B211,'Parametri Modello'!$A$57:$A$60,0))=0,0,($O211/INDEX('Parametri Modello'!$E$57:$E$60,MATCH($B211,'Parametri Modello'!$A$57:$A$60,0)))*(INDEX('Parametri Modello'!$D$57:$D$60,MATCH($B211,'Parametri Modello'!$A$57:$A$60,0))*(INDEX('Parametri Modello'!$B$50:$B$53,MATCH($B211,'Parametri Modello'!$A$50:$A$53,0))*'Parametri Modello'!$B$44))),IF(INDEX('Parametri Modello'!$F$57:$F$60,MATCH($B211,'Parametri Modello'!$A$57:$A$60,0))=0,0,($O211/INDEX('Parametri Modello'!$F$57:$F$60,MATCH($B211,'Parametri Modello'!$A$57:$A$60,0)))*((1-INDEX('Parametri Modello'!$D$57:$D$60,MATCH($B211,'Parametri Modello'!$A$57:$A$60,0)))*(INDEX('Parametri Modello'!$B$50:$B$53,MATCH($B211,'Parametri Modello'!$A$50:$A$53,0))*'Parametri Modello'!$B$44))))*(1+IF(IF($B211="D",'Info Lega'!$B$25,IF($B211="C",'Info Lega'!$B$26,"No"))="Si",'Parametri Modello'!$B$5,0))*(1+MAX(-0.25,MIN(0.25,IF(OR($T211="",$I211="",$I211=0,INDEX('Parametri Modello'!$B$19:$B$22,MATCH($B211,'Parametri Modello'!$A$19:$A$22,0))="",INDEX('Parametri Modello'!$B$19:$B$22,MATCH($B211,'Parametri Modello'!$A$19:$A$22,0))=0),0,(($T211-INDEX('Parametri Modello'!$B$19:$B$22,MATCH($B211,'Parametri Modello'!$A$19:$A$22,0)))/INDEX('Parametri Modello'!$B$19:$B$22,MATCH($B211,'Parametri Modello'!$A$19:$A$22,0)))*'Parametri Modello'!$B$9))))*(1+IF('Parametri Modello'!$B$27="Si",MAX(-'Parametri Modello'!$B$28,MIN('Parametri Modello'!$B$28*1.5,IF(OR(INDEX('Parametri Modello'!$F$32:$F$35,MATCH($B211,'Parametri Modello'!$A$32:$A$35,0))="",INDEX('Parametri Modello'!$F$32:$F$35,MATCH($B211,'Parametri Modello'!$A$32:$A$35,0))=0),0,(1/INDEX('Parametri Modello'!$F$32:$F$35,MATCH($B211,'Parametri Modello'!$A$32:$A$35,0))-1)*'Parametri Modello'!$B$28))),0)))*(1+INDEX('Parametri Modello'!$B$12:$B$15,MATCH($B211,'Parametri Modello'!$A$12:$A$15,0))),0),"")</f>
        <v>2</v>
      </c>
      <c r="I211" s="26" t="n">
        <f aca="false">IFERROR(INDEX('Input Statistiche 2025_26'!$F$3:$F$665,MATCH($A211,'Input Statistiche 2025_26'!$A$3:$A$665,0)),"")</f>
        <v>23</v>
      </c>
      <c r="J211" s="26" t="n">
        <f aca="false">IFERROR(IF($I211="","",MAX(0,38-$I211)),"")</f>
        <v>15</v>
      </c>
      <c r="K211" s="26" t="n">
        <f aca="false">IFERROR(INDEX('Input Statistiche 2025_26'!$I$3:$I$665,MATCH($A211,'Input Statistiche 2025_26'!$A$3:$A$665,0)),"")</f>
        <v>0</v>
      </c>
      <c r="L211" s="26" t="n">
        <f aca="false">IFERROR(INDEX('Input Statistiche 2025_26'!$O$3:$O$665,MATCH($A211,'Input Statistiche 2025_26'!$A$3:$A$665,0)),"")</f>
        <v>1</v>
      </c>
      <c r="M211" s="28"/>
      <c r="N211" s="27" t="n">
        <f aca="false">IFERROR(INDEX('Input Giocatori 2026_27'!$E$3:$E$493,MATCH($A211,'Input Giocatori 2026_27'!$A$3:$A$493,0)),"")</f>
        <v>6</v>
      </c>
      <c r="O211" s="27" t="n">
        <f aca="false">IFERROR(INDEX('Input Giocatori 2026_27'!$G$3:$G$493,MATCH($A211,'Input Giocatori 2026_27'!$A$3:$A$493,0)),"")</f>
        <v>16</v>
      </c>
      <c r="P211" s="26" t="str">
        <f aca="false">IFERROR(IF($O211="","",IF((1-(COUNTIFS($B$2:$B$492,$B211,$O$2:$O$492,"&gt;"&amp;$O211)+1-1)/COUNTIF($B$2:$B$492,$B211))&gt;=0.85,"Top",IF((1-(COUNTIFS($B$2:$B$492,$B211,$O$2:$O$492,"&gt;"&amp;$O211)+1-1)/COUNTIF($B$2:$B$492,$B211))&gt;=0.6,"Buono",IF((1-(COUNTIFS($B$2:$B$492,$B211,$O$2:$O$492,"&gt;"&amp;$O211)+1-1)/COUNTIF($B$2:$B$492,$B211))&gt;=0.3,"Nella Media","Scommessa/Riserva")))),"")</f>
        <v>Nella Media</v>
      </c>
      <c r="Q211" s="29" t="n">
        <f aca="false">IF($D211="",COUNTIF($D$2:$D211,""),"")</f>
        <v>210</v>
      </c>
      <c r="R211" s="29" t="str">
        <f aca="false">IF($D211='Info Lega'!$B$28,COUNTIFS($D$2:$D211,'Info Lega'!$B$28),"")</f>
        <v/>
      </c>
      <c r="S211" s="30" t="n">
        <f aca="false">IFERROR(INDEX('Input Statistiche 2025_26'!$G$3:$G$665,MATCH($A211,'Input Statistiche 2025_26'!$A$3:$A$665,0)),"")</f>
        <v>5.8</v>
      </c>
      <c r="T211" s="30" t="n">
        <f aca="false">IFERROR(INDEX('Input Statistiche 2025_26'!$H$3:$H$665,MATCH($A211,'Input Statistiche 2025_26'!$A$3:$A$665,0)),"")</f>
        <v>5.8</v>
      </c>
      <c r="U211" s="26" t="str">
        <f aca="false">IF(OR('La Mia Rosa'!$O$12="",$D211&lt;&gt;""),"",IF($F211&lt;='La Mia Rosa'!$O$12*'Parametri Modello'!$B$24,"OK",IF($F211&lt;='La Mia Rosa'!$O$12*'Parametri Modello'!$B$25,"Attenzione","Rischio Alto")))</f>
        <v>OK</v>
      </c>
      <c r="V211" s="26" t="n">
        <f aca="false">IFERROR(COUNTIFS($B$2:$B$492,$B211,$O$2:$O$492,"&gt;"&amp;$O211)+1,"")</f>
        <v>79</v>
      </c>
      <c r="W211" s="21" t="n">
        <f aca="false">'Info Lega'!$B$4-SUMIFS($M$2:$M$492,$D$2:$D$492,'Info Lega'!$B$28)</f>
        <v>1000</v>
      </c>
      <c r="X211" s="21" t="n">
        <f aca="false">('Info Lega'!$B$5-COUNTIFS($D$2:$D$492,'Info Lega'!$B$28,$B$2:$B$492,"P"))+('Info Lega'!$B$6-COUNTIFS($D$2:$D$492,'Info Lega'!$B$28,$B$2:$B$492,"D"))+('Info Lega'!$B$7-COUNTIFS($D$2:$D$492,'Info Lega'!$B$28,$B$2:$B$492,"C"))+('Info Lega'!$B$8-COUNTIFS($D$2:$D$492,'Info Lega'!$B$28,$B$2:$B$492,"A"))</f>
        <v>25</v>
      </c>
      <c r="Y211" s="21" t="n">
        <f aca="false">X211*'Parametri Modello'!$B$30</f>
        <v>25</v>
      </c>
      <c r="Z211" s="21" t="n">
        <f aca="false">MAX(0,W211-Y211)</f>
        <v>975</v>
      </c>
      <c r="AA211" s="21" t="n">
        <f aca="false">MIN(F211,Z211)</f>
        <v>2</v>
      </c>
      <c r="AB211" s="21"/>
      <c r="AC211" s="21" t="str">
        <f aca="false">IF(AB211="","",IF(AB211&gt;AA211,"PASS",IF(AB211&lt;=AA211*0.85,"BID","ATTENZIONE")))</f>
        <v/>
      </c>
      <c r="AD211" s="31" t="n">
        <f aca="false">IF(I211="","",ROUND(100*(1-EXP(-I211/30)),0))</f>
        <v>54</v>
      </c>
      <c r="AE211" s="7" t="str">
        <f aca="false">IFERROR(INDEX('Stato Asta'!$G$9:$G$12,MATCH($B211,'Stato Asta'!$A$9:$A$12,0)),"")</f>
        <v>🟡 Attesa rischiosa</v>
      </c>
    </row>
    <row r="212" customFormat="false" ht="14.25" hidden="false" customHeight="true" outlineLevel="0" collapsed="false">
      <c r="A212" s="21" t="n">
        <v>6015</v>
      </c>
      <c r="B212" s="21" t="s">
        <v>45</v>
      </c>
      <c r="C212" s="21" t="s">
        <v>457</v>
      </c>
      <c r="E212" s="26" t="str">
        <f aca="false">IF(COUNTIF('Info Strategia'!$D$2:$D$51,$C212)&gt;0,"SI","NO")</f>
        <v>NO</v>
      </c>
      <c r="F212" s="27" t="n">
        <f aca="false">IFERROR(ROUND(($G212+($H212-$G212)*'Info Strategia'!$B$6)*(1+IF($E212="SI",'Parametri Modello'!$B$7*'Info Strategia'!$B$6,0)),0),"")</f>
        <v>2</v>
      </c>
      <c r="G212" s="27" t="n">
        <f aca="false">IFERROR(ROUND(MAX(1,(IF($V212&lt;=INDEX('Parametri Modello'!$C$57:$C$60,MATCH($B212,'Parametri Modello'!$A$57:$A$60,0)),IF(INDEX('Parametri Modello'!$E$57:$E$60,MATCH($B212,'Parametri Modello'!$A$57:$A$60,0))=0,0,($O212/INDEX('Parametri Modello'!$E$57:$E$60,MATCH($B212,'Parametri Modello'!$A$57:$A$60,0)))*(INDEX('Parametri Modello'!$D$57:$D$60,MATCH($B212,'Parametri Modello'!$A$57:$A$60,0))*(INDEX('Parametri Modello'!$B$50:$B$53,MATCH($B212,'Parametri Modello'!$A$50:$A$53,0))*'Parametri Modello'!$B$44))),IF(INDEX('Parametri Modello'!$F$57:$F$60,MATCH($B212,'Parametri Modello'!$A$57:$A$60,0))=0,0,($O212/INDEX('Parametri Modello'!$F$57:$F$60,MATCH($B212,'Parametri Modello'!$A$57:$A$60,0)))*((1-INDEX('Parametri Modello'!$D$57:$D$60,MATCH($B212,'Parametri Modello'!$A$57:$A$60,0)))*(INDEX('Parametri Modello'!$B$50:$B$53,MATCH($B212,'Parametri Modello'!$A$50:$A$53,0))*'Parametri Modello'!$B$44))))*(1+IF(IF($B212="D",'Info Lega'!$B$25,IF($B212="C",'Info Lega'!$B$26,"No"))="Si",'Parametri Modello'!$B$5,0))*(1+MAX(-0.25,MIN(0.25,IF(OR($T212="",$I212="",$I212=0,INDEX('Parametri Modello'!$B$19:$B$22,MATCH($B212,'Parametri Modello'!$A$19:$A$22,0))="",INDEX('Parametri Modello'!$B$19:$B$22,MATCH($B212,'Parametri Modello'!$A$19:$A$22,0))=0),0,(($T212-INDEX('Parametri Modello'!$B$19:$B$22,MATCH($B212,'Parametri Modello'!$A$19:$A$22,0)))/INDEX('Parametri Modello'!$B$19:$B$22,MATCH($B212,'Parametri Modello'!$A$19:$A$22,0)))*'Parametri Modello'!$B$9))))*(1+IF('Parametri Modello'!$B$27="Si",MAX(-'Parametri Modello'!$B$28,MIN('Parametri Modello'!$B$28*1.5,IF(OR(INDEX('Parametri Modello'!$F$32:$F$35,MATCH($B212,'Parametri Modello'!$A$32:$A$35,0))="",INDEX('Parametri Modello'!$F$32:$F$35,MATCH($B212,'Parametri Modello'!$A$32:$A$35,0))=0),0,(1/INDEX('Parametri Modello'!$F$32:$F$35,MATCH($B212,'Parametri Modello'!$A$32:$A$35,0))-1)*'Parametri Modello'!$B$28))),0)))*(1-INDEX('Parametri Modello'!$B$12:$B$15,MATCH($B212,'Parametri Modello'!$A$12:$A$15,0)))),0),"")</f>
        <v>1</v>
      </c>
      <c r="H212" s="27" t="n">
        <f aca="false">IFERROR(ROUND((IF($V212&lt;=INDEX('Parametri Modello'!$C$57:$C$60,MATCH($B212,'Parametri Modello'!$A$57:$A$60,0)),IF(INDEX('Parametri Modello'!$E$57:$E$60,MATCH($B212,'Parametri Modello'!$A$57:$A$60,0))=0,0,($O212/INDEX('Parametri Modello'!$E$57:$E$60,MATCH($B212,'Parametri Modello'!$A$57:$A$60,0)))*(INDEX('Parametri Modello'!$D$57:$D$60,MATCH($B212,'Parametri Modello'!$A$57:$A$60,0))*(INDEX('Parametri Modello'!$B$50:$B$53,MATCH($B212,'Parametri Modello'!$A$50:$A$53,0))*'Parametri Modello'!$B$44))),IF(INDEX('Parametri Modello'!$F$57:$F$60,MATCH($B212,'Parametri Modello'!$A$57:$A$60,0))=0,0,($O212/INDEX('Parametri Modello'!$F$57:$F$60,MATCH($B212,'Parametri Modello'!$A$57:$A$60,0)))*((1-INDEX('Parametri Modello'!$D$57:$D$60,MATCH($B212,'Parametri Modello'!$A$57:$A$60,0)))*(INDEX('Parametri Modello'!$B$50:$B$53,MATCH($B212,'Parametri Modello'!$A$50:$A$53,0))*'Parametri Modello'!$B$44))))*(1+IF(IF($B212="D",'Info Lega'!$B$25,IF($B212="C",'Info Lega'!$B$26,"No"))="Si",'Parametri Modello'!$B$5,0))*(1+MAX(-0.25,MIN(0.25,IF(OR($T212="",$I212="",$I212=0,INDEX('Parametri Modello'!$B$19:$B$22,MATCH($B212,'Parametri Modello'!$A$19:$A$22,0))="",INDEX('Parametri Modello'!$B$19:$B$22,MATCH($B212,'Parametri Modello'!$A$19:$A$22,0))=0),0,(($T212-INDEX('Parametri Modello'!$B$19:$B$22,MATCH($B212,'Parametri Modello'!$A$19:$A$22,0)))/INDEX('Parametri Modello'!$B$19:$B$22,MATCH($B212,'Parametri Modello'!$A$19:$A$22,0)))*'Parametri Modello'!$B$9))))*(1+IF('Parametri Modello'!$B$27="Si",MAX(-'Parametri Modello'!$B$28,MIN('Parametri Modello'!$B$28*1.5,IF(OR(INDEX('Parametri Modello'!$F$32:$F$35,MATCH($B212,'Parametri Modello'!$A$32:$A$35,0))="",INDEX('Parametri Modello'!$F$32:$F$35,MATCH($B212,'Parametri Modello'!$A$32:$A$35,0))=0),0,(1/INDEX('Parametri Modello'!$F$32:$F$35,MATCH($B212,'Parametri Modello'!$A$32:$A$35,0))-1)*'Parametri Modello'!$B$28))),0)))*(1+INDEX('Parametri Modello'!$B$12:$B$15,MATCH($B212,'Parametri Modello'!$A$12:$A$15,0))),0),"")</f>
        <v>2</v>
      </c>
      <c r="I212" s="26" t="n">
        <f aca="false">IFERROR(INDEX('Input Statistiche 2025_26'!$F$3:$F$665,MATCH($A212,'Input Statistiche 2025_26'!$A$3:$A$665,0)),"")</f>
        <v>12</v>
      </c>
      <c r="J212" s="26" t="n">
        <f aca="false">IFERROR(IF($I212="","",MAX(0,38-$I212)),"")</f>
        <v>26</v>
      </c>
      <c r="K212" s="26" t="n">
        <f aca="false">IFERROR(INDEX('Input Statistiche 2025_26'!$I$3:$I$665,MATCH($A212,'Input Statistiche 2025_26'!$A$3:$A$665,0)),"")</f>
        <v>2</v>
      </c>
      <c r="L212" s="26" t="n">
        <f aca="false">IFERROR(INDEX('Input Statistiche 2025_26'!$O$3:$O$665,MATCH($A212,'Input Statistiche 2025_26'!$A$3:$A$665,0)),"")</f>
        <v>3</v>
      </c>
      <c r="M212" s="28"/>
      <c r="N212" s="27" t="n">
        <f aca="false">IFERROR(INDEX('Input Giocatori 2026_27'!$E$3:$E$493,MATCH($A212,'Input Giocatori 2026_27'!$A$3:$A$493,0)),"")</f>
        <v>5</v>
      </c>
      <c r="O212" s="27" t="n">
        <f aca="false">IFERROR(INDEX('Input Giocatori 2026_27'!$G$3:$G$493,MATCH($A212,'Input Giocatori 2026_27'!$A$3:$A$493,0)),"")</f>
        <v>16</v>
      </c>
      <c r="P212" s="26" t="str">
        <f aca="false">IFERROR(IF($O212="","",IF((1-(COUNTIFS($B$2:$B$492,$B212,$O$2:$O$492,"&gt;"&amp;$O212)+1-1)/COUNTIF($B$2:$B$492,$B212))&gt;=0.85,"Top",IF((1-(COUNTIFS($B$2:$B$492,$B212,$O$2:$O$492,"&gt;"&amp;$O212)+1-1)/COUNTIF($B$2:$B$492,$B212))&gt;=0.6,"Buono",IF((1-(COUNTIFS($B$2:$B$492,$B212,$O$2:$O$492,"&gt;"&amp;$O212)+1-1)/COUNTIF($B$2:$B$492,$B212))&gt;=0.3,"Nella Media","Scommessa/Riserva")))),"")</f>
        <v>Nella Media</v>
      </c>
      <c r="Q212" s="29" t="n">
        <f aca="false">IF($D212="",COUNTIF($D$2:$D212,""),"")</f>
        <v>211</v>
      </c>
      <c r="R212" s="29" t="str">
        <f aca="false">IF($D212='Info Lega'!$B$28,COUNTIFS($D$2:$D212,'Info Lega'!$B$28),"")</f>
        <v/>
      </c>
      <c r="S212" s="30" t="n">
        <f aca="false">IFERROR(INDEX('Input Statistiche 2025_26'!$G$3:$G$665,MATCH($A212,'Input Statistiche 2025_26'!$A$3:$A$665,0)),"")</f>
        <v>6.17</v>
      </c>
      <c r="T212" s="30" t="n">
        <f aca="false">IFERROR(INDEX('Input Statistiche 2025_26'!$H$3:$H$665,MATCH($A212,'Input Statistiche 2025_26'!$A$3:$A$665,0)),"")</f>
        <v>6.92</v>
      </c>
      <c r="U212" s="26" t="str">
        <f aca="false">IF(OR('La Mia Rosa'!$O$12="",$D212&lt;&gt;""),"",IF($F212&lt;='La Mia Rosa'!$O$12*'Parametri Modello'!$B$24,"OK",IF($F212&lt;='La Mia Rosa'!$O$12*'Parametri Modello'!$B$25,"Attenzione","Rischio Alto")))</f>
        <v>OK</v>
      </c>
      <c r="V212" s="26" t="n">
        <f aca="false">IFERROR(COUNTIFS($B$2:$B$492,$B212,$O$2:$O$492,"&gt;"&amp;$O212)+1,"")</f>
        <v>79</v>
      </c>
      <c r="W212" s="21" t="n">
        <f aca="false">'Info Lega'!$B$4-SUMIFS($M$2:$M$492,$D$2:$D$492,'Info Lega'!$B$28)</f>
        <v>1000</v>
      </c>
      <c r="X212" s="21" t="n">
        <f aca="false">('Info Lega'!$B$5-COUNTIFS($D$2:$D$492,'Info Lega'!$B$28,$B$2:$B$492,"P"))+('Info Lega'!$B$6-COUNTIFS($D$2:$D$492,'Info Lega'!$B$28,$B$2:$B$492,"D"))+('Info Lega'!$B$7-COUNTIFS($D$2:$D$492,'Info Lega'!$B$28,$B$2:$B$492,"C"))+('Info Lega'!$B$8-COUNTIFS($D$2:$D$492,'Info Lega'!$B$28,$B$2:$B$492,"A"))</f>
        <v>25</v>
      </c>
      <c r="Y212" s="21" t="n">
        <f aca="false">X212*'Parametri Modello'!$B$30</f>
        <v>25</v>
      </c>
      <c r="Z212" s="21" t="n">
        <f aca="false">MAX(0,W212-Y212)</f>
        <v>975</v>
      </c>
      <c r="AA212" s="21" t="n">
        <f aca="false">MIN(F212,Z212)</f>
        <v>2</v>
      </c>
      <c r="AB212" s="21"/>
      <c r="AC212" s="21" t="str">
        <f aca="false">IF(AB212="","",IF(AB212&gt;AA212,"PASS",IF(AB212&lt;=AA212*0.85,"BID","ATTENZIONE")))</f>
        <v/>
      </c>
      <c r="AD212" s="31" t="n">
        <f aca="false">IF(I212="","",ROUND(100*(1-EXP(-I212/30)),0))</f>
        <v>33</v>
      </c>
      <c r="AE212" s="7" t="str">
        <f aca="false">IFERROR(INDEX('Stato Asta'!$G$9:$G$12,MATCH($B212,'Stato Asta'!$A$9:$A$12,0)),"")</f>
        <v>🟡 Attesa rischiosa</v>
      </c>
    </row>
    <row r="213" customFormat="false" ht="14.25" hidden="false" customHeight="true" outlineLevel="0" collapsed="false">
      <c r="A213" s="21" t="n">
        <v>7036</v>
      </c>
      <c r="B213" s="21" t="s">
        <v>45</v>
      </c>
      <c r="C213" s="21" t="s">
        <v>465</v>
      </c>
      <c r="E213" s="26" t="str">
        <f aca="false">IF(COUNTIF('Info Strategia'!$D$2:$D$51,$C213)&gt;0,"SI","NO")</f>
        <v>NO</v>
      </c>
      <c r="F213" s="27" t="n">
        <f aca="false">IFERROR(ROUND(($G213+($H213-$G213)*'Info Strategia'!$B$6)*(1+IF($E213="SI",'Parametri Modello'!$B$7*'Info Strategia'!$B$6,0)),0),"")</f>
        <v>2</v>
      </c>
      <c r="G213" s="27" t="n">
        <f aca="false">IFERROR(ROUND(MAX(1,(IF($V213&lt;=INDEX('Parametri Modello'!$C$57:$C$60,MATCH($B213,'Parametri Modello'!$A$57:$A$60,0)),IF(INDEX('Parametri Modello'!$E$57:$E$60,MATCH($B213,'Parametri Modello'!$A$57:$A$60,0))=0,0,($O213/INDEX('Parametri Modello'!$E$57:$E$60,MATCH($B213,'Parametri Modello'!$A$57:$A$60,0)))*(INDEX('Parametri Modello'!$D$57:$D$60,MATCH($B213,'Parametri Modello'!$A$57:$A$60,0))*(INDEX('Parametri Modello'!$B$50:$B$53,MATCH($B213,'Parametri Modello'!$A$50:$A$53,0))*'Parametri Modello'!$B$44))),IF(INDEX('Parametri Modello'!$F$57:$F$60,MATCH($B213,'Parametri Modello'!$A$57:$A$60,0))=0,0,($O213/INDEX('Parametri Modello'!$F$57:$F$60,MATCH($B213,'Parametri Modello'!$A$57:$A$60,0)))*((1-INDEX('Parametri Modello'!$D$57:$D$60,MATCH($B213,'Parametri Modello'!$A$57:$A$60,0)))*(INDEX('Parametri Modello'!$B$50:$B$53,MATCH($B213,'Parametri Modello'!$A$50:$A$53,0))*'Parametri Modello'!$B$44))))*(1+IF(IF($B213="D",'Info Lega'!$B$25,IF($B213="C",'Info Lega'!$B$26,"No"))="Si",'Parametri Modello'!$B$5,0))*(1+MAX(-0.25,MIN(0.25,IF(OR($T213="",$I213="",$I213=0,INDEX('Parametri Modello'!$B$19:$B$22,MATCH($B213,'Parametri Modello'!$A$19:$A$22,0))="",INDEX('Parametri Modello'!$B$19:$B$22,MATCH($B213,'Parametri Modello'!$A$19:$A$22,0))=0),0,(($T213-INDEX('Parametri Modello'!$B$19:$B$22,MATCH($B213,'Parametri Modello'!$A$19:$A$22,0)))/INDEX('Parametri Modello'!$B$19:$B$22,MATCH($B213,'Parametri Modello'!$A$19:$A$22,0)))*'Parametri Modello'!$B$9))))*(1+IF('Parametri Modello'!$B$27="Si",MAX(-'Parametri Modello'!$B$28,MIN('Parametri Modello'!$B$28*1.5,IF(OR(INDEX('Parametri Modello'!$F$32:$F$35,MATCH($B213,'Parametri Modello'!$A$32:$A$35,0))="",INDEX('Parametri Modello'!$F$32:$F$35,MATCH($B213,'Parametri Modello'!$A$32:$A$35,0))=0),0,(1/INDEX('Parametri Modello'!$F$32:$F$35,MATCH($B213,'Parametri Modello'!$A$32:$A$35,0))-1)*'Parametri Modello'!$B$28))),0)))*(1-INDEX('Parametri Modello'!$B$12:$B$15,MATCH($B213,'Parametri Modello'!$A$12:$A$15,0)))),0),"")</f>
        <v>1</v>
      </c>
      <c r="H213" s="27" t="n">
        <f aca="false">IFERROR(ROUND((IF($V213&lt;=INDEX('Parametri Modello'!$C$57:$C$60,MATCH($B213,'Parametri Modello'!$A$57:$A$60,0)),IF(INDEX('Parametri Modello'!$E$57:$E$60,MATCH($B213,'Parametri Modello'!$A$57:$A$60,0))=0,0,($O213/INDEX('Parametri Modello'!$E$57:$E$60,MATCH($B213,'Parametri Modello'!$A$57:$A$60,0)))*(INDEX('Parametri Modello'!$D$57:$D$60,MATCH($B213,'Parametri Modello'!$A$57:$A$60,0))*(INDEX('Parametri Modello'!$B$50:$B$53,MATCH($B213,'Parametri Modello'!$A$50:$A$53,0))*'Parametri Modello'!$B$44))),IF(INDEX('Parametri Modello'!$F$57:$F$60,MATCH($B213,'Parametri Modello'!$A$57:$A$60,0))=0,0,($O213/INDEX('Parametri Modello'!$F$57:$F$60,MATCH($B213,'Parametri Modello'!$A$57:$A$60,0)))*((1-INDEX('Parametri Modello'!$D$57:$D$60,MATCH($B213,'Parametri Modello'!$A$57:$A$60,0)))*(INDEX('Parametri Modello'!$B$50:$B$53,MATCH($B213,'Parametri Modello'!$A$50:$A$53,0))*'Parametri Modello'!$B$44))))*(1+IF(IF($B213="D",'Info Lega'!$B$25,IF($B213="C",'Info Lega'!$B$26,"No"))="Si",'Parametri Modello'!$B$5,0))*(1+MAX(-0.25,MIN(0.25,IF(OR($T213="",$I213="",$I213=0,INDEX('Parametri Modello'!$B$19:$B$22,MATCH($B213,'Parametri Modello'!$A$19:$A$22,0))="",INDEX('Parametri Modello'!$B$19:$B$22,MATCH($B213,'Parametri Modello'!$A$19:$A$22,0))=0),0,(($T213-INDEX('Parametri Modello'!$B$19:$B$22,MATCH($B213,'Parametri Modello'!$A$19:$A$22,0)))/INDEX('Parametri Modello'!$B$19:$B$22,MATCH($B213,'Parametri Modello'!$A$19:$A$22,0)))*'Parametri Modello'!$B$9))))*(1+IF('Parametri Modello'!$B$27="Si",MAX(-'Parametri Modello'!$B$28,MIN('Parametri Modello'!$B$28*1.5,IF(OR(INDEX('Parametri Modello'!$F$32:$F$35,MATCH($B213,'Parametri Modello'!$A$32:$A$35,0))="",INDEX('Parametri Modello'!$F$32:$F$35,MATCH($B213,'Parametri Modello'!$A$32:$A$35,0))=0),0,(1/INDEX('Parametri Modello'!$F$32:$F$35,MATCH($B213,'Parametri Modello'!$A$32:$A$35,0))-1)*'Parametri Modello'!$B$28))),0)))*(1+INDEX('Parametri Modello'!$B$12:$B$15,MATCH($B213,'Parametri Modello'!$A$12:$A$15,0))),0),"")</f>
        <v>2</v>
      </c>
      <c r="I213" s="26" t="n">
        <f aca="false">IFERROR(INDEX('Input Statistiche 2025_26'!$F$3:$F$665,MATCH($A213,'Input Statistiche 2025_26'!$A$3:$A$665,0)),"")</f>
        <v>3</v>
      </c>
      <c r="J213" s="26" t="n">
        <f aca="false">IFERROR(IF($I213="","",MAX(0,38-$I213)),"")</f>
        <v>35</v>
      </c>
      <c r="K213" s="26" t="n">
        <f aca="false">IFERROR(INDEX('Input Statistiche 2025_26'!$I$3:$I$665,MATCH($A213,'Input Statistiche 2025_26'!$A$3:$A$665,0)),"")</f>
        <v>0</v>
      </c>
      <c r="L213" s="26" t="n">
        <f aca="false">IFERROR(INDEX('Input Statistiche 2025_26'!$O$3:$O$665,MATCH($A213,'Input Statistiche 2025_26'!$A$3:$A$665,0)),"")</f>
        <v>0</v>
      </c>
      <c r="M213" s="28"/>
      <c r="N213" s="27" t="n">
        <f aca="false">IFERROR(INDEX('Input Giocatori 2026_27'!$E$3:$E$493,MATCH($A213,'Input Giocatori 2026_27'!$A$3:$A$493,0)),"")</f>
        <v>5</v>
      </c>
      <c r="O213" s="27" t="n">
        <f aca="false">IFERROR(INDEX('Input Giocatori 2026_27'!$G$3:$G$493,MATCH($A213,'Input Giocatori 2026_27'!$A$3:$A$493,0)),"")</f>
        <v>16</v>
      </c>
      <c r="P213" s="26" t="str">
        <f aca="false">IFERROR(IF($O213="","",IF((1-(COUNTIFS($B$2:$B$492,$B213,$O$2:$O$492,"&gt;"&amp;$O213)+1-1)/COUNTIF($B$2:$B$492,$B213))&gt;=0.85,"Top",IF((1-(COUNTIFS($B$2:$B$492,$B213,$O$2:$O$492,"&gt;"&amp;$O213)+1-1)/COUNTIF($B$2:$B$492,$B213))&gt;=0.6,"Buono",IF((1-(COUNTIFS($B$2:$B$492,$B213,$O$2:$O$492,"&gt;"&amp;$O213)+1-1)/COUNTIF($B$2:$B$492,$B213))&gt;=0.3,"Nella Media","Scommessa/Riserva")))),"")</f>
        <v>Nella Media</v>
      </c>
      <c r="Q213" s="29" t="n">
        <f aca="false">IF($D213="",COUNTIF($D$2:$D213,""),"")</f>
        <v>212</v>
      </c>
      <c r="R213" s="29" t="str">
        <f aca="false">IF($D213='Info Lega'!$B$28,COUNTIFS($D$2:$D213,'Info Lega'!$B$28),"")</f>
        <v/>
      </c>
      <c r="S213" s="30" t="n">
        <f aca="false">IFERROR(INDEX('Input Statistiche 2025_26'!$G$3:$G$665,MATCH($A213,'Input Statistiche 2025_26'!$A$3:$A$665,0)),"")</f>
        <v>6.17</v>
      </c>
      <c r="T213" s="30" t="n">
        <f aca="false">IFERROR(INDEX('Input Statistiche 2025_26'!$H$3:$H$665,MATCH($A213,'Input Statistiche 2025_26'!$A$3:$A$665,0)),"")</f>
        <v>6.17</v>
      </c>
      <c r="U213" s="26" t="str">
        <f aca="false">IF(OR('La Mia Rosa'!$O$12="",$D213&lt;&gt;""),"",IF($F213&lt;='La Mia Rosa'!$O$12*'Parametri Modello'!$B$24,"OK",IF($F213&lt;='La Mia Rosa'!$O$12*'Parametri Modello'!$B$25,"Attenzione","Rischio Alto")))</f>
        <v>OK</v>
      </c>
      <c r="V213" s="26" t="n">
        <f aca="false">IFERROR(COUNTIFS($B$2:$B$492,$B213,$O$2:$O$492,"&gt;"&amp;$O213)+1,"")</f>
        <v>79</v>
      </c>
      <c r="W213" s="21" t="n">
        <f aca="false">'Info Lega'!$B$4-SUMIFS($M$2:$M$492,$D$2:$D$492,'Info Lega'!$B$28)</f>
        <v>1000</v>
      </c>
      <c r="X213" s="21" t="n">
        <f aca="false">('Info Lega'!$B$5-COUNTIFS($D$2:$D$492,'Info Lega'!$B$28,$B$2:$B$492,"P"))+('Info Lega'!$B$6-COUNTIFS($D$2:$D$492,'Info Lega'!$B$28,$B$2:$B$492,"D"))+('Info Lega'!$B$7-COUNTIFS($D$2:$D$492,'Info Lega'!$B$28,$B$2:$B$492,"C"))+('Info Lega'!$B$8-COUNTIFS($D$2:$D$492,'Info Lega'!$B$28,$B$2:$B$492,"A"))</f>
        <v>25</v>
      </c>
      <c r="Y213" s="21" t="n">
        <f aca="false">X213*'Parametri Modello'!$B$30</f>
        <v>25</v>
      </c>
      <c r="Z213" s="21" t="n">
        <f aca="false">MAX(0,W213-Y213)</f>
        <v>975</v>
      </c>
      <c r="AA213" s="21" t="n">
        <f aca="false">MIN(F213,Z213)</f>
        <v>2</v>
      </c>
      <c r="AB213" s="21"/>
      <c r="AC213" s="21" t="str">
        <f aca="false">IF(AB213="","",IF(AB213&gt;AA213,"PASS",IF(AB213&lt;=AA213*0.85,"BID","ATTENZIONE")))</f>
        <v/>
      </c>
      <c r="AD213" s="31" t="n">
        <f aca="false">IF(I213="","",ROUND(100*(1-EXP(-I213/30)),0))</f>
        <v>10</v>
      </c>
      <c r="AE213" s="7" t="str">
        <f aca="false">IFERROR(INDEX('Stato Asta'!$G$9:$G$12,MATCH($B213,'Stato Asta'!$A$9:$A$12,0)),"")</f>
        <v>🟡 Attesa rischiosa</v>
      </c>
    </row>
    <row r="214" customFormat="false" ht="14.25" hidden="false" customHeight="true" outlineLevel="0" collapsed="false">
      <c r="A214" s="21" t="n">
        <v>5918</v>
      </c>
      <c r="B214" s="21" t="s">
        <v>46</v>
      </c>
      <c r="C214" s="21" t="s">
        <v>587</v>
      </c>
      <c r="E214" s="26" t="str">
        <f aca="false">IF(COUNTIF('Info Strategia'!$D$2:$D$51,$C214)&gt;0,"SI","NO")</f>
        <v>NO</v>
      </c>
      <c r="F214" s="27" t="n">
        <f aca="false">IFERROR(ROUND(($G214+($H214-$G214)*'Info Strategia'!$B$6)*(1+IF($E214="SI",'Parametri Modello'!$B$7*'Info Strategia'!$B$6,0)),0),"")</f>
        <v>5</v>
      </c>
      <c r="G214" s="27" t="n">
        <f aca="false">IFERROR(ROUND(MAX(1,(IF($V214&lt;=INDEX('Parametri Modello'!$C$57:$C$60,MATCH($B214,'Parametri Modello'!$A$57:$A$60,0)),IF(INDEX('Parametri Modello'!$E$57:$E$60,MATCH($B214,'Parametri Modello'!$A$57:$A$60,0))=0,0,($O214/INDEX('Parametri Modello'!$E$57:$E$60,MATCH($B214,'Parametri Modello'!$A$57:$A$60,0)))*(INDEX('Parametri Modello'!$D$57:$D$60,MATCH($B214,'Parametri Modello'!$A$57:$A$60,0))*(INDEX('Parametri Modello'!$B$50:$B$53,MATCH($B214,'Parametri Modello'!$A$50:$A$53,0))*'Parametri Modello'!$B$44))),IF(INDEX('Parametri Modello'!$F$57:$F$60,MATCH($B214,'Parametri Modello'!$A$57:$A$60,0))=0,0,($O214/INDEX('Parametri Modello'!$F$57:$F$60,MATCH($B214,'Parametri Modello'!$A$57:$A$60,0)))*((1-INDEX('Parametri Modello'!$D$57:$D$60,MATCH($B214,'Parametri Modello'!$A$57:$A$60,0)))*(INDEX('Parametri Modello'!$B$50:$B$53,MATCH($B214,'Parametri Modello'!$A$50:$A$53,0))*'Parametri Modello'!$B$44))))*(1+IF(IF($B214="D",'Info Lega'!$B$25,IF($B214="C",'Info Lega'!$B$26,"No"))="Si",'Parametri Modello'!$B$5,0))*(1+MAX(-0.25,MIN(0.25,IF(OR($T214="",$I214="",$I214=0,INDEX('Parametri Modello'!$B$19:$B$22,MATCH($B214,'Parametri Modello'!$A$19:$A$22,0))="",INDEX('Parametri Modello'!$B$19:$B$22,MATCH($B214,'Parametri Modello'!$A$19:$A$22,0))=0),0,(($T214-INDEX('Parametri Modello'!$B$19:$B$22,MATCH($B214,'Parametri Modello'!$A$19:$A$22,0)))/INDEX('Parametri Modello'!$B$19:$B$22,MATCH($B214,'Parametri Modello'!$A$19:$A$22,0)))*'Parametri Modello'!$B$9))))*(1+IF('Parametri Modello'!$B$27="Si",MAX(-'Parametri Modello'!$B$28,MIN('Parametri Modello'!$B$28*1.5,IF(OR(INDEX('Parametri Modello'!$F$32:$F$35,MATCH($B214,'Parametri Modello'!$A$32:$A$35,0))="",INDEX('Parametri Modello'!$F$32:$F$35,MATCH($B214,'Parametri Modello'!$A$32:$A$35,0))=0),0,(1/INDEX('Parametri Modello'!$F$32:$F$35,MATCH($B214,'Parametri Modello'!$A$32:$A$35,0))-1)*'Parametri Modello'!$B$28))),0)))*(1-INDEX('Parametri Modello'!$B$12:$B$15,MATCH($B214,'Parametri Modello'!$A$12:$A$15,0)))),0),"")</f>
        <v>3</v>
      </c>
      <c r="H214" s="27" t="n">
        <f aca="false">IFERROR(ROUND((IF($V214&lt;=INDEX('Parametri Modello'!$C$57:$C$60,MATCH($B214,'Parametri Modello'!$A$57:$A$60,0)),IF(INDEX('Parametri Modello'!$E$57:$E$60,MATCH($B214,'Parametri Modello'!$A$57:$A$60,0))=0,0,($O214/INDEX('Parametri Modello'!$E$57:$E$60,MATCH($B214,'Parametri Modello'!$A$57:$A$60,0)))*(INDEX('Parametri Modello'!$D$57:$D$60,MATCH($B214,'Parametri Modello'!$A$57:$A$60,0))*(INDEX('Parametri Modello'!$B$50:$B$53,MATCH($B214,'Parametri Modello'!$A$50:$A$53,0))*'Parametri Modello'!$B$44))),IF(INDEX('Parametri Modello'!$F$57:$F$60,MATCH($B214,'Parametri Modello'!$A$57:$A$60,0))=0,0,($O214/INDEX('Parametri Modello'!$F$57:$F$60,MATCH($B214,'Parametri Modello'!$A$57:$A$60,0)))*((1-INDEX('Parametri Modello'!$D$57:$D$60,MATCH($B214,'Parametri Modello'!$A$57:$A$60,0)))*(INDEX('Parametri Modello'!$B$50:$B$53,MATCH($B214,'Parametri Modello'!$A$50:$A$53,0))*'Parametri Modello'!$B$44))))*(1+IF(IF($B214="D",'Info Lega'!$B$25,IF($B214="C",'Info Lega'!$B$26,"No"))="Si",'Parametri Modello'!$B$5,0))*(1+MAX(-0.25,MIN(0.25,IF(OR($T214="",$I214="",$I214=0,INDEX('Parametri Modello'!$B$19:$B$22,MATCH($B214,'Parametri Modello'!$A$19:$A$22,0))="",INDEX('Parametri Modello'!$B$19:$B$22,MATCH($B214,'Parametri Modello'!$A$19:$A$22,0))=0),0,(($T214-INDEX('Parametri Modello'!$B$19:$B$22,MATCH($B214,'Parametri Modello'!$A$19:$A$22,0)))/INDEX('Parametri Modello'!$B$19:$B$22,MATCH($B214,'Parametri Modello'!$A$19:$A$22,0)))*'Parametri Modello'!$B$9))))*(1+IF('Parametri Modello'!$B$27="Si",MAX(-'Parametri Modello'!$B$28,MIN('Parametri Modello'!$B$28*1.5,IF(OR(INDEX('Parametri Modello'!$F$32:$F$35,MATCH($B214,'Parametri Modello'!$A$32:$A$35,0))="",INDEX('Parametri Modello'!$F$32:$F$35,MATCH($B214,'Parametri Modello'!$A$32:$A$35,0))=0),0,(1/INDEX('Parametri Modello'!$F$32:$F$35,MATCH($B214,'Parametri Modello'!$A$32:$A$35,0))-1)*'Parametri Modello'!$B$28))),0)))*(1+INDEX('Parametri Modello'!$B$12:$B$15,MATCH($B214,'Parametri Modello'!$A$12:$A$15,0))),0),"")</f>
        <v>6</v>
      </c>
      <c r="I214" s="26" t="n">
        <f aca="false">IFERROR(INDEX('Input Statistiche 2025_26'!$F$3:$F$665,MATCH($A214,'Input Statistiche 2025_26'!$A$3:$A$665,0)),"")</f>
        <v>21</v>
      </c>
      <c r="J214" s="26" t="n">
        <f aca="false">IFERROR(IF($I214="","",MAX(0,38-$I214)),"")</f>
        <v>17</v>
      </c>
      <c r="K214" s="26" t="n">
        <f aca="false">IFERROR(INDEX('Input Statistiche 2025_26'!$I$3:$I$665,MATCH($A214,'Input Statistiche 2025_26'!$A$3:$A$665,0)),"")</f>
        <v>2</v>
      </c>
      <c r="L214" s="26" t="n">
        <f aca="false">IFERROR(INDEX('Input Statistiche 2025_26'!$O$3:$O$665,MATCH($A214,'Input Statistiche 2025_26'!$A$3:$A$665,0)),"")</f>
        <v>1</v>
      </c>
      <c r="M214" s="28"/>
      <c r="N214" s="27" t="n">
        <f aca="false">IFERROR(INDEX('Input Giocatori 2026_27'!$E$3:$E$493,MATCH($A214,'Input Giocatori 2026_27'!$A$3:$A$493,0)),"")</f>
        <v>6</v>
      </c>
      <c r="O214" s="27" t="n">
        <f aca="false">IFERROR(INDEX('Input Giocatori 2026_27'!$G$3:$G$493,MATCH($A214,'Input Giocatori 2026_27'!$A$3:$A$493,0)),"")</f>
        <v>16</v>
      </c>
      <c r="P214" s="26" t="str">
        <f aca="false">IFERROR(IF($O214="","",IF((1-(COUNTIFS($B$2:$B$492,$B214,$O$2:$O$492,"&gt;"&amp;$O214)+1-1)/COUNTIF($B$2:$B$492,$B214))&gt;=0.85,"Top",IF((1-(COUNTIFS($B$2:$B$492,$B214,$O$2:$O$492,"&gt;"&amp;$O214)+1-1)/COUNTIF($B$2:$B$492,$B214))&gt;=0.6,"Buono",IF((1-(COUNTIFS($B$2:$B$492,$B214,$O$2:$O$492,"&gt;"&amp;$O214)+1-1)/COUNTIF($B$2:$B$492,$B214))&gt;=0.3,"Nella Media","Scommessa/Riserva")))),"")</f>
        <v>Nella Media</v>
      </c>
      <c r="Q214" s="29" t="n">
        <f aca="false">IF($D214="",COUNTIF($D$2:$D214,""),"")</f>
        <v>213</v>
      </c>
      <c r="R214" s="29" t="str">
        <f aca="false">IF($D214='Info Lega'!$B$28,COUNTIFS($D$2:$D214,'Info Lega'!$B$28),"")</f>
        <v/>
      </c>
      <c r="S214" s="30" t="n">
        <f aca="false">IFERROR(INDEX('Input Statistiche 2025_26'!$G$3:$G$665,MATCH($A214,'Input Statistiche 2025_26'!$A$3:$A$665,0)),"")</f>
        <v>6</v>
      </c>
      <c r="T214" s="30" t="n">
        <f aca="false">IFERROR(INDEX('Input Statistiche 2025_26'!$H$3:$H$665,MATCH($A214,'Input Statistiche 2025_26'!$A$3:$A$665,0)),"")</f>
        <v>6.24</v>
      </c>
      <c r="U214" s="26" t="str">
        <f aca="false">IF(OR('La Mia Rosa'!$O$12="",$D214&lt;&gt;""),"",IF($F214&lt;='La Mia Rosa'!$O$12*'Parametri Modello'!$B$24,"OK",IF($F214&lt;='La Mia Rosa'!$O$12*'Parametri Modello'!$B$25,"Attenzione","Rischio Alto")))</f>
        <v>OK</v>
      </c>
      <c r="V214" s="26" t="n">
        <f aca="false">IFERROR(COUNTIFS($B$2:$B$492,$B214,$O$2:$O$492,"&gt;"&amp;$O214)+1,"")</f>
        <v>56</v>
      </c>
      <c r="W214" s="21" t="n">
        <f aca="false">'Info Lega'!$B$4-SUMIFS($M$2:$M$492,$D$2:$D$492,'Info Lega'!$B$28)</f>
        <v>1000</v>
      </c>
      <c r="X214" s="21" t="n">
        <f aca="false">('Info Lega'!$B$5-COUNTIFS($D$2:$D$492,'Info Lega'!$B$28,$B$2:$B$492,"P"))+('Info Lega'!$B$6-COUNTIFS($D$2:$D$492,'Info Lega'!$B$28,$B$2:$B$492,"D"))+('Info Lega'!$B$7-COUNTIFS($D$2:$D$492,'Info Lega'!$B$28,$B$2:$B$492,"C"))+('Info Lega'!$B$8-COUNTIFS($D$2:$D$492,'Info Lega'!$B$28,$B$2:$B$492,"A"))</f>
        <v>25</v>
      </c>
      <c r="Y214" s="21" t="n">
        <f aca="false">X214*'Parametri Modello'!$B$30</f>
        <v>25</v>
      </c>
      <c r="Z214" s="21" t="n">
        <f aca="false">MAX(0,W214-Y214)</f>
        <v>975</v>
      </c>
      <c r="AA214" s="21" t="n">
        <f aca="false">MIN(F214,Z214)</f>
        <v>5</v>
      </c>
      <c r="AB214" s="21"/>
      <c r="AC214" s="21" t="str">
        <f aca="false">IF(AB214="","",IF(AB214&gt;AA214,"PASS",IF(AB214&lt;=AA214*0.85,"BID","ATTENZIONE")))</f>
        <v/>
      </c>
      <c r="AD214" s="31" t="n">
        <f aca="false">IF(I214="","",ROUND(100*(1-EXP(-I214/30)),0))</f>
        <v>50</v>
      </c>
      <c r="AE214" s="7" t="str">
        <f aca="false">IFERROR(INDEX('Stato Asta'!$G$9:$G$12,MATCH($B214,'Stato Asta'!$A$9:$A$12,0)),"")</f>
        <v>🔴 Non aspettare</v>
      </c>
    </row>
    <row r="215" customFormat="false" ht="14.25" hidden="false" customHeight="true" outlineLevel="0" collapsed="false">
      <c r="A215" s="21" t="n">
        <v>4236</v>
      </c>
      <c r="B215" s="21" t="s">
        <v>43</v>
      </c>
      <c r="C215" s="21" t="s">
        <v>143</v>
      </c>
      <c r="E215" s="26" t="str">
        <f aca="false">IF(COUNTIF('Info Strategia'!$D$2:$D$51,$C215)&gt;0,"SI","NO")</f>
        <v>NO</v>
      </c>
      <c r="F215" s="27" t="n">
        <f aca="false">IFERROR(ROUND(($G215+($H215-$G215)*'Info Strategia'!$B$6)*(1+IF($E215="SI",'Parametri Modello'!$B$7*'Info Strategia'!$B$6,0)),0),"")</f>
        <v>5</v>
      </c>
      <c r="G215" s="27" t="n">
        <f aca="false">IFERROR(ROUND(MAX(1,(IF($V215&lt;=INDEX('Parametri Modello'!$C$57:$C$60,MATCH($B215,'Parametri Modello'!$A$57:$A$60,0)),IF(INDEX('Parametri Modello'!$E$57:$E$60,MATCH($B215,'Parametri Modello'!$A$57:$A$60,0))=0,0,($O215/INDEX('Parametri Modello'!$E$57:$E$60,MATCH($B215,'Parametri Modello'!$A$57:$A$60,0)))*(INDEX('Parametri Modello'!$D$57:$D$60,MATCH($B215,'Parametri Modello'!$A$57:$A$60,0))*(INDEX('Parametri Modello'!$B$50:$B$53,MATCH($B215,'Parametri Modello'!$A$50:$A$53,0))*'Parametri Modello'!$B$44))),IF(INDEX('Parametri Modello'!$F$57:$F$60,MATCH($B215,'Parametri Modello'!$A$57:$A$60,0))=0,0,($O215/INDEX('Parametri Modello'!$F$57:$F$60,MATCH($B215,'Parametri Modello'!$A$57:$A$60,0)))*((1-INDEX('Parametri Modello'!$D$57:$D$60,MATCH($B215,'Parametri Modello'!$A$57:$A$60,0)))*(INDEX('Parametri Modello'!$B$50:$B$53,MATCH($B215,'Parametri Modello'!$A$50:$A$53,0))*'Parametri Modello'!$B$44))))*(1+IF(IF($B215="D",'Info Lega'!$B$25,IF($B215="C",'Info Lega'!$B$26,"No"))="Si",'Parametri Modello'!$B$5,0))*(1+MAX(-0.25,MIN(0.25,IF(OR($T215="",$I215="",$I215=0,INDEX('Parametri Modello'!$B$19:$B$22,MATCH($B215,'Parametri Modello'!$A$19:$A$22,0))="",INDEX('Parametri Modello'!$B$19:$B$22,MATCH($B215,'Parametri Modello'!$A$19:$A$22,0))=0),0,(($T215-INDEX('Parametri Modello'!$B$19:$B$22,MATCH($B215,'Parametri Modello'!$A$19:$A$22,0)))/INDEX('Parametri Modello'!$B$19:$B$22,MATCH($B215,'Parametri Modello'!$A$19:$A$22,0)))*'Parametri Modello'!$B$9))))*(1+IF('Parametri Modello'!$B$27="Si",MAX(-'Parametri Modello'!$B$28,MIN('Parametri Modello'!$B$28*1.5,IF(OR(INDEX('Parametri Modello'!$F$32:$F$35,MATCH($B215,'Parametri Modello'!$A$32:$A$35,0))="",INDEX('Parametri Modello'!$F$32:$F$35,MATCH($B215,'Parametri Modello'!$A$32:$A$35,0))=0),0,(1/INDEX('Parametri Modello'!$F$32:$F$35,MATCH($B215,'Parametri Modello'!$A$32:$A$35,0))-1)*'Parametri Modello'!$B$28))),0)))*(1-INDEX('Parametri Modello'!$B$12:$B$15,MATCH($B215,'Parametri Modello'!$A$12:$A$15,0)))),0),"")</f>
        <v>4</v>
      </c>
      <c r="H215" s="27" t="n">
        <f aca="false">IFERROR(ROUND((IF($V215&lt;=INDEX('Parametri Modello'!$C$57:$C$60,MATCH($B215,'Parametri Modello'!$A$57:$A$60,0)),IF(INDEX('Parametri Modello'!$E$57:$E$60,MATCH($B215,'Parametri Modello'!$A$57:$A$60,0))=0,0,($O215/INDEX('Parametri Modello'!$E$57:$E$60,MATCH($B215,'Parametri Modello'!$A$57:$A$60,0)))*(INDEX('Parametri Modello'!$D$57:$D$60,MATCH($B215,'Parametri Modello'!$A$57:$A$60,0))*(INDEX('Parametri Modello'!$B$50:$B$53,MATCH($B215,'Parametri Modello'!$A$50:$A$53,0))*'Parametri Modello'!$B$44))),IF(INDEX('Parametri Modello'!$F$57:$F$60,MATCH($B215,'Parametri Modello'!$A$57:$A$60,0))=0,0,($O215/INDEX('Parametri Modello'!$F$57:$F$60,MATCH($B215,'Parametri Modello'!$A$57:$A$60,0)))*((1-INDEX('Parametri Modello'!$D$57:$D$60,MATCH($B215,'Parametri Modello'!$A$57:$A$60,0)))*(INDEX('Parametri Modello'!$B$50:$B$53,MATCH($B215,'Parametri Modello'!$A$50:$A$53,0))*'Parametri Modello'!$B$44))))*(1+IF(IF($B215="D",'Info Lega'!$B$25,IF($B215="C",'Info Lega'!$B$26,"No"))="Si",'Parametri Modello'!$B$5,0))*(1+MAX(-0.25,MIN(0.25,IF(OR($T215="",$I215="",$I215=0,INDEX('Parametri Modello'!$B$19:$B$22,MATCH($B215,'Parametri Modello'!$A$19:$A$22,0))="",INDEX('Parametri Modello'!$B$19:$B$22,MATCH($B215,'Parametri Modello'!$A$19:$A$22,0))=0),0,(($T215-INDEX('Parametri Modello'!$B$19:$B$22,MATCH($B215,'Parametri Modello'!$A$19:$A$22,0)))/INDEX('Parametri Modello'!$B$19:$B$22,MATCH($B215,'Parametri Modello'!$A$19:$A$22,0)))*'Parametri Modello'!$B$9))))*(1+IF('Parametri Modello'!$B$27="Si",MAX(-'Parametri Modello'!$B$28,MIN('Parametri Modello'!$B$28*1.5,IF(OR(INDEX('Parametri Modello'!$F$32:$F$35,MATCH($B215,'Parametri Modello'!$A$32:$A$35,0))="",INDEX('Parametri Modello'!$F$32:$F$35,MATCH($B215,'Parametri Modello'!$A$32:$A$35,0))=0),0,(1/INDEX('Parametri Modello'!$F$32:$F$35,MATCH($B215,'Parametri Modello'!$A$32:$A$35,0))-1)*'Parametri Modello'!$B$28))),0)))*(1+INDEX('Parametri Modello'!$B$12:$B$15,MATCH($B215,'Parametri Modello'!$A$12:$A$15,0))),0),"")</f>
        <v>6</v>
      </c>
      <c r="I215" s="26" t="n">
        <f aca="false">IFERROR(INDEX('Input Statistiche 2025_26'!$F$3:$F$665,MATCH($A215,'Input Statistiche 2025_26'!$A$3:$A$665,0)),"")</f>
        <v>32</v>
      </c>
      <c r="J215" s="26" t="n">
        <f aca="false">IFERROR(IF($I215="","",MAX(0,38-$I215)),"")</f>
        <v>6</v>
      </c>
      <c r="K215" s="26" t="n">
        <f aca="false">IFERROR(INDEX('Input Statistiche 2025_26'!$I$3:$I$665,MATCH($A215,'Input Statistiche 2025_26'!$A$3:$A$665,0)),"")</f>
        <v>0</v>
      </c>
      <c r="L215" s="26" t="n">
        <f aca="false">IFERROR(INDEX('Input Statistiche 2025_26'!$O$3:$O$665,MATCH($A215,'Input Statistiche 2025_26'!$A$3:$A$665,0)),"")</f>
        <v>0</v>
      </c>
      <c r="M215" s="28"/>
      <c r="N215" s="27" t="n">
        <f aca="false">IFERROR(INDEX('Input Giocatori 2026_27'!$E$3:$E$493,MATCH($A215,'Input Giocatori 2026_27'!$A$3:$A$493,0)),"")</f>
        <v>7</v>
      </c>
      <c r="O215" s="27" t="n">
        <f aca="false">IFERROR(INDEX('Input Giocatori 2026_27'!$G$3:$G$493,MATCH($A215,'Input Giocatori 2026_27'!$A$3:$A$493,0)),"")</f>
        <v>15</v>
      </c>
      <c r="P215" s="26" t="str">
        <f aca="false">IFERROR(IF($O215="","",IF((1-(COUNTIFS($B$2:$B$492,$B215,$O$2:$O$492,"&gt;"&amp;$O215)+1-1)/COUNTIF($B$2:$B$492,$B215))&gt;=0.85,"Top",IF((1-(COUNTIFS($B$2:$B$492,$B215,$O$2:$O$492,"&gt;"&amp;$O215)+1-1)/COUNTIF($B$2:$B$492,$B215))&gt;=0.6,"Buono",IF((1-(COUNTIFS($B$2:$B$492,$B215,$O$2:$O$492,"&gt;"&amp;$O215)+1-1)/COUNTIF($B$2:$B$492,$B215))&gt;=0.3,"Nella Media","Scommessa/Riserva")))),"")</f>
        <v>Buono</v>
      </c>
      <c r="Q215" s="29" t="n">
        <f aca="false">IF($D215="",COUNTIF($D$2:$D215,""),"")</f>
        <v>214</v>
      </c>
      <c r="R215" s="29" t="str">
        <f aca="false">IF($D215='Info Lega'!$B$28,COUNTIFS($D$2:$D215,'Info Lega'!$B$28),"")</f>
        <v/>
      </c>
      <c r="S215" s="30" t="n">
        <f aca="false">IFERROR(INDEX('Input Statistiche 2025_26'!$G$3:$G$665,MATCH($A215,'Input Statistiche 2025_26'!$A$3:$A$665,0)),"")</f>
        <v>6.08</v>
      </c>
      <c r="T215" s="30" t="n">
        <f aca="false">IFERROR(INDEX('Input Statistiche 2025_26'!$H$3:$H$665,MATCH($A215,'Input Statistiche 2025_26'!$A$3:$A$665,0)),"")</f>
        <v>4.77</v>
      </c>
      <c r="U215" s="26" t="str">
        <f aca="false">IF(OR('La Mia Rosa'!$O$12="",$D215&lt;&gt;""),"",IF($F215&lt;='La Mia Rosa'!$O$12*'Parametri Modello'!$B$24,"OK",IF($F215&lt;='La Mia Rosa'!$O$12*'Parametri Modello'!$B$25,"Attenzione","Rischio Alto")))</f>
        <v>OK</v>
      </c>
      <c r="V215" s="26" t="n">
        <f aca="false">IFERROR(COUNTIFS($B$2:$B$492,$B215,$O$2:$O$492,"&gt;"&amp;$O215)+1,"")</f>
        <v>16</v>
      </c>
      <c r="W215" s="21" t="n">
        <f aca="false">'Info Lega'!$B$4-SUMIFS($M$2:$M$492,$D$2:$D$492,'Info Lega'!$B$28)</f>
        <v>1000</v>
      </c>
      <c r="X215" s="21" t="n">
        <f aca="false">('Info Lega'!$B$5-COUNTIFS($D$2:$D$492,'Info Lega'!$B$28,$B$2:$B$492,"P"))+('Info Lega'!$B$6-COUNTIFS($D$2:$D$492,'Info Lega'!$B$28,$B$2:$B$492,"D"))+('Info Lega'!$B$7-COUNTIFS($D$2:$D$492,'Info Lega'!$B$28,$B$2:$B$492,"C"))+('Info Lega'!$B$8-COUNTIFS($D$2:$D$492,'Info Lega'!$B$28,$B$2:$B$492,"A"))</f>
        <v>25</v>
      </c>
      <c r="Y215" s="21" t="n">
        <f aca="false">X215*'Parametri Modello'!$B$30</f>
        <v>25</v>
      </c>
      <c r="Z215" s="21" t="n">
        <f aca="false">MAX(0,W215-Y215)</f>
        <v>975</v>
      </c>
      <c r="AA215" s="21" t="n">
        <f aca="false">MIN(F215,Z215)</f>
        <v>5</v>
      </c>
      <c r="AB215" s="21"/>
      <c r="AC215" s="21" t="str">
        <f aca="false">IF(AB215="","",IF(AB215&gt;AA215,"PASS",IF(AB215&lt;=AA215*0.85,"BID","ATTENZIONE")))</f>
        <v/>
      </c>
      <c r="AD215" s="31" t="n">
        <f aca="false">IF(I215="","",ROUND(100*(1-EXP(-I215/30)),0))</f>
        <v>66</v>
      </c>
      <c r="AE215" s="7" t="str">
        <f aca="false">IFERROR(INDEX('Stato Asta'!$G$9:$G$12,MATCH($B215,'Stato Asta'!$A$9:$A$12,0)),"")</f>
        <v>🟡 Attesa rischiosa</v>
      </c>
    </row>
    <row r="216" customFormat="false" ht="14.25" hidden="false" customHeight="true" outlineLevel="0" collapsed="false">
      <c r="A216" s="21" t="n">
        <v>6485</v>
      </c>
      <c r="B216" s="21" t="s">
        <v>44</v>
      </c>
      <c r="C216" s="21" t="s">
        <v>241</v>
      </c>
      <c r="E216" s="26" t="str">
        <f aca="false">IF(COUNTIF('Info Strategia'!$D$2:$D$51,$C216)&gt;0,"SI","NO")</f>
        <v>NO</v>
      </c>
      <c r="F216" s="27" t="n">
        <f aca="false">IFERROR(ROUND(($G216+($H216-$G216)*'Info Strategia'!$B$6)*(1+IF($E216="SI",'Parametri Modello'!$B$7*'Info Strategia'!$B$6,0)),0),"")</f>
        <v>3</v>
      </c>
      <c r="G216" s="27" t="n">
        <f aca="false">IFERROR(ROUND(MAX(1,(IF($V216&lt;=INDEX('Parametri Modello'!$C$57:$C$60,MATCH($B216,'Parametri Modello'!$A$57:$A$60,0)),IF(INDEX('Parametri Modello'!$E$57:$E$60,MATCH($B216,'Parametri Modello'!$A$57:$A$60,0))=0,0,($O216/INDEX('Parametri Modello'!$E$57:$E$60,MATCH($B216,'Parametri Modello'!$A$57:$A$60,0)))*(INDEX('Parametri Modello'!$D$57:$D$60,MATCH($B216,'Parametri Modello'!$A$57:$A$60,0))*(INDEX('Parametri Modello'!$B$50:$B$53,MATCH($B216,'Parametri Modello'!$A$50:$A$53,0))*'Parametri Modello'!$B$44))),IF(INDEX('Parametri Modello'!$F$57:$F$60,MATCH($B216,'Parametri Modello'!$A$57:$A$60,0))=0,0,($O216/INDEX('Parametri Modello'!$F$57:$F$60,MATCH($B216,'Parametri Modello'!$A$57:$A$60,0)))*((1-INDEX('Parametri Modello'!$D$57:$D$60,MATCH($B216,'Parametri Modello'!$A$57:$A$60,0)))*(INDEX('Parametri Modello'!$B$50:$B$53,MATCH($B216,'Parametri Modello'!$A$50:$A$53,0))*'Parametri Modello'!$B$44))))*(1+IF(IF($B216="D",'Info Lega'!$B$25,IF($B216="C",'Info Lega'!$B$26,"No"))="Si",'Parametri Modello'!$B$5,0))*(1+MAX(-0.25,MIN(0.25,IF(OR($T216="",$I216="",$I216=0,INDEX('Parametri Modello'!$B$19:$B$22,MATCH($B216,'Parametri Modello'!$A$19:$A$22,0))="",INDEX('Parametri Modello'!$B$19:$B$22,MATCH($B216,'Parametri Modello'!$A$19:$A$22,0))=0),0,(($T216-INDEX('Parametri Modello'!$B$19:$B$22,MATCH($B216,'Parametri Modello'!$A$19:$A$22,0)))/INDEX('Parametri Modello'!$B$19:$B$22,MATCH($B216,'Parametri Modello'!$A$19:$A$22,0)))*'Parametri Modello'!$B$9))))*(1+IF('Parametri Modello'!$B$27="Si",MAX(-'Parametri Modello'!$B$28,MIN('Parametri Modello'!$B$28*1.5,IF(OR(INDEX('Parametri Modello'!$F$32:$F$35,MATCH($B216,'Parametri Modello'!$A$32:$A$35,0))="",INDEX('Parametri Modello'!$F$32:$F$35,MATCH($B216,'Parametri Modello'!$A$32:$A$35,0))=0),0,(1/INDEX('Parametri Modello'!$F$32:$F$35,MATCH($B216,'Parametri Modello'!$A$32:$A$35,0))-1)*'Parametri Modello'!$B$28))),0)))*(1-INDEX('Parametri Modello'!$B$12:$B$15,MATCH($B216,'Parametri Modello'!$A$12:$A$15,0)))),0),"")</f>
        <v>2</v>
      </c>
      <c r="H216" s="27" t="n">
        <f aca="false">IFERROR(ROUND((IF($V216&lt;=INDEX('Parametri Modello'!$C$57:$C$60,MATCH($B216,'Parametri Modello'!$A$57:$A$60,0)),IF(INDEX('Parametri Modello'!$E$57:$E$60,MATCH($B216,'Parametri Modello'!$A$57:$A$60,0))=0,0,($O216/INDEX('Parametri Modello'!$E$57:$E$60,MATCH($B216,'Parametri Modello'!$A$57:$A$60,0)))*(INDEX('Parametri Modello'!$D$57:$D$60,MATCH($B216,'Parametri Modello'!$A$57:$A$60,0))*(INDEX('Parametri Modello'!$B$50:$B$53,MATCH($B216,'Parametri Modello'!$A$50:$A$53,0))*'Parametri Modello'!$B$44))),IF(INDEX('Parametri Modello'!$F$57:$F$60,MATCH($B216,'Parametri Modello'!$A$57:$A$60,0))=0,0,($O216/INDEX('Parametri Modello'!$F$57:$F$60,MATCH($B216,'Parametri Modello'!$A$57:$A$60,0)))*((1-INDEX('Parametri Modello'!$D$57:$D$60,MATCH($B216,'Parametri Modello'!$A$57:$A$60,0)))*(INDEX('Parametri Modello'!$B$50:$B$53,MATCH($B216,'Parametri Modello'!$A$50:$A$53,0))*'Parametri Modello'!$B$44))))*(1+IF(IF($B216="D",'Info Lega'!$B$25,IF($B216="C",'Info Lega'!$B$26,"No"))="Si",'Parametri Modello'!$B$5,0))*(1+MAX(-0.25,MIN(0.25,IF(OR($T216="",$I216="",$I216=0,INDEX('Parametri Modello'!$B$19:$B$22,MATCH($B216,'Parametri Modello'!$A$19:$A$22,0))="",INDEX('Parametri Modello'!$B$19:$B$22,MATCH($B216,'Parametri Modello'!$A$19:$A$22,0))=0),0,(($T216-INDEX('Parametri Modello'!$B$19:$B$22,MATCH($B216,'Parametri Modello'!$A$19:$A$22,0)))/INDEX('Parametri Modello'!$B$19:$B$22,MATCH($B216,'Parametri Modello'!$A$19:$A$22,0)))*'Parametri Modello'!$B$9))))*(1+IF('Parametri Modello'!$B$27="Si",MAX(-'Parametri Modello'!$B$28,MIN('Parametri Modello'!$B$28*1.5,IF(OR(INDEX('Parametri Modello'!$F$32:$F$35,MATCH($B216,'Parametri Modello'!$A$32:$A$35,0))="",INDEX('Parametri Modello'!$F$32:$F$35,MATCH($B216,'Parametri Modello'!$A$32:$A$35,0))=0),0,(1/INDEX('Parametri Modello'!$F$32:$F$35,MATCH($B216,'Parametri Modello'!$A$32:$A$35,0))-1)*'Parametri Modello'!$B$28))),0)))*(1+INDEX('Parametri Modello'!$B$12:$B$15,MATCH($B216,'Parametri Modello'!$A$12:$A$15,0))),0),"")</f>
        <v>3</v>
      </c>
      <c r="I216" s="26" t="n">
        <f aca="false">IFERROR(INDEX('Input Statistiche 2025_26'!$F$3:$F$665,MATCH($A216,'Input Statistiche 2025_26'!$A$3:$A$665,0)),"")</f>
        <v>28</v>
      </c>
      <c r="J216" s="26" t="n">
        <f aca="false">IFERROR(IF($I216="","",MAX(0,38-$I216)),"")</f>
        <v>10</v>
      </c>
      <c r="K216" s="26" t="n">
        <f aca="false">IFERROR(INDEX('Input Statistiche 2025_26'!$I$3:$I$665,MATCH($A216,'Input Statistiche 2025_26'!$A$3:$A$665,0)),"")</f>
        <v>3</v>
      </c>
      <c r="L216" s="26" t="n">
        <f aca="false">IFERROR(INDEX('Input Statistiche 2025_26'!$O$3:$O$665,MATCH($A216,'Input Statistiche 2025_26'!$A$3:$A$665,0)),"")</f>
        <v>0</v>
      </c>
      <c r="M216" s="28"/>
      <c r="N216" s="27" t="n">
        <f aca="false">IFERROR(INDEX('Input Giocatori 2026_27'!$E$3:$E$493,MATCH($A216,'Input Giocatori 2026_27'!$A$3:$A$493,0)),"")</f>
        <v>7</v>
      </c>
      <c r="O216" s="27" t="n">
        <f aca="false">IFERROR(INDEX('Input Giocatori 2026_27'!$G$3:$G$493,MATCH($A216,'Input Giocatori 2026_27'!$A$3:$A$493,0)),"")</f>
        <v>15</v>
      </c>
      <c r="P216" s="26" t="str">
        <f aca="false">IFERROR(IF($O216="","",IF((1-(COUNTIFS($B$2:$B$492,$B216,$O$2:$O$492,"&gt;"&amp;$O216)+1-1)/COUNTIF($B$2:$B$492,$B216))&gt;=0.85,"Top",IF((1-(COUNTIFS($B$2:$B$492,$B216,$O$2:$O$492,"&gt;"&amp;$O216)+1-1)/COUNTIF($B$2:$B$492,$B216))&gt;=0.6,"Buono",IF((1-(COUNTIFS($B$2:$B$492,$B216,$O$2:$O$492,"&gt;"&amp;$O216)+1-1)/COUNTIF($B$2:$B$492,$B216))&gt;=0.3,"Nella Media","Scommessa/Riserva")))),"")</f>
        <v>Buono</v>
      </c>
      <c r="Q216" s="29" t="n">
        <f aca="false">IF($D216="",COUNTIF($D$2:$D216,""),"")</f>
        <v>215</v>
      </c>
      <c r="R216" s="29" t="str">
        <f aca="false">IF($D216='Info Lega'!$B$28,COUNTIFS($D$2:$D216,'Info Lega'!$B$28),"")</f>
        <v/>
      </c>
      <c r="S216" s="30" t="n">
        <f aca="false">IFERROR(INDEX('Input Statistiche 2025_26'!$G$3:$G$665,MATCH($A216,'Input Statistiche 2025_26'!$A$3:$A$665,0)),"")</f>
        <v>5.98</v>
      </c>
      <c r="T216" s="30" t="n">
        <f aca="false">IFERROR(INDEX('Input Statistiche 2025_26'!$H$3:$H$665,MATCH($A216,'Input Statistiche 2025_26'!$A$3:$A$665,0)),"")</f>
        <v>6.23</v>
      </c>
      <c r="U216" s="26" t="str">
        <f aca="false">IF(OR('La Mia Rosa'!$O$12="",$D216&lt;&gt;""),"",IF($F216&lt;='La Mia Rosa'!$O$12*'Parametri Modello'!$B$24,"OK",IF($F216&lt;='La Mia Rosa'!$O$12*'Parametri Modello'!$B$25,"Attenzione","Rischio Alto")))</f>
        <v>OK</v>
      </c>
      <c r="V216" s="26" t="n">
        <f aca="false">IFERROR(COUNTIFS($B$2:$B$492,$B216,$O$2:$O$492,"&gt;"&amp;$O216)+1,"")</f>
        <v>61</v>
      </c>
      <c r="W216" s="21" t="n">
        <f aca="false">'Info Lega'!$B$4-SUMIFS($M$2:$M$492,$D$2:$D$492,'Info Lega'!$B$28)</f>
        <v>1000</v>
      </c>
      <c r="X216" s="21" t="n">
        <f aca="false">('Info Lega'!$B$5-COUNTIFS($D$2:$D$492,'Info Lega'!$B$28,$B$2:$B$492,"P"))+('Info Lega'!$B$6-COUNTIFS($D$2:$D$492,'Info Lega'!$B$28,$B$2:$B$492,"D"))+('Info Lega'!$B$7-COUNTIFS($D$2:$D$492,'Info Lega'!$B$28,$B$2:$B$492,"C"))+('Info Lega'!$B$8-COUNTIFS($D$2:$D$492,'Info Lega'!$B$28,$B$2:$B$492,"A"))</f>
        <v>25</v>
      </c>
      <c r="Y216" s="21" t="n">
        <f aca="false">X216*'Parametri Modello'!$B$30</f>
        <v>25</v>
      </c>
      <c r="Z216" s="21" t="n">
        <f aca="false">MAX(0,W216-Y216)</f>
        <v>975</v>
      </c>
      <c r="AA216" s="21" t="n">
        <f aca="false">MIN(F216,Z216)</f>
        <v>3</v>
      </c>
      <c r="AB216" s="21"/>
      <c r="AC216" s="21" t="str">
        <f aca="false">IF(AB216="","",IF(AB216&gt;AA216,"PASS",IF(AB216&lt;=AA216*0.85,"BID","ATTENZIONE")))</f>
        <v/>
      </c>
      <c r="AD216" s="31" t="n">
        <f aca="false">IF(I216="","",ROUND(100*(1-EXP(-I216/30)),0))</f>
        <v>61</v>
      </c>
      <c r="AE216" s="7" t="str">
        <f aca="false">IFERROR(INDEX('Stato Asta'!$G$9:$G$12,MATCH($B216,'Stato Asta'!$A$9:$A$12,0)),"")</f>
        <v>🟡 Attesa rischiosa</v>
      </c>
    </row>
    <row r="217" customFormat="false" ht="14.25" hidden="false" customHeight="true" outlineLevel="0" collapsed="false">
      <c r="A217" s="21" t="n">
        <v>4887</v>
      </c>
      <c r="B217" s="21" t="s">
        <v>44</v>
      </c>
      <c r="C217" s="21" t="s">
        <v>243</v>
      </c>
      <c r="E217" s="26" t="str">
        <f aca="false">IF(COUNTIF('Info Strategia'!$D$2:$D$51,$C217)&gt;0,"SI","NO")</f>
        <v>NO</v>
      </c>
      <c r="F217" s="27" t="n">
        <f aca="false">IFERROR(ROUND(($G217+($H217-$G217)*'Info Strategia'!$B$6)*(1+IF($E217="SI",'Parametri Modello'!$B$7*'Info Strategia'!$B$6,0)),0),"")</f>
        <v>3</v>
      </c>
      <c r="G217" s="27" t="n">
        <f aca="false">IFERROR(ROUND(MAX(1,(IF($V217&lt;=INDEX('Parametri Modello'!$C$57:$C$60,MATCH($B217,'Parametri Modello'!$A$57:$A$60,0)),IF(INDEX('Parametri Modello'!$E$57:$E$60,MATCH($B217,'Parametri Modello'!$A$57:$A$60,0))=0,0,($O217/INDEX('Parametri Modello'!$E$57:$E$60,MATCH($B217,'Parametri Modello'!$A$57:$A$60,0)))*(INDEX('Parametri Modello'!$D$57:$D$60,MATCH($B217,'Parametri Modello'!$A$57:$A$60,0))*(INDEX('Parametri Modello'!$B$50:$B$53,MATCH($B217,'Parametri Modello'!$A$50:$A$53,0))*'Parametri Modello'!$B$44))),IF(INDEX('Parametri Modello'!$F$57:$F$60,MATCH($B217,'Parametri Modello'!$A$57:$A$60,0))=0,0,($O217/INDEX('Parametri Modello'!$F$57:$F$60,MATCH($B217,'Parametri Modello'!$A$57:$A$60,0)))*((1-INDEX('Parametri Modello'!$D$57:$D$60,MATCH($B217,'Parametri Modello'!$A$57:$A$60,0)))*(INDEX('Parametri Modello'!$B$50:$B$53,MATCH($B217,'Parametri Modello'!$A$50:$A$53,0))*'Parametri Modello'!$B$44))))*(1+IF(IF($B217="D",'Info Lega'!$B$25,IF($B217="C",'Info Lega'!$B$26,"No"))="Si",'Parametri Modello'!$B$5,0))*(1+MAX(-0.25,MIN(0.25,IF(OR($T217="",$I217="",$I217=0,INDEX('Parametri Modello'!$B$19:$B$22,MATCH($B217,'Parametri Modello'!$A$19:$A$22,0))="",INDEX('Parametri Modello'!$B$19:$B$22,MATCH($B217,'Parametri Modello'!$A$19:$A$22,0))=0),0,(($T217-INDEX('Parametri Modello'!$B$19:$B$22,MATCH($B217,'Parametri Modello'!$A$19:$A$22,0)))/INDEX('Parametri Modello'!$B$19:$B$22,MATCH($B217,'Parametri Modello'!$A$19:$A$22,0)))*'Parametri Modello'!$B$9))))*(1+IF('Parametri Modello'!$B$27="Si",MAX(-'Parametri Modello'!$B$28,MIN('Parametri Modello'!$B$28*1.5,IF(OR(INDEX('Parametri Modello'!$F$32:$F$35,MATCH($B217,'Parametri Modello'!$A$32:$A$35,0))="",INDEX('Parametri Modello'!$F$32:$F$35,MATCH($B217,'Parametri Modello'!$A$32:$A$35,0))=0),0,(1/INDEX('Parametri Modello'!$F$32:$F$35,MATCH($B217,'Parametri Modello'!$A$32:$A$35,0))-1)*'Parametri Modello'!$B$28))),0)))*(1-INDEX('Parametri Modello'!$B$12:$B$15,MATCH($B217,'Parametri Modello'!$A$12:$A$15,0)))),0),"")</f>
        <v>2</v>
      </c>
      <c r="H217" s="27" t="n">
        <f aca="false">IFERROR(ROUND((IF($V217&lt;=INDEX('Parametri Modello'!$C$57:$C$60,MATCH($B217,'Parametri Modello'!$A$57:$A$60,0)),IF(INDEX('Parametri Modello'!$E$57:$E$60,MATCH($B217,'Parametri Modello'!$A$57:$A$60,0))=0,0,($O217/INDEX('Parametri Modello'!$E$57:$E$60,MATCH($B217,'Parametri Modello'!$A$57:$A$60,0)))*(INDEX('Parametri Modello'!$D$57:$D$60,MATCH($B217,'Parametri Modello'!$A$57:$A$60,0))*(INDEX('Parametri Modello'!$B$50:$B$53,MATCH($B217,'Parametri Modello'!$A$50:$A$53,0))*'Parametri Modello'!$B$44))),IF(INDEX('Parametri Modello'!$F$57:$F$60,MATCH($B217,'Parametri Modello'!$A$57:$A$60,0))=0,0,($O217/INDEX('Parametri Modello'!$F$57:$F$60,MATCH($B217,'Parametri Modello'!$A$57:$A$60,0)))*((1-INDEX('Parametri Modello'!$D$57:$D$60,MATCH($B217,'Parametri Modello'!$A$57:$A$60,0)))*(INDEX('Parametri Modello'!$B$50:$B$53,MATCH($B217,'Parametri Modello'!$A$50:$A$53,0))*'Parametri Modello'!$B$44))))*(1+IF(IF($B217="D",'Info Lega'!$B$25,IF($B217="C",'Info Lega'!$B$26,"No"))="Si",'Parametri Modello'!$B$5,0))*(1+MAX(-0.25,MIN(0.25,IF(OR($T217="",$I217="",$I217=0,INDEX('Parametri Modello'!$B$19:$B$22,MATCH($B217,'Parametri Modello'!$A$19:$A$22,0))="",INDEX('Parametri Modello'!$B$19:$B$22,MATCH($B217,'Parametri Modello'!$A$19:$A$22,0))=0),0,(($T217-INDEX('Parametri Modello'!$B$19:$B$22,MATCH($B217,'Parametri Modello'!$A$19:$A$22,0)))/INDEX('Parametri Modello'!$B$19:$B$22,MATCH($B217,'Parametri Modello'!$A$19:$A$22,0)))*'Parametri Modello'!$B$9))))*(1+IF('Parametri Modello'!$B$27="Si",MAX(-'Parametri Modello'!$B$28,MIN('Parametri Modello'!$B$28*1.5,IF(OR(INDEX('Parametri Modello'!$F$32:$F$35,MATCH($B217,'Parametri Modello'!$A$32:$A$35,0))="",INDEX('Parametri Modello'!$F$32:$F$35,MATCH($B217,'Parametri Modello'!$A$32:$A$35,0))=0),0,(1/INDEX('Parametri Modello'!$F$32:$F$35,MATCH($B217,'Parametri Modello'!$A$32:$A$35,0))-1)*'Parametri Modello'!$B$28))),0)))*(1+INDEX('Parametri Modello'!$B$12:$B$15,MATCH($B217,'Parametri Modello'!$A$12:$A$15,0))),0),"")</f>
        <v>3</v>
      </c>
      <c r="I217" s="26" t="n">
        <f aca="false">IFERROR(INDEX('Input Statistiche 2025_26'!$F$3:$F$665,MATCH($A217,'Input Statistiche 2025_26'!$A$3:$A$665,0)),"")</f>
        <v>22</v>
      </c>
      <c r="J217" s="26" t="n">
        <f aca="false">IFERROR(IF($I217="","",MAX(0,38-$I217)),"")</f>
        <v>16</v>
      </c>
      <c r="K217" s="26" t="n">
        <f aca="false">IFERROR(INDEX('Input Statistiche 2025_26'!$I$3:$I$665,MATCH($A217,'Input Statistiche 2025_26'!$A$3:$A$665,0)),"")</f>
        <v>0</v>
      </c>
      <c r="L217" s="26" t="n">
        <f aca="false">IFERROR(INDEX('Input Statistiche 2025_26'!$O$3:$O$665,MATCH($A217,'Input Statistiche 2025_26'!$A$3:$A$665,0)),"")</f>
        <v>1</v>
      </c>
      <c r="M217" s="28"/>
      <c r="N217" s="27" t="n">
        <f aca="false">IFERROR(INDEX('Input Giocatori 2026_27'!$E$3:$E$493,MATCH($A217,'Input Giocatori 2026_27'!$A$3:$A$493,0)),"")</f>
        <v>6</v>
      </c>
      <c r="O217" s="27" t="n">
        <f aca="false">IFERROR(INDEX('Input Giocatori 2026_27'!$G$3:$G$493,MATCH($A217,'Input Giocatori 2026_27'!$A$3:$A$493,0)),"")</f>
        <v>15</v>
      </c>
      <c r="P217" s="26" t="str">
        <f aca="false">IFERROR(IF($O217="","",IF((1-(COUNTIFS($B$2:$B$492,$B217,$O$2:$O$492,"&gt;"&amp;$O217)+1-1)/COUNTIF($B$2:$B$492,$B217))&gt;=0.85,"Top",IF((1-(COUNTIFS($B$2:$B$492,$B217,$O$2:$O$492,"&gt;"&amp;$O217)+1-1)/COUNTIF($B$2:$B$492,$B217))&gt;=0.6,"Buono",IF((1-(COUNTIFS($B$2:$B$492,$B217,$O$2:$O$492,"&gt;"&amp;$O217)+1-1)/COUNTIF($B$2:$B$492,$B217))&gt;=0.3,"Nella Media","Scommessa/Riserva")))),"")</f>
        <v>Buono</v>
      </c>
      <c r="Q217" s="29" t="n">
        <f aca="false">IF($D217="",COUNTIF($D$2:$D217,""),"")</f>
        <v>216</v>
      </c>
      <c r="R217" s="29" t="str">
        <f aca="false">IF($D217='Info Lega'!$B$28,COUNTIFS($D$2:$D217,'Info Lega'!$B$28),"")</f>
        <v/>
      </c>
      <c r="S217" s="30" t="n">
        <f aca="false">IFERROR(INDEX('Input Statistiche 2025_26'!$G$3:$G$665,MATCH($A217,'Input Statistiche 2025_26'!$A$3:$A$665,0)),"")</f>
        <v>5.82</v>
      </c>
      <c r="T217" s="30" t="n">
        <f aca="false">IFERROR(INDEX('Input Statistiche 2025_26'!$H$3:$H$665,MATCH($A217,'Input Statistiche 2025_26'!$A$3:$A$665,0)),"")</f>
        <v>5.82</v>
      </c>
      <c r="U217" s="26" t="str">
        <f aca="false">IF(OR('La Mia Rosa'!$O$12="",$D217&lt;&gt;""),"",IF($F217&lt;='La Mia Rosa'!$O$12*'Parametri Modello'!$B$24,"OK",IF($F217&lt;='La Mia Rosa'!$O$12*'Parametri Modello'!$B$25,"Attenzione","Rischio Alto")))</f>
        <v>OK</v>
      </c>
      <c r="V217" s="26" t="n">
        <f aca="false">IFERROR(COUNTIFS($B$2:$B$492,$B217,$O$2:$O$492,"&gt;"&amp;$O217)+1,"")</f>
        <v>61</v>
      </c>
      <c r="W217" s="21" t="n">
        <f aca="false">'Info Lega'!$B$4-SUMIFS($M$2:$M$492,$D$2:$D$492,'Info Lega'!$B$28)</f>
        <v>1000</v>
      </c>
      <c r="X217" s="21" t="n">
        <f aca="false">('Info Lega'!$B$5-COUNTIFS($D$2:$D$492,'Info Lega'!$B$28,$B$2:$B$492,"P"))+('Info Lega'!$B$6-COUNTIFS($D$2:$D$492,'Info Lega'!$B$28,$B$2:$B$492,"D"))+('Info Lega'!$B$7-COUNTIFS($D$2:$D$492,'Info Lega'!$B$28,$B$2:$B$492,"C"))+('Info Lega'!$B$8-COUNTIFS($D$2:$D$492,'Info Lega'!$B$28,$B$2:$B$492,"A"))</f>
        <v>25</v>
      </c>
      <c r="Y217" s="21" t="n">
        <f aca="false">X217*'Parametri Modello'!$B$30</f>
        <v>25</v>
      </c>
      <c r="Z217" s="21" t="n">
        <f aca="false">MAX(0,W217-Y217)</f>
        <v>975</v>
      </c>
      <c r="AA217" s="21" t="n">
        <f aca="false">MIN(F217,Z217)</f>
        <v>3</v>
      </c>
      <c r="AB217" s="21"/>
      <c r="AC217" s="21" t="str">
        <f aca="false">IF(AB217="","",IF(AB217&gt;AA217,"PASS",IF(AB217&lt;=AA217*0.85,"BID","ATTENZIONE")))</f>
        <v/>
      </c>
      <c r="AD217" s="31" t="n">
        <f aca="false">IF(I217="","",ROUND(100*(1-EXP(-I217/30)),0))</f>
        <v>52</v>
      </c>
      <c r="AE217" s="7" t="str">
        <f aca="false">IFERROR(INDEX('Stato Asta'!$G$9:$G$12,MATCH($B217,'Stato Asta'!$A$9:$A$12,0)),"")</f>
        <v>🟡 Attesa rischiosa</v>
      </c>
    </row>
    <row r="218" customFormat="false" ht="14.25" hidden="false" customHeight="true" outlineLevel="0" collapsed="false">
      <c r="A218" s="21" t="n">
        <v>7212</v>
      </c>
      <c r="B218" s="21" t="s">
        <v>44</v>
      </c>
      <c r="C218" s="21" t="s">
        <v>245</v>
      </c>
      <c r="E218" s="26" t="str">
        <f aca="false">IF(COUNTIF('Info Strategia'!$D$2:$D$51,$C218)&gt;0,"SI","NO")</f>
        <v>NO</v>
      </c>
      <c r="F218" s="27" t="n">
        <f aca="false">IFERROR(ROUND(($G218+($H218-$G218)*'Info Strategia'!$B$6)*(1+IF($E218="SI",'Parametri Modello'!$B$7*'Info Strategia'!$B$6,0)),0),"")</f>
        <v>3</v>
      </c>
      <c r="G218" s="27" t="n">
        <f aca="false">IFERROR(ROUND(MAX(1,(IF($V218&lt;=INDEX('Parametri Modello'!$C$57:$C$60,MATCH($B218,'Parametri Modello'!$A$57:$A$60,0)),IF(INDEX('Parametri Modello'!$E$57:$E$60,MATCH($B218,'Parametri Modello'!$A$57:$A$60,0))=0,0,($O218/INDEX('Parametri Modello'!$E$57:$E$60,MATCH($B218,'Parametri Modello'!$A$57:$A$60,0)))*(INDEX('Parametri Modello'!$D$57:$D$60,MATCH($B218,'Parametri Modello'!$A$57:$A$60,0))*(INDEX('Parametri Modello'!$B$50:$B$53,MATCH($B218,'Parametri Modello'!$A$50:$A$53,0))*'Parametri Modello'!$B$44))),IF(INDEX('Parametri Modello'!$F$57:$F$60,MATCH($B218,'Parametri Modello'!$A$57:$A$60,0))=0,0,($O218/INDEX('Parametri Modello'!$F$57:$F$60,MATCH($B218,'Parametri Modello'!$A$57:$A$60,0)))*((1-INDEX('Parametri Modello'!$D$57:$D$60,MATCH($B218,'Parametri Modello'!$A$57:$A$60,0)))*(INDEX('Parametri Modello'!$B$50:$B$53,MATCH($B218,'Parametri Modello'!$A$50:$A$53,0))*'Parametri Modello'!$B$44))))*(1+IF(IF($B218="D",'Info Lega'!$B$25,IF($B218="C",'Info Lega'!$B$26,"No"))="Si",'Parametri Modello'!$B$5,0))*(1+MAX(-0.25,MIN(0.25,IF(OR($T218="",$I218="",$I218=0,INDEX('Parametri Modello'!$B$19:$B$22,MATCH($B218,'Parametri Modello'!$A$19:$A$22,0))="",INDEX('Parametri Modello'!$B$19:$B$22,MATCH($B218,'Parametri Modello'!$A$19:$A$22,0))=0),0,(($T218-INDEX('Parametri Modello'!$B$19:$B$22,MATCH($B218,'Parametri Modello'!$A$19:$A$22,0)))/INDEX('Parametri Modello'!$B$19:$B$22,MATCH($B218,'Parametri Modello'!$A$19:$A$22,0)))*'Parametri Modello'!$B$9))))*(1+IF('Parametri Modello'!$B$27="Si",MAX(-'Parametri Modello'!$B$28,MIN('Parametri Modello'!$B$28*1.5,IF(OR(INDEX('Parametri Modello'!$F$32:$F$35,MATCH($B218,'Parametri Modello'!$A$32:$A$35,0))="",INDEX('Parametri Modello'!$F$32:$F$35,MATCH($B218,'Parametri Modello'!$A$32:$A$35,0))=0),0,(1/INDEX('Parametri Modello'!$F$32:$F$35,MATCH($B218,'Parametri Modello'!$A$32:$A$35,0))-1)*'Parametri Modello'!$B$28))),0)))*(1-INDEX('Parametri Modello'!$B$12:$B$15,MATCH($B218,'Parametri Modello'!$A$12:$A$15,0)))),0),"")</f>
        <v>2</v>
      </c>
      <c r="H218" s="27" t="n">
        <f aca="false">IFERROR(ROUND((IF($V218&lt;=INDEX('Parametri Modello'!$C$57:$C$60,MATCH($B218,'Parametri Modello'!$A$57:$A$60,0)),IF(INDEX('Parametri Modello'!$E$57:$E$60,MATCH($B218,'Parametri Modello'!$A$57:$A$60,0))=0,0,($O218/INDEX('Parametri Modello'!$E$57:$E$60,MATCH($B218,'Parametri Modello'!$A$57:$A$60,0)))*(INDEX('Parametri Modello'!$D$57:$D$60,MATCH($B218,'Parametri Modello'!$A$57:$A$60,0))*(INDEX('Parametri Modello'!$B$50:$B$53,MATCH($B218,'Parametri Modello'!$A$50:$A$53,0))*'Parametri Modello'!$B$44))),IF(INDEX('Parametri Modello'!$F$57:$F$60,MATCH($B218,'Parametri Modello'!$A$57:$A$60,0))=0,0,($O218/INDEX('Parametri Modello'!$F$57:$F$60,MATCH($B218,'Parametri Modello'!$A$57:$A$60,0)))*((1-INDEX('Parametri Modello'!$D$57:$D$60,MATCH($B218,'Parametri Modello'!$A$57:$A$60,0)))*(INDEX('Parametri Modello'!$B$50:$B$53,MATCH($B218,'Parametri Modello'!$A$50:$A$53,0))*'Parametri Modello'!$B$44))))*(1+IF(IF($B218="D",'Info Lega'!$B$25,IF($B218="C",'Info Lega'!$B$26,"No"))="Si",'Parametri Modello'!$B$5,0))*(1+MAX(-0.25,MIN(0.25,IF(OR($T218="",$I218="",$I218=0,INDEX('Parametri Modello'!$B$19:$B$22,MATCH($B218,'Parametri Modello'!$A$19:$A$22,0))="",INDEX('Parametri Modello'!$B$19:$B$22,MATCH($B218,'Parametri Modello'!$A$19:$A$22,0))=0),0,(($T218-INDEX('Parametri Modello'!$B$19:$B$22,MATCH($B218,'Parametri Modello'!$A$19:$A$22,0)))/INDEX('Parametri Modello'!$B$19:$B$22,MATCH($B218,'Parametri Modello'!$A$19:$A$22,0)))*'Parametri Modello'!$B$9))))*(1+IF('Parametri Modello'!$B$27="Si",MAX(-'Parametri Modello'!$B$28,MIN('Parametri Modello'!$B$28*1.5,IF(OR(INDEX('Parametri Modello'!$F$32:$F$35,MATCH($B218,'Parametri Modello'!$A$32:$A$35,0))="",INDEX('Parametri Modello'!$F$32:$F$35,MATCH($B218,'Parametri Modello'!$A$32:$A$35,0))=0),0,(1/INDEX('Parametri Modello'!$F$32:$F$35,MATCH($B218,'Parametri Modello'!$A$32:$A$35,0))-1)*'Parametri Modello'!$B$28))),0)))*(1+INDEX('Parametri Modello'!$B$12:$B$15,MATCH($B218,'Parametri Modello'!$A$12:$A$15,0))),0),"")</f>
        <v>3</v>
      </c>
      <c r="I218" s="26" t="n">
        <f aca="false">IFERROR(INDEX('Input Statistiche 2025_26'!$F$3:$F$665,MATCH($A218,'Input Statistiche 2025_26'!$A$3:$A$665,0)),"")</f>
        <v>25</v>
      </c>
      <c r="J218" s="26" t="n">
        <f aca="false">IFERROR(IF($I218="","",MAX(0,38-$I218)),"")</f>
        <v>13</v>
      </c>
      <c r="K218" s="26" t="n">
        <f aca="false">IFERROR(INDEX('Input Statistiche 2025_26'!$I$3:$I$665,MATCH($A218,'Input Statistiche 2025_26'!$A$3:$A$665,0)),"")</f>
        <v>0</v>
      </c>
      <c r="L218" s="26" t="n">
        <f aca="false">IFERROR(INDEX('Input Statistiche 2025_26'!$O$3:$O$665,MATCH($A218,'Input Statistiche 2025_26'!$A$3:$A$665,0)),"")</f>
        <v>0</v>
      </c>
      <c r="M218" s="28"/>
      <c r="N218" s="27" t="n">
        <f aca="false">IFERROR(INDEX('Input Giocatori 2026_27'!$E$3:$E$493,MATCH($A218,'Input Giocatori 2026_27'!$A$3:$A$493,0)),"")</f>
        <v>6</v>
      </c>
      <c r="O218" s="27" t="n">
        <f aca="false">IFERROR(INDEX('Input Giocatori 2026_27'!$G$3:$G$493,MATCH($A218,'Input Giocatori 2026_27'!$A$3:$A$493,0)),"")</f>
        <v>15</v>
      </c>
      <c r="P218" s="26" t="str">
        <f aca="false">IFERROR(IF($O218="","",IF((1-(COUNTIFS($B$2:$B$492,$B218,$O$2:$O$492,"&gt;"&amp;$O218)+1-1)/COUNTIF($B$2:$B$492,$B218))&gt;=0.85,"Top",IF((1-(COUNTIFS($B$2:$B$492,$B218,$O$2:$O$492,"&gt;"&amp;$O218)+1-1)/COUNTIF($B$2:$B$492,$B218))&gt;=0.6,"Buono",IF((1-(COUNTIFS($B$2:$B$492,$B218,$O$2:$O$492,"&gt;"&amp;$O218)+1-1)/COUNTIF($B$2:$B$492,$B218))&gt;=0.3,"Nella Media","Scommessa/Riserva")))),"")</f>
        <v>Buono</v>
      </c>
      <c r="Q218" s="29" t="n">
        <f aca="false">IF($D218="",COUNTIF($D$2:$D218,""),"")</f>
        <v>217</v>
      </c>
      <c r="R218" s="29" t="str">
        <f aca="false">IF($D218='Info Lega'!$B$28,COUNTIFS($D$2:$D218,'Info Lega'!$B$28),"")</f>
        <v/>
      </c>
      <c r="S218" s="30" t="n">
        <f aca="false">IFERROR(INDEX('Input Statistiche 2025_26'!$G$3:$G$665,MATCH($A218,'Input Statistiche 2025_26'!$A$3:$A$665,0)),"")</f>
        <v>5.84</v>
      </c>
      <c r="T218" s="30" t="n">
        <f aca="false">IFERROR(INDEX('Input Statistiche 2025_26'!$H$3:$H$665,MATCH($A218,'Input Statistiche 2025_26'!$A$3:$A$665,0)),"")</f>
        <v>5.8</v>
      </c>
      <c r="U218" s="26" t="str">
        <f aca="false">IF(OR('La Mia Rosa'!$O$12="",$D218&lt;&gt;""),"",IF($F218&lt;='La Mia Rosa'!$O$12*'Parametri Modello'!$B$24,"OK",IF($F218&lt;='La Mia Rosa'!$O$12*'Parametri Modello'!$B$25,"Attenzione","Rischio Alto")))</f>
        <v>OK</v>
      </c>
      <c r="V218" s="26" t="n">
        <f aca="false">IFERROR(COUNTIFS($B$2:$B$492,$B218,$O$2:$O$492,"&gt;"&amp;$O218)+1,"")</f>
        <v>61</v>
      </c>
      <c r="W218" s="21" t="n">
        <f aca="false">'Info Lega'!$B$4-SUMIFS($M$2:$M$492,$D$2:$D$492,'Info Lega'!$B$28)</f>
        <v>1000</v>
      </c>
      <c r="X218" s="21" t="n">
        <f aca="false">('Info Lega'!$B$5-COUNTIFS($D$2:$D$492,'Info Lega'!$B$28,$B$2:$B$492,"P"))+('Info Lega'!$B$6-COUNTIFS($D$2:$D$492,'Info Lega'!$B$28,$B$2:$B$492,"D"))+('Info Lega'!$B$7-COUNTIFS($D$2:$D$492,'Info Lega'!$B$28,$B$2:$B$492,"C"))+('Info Lega'!$B$8-COUNTIFS($D$2:$D$492,'Info Lega'!$B$28,$B$2:$B$492,"A"))</f>
        <v>25</v>
      </c>
      <c r="Y218" s="21" t="n">
        <f aca="false">X218*'Parametri Modello'!$B$30</f>
        <v>25</v>
      </c>
      <c r="Z218" s="21" t="n">
        <f aca="false">MAX(0,W218-Y218)</f>
        <v>975</v>
      </c>
      <c r="AA218" s="21" t="n">
        <f aca="false">MIN(F218,Z218)</f>
        <v>3</v>
      </c>
      <c r="AB218" s="21"/>
      <c r="AC218" s="21" t="str">
        <f aca="false">IF(AB218="","",IF(AB218&gt;AA218,"PASS",IF(AB218&lt;=AA218*0.85,"BID","ATTENZIONE")))</f>
        <v/>
      </c>
      <c r="AD218" s="31" t="n">
        <f aca="false">IF(I218="","",ROUND(100*(1-EXP(-I218/30)),0))</f>
        <v>57</v>
      </c>
      <c r="AE218" s="7" t="str">
        <f aca="false">IFERROR(INDEX('Stato Asta'!$G$9:$G$12,MATCH($B218,'Stato Asta'!$A$9:$A$12,0)),"")</f>
        <v>🟡 Attesa rischiosa</v>
      </c>
    </row>
    <row r="219" customFormat="false" ht="14.25" hidden="false" customHeight="true" outlineLevel="0" collapsed="false">
      <c r="A219" s="21" t="n">
        <v>7485</v>
      </c>
      <c r="B219" s="21" t="s">
        <v>44</v>
      </c>
      <c r="C219" s="21" t="s">
        <v>256</v>
      </c>
      <c r="E219" s="26" t="str">
        <f aca="false">IF(COUNTIF('Info Strategia'!$D$2:$D$51,$C219)&gt;0,"SI","NO")</f>
        <v>NO</v>
      </c>
      <c r="F219" s="27" t="n">
        <f aca="false">IFERROR(ROUND(($G219+($H219-$G219)*'Info Strategia'!$B$6)*(1+IF($E219="SI",'Parametri Modello'!$B$7*'Info Strategia'!$B$6,0)),0),"")</f>
        <v>3</v>
      </c>
      <c r="G219" s="27" t="n">
        <f aca="false">IFERROR(ROUND(MAX(1,(IF($V219&lt;=INDEX('Parametri Modello'!$C$57:$C$60,MATCH($B219,'Parametri Modello'!$A$57:$A$60,0)),IF(INDEX('Parametri Modello'!$E$57:$E$60,MATCH($B219,'Parametri Modello'!$A$57:$A$60,0))=0,0,($O219/INDEX('Parametri Modello'!$E$57:$E$60,MATCH($B219,'Parametri Modello'!$A$57:$A$60,0)))*(INDEX('Parametri Modello'!$D$57:$D$60,MATCH($B219,'Parametri Modello'!$A$57:$A$60,0))*(INDEX('Parametri Modello'!$B$50:$B$53,MATCH($B219,'Parametri Modello'!$A$50:$A$53,0))*'Parametri Modello'!$B$44))),IF(INDEX('Parametri Modello'!$F$57:$F$60,MATCH($B219,'Parametri Modello'!$A$57:$A$60,0))=0,0,($O219/INDEX('Parametri Modello'!$F$57:$F$60,MATCH($B219,'Parametri Modello'!$A$57:$A$60,0)))*((1-INDEX('Parametri Modello'!$D$57:$D$60,MATCH($B219,'Parametri Modello'!$A$57:$A$60,0)))*(INDEX('Parametri Modello'!$B$50:$B$53,MATCH($B219,'Parametri Modello'!$A$50:$A$53,0))*'Parametri Modello'!$B$44))))*(1+IF(IF($B219="D",'Info Lega'!$B$25,IF($B219="C",'Info Lega'!$B$26,"No"))="Si",'Parametri Modello'!$B$5,0))*(1+MAX(-0.25,MIN(0.25,IF(OR($T219="",$I219="",$I219=0,INDEX('Parametri Modello'!$B$19:$B$22,MATCH($B219,'Parametri Modello'!$A$19:$A$22,0))="",INDEX('Parametri Modello'!$B$19:$B$22,MATCH($B219,'Parametri Modello'!$A$19:$A$22,0))=0),0,(($T219-INDEX('Parametri Modello'!$B$19:$B$22,MATCH($B219,'Parametri Modello'!$A$19:$A$22,0)))/INDEX('Parametri Modello'!$B$19:$B$22,MATCH($B219,'Parametri Modello'!$A$19:$A$22,0)))*'Parametri Modello'!$B$9))))*(1+IF('Parametri Modello'!$B$27="Si",MAX(-'Parametri Modello'!$B$28,MIN('Parametri Modello'!$B$28*1.5,IF(OR(INDEX('Parametri Modello'!$F$32:$F$35,MATCH($B219,'Parametri Modello'!$A$32:$A$35,0))="",INDEX('Parametri Modello'!$F$32:$F$35,MATCH($B219,'Parametri Modello'!$A$32:$A$35,0))=0),0,(1/INDEX('Parametri Modello'!$F$32:$F$35,MATCH($B219,'Parametri Modello'!$A$32:$A$35,0))-1)*'Parametri Modello'!$B$28))),0)))*(1-INDEX('Parametri Modello'!$B$12:$B$15,MATCH($B219,'Parametri Modello'!$A$12:$A$15,0)))),0),"")</f>
        <v>2</v>
      </c>
      <c r="H219" s="27" t="n">
        <f aca="false">IFERROR(ROUND((IF($V219&lt;=INDEX('Parametri Modello'!$C$57:$C$60,MATCH($B219,'Parametri Modello'!$A$57:$A$60,0)),IF(INDEX('Parametri Modello'!$E$57:$E$60,MATCH($B219,'Parametri Modello'!$A$57:$A$60,0))=0,0,($O219/INDEX('Parametri Modello'!$E$57:$E$60,MATCH($B219,'Parametri Modello'!$A$57:$A$60,0)))*(INDEX('Parametri Modello'!$D$57:$D$60,MATCH($B219,'Parametri Modello'!$A$57:$A$60,0))*(INDEX('Parametri Modello'!$B$50:$B$53,MATCH($B219,'Parametri Modello'!$A$50:$A$53,0))*'Parametri Modello'!$B$44))),IF(INDEX('Parametri Modello'!$F$57:$F$60,MATCH($B219,'Parametri Modello'!$A$57:$A$60,0))=0,0,($O219/INDEX('Parametri Modello'!$F$57:$F$60,MATCH($B219,'Parametri Modello'!$A$57:$A$60,0)))*((1-INDEX('Parametri Modello'!$D$57:$D$60,MATCH($B219,'Parametri Modello'!$A$57:$A$60,0)))*(INDEX('Parametri Modello'!$B$50:$B$53,MATCH($B219,'Parametri Modello'!$A$50:$A$53,0))*'Parametri Modello'!$B$44))))*(1+IF(IF($B219="D",'Info Lega'!$B$25,IF($B219="C",'Info Lega'!$B$26,"No"))="Si",'Parametri Modello'!$B$5,0))*(1+MAX(-0.25,MIN(0.25,IF(OR($T219="",$I219="",$I219=0,INDEX('Parametri Modello'!$B$19:$B$22,MATCH($B219,'Parametri Modello'!$A$19:$A$22,0))="",INDEX('Parametri Modello'!$B$19:$B$22,MATCH($B219,'Parametri Modello'!$A$19:$A$22,0))=0),0,(($T219-INDEX('Parametri Modello'!$B$19:$B$22,MATCH($B219,'Parametri Modello'!$A$19:$A$22,0)))/INDEX('Parametri Modello'!$B$19:$B$22,MATCH($B219,'Parametri Modello'!$A$19:$A$22,0)))*'Parametri Modello'!$B$9))))*(1+IF('Parametri Modello'!$B$27="Si",MAX(-'Parametri Modello'!$B$28,MIN('Parametri Modello'!$B$28*1.5,IF(OR(INDEX('Parametri Modello'!$F$32:$F$35,MATCH($B219,'Parametri Modello'!$A$32:$A$35,0))="",INDEX('Parametri Modello'!$F$32:$F$35,MATCH($B219,'Parametri Modello'!$A$32:$A$35,0))=0),0,(1/INDEX('Parametri Modello'!$F$32:$F$35,MATCH($B219,'Parametri Modello'!$A$32:$A$35,0))-1)*'Parametri Modello'!$B$28))),0)))*(1+INDEX('Parametri Modello'!$B$12:$B$15,MATCH($B219,'Parametri Modello'!$A$12:$A$15,0))),0),"")</f>
        <v>3</v>
      </c>
      <c r="I219" s="26" t="str">
        <f aca="false">IFERROR(INDEX('Input Statistiche 2025_26'!$F$3:$F$665,MATCH($A219,'Input Statistiche 2025_26'!$A$3:$A$665,0)),"")</f>
        <v/>
      </c>
      <c r="J219" s="26" t="str">
        <f aca="false">IFERROR(IF($I219="","",MAX(0,38-$I219)),"")</f>
        <v/>
      </c>
      <c r="K219" s="26" t="str">
        <f aca="false">IFERROR(INDEX('Input Statistiche 2025_26'!$I$3:$I$665,MATCH($A219,'Input Statistiche 2025_26'!$A$3:$A$665,0)),"")</f>
        <v/>
      </c>
      <c r="L219" s="26" t="str">
        <f aca="false">IFERROR(INDEX('Input Statistiche 2025_26'!$O$3:$O$665,MATCH($A219,'Input Statistiche 2025_26'!$A$3:$A$665,0)),"")</f>
        <v/>
      </c>
      <c r="M219" s="28"/>
      <c r="N219" s="27" t="n">
        <f aca="false">IFERROR(INDEX('Input Giocatori 2026_27'!$E$3:$E$493,MATCH($A219,'Input Giocatori 2026_27'!$A$3:$A$493,0)),"")</f>
        <v>6</v>
      </c>
      <c r="O219" s="27" t="n">
        <f aca="false">IFERROR(INDEX('Input Giocatori 2026_27'!$G$3:$G$493,MATCH($A219,'Input Giocatori 2026_27'!$A$3:$A$493,0)),"")</f>
        <v>15</v>
      </c>
      <c r="P219" s="26" t="str">
        <f aca="false">IFERROR(IF($O219="","",IF((1-(COUNTIFS($B$2:$B$492,$B219,$O$2:$O$492,"&gt;"&amp;$O219)+1-1)/COUNTIF($B$2:$B$492,$B219))&gt;=0.85,"Top",IF((1-(COUNTIFS($B$2:$B$492,$B219,$O$2:$O$492,"&gt;"&amp;$O219)+1-1)/COUNTIF($B$2:$B$492,$B219))&gt;=0.6,"Buono",IF((1-(COUNTIFS($B$2:$B$492,$B219,$O$2:$O$492,"&gt;"&amp;$O219)+1-1)/COUNTIF($B$2:$B$492,$B219))&gt;=0.3,"Nella Media","Scommessa/Riserva")))),"")</f>
        <v>Buono</v>
      </c>
      <c r="Q219" s="29" t="n">
        <f aca="false">IF($D219="",COUNTIF($D$2:$D219,""),"")</f>
        <v>218</v>
      </c>
      <c r="R219" s="29" t="str">
        <f aca="false">IF($D219='Info Lega'!$B$28,COUNTIFS($D$2:$D219,'Info Lega'!$B$28),"")</f>
        <v/>
      </c>
      <c r="S219" s="30" t="str">
        <f aca="false">IFERROR(INDEX('Input Statistiche 2025_26'!$G$3:$G$665,MATCH($A219,'Input Statistiche 2025_26'!$A$3:$A$665,0)),"")</f>
        <v/>
      </c>
      <c r="T219" s="30" t="str">
        <f aca="false">IFERROR(INDEX('Input Statistiche 2025_26'!$H$3:$H$665,MATCH($A219,'Input Statistiche 2025_26'!$A$3:$A$665,0)),"")</f>
        <v/>
      </c>
      <c r="U219" s="26" t="str">
        <f aca="false">IF(OR('La Mia Rosa'!$O$12="",$D219&lt;&gt;""),"",IF($F219&lt;='La Mia Rosa'!$O$12*'Parametri Modello'!$B$24,"OK",IF($F219&lt;='La Mia Rosa'!$O$12*'Parametri Modello'!$B$25,"Attenzione","Rischio Alto")))</f>
        <v>OK</v>
      </c>
      <c r="V219" s="26" t="n">
        <f aca="false">IFERROR(COUNTIFS($B$2:$B$492,$B219,$O$2:$O$492,"&gt;"&amp;$O219)+1,"")</f>
        <v>61</v>
      </c>
      <c r="W219" s="21" t="n">
        <f aca="false">'Info Lega'!$B$4-SUMIFS($M$2:$M$492,$D$2:$D$492,'Info Lega'!$B$28)</f>
        <v>1000</v>
      </c>
      <c r="X219" s="21" t="n">
        <f aca="false">('Info Lega'!$B$5-COUNTIFS($D$2:$D$492,'Info Lega'!$B$28,$B$2:$B$492,"P"))+('Info Lega'!$B$6-COUNTIFS($D$2:$D$492,'Info Lega'!$B$28,$B$2:$B$492,"D"))+('Info Lega'!$B$7-COUNTIFS($D$2:$D$492,'Info Lega'!$B$28,$B$2:$B$492,"C"))+('Info Lega'!$B$8-COUNTIFS($D$2:$D$492,'Info Lega'!$B$28,$B$2:$B$492,"A"))</f>
        <v>25</v>
      </c>
      <c r="Y219" s="21" t="n">
        <f aca="false">X219*'Parametri Modello'!$B$30</f>
        <v>25</v>
      </c>
      <c r="Z219" s="21" t="n">
        <f aca="false">MAX(0,W219-Y219)</f>
        <v>975</v>
      </c>
      <c r="AA219" s="21" t="n">
        <f aca="false">MIN(F219,Z219)</f>
        <v>3</v>
      </c>
      <c r="AB219" s="21"/>
      <c r="AC219" s="21" t="str">
        <f aca="false">IF(AB219="","",IF(AB219&gt;AA219,"PASS",IF(AB219&lt;=AA219*0.85,"BID","ATTENZIONE")))</f>
        <v/>
      </c>
      <c r="AD219" s="31" t="str">
        <f aca="false">IF(I219="","",ROUND(100*(1-EXP(-I219/30)),0))</f>
        <v/>
      </c>
      <c r="AE219" s="7" t="str">
        <f aca="false">IFERROR(INDEX('Stato Asta'!$G$9:$G$12,MATCH($B219,'Stato Asta'!$A$9:$A$12,0)),"")</f>
        <v>🟡 Attesa rischiosa</v>
      </c>
    </row>
    <row r="220" customFormat="false" ht="14.25" hidden="false" customHeight="true" outlineLevel="0" collapsed="false">
      <c r="A220" s="21" t="n">
        <v>2593</v>
      </c>
      <c r="B220" s="21" t="s">
        <v>44</v>
      </c>
      <c r="C220" s="21" t="s">
        <v>271</v>
      </c>
      <c r="E220" s="26" t="str">
        <f aca="false">IF(COUNTIF('Info Strategia'!$D$2:$D$51,$C220)&gt;0,"SI","NO")</f>
        <v>NO</v>
      </c>
      <c r="F220" s="27" t="n">
        <f aca="false">IFERROR(ROUND(($G220+($H220-$G220)*'Info Strategia'!$B$6)*(1+IF($E220="SI",'Parametri Modello'!$B$7*'Info Strategia'!$B$6,0)),0),"")</f>
        <v>3</v>
      </c>
      <c r="G220" s="27" t="n">
        <f aca="false">IFERROR(ROUND(MAX(1,(IF($V220&lt;=INDEX('Parametri Modello'!$C$57:$C$60,MATCH($B220,'Parametri Modello'!$A$57:$A$60,0)),IF(INDEX('Parametri Modello'!$E$57:$E$60,MATCH($B220,'Parametri Modello'!$A$57:$A$60,0))=0,0,($O220/INDEX('Parametri Modello'!$E$57:$E$60,MATCH($B220,'Parametri Modello'!$A$57:$A$60,0)))*(INDEX('Parametri Modello'!$D$57:$D$60,MATCH($B220,'Parametri Modello'!$A$57:$A$60,0))*(INDEX('Parametri Modello'!$B$50:$B$53,MATCH($B220,'Parametri Modello'!$A$50:$A$53,0))*'Parametri Modello'!$B$44))),IF(INDEX('Parametri Modello'!$F$57:$F$60,MATCH($B220,'Parametri Modello'!$A$57:$A$60,0))=0,0,($O220/INDEX('Parametri Modello'!$F$57:$F$60,MATCH($B220,'Parametri Modello'!$A$57:$A$60,0)))*((1-INDEX('Parametri Modello'!$D$57:$D$60,MATCH($B220,'Parametri Modello'!$A$57:$A$60,0)))*(INDEX('Parametri Modello'!$B$50:$B$53,MATCH($B220,'Parametri Modello'!$A$50:$A$53,0))*'Parametri Modello'!$B$44))))*(1+IF(IF($B220="D",'Info Lega'!$B$25,IF($B220="C",'Info Lega'!$B$26,"No"))="Si",'Parametri Modello'!$B$5,0))*(1+MAX(-0.25,MIN(0.25,IF(OR($T220="",$I220="",$I220=0,INDEX('Parametri Modello'!$B$19:$B$22,MATCH($B220,'Parametri Modello'!$A$19:$A$22,0))="",INDEX('Parametri Modello'!$B$19:$B$22,MATCH($B220,'Parametri Modello'!$A$19:$A$22,0))=0),0,(($T220-INDEX('Parametri Modello'!$B$19:$B$22,MATCH($B220,'Parametri Modello'!$A$19:$A$22,0)))/INDEX('Parametri Modello'!$B$19:$B$22,MATCH($B220,'Parametri Modello'!$A$19:$A$22,0)))*'Parametri Modello'!$B$9))))*(1+IF('Parametri Modello'!$B$27="Si",MAX(-'Parametri Modello'!$B$28,MIN('Parametri Modello'!$B$28*1.5,IF(OR(INDEX('Parametri Modello'!$F$32:$F$35,MATCH($B220,'Parametri Modello'!$A$32:$A$35,0))="",INDEX('Parametri Modello'!$F$32:$F$35,MATCH($B220,'Parametri Modello'!$A$32:$A$35,0))=0),0,(1/INDEX('Parametri Modello'!$F$32:$F$35,MATCH($B220,'Parametri Modello'!$A$32:$A$35,0))-1)*'Parametri Modello'!$B$28))),0)))*(1-INDEX('Parametri Modello'!$B$12:$B$15,MATCH($B220,'Parametri Modello'!$A$12:$A$15,0)))),0),"")</f>
        <v>2</v>
      </c>
      <c r="H220" s="27" t="n">
        <f aca="false">IFERROR(ROUND((IF($V220&lt;=INDEX('Parametri Modello'!$C$57:$C$60,MATCH($B220,'Parametri Modello'!$A$57:$A$60,0)),IF(INDEX('Parametri Modello'!$E$57:$E$60,MATCH($B220,'Parametri Modello'!$A$57:$A$60,0))=0,0,($O220/INDEX('Parametri Modello'!$E$57:$E$60,MATCH($B220,'Parametri Modello'!$A$57:$A$60,0)))*(INDEX('Parametri Modello'!$D$57:$D$60,MATCH($B220,'Parametri Modello'!$A$57:$A$60,0))*(INDEX('Parametri Modello'!$B$50:$B$53,MATCH($B220,'Parametri Modello'!$A$50:$A$53,0))*'Parametri Modello'!$B$44))),IF(INDEX('Parametri Modello'!$F$57:$F$60,MATCH($B220,'Parametri Modello'!$A$57:$A$60,0))=0,0,($O220/INDEX('Parametri Modello'!$F$57:$F$60,MATCH($B220,'Parametri Modello'!$A$57:$A$60,0)))*((1-INDEX('Parametri Modello'!$D$57:$D$60,MATCH($B220,'Parametri Modello'!$A$57:$A$60,0)))*(INDEX('Parametri Modello'!$B$50:$B$53,MATCH($B220,'Parametri Modello'!$A$50:$A$53,0))*'Parametri Modello'!$B$44))))*(1+IF(IF($B220="D",'Info Lega'!$B$25,IF($B220="C",'Info Lega'!$B$26,"No"))="Si",'Parametri Modello'!$B$5,0))*(1+MAX(-0.25,MIN(0.25,IF(OR($T220="",$I220="",$I220=0,INDEX('Parametri Modello'!$B$19:$B$22,MATCH($B220,'Parametri Modello'!$A$19:$A$22,0))="",INDEX('Parametri Modello'!$B$19:$B$22,MATCH($B220,'Parametri Modello'!$A$19:$A$22,0))=0),0,(($T220-INDEX('Parametri Modello'!$B$19:$B$22,MATCH($B220,'Parametri Modello'!$A$19:$A$22,0)))/INDEX('Parametri Modello'!$B$19:$B$22,MATCH($B220,'Parametri Modello'!$A$19:$A$22,0)))*'Parametri Modello'!$B$9))))*(1+IF('Parametri Modello'!$B$27="Si",MAX(-'Parametri Modello'!$B$28,MIN('Parametri Modello'!$B$28*1.5,IF(OR(INDEX('Parametri Modello'!$F$32:$F$35,MATCH($B220,'Parametri Modello'!$A$32:$A$35,0))="",INDEX('Parametri Modello'!$F$32:$F$35,MATCH($B220,'Parametri Modello'!$A$32:$A$35,0))=0),0,(1/INDEX('Parametri Modello'!$F$32:$F$35,MATCH($B220,'Parametri Modello'!$A$32:$A$35,0))-1)*'Parametri Modello'!$B$28))),0)))*(1+INDEX('Parametri Modello'!$B$12:$B$15,MATCH($B220,'Parametri Modello'!$A$12:$A$15,0))),0),"")</f>
        <v>3</v>
      </c>
      <c r="I220" s="26" t="n">
        <f aca="false">IFERROR(INDEX('Input Statistiche 2025_26'!$F$3:$F$665,MATCH($A220,'Input Statistiche 2025_26'!$A$3:$A$665,0)),"")</f>
        <v>29</v>
      </c>
      <c r="J220" s="26" t="n">
        <f aca="false">IFERROR(IF($I220="","",MAX(0,38-$I220)),"")</f>
        <v>9</v>
      </c>
      <c r="K220" s="26" t="n">
        <f aca="false">IFERROR(INDEX('Input Statistiche 2025_26'!$I$3:$I$665,MATCH($A220,'Input Statistiche 2025_26'!$A$3:$A$665,0)),"")</f>
        <v>1</v>
      </c>
      <c r="L220" s="26" t="n">
        <f aca="false">IFERROR(INDEX('Input Statistiche 2025_26'!$O$3:$O$665,MATCH($A220,'Input Statistiche 2025_26'!$A$3:$A$665,0)),"")</f>
        <v>5</v>
      </c>
      <c r="M220" s="28"/>
      <c r="N220" s="27" t="n">
        <f aca="false">IFERROR(INDEX('Input Giocatori 2026_27'!$E$3:$E$493,MATCH($A220,'Input Giocatori 2026_27'!$A$3:$A$493,0)),"")</f>
        <v>5</v>
      </c>
      <c r="O220" s="27" t="n">
        <f aca="false">IFERROR(INDEX('Input Giocatori 2026_27'!$G$3:$G$493,MATCH($A220,'Input Giocatori 2026_27'!$A$3:$A$493,0)),"")</f>
        <v>15</v>
      </c>
      <c r="P220" s="26" t="str">
        <f aca="false">IFERROR(IF($O220="","",IF((1-(COUNTIFS($B$2:$B$492,$B220,$O$2:$O$492,"&gt;"&amp;$O220)+1-1)/COUNTIF($B$2:$B$492,$B220))&gt;=0.85,"Top",IF((1-(COUNTIFS($B$2:$B$492,$B220,$O$2:$O$492,"&gt;"&amp;$O220)+1-1)/COUNTIF($B$2:$B$492,$B220))&gt;=0.6,"Buono",IF((1-(COUNTIFS($B$2:$B$492,$B220,$O$2:$O$492,"&gt;"&amp;$O220)+1-1)/COUNTIF($B$2:$B$492,$B220))&gt;=0.3,"Nella Media","Scommessa/Riserva")))),"")</f>
        <v>Buono</v>
      </c>
      <c r="Q220" s="29" t="n">
        <f aca="false">IF($D220="",COUNTIF($D$2:$D220,""),"")</f>
        <v>219</v>
      </c>
      <c r="R220" s="29" t="str">
        <f aca="false">IF($D220='Info Lega'!$B$28,COUNTIFS($D$2:$D220,'Info Lega'!$B$28),"")</f>
        <v/>
      </c>
      <c r="S220" s="30" t="n">
        <f aca="false">IFERROR(INDEX('Input Statistiche 2025_26'!$G$3:$G$665,MATCH($A220,'Input Statistiche 2025_26'!$A$3:$A$665,0)),"")</f>
        <v>5.97</v>
      </c>
      <c r="T220" s="30" t="n">
        <f aca="false">IFERROR(INDEX('Input Statistiche 2025_26'!$H$3:$H$665,MATCH($A220,'Input Statistiche 2025_26'!$A$3:$A$665,0)),"")</f>
        <v>6.1</v>
      </c>
      <c r="U220" s="26" t="str">
        <f aca="false">IF(OR('La Mia Rosa'!$O$12="",$D220&lt;&gt;""),"",IF($F220&lt;='La Mia Rosa'!$O$12*'Parametri Modello'!$B$24,"OK",IF($F220&lt;='La Mia Rosa'!$O$12*'Parametri Modello'!$B$25,"Attenzione","Rischio Alto")))</f>
        <v>OK</v>
      </c>
      <c r="V220" s="26" t="n">
        <f aca="false">IFERROR(COUNTIFS($B$2:$B$492,$B220,$O$2:$O$492,"&gt;"&amp;$O220)+1,"")</f>
        <v>61</v>
      </c>
      <c r="W220" s="21" t="n">
        <f aca="false">'Info Lega'!$B$4-SUMIFS($M$2:$M$492,$D$2:$D$492,'Info Lega'!$B$28)</f>
        <v>1000</v>
      </c>
      <c r="X220" s="21" t="n">
        <f aca="false">('Info Lega'!$B$5-COUNTIFS($D$2:$D$492,'Info Lega'!$B$28,$B$2:$B$492,"P"))+('Info Lega'!$B$6-COUNTIFS($D$2:$D$492,'Info Lega'!$B$28,$B$2:$B$492,"D"))+('Info Lega'!$B$7-COUNTIFS($D$2:$D$492,'Info Lega'!$B$28,$B$2:$B$492,"C"))+('Info Lega'!$B$8-COUNTIFS($D$2:$D$492,'Info Lega'!$B$28,$B$2:$B$492,"A"))</f>
        <v>25</v>
      </c>
      <c r="Y220" s="21" t="n">
        <f aca="false">X220*'Parametri Modello'!$B$30</f>
        <v>25</v>
      </c>
      <c r="Z220" s="21" t="n">
        <f aca="false">MAX(0,W220-Y220)</f>
        <v>975</v>
      </c>
      <c r="AA220" s="21" t="n">
        <f aca="false">MIN(F220,Z220)</f>
        <v>3</v>
      </c>
      <c r="AB220" s="21"/>
      <c r="AC220" s="21" t="str">
        <f aca="false">IF(AB220="","",IF(AB220&gt;AA220,"PASS",IF(AB220&lt;=AA220*0.85,"BID","ATTENZIONE")))</f>
        <v/>
      </c>
      <c r="AD220" s="31" t="n">
        <f aca="false">IF(I220="","",ROUND(100*(1-EXP(-I220/30)),0))</f>
        <v>62</v>
      </c>
      <c r="AE220" s="7" t="str">
        <f aca="false">IFERROR(INDEX('Stato Asta'!$G$9:$G$12,MATCH($B220,'Stato Asta'!$A$9:$A$12,0)),"")</f>
        <v>🟡 Attesa rischiosa</v>
      </c>
    </row>
    <row r="221" customFormat="false" ht="14.25" hidden="false" customHeight="true" outlineLevel="0" collapsed="false">
      <c r="A221" s="21" t="n">
        <v>4817</v>
      </c>
      <c r="B221" s="21" t="s">
        <v>44</v>
      </c>
      <c r="C221" s="21" t="s">
        <v>273</v>
      </c>
      <c r="E221" s="26" t="str">
        <f aca="false">IF(COUNTIF('Info Strategia'!$D$2:$D$51,$C221)&gt;0,"SI","NO")</f>
        <v>NO</v>
      </c>
      <c r="F221" s="27" t="n">
        <f aca="false">IFERROR(ROUND(($G221+($H221-$G221)*'Info Strategia'!$B$6)*(1+IF($E221="SI",'Parametri Modello'!$B$7*'Info Strategia'!$B$6,0)),0),"")</f>
        <v>3</v>
      </c>
      <c r="G221" s="27" t="n">
        <f aca="false">IFERROR(ROUND(MAX(1,(IF($V221&lt;=INDEX('Parametri Modello'!$C$57:$C$60,MATCH($B221,'Parametri Modello'!$A$57:$A$60,0)),IF(INDEX('Parametri Modello'!$E$57:$E$60,MATCH($B221,'Parametri Modello'!$A$57:$A$60,0))=0,0,($O221/INDEX('Parametri Modello'!$E$57:$E$60,MATCH($B221,'Parametri Modello'!$A$57:$A$60,0)))*(INDEX('Parametri Modello'!$D$57:$D$60,MATCH($B221,'Parametri Modello'!$A$57:$A$60,0))*(INDEX('Parametri Modello'!$B$50:$B$53,MATCH($B221,'Parametri Modello'!$A$50:$A$53,0))*'Parametri Modello'!$B$44))),IF(INDEX('Parametri Modello'!$F$57:$F$60,MATCH($B221,'Parametri Modello'!$A$57:$A$60,0))=0,0,($O221/INDEX('Parametri Modello'!$F$57:$F$60,MATCH($B221,'Parametri Modello'!$A$57:$A$60,0)))*((1-INDEX('Parametri Modello'!$D$57:$D$60,MATCH($B221,'Parametri Modello'!$A$57:$A$60,0)))*(INDEX('Parametri Modello'!$B$50:$B$53,MATCH($B221,'Parametri Modello'!$A$50:$A$53,0))*'Parametri Modello'!$B$44))))*(1+IF(IF($B221="D",'Info Lega'!$B$25,IF($B221="C",'Info Lega'!$B$26,"No"))="Si",'Parametri Modello'!$B$5,0))*(1+MAX(-0.25,MIN(0.25,IF(OR($T221="",$I221="",$I221=0,INDEX('Parametri Modello'!$B$19:$B$22,MATCH($B221,'Parametri Modello'!$A$19:$A$22,0))="",INDEX('Parametri Modello'!$B$19:$B$22,MATCH($B221,'Parametri Modello'!$A$19:$A$22,0))=0),0,(($T221-INDEX('Parametri Modello'!$B$19:$B$22,MATCH($B221,'Parametri Modello'!$A$19:$A$22,0)))/INDEX('Parametri Modello'!$B$19:$B$22,MATCH($B221,'Parametri Modello'!$A$19:$A$22,0)))*'Parametri Modello'!$B$9))))*(1+IF('Parametri Modello'!$B$27="Si",MAX(-'Parametri Modello'!$B$28,MIN('Parametri Modello'!$B$28*1.5,IF(OR(INDEX('Parametri Modello'!$F$32:$F$35,MATCH($B221,'Parametri Modello'!$A$32:$A$35,0))="",INDEX('Parametri Modello'!$F$32:$F$35,MATCH($B221,'Parametri Modello'!$A$32:$A$35,0))=0),0,(1/INDEX('Parametri Modello'!$F$32:$F$35,MATCH($B221,'Parametri Modello'!$A$32:$A$35,0))-1)*'Parametri Modello'!$B$28))),0)))*(1-INDEX('Parametri Modello'!$B$12:$B$15,MATCH($B221,'Parametri Modello'!$A$12:$A$15,0)))),0),"")</f>
        <v>2</v>
      </c>
      <c r="H221" s="27" t="n">
        <f aca="false">IFERROR(ROUND((IF($V221&lt;=INDEX('Parametri Modello'!$C$57:$C$60,MATCH($B221,'Parametri Modello'!$A$57:$A$60,0)),IF(INDEX('Parametri Modello'!$E$57:$E$60,MATCH($B221,'Parametri Modello'!$A$57:$A$60,0))=0,0,($O221/INDEX('Parametri Modello'!$E$57:$E$60,MATCH($B221,'Parametri Modello'!$A$57:$A$60,0)))*(INDEX('Parametri Modello'!$D$57:$D$60,MATCH($B221,'Parametri Modello'!$A$57:$A$60,0))*(INDEX('Parametri Modello'!$B$50:$B$53,MATCH($B221,'Parametri Modello'!$A$50:$A$53,0))*'Parametri Modello'!$B$44))),IF(INDEX('Parametri Modello'!$F$57:$F$60,MATCH($B221,'Parametri Modello'!$A$57:$A$60,0))=0,0,($O221/INDEX('Parametri Modello'!$F$57:$F$60,MATCH($B221,'Parametri Modello'!$A$57:$A$60,0)))*((1-INDEX('Parametri Modello'!$D$57:$D$60,MATCH($B221,'Parametri Modello'!$A$57:$A$60,0)))*(INDEX('Parametri Modello'!$B$50:$B$53,MATCH($B221,'Parametri Modello'!$A$50:$A$53,0))*'Parametri Modello'!$B$44))))*(1+IF(IF($B221="D",'Info Lega'!$B$25,IF($B221="C",'Info Lega'!$B$26,"No"))="Si",'Parametri Modello'!$B$5,0))*(1+MAX(-0.25,MIN(0.25,IF(OR($T221="",$I221="",$I221=0,INDEX('Parametri Modello'!$B$19:$B$22,MATCH($B221,'Parametri Modello'!$A$19:$A$22,0))="",INDEX('Parametri Modello'!$B$19:$B$22,MATCH($B221,'Parametri Modello'!$A$19:$A$22,0))=0),0,(($T221-INDEX('Parametri Modello'!$B$19:$B$22,MATCH($B221,'Parametri Modello'!$A$19:$A$22,0)))/INDEX('Parametri Modello'!$B$19:$B$22,MATCH($B221,'Parametri Modello'!$A$19:$A$22,0)))*'Parametri Modello'!$B$9))))*(1+IF('Parametri Modello'!$B$27="Si",MAX(-'Parametri Modello'!$B$28,MIN('Parametri Modello'!$B$28*1.5,IF(OR(INDEX('Parametri Modello'!$F$32:$F$35,MATCH($B221,'Parametri Modello'!$A$32:$A$35,0))="",INDEX('Parametri Modello'!$F$32:$F$35,MATCH($B221,'Parametri Modello'!$A$32:$A$35,0))=0),0,(1/INDEX('Parametri Modello'!$F$32:$F$35,MATCH($B221,'Parametri Modello'!$A$32:$A$35,0))-1)*'Parametri Modello'!$B$28))),0)))*(1+INDEX('Parametri Modello'!$B$12:$B$15,MATCH($B221,'Parametri Modello'!$A$12:$A$15,0))),0),"")</f>
        <v>3</v>
      </c>
      <c r="I221" s="26" t="str">
        <f aca="false">IFERROR(INDEX('Input Statistiche 2025_26'!$F$3:$F$665,MATCH($A221,'Input Statistiche 2025_26'!$A$3:$A$665,0)),"")</f>
        <v/>
      </c>
      <c r="J221" s="26" t="str">
        <f aca="false">IFERROR(IF($I221="","",MAX(0,38-$I221)),"")</f>
        <v/>
      </c>
      <c r="K221" s="26" t="str">
        <f aca="false">IFERROR(INDEX('Input Statistiche 2025_26'!$I$3:$I$665,MATCH($A221,'Input Statistiche 2025_26'!$A$3:$A$665,0)),"")</f>
        <v/>
      </c>
      <c r="L221" s="26" t="str">
        <f aca="false">IFERROR(INDEX('Input Statistiche 2025_26'!$O$3:$O$665,MATCH($A221,'Input Statistiche 2025_26'!$A$3:$A$665,0)),"")</f>
        <v/>
      </c>
      <c r="M221" s="28"/>
      <c r="N221" s="27" t="n">
        <f aca="false">IFERROR(INDEX('Input Giocatori 2026_27'!$E$3:$E$493,MATCH($A221,'Input Giocatori 2026_27'!$A$3:$A$493,0)),"")</f>
        <v>5</v>
      </c>
      <c r="O221" s="27" t="n">
        <f aca="false">IFERROR(INDEX('Input Giocatori 2026_27'!$G$3:$G$493,MATCH($A221,'Input Giocatori 2026_27'!$A$3:$A$493,0)),"")</f>
        <v>15</v>
      </c>
      <c r="P221" s="26" t="str">
        <f aca="false">IFERROR(IF($O221="","",IF((1-(COUNTIFS($B$2:$B$492,$B221,$O$2:$O$492,"&gt;"&amp;$O221)+1-1)/COUNTIF($B$2:$B$492,$B221))&gt;=0.85,"Top",IF((1-(COUNTIFS($B$2:$B$492,$B221,$O$2:$O$492,"&gt;"&amp;$O221)+1-1)/COUNTIF($B$2:$B$492,$B221))&gt;=0.6,"Buono",IF((1-(COUNTIFS($B$2:$B$492,$B221,$O$2:$O$492,"&gt;"&amp;$O221)+1-1)/COUNTIF($B$2:$B$492,$B221))&gt;=0.3,"Nella Media","Scommessa/Riserva")))),"")</f>
        <v>Buono</v>
      </c>
      <c r="Q221" s="29" t="n">
        <f aca="false">IF($D221="",COUNTIF($D$2:$D221,""),"")</f>
        <v>220</v>
      </c>
      <c r="R221" s="29" t="str">
        <f aca="false">IF($D221='Info Lega'!$B$28,COUNTIFS($D$2:$D221,'Info Lega'!$B$28),"")</f>
        <v/>
      </c>
      <c r="S221" s="30" t="str">
        <f aca="false">IFERROR(INDEX('Input Statistiche 2025_26'!$G$3:$G$665,MATCH($A221,'Input Statistiche 2025_26'!$A$3:$A$665,0)),"")</f>
        <v/>
      </c>
      <c r="T221" s="30" t="str">
        <f aca="false">IFERROR(INDEX('Input Statistiche 2025_26'!$H$3:$H$665,MATCH($A221,'Input Statistiche 2025_26'!$A$3:$A$665,0)),"")</f>
        <v/>
      </c>
      <c r="U221" s="26" t="str">
        <f aca="false">IF(OR('La Mia Rosa'!$O$12="",$D221&lt;&gt;""),"",IF($F221&lt;='La Mia Rosa'!$O$12*'Parametri Modello'!$B$24,"OK",IF($F221&lt;='La Mia Rosa'!$O$12*'Parametri Modello'!$B$25,"Attenzione","Rischio Alto")))</f>
        <v>OK</v>
      </c>
      <c r="V221" s="26" t="n">
        <f aca="false">IFERROR(COUNTIFS($B$2:$B$492,$B221,$O$2:$O$492,"&gt;"&amp;$O221)+1,"")</f>
        <v>61</v>
      </c>
      <c r="W221" s="21" t="n">
        <f aca="false">'Info Lega'!$B$4-SUMIFS($M$2:$M$492,$D$2:$D$492,'Info Lega'!$B$28)</f>
        <v>1000</v>
      </c>
      <c r="X221" s="21" t="n">
        <f aca="false">('Info Lega'!$B$5-COUNTIFS($D$2:$D$492,'Info Lega'!$B$28,$B$2:$B$492,"P"))+('Info Lega'!$B$6-COUNTIFS($D$2:$D$492,'Info Lega'!$B$28,$B$2:$B$492,"D"))+('Info Lega'!$B$7-COUNTIFS($D$2:$D$492,'Info Lega'!$B$28,$B$2:$B$492,"C"))+('Info Lega'!$B$8-COUNTIFS($D$2:$D$492,'Info Lega'!$B$28,$B$2:$B$492,"A"))</f>
        <v>25</v>
      </c>
      <c r="Y221" s="21" t="n">
        <f aca="false">X221*'Parametri Modello'!$B$30</f>
        <v>25</v>
      </c>
      <c r="Z221" s="21" t="n">
        <f aca="false">MAX(0,W221-Y221)</f>
        <v>975</v>
      </c>
      <c r="AA221" s="21" t="n">
        <f aca="false">MIN(F221,Z221)</f>
        <v>3</v>
      </c>
      <c r="AB221" s="21"/>
      <c r="AC221" s="21" t="str">
        <f aca="false">IF(AB221="","",IF(AB221&gt;AA221,"PASS",IF(AB221&lt;=AA221*0.85,"BID","ATTENZIONE")))</f>
        <v/>
      </c>
      <c r="AD221" s="31" t="str">
        <f aca="false">IF(I221="","",ROUND(100*(1-EXP(-I221/30)),0))</f>
        <v/>
      </c>
      <c r="AE221" s="7" t="str">
        <f aca="false">IFERROR(INDEX('Stato Asta'!$G$9:$G$12,MATCH($B221,'Stato Asta'!$A$9:$A$12,0)),"")</f>
        <v>🟡 Attesa rischiosa</v>
      </c>
    </row>
    <row r="222" customFormat="false" ht="14.25" hidden="false" customHeight="true" outlineLevel="0" collapsed="false">
      <c r="A222" s="21" t="n">
        <v>6898</v>
      </c>
      <c r="B222" s="21" t="s">
        <v>45</v>
      </c>
      <c r="C222" s="21" t="s">
        <v>460</v>
      </c>
      <c r="E222" s="26" t="str">
        <f aca="false">IF(COUNTIF('Info Strategia'!$D$2:$D$51,$C222)&gt;0,"SI","NO")</f>
        <v>NO</v>
      </c>
      <c r="F222" s="27" t="n">
        <f aca="false">IFERROR(ROUND(($G222+($H222-$G222)*'Info Strategia'!$B$6)*(1+IF($E222="SI",'Parametri Modello'!$B$7*'Info Strategia'!$B$6,0)),0),"")</f>
        <v>2</v>
      </c>
      <c r="G222" s="27" t="n">
        <f aca="false">IFERROR(ROUND(MAX(1,(IF($V222&lt;=INDEX('Parametri Modello'!$C$57:$C$60,MATCH($B222,'Parametri Modello'!$A$57:$A$60,0)),IF(INDEX('Parametri Modello'!$E$57:$E$60,MATCH($B222,'Parametri Modello'!$A$57:$A$60,0))=0,0,($O222/INDEX('Parametri Modello'!$E$57:$E$60,MATCH($B222,'Parametri Modello'!$A$57:$A$60,0)))*(INDEX('Parametri Modello'!$D$57:$D$60,MATCH($B222,'Parametri Modello'!$A$57:$A$60,0))*(INDEX('Parametri Modello'!$B$50:$B$53,MATCH($B222,'Parametri Modello'!$A$50:$A$53,0))*'Parametri Modello'!$B$44))),IF(INDEX('Parametri Modello'!$F$57:$F$60,MATCH($B222,'Parametri Modello'!$A$57:$A$60,0))=0,0,($O222/INDEX('Parametri Modello'!$F$57:$F$60,MATCH($B222,'Parametri Modello'!$A$57:$A$60,0)))*((1-INDEX('Parametri Modello'!$D$57:$D$60,MATCH($B222,'Parametri Modello'!$A$57:$A$60,0)))*(INDEX('Parametri Modello'!$B$50:$B$53,MATCH($B222,'Parametri Modello'!$A$50:$A$53,0))*'Parametri Modello'!$B$44))))*(1+IF(IF($B222="D",'Info Lega'!$B$25,IF($B222="C",'Info Lega'!$B$26,"No"))="Si",'Parametri Modello'!$B$5,0))*(1+MAX(-0.25,MIN(0.25,IF(OR($T222="",$I222="",$I222=0,INDEX('Parametri Modello'!$B$19:$B$22,MATCH($B222,'Parametri Modello'!$A$19:$A$22,0))="",INDEX('Parametri Modello'!$B$19:$B$22,MATCH($B222,'Parametri Modello'!$A$19:$A$22,0))=0),0,(($T222-INDEX('Parametri Modello'!$B$19:$B$22,MATCH($B222,'Parametri Modello'!$A$19:$A$22,0)))/INDEX('Parametri Modello'!$B$19:$B$22,MATCH($B222,'Parametri Modello'!$A$19:$A$22,0)))*'Parametri Modello'!$B$9))))*(1+IF('Parametri Modello'!$B$27="Si",MAX(-'Parametri Modello'!$B$28,MIN('Parametri Modello'!$B$28*1.5,IF(OR(INDEX('Parametri Modello'!$F$32:$F$35,MATCH($B222,'Parametri Modello'!$A$32:$A$35,0))="",INDEX('Parametri Modello'!$F$32:$F$35,MATCH($B222,'Parametri Modello'!$A$32:$A$35,0))=0),0,(1/INDEX('Parametri Modello'!$F$32:$F$35,MATCH($B222,'Parametri Modello'!$A$32:$A$35,0))-1)*'Parametri Modello'!$B$28))),0)))*(1-INDEX('Parametri Modello'!$B$12:$B$15,MATCH($B222,'Parametri Modello'!$A$12:$A$15,0)))),0),"")</f>
        <v>1</v>
      </c>
      <c r="H222" s="27" t="n">
        <f aca="false">IFERROR(ROUND((IF($V222&lt;=INDEX('Parametri Modello'!$C$57:$C$60,MATCH($B222,'Parametri Modello'!$A$57:$A$60,0)),IF(INDEX('Parametri Modello'!$E$57:$E$60,MATCH($B222,'Parametri Modello'!$A$57:$A$60,0))=0,0,($O222/INDEX('Parametri Modello'!$E$57:$E$60,MATCH($B222,'Parametri Modello'!$A$57:$A$60,0)))*(INDEX('Parametri Modello'!$D$57:$D$60,MATCH($B222,'Parametri Modello'!$A$57:$A$60,0))*(INDEX('Parametri Modello'!$B$50:$B$53,MATCH($B222,'Parametri Modello'!$A$50:$A$53,0))*'Parametri Modello'!$B$44))),IF(INDEX('Parametri Modello'!$F$57:$F$60,MATCH($B222,'Parametri Modello'!$A$57:$A$60,0))=0,0,($O222/INDEX('Parametri Modello'!$F$57:$F$60,MATCH($B222,'Parametri Modello'!$A$57:$A$60,0)))*((1-INDEX('Parametri Modello'!$D$57:$D$60,MATCH($B222,'Parametri Modello'!$A$57:$A$60,0)))*(INDEX('Parametri Modello'!$B$50:$B$53,MATCH($B222,'Parametri Modello'!$A$50:$A$53,0))*'Parametri Modello'!$B$44))))*(1+IF(IF($B222="D",'Info Lega'!$B$25,IF($B222="C",'Info Lega'!$B$26,"No"))="Si",'Parametri Modello'!$B$5,0))*(1+MAX(-0.25,MIN(0.25,IF(OR($T222="",$I222="",$I222=0,INDEX('Parametri Modello'!$B$19:$B$22,MATCH($B222,'Parametri Modello'!$A$19:$A$22,0))="",INDEX('Parametri Modello'!$B$19:$B$22,MATCH($B222,'Parametri Modello'!$A$19:$A$22,0))=0),0,(($T222-INDEX('Parametri Modello'!$B$19:$B$22,MATCH($B222,'Parametri Modello'!$A$19:$A$22,0)))/INDEX('Parametri Modello'!$B$19:$B$22,MATCH($B222,'Parametri Modello'!$A$19:$A$22,0)))*'Parametri Modello'!$B$9))))*(1+IF('Parametri Modello'!$B$27="Si",MAX(-'Parametri Modello'!$B$28,MIN('Parametri Modello'!$B$28*1.5,IF(OR(INDEX('Parametri Modello'!$F$32:$F$35,MATCH($B222,'Parametri Modello'!$A$32:$A$35,0))="",INDEX('Parametri Modello'!$F$32:$F$35,MATCH($B222,'Parametri Modello'!$A$32:$A$35,0))=0),0,(1/INDEX('Parametri Modello'!$F$32:$F$35,MATCH($B222,'Parametri Modello'!$A$32:$A$35,0))-1)*'Parametri Modello'!$B$28))),0)))*(1+INDEX('Parametri Modello'!$B$12:$B$15,MATCH($B222,'Parametri Modello'!$A$12:$A$15,0))),0),"")</f>
        <v>2</v>
      </c>
      <c r="I222" s="26" t="n">
        <f aca="false">IFERROR(INDEX('Input Statistiche 2025_26'!$F$3:$F$665,MATCH($A222,'Input Statistiche 2025_26'!$A$3:$A$665,0)),"")</f>
        <v>36</v>
      </c>
      <c r="J222" s="26" t="n">
        <f aca="false">IFERROR(IF($I222="","",MAX(0,38-$I222)),"")</f>
        <v>2</v>
      </c>
      <c r="K222" s="26" t="n">
        <f aca="false">IFERROR(INDEX('Input Statistiche 2025_26'!$I$3:$I$665,MATCH($A222,'Input Statistiche 2025_26'!$A$3:$A$665,0)),"")</f>
        <v>1</v>
      </c>
      <c r="L222" s="26" t="n">
        <f aca="false">IFERROR(INDEX('Input Statistiche 2025_26'!$O$3:$O$665,MATCH($A222,'Input Statistiche 2025_26'!$A$3:$A$665,0)),"")</f>
        <v>1</v>
      </c>
      <c r="M222" s="28"/>
      <c r="N222" s="27" t="n">
        <f aca="false">IFERROR(INDEX('Input Giocatori 2026_27'!$E$3:$E$493,MATCH($A222,'Input Giocatori 2026_27'!$A$3:$A$493,0)),"")</f>
        <v>5</v>
      </c>
      <c r="O222" s="27" t="n">
        <f aca="false">IFERROR(INDEX('Input Giocatori 2026_27'!$G$3:$G$493,MATCH($A222,'Input Giocatori 2026_27'!$A$3:$A$493,0)),"")</f>
        <v>15</v>
      </c>
      <c r="P222" s="26" t="str">
        <f aca="false">IFERROR(IF($O222="","",IF((1-(COUNTIFS($B$2:$B$492,$B222,$O$2:$O$492,"&gt;"&amp;$O222)+1-1)/COUNTIF($B$2:$B$492,$B222))&gt;=0.85,"Top",IF((1-(COUNTIFS($B$2:$B$492,$B222,$O$2:$O$492,"&gt;"&amp;$O222)+1-1)/COUNTIF($B$2:$B$492,$B222))&gt;=0.6,"Buono",IF((1-(COUNTIFS($B$2:$B$492,$B222,$O$2:$O$492,"&gt;"&amp;$O222)+1-1)/COUNTIF($B$2:$B$492,$B222))&gt;=0.3,"Nella Media","Scommessa/Riserva")))),"")</f>
        <v>Nella Media</v>
      </c>
      <c r="Q222" s="29" t="n">
        <f aca="false">IF($D222="",COUNTIF($D$2:$D222,""),"")</f>
        <v>221</v>
      </c>
      <c r="R222" s="29" t="str">
        <f aca="false">IF($D222='Info Lega'!$B$28,COUNTIFS($D$2:$D222,'Info Lega'!$B$28),"")</f>
        <v/>
      </c>
      <c r="S222" s="30" t="n">
        <f aca="false">IFERROR(INDEX('Input Statistiche 2025_26'!$G$3:$G$665,MATCH($A222,'Input Statistiche 2025_26'!$A$3:$A$665,0)),"")</f>
        <v>6.01</v>
      </c>
      <c r="T222" s="30" t="n">
        <f aca="false">IFERROR(INDEX('Input Statistiche 2025_26'!$H$3:$H$665,MATCH($A222,'Input Statistiche 2025_26'!$A$3:$A$665,0)),"")</f>
        <v>6.06</v>
      </c>
      <c r="U222" s="26" t="str">
        <f aca="false">IF(OR('La Mia Rosa'!$O$12="",$D222&lt;&gt;""),"",IF($F222&lt;='La Mia Rosa'!$O$12*'Parametri Modello'!$B$24,"OK",IF($F222&lt;='La Mia Rosa'!$O$12*'Parametri Modello'!$B$25,"Attenzione","Rischio Alto")))</f>
        <v>OK</v>
      </c>
      <c r="V222" s="26" t="n">
        <f aca="false">IFERROR(COUNTIFS($B$2:$B$492,$B222,$O$2:$O$492,"&gt;"&amp;$O222)+1,"")</f>
        <v>83</v>
      </c>
      <c r="W222" s="21" t="n">
        <f aca="false">'Info Lega'!$B$4-SUMIFS($M$2:$M$492,$D$2:$D$492,'Info Lega'!$B$28)</f>
        <v>1000</v>
      </c>
      <c r="X222" s="21" t="n">
        <f aca="false">('Info Lega'!$B$5-COUNTIFS($D$2:$D$492,'Info Lega'!$B$28,$B$2:$B$492,"P"))+('Info Lega'!$B$6-COUNTIFS($D$2:$D$492,'Info Lega'!$B$28,$B$2:$B$492,"D"))+('Info Lega'!$B$7-COUNTIFS($D$2:$D$492,'Info Lega'!$B$28,$B$2:$B$492,"C"))+('Info Lega'!$B$8-COUNTIFS($D$2:$D$492,'Info Lega'!$B$28,$B$2:$B$492,"A"))</f>
        <v>25</v>
      </c>
      <c r="Y222" s="21" t="n">
        <f aca="false">X222*'Parametri Modello'!$B$30</f>
        <v>25</v>
      </c>
      <c r="Z222" s="21" t="n">
        <f aca="false">MAX(0,W222-Y222)</f>
        <v>975</v>
      </c>
      <c r="AA222" s="21" t="n">
        <f aca="false">MIN(F222,Z222)</f>
        <v>2</v>
      </c>
      <c r="AB222" s="21"/>
      <c r="AC222" s="21" t="str">
        <f aca="false">IF(AB222="","",IF(AB222&gt;AA222,"PASS",IF(AB222&lt;=AA222*0.85,"BID","ATTENZIONE")))</f>
        <v/>
      </c>
      <c r="AD222" s="31" t="n">
        <f aca="false">IF(I222="","",ROUND(100*(1-EXP(-I222/30)),0))</f>
        <v>70</v>
      </c>
      <c r="AE222" s="7" t="str">
        <f aca="false">IFERROR(INDEX('Stato Asta'!$G$9:$G$12,MATCH($B222,'Stato Asta'!$A$9:$A$12,0)),"")</f>
        <v>🟡 Attesa rischiosa</v>
      </c>
    </row>
    <row r="223" customFormat="false" ht="14.25" hidden="false" customHeight="true" outlineLevel="0" collapsed="false">
      <c r="A223" s="21" t="n">
        <v>2528</v>
      </c>
      <c r="B223" s="21" t="s">
        <v>45</v>
      </c>
      <c r="C223" s="21" t="s">
        <v>463</v>
      </c>
      <c r="E223" s="26" t="str">
        <f aca="false">IF(COUNTIF('Info Strategia'!$D$2:$D$51,$C223)&gt;0,"SI","NO")</f>
        <v>NO</v>
      </c>
      <c r="F223" s="27" t="n">
        <f aca="false">IFERROR(ROUND(($G223+($H223-$G223)*'Info Strategia'!$B$6)*(1+IF($E223="SI",'Parametri Modello'!$B$7*'Info Strategia'!$B$6,0)),0),"")</f>
        <v>2</v>
      </c>
      <c r="G223" s="27" t="n">
        <f aca="false">IFERROR(ROUND(MAX(1,(IF($V223&lt;=INDEX('Parametri Modello'!$C$57:$C$60,MATCH($B223,'Parametri Modello'!$A$57:$A$60,0)),IF(INDEX('Parametri Modello'!$E$57:$E$60,MATCH($B223,'Parametri Modello'!$A$57:$A$60,0))=0,0,($O223/INDEX('Parametri Modello'!$E$57:$E$60,MATCH($B223,'Parametri Modello'!$A$57:$A$60,0)))*(INDEX('Parametri Modello'!$D$57:$D$60,MATCH($B223,'Parametri Modello'!$A$57:$A$60,0))*(INDEX('Parametri Modello'!$B$50:$B$53,MATCH($B223,'Parametri Modello'!$A$50:$A$53,0))*'Parametri Modello'!$B$44))),IF(INDEX('Parametri Modello'!$F$57:$F$60,MATCH($B223,'Parametri Modello'!$A$57:$A$60,0))=0,0,($O223/INDEX('Parametri Modello'!$F$57:$F$60,MATCH($B223,'Parametri Modello'!$A$57:$A$60,0)))*((1-INDEX('Parametri Modello'!$D$57:$D$60,MATCH($B223,'Parametri Modello'!$A$57:$A$60,0)))*(INDEX('Parametri Modello'!$B$50:$B$53,MATCH($B223,'Parametri Modello'!$A$50:$A$53,0))*'Parametri Modello'!$B$44))))*(1+IF(IF($B223="D",'Info Lega'!$B$25,IF($B223="C",'Info Lega'!$B$26,"No"))="Si",'Parametri Modello'!$B$5,0))*(1+MAX(-0.25,MIN(0.25,IF(OR($T223="",$I223="",$I223=0,INDEX('Parametri Modello'!$B$19:$B$22,MATCH($B223,'Parametri Modello'!$A$19:$A$22,0))="",INDEX('Parametri Modello'!$B$19:$B$22,MATCH($B223,'Parametri Modello'!$A$19:$A$22,0))=0),0,(($T223-INDEX('Parametri Modello'!$B$19:$B$22,MATCH($B223,'Parametri Modello'!$A$19:$A$22,0)))/INDEX('Parametri Modello'!$B$19:$B$22,MATCH($B223,'Parametri Modello'!$A$19:$A$22,0)))*'Parametri Modello'!$B$9))))*(1+IF('Parametri Modello'!$B$27="Si",MAX(-'Parametri Modello'!$B$28,MIN('Parametri Modello'!$B$28*1.5,IF(OR(INDEX('Parametri Modello'!$F$32:$F$35,MATCH($B223,'Parametri Modello'!$A$32:$A$35,0))="",INDEX('Parametri Modello'!$F$32:$F$35,MATCH($B223,'Parametri Modello'!$A$32:$A$35,0))=0),0,(1/INDEX('Parametri Modello'!$F$32:$F$35,MATCH($B223,'Parametri Modello'!$A$32:$A$35,0))-1)*'Parametri Modello'!$B$28))),0)))*(1-INDEX('Parametri Modello'!$B$12:$B$15,MATCH($B223,'Parametri Modello'!$A$12:$A$15,0)))),0),"")</f>
        <v>1</v>
      </c>
      <c r="H223" s="27" t="n">
        <f aca="false">IFERROR(ROUND((IF($V223&lt;=INDEX('Parametri Modello'!$C$57:$C$60,MATCH($B223,'Parametri Modello'!$A$57:$A$60,0)),IF(INDEX('Parametri Modello'!$E$57:$E$60,MATCH($B223,'Parametri Modello'!$A$57:$A$60,0))=0,0,($O223/INDEX('Parametri Modello'!$E$57:$E$60,MATCH($B223,'Parametri Modello'!$A$57:$A$60,0)))*(INDEX('Parametri Modello'!$D$57:$D$60,MATCH($B223,'Parametri Modello'!$A$57:$A$60,0))*(INDEX('Parametri Modello'!$B$50:$B$53,MATCH($B223,'Parametri Modello'!$A$50:$A$53,0))*'Parametri Modello'!$B$44))),IF(INDEX('Parametri Modello'!$F$57:$F$60,MATCH($B223,'Parametri Modello'!$A$57:$A$60,0))=0,0,($O223/INDEX('Parametri Modello'!$F$57:$F$60,MATCH($B223,'Parametri Modello'!$A$57:$A$60,0)))*((1-INDEX('Parametri Modello'!$D$57:$D$60,MATCH($B223,'Parametri Modello'!$A$57:$A$60,0)))*(INDEX('Parametri Modello'!$B$50:$B$53,MATCH($B223,'Parametri Modello'!$A$50:$A$53,0))*'Parametri Modello'!$B$44))))*(1+IF(IF($B223="D",'Info Lega'!$B$25,IF($B223="C",'Info Lega'!$B$26,"No"))="Si",'Parametri Modello'!$B$5,0))*(1+MAX(-0.25,MIN(0.25,IF(OR($T223="",$I223="",$I223=0,INDEX('Parametri Modello'!$B$19:$B$22,MATCH($B223,'Parametri Modello'!$A$19:$A$22,0))="",INDEX('Parametri Modello'!$B$19:$B$22,MATCH($B223,'Parametri Modello'!$A$19:$A$22,0))=0),0,(($T223-INDEX('Parametri Modello'!$B$19:$B$22,MATCH($B223,'Parametri Modello'!$A$19:$A$22,0)))/INDEX('Parametri Modello'!$B$19:$B$22,MATCH($B223,'Parametri Modello'!$A$19:$A$22,0)))*'Parametri Modello'!$B$9))))*(1+IF('Parametri Modello'!$B$27="Si",MAX(-'Parametri Modello'!$B$28,MIN('Parametri Modello'!$B$28*1.5,IF(OR(INDEX('Parametri Modello'!$F$32:$F$35,MATCH($B223,'Parametri Modello'!$A$32:$A$35,0))="",INDEX('Parametri Modello'!$F$32:$F$35,MATCH($B223,'Parametri Modello'!$A$32:$A$35,0))=0),0,(1/INDEX('Parametri Modello'!$F$32:$F$35,MATCH($B223,'Parametri Modello'!$A$32:$A$35,0))-1)*'Parametri Modello'!$B$28))),0)))*(1+INDEX('Parametri Modello'!$B$12:$B$15,MATCH($B223,'Parametri Modello'!$A$12:$A$15,0))),0),"")</f>
        <v>2</v>
      </c>
      <c r="I223" s="26" t="n">
        <f aca="false">IFERROR(INDEX('Input Statistiche 2025_26'!$F$3:$F$665,MATCH($A223,'Input Statistiche 2025_26'!$A$3:$A$665,0)),"")</f>
        <v>34</v>
      </c>
      <c r="J223" s="26" t="n">
        <f aca="false">IFERROR(IF($I223="","",MAX(0,38-$I223)),"")</f>
        <v>4</v>
      </c>
      <c r="K223" s="26" t="n">
        <f aca="false">IFERROR(INDEX('Input Statistiche 2025_26'!$I$3:$I$665,MATCH($A223,'Input Statistiche 2025_26'!$A$3:$A$665,0)),"")</f>
        <v>1</v>
      </c>
      <c r="L223" s="26" t="n">
        <f aca="false">IFERROR(INDEX('Input Statistiche 2025_26'!$O$3:$O$665,MATCH($A223,'Input Statistiche 2025_26'!$A$3:$A$665,0)),"")</f>
        <v>1</v>
      </c>
      <c r="M223" s="28"/>
      <c r="N223" s="27" t="n">
        <f aca="false">IFERROR(INDEX('Input Giocatori 2026_27'!$E$3:$E$493,MATCH($A223,'Input Giocatori 2026_27'!$A$3:$A$493,0)),"")</f>
        <v>5</v>
      </c>
      <c r="O223" s="27" t="n">
        <f aca="false">IFERROR(INDEX('Input Giocatori 2026_27'!$G$3:$G$493,MATCH($A223,'Input Giocatori 2026_27'!$A$3:$A$493,0)),"")</f>
        <v>15</v>
      </c>
      <c r="P223" s="26" t="str">
        <f aca="false">IFERROR(IF($O223="","",IF((1-(COUNTIFS($B$2:$B$492,$B223,$O$2:$O$492,"&gt;"&amp;$O223)+1-1)/COUNTIF($B$2:$B$492,$B223))&gt;=0.85,"Top",IF((1-(COUNTIFS($B$2:$B$492,$B223,$O$2:$O$492,"&gt;"&amp;$O223)+1-1)/COUNTIF($B$2:$B$492,$B223))&gt;=0.6,"Buono",IF((1-(COUNTIFS($B$2:$B$492,$B223,$O$2:$O$492,"&gt;"&amp;$O223)+1-1)/COUNTIF($B$2:$B$492,$B223))&gt;=0.3,"Nella Media","Scommessa/Riserva")))),"")</f>
        <v>Nella Media</v>
      </c>
      <c r="Q223" s="29" t="n">
        <f aca="false">IF($D223="",COUNTIF($D$2:$D223,""),"")</f>
        <v>222</v>
      </c>
      <c r="R223" s="29" t="str">
        <f aca="false">IF($D223='Info Lega'!$B$28,COUNTIFS($D$2:$D223,'Info Lega'!$B$28),"")</f>
        <v/>
      </c>
      <c r="S223" s="30" t="n">
        <f aca="false">IFERROR(INDEX('Input Statistiche 2025_26'!$G$3:$G$665,MATCH($A223,'Input Statistiche 2025_26'!$A$3:$A$665,0)),"")</f>
        <v>5.96</v>
      </c>
      <c r="T223" s="30" t="n">
        <f aca="false">IFERROR(INDEX('Input Statistiche 2025_26'!$H$3:$H$665,MATCH($A223,'Input Statistiche 2025_26'!$A$3:$A$665,0)),"")</f>
        <v>5.96</v>
      </c>
      <c r="U223" s="26" t="str">
        <f aca="false">IF(OR('La Mia Rosa'!$O$12="",$D223&lt;&gt;""),"",IF($F223&lt;='La Mia Rosa'!$O$12*'Parametri Modello'!$B$24,"OK",IF($F223&lt;='La Mia Rosa'!$O$12*'Parametri Modello'!$B$25,"Attenzione","Rischio Alto")))</f>
        <v>OK</v>
      </c>
      <c r="V223" s="26" t="n">
        <f aca="false">IFERROR(COUNTIFS($B$2:$B$492,$B223,$O$2:$O$492,"&gt;"&amp;$O223)+1,"")</f>
        <v>83</v>
      </c>
      <c r="W223" s="21" t="n">
        <f aca="false">'Info Lega'!$B$4-SUMIFS($M$2:$M$492,$D$2:$D$492,'Info Lega'!$B$28)</f>
        <v>1000</v>
      </c>
      <c r="X223" s="21" t="n">
        <f aca="false">('Info Lega'!$B$5-COUNTIFS($D$2:$D$492,'Info Lega'!$B$28,$B$2:$B$492,"P"))+('Info Lega'!$B$6-COUNTIFS($D$2:$D$492,'Info Lega'!$B$28,$B$2:$B$492,"D"))+('Info Lega'!$B$7-COUNTIFS($D$2:$D$492,'Info Lega'!$B$28,$B$2:$B$492,"C"))+('Info Lega'!$B$8-COUNTIFS($D$2:$D$492,'Info Lega'!$B$28,$B$2:$B$492,"A"))</f>
        <v>25</v>
      </c>
      <c r="Y223" s="21" t="n">
        <f aca="false">X223*'Parametri Modello'!$B$30</f>
        <v>25</v>
      </c>
      <c r="Z223" s="21" t="n">
        <f aca="false">MAX(0,W223-Y223)</f>
        <v>975</v>
      </c>
      <c r="AA223" s="21" t="n">
        <f aca="false">MIN(F223,Z223)</f>
        <v>2</v>
      </c>
      <c r="AB223" s="21"/>
      <c r="AC223" s="21" t="str">
        <f aca="false">IF(AB223="","",IF(AB223&gt;AA223,"PASS",IF(AB223&lt;=AA223*0.85,"BID","ATTENZIONE")))</f>
        <v/>
      </c>
      <c r="AD223" s="31" t="n">
        <f aca="false">IF(I223="","",ROUND(100*(1-EXP(-I223/30)),0))</f>
        <v>68</v>
      </c>
      <c r="AE223" s="7" t="str">
        <f aca="false">IFERROR(INDEX('Stato Asta'!$G$9:$G$12,MATCH($B223,'Stato Asta'!$A$9:$A$12,0)),"")</f>
        <v>🟡 Attesa rischiosa</v>
      </c>
    </row>
    <row r="224" customFormat="false" ht="14.25" hidden="false" customHeight="true" outlineLevel="0" collapsed="false">
      <c r="A224" s="21" t="n">
        <v>7198</v>
      </c>
      <c r="B224" s="21" t="s">
        <v>45</v>
      </c>
      <c r="C224" s="21" t="s">
        <v>468</v>
      </c>
      <c r="E224" s="26" t="str">
        <f aca="false">IF(COUNTIF('Info Strategia'!$D$2:$D$51,$C224)&gt;0,"SI","NO")</f>
        <v>NO</v>
      </c>
      <c r="F224" s="27" t="n">
        <f aca="false">IFERROR(ROUND(($G224+($H224-$G224)*'Info Strategia'!$B$6)*(1+IF($E224="SI",'Parametri Modello'!$B$7*'Info Strategia'!$B$6,0)),0),"")</f>
        <v>2</v>
      </c>
      <c r="G224" s="27" t="n">
        <f aca="false">IFERROR(ROUND(MAX(1,(IF($V224&lt;=INDEX('Parametri Modello'!$C$57:$C$60,MATCH($B224,'Parametri Modello'!$A$57:$A$60,0)),IF(INDEX('Parametri Modello'!$E$57:$E$60,MATCH($B224,'Parametri Modello'!$A$57:$A$60,0))=0,0,($O224/INDEX('Parametri Modello'!$E$57:$E$60,MATCH($B224,'Parametri Modello'!$A$57:$A$60,0)))*(INDEX('Parametri Modello'!$D$57:$D$60,MATCH($B224,'Parametri Modello'!$A$57:$A$60,0))*(INDEX('Parametri Modello'!$B$50:$B$53,MATCH($B224,'Parametri Modello'!$A$50:$A$53,0))*'Parametri Modello'!$B$44))),IF(INDEX('Parametri Modello'!$F$57:$F$60,MATCH($B224,'Parametri Modello'!$A$57:$A$60,0))=0,0,($O224/INDEX('Parametri Modello'!$F$57:$F$60,MATCH($B224,'Parametri Modello'!$A$57:$A$60,0)))*((1-INDEX('Parametri Modello'!$D$57:$D$60,MATCH($B224,'Parametri Modello'!$A$57:$A$60,0)))*(INDEX('Parametri Modello'!$B$50:$B$53,MATCH($B224,'Parametri Modello'!$A$50:$A$53,0))*'Parametri Modello'!$B$44))))*(1+IF(IF($B224="D",'Info Lega'!$B$25,IF($B224="C",'Info Lega'!$B$26,"No"))="Si",'Parametri Modello'!$B$5,0))*(1+MAX(-0.25,MIN(0.25,IF(OR($T224="",$I224="",$I224=0,INDEX('Parametri Modello'!$B$19:$B$22,MATCH($B224,'Parametri Modello'!$A$19:$A$22,0))="",INDEX('Parametri Modello'!$B$19:$B$22,MATCH($B224,'Parametri Modello'!$A$19:$A$22,0))=0),0,(($T224-INDEX('Parametri Modello'!$B$19:$B$22,MATCH($B224,'Parametri Modello'!$A$19:$A$22,0)))/INDEX('Parametri Modello'!$B$19:$B$22,MATCH($B224,'Parametri Modello'!$A$19:$A$22,0)))*'Parametri Modello'!$B$9))))*(1+IF('Parametri Modello'!$B$27="Si",MAX(-'Parametri Modello'!$B$28,MIN('Parametri Modello'!$B$28*1.5,IF(OR(INDEX('Parametri Modello'!$F$32:$F$35,MATCH($B224,'Parametri Modello'!$A$32:$A$35,0))="",INDEX('Parametri Modello'!$F$32:$F$35,MATCH($B224,'Parametri Modello'!$A$32:$A$35,0))=0),0,(1/INDEX('Parametri Modello'!$F$32:$F$35,MATCH($B224,'Parametri Modello'!$A$32:$A$35,0))-1)*'Parametri Modello'!$B$28))),0)))*(1-INDEX('Parametri Modello'!$B$12:$B$15,MATCH($B224,'Parametri Modello'!$A$12:$A$15,0)))),0),"")</f>
        <v>1</v>
      </c>
      <c r="H224" s="27" t="n">
        <f aca="false">IFERROR(ROUND((IF($V224&lt;=INDEX('Parametri Modello'!$C$57:$C$60,MATCH($B224,'Parametri Modello'!$A$57:$A$60,0)),IF(INDEX('Parametri Modello'!$E$57:$E$60,MATCH($B224,'Parametri Modello'!$A$57:$A$60,0))=0,0,($O224/INDEX('Parametri Modello'!$E$57:$E$60,MATCH($B224,'Parametri Modello'!$A$57:$A$60,0)))*(INDEX('Parametri Modello'!$D$57:$D$60,MATCH($B224,'Parametri Modello'!$A$57:$A$60,0))*(INDEX('Parametri Modello'!$B$50:$B$53,MATCH($B224,'Parametri Modello'!$A$50:$A$53,0))*'Parametri Modello'!$B$44))),IF(INDEX('Parametri Modello'!$F$57:$F$60,MATCH($B224,'Parametri Modello'!$A$57:$A$60,0))=0,0,($O224/INDEX('Parametri Modello'!$F$57:$F$60,MATCH($B224,'Parametri Modello'!$A$57:$A$60,0)))*((1-INDEX('Parametri Modello'!$D$57:$D$60,MATCH($B224,'Parametri Modello'!$A$57:$A$60,0)))*(INDEX('Parametri Modello'!$B$50:$B$53,MATCH($B224,'Parametri Modello'!$A$50:$A$53,0))*'Parametri Modello'!$B$44))))*(1+IF(IF($B224="D",'Info Lega'!$B$25,IF($B224="C",'Info Lega'!$B$26,"No"))="Si",'Parametri Modello'!$B$5,0))*(1+MAX(-0.25,MIN(0.25,IF(OR($T224="",$I224="",$I224=0,INDEX('Parametri Modello'!$B$19:$B$22,MATCH($B224,'Parametri Modello'!$A$19:$A$22,0))="",INDEX('Parametri Modello'!$B$19:$B$22,MATCH($B224,'Parametri Modello'!$A$19:$A$22,0))=0),0,(($T224-INDEX('Parametri Modello'!$B$19:$B$22,MATCH($B224,'Parametri Modello'!$A$19:$A$22,0)))/INDEX('Parametri Modello'!$B$19:$B$22,MATCH($B224,'Parametri Modello'!$A$19:$A$22,0)))*'Parametri Modello'!$B$9))))*(1+IF('Parametri Modello'!$B$27="Si",MAX(-'Parametri Modello'!$B$28,MIN('Parametri Modello'!$B$28*1.5,IF(OR(INDEX('Parametri Modello'!$F$32:$F$35,MATCH($B224,'Parametri Modello'!$A$32:$A$35,0))="",INDEX('Parametri Modello'!$F$32:$F$35,MATCH($B224,'Parametri Modello'!$A$32:$A$35,0))=0),0,(1/INDEX('Parametri Modello'!$F$32:$F$35,MATCH($B224,'Parametri Modello'!$A$32:$A$35,0))-1)*'Parametri Modello'!$B$28))),0)))*(1+INDEX('Parametri Modello'!$B$12:$B$15,MATCH($B224,'Parametri Modello'!$A$12:$A$15,0))),0),"")</f>
        <v>2</v>
      </c>
      <c r="I224" s="26" t="n">
        <f aca="false">IFERROR(INDEX('Input Statistiche 2025_26'!$F$3:$F$665,MATCH($A224,'Input Statistiche 2025_26'!$A$3:$A$665,0)),"")</f>
        <v>30</v>
      </c>
      <c r="J224" s="26" t="n">
        <f aca="false">IFERROR(IF($I224="","",MAX(0,38-$I224)),"")</f>
        <v>8</v>
      </c>
      <c r="K224" s="26" t="n">
        <f aca="false">IFERROR(INDEX('Input Statistiche 2025_26'!$I$3:$I$665,MATCH($A224,'Input Statistiche 2025_26'!$A$3:$A$665,0)),"")</f>
        <v>1</v>
      </c>
      <c r="L224" s="26" t="n">
        <f aca="false">IFERROR(INDEX('Input Statistiche 2025_26'!$O$3:$O$665,MATCH($A224,'Input Statistiche 2025_26'!$A$3:$A$665,0)),"")</f>
        <v>0</v>
      </c>
      <c r="M224" s="28"/>
      <c r="N224" s="27" t="n">
        <f aca="false">IFERROR(INDEX('Input Giocatori 2026_27'!$E$3:$E$493,MATCH($A224,'Input Giocatori 2026_27'!$A$3:$A$493,0)),"")</f>
        <v>5</v>
      </c>
      <c r="O224" s="27" t="n">
        <f aca="false">IFERROR(INDEX('Input Giocatori 2026_27'!$G$3:$G$493,MATCH($A224,'Input Giocatori 2026_27'!$A$3:$A$493,0)),"")</f>
        <v>15</v>
      </c>
      <c r="P224" s="26" t="str">
        <f aca="false">IFERROR(IF($O224="","",IF((1-(COUNTIFS($B$2:$B$492,$B224,$O$2:$O$492,"&gt;"&amp;$O224)+1-1)/COUNTIF($B$2:$B$492,$B224))&gt;=0.85,"Top",IF((1-(COUNTIFS($B$2:$B$492,$B224,$O$2:$O$492,"&gt;"&amp;$O224)+1-1)/COUNTIF($B$2:$B$492,$B224))&gt;=0.6,"Buono",IF((1-(COUNTIFS($B$2:$B$492,$B224,$O$2:$O$492,"&gt;"&amp;$O224)+1-1)/COUNTIF($B$2:$B$492,$B224))&gt;=0.3,"Nella Media","Scommessa/Riserva")))),"")</f>
        <v>Nella Media</v>
      </c>
      <c r="Q224" s="29" t="n">
        <f aca="false">IF($D224="",COUNTIF($D$2:$D224,""),"")</f>
        <v>223</v>
      </c>
      <c r="R224" s="29" t="str">
        <f aca="false">IF($D224='Info Lega'!$B$28,COUNTIFS($D$2:$D224,'Info Lega'!$B$28),"")</f>
        <v/>
      </c>
      <c r="S224" s="30" t="n">
        <f aca="false">IFERROR(INDEX('Input Statistiche 2025_26'!$G$3:$G$665,MATCH($A224,'Input Statistiche 2025_26'!$A$3:$A$665,0)),"")</f>
        <v>5.88</v>
      </c>
      <c r="T224" s="30" t="n">
        <f aca="false">IFERROR(INDEX('Input Statistiche 2025_26'!$H$3:$H$665,MATCH($A224,'Input Statistiche 2025_26'!$A$3:$A$665,0)),"")</f>
        <v>5.95</v>
      </c>
      <c r="U224" s="26" t="str">
        <f aca="false">IF(OR('La Mia Rosa'!$O$12="",$D224&lt;&gt;""),"",IF($F224&lt;='La Mia Rosa'!$O$12*'Parametri Modello'!$B$24,"OK",IF($F224&lt;='La Mia Rosa'!$O$12*'Parametri Modello'!$B$25,"Attenzione","Rischio Alto")))</f>
        <v>OK</v>
      </c>
      <c r="V224" s="26" t="n">
        <f aca="false">IFERROR(COUNTIFS($B$2:$B$492,$B224,$O$2:$O$492,"&gt;"&amp;$O224)+1,"")</f>
        <v>83</v>
      </c>
      <c r="W224" s="21" t="n">
        <f aca="false">'Info Lega'!$B$4-SUMIFS($M$2:$M$492,$D$2:$D$492,'Info Lega'!$B$28)</f>
        <v>1000</v>
      </c>
      <c r="X224" s="21" t="n">
        <f aca="false">('Info Lega'!$B$5-COUNTIFS($D$2:$D$492,'Info Lega'!$B$28,$B$2:$B$492,"P"))+('Info Lega'!$B$6-COUNTIFS($D$2:$D$492,'Info Lega'!$B$28,$B$2:$B$492,"D"))+('Info Lega'!$B$7-COUNTIFS($D$2:$D$492,'Info Lega'!$B$28,$B$2:$B$492,"C"))+('Info Lega'!$B$8-COUNTIFS($D$2:$D$492,'Info Lega'!$B$28,$B$2:$B$492,"A"))</f>
        <v>25</v>
      </c>
      <c r="Y224" s="21" t="n">
        <f aca="false">X224*'Parametri Modello'!$B$30</f>
        <v>25</v>
      </c>
      <c r="Z224" s="21" t="n">
        <f aca="false">MAX(0,W224-Y224)</f>
        <v>975</v>
      </c>
      <c r="AA224" s="21" t="n">
        <f aca="false">MIN(F224,Z224)</f>
        <v>2</v>
      </c>
      <c r="AB224" s="21"/>
      <c r="AC224" s="21" t="str">
        <f aca="false">IF(AB224="","",IF(AB224&gt;AA224,"PASS",IF(AB224&lt;=AA224*0.85,"BID","ATTENZIONE")))</f>
        <v/>
      </c>
      <c r="AD224" s="31" t="n">
        <f aca="false">IF(I224="","",ROUND(100*(1-EXP(-I224/30)),0))</f>
        <v>63</v>
      </c>
      <c r="AE224" s="7" t="str">
        <f aca="false">IFERROR(INDEX('Stato Asta'!$G$9:$G$12,MATCH($B224,'Stato Asta'!$A$9:$A$12,0)),"")</f>
        <v>🟡 Attesa rischiosa</v>
      </c>
    </row>
    <row r="225" customFormat="false" ht="14.25" hidden="false" customHeight="true" outlineLevel="0" collapsed="false">
      <c r="A225" s="21" t="n">
        <v>6204</v>
      </c>
      <c r="B225" s="21" t="s">
        <v>46</v>
      </c>
      <c r="C225" s="21" t="s">
        <v>601</v>
      </c>
      <c r="E225" s="26" t="str">
        <f aca="false">IF(COUNTIF('Info Strategia'!$D$2:$D$51,$C225)&gt;0,"SI","NO")</f>
        <v>NO</v>
      </c>
      <c r="F225" s="27" t="n">
        <f aca="false">IFERROR(ROUND(($G225+($H225-$G225)*'Info Strategia'!$B$6)*(1+IF($E225="SI",'Parametri Modello'!$B$7*'Info Strategia'!$B$6,0)),0),"")</f>
        <v>5</v>
      </c>
      <c r="G225" s="27" t="n">
        <f aca="false">IFERROR(ROUND(MAX(1,(IF($V225&lt;=INDEX('Parametri Modello'!$C$57:$C$60,MATCH($B225,'Parametri Modello'!$A$57:$A$60,0)),IF(INDEX('Parametri Modello'!$E$57:$E$60,MATCH($B225,'Parametri Modello'!$A$57:$A$60,0))=0,0,($O225/INDEX('Parametri Modello'!$E$57:$E$60,MATCH($B225,'Parametri Modello'!$A$57:$A$60,0)))*(INDEX('Parametri Modello'!$D$57:$D$60,MATCH($B225,'Parametri Modello'!$A$57:$A$60,0))*(INDEX('Parametri Modello'!$B$50:$B$53,MATCH($B225,'Parametri Modello'!$A$50:$A$53,0))*'Parametri Modello'!$B$44))),IF(INDEX('Parametri Modello'!$F$57:$F$60,MATCH($B225,'Parametri Modello'!$A$57:$A$60,0))=0,0,($O225/INDEX('Parametri Modello'!$F$57:$F$60,MATCH($B225,'Parametri Modello'!$A$57:$A$60,0)))*((1-INDEX('Parametri Modello'!$D$57:$D$60,MATCH($B225,'Parametri Modello'!$A$57:$A$60,0)))*(INDEX('Parametri Modello'!$B$50:$B$53,MATCH($B225,'Parametri Modello'!$A$50:$A$53,0))*'Parametri Modello'!$B$44))))*(1+IF(IF($B225="D",'Info Lega'!$B$25,IF($B225="C",'Info Lega'!$B$26,"No"))="Si",'Parametri Modello'!$B$5,0))*(1+MAX(-0.25,MIN(0.25,IF(OR($T225="",$I225="",$I225=0,INDEX('Parametri Modello'!$B$19:$B$22,MATCH($B225,'Parametri Modello'!$A$19:$A$22,0))="",INDEX('Parametri Modello'!$B$19:$B$22,MATCH($B225,'Parametri Modello'!$A$19:$A$22,0))=0),0,(($T225-INDEX('Parametri Modello'!$B$19:$B$22,MATCH($B225,'Parametri Modello'!$A$19:$A$22,0)))/INDEX('Parametri Modello'!$B$19:$B$22,MATCH($B225,'Parametri Modello'!$A$19:$A$22,0)))*'Parametri Modello'!$B$9))))*(1+IF('Parametri Modello'!$B$27="Si",MAX(-'Parametri Modello'!$B$28,MIN('Parametri Modello'!$B$28*1.5,IF(OR(INDEX('Parametri Modello'!$F$32:$F$35,MATCH($B225,'Parametri Modello'!$A$32:$A$35,0))="",INDEX('Parametri Modello'!$F$32:$F$35,MATCH($B225,'Parametri Modello'!$A$32:$A$35,0))=0),0,(1/INDEX('Parametri Modello'!$F$32:$F$35,MATCH($B225,'Parametri Modello'!$A$32:$A$35,0))-1)*'Parametri Modello'!$B$28))),0)))*(1-INDEX('Parametri Modello'!$B$12:$B$15,MATCH($B225,'Parametri Modello'!$A$12:$A$15,0)))),0),"")</f>
        <v>3</v>
      </c>
      <c r="H225" s="27" t="n">
        <f aca="false">IFERROR(ROUND((IF($V225&lt;=INDEX('Parametri Modello'!$C$57:$C$60,MATCH($B225,'Parametri Modello'!$A$57:$A$60,0)),IF(INDEX('Parametri Modello'!$E$57:$E$60,MATCH($B225,'Parametri Modello'!$A$57:$A$60,0))=0,0,($O225/INDEX('Parametri Modello'!$E$57:$E$60,MATCH($B225,'Parametri Modello'!$A$57:$A$60,0)))*(INDEX('Parametri Modello'!$D$57:$D$60,MATCH($B225,'Parametri Modello'!$A$57:$A$60,0))*(INDEX('Parametri Modello'!$B$50:$B$53,MATCH($B225,'Parametri Modello'!$A$50:$A$53,0))*'Parametri Modello'!$B$44))),IF(INDEX('Parametri Modello'!$F$57:$F$60,MATCH($B225,'Parametri Modello'!$A$57:$A$60,0))=0,0,($O225/INDEX('Parametri Modello'!$F$57:$F$60,MATCH($B225,'Parametri Modello'!$A$57:$A$60,0)))*((1-INDEX('Parametri Modello'!$D$57:$D$60,MATCH($B225,'Parametri Modello'!$A$57:$A$60,0)))*(INDEX('Parametri Modello'!$B$50:$B$53,MATCH($B225,'Parametri Modello'!$A$50:$A$53,0))*'Parametri Modello'!$B$44))))*(1+IF(IF($B225="D",'Info Lega'!$B$25,IF($B225="C",'Info Lega'!$B$26,"No"))="Si",'Parametri Modello'!$B$5,0))*(1+MAX(-0.25,MIN(0.25,IF(OR($T225="",$I225="",$I225=0,INDEX('Parametri Modello'!$B$19:$B$22,MATCH($B225,'Parametri Modello'!$A$19:$A$22,0))="",INDEX('Parametri Modello'!$B$19:$B$22,MATCH($B225,'Parametri Modello'!$A$19:$A$22,0))=0),0,(($T225-INDEX('Parametri Modello'!$B$19:$B$22,MATCH($B225,'Parametri Modello'!$A$19:$A$22,0)))/INDEX('Parametri Modello'!$B$19:$B$22,MATCH($B225,'Parametri Modello'!$A$19:$A$22,0)))*'Parametri Modello'!$B$9))))*(1+IF('Parametri Modello'!$B$27="Si",MAX(-'Parametri Modello'!$B$28,MIN('Parametri Modello'!$B$28*1.5,IF(OR(INDEX('Parametri Modello'!$F$32:$F$35,MATCH($B225,'Parametri Modello'!$A$32:$A$35,0))="",INDEX('Parametri Modello'!$F$32:$F$35,MATCH($B225,'Parametri Modello'!$A$32:$A$35,0))=0),0,(1/INDEX('Parametri Modello'!$F$32:$F$35,MATCH($B225,'Parametri Modello'!$A$32:$A$35,0))-1)*'Parametri Modello'!$B$28))),0)))*(1+INDEX('Parametri Modello'!$B$12:$B$15,MATCH($B225,'Parametri Modello'!$A$12:$A$15,0))),0),"")</f>
        <v>6</v>
      </c>
      <c r="I225" s="26" t="str">
        <f aca="false">IFERROR(INDEX('Input Statistiche 2025_26'!$F$3:$F$665,MATCH($A225,'Input Statistiche 2025_26'!$A$3:$A$665,0)),"")</f>
        <v/>
      </c>
      <c r="J225" s="26" t="str">
        <f aca="false">IFERROR(IF($I225="","",MAX(0,38-$I225)),"")</f>
        <v/>
      </c>
      <c r="K225" s="26" t="str">
        <f aca="false">IFERROR(INDEX('Input Statistiche 2025_26'!$I$3:$I$665,MATCH($A225,'Input Statistiche 2025_26'!$A$3:$A$665,0)),"")</f>
        <v/>
      </c>
      <c r="L225" s="26" t="str">
        <f aca="false">IFERROR(INDEX('Input Statistiche 2025_26'!$O$3:$O$665,MATCH($A225,'Input Statistiche 2025_26'!$A$3:$A$665,0)),"")</f>
        <v/>
      </c>
      <c r="M225" s="28"/>
      <c r="N225" s="27" t="n">
        <f aca="false">IFERROR(INDEX('Input Giocatori 2026_27'!$E$3:$E$493,MATCH($A225,'Input Giocatori 2026_27'!$A$3:$A$493,0)),"")</f>
        <v>4</v>
      </c>
      <c r="O225" s="27" t="n">
        <f aca="false">IFERROR(INDEX('Input Giocatori 2026_27'!$G$3:$G$493,MATCH($A225,'Input Giocatori 2026_27'!$A$3:$A$493,0)),"")</f>
        <v>15</v>
      </c>
      <c r="P225" s="26" t="str">
        <f aca="false">IFERROR(IF($O225="","",IF((1-(COUNTIFS($B$2:$B$492,$B225,$O$2:$O$492,"&gt;"&amp;$O225)+1-1)/COUNTIF($B$2:$B$492,$B225))&gt;=0.85,"Top",IF((1-(COUNTIFS($B$2:$B$492,$B225,$O$2:$O$492,"&gt;"&amp;$O225)+1-1)/COUNTIF($B$2:$B$492,$B225))&gt;=0.6,"Buono",IF((1-(COUNTIFS($B$2:$B$492,$B225,$O$2:$O$492,"&gt;"&amp;$O225)+1-1)/COUNTIF($B$2:$B$492,$B225))&gt;=0.3,"Nella Media","Scommessa/Riserva")))),"")</f>
        <v>Nella Media</v>
      </c>
      <c r="Q225" s="29" t="n">
        <f aca="false">IF($D225="",COUNTIF($D$2:$D225,""),"")</f>
        <v>224</v>
      </c>
      <c r="R225" s="29" t="str">
        <f aca="false">IF($D225='Info Lega'!$B$28,COUNTIFS($D$2:$D225,'Info Lega'!$B$28),"")</f>
        <v/>
      </c>
      <c r="S225" s="30" t="str">
        <f aca="false">IFERROR(INDEX('Input Statistiche 2025_26'!$G$3:$G$665,MATCH($A225,'Input Statistiche 2025_26'!$A$3:$A$665,0)),"")</f>
        <v/>
      </c>
      <c r="T225" s="30" t="str">
        <f aca="false">IFERROR(INDEX('Input Statistiche 2025_26'!$H$3:$H$665,MATCH($A225,'Input Statistiche 2025_26'!$A$3:$A$665,0)),"")</f>
        <v/>
      </c>
      <c r="U225" s="26" t="str">
        <f aca="false">IF(OR('La Mia Rosa'!$O$12="",$D225&lt;&gt;""),"",IF($F225&lt;='La Mia Rosa'!$O$12*'Parametri Modello'!$B$24,"OK",IF($F225&lt;='La Mia Rosa'!$O$12*'Parametri Modello'!$B$25,"Attenzione","Rischio Alto")))</f>
        <v>OK</v>
      </c>
      <c r="V225" s="26" t="n">
        <f aca="false">IFERROR(COUNTIFS($B$2:$B$492,$B225,$O$2:$O$492,"&gt;"&amp;$O225)+1,"")</f>
        <v>57</v>
      </c>
      <c r="W225" s="21" t="n">
        <f aca="false">'Info Lega'!$B$4-SUMIFS($M$2:$M$492,$D$2:$D$492,'Info Lega'!$B$28)</f>
        <v>1000</v>
      </c>
      <c r="X225" s="21" t="n">
        <f aca="false">('Info Lega'!$B$5-COUNTIFS($D$2:$D$492,'Info Lega'!$B$28,$B$2:$B$492,"P"))+('Info Lega'!$B$6-COUNTIFS($D$2:$D$492,'Info Lega'!$B$28,$B$2:$B$492,"D"))+('Info Lega'!$B$7-COUNTIFS($D$2:$D$492,'Info Lega'!$B$28,$B$2:$B$492,"C"))+('Info Lega'!$B$8-COUNTIFS($D$2:$D$492,'Info Lega'!$B$28,$B$2:$B$492,"A"))</f>
        <v>25</v>
      </c>
      <c r="Y225" s="21" t="n">
        <f aca="false">X225*'Parametri Modello'!$B$30</f>
        <v>25</v>
      </c>
      <c r="Z225" s="21" t="n">
        <f aca="false">MAX(0,W225-Y225)</f>
        <v>975</v>
      </c>
      <c r="AA225" s="21" t="n">
        <f aca="false">MIN(F225,Z225)</f>
        <v>5</v>
      </c>
      <c r="AB225" s="21"/>
      <c r="AC225" s="21" t="str">
        <f aca="false">IF(AB225="","",IF(AB225&gt;AA225,"PASS",IF(AB225&lt;=AA225*0.85,"BID","ATTENZIONE")))</f>
        <v/>
      </c>
      <c r="AD225" s="31" t="str">
        <f aca="false">IF(I225="","",ROUND(100*(1-EXP(-I225/30)),0))</f>
        <v/>
      </c>
      <c r="AE225" s="7" t="str">
        <f aca="false">IFERROR(INDEX('Stato Asta'!$G$9:$G$12,MATCH($B225,'Stato Asta'!$A$9:$A$12,0)),"")</f>
        <v>🔴 Non aspettare</v>
      </c>
    </row>
    <row r="226" customFormat="false" ht="14.25" hidden="false" customHeight="true" outlineLevel="0" collapsed="false">
      <c r="A226" s="21" t="n">
        <v>6248</v>
      </c>
      <c r="B226" s="21" t="s">
        <v>43</v>
      </c>
      <c r="C226" s="21" t="s">
        <v>146</v>
      </c>
      <c r="E226" s="26" t="str">
        <f aca="false">IF(COUNTIF('Info Strategia'!$D$2:$D$51,$C226)&gt;0,"SI","NO")</f>
        <v>NO</v>
      </c>
      <c r="F226" s="27" t="n">
        <f aca="false">IFERROR(ROUND(($G226+($H226-$G226)*'Info Strategia'!$B$6)*(1+IF($E226="SI",'Parametri Modello'!$B$7*'Info Strategia'!$B$6,0)),0),"")</f>
        <v>5</v>
      </c>
      <c r="G226" s="27" t="n">
        <f aca="false">IFERROR(ROUND(MAX(1,(IF($V226&lt;=INDEX('Parametri Modello'!$C$57:$C$60,MATCH($B226,'Parametri Modello'!$A$57:$A$60,0)),IF(INDEX('Parametri Modello'!$E$57:$E$60,MATCH($B226,'Parametri Modello'!$A$57:$A$60,0))=0,0,($O226/INDEX('Parametri Modello'!$E$57:$E$60,MATCH($B226,'Parametri Modello'!$A$57:$A$60,0)))*(INDEX('Parametri Modello'!$D$57:$D$60,MATCH($B226,'Parametri Modello'!$A$57:$A$60,0))*(INDEX('Parametri Modello'!$B$50:$B$53,MATCH($B226,'Parametri Modello'!$A$50:$A$53,0))*'Parametri Modello'!$B$44))),IF(INDEX('Parametri Modello'!$F$57:$F$60,MATCH($B226,'Parametri Modello'!$A$57:$A$60,0))=0,0,($O226/INDEX('Parametri Modello'!$F$57:$F$60,MATCH($B226,'Parametri Modello'!$A$57:$A$60,0)))*((1-INDEX('Parametri Modello'!$D$57:$D$60,MATCH($B226,'Parametri Modello'!$A$57:$A$60,0)))*(INDEX('Parametri Modello'!$B$50:$B$53,MATCH($B226,'Parametri Modello'!$A$50:$A$53,0))*'Parametri Modello'!$B$44))))*(1+IF(IF($B226="D",'Info Lega'!$B$25,IF($B226="C",'Info Lega'!$B$26,"No"))="Si",'Parametri Modello'!$B$5,0))*(1+MAX(-0.25,MIN(0.25,IF(OR($T226="",$I226="",$I226=0,INDEX('Parametri Modello'!$B$19:$B$22,MATCH($B226,'Parametri Modello'!$A$19:$A$22,0))="",INDEX('Parametri Modello'!$B$19:$B$22,MATCH($B226,'Parametri Modello'!$A$19:$A$22,0))=0),0,(($T226-INDEX('Parametri Modello'!$B$19:$B$22,MATCH($B226,'Parametri Modello'!$A$19:$A$22,0)))/INDEX('Parametri Modello'!$B$19:$B$22,MATCH($B226,'Parametri Modello'!$A$19:$A$22,0)))*'Parametri Modello'!$B$9))))*(1+IF('Parametri Modello'!$B$27="Si",MAX(-'Parametri Modello'!$B$28,MIN('Parametri Modello'!$B$28*1.5,IF(OR(INDEX('Parametri Modello'!$F$32:$F$35,MATCH($B226,'Parametri Modello'!$A$32:$A$35,0))="",INDEX('Parametri Modello'!$F$32:$F$35,MATCH($B226,'Parametri Modello'!$A$32:$A$35,0))=0),0,(1/INDEX('Parametri Modello'!$F$32:$F$35,MATCH($B226,'Parametri Modello'!$A$32:$A$35,0))-1)*'Parametri Modello'!$B$28))),0)))*(1-INDEX('Parametri Modello'!$B$12:$B$15,MATCH($B226,'Parametri Modello'!$A$12:$A$15,0)))),0),"")</f>
        <v>4</v>
      </c>
      <c r="H226" s="27" t="n">
        <f aca="false">IFERROR(ROUND((IF($V226&lt;=INDEX('Parametri Modello'!$C$57:$C$60,MATCH($B226,'Parametri Modello'!$A$57:$A$60,0)),IF(INDEX('Parametri Modello'!$E$57:$E$60,MATCH($B226,'Parametri Modello'!$A$57:$A$60,0))=0,0,($O226/INDEX('Parametri Modello'!$E$57:$E$60,MATCH($B226,'Parametri Modello'!$A$57:$A$60,0)))*(INDEX('Parametri Modello'!$D$57:$D$60,MATCH($B226,'Parametri Modello'!$A$57:$A$60,0))*(INDEX('Parametri Modello'!$B$50:$B$53,MATCH($B226,'Parametri Modello'!$A$50:$A$53,0))*'Parametri Modello'!$B$44))),IF(INDEX('Parametri Modello'!$F$57:$F$60,MATCH($B226,'Parametri Modello'!$A$57:$A$60,0))=0,0,($O226/INDEX('Parametri Modello'!$F$57:$F$60,MATCH($B226,'Parametri Modello'!$A$57:$A$60,0)))*((1-INDEX('Parametri Modello'!$D$57:$D$60,MATCH($B226,'Parametri Modello'!$A$57:$A$60,0)))*(INDEX('Parametri Modello'!$B$50:$B$53,MATCH($B226,'Parametri Modello'!$A$50:$A$53,0))*'Parametri Modello'!$B$44))))*(1+IF(IF($B226="D",'Info Lega'!$B$25,IF($B226="C",'Info Lega'!$B$26,"No"))="Si",'Parametri Modello'!$B$5,0))*(1+MAX(-0.25,MIN(0.25,IF(OR($T226="",$I226="",$I226=0,INDEX('Parametri Modello'!$B$19:$B$22,MATCH($B226,'Parametri Modello'!$A$19:$A$22,0))="",INDEX('Parametri Modello'!$B$19:$B$22,MATCH($B226,'Parametri Modello'!$A$19:$A$22,0))=0),0,(($T226-INDEX('Parametri Modello'!$B$19:$B$22,MATCH($B226,'Parametri Modello'!$A$19:$A$22,0)))/INDEX('Parametri Modello'!$B$19:$B$22,MATCH($B226,'Parametri Modello'!$A$19:$A$22,0)))*'Parametri Modello'!$B$9))))*(1+IF('Parametri Modello'!$B$27="Si",MAX(-'Parametri Modello'!$B$28,MIN('Parametri Modello'!$B$28*1.5,IF(OR(INDEX('Parametri Modello'!$F$32:$F$35,MATCH($B226,'Parametri Modello'!$A$32:$A$35,0))="",INDEX('Parametri Modello'!$F$32:$F$35,MATCH($B226,'Parametri Modello'!$A$32:$A$35,0))=0),0,(1/INDEX('Parametri Modello'!$F$32:$F$35,MATCH($B226,'Parametri Modello'!$A$32:$A$35,0))-1)*'Parametri Modello'!$B$28))),0)))*(1+INDEX('Parametri Modello'!$B$12:$B$15,MATCH($B226,'Parametri Modello'!$A$12:$A$15,0))),0),"")</f>
        <v>5</v>
      </c>
      <c r="I226" s="26" t="str">
        <f aca="false">IFERROR(INDEX('Input Statistiche 2025_26'!$F$3:$F$665,MATCH($A226,'Input Statistiche 2025_26'!$A$3:$A$665,0)),"")</f>
        <v/>
      </c>
      <c r="J226" s="26" t="str">
        <f aca="false">IFERROR(IF($I226="","",MAX(0,38-$I226)),"")</f>
        <v/>
      </c>
      <c r="K226" s="26" t="str">
        <f aca="false">IFERROR(INDEX('Input Statistiche 2025_26'!$I$3:$I$665,MATCH($A226,'Input Statistiche 2025_26'!$A$3:$A$665,0)),"")</f>
        <v/>
      </c>
      <c r="L226" s="26" t="str">
        <f aca="false">IFERROR(INDEX('Input Statistiche 2025_26'!$O$3:$O$665,MATCH($A226,'Input Statistiche 2025_26'!$A$3:$A$665,0)),"")</f>
        <v/>
      </c>
      <c r="M226" s="28"/>
      <c r="N226" s="27" t="n">
        <f aca="false">IFERROR(INDEX('Input Giocatori 2026_27'!$E$3:$E$493,MATCH($A226,'Input Giocatori 2026_27'!$A$3:$A$493,0)),"")</f>
        <v>6</v>
      </c>
      <c r="O226" s="27" t="n">
        <f aca="false">IFERROR(INDEX('Input Giocatori 2026_27'!$G$3:$G$493,MATCH($A226,'Input Giocatori 2026_27'!$A$3:$A$493,0)),"")</f>
        <v>14</v>
      </c>
      <c r="P226" s="26" t="str">
        <f aca="false">IFERROR(IF($O226="","",IF((1-(COUNTIFS($B$2:$B$492,$B226,$O$2:$O$492,"&gt;"&amp;$O226)+1-1)/COUNTIF($B$2:$B$492,$B226))&gt;=0.85,"Top",IF((1-(COUNTIFS($B$2:$B$492,$B226,$O$2:$O$492,"&gt;"&amp;$O226)+1-1)/COUNTIF($B$2:$B$492,$B226))&gt;=0.6,"Buono",IF((1-(COUNTIFS($B$2:$B$492,$B226,$O$2:$O$492,"&gt;"&amp;$O226)+1-1)/COUNTIF($B$2:$B$492,$B226))&gt;=0.3,"Nella Media","Scommessa/Riserva")))),"")</f>
        <v>Buono</v>
      </c>
      <c r="Q226" s="29" t="n">
        <f aca="false">IF($D226="",COUNTIF($D$2:$D226,""),"")</f>
        <v>225</v>
      </c>
      <c r="R226" s="29" t="str">
        <f aca="false">IF($D226='Info Lega'!$B$28,COUNTIFS($D$2:$D226,'Info Lega'!$B$28),"")</f>
        <v/>
      </c>
      <c r="S226" s="30" t="str">
        <f aca="false">IFERROR(INDEX('Input Statistiche 2025_26'!$G$3:$G$665,MATCH($A226,'Input Statistiche 2025_26'!$A$3:$A$665,0)),"")</f>
        <v/>
      </c>
      <c r="T226" s="30" t="str">
        <f aca="false">IFERROR(INDEX('Input Statistiche 2025_26'!$H$3:$H$665,MATCH($A226,'Input Statistiche 2025_26'!$A$3:$A$665,0)),"")</f>
        <v/>
      </c>
      <c r="U226" s="26" t="str">
        <f aca="false">IF(OR('La Mia Rosa'!$O$12="",$D226&lt;&gt;""),"",IF($F226&lt;='La Mia Rosa'!$O$12*'Parametri Modello'!$B$24,"OK",IF($F226&lt;='La Mia Rosa'!$O$12*'Parametri Modello'!$B$25,"Attenzione","Rischio Alto")))</f>
        <v>OK</v>
      </c>
      <c r="V226" s="26" t="n">
        <f aca="false">IFERROR(COUNTIFS($B$2:$B$492,$B226,$O$2:$O$492,"&gt;"&amp;$O226)+1,"")</f>
        <v>17</v>
      </c>
      <c r="W226" s="21" t="n">
        <f aca="false">'Info Lega'!$B$4-SUMIFS($M$2:$M$492,$D$2:$D$492,'Info Lega'!$B$28)</f>
        <v>1000</v>
      </c>
      <c r="X226" s="21" t="n">
        <f aca="false">('Info Lega'!$B$5-COUNTIFS($D$2:$D$492,'Info Lega'!$B$28,$B$2:$B$492,"P"))+('Info Lega'!$B$6-COUNTIFS($D$2:$D$492,'Info Lega'!$B$28,$B$2:$B$492,"D"))+('Info Lega'!$B$7-COUNTIFS($D$2:$D$492,'Info Lega'!$B$28,$B$2:$B$492,"C"))+('Info Lega'!$B$8-COUNTIFS($D$2:$D$492,'Info Lega'!$B$28,$B$2:$B$492,"A"))</f>
        <v>25</v>
      </c>
      <c r="Y226" s="21" t="n">
        <f aca="false">X226*'Parametri Modello'!$B$30</f>
        <v>25</v>
      </c>
      <c r="Z226" s="21" t="n">
        <f aca="false">MAX(0,W226-Y226)</f>
        <v>975</v>
      </c>
      <c r="AA226" s="21" t="n">
        <f aca="false">MIN(F226,Z226)</f>
        <v>5</v>
      </c>
      <c r="AB226" s="21"/>
      <c r="AC226" s="21" t="str">
        <f aca="false">IF(AB226="","",IF(AB226&gt;AA226,"PASS",IF(AB226&lt;=AA226*0.85,"BID","ATTENZIONE")))</f>
        <v/>
      </c>
      <c r="AD226" s="31" t="str">
        <f aca="false">IF(I226="","",ROUND(100*(1-EXP(-I226/30)),0))</f>
        <v/>
      </c>
      <c r="AE226" s="7" t="str">
        <f aca="false">IFERROR(INDEX('Stato Asta'!$G$9:$G$12,MATCH($B226,'Stato Asta'!$A$9:$A$12,0)),"")</f>
        <v>🟡 Attesa rischiosa</v>
      </c>
    </row>
    <row r="227" customFormat="false" ht="14.25" hidden="false" customHeight="true" outlineLevel="0" collapsed="false">
      <c r="A227" s="21" t="n">
        <v>5701</v>
      </c>
      <c r="B227" s="21" t="s">
        <v>44</v>
      </c>
      <c r="C227" s="21" t="s">
        <v>229</v>
      </c>
      <c r="E227" s="26" t="str">
        <f aca="false">IF(COUNTIF('Info Strategia'!$D$2:$D$51,$C227)&gt;0,"SI","NO")</f>
        <v>NO</v>
      </c>
      <c r="F227" s="27" t="n">
        <f aca="false">IFERROR(ROUND(($G227+($H227-$G227)*'Info Strategia'!$B$6)*(1+IF($E227="SI",'Parametri Modello'!$B$7*'Info Strategia'!$B$6,0)),0),"")</f>
        <v>3</v>
      </c>
      <c r="G227" s="27" t="n">
        <f aca="false">IFERROR(ROUND(MAX(1,(IF($V227&lt;=INDEX('Parametri Modello'!$C$57:$C$60,MATCH($B227,'Parametri Modello'!$A$57:$A$60,0)),IF(INDEX('Parametri Modello'!$E$57:$E$60,MATCH($B227,'Parametri Modello'!$A$57:$A$60,0))=0,0,($O227/INDEX('Parametri Modello'!$E$57:$E$60,MATCH($B227,'Parametri Modello'!$A$57:$A$60,0)))*(INDEX('Parametri Modello'!$D$57:$D$60,MATCH($B227,'Parametri Modello'!$A$57:$A$60,0))*(INDEX('Parametri Modello'!$B$50:$B$53,MATCH($B227,'Parametri Modello'!$A$50:$A$53,0))*'Parametri Modello'!$B$44))),IF(INDEX('Parametri Modello'!$F$57:$F$60,MATCH($B227,'Parametri Modello'!$A$57:$A$60,0))=0,0,($O227/INDEX('Parametri Modello'!$F$57:$F$60,MATCH($B227,'Parametri Modello'!$A$57:$A$60,0)))*((1-INDEX('Parametri Modello'!$D$57:$D$60,MATCH($B227,'Parametri Modello'!$A$57:$A$60,0)))*(INDEX('Parametri Modello'!$B$50:$B$53,MATCH($B227,'Parametri Modello'!$A$50:$A$53,0))*'Parametri Modello'!$B$44))))*(1+IF(IF($B227="D",'Info Lega'!$B$25,IF($B227="C",'Info Lega'!$B$26,"No"))="Si",'Parametri Modello'!$B$5,0))*(1+MAX(-0.25,MIN(0.25,IF(OR($T227="",$I227="",$I227=0,INDEX('Parametri Modello'!$B$19:$B$22,MATCH($B227,'Parametri Modello'!$A$19:$A$22,0))="",INDEX('Parametri Modello'!$B$19:$B$22,MATCH($B227,'Parametri Modello'!$A$19:$A$22,0))=0),0,(($T227-INDEX('Parametri Modello'!$B$19:$B$22,MATCH($B227,'Parametri Modello'!$A$19:$A$22,0)))/INDEX('Parametri Modello'!$B$19:$B$22,MATCH($B227,'Parametri Modello'!$A$19:$A$22,0)))*'Parametri Modello'!$B$9))))*(1+IF('Parametri Modello'!$B$27="Si",MAX(-'Parametri Modello'!$B$28,MIN('Parametri Modello'!$B$28*1.5,IF(OR(INDEX('Parametri Modello'!$F$32:$F$35,MATCH($B227,'Parametri Modello'!$A$32:$A$35,0))="",INDEX('Parametri Modello'!$F$32:$F$35,MATCH($B227,'Parametri Modello'!$A$32:$A$35,0))=0),0,(1/INDEX('Parametri Modello'!$F$32:$F$35,MATCH($B227,'Parametri Modello'!$A$32:$A$35,0))-1)*'Parametri Modello'!$B$28))),0)))*(1-INDEX('Parametri Modello'!$B$12:$B$15,MATCH($B227,'Parametri Modello'!$A$12:$A$15,0)))),0),"")</f>
        <v>2</v>
      </c>
      <c r="H227" s="27" t="n">
        <f aca="false">IFERROR(ROUND((IF($V227&lt;=INDEX('Parametri Modello'!$C$57:$C$60,MATCH($B227,'Parametri Modello'!$A$57:$A$60,0)),IF(INDEX('Parametri Modello'!$E$57:$E$60,MATCH($B227,'Parametri Modello'!$A$57:$A$60,0))=0,0,($O227/INDEX('Parametri Modello'!$E$57:$E$60,MATCH($B227,'Parametri Modello'!$A$57:$A$60,0)))*(INDEX('Parametri Modello'!$D$57:$D$60,MATCH($B227,'Parametri Modello'!$A$57:$A$60,0))*(INDEX('Parametri Modello'!$B$50:$B$53,MATCH($B227,'Parametri Modello'!$A$50:$A$53,0))*'Parametri Modello'!$B$44))),IF(INDEX('Parametri Modello'!$F$57:$F$60,MATCH($B227,'Parametri Modello'!$A$57:$A$60,0))=0,0,($O227/INDEX('Parametri Modello'!$F$57:$F$60,MATCH($B227,'Parametri Modello'!$A$57:$A$60,0)))*((1-INDEX('Parametri Modello'!$D$57:$D$60,MATCH($B227,'Parametri Modello'!$A$57:$A$60,0)))*(INDEX('Parametri Modello'!$B$50:$B$53,MATCH($B227,'Parametri Modello'!$A$50:$A$53,0))*'Parametri Modello'!$B$44))))*(1+IF(IF($B227="D",'Info Lega'!$B$25,IF($B227="C",'Info Lega'!$B$26,"No"))="Si",'Parametri Modello'!$B$5,0))*(1+MAX(-0.25,MIN(0.25,IF(OR($T227="",$I227="",$I227=0,INDEX('Parametri Modello'!$B$19:$B$22,MATCH($B227,'Parametri Modello'!$A$19:$A$22,0))="",INDEX('Parametri Modello'!$B$19:$B$22,MATCH($B227,'Parametri Modello'!$A$19:$A$22,0))=0),0,(($T227-INDEX('Parametri Modello'!$B$19:$B$22,MATCH($B227,'Parametri Modello'!$A$19:$A$22,0)))/INDEX('Parametri Modello'!$B$19:$B$22,MATCH($B227,'Parametri Modello'!$A$19:$A$22,0)))*'Parametri Modello'!$B$9))))*(1+IF('Parametri Modello'!$B$27="Si",MAX(-'Parametri Modello'!$B$28,MIN('Parametri Modello'!$B$28*1.5,IF(OR(INDEX('Parametri Modello'!$F$32:$F$35,MATCH($B227,'Parametri Modello'!$A$32:$A$35,0))="",INDEX('Parametri Modello'!$F$32:$F$35,MATCH($B227,'Parametri Modello'!$A$32:$A$35,0))=0),0,(1/INDEX('Parametri Modello'!$F$32:$F$35,MATCH($B227,'Parametri Modello'!$A$32:$A$35,0))-1)*'Parametri Modello'!$B$28))),0)))*(1+INDEX('Parametri Modello'!$B$12:$B$15,MATCH($B227,'Parametri Modello'!$A$12:$A$15,0))),0),"")</f>
        <v>3</v>
      </c>
      <c r="I227" s="26" t="n">
        <f aca="false">IFERROR(INDEX('Input Statistiche 2025_26'!$F$3:$F$665,MATCH($A227,'Input Statistiche 2025_26'!$A$3:$A$665,0)),"")</f>
        <v>34</v>
      </c>
      <c r="J227" s="26" t="n">
        <f aca="false">IFERROR(IF($I227="","",MAX(0,38-$I227)),"")</f>
        <v>4</v>
      </c>
      <c r="K227" s="26" t="n">
        <f aca="false">IFERROR(INDEX('Input Statistiche 2025_26'!$I$3:$I$665,MATCH($A227,'Input Statistiche 2025_26'!$A$3:$A$665,0)),"")</f>
        <v>0</v>
      </c>
      <c r="L227" s="26" t="n">
        <f aca="false">IFERROR(INDEX('Input Statistiche 2025_26'!$O$3:$O$665,MATCH($A227,'Input Statistiche 2025_26'!$A$3:$A$665,0)),"")</f>
        <v>3</v>
      </c>
      <c r="M227" s="28"/>
      <c r="N227" s="27" t="n">
        <f aca="false">IFERROR(INDEX('Input Giocatori 2026_27'!$E$3:$E$493,MATCH($A227,'Input Giocatori 2026_27'!$A$3:$A$493,0)),"")</f>
        <v>7</v>
      </c>
      <c r="O227" s="27" t="n">
        <f aca="false">IFERROR(INDEX('Input Giocatori 2026_27'!$G$3:$G$493,MATCH($A227,'Input Giocatori 2026_27'!$A$3:$A$493,0)),"")</f>
        <v>14</v>
      </c>
      <c r="P227" s="26" t="str">
        <f aca="false">IFERROR(IF($O227="","",IF((1-(COUNTIFS($B$2:$B$492,$B227,$O$2:$O$492,"&gt;"&amp;$O227)+1-1)/COUNTIF($B$2:$B$492,$B227))&gt;=0.85,"Top",IF((1-(COUNTIFS($B$2:$B$492,$B227,$O$2:$O$492,"&gt;"&amp;$O227)+1-1)/COUNTIF($B$2:$B$492,$B227))&gt;=0.6,"Buono",IF((1-(COUNTIFS($B$2:$B$492,$B227,$O$2:$O$492,"&gt;"&amp;$O227)+1-1)/COUNTIF($B$2:$B$492,$B227))&gt;=0.3,"Nella Media","Scommessa/Riserva")))),"")</f>
        <v>Buono</v>
      </c>
      <c r="Q227" s="29" t="n">
        <f aca="false">IF($D227="",COUNTIF($D$2:$D227,""),"")</f>
        <v>226</v>
      </c>
      <c r="R227" s="29" t="str">
        <f aca="false">IF($D227='Info Lega'!$B$28,COUNTIFS($D$2:$D227,'Info Lega'!$B$28),"")</f>
        <v/>
      </c>
      <c r="S227" s="30" t="n">
        <f aca="false">IFERROR(INDEX('Input Statistiche 2025_26'!$G$3:$G$665,MATCH($A227,'Input Statistiche 2025_26'!$A$3:$A$665,0)),"")</f>
        <v>5.88</v>
      </c>
      <c r="T227" s="30" t="n">
        <f aca="false">IFERROR(INDEX('Input Statistiche 2025_26'!$H$3:$H$665,MATCH($A227,'Input Statistiche 2025_26'!$A$3:$A$665,0)),"")</f>
        <v>5.82</v>
      </c>
      <c r="U227" s="26" t="str">
        <f aca="false">IF(OR('La Mia Rosa'!$O$12="",$D227&lt;&gt;""),"",IF($F227&lt;='La Mia Rosa'!$O$12*'Parametri Modello'!$B$24,"OK",IF($F227&lt;='La Mia Rosa'!$O$12*'Parametri Modello'!$B$25,"Attenzione","Rischio Alto")))</f>
        <v>OK</v>
      </c>
      <c r="V227" s="26" t="n">
        <f aca="false">IFERROR(COUNTIFS($B$2:$B$492,$B227,$O$2:$O$492,"&gt;"&amp;$O227)+1,"")</f>
        <v>67</v>
      </c>
      <c r="W227" s="21" t="n">
        <f aca="false">'Info Lega'!$B$4-SUMIFS($M$2:$M$492,$D$2:$D$492,'Info Lega'!$B$28)</f>
        <v>1000</v>
      </c>
      <c r="X227" s="21" t="n">
        <f aca="false">('Info Lega'!$B$5-COUNTIFS($D$2:$D$492,'Info Lega'!$B$28,$B$2:$B$492,"P"))+('Info Lega'!$B$6-COUNTIFS($D$2:$D$492,'Info Lega'!$B$28,$B$2:$B$492,"D"))+('Info Lega'!$B$7-COUNTIFS($D$2:$D$492,'Info Lega'!$B$28,$B$2:$B$492,"C"))+('Info Lega'!$B$8-COUNTIFS($D$2:$D$492,'Info Lega'!$B$28,$B$2:$B$492,"A"))</f>
        <v>25</v>
      </c>
      <c r="Y227" s="21" t="n">
        <f aca="false">X227*'Parametri Modello'!$B$30</f>
        <v>25</v>
      </c>
      <c r="Z227" s="21" t="n">
        <f aca="false">MAX(0,W227-Y227)</f>
        <v>975</v>
      </c>
      <c r="AA227" s="21" t="n">
        <f aca="false">MIN(F227,Z227)</f>
        <v>3</v>
      </c>
      <c r="AB227" s="21"/>
      <c r="AC227" s="21" t="str">
        <f aca="false">IF(AB227="","",IF(AB227&gt;AA227,"PASS",IF(AB227&lt;=AA227*0.85,"BID","ATTENZIONE")))</f>
        <v/>
      </c>
      <c r="AD227" s="31" t="n">
        <f aca="false">IF(I227="","",ROUND(100*(1-EXP(-I227/30)),0))</f>
        <v>68</v>
      </c>
      <c r="AE227" s="7" t="str">
        <f aca="false">IFERROR(INDEX('Stato Asta'!$G$9:$G$12,MATCH($B227,'Stato Asta'!$A$9:$A$12,0)),"")</f>
        <v>🟡 Attesa rischiosa</v>
      </c>
    </row>
    <row r="228" customFormat="false" ht="14.25" hidden="false" customHeight="true" outlineLevel="0" collapsed="false">
      <c r="A228" s="21" t="n">
        <v>4952</v>
      </c>
      <c r="B228" s="21" t="s">
        <v>44</v>
      </c>
      <c r="C228" s="21" t="s">
        <v>250</v>
      </c>
      <c r="E228" s="26" t="str">
        <f aca="false">IF(COUNTIF('Info Strategia'!$D$2:$D$51,$C228)&gt;0,"SI","NO")</f>
        <v>NO</v>
      </c>
      <c r="F228" s="27" t="n">
        <f aca="false">IFERROR(ROUND(($G228+($H228-$G228)*'Info Strategia'!$B$6)*(1+IF($E228="SI",'Parametri Modello'!$B$7*'Info Strategia'!$B$6,0)),0),"")</f>
        <v>3</v>
      </c>
      <c r="G228" s="27" t="n">
        <f aca="false">IFERROR(ROUND(MAX(1,(IF($V228&lt;=INDEX('Parametri Modello'!$C$57:$C$60,MATCH($B228,'Parametri Modello'!$A$57:$A$60,0)),IF(INDEX('Parametri Modello'!$E$57:$E$60,MATCH($B228,'Parametri Modello'!$A$57:$A$60,0))=0,0,($O228/INDEX('Parametri Modello'!$E$57:$E$60,MATCH($B228,'Parametri Modello'!$A$57:$A$60,0)))*(INDEX('Parametri Modello'!$D$57:$D$60,MATCH($B228,'Parametri Modello'!$A$57:$A$60,0))*(INDEX('Parametri Modello'!$B$50:$B$53,MATCH($B228,'Parametri Modello'!$A$50:$A$53,0))*'Parametri Modello'!$B$44))),IF(INDEX('Parametri Modello'!$F$57:$F$60,MATCH($B228,'Parametri Modello'!$A$57:$A$60,0))=0,0,($O228/INDEX('Parametri Modello'!$F$57:$F$60,MATCH($B228,'Parametri Modello'!$A$57:$A$60,0)))*((1-INDEX('Parametri Modello'!$D$57:$D$60,MATCH($B228,'Parametri Modello'!$A$57:$A$60,0)))*(INDEX('Parametri Modello'!$B$50:$B$53,MATCH($B228,'Parametri Modello'!$A$50:$A$53,0))*'Parametri Modello'!$B$44))))*(1+IF(IF($B228="D",'Info Lega'!$B$25,IF($B228="C",'Info Lega'!$B$26,"No"))="Si",'Parametri Modello'!$B$5,0))*(1+MAX(-0.25,MIN(0.25,IF(OR($T228="",$I228="",$I228=0,INDEX('Parametri Modello'!$B$19:$B$22,MATCH($B228,'Parametri Modello'!$A$19:$A$22,0))="",INDEX('Parametri Modello'!$B$19:$B$22,MATCH($B228,'Parametri Modello'!$A$19:$A$22,0))=0),0,(($T228-INDEX('Parametri Modello'!$B$19:$B$22,MATCH($B228,'Parametri Modello'!$A$19:$A$22,0)))/INDEX('Parametri Modello'!$B$19:$B$22,MATCH($B228,'Parametri Modello'!$A$19:$A$22,0)))*'Parametri Modello'!$B$9))))*(1+IF('Parametri Modello'!$B$27="Si",MAX(-'Parametri Modello'!$B$28,MIN('Parametri Modello'!$B$28*1.5,IF(OR(INDEX('Parametri Modello'!$F$32:$F$35,MATCH($B228,'Parametri Modello'!$A$32:$A$35,0))="",INDEX('Parametri Modello'!$F$32:$F$35,MATCH($B228,'Parametri Modello'!$A$32:$A$35,0))=0),0,(1/INDEX('Parametri Modello'!$F$32:$F$35,MATCH($B228,'Parametri Modello'!$A$32:$A$35,0))-1)*'Parametri Modello'!$B$28))),0)))*(1-INDEX('Parametri Modello'!$B$12:$B$15,MATCH($B228,'Parametri Modello'!$A$12:$A$15,0)))),0),"")</f>
        <v>2</v>
      </c>
      <c r="H228" s="27" t="n">
        <f aca="false">IFERROR(ROUND((IF($V228&lt;=INDEX('Parametri Modello'!$C$57:$C$60,MATCH($B228,'Parametri Modello'!$A$57:$A$60,0)),IF(INDEX('Parametri Modello'!$E$57:$E$60,MATCH($B228,'Parametri Modello'!$A$57:$A$60,0))=0,0,($O228/INDEX('Parametri Modello'!$E$57:$E$60,MATCH($B228,'Parametri Modello'!$A$57:$A$60,0)))*(INDEX('Parametri Modello'!$D$57:$D$60,MATCH($B228,'Parametri Modello'!$A$57:$A$60,0))*(INDEX('Parametri Modello'!$B$50:$B$53,MATCH($B228,'Parametri Modello'!$A$50:$A$53,0))*'Parametri Modello'!$B$44))),IF(INDEX('Parametri Modello'!$F$57:$F$60,MATCH($B228,'Parametri Modello'!$A$57:$A$60,0))=0,0,($O228/INDEX('Parametri Modello'!$F$57:$F$60,MATCH($B228,'Parametri Modello'!$A$57:$A$60,0)))*((1-INDEX('Parametri Modello'!$D$57:$D$60,MATCH($B228,'Parametri Modello'!$A$57:$A$60,0)))*(INDEX('Parametri Modello'!$B$50:$B$53,MATCH($B228,'Parametri Modello'!$A$50:$A$53,0))*'Parametri Modello'!$B$44))))*(1+IF(IF($B228="D",'Info Lega'!$B$25,IF($B228="C",'Info Lega'!$B$26,"No"))="Si",'Parametri Modello'!$B$5,0))*(1+MAX(-0.25,MIN(0.25,IF(OR($T228="",$I228="",$I228=0,INDEX('Parametri Modello'!$B$19:$B$22,MATCH($B228,'Parametri Modello'!$A$19:$A$22,0))="",INDEX('Parametri Modello'!$B$19:$B$22,MATCH($B228,'Parametri Modello'!$A$19:$A$22,0))=0),0,(($T228-INDEX('Parametri Modello'!$B$19:$B$22,MATCH($B228,'Parametri Modello'!$A$19:$A$22,0)))/INDEX('Parametri Modello'!$B$19:$B$22,MATCH($B228,'Parametri Modello'!$A$19:$A$22,0)))*'Parametri Modello'!$B$9))))*(1+IF('Parametri Modello'!$B$27="Si",MAX(-'Parametri Modello'!$B$28,MIN('Parametri Modello'!$B$28*1.5,IF(OR(INDEX('Parametri Modello'!$F$32:$F$35,MATCH($B228,'Parametri Modello'!$A$32:$A$35,0))="",INDEX('Parametri Modello'!$F$32:$F$35,MATCH($B228,'Parametri Modello'!$A$32:$A$35,0))=0),0,(1/INDEX('Parametri Modello'!$F$32:$F$35,MATCH($B228,'Parametri Modello'!$A$32:$A$35,0))-1)*'Parametri Modello'!$B$28))),0)))*(1+INDEX('Parametri Modello'!$B$12:$B$15,MATCH($B228,'Parametri Modello'!$A$12:$A$15,0))),0),"")</f>
        <v>3</v>
      </c>
      <c r="I228" s="26" t="str">
        <f aca="false">IFERROR(INDEX('Input Statistiche 2025_26'!$F$3:$F$665,MATCH($A228,'Input Statistiche 2025_26'!$A$3:$A$665,0)),"")</f>
        <v/>
      </c>
      <c r="J228" s="26" t="str">
        <f aca="false">IFERROR(IF($I228="","",MAX(0,38-$I228)),"")</f>
        <v/>
      </c>
      <c r="K228" s="26" t="str">
        <f aca="false">IFERROR(INDEX('Input Statistiche 2025_26'!$I$3:$I$665,MATCH($A228,'Input Statistiche 2025_26'!$A$3:$A$665,0)),"")</f>
        <v/>
      </c>
      <c r="L228" s="26" t="str">
        <f aca="false">IFERROR(INDEX('Input Statistiche 2025_26'!$O$3:$O$665,MATCH($A228,'Input Statistiche 2025_26'!$A$3:$A$665,0)),"")</f>
        <v/>
      </c>
      <c r="M228" s="28"/>
      <c r="N228" s="27" t="n">
        <f aca="false">IFERROR(INDEX('Input Giocatori 2026_27'!$E$3:$E$493,MATCH($A228,'Input Giocatori 2026_27'!$A$3:$A$493,0)),"")</f>
        <v>6</v>
      </c>
      <c r="O228" s="27" t="n">
        <f aca="false">IFERROR(INDEX('Input Giocatori 2026_27'!$G$3:$G$493,MATCH($A228,'Input Giocatori 2026_27'!$A$3:$A$493,0)),"")</f>
        <v>14</v>
      </c>
      <c r="P228" s="26" t="str">
        <f aca="false">IFERROR(IF($O228="","",IF((1-(COUNTIFS($B$2:$B$492,$B228,$O$2:$O$492,"&gt;"&amp;$O228)+1-1)/COUNTIF($B$2:$B$492,$B228))&gt;=0.85,"Top",IF((1-(COUNTIFS($B$2:$B$492,$B228,$O$2:$O$492,"&gt;"&amp;$O228)+1-1)/COUNTIF($B$2:$B$492,$B228))&gt;=0.6,"Buono",IF((1-(COUNTIFS($B$2:$B$492,$B228,$O$2:$O$492,"&gt;"&amp;$O228)+1-1)/COUNTIF($B$2:$B$492,$B228))&gt;=0.3,"Nella Media","Scommessa/Riserva")))),"")</f>
        <v>Buono</v>
      </c>
      <c r="Q228" s="29" t="n">
        <f aca="false">IF($D228="",COUNTIF($D$2:$D228,""),"")</f>
        <v>227</v>
      </c>
      <c r="R228" s="29" t="str">
        <f aca="false">IF($D228='Info Lega'!$B$28,COUNTIFS($D$2:$D228,'Info Lega'!$B$28),"")</f>
        <v/>
      </c>
      <c r="S228" s="30" t="str">
        <f aca="false">IFERROR(INDEX('Input Statistiche 2025_26'!$G$3:$G$665,MATCH($A228,'Input Statistiche 2025_26'!$A$3:$A$665,0)),"")</f>
        <v/>
      </c>
      <c r="T228" s="30" t="str">
        <f aca="false">IFERROR(INDEX('Input Statistiche 2025_26'!$H$3:$H$665,MATCH($A228,'Input Statistiche 2025_26'!$A$3:$A$665,0)),"")</f>
        <v/>
      </c>
      <c r="U228" s="26" t="str">
        <f aca="false">IF(OR('La Mia Rosa'!$O$12="",$D228&lt;&gt;""),"",IF($F228&lt;='La Mia Rosa'!$O$12*'Parametri Modello'!$B$24,"OK",IF($F228&lt;='La Mia Rosa'!$O$12*'Parametri Modello'!$B$25,"Attenzione","Rischio Alto")))</f>
        <v>OK</v>
      </c>
      <c r="V228" s="26" t="n">
        <f aca="false">IFERROR(COUNTIFS($B$2:$B$492,$B228,$O$2:$O$492,"&gt;"&amp;$O228)+1,"")</f>
        <v>67</v>
      </c>
      <c r="W228" s="21" t="n">
        <f aca="false">'Info Lega'!$B$4-SUMIFS($M$2:$M$492,$D$2:$D$492,'Info Lega'!$B$28)</f>
        <v>1000</v>
      </c>
      <c r="X228" s="21" t="n">
        <f aca="false">('Info Lega'!$B$5-COUNTIFS($D$2:$D$492,'Info Lega'!$B$28,$B$2:$B$492,"P"))+('Info Lega'!$B$6-COUNTIFS($D$2:$D$492,'Info Lega'!$B$28,$B$2:$B$492,"D"))+('Info Lega'!$B$7-COUNTIFS($D$2:$D$492,'Info Lega'!$B$28,$B$2:$B$492,"C"))+('Info Lega'!$B$8-COUNTIFS($D$2:$D$492,'Info Lega'!$B$28,$B$2:$B$492,"A"))</f>
        <v>25</v>
      </c>
      <c r="Y228" s="21" t="n">
        <f aca="false">X228*'Parametri Modello'!$B$30</f>
        <v>25</v>
      </c>
      <c r="Z228" s="21" t="n">
        <f aca="false">MAX(0,W228-Y228)</f>
        <v>975</v>
      </c>
      <c r="AA228" s="21" t="n">
        <f aca="false">MIN(F228,Z228)</f>
        <v>3</v>
      </c>
      <c r="AB228" s="21"/>
      <c r="AC228" s="21" t="str">
        <f aca="false">IF(AB228="","",IF(AB228&gt;AA228,"PASS",IF(AB228&lt;=AA228*0.85,"BID","ATTENZIONE")))</f>
        <v/>
      </c>
      <c r="AD228" s="31" t="str">
        <f aca="false">IF(I228="","",ROUND(100*(1-EXP(-I228/30)),0))</f>
        <v/>
      </c>
      <c r="AE228" s="7" t="str">
        <f aca="false">IFERROR(INDEX('Stato Asta'!$G$9:$G$12,MATCH($B228,'Stato Asta'!$A$9:$A$12,0)),"")</f>
        <v>🟡 Attesa rischiosa</v>
      </c>
    </row>
    <row r="229" customFormat="false" ht="14.25" hidden="false" customHeight="true" outlineLevel="0" collapsed="false">
      <c r="A229" s="21" t="n">
        <v>5298</v>
      </c>
      <c r="B229" s="21" t="s">
        <v>45</v>
      </c>
      <c r="C229" s="21" t="s">
        <v>430</v>
      </c>
      <c r="E229" s="26" t="str">
        <f aca="false">IF(COUNTIF('Info Strategia'!$D$2:$D$51,$C229)&gt;0,"SI","NO")</f>
        <v>NO</v>
      </c>
      <c r="F229" s="27" t="n">
        <f aca="false">IFERROR(ROUND(($G229+($H229-$G229)*'Info Strategia'!$B$6)*(1+IF($E229="SI",'Parametri Modello'!$B$7*'Info Strategia'!$B$6,0)),0),"")</f>
        <v>2</v>
      </c>
      <c r="G229" s="27" t="n">
        <f aca="false">IFERROR(ROUND(MAX(1,(IF($V229&lt;=INDEX('Parametri Modello'!$C$57:$C$60,MATCH($B229,'Parametri Modello'!$A$57:$A$60,0)),IF(INDEX('Parametri Modello'!$E$57:$E$60,MATCH($B229,'Parametri Modello'!$A$57:$A$60,0))=0,0,($O229/INDEX('Parametri Modello'!$E$57:$E$60,MATCH($B229,'Parametri Modello'!$A$57:$A$60,0)))*(INDEX('Parametri Modello'!$D$57:$D$60,MATCH($B229,'Parametri Modello'!$A$57:$A$60,0))*(INDEX('Parametri Modello'!$B$50:$B$53,MATCH($B229,'Parametri Modello'!$A$50:$A$53,0))*'Parametri Modello'!$B$44))),IF(INDEX('Parametri Modello'!$F$57:$F$60,MATCH($B229,'Parametri Modello'!$A$57:$A$60,0))=0,0,($O229/INDEX('Parametri Modello'!$F$57:$F$60,MATCH($B229,'Parametri Modello'!$A$57:$A$60,0)))*((1-INDEX('Parametri Modello'!$D$57:$D$60,MATCH($B229,'Parametri Modello'!$A$57:$A$60,0)))*(INDEX('Parametri Modello'!$B$50:$B$53,MATCH($B229,'Parametri Modello'!$A$50:$A$53,0))*'Parametri Modello'!$B$44))))*(1+IF(IF($B229="D",'Info Lega'!$B$25,IF($B229="C",'Info Lega'!$B$26,"No"))="Si",'Parametri Modello'!$B$5,0))*(1+MAX(-0.25,MIN(0.25,IF(OR($T229="",$I229="",$I229=0,INDEX('Parametri Modello'!$B$19:$B$22,MATCH($B229,'Parametri Modello'!$A$19:$A$22,0))="",INDEX('Parametri Modello'!$B$19:$B$22,MATCH($B229,'Parametri Modello'!$A$19:$A$22,0))=0),0,(($T229-INDEX('Parametri Modello'!$B$19:$B$22,MATCH($B229,'Parametri Modello'!$A$19:$A$22,0)))/INDEX('Parametri Modello'!$B$19:$B$22,MATCH($B229,'Parametri Modello'!$A$19:$A$22,0)))*'Parametri Modello'!$B$9))))*(1+IF('Parametri Modello'!$B$27="Si",MAX(-'Parametri Modello'!$B$28,MIN('Parametri Modello'!$B$28*1.5,IF(OR(INDEX('Parametri Modello'!$F$32:$F$35,MATCH($B229,'Parametri Modello'!$A$32:$A$35,0))="",INDEX('Parametri Modello'!$F$32:$F$35,MATCH($B229,'Parametri Modello'!$A$32:$A$35,0))=0),0,(1/INDEX('Parametri Modello'!$F$32:$F$35,MATCH($B229,'Parametri Modello'!$A$32:$A$35,0))-1)*'Parametri Modello'!$B$28))),0)))*(1-INDEX('Parametri Modello'!$B$12:$B$15,MATCH($B229,'Parametri Modello'!$A$12:$A$15,0)))),0),"")</f>
        <v>1</v>
      </c>
      <c r="H229" s="27" t="n">
        <f aca="false">IFERROR(ROUND((IF($V229&lt;=INDEX('Parametri Modello'!$C$57:$C$60,MATCH($B229,'Parametri Modello'!$A$57:$A$60,0)),IF(INDEX('Parametri Modello'!$E$57:$E$60,MATCH($B229,'Parametri Modello'!$A$57:$A$60,0))=0,0,($O229/INDEX('Parametri Modello'!$E$57:$E$60,MATCH($B229,'Parametri Modello'!$A$57:$A$60,0)))*(INDEX('Parametri Modello'!$D$57:$D$60,MATCH($B229,'Parametri Modello'!$A$57:$A$60,0))*(INDEX('Parametri Modello'!$B$50:$B$53,MATCH($B229,'Parametri Modello'!$A$50:$A$53,0))*'Parametri Modello'!$B$44))),IF(INDEX('Parametri Modello'!$F$57:$F$60,MATCH($B229,'Parametri Modello'!$A$57:$A$60,0))=0,0,($O229/INDEX('Parametri Modello'!$F$57:$F$60,MATCH($B229,'Parametri Modello'!$A$57:$A$60,0)))*((1-INDEX('Parametri Modello'!$D$57:$D$60,MATCH($B229,'Parametri Modello'!$A$57:$A$60,0)))*(INDEX('Parametri Modello'!$B$50:$B$53,MATCH($B229,'Parametri Modello'!$A$50:$A$53,0))*'Parametri Modello'!$B$44))))*(1+IF(IF($B229="D",'Info Lega'!$B$25,IF($B229="C",'Info Lega'!$B$26,"No"))="Si",'Parametri Modello'!$B$5,0))*(1+MAX(-0.25,MIN(0.25,IF(OR($T229="",$I229="",$I229=0,INDEX('Parametri Modello'!$B$19:$B$22,MATCH($B229,'Parametri Modello'!$A$19:$A$22,0))="",INDEX('Parametri Modello'!$B$19:$B$22,MATCH($B229,'Parametri Modello'!$A$19:$A$22,0))=0),0,(($T229-INDEX('Parametri Modello'!$B$19:$B$22,MATCH($B229,'Parametri Modello'!$A$19:$A$22,0)))/INDEX('Parametri Modello'!$B$19:$B$22,MATCH($B229,'Parametri Modello'!$A$19:$A$22,0)))*'Parametri Modello'!$B$9))))*(1+IF('Parametri Modello'!$B$27="Si",MAX(-'Parametri Modello'!$B$28,MIN('Parametri Modello'!$B$28*1.5,IF(OR(INDEX('Parametri Modello'!$F$32:$F$35,MATCH($B229,'Parametri Modello'!$A$32:$A$35,0))="",INDEX('Parametri Modello'!$F$32:$F$35,MATCH($B229,'Parametri Modello'!$A$32:$A$35,0))=0),0,(1/INDEX('Parametri Modello'!$F$32:$F$35,MATCH($B229,'Parametri Modello'!$A$32:$A$35,0))-1)*'Parametri Modello'!$B$28))),0)))*(1+INDEX('Parametri Modello'!$B$12:$B$15,MATCH($B229,'Parametri Modello'!$A$12:$A$15,0))),0),"")</f>
        <v>2</v>
      </c>
      <c r="I229" s="26" t="n">
        <f aca="false">IFERROR(INDEX('Input Statistiche 2025_26'!$F$3:$F$665,MATCH($A229,'Input Statistiche 2025_26'!$A$3:$A$665,0)),"")</f>
        <v>23</v>
      </c>
      <c r="J229" s="26" t="n">
        <f aca="false">IFERROR(IF($I229="","",MAX(0,38-$I229)),"")</f>
        <v>15</v>
      </c>
      <c r="K229" s="26" t="n">
        <f aca="false">IFERROR(INDEX('Input Statistiche 2025_26'!$I$3:$I$665,MATCH($A229,'Input Statistiche 2025_26'!$A$3:$A$665,0)),"")</f>
        <v>3</v>
      </c>
      <c r="L229" s="26" t="n">
        <f aca="false">IFERROR(INDEX('Input Statistiche 2025_26'!$O$3:$O$665,MATCH($A229,'Input Statistiche 2025_26'!$A$3:$A$665,0)),"")</f>
        <v>1</v>
      </c>
      <c r="M229" s="28"/>
      <c r="N229" s="27" t="n">
        <f aca="false">IFERROR(INDEX('Input Giocatori 2026_27'!$E$3:$E$493,MATCH($A229,'Input Giocatori 2026_27'!$A$3:$A$493,0)),"")</f>
        <v>6</v>
      </c>
      <c r="O229" s="27" t="n">
        <f aca="false">IFERROR(INDEX('Input Giocatori 2026_27'!$G$3:$G$493,MATCH($A229,'Input Giocatori 2026_27'!$A$3:$A$493,0)),"")</f>
        <v>14</v>
      </c>
      <c r="P229" s="26" t="str">
        <f aca="false">IFERROR(IF($O229="","",IF((1-(COUNTIFS($B$2:$B$492,$B229,$O$2:$O$492,"&gt;"&amp;$O229)+1-1)/COUNTIF($B$2:$B$492,$B229))&gt;=0.85,"Top",IF((1-(COUNTIFS($B$2:$B$492,$B229,$O$2:$O$492,"&gt;"&amp;$O229)+1-1)/COUNTIF($B$2:$B$492,$B229))&gt;=0.6,"Buono",IF((1-(COUNTIFS($B$2:$B$492,$B229,$O$2:$O$492,"&gt;"&amp;$O229)+1-1)/COUNTIF($B$2:$B$492,$B229))&gt;=0.3,"Nella Media","Scommessa/Riserva")))),"")</f>
        <v>Nella Media</v>
      </c>
      <c r="Q229" s="29" t="n">
        <f aca="false">IF($D229="",COUNTIF($D$2:$D229,""),"")</f>
        <v>228</v>
      </c>
      <c r="R229" s="29" t="str">
        <f aca="false">IF($D229='Info Lega'!$B$28,COUNTIFS($D$2:$D229,'Info Lega'!$B$28),"")</f>
        <v/>
      </c>
      <c r="S229" s="30" t="n">
        <f aca="false">IFERROR(INDEX('Input Statistiche 2025_26'!$G$3:$G$665,MATCH($A229,'Input Statistiche 2025_26'!$A$3:$A$665,0)),"")</f>
        <v>5.83</v>
      </c>
      <c r="T229" s="30" t="n">
        <f aca="false">IFERROR(INDEX('Input Statistiche 2025_26'!$H$3:$H$665,MATCH($A229,'Input Statistiche 2025_26'!$A$3:$A$665,0)),"")</f>
        <v>6.17</v>
      </c>
      <c r="U229" s="26" t="str">
        <f aca="false">IF(OR('La Mia Rosa'!$O$12="",$D229&lt;&gt;""),"",IF($F229&lt;='La Mia Rosa'!$O$12*'Parametri Modello'!$B$24,"OK",IF($F229&lt;='La Mia Rosa'!$O$12*'Parametri Modello'!$B$25,"Attenzione","Rischio Alto")))</f>
        <v>OK</v>
      </c>
      <c r="V229" s="26" t="n">
        <f aca="false">IFERROR(COUNTIFS($B$2:$B$492,$B229,$O$2:$O$492,"&gt;"&amp;$O229)+1,"")</f>
        <v>86</v>
      </c>
      <c r="W229" s="21" t="n">
        <f aca="false">'Info Lega'!$B$4-SUMIFS($M$2:$M$492,$D$2:$D$492,'Info Lega'!$B$28)</f>
        <v>1000</v>
      </c>
      <c r="X229" s="21" t="n">
        <f aca="false">('Info Lega'!$B$5-COUNTIFS($D$2:$D$492,'Info Lega'!$B$28,$B$2:$B$492,"P"))+('Info Lega'!$B$6-COUNTIFS($D$2:$D$492,'Info Lega'!$B$28,$B$2:$B$492,"D"))+('Info Lega'!$B$7-COUNTIFS($D$2:$D$492,'Info Lega'!$B$28,$B$2:$B$492,"C"))+('Info Lega'!$B$8-COUNTIFS($D$2:$D$492,'Info Lega'!$B$28,$B$2:$B$492,"A"))</f>
        <v>25</v>
      </c>
      <c r="Y229" s="21" t="n">
        <f aca="false">X229*'Parametri Modello'!$B$30</f>
        <v>25</v>
      </c>
      <c r="Z229" s="21" t="n">
        <f aca="false">MAX(0,W229-Y229)</f>
        <v>975</v>
      </c>
      <c r="AA229" s="21" t="n">
        <f aca="false">MIN(F229,Z229)</f>
        <v>2</v>
      </c>
      <c r="AB229" s="21"/>
      <c r="AC229" s="21" t="str">
        <f aca="false">IF(AB229="","",IF(AB229&gt;AA229,"PASS",IF(AB229&lt;=AA229*0.85,"BID","ATTENZIONE")))</f>
        <v/>
      </c>
      <c r="AD229" s="31" t="n">
        <f aca="false">IF(I229="","",ROUND(100*(1-EXP(-I229/30)),0))</f>
        <v>54</v>
      </c>
      <c r="AE229" s="7" t="str">
        <f aca="false">IFERROR(INDEX('Stato Asta'!$G$9:$G$12,MATCH($B229,'Stato Asta'!$A$9:$A$12,0)),"")</f>
        <v>🟡 Attesa rischiosa</v>
      </c>
    </row>
    <row r="230" customFormat="false" ht="14.25" hidden="false" customHeight="true" outlineLevel="0" collapsed="false">
      <c r="A230" s="21" t="n">
        <v>4260</v>
      </c>
      <c r="B230" s="21" t="s">
        <v>45</v>
      </c>
      <c r="C230" s="21" t="s">
        <v>432</v>
      </c>
      <c r="E230" s="26" t="str">
        <f aca="false">IF(COUNTIF('Info Strategia'!$D$2:$D$51,$C230)&gt;0,"SI","NO")</f>
        <v>NO</v>
      </c>
      <c r="F230" s="27" t="n">
        <f aca="false">IFERROR(ROUND(($G230+($H230-$G230)*'Info Strategia'!$B$6)*(1+IF($E230="SI",'Parametri Modello'!$B$7*'Info Strategia'!$B$6,0)),0),"")</f>
        <v>2</v>
      </c>
      <c r="G230" s="27" t="n">
        <f aca="false">IFERROR(ROUND(MAX(1,(IF($V230&lt;=INDEX('Parametri Modello'!$C$57:$C$60,MATCH($B230,'Parametri Modello'!$A$57:$A$60,0)),IF(INDEX('Parametri Modello'!$E$57:$E$60,MATCH($B230,'Parametri Modello'!$A$57:$A$60,0))=0,0,($O230/INDEX('Parametri Modello'!$E$57:$E$60,MATCH($B230,'Parametri Modello'!$A$57:$A$60,0)))*(INDEX('Parametri Modello'!$D$57:$D$60,MATCH($B230,'Parametri Modello'!$A$57:$A$60,0))*(INDEX('Parametri Modello'!$B$50:$B$53,MATCH($B230,'Parametri Modello'!$A$50:$A$53,0))*'Parametri Modello'!$B$44))),IF(INDEX('Parametri Modello'!$F$57:$F$60,MATCH($B230,'Parametri Modello'!$A$57:$A$60,0))=0,0,($O230/INDEX('Parametri Modello'!$F$57:$F$60,MATCH($B230,'Parametri Modello'!$A$57:$A$60,0)))*((1-INDEX('Parametri Modello'!$D$57:$D$60,MATCH($B230,'Parametri Modello'!$A$57:$A$60,0)))*(INDEX('Parametri Modello'!$B$50:$B$53,MATCH($B230,'Parametri Modello'!$A$50:$A$53,0))*'Parametri Modello'!$B$44))))*(1+IF(IF($B230="D",'Info Lega'!$B$25,IF($B230="C",'Info Lega'!$B$26,"No"))="Si",'Parametri Modello'!$B$5,0))*(1+MAX(-0.25,MIN(0.25,IF(OR($T230="",$I230="",$I230=0,INDEX('Parametri Modello'!$B$19:$B$22,MATCH($B230,'Parametri Modello'!$A$19:$A$22,0))="",INDEX('Parametri Modello'!$B$19:$B$22,MATCH($B230,'Parametri Modello'!$A$19:$A$22,0))=0),0,(($T230-INDEX('Parametri Modello'!$B$19:$B$22,MATCH($B230,'Parametri Modello'!$A$19:$A$22,0)))/INDEX('Parametri Modello'!$B$19:$B$22,MATCH($B230,'Parametri Modello'!$A$19:$A$22,0)))*'Parametri Modello'!$B$9))))*(1+IF('Parametri Modello'!$B$27="Si",MAX(-'Parametri Modello'!$B$28,MIN('Parametri Modello'!$B$28*1.5,IF(OR(INDEX('Parametri Modello'!$F$32:$F$35,MATCH($B230,'Parametri Modello'!$A$32:$A$35,0))="",INDEX('Parametri Modello'!$F$32:$F$35,MATCH($B230,'Parametri Modello'!$A$32:$A$35,0))=0),0,(1/INDEX('Parametri Modello'!$F$32:$F$35,MATCH($B230,'Parametri Modello'!$A$32:$A$35,0))-1)*'Parametri Modello'!$B$28))),0)))*(1-INDEX('Parametri Modello'!$B$12:$B$15,MATCH($B230,'Parametri Modello'!$A$12:$A$15,0)))),0),"")</f>
        <v>1</v>
      </c>
      <c r="H230" s="27" t="n">
        <f aca="false">IFERROR(ROUND((IF($V230&lt;=INDEX('Parametri Modello'!$C$57:$C$60,MATCH($B230,'Parametri Modello'!$A$57:$A$60,0)),IF(INDEX('Parametri Modello'!$E$57:$E$60,MATCH($B230,'Parametri Modello'!$A$57:$A$60,0))=0,0,($O230/INDEX('Parametri Modello'!$E$57:$E$60,MATCH($B230,'Parametri Modello'!$A$57:$A$60,0)))*(INDEX('Parametri Modello'!$D$57:$D$60,MATCH($B230,'Parametri Modello'!$A$57:$A$60,0))*(INDEX('Parametri Modello'!$B$50:$B$53,MATCH($B230,'Parametri Modello'!$A$50:$A$53,0))*'Parametri Modello'!$B$44))),IF(INDEX('Parametri Modello'!$F$57:$F$60,MATCH($B230,'Parametri Modello'!$A$57:$A$60,0))=0,0,($O230/INDEX('Parametri Modello'!$F$57:$F$60,MATCH($B230,'Parametri Modello'!$A$57:$A$60,0)))*((1-INDEX('Parametri Modello'!$D$57:$D$60,MATCH($B230,'Parametri Modello'!$A$57:$A$60,0)))*(INDEX('Parametri Modello'!$B$50:$B$53,MATCH($B230,'Parametri Modello'!$A$50:$A$53,0))*'Parametri Modello'!$B$44))))*(1+IF(IF($B230="D",'Info Lega'!$B$25,IF($B230="C",'Info Lega'!$B$26,"No"))="Si",'Parametri Modello'!$B$5,0))*(1+MAX(-0.25,MIN(0.25,IF(OR($T230="",$I230="",$I230=0,INDEX('Parametri Modello'!$B$19:$B$22,MATCH($B230,'Parametri Modello'!$A$19:$A$22,0))="",INDEX('Parametri Modello'!$B$19:$B$22,MATCH($B230,'Parametri Modello'!$A$19:$A$22,0))=0),0,(($T230-INDEX('Parametri Modello'!$B$19:$B$22,MATCH($B230,'Parametri Modello'!$A$19:$A$22,0)))/INDEX('Parametri Modello'!$B$19:$B$22,MATCH($B230,'Parametri Modello'!$A$19:$A$22,0)))*'Parametri Modello'!$B$9))))*(1+IF('Parametri Modello'!$B$27="Si",MAX(-'Parametri Modello'!$B$28,MIN('Parametri Modello'!$B$28*1.5,IF(OR(INDEX('Parametri Modello'!$F$32:$F$35,MATCH($B230,'Parametri Modello'!$A$32:$A$35,0))="",INDEX('Parametri Modello'!$F$32:$F$35,MATCH($B230,'Parametri Modello'!$A$32:$A$35,0))=0),0,(1/INDEX('Parametri Modello'!$F$32:$F$35,MATCH($B230,'Parametri Modello'!$A$32:$A$35,0))-1)*'Parametri Modello'!$B$28))),0)))*(1+INDEX('Parametri Modello'!$B$12:$B$15,MATCH($B230,'Parametri Modello'!$A$12:$A$15,0))),0),"")</f>
        <v>2</v>
      </c>
      <c r="I230" s="26" t="str">
        <f aca="false">IFERROR(INDEX('Input Statistiche 2025_26'!$F$3:$F$665,MATCH($A230,'Input Statistiche 2025_26'!$A$3:$A$665,0)),"")</f>
        <v/>
      </c>
      <c r="J230" s="26" t="str">
        <f aca="false">IFERROR(IF($I230="","",MAX(0,38-$I230)),"")</f>
        <v/>
      </c>
      <c r="K230" s="26" t="str">
        <f aca="false">IFERROR(INDEX('Input Statistiche 2025_26'!$I$3:$I$665,MATCH($A230,'Input Statistiche 2025_26'!$A$3:$A$665,0)),"")</f>
        <v/>
      </c>
      <c r="L230" s="26" t="str">
        <f aca="false">IFERROR(INDEX('Input Statistiche 2025_26'!$O$3:$O$665,MATCH($A230,'Input Statistiche 2025_26'!$A$3:$A$665,0)),"")</f>
        <v/>
      </c>
      <c r="M230" s="28"/>
      <c r="N230" s="27" t="n">
        <f aca="false">IFERROR(INDEX('Input Giocatori 2026_27'!$E$3:$E$493,MATCH($A230,'Input Giocatori 2026_27'!$A$3:$A$493,0)),"")</f>
        <v>6</v>
      </c>
      <c r="O230" s="27" t="n">
        <f aca="false">IFERROR(INDEX('Input Giocatori 2026_27'!$G$3:$G$493,MATCH($A230,'Input Giocatori 2026_27'!$A$3:$A$493,0)),"")</f>
        <v>14</v>
      </c>
      <c r="P230" s="26" t="str">
        <f aca="false">IFERROR(IF($O230="","",IF((1-(COUNTIFS($B$2:$B$492,$B230,$O$2:$O$492,"&gt;"&amp;$O230)+1-1)/COUNTIF($B$2:$B$492,$B230))&gt;=0.85,"Top",IF((1-(COUNTIFS($B$2:$B$492,$B230,$O$2:$O$492,"&gt;"&amp;$O230)+1-1)/COUNTIF($B$2:$B$492,$B230))&gt;=0.6,"Buono",IF((1-(COUNTIFS($B$2:$B$492,$B230,$O$2:$O$492,"&gt;"&amp;$O230)+1-1)/COUNTIF($B$2:$B$492,$B230))&gt;=0.3,"Nella Media","Scommessa/Riserva")))),"")</f>
        <v>Nella Media</v>
      </c>
      <c r="Q230" s="29" t="n">
        <f aca="false">IF($D230="",COUNTIF($D$2:$D230,""),"")</f>
        <v>229</v>
      </c>
      <c r="R230" s="29" t="str">
        <f aca="false">IF($D230='Info Lega'!$B$28,COUNTIFS($D$2:$D230,'Info Lega'!$B$28),"")</f>
        <v/>
      </c>
      <c r="S230" s="30" t="str">
        <f aca="false">IFERROR(INDEX('Input Statistiche 2025_26'!$G$3:$G$665,MATCH($A230,'Input Statistiche 2025_26'!$A$3:$A$665,0)),"")</f>
        <v/>
      </c>
      <c r="T230" s="30" t="str">
        <f aca="false">IFERROR(INDEX('Input Statistiche 2025_26'!$H$3:$H$665,MATCH($A230,'Input Statistiche 2025_26'!$A$3:$A$665,0)),"")</f>
        <v/>
      </c>
      <c r="U230" s="26" t="str">
        <f aca="false">IF(OR('La Mia Rosa'!$O$12="",$D230&lt;&gt;""),"",IF($F230&lt;='La Mia Rosa'!$O$12*'Parametri Modello'!$B$24,"OK",IF($F230&lt;='La Mia Rosa'!$O$12*'Parametri Modello'!$B$25,"Attenzione","Rischio Alto")))</f>
        <v>OK</v>
      </c>
      <c r="V230" s="26" t="n">
        <f aca="false">IFERROR(COUNTIFS($B$2:$B$492,$B230,$O$2:$O$492,"&gt;"&amp;$O230)+1,"")</f>
        <v>86</v>
      </c>
      <c r="W230" s="21" t="n">
        <f aca="false">'Info Lega'!$B$4-SUMIFS($M$2:$M$492,$D$2:$D$492,'Info Lega'!$B$28)</f>
        <v>1000</v>
      </c>
      <c r="X230" s="21" t="n">
        <f aca="false">('Info Lega'!$B$5-COUNTIFS($D$2:$D$492,'Info Lega'!$B$28,$B$2:$B$492,"P"))+('Info Lega'!$B$6-COUNTIFS($D$2:$D$492,'Info Lega'!$B$28,$B$2:$B$492,"D"))+('Info Lega'!$B$7-COUNTIFS($D$2:$D$492,'Info Lega'!$B$28,$B$2:$B$492,"C"))+('Info Lega'!$B$8-COUNTIFS($D$2:$D$492,'Info Lega'!$B$28,$B$2:$B$492,"A"))</f>
        <v>25</v>
      </c>
      <c r="Y230" s="21" t="n">
        <f aca="false">X230*'Parametri Modello'!$B$30</f>
        <v>25</v>
      </c>
      <c r="Z230" s="21" t="n">
        <f aca="false">MAX(0,W230-Y230)</f>
        <v>975</v>
      </c>
      <c r="AA230" s="21" t="n">
        <f aca="false">MIN(F230,Z230)</f>
        <v>2</v>
      </c>
      <c r="AB230" s="21"/>
      <c r="AC230" s="21" t="str">
        <f aca="false">IF(AB230="","",IF(AB230&gt;AA230,"PASS",IF(AB230&lt;=AA230*0.85,"BID","ATTENZIONE")))</f>
        <v/>
      </c>
      <c r="AD230" s="31" t="str">
        <f aca="false">IF(I230="","",ROUND(100*(1-EXP(-I230/30)),0))</f>
        <v/>
      </c>
      <c r="AE230" s="7" t="str">
        <f aca="false">IFERROR(INDEX('Stato Asta'!$G$9:$G$12,MATCH($B230,'Stato Asta'!$A$9:$A$12,0)),"")</f>
        <v>🟡 Attesa rischiosa</v>
      </c>
    </row>
    <row r="231" customFormat="false" ht="14.25" hidden="false" customHeight="true" outlineLevel="0" collapsed="false">
      <c r="A231" s="21" t="n">
        <v>5504</v>
      </c>
      <c r="B231" s="21" t="s">
        <v>45</v>
      </c>
      <c r="C231" s="21" t="s">
        <v>439</v>
      </c>
      <c r="E231" s="26" t="str">
        <f aca="false">IF(COUNTIF('Info Strategia'!$D$2:$D$51,$C231)&gt;0,"SI","NO")</f>
        <v>NO</v>
      </c>
      <c r="F231" s="27" t="n">
        <f aca="false">IFERROR(ROUND(($G231+($H231-$G231)*'Info Strategia'!$B$6)*(1+IF($E231="SI",'Parametri Modello'!$B$7*'Info Strategia'!$B$6,0)),0),"")</f>
        <v>2</v>
      </c>
      <c r="G231" s="27" t="n">
        <f aca="false">IFERROR(ROUND(MAX(1,(IF($V231&lt;=INDEX('Parametri Modello'!$C$57:$C$60,MATCH($B231,'Parametri Modello'!$A$57:$A$60,0)),IF(INDEX('Parametri Modello'!$E$57:$E$60,MATCH($B231,'Parametri Modello'!$A$57:$A$60,0))=0,0,($O231/INDEX('Parametri Modello'!$E$57:$E$60,MATCH($B231,'Parametri Modello'!$A$57:$A$60,0)))*(INDEX('Parametri Modello'!$D$57:$D$60,MATCH($B231,'Parametri Modello'!$A$57:$A$60,0))*(INDEX('Parametri Modello'!$B$50:$B$53,MATCH($B231,'Parametri Modello'!$A$50:$A$53,0))*'Parametri Modello'!$B$44))),IF(INDEX('Parametri Modello'!$F$57:$F$60,MATCH($B231,'Parametri Modello'!$A$57:$A$60,0))=0,0,($O231/INDEX('Parametri Modello'!$F$57:$F$60,MATCH($B231,'Parametri Modello'!$A$57:$A$60,0)))*((1-INDEX('Parametri Modello'!$D$57:$D$60,MATCH($B231,'Parametri Modello'!$A$57:$A$60,0)))*(INDEX('Parametri Modello'!$B$50:$B$53,MATCH($B231,'Parametri Modello'!$A$50:$A$53,0))*'Parametri Modello'!$B$44))))*(1+IF(IF($B231="D",'Info Lega'!$B$25,IF($B231="C",'Info Lega'!$B$26,"No"))="Si",'Parametri Modello'!$B$5,0))*(1+MAX(-0.25,MIN(0.25,IF(OR($T231="",$I231="",$I231=0,INDEX('Parametri Modello'!$B$19:$B$22,MATCH($B231,'Parametri Modello'!$A$19:$A$22,0))="",INDEX('Parametri Modello'!$B$19:$B$22,MATCH($B231,'Parametri Modello'!$A$19:$A$22,0))=0),0,(($T231-INDEX('Parametri Modello'!$B$19:$B$22,MATCH($B231,'Parametri Modello'!$A$19:$A$22,0)))/INDEX('Parametri Modello'!$B$19:$B$22,MATCH($B231,'Parametri Modello'!$A$19:$A$22,0)))*'Parametri Modello'!$B$9))))*(1+IF('Parametri Modello'!$B$27="Si",MAX(-'Parametri Modello'!$B$28,MIN('Parametri Modello'!$B$28*1.5,IF(OR(INDEX('Parametri Modello'!$F$32:$F$35,MATCH($B231,'Parametri Modello'!$A$32:$A$35,0))="",INDEX('Parametri Modello'!$F$32:$F$35,MATCH($B231,'Parametri Modello'!$A$32:$A$35,0))=0),0,(1/INDEX('Parametri Modello'!$F$32:$F$35,MATCH($B231,'Parametri Modello'!$A$32:$A$35,0))-1)*'Parametri Modello'!$B$28))),0)))*(1-INDEX('Parametri Modello'!$B$12:$B$15,MATCH($B231,'Parametri Modello'!$A$12:$A$15,0)))),0),"")</f>
        <v>1</v>
      </c>
      <c r="H231" s="27" t="n">
        <f aca="false">IFERROR(ROUND((IF($V231&lt;=INDEX('Parametri Modello'!$C$57:$C$60,MATCH($B231,'Parametri Modello'!$A$57:$A$60,0)),IF(INDEX('Parametri Modello'!$E$57:$E$60,MATCH($B231,'Parametri Modello'!$A$57:$A$60,0))=0,0,($O231/INDEX('Parametri Modello'!$E$57:$E$60,MATCH($B231,'Parametri Modello'!$A$57:$A$60,0)))*(INDEX('Parametri Modello'!$D$57:$D$60,MATCH($B231,'Parametri Modello'!$A$57:$A$60,0))*(INDEX('Parametri Modello'!$B$50:$B$53,MATCH($B231,'Parametri Modello'!$A$50:$A$53,0))*'Parametri Modello'!$B$44))),IF(INDEX('Parametri Modello'!$F$57:$F$60,MATCH($B231,'Parametri Modello'!$A$57:$A$60,0))=0,0,($O231/INDEX('Parametri Modello'!$F$57:$F$60,MATCH($B231,'Parametri Modello'!$A$57:$A$60,0)))*((1-INDEX('Parametri Modello'!$D$57:$D$60,MATCH($B231,'Parametri Modello'!$A$57:$A$60,0)))*(INDEX('Parametri Modello'!$B$50:$B$53,MATCH($B231,'Parametri Modello'!$A$50:$A$53,0))*'Parametri Modello'!$B$44))))*(1+IF(IF($B231="D",'Info Lega'!$B$25,IF($B231="C",'Info Lega'!$B$26,"No"))="Si",'Parametri Modello'!$B$5,0))*(1+MAX(-0.25,MIN(0.25,IF(OR($T231="",$I231="",$I231=0,INDEX('Parametri Modello'!$B$19:$B$22,MATCH($B231,'Parametri Modello'!$A$19:$A$22,0))="",INDEX('Parametri Modello'!$B$19:$B$22,MATCH($B231,'Parametri Modello'!$A$19:$A$22,0))=0),0,(($T231-INDEX('Parametri Modello'!$B$19:$B$22,MATCH($B231,'Parametri Modello'!$A$19:$A$22,0)))/INDEX('Parametri Modello'!$B$19:$B$22,MATCH($B231,'Parametri Modello'!$A$19:$A$22,0)))*'Parametri Modello'!$B$9))))*(1+IF('Parametri Modello'!$B$27="Si",MAX(-'Parametri Modello'!$B$28,MIN('Parametri Modello'!$B$28*1.5,IF(OR(INDEX('Parametri Modello'!$F$32:$F$35,MATCH($B231,'Parametri Modello'!$A$32:$A$35,0))="",INDEX('Parametri Modello'!$F$32:$F$35,MATCH($B231,'Parametri Modello'!$A$32:$A$35,0))=0),0,(1/INDEX('Parametri Modello'!$F$32:$F$35,MATCH($B231,'Parametri Modello'!$A$32:$A$35,0))-1)*'Parametri Modello'!$B$28))),0)))*(1+INDEX('Parametri Modello'!$B$12:$B$15,MATCH($B231,'Parametri Modello'!$A$12:$A$15,0))),0),"")</f>
        <v>2</v>
      </c>
      <c r="I231" s="26" t="n">
        <f aca="false">IFERROR(INDEX('Input Statistiche 2025_26'!$F$3:$F$665,MATCH($A231,'Input Statistiche 2025_26'!$A$3:$A$665,0)),"")</f>
        <v>33</v>
      </c>
      <c r="J231" s="26" t="n">
        <f aca="false">IFERROR(IF($I231="","",MAX(0,38-$I231)),"")</f>
        <v>5</v>
      </c>
      <c r="K231" s="26" t="n">
        <f aca="false">IFERROR(INDEX('Input Statistiche 2025_26'!$I$3:$I$665,MATCH($A231,'Input Statistiche 2025_26'!$A$3:$A$665,0)),"")</f>
        <v>3</v>
      </c>
      <c r="L231" s="26" t="n">
        <f aca="false">IFERROR(INDEX('Input Statistiche 2025_26'!$O$3:$O$665,MATCH($A231,'Input Statistiche 2025_26'!$A$3:$A$665,0)),"")</f>
        <v>1</v>
      </c>
      <c r="M231" s="28"/>
      <c r="N231" s="27" t="n">
        <f aca="false">IFERROR(INDEX('Input Giocatori 2026_27'!$E$3:$E$493,MATCH($A231,'Input Giocatori 2026_27'!$A$3:$A$493,0)),"")</f>
        <v>6</v>
      </c>
      <c r="O231" s="27" t="n">
        <f aca="false">IFERROR(INDEX('Input Giocatori 2026_27'!$G$3:$G$493,MATCH($A231,'Input Giocatori 2026_27'!$A$3:$A$493,0)),"")</f>
        <v>14</v>
      </c>
      <c r="P231" s="26" t="str">
        <f aca="false">IFERROR(IF($O231="","",IF((1-(COUNTIFS($B$2:$B$492,$B231,$O$2:$O$492,"&gt;"&amp;$O231)+1-1)/COUNTIF($B$2:$B$492,$B231))&gt;=0.85,"Top",IF((1-(COUNTIFS($B$2:$B$492,$B231,$O$2:$O$492,"&gt;"&amp;$O231)+1-1)/COUNTIF($B$2:$B$492,$B231))&gt;=0.6,"Buono",IF((1-(COUNTIFS($B$2:$B$492,$B231,$O$2:$O$492,"&gt;"&amp;$O231)+1-1)/COUNTIF($B$2:$B$492,$B231))&gt;=0.3,"Nella Media","Scommessa/Riserva")))),"")</f>
        <v>Nella Media</v>
      </c>
      <c r="Q231" s="29" t="n">
        <f aca="false">IF($D231="",COUNTIF($D$2:$D231,""),"")</f>
        <v>230</v>
      </c>
      <c r="R231" s="29" t="str">
        <f aca="false">IF($D231='Info Lega'!$B$28,COUNTIFS($D$2:$D231,'Info Lega'!$B$28),"")</f>
        <v/>
      </c>
      <c r="S231" s="30" t="n">
        <f aca="false">IFERROR(INDEX('Input Statistiche 2025_26'!$G$3:$G$665,MATCH($A231,'Input Statistiche 2025_26'!$A$3:$A$665,0)),"")</f>
        <v>6.05</v>
      </c>
      <c r="T231" s="30" t="n">
        <f aca="false">IFERROR(INDEX('Input Statistiche 2025_26'!$H$3:$H$665,MATCH($A231,'Input Statistiche 2025_26'!$A$3:$A$665,0)),"")</f>
        <v>6.29</v>
      </c>
      <c r="U231" s="26" t="str">
        <f aca="false">IF(OR('La Mia Rosa'!$O$12="",$D231&lt;&gt;""),"",IF($F231&lt;='La Mia Rosa'!$O$12*'Parametri Modello'!$B$24,"OK",IF($F231&lt;='La Mia Rosa'!$O$12*'Parametri Modello'!$B$25,"Attenzione","Rischio Alto")))</f>
        <v>OK</v>
      </c>
      <c r="V231" s="26" t="n">
        <f aca="false">IFERROR(COUNTIFS($B$2:$B$492,$B231,$O$2:$O$492,"&gt;"&amp;$O231)+1,"")</f>
        <v>86</v>
      </c>
      <c r="W231" s="21" t="n">
        <f aca="false">'Info Lega'!$B$4-SUMIFS($M$2:$M$492,$D$2:$D$492,'Info Lega'!$B$28)</f>
        <v>1000</v>
      </c>
      <c r="X231" s="21" t="n">
        <f aca="false">('Info Lega'!$B$5-COUNTIFS($D$2:$D$492,'Info Lega'!$B$28,$B$2:$B$492,"P"))+('Info Lega'!$B$6-COUNTIFS($D$2:$D$492,'Info Lega'!$B$28,$B$2:$B$492,"D"))+('Info Lega'!$B$7-COUNTIFS($D$2:$D$492,'Info Lega'!$B$28,$B$2:$B$492,"C"))+('Info Lega'!$B$8-COUNTIFS($D$2:$D$492,'Info Lega'!$B$28,$B$2:$B$492,"A"))</f>
        <v>25</v>
      </c>
      <c r="Y231" s="21" t="n">
        <f aca="false">X231*'Parametri Modello'!$B$30</f>
        <v>25</v>
      </c>
      <c r="Z231" s="21" t="n">
        <f aca="false">MAX(0,W231-Y231)</f>
        <v>975</v>
      </c>
      <c r="AA231" s="21" t="n">
        <f aca="false">MIN(F231,Z231)</f>
        <v>2</v>
      </c>
      <c r="AB231" s="21"/>
      <c r="AC231" s="21" t="str">
        <f aca="false">IF(AB231="","",IF(AB231&gt;AA231,"PASS",IF(AB231&lt;=AA231*0.85,"BID","ATTENZIONE")))</f>
        <v/>
      </c>
      <c r="AD231" s="31" t="n">
        <f aca="false">IF(I231="","",ROUND(100*(1-EXP(-I231/30)),0))</f>
        <v>67</v>
      </c>
      <c r="AE231" s="7" t="str">
        <f aca="false">IFERROR(INDEX('Stato Asta'!$G$9:$G$12,MATCH($B231,'Stato Asta'!$A$9:$A$12,0)),"")</f>
        <v>🟡 Attesa rischiosa</v>
      </c>
    </row>
    <row r="232" customFormat="false" ht="14.25" hidden="false" customHeight="true" outlineLevel="0" collapsed="false">
      <c r="A232" s="21" t="n">
        <v>7412</v>
      </c>
      <c r="B232" s="21" t="s">
        <v>45</v>
      </c>
      <c r="C232" s="21" t="s">
        <v>449</v>
      </c>
      <c r="E232" s="26" t="str">
        <f aca="false">IF(COUNTIF('Info Strategia'!$D$2:$D$51,$C232)&gt;0,"SI","NO")</f>
        <v>NO</v>
      </c>
      <c r="F232" s="27" t="n">
        <f aca="false">IFERROR(ROUND(($G232+($H232-$G232)*'Info Strategia'!$B$6)*(1+IF($E232="SI",'Parametri Modello'!$B$7*'Info Strategia'!$B$6,0)),0),"")</f>
        <v>2</v>
      </c>
      <c r="G232" s="27" t="n">
        <f aca="false">IFERROR(ROUND(MAX(1,(IF($V232&lt;=INDEX('Parametri Modello'!$C$57:$C$60,MATCH($B232,'Parametri Modello'!$A$57:$A$60,0)),IF(INDEX('Parametri Modello'!$E$57:$E$60,MATCH($B232,'Parametri Modello'!$A$57:$A$60,0))=0,0,($O232/INDEX('Parametri Modello'!$E$57:$E$60,MATCH($B232,'Parametri Modello'!$A$57:$A$60,0)))*(INDEX('Parametri Modello'!$D$57:$D$60,MATCH($B232,'Parametri Modello'!$A$57:$A$60,0))*(INDEX('Parametri Modello'!$B$50:$B$53,MATCH($B232,'Parametri Modello'!$A$50:$A$53,0))*'Parametri Modello'!$B$44))),IF(INDEX('Parametri Modello'!$F$57:$F$60,MATCH($B232,'Parametri Modello'!$A$57:$A$60,0))=0,0,($O232/INDEX('Parametri Modello'!$F$57:$F$60,MATCH($B232,'Parametri Modello'!$A$57:$A$60,0)))*((1-INDEX('Parametri Modello'!$D$57:$D$60,MATCH($B232,'Parametri Modello'!$A$57:$A$60,0)))*(INDEX('Parametri Modello'!$B$50:$B$53,MATCH($B232,'Parametri Modello'!$A$50:$A$53,0))*'Parametri Modello'!$B$44))))*(1+IF(IF($B232="D",'Info Lega'!$B$25,IF($B232="C",'Info Lega'!$B$26,"No"))="Si",'Parametri Modello'!$B$5,0))*(1+MAX(-0.25,MIN(0.25,IF(OR($T232="",$I232="",$I232=0,INDEX('Parametri Modello'!$B$19:$B$22,MATCH($B232,'Parametri Modello'!$A$19:$A$22,0))="",INDEX('Parametri Modello'!$B$19:$B$22,MATCH($B232,'Parametri Modello'!$A$19:$A$22,0))=0),0,(($T232-INDEX('Parametri Modello'!$B$19:$B$22,MATCH($B232,'Parametri Modello'!$A$19:$A$22,0)))/INDEX('Parametri Modello'!$B$19:$B$22,MATCH($B232,'Parametri Modello'!$A$19:$A$22,0)))*'Parametri Modello'!$B$9))))*(1+IF('Parametri Modello'!$B$27="Si",MAX(-'Parametri Modello'!$B$28,MIN('Parametri Modello'!$B$28*1.5,IF(OR(INDEX('Parametri Modello'!$F$32:$F$35,MATCH($B232,'Parametri Modello'!$A$32:$A$35,0))="",INDEX('Parametri Modello'!$F$32:$F$35,MATCH($B232,'Parametri Modello'!$A$32:$A$35,0))=0),0,(1/INDEX('Parametri Modello'!$F$32:$F$35,MATCH($B232,'Parametri Modello'!$A$32:$A$35,0))-1)*'Parametri Modello'!$B$28))),0)))*(1-INDEX('Parametri Modello'!$B$12:$B$15,MATCH($B232,'Parametri Modello'!$A$12:$A$15,0)))),0),"")</f>
        <v>1</v>
      </c>
      <c r="H232" s="27" t="n">
        <f aca="false">IFERROR(ROUND((IF($V232&lt;=INDEX('Parametri Modello'!$C$57:$C$60,MATCH($B232,'Parametri Modello'!$A$57:$A$60,0)),IF(INDEX('Parametri Modello'!$E$57:$E$60,MATCH($B232,'Parametri Modello'!$A$57:$A$60,0))=0,0,($O232/INDEX('Parametri Modello'!$E$57:$E$60,MATCH($B232,'Parametri Modello'!$A$57:$A$60,0)))*(INDEX('Parametri Modello'!$D$57:$D$60,MATCH($B232,'Parametri Modello'!$A$57:$A$60,0))*(INDEX('Parametri Modello'!$B$50:$B$53,MATCH($B232,'Parametri Modello'!$A$50:$A$53,0))*'Parametri Modello'!$B$44))),IF(INDEX('Parametri Modello'!$F$57:$F$60,MATCH($B232,'Parametri Modello'!$A$57:$A$60,0))=0,0,($O232/INDEX('Parametri Modello'!$F$57:$F$60,MATCH($B232,'Parametri Modello'!$A$57:$A$60,0)))*((1-INDEX('Parametri Modello'!$D$57:$D$60,MATCH($B232,'Parametri Modello'!$A$57:$A$60,0)))*(INDEX('Parametri Modello'!$B$50:$B$53,MATCH($B232,'Parametri Modello'!$A$50:$A$53,0))*'Parametri Modello'!$B$44))))*(1+IF(IF($B232="D",'Info Lega'!$B$25,IF($B232="C",'Info Lega'!$B$26,"No"))="Si",'Parametri Modello'!$B$5,0))*(1+MAX(-0.25,MIN(0.25,IF(OR($T232="",$I232="",$I232=0,INDEX('Parametri Modello'!$B$19:$B$22,MATCH($B232,'Parametri Modello'!$A$19:$A$22,0))="",INDEX('Parametri Modello'!$B$19:$B$22,MATCH($B232,'Parametri Modello'!$A$19:$A$22,0))=0),0,(($T232-INDEX('Parametri Modello'!$B$19:$B$22,MATCH($B232,'Parametri Modello'!$A$19:$A$22,0)))/INDEX('Parametri Modello'!$B$19:$B$22,MATCH($B232,'Parametri Modello'!$A$19:$A$22,0)))*'Parametri Modello'!$B$9))))*(1+IF('Parametri Modello'!$B$27="Si",MAX(-'Parametri Modello'!$B$28,MIN('Parametri Modello'!$B$28*1.5,IF(OR(INDEX('Parametri Modello'!$F$32:$F$35,MATCH($B232,'Parametri Modello'!$A$32:$A$35,0))="",INDEX('Parametri Modello'!$F$32:$F$35,MATCH($B232,'Parametri Modello'!$A$32:$A$35,0))=0),0,(1/INDEX('Parametri Modello'!$F$32:$F$35,MATCH($B232,'Parametri Modello'!$A$32:$A$35,0))-1)*'Parametri Modello'!$B$28))),0)))*(1+INDEX('Parametri Modello'!$B$12:$B$15,MATCH($B232,'Parametri Modello'!$A$12:$A$15,0))),0),"")</f>
        <v>2</v>
      </c>
      <c r="I232" s="26" t="str">
        <f aca="false">IFERROR(INDEX('Input Statistiche 2025_26'!$F$3:$F$665,MATCH($A232,'Input Statistiche 2025_26'!$A$3:$A$665,0)),"")</f>
        <v/>
      </c>
      <c r="J232" s="26" t="str">
        <f aca="false">IFERROR(IF($I232="","",MAX(0,38-$I232)),"")</f>
        <v/>
      </c>
      <c r="K232" s="26" t="str">
        <f aca="false">IFERROR(INDEX('Input Statistiche 2025_26'!$I$3:$I$665,MATCH($A232,'Input Statistiche 2025_26'!$A$3:$A$665,0)),"")</f>
        <v/>
      </c>
      <c r="L232" s="26" t="str">
        <f aca="false">IFERROR(INDEX('Input Statistiche 2025_26'!$O$3:$O$665,MATCH($A232,'Input Statistiche 2025_26'!$A$3:$A$665,0)),"")</f>
        <v/>
      </c>
      <c r="M232" s="28"/>
      <c r="N232" s="27" t="n">
        <f aca="false">IFERROR(INDEX('Input Giocatori 2026_27'!$E$3:$E$493,MATCH($A232,'Input Giocatori 2026_27'!$A$3:$A$493,0)),"")</f>
        <v>5</v>
      </c>
      <c r="O232" s="27" t="n">
        <f aca="false">IFERROR(INDEX('Input Giocatori 2026_27'!$G$3:$G$493,MATCH($A232,'Input Giocatori 2026_27'!$A$3:$A$493,0)),"")</f>
        <v>14</v>
      </c>
      <c r="P232" s="26" t="str">
        <f aca="false">IFERROR(IF($O232="","",IF((1-(COUNTIFS($B$2:$B$492,$B232,$O$2:$O$492,"&gt;"&amp;$O232)+1-1)/COUNTIF($B$2:$B$492,$B232))&gt;=0.85,"Top",IF((1-(COUNTIFS($B$2:$B$492,$B232,$O$2:$O$492,"&gt;"&amp;$O232)+1-1)/COUNTIF($B$2:$B$492,$B232))&gt;=0.6,"Buono",IF((1-(COUNTIFS($B$2:$B$492,$B232,$O$2:$O$492,"&gt;"&amp;$O232)+1-1)/COUNTIF($B$2:$B$492,$B232))&gt;=0.3,"Nella Media","Scommessa/Riserva")))),"")</f>
        <v>Nella Media</v>
      </c>
      <c r="Q232" s="29" t="n">
        <f aca="false">IF($D232="",COUNTIF($D$2:$D232,""),"")</f>
        <v>231</v>
      </c>
      <c r="R232" s="29" t="str">
        <f aca="false">IF($D232='Info Lega'!$B$28,COUNTIFS($D$2:$D232,'Info Lega'!$B$28),"")</f>
        <v/>
      </c>
      <c r="S232" s="30" t="str">
        <f aca="false">IFERROR(INDEX('Input Statistiche 2025_26'!$G$3:$G$665,MATCH($A232,'Input Statistiche 2025_26'!$A$3:$A$665,0)),"")</f>
        <v/>
      </c>
      <c r="T232" s="30" t="str">
        <f aca="false">IFERROR(INDEX('Input Statistiche 2025_26'!$H$3:$H$665,MATCH($A232,'Input Statistiche 2025_26'!$A$3:$A$665,0)),"")</f>
        <v/>
      </c>
      <c r="U232" s="26" t="str">
        <f aca="false">IF(OR('La Mia Rosa'!$O$12="",$D232&lt;&gt;""),"",IF($F232&lt;='La Mia Rosa'!$O$12*'Parametri Modello'!$B$24,"OK",IF($F232&lt;='La Mia Rosa'!$O$12*'Parametri Modello'!$B$25,"Attenzione","Rischio Alto")))</f>
        <v>OK</v>
      </c>
      <c r="V232" s="26" t="n">
        <f aca="false">IFERROR(COUNTIFS($B$2:$B$492,$B232,$O$2:$O$492,"&gt;"&amp;$O232)+1,"")</f>
        <v>86</v>
      </c>
      <c r="W232" s="21" t="n">
        <f aca="false">'Info Lega'!$B$4-SUMIFS($M$2:$M$492,$D$2:$D$492,'Info Lega'!$B$28)</f>
        <v>1000</v>
      </c>
      <c r="X232" s="21" t="n">
        <f aca="false">('Info Lega'!$B$5-COUNTIFS($D$2:$D$492,'Info Lega'!$B$28,$B$2:$B$492,"P"))+('Info Lega'!$B$6-COUNTIFS($D$2:$D$492,'Info Lega'!$B$28,$B$2:$B$492,"D"))+('Info Lega'!$B$7-COUNTIFS($D$2:$D$492,'Info Lega'!$B$28,$B$2:$B$492,"C"))+('Info Lega'!$B$8-COUNTIFS($D$2:$D$492,'Info Lega'!$B$28,$B$2:$B$492,"A"))</f>
        <v>25</v>
      </c>
      <c r="Y232" s="21" t="n">
        <f aca="false">X232*'Parametri Modello'!$B$30</f>
        <v>25</v>
      </c>
      <c r="Z232" s="21" t="n">
        <f aca="false">MAX(0,W232-Y232)</f>
        <v>975</v>
      </c>
      <c r="AA232" s="21" t="n">
        <f aca="false">MIN(F232,Z232)</f>
        <v>2</v>
      </c>
      <c r="AB232" s="21"/>
      <c r="AC232" s="21" t="str">
        <f aca="false">IF(AB232="","",IF(AB232&gt;AA232,"PASS",IF(AB232&lt;=AA232*0.85,"BID","ATTENZIONE")))</f>
        <v/>
      </c>
      <c r="AD232" s="31" t="str">
        <f aca="false">IF(I232="","",ROUND(100*(1-EXP(-I232/30)),0))</f>
        <v/>
      </c>
      <c r="AE232" s="7" t="str">
        <f aca="false">IFERROR(INDEX('Stato Asta'!$G$9:$G$12,MATCH($B232,'Stato Asta'!$A$9:$A$12,0)),"")</f>
        <v>🟡 Attesa rischiosa</v>
      </c>
    </row>
    <row r="233" customFormat="false" ht="14.25" hidden="false" customHeight="true" outlineLevel="0" collapsed="false">
      <c r="A233" s="21" t="n">
        <v>7409</v>
      </c>
      <c r="B233" s="21" t="s">
        <v>45</v>
      </c>
      <c r="C233" s="21" t="s">
        <v>452</v>
      </c>
      <c r="E233" s="26" t="str">
        <f aca="false">IF(COUNTIF('Info Strategia'!$D$2:$D$51,$C233)&gt;0,"SI","NO")</f>
        <v>NO</v>
      </c>
      <c r="F233" s="27" t="n">
        <f aca="false">IFERROR(ROUND(($G233+($H233-$G233)*'Info Strategia'!$B$6)*(1+IF($E233="SI",'Parametri Modello'!$B$7*'Info Strategia'!$B$6,0)),0),"")</f>
        <v>2</v>
      </c>
      <c r="G233" s="27" t="n">
        <f aca="false">IFERROR(ROUND(MAX(1,(IF($V233&lt;=INDEX('Parametri Modello'!$C$57:$C$60,MATCH($B233,'Parametri Modello'!$A$57:$A$60,0)),IF(INDEX('Parametri Modello'!$E$57:$E$60,MATCH($B233,'Parametri Modello'!$A$57:$A$60,0))=0,0,($O233/INDEX('Parametri Modello'!$E$57:$E$60,MATCH($B233,'Parametri Modello'!$A$57:$A$60,0)))*(INDEX('Parametri Modello'!$D$57:$D$60,MATCH($B233,'Parametri Modello'!$A$57:$A$60,0))*(INDEX('Parametri Modello'!$B$50:$B$53,MATCH($B233,'Parametri Modello'!$A$50:$A$53,0))*'Parametri Modello'!$B$44))),IF(INDEX('Parametri Modello'!$F$57:$F$60,MATCH($B233,'Parametri Modello'!$A$57:$A$60,0))=0,0,($O233/INDEX('Parametri Modello'!$F$57:$F$60,MATCH($B233,'Parametri Modello'!$A$57:$A$60,0)))*((1-INDEX('Parametri Modello'!$D$57:$D$60,MATCH($B233,'Parametri Modello'!$A$57:$A$60,0)))*(INDEX('Parametri Modello'!$B$50:$B$53,MATCH($B233,'Parametri Modello'!$A$50:$A$53,0))*'Parametri Modello'!$B$44))))*(1+IF(IF($B233="D",'Info Lega'!$B$25,IF($B233="C",'Info Lega'!$B$26,"No"))="Si",'Parametri Modello'!$B$5,0))*(1+MAX(-0.25,MIN(0.25,IF(OR($T233="",$I233="",$I233=0,INDEX('Parametri Modello'!$B$19:$B$22,MATCH($B233,'Parametri Modello'!$A$19:$A$22,0))="",INDEX('Parametri Modello'!$B$19:$B$22,MATCH($B233,'Parametri Modello'!$A$19:$A$22,0))=0),0,(($T233-INDEX('Parametri Modello'!$B$19:$B$22,MATCH($B233,'Parametri Modello'!$A$19:$A$22,0)))/INDEX('Parametri Modello'!$B$19:$B$22,MATCH($B233,'Parametri Modello'!$A$19:$A$22,0)))*'Parametri Modello'!$B$9))))*(1+IF('Parametri Modello'!$B$27="Si",MAX(-'Parametri Modello'!$B$28,MIN('Parametri Modello'!$B$28*1.5,IF(OR(INDEX('Parametri Modello'!$F$32:$F$35,MATCH($B233,'Parametri Modello'!$A$32:$A$35,0))="",INDEX('Parametri Modello'!$F$32:$F$35,MATCH($B233,'Parametri Modello'!$A$32:$A$35,0))=0),0,(1/INDEX('Parametri Modello'!$F$32:$F$35,MATCH($B233,'Parametri Modello'!$A$32:$A$35,0))-1)*'Parametri Modello'!$B$28))),0)))*(1-INDEX('Parametri Modello'!$B$12:$B$15,MATCH($B233,'Parametri Modello'!$A$12:$A$15,0)))),0),"")</f>
        <v>1</v>
      </c>
      <c r="H233" s="27" t="n">
        <f aca="false">IFERROR(ROUND((IF($V233&lt;=INDEX('Parametri Modello'!$C$57:$C$60,MATCH($B233,'Parametri Modello'!$A$57:$A$60,0)),IF(INDEX('Parametri Modello'!$E$57:$E$60,MATCH($B233,'Parametri Modello'!$A$57:$A$60,0))=0,0,($O233/INDEX('Parametri Modello'!$E$57:$E$60,MATCH($B233,'Parametri Modello'!$A$57:$A$60,0)))*(INDEX('Parametri Modello'!$D$57:$D$60,MATCH($B233,'Parametri Modello'!$A$57:$A$60,0))*(INDEX('Parametri Modello'!$B$50:$B$53,MATCH($B233,'Parametri Modello'!$A$50:$A$53,0))*'Parametri Modello'!$B$44))),IF(INDEX('Parametri Modello'!$F$57:$F$60,MATCH($B233,'Parametri Modello'!$A$57:$A$60,0))=0,0,($O233/INDEX('Parametri Modello'!$F$57:$F$60,MATCH($B233,'Parametri Modello'!$A$57:$A$60,0)))*((1-INDEX('Parametri Modello'!$D$57:$D$60,MATCH($B233,'Parametri Modello'!$A$57:$A$60,0)))*(INDEX('Parametri Modello'!$B$50:$B$53,MATCH($B233,'Parametri Modello'!$A$50:$A$53,0))*'Parametri Modello'!$B$44))))*(1+IF(IF($B233="D",'Info Lega'!$B$25,IF($B233="C",'Info Lega'!$B$26,"No"))="Si",'Parametri Modello'!$B$5,0))*(1+MAX(-0.25,MIN(0.25,IF(OR($T233="",$I233="",$I233=0,INDEX('Parametri Modello'!$B$19:$B$22,MATCH($B233,'Parametri Modello'!$A$19:$A$22,0))="",INDEX('Parametri Modello'!$B$19:$B$22,MATCH($B233,'Parametri Modello'!$A$19:$A$22,0))=0),0,(($T233-INDEX('Parametri Modello'!$B$19:$B$22,MATCH($B233,'Parametri Modello'!$A$19:$A$22,0)))/INDEX('Parametri Modello'!$B$19:$B$22,MATCH($B233,'Parametri Modello'!$A$19:$A$22,0)))*'Parametri Modello'!$B$9))))*(1+IF('Parametri Modello'!$B$27="Si",MAX(-'Parametri Modello'!$B$28,MIN('Parametri Modello'!$B$28*1.5,IF(OR(INDEX('Parametri Modello'!$F$32:$F$35,MATCH($B233,'Parametri Modello'!$A$32:$A$35,0))="",INDEX('Parametri Modello'!$F$32:$F$35,MATCH($B233,'Parametri Modello'!$A$32:$A$35,0))=0),0,(1/INDEX('Parametri Modello'!$F$32:$F$35,MATCH($B233,'Parametri Modello'!$A$32:$A$35,0))-1)*'Parametri Modello'!$B$28))),0)))*(1+INDEX('Parametri Modello'!$B$12:$B$15,MATCH($B233,'Parametri Modello'!$A$12:$A$15,0))),0),"")</f>
        <v>2</v>
      </c>
      <c r="I233" s="26" t="str">
        <f aca="false">IFERROR(INDEX('Input Statistiche 2025_26'!$F$3:$F$665,MATCH($A233,'Input Statistiche 2025_26'!$A$3:$A$665,0)),"")</f>
        <v/>
      </c>
      <c r="J233" s="26" t="str">
        <f aca="false">IFERROR(IF($I233="","",MAX(0,38-$I233)),"")</f>
        <v/>
      </c>
      <c r="K233" s="26" t="str">
        <f aca="false">IFERROR(INDEX('Input Statistiche 2025_26'!$I$3:$I$665,MATCH($A233,'Input Statistiche 2025_26'!$A$3:$A$665,0)),"")</f>
        <v/>
      </c>
      <c r="L233" s="26" t="str">
        <f aca="false">IFERROR(INDEX('Input Statistiche 2025_26'!$O$3:$O$665,MATCH($A233,'Input Statistiche 2025_26'!$A$3:$A$665,0)),"")</f>
        <v/>
      </c>
      <c r="M233" s="28"/>
      <c r="N233" s="27" t="n">
        <f aca="false">IFERROR(INDEX('Input Giocatori 2026_27'!$E$3:$E$493,MATCH($A233,'Input Giocatori 2026_27'!$A$3:$A$493,0)),"")</f>
        <v>5</v>
      </c>
      <c r="O233" s="27" t="n">
        <f aca="false">IFERROR(INDEX('Input Giocatori 2026_27'!$G$3:$G$493,MATCH($A233,'Input Giocatori 2026_27'!$A$3:$A$493,0)),"")</f>
        <v>14</v>
      </c>
      <c r="P233" s="26" t="str">
        <f aca="false">IFERROR(IF($O233="","",IF((1-(COUNTIFS($B$2:$B$492,$B233,$O$2:$O$492,"&gt;"&amp;$O233)+1-1)/COUNTIF($B$2:$B$492,$B233))&gt;=0.85,"Top",IF((1-(COUNTIFS($B$2:$B$492,$B233,$O$2:$O$492,"&gt;"&amp;$O233)+1-1)/COUNTIF($B$2:$B$492,$B233))&gt;=0.6,"Buono",IF((1-(COUNTIFS($B$2:$B$492,$B233,$O$2:$O$492,"&gt;"&amp;$O233)+1-1)/COUNTIF($B$2:$B$492,$B233))&gt;=0.3,"Nella Media","Scommessa/Riserva")))),"")</f>
        <v>Nella Media</v>
      </c>
      <c r="Q233" s="29" t="n">
        <f aca="false">IF($D233="",COUNTIF($D$2:$D233,""),"")</f>
        <v>232</v>
      </c>
      <c r="R233" s="29" t="str">
        <f aca="false">IF($D233='Info Lega'!$B$28,COUNTIFS($D$2:$D233,'Info Lega'!$B$28),"")</f>
        <v/>
      </c>
      <c r="S233" s="30" t="str">
        <f aca="false">IFERROR(INDEX('Input Statistiche 2025_26'!$G$3:$G$665,MATCH($A233,'Input Statistiche 2025_26'!$A$3:$A$665,0)),"")</f>
        <v/>
      </c>
      <c r="T233" s="30" t="str">
        <f aca="false">IFERROR(INDEX('Input Statistiche 2025_26'!$H$3:$H$665,MATCH($A233,'Input Statistiche 2025_26'!$A$3:$A$665,0)),"")</f>
        <v/>
      </c>
      <c r="U233" s="26" t="str">
        <f aca="false">IF(OR('La Mia Rosa'!$O$12="",$D233&lt;&gt;""),"",IF($F233&lt;='La Mia Rosa'!$O$12*'Parametri Modello'!$B$24,"OK",IF($F233&lt;='La Mia Rosa'!$O$12*'Parametri Modello'!$B$25,"Attenzione","Rischio Alto")))</f>
        <v>OK</v>
      </c>
      <c r="V233" s="26" t="n">
        <f aca="false">IFERROR(COUNTIFS($B$2:$B$492,$B233,$O$2:$O$492,"&gt;"&amp;$O233)+1,"")</f>
        <v>86</v>
      </c>
      <c r="W233" s="21" t="n">
        <f aca="false">'Info Lega'!$B$4-SUMIFS($M$2:$M$492,$D$2:$D$492,'Info Lega'!$B$28)</f>
        <v>1000</v>
      </c>
      <c r="X233" s="21" t="n">
        <f aca="false">('Info Lega'!$B$5-COUNTIFS($D$2:$D$492,'Info Lega'!$B$28,$B$2:$B$492,"P"))+('Info Lega'!$B$6-COUNTIFS($D$2:$D$492,'Info Lega'!$B$28,$B$2:$B$492,"D"))+('Info Lega'!$B$7-COUNTIFS($D$2:$D$492,'Info Lega'!$B$28,$B$2:$B$492,"C"))+('Info Lega'!$B$8-COUNTIFS($D$2:$D$492,'Info Lega'!$B$28,$B$2:$B$492,"A"))</f>
        <v>25</v>
      </c>
      <c r="Y233" s="21" t="n">
        <f aca="false">X233*'Parametri Modello'!$B$30</f>
        <v>25</v>
      </c>
      <c r="Z233" s="21" t="n">
        <f aca="false">MAX(0,W233-Y233)</f>
        <v>975</v>
      </c>
      <c r="AA233" s="21" t="n">
        <f aca="false">MIN(F233,Z233)</f>
        <v>2</v>
      </c>
      <c r="AB233" s="21"/>
      <c r="AC233" s="21" t="str">
        <f aca="false">IF(AB233="","",IF(AB233&gt;AA233,"PASS",IF(AB233&lt;=AA233*0.85,"BID","ATTENZIONE")))</f>
        <v/>
      </c>
      <c r="AD233" s="31" t="str">
        <f aca="false">IF(I233="","",ROUND(100*(1-EXP(-I233/30)),0))</f>
        <v/>
      </c>
      <c r="AE233" s="7" t="str">
        <f aca="false">IFERROR(INDEX('Stato Asta'!$G$9:$G$12,MATCH($B233,'Stato Asta'!$A$9:$A$12,0)),"")</f>
        <v>🟡 Attesa rischiosa</v>
      </c>
    </row>
    <row r="234" customFormat="false" ht="14.25" hidden="false" customHeight="true" outlineLevel="0" collapsed="false">
      <c r="A234" s="21" t="n">
        <v>5685</v>
      </c>
      <c r="B234" s="21" t="s">
        <v>45</v>
      </c>
      <c r="C234" s="21" t="s">
        <v>455</v>
      </c>
      <c r="E234" s="26" t="str">
        <f aca="false">IF(COUNTIF('Info Strategia'!$D$2:$D$51,$C234)&gt;0,"SI","NO")</f>
        <v>NO</v>
      </c>
      <c r="F234" s="27" t="n">
        <f aca="false">IFERROR(ROUND(($G234+($H234-$G234)*'Info Strategia'!$B$6)*(1+IF($E234="SI",'Parametri Modello'!$B$7*'Info Strategia'!$B$6,0)),0),"")</f>
        <v>2</v>
      </c>
      <c r="G234" s="27" t="n">
        <f aca="false">IFERROR(ROUND(MAX(1,(IF($V234&lt;=INDEX('Parametri Modello'!$C$57:$C$60,MATCH($B234,'Parametri Modello'!$A$57:$A$60,0)),IF(INDEX('Parametri Modello'!$E$57:$E$60,MATCH($B234,'Parametri Modello'!$A$57:$A$60,0))=0,0,($O234/INDEX('Parametri Modello'!$E$57:$E$60,MATCH($B234,'Parametri Modello'!$A$57:$A$60,0)))*(INDEX('Parametri Modello'!$D$57:$D$60,MATCH($B234,'Parametri Modello'!$A$57:$A$60,0))*(INDEX('Parametri Modello'!$B$50:$B$53,MATCH($B234,'Parametri Modello'!$A$50:$A$53,0))*'Parametri Modello'!$B$44))),IF(INDEX('Parametri Modello'!$F$57:$F$60,MATCH($B234,'Parametri Modello'!$A$57:$A$60,0))=0,0,($O234/INDEX('Parametri Modello'!$F$57:$F$60,MATCH($B234,'Parametri Modello'!$A$57:$A$60,0)))*((1-INDEX('Parametri Modello'!$D$57:$D$60,MATCH($B234,'Parametri Modello'!$A$57:$A$60,0)))*(INDEX('Parametri Modello'!$B$50:$B$53,MATCH($B234,'Parametri Modello'!$A$50:$A$53,0))*'Parametri Modello'!$B$44))))*(1+IF(IF($B234="D",'Info Lega'!$B$25,IF($B234="C",'Info Lega'!$B$26,"No"))="Si",'Parametri Modello'!$B$5,0))*(1+MAX(-0.25,MIN(0.25,IF(OR($T234="",$I234="",$I234=0,INDEX('Parametri Modello'!$B$19:$B$22,MATCH($B234,'Parametri Modello'!$A$19:$A$22,0))="",INDEX('Parametri Modello'!$B$19:$B$22,MATCH($B234,'Parametri Modello'!$A$19:$A$22,0))=0),0,(($T234-INDEX('Parametri Modello'!$B$19:$B$22,MATCH($B234,'Parametri Modello'!$A$19:$A$22,0)))/INDEX('Parametri Modello'!$B$19:$B$22,MATCH($B234,'Parametri Modello'!$A$19:$A$22,0)))*'Parametri Modello'!$B$9))))*(1+IF('Parametri Modello'!$B$27="Si",MAX(-'Parametri Modello'!$B$28,MIN('Parametri Modello'!$B$28*1.5,IF(OR(INDEX('Parametri Modello'!$F$32:$F$35,MATCH($B234,'Parametri Modello'!$A$32:$A$35,0))="",INDEX('Parametri Modello'!$F$32:$F$35,MATCH($B234,'Parametri Modello'!$A$32:$A$35,0))=0),0,(1/INDEX('Parametri Modello'!$F$32:$F$35,MATCH($B234,'Parametri Modello'!$A$32:$A$35,0))-1)*'Parametri Modello'!$B$28))),0)))*(1-INDEX('Parametri Modello'!$B$12:$B$15,MATCH($B234,'Parametri Modello'!$A$12:$A$15,0)))),0),"")</f>
        <v>1</v>
      </c>
      <c r="H234" s="27" t="n">
        <f aca="false">IFERROR(ROUND((IF($V234&lt;=INDEX('Parametri Modello'!$C$57:$C$60,MATCH($B234,'Parametri Modello'!$A$57:$A$60,0)),IF(INDEX('Parametri Modello'!$E$57:$E$60,MATCH($B234,'Parametri Modello'!$A$57:$A$60,0))=0,0,($O234/INDEX('Parametri Modello'!$E$57:$E$60,MATCH($B234,'Parametri Modello'!$A$57:$A$60,0)))*(INDEX('Parametri Modello'!$D$57:$D$60,MATCH($B234,'Parametri Modello'!$A$57:$A$60,0))*(INDEX('Parametri Modello'!$B$50:$B$53,MATCH($B234,'Parametri Modello'!$A$50:$A$53,0))*'Parametri Modello'!$B$44))),IF(INDEX('Parametri Modello'!$F$57:$F$60,MATCH($B234,'Parametri Modello'!$A$57:$A$60,0))=0,0,($O234/INDEX('Parametri Modello'!$F$57:$F$60,MATCH($B234,'Parametri Modello'!$A$57:$A$60,0)))*((1-INDEX('Parametri Modello'!$D$57:$D$60,MATCH($B234,'Parametri Modello'!$A$57:$A$60,0)))*(INDEX('Parametri Modello'!$B$50:$B$53,MATCH($B234,'Parametri Modello'!$A$50:$A$53,0))*'Parametri Modello'!$B$44))))*(1+IF(IF($B234="D",'Info Lega'!$B$25,IF($B234="C",'Info Lega'!$B$26,"No"))="Si",'Parametri Modello'!$B$5,0))*(1+MAX(-0.25,MIN(0.25,IF(OR($T234="",$I234="",$I234=0,INDEX('Parametri Modello'!$B$19:$B$22,MATCH($B234,'Parametri Modello'!$A$19:$A$22,0))="",INDEX('Parametri Modello'!$B$19:$B$22,MATCH($B234,'Parametri Modello'!$A$19:$A$22,0))=0),0,(($T234-INDEX('Parametri Modello'!$B$19:$B$22,MATCH($B234,'Parametri Modello'!$A$19:$A$22,0)))/INDEX('Parametri Modello'!$B$19:$B$22,MATCH($B234,'Parametri Modello'!$A$19:$A$22,0)))*'Parametri Modello'!$B$9))))*(1+IF('Parametri Modello'!$B$27="Si",MAX(-'Parametri Modello'!$B$28,MIN('Parametri Modello'!$B$28*1.5,IF(OR(INDEX('Parametri Modello'!$F$32:$F$35,MATCH($B234,'Parametri Modello'!$A$32:$A$35,0))="",INDEX('Parametri Modello'!$F$32:$F$35,MATCH($B234,'Parametri Modello'!$A$32:$A$35,0))=0),0,(1/INDEX('Parametri Modello'!$F$32:$F$35,MATCH($B234,'Parametri Modello'!$A$32:$A$35,0))-1)*'Parametri Modello'!$B$28))),0)))*(1+INDEX('Parametri Modello'!$B$12:$B$15,MATCH($B234,'Parametri Modello'!$A$12:$A$15,0))),0),"")</f>
        <v>2</v>
      </c>
      <c r="I234" s="26" t="n">
        <f aca="false">IFERROR(INDEX('Input Statistiche 2025_26'!$F$3:$F$665,MATCH($A234,'Input Statistiche 2025_26'!$A$3:$A$665,0)),"")</f>
        <v>29</v>
      </c>
      <c r="J234" s="26" t="n">
        <f aca="false">IFERROR(IF($I234="","",MAX(0,38-$I234)),"")</f>
        <v>9</v>
      </c>
      <c r="K234" s="26" t="n">
        <f aca="false">IFERROR(INDEX('Input Statistiche 2025_26'!$I$3:$I$665,MATCH($A234,'Input Statistiche 2025_26'!$A$3:$A$665,0)),"")</f>
        <v>0</v>
      </c>
      <c r="L234" s="26" t="n">
        <f aca="false">IFERROR(INDEX('Input Statistiche 2025_26'!$O$3:$O$665,MATCH($A234,'Input Statistiche 2025_26'!$A$3:$A$665,0)),"")</f>
        <v>0</v>
      </c>
      <c r="M234" s="28"/>
      <c r="N234" s="27" t="n">
        <f aca="false">IFERROR(INDEX('Input Giocatori 2026_27'!$E$3:$E$493,MATCH($A234,'Input Giocatori 2026_27'!$A$3:$A$493,0)),"")</f>
        <v>5</v>
      </c>
      <c r="O234" s="27" t="n">
        <f aca="false">IFERROR(INDEX('Input Giocatori 2026_27'!$G$3:$G$493,MATCH($A234,'Input Giocatori 2026_27'!$A$3:$A$493,0)),"")</f>
        <v>14</v>
      </c>
      <c r="P234" s="26" t="str">
        <f aca="false">IFERROR(IF($O234="","",IF((1-(COUNTIFS($B$2:$B$492,$B234,$O$2:$O$492,"&gt;"&amp;$O234)+1-1)/COUNTIF($B$2:$B$492,$B234))&gt;=0.85,"Top",IF((1-(COUNTIFS($B$2:$B$492,$B234,$O$2:$O$492,"&gt;"&amp;$O234)+1-1)/COUNTIF($B$2:$B$492,$B234))&gt;=0.6,"Buono",IF((1-(COUNTIFS($B$2:$B$492,$B234,$O$2:$O$492,"&gt;"&amp;$O234)+1-1)/COUNTIF($B$2:$B$492,$B234))&gt;=0.3,"Nella Media","Scommessa/Riserva")))),"")</f>
        <v>Nella Media</v>
      </c>
      <c r="Q234" s="29" t="n">
        <f aca="false">IF($D234="",COUNTIF($D$2:$D234,""),"")</f>
        <v>233</v>
      </c>
      <c r="R234" s="29" t="str">
        <f aca="false">IF($D234='Info Lega'!$B$28,COUNTIFS($D$2:$D234,'Info Lega'!$B$28),"")</f>
        <v/>
      </c>
      <c r="S234" s="30" t="n">
        <f aca="false">IFERROR(INDEX('Input Statistiche 2025_26'!$G$3:$G$665,MATCH($A234,'Input Statistiche 2025_26'!$A$3:$A$665,0)),"")</f>
        <v>5.64</v>
      </c>
      <c r="T234" s="30" t="n">
        <f aca="false">IFERROR(INDEX('Input Statistiche 2025_26'!$H$3:$H$665,MATCH($A234,'Input Statistiche 2025_26'!$A$3:$A$665,0)),"")</f>
        <v>5.55</v>
      </c>
      <c r="U234" s="26" t="str">
        <f aca="false">IF(OR('La Mia Rosa'!$O$12="",$D234&lt;&gt;""),"",IF($F234&lt;='La Mia Rosa'!$O$12*'Parametri Modello'!$B$24,"OK",IF($F234&lt;='La Mia Rosa'!$O$12*'Parametri Modello'!$B$25,"Attenzione","Rischio Alto")))</f>
        <v>OK</v>
      </c>
      <c r="V234" s="26" t="n">
        <f aca="false">IFERROR(COUNTIFS($B$2:$B$492,$B234,$O$2:$O$492,"&gt;"&amp;$O234)+1,"")</f>
        <v>86</v>
      </c>
      <c r="W234" s="21" t="n">
        <f aca="false">'Info Lega'!$B$4-SUMIFS($M$2:$M$492,$D$2:$D$492,'Info Lega'!$B$28)</f>
        <v>1000</v>
      </c>
      <c r="X234" s="21" t="n">
        <f aca="false">('Info Lega'!$B$5-COUNTIFS($D$2:$D$492,'Info Lega'!$B$28,$B$2:$B$492,"P"))+('Info Lega'!$B$6-COUNTIFS($D$2:$D$492,'Info Lega'!$B$28,$B$2:$B$492,"D"))+('Info Lega'!$B$7-COUNTIFS($D$2:$D$492,'Info Lega'!$B$28,$B$2:$B$492,"C"))+('Info Lega'!$B$8-COUNTIFS($D$2:$D$492,'Info Lega'!$B$28,$B$2:$B$492,"A"))</f>
        <v>25</v>
      </c>
      <c r="Y234" s="21" t="n">
        <f aca="false">X234*'Parametri Modello'!$B$30</f>
        <v>25</v>
      </c>
      <c r="Z234" s="21" t="n">
        <f aca="false">MAX(0,W234-Y234)</f>
        <v>975</v>
      </c>
      <c r="AA234" s="21" t="n">
        <f aca="false">MIN(F234,Z234)</f>
        <v>2</v>
      </c>
      <c r="AB234" s="21"/>
      <c r="AC234" s="21" t="str">
        <f aca="false">IF(AB234="","",IF(AB234&gt;AA234,"PASS",IF(AB234&lt;=AA234*0.85,"BID","ATTENZIONE")))</f>
        <v/>
      </c>
      <c r="AD234" s="31" t="n">
        <f aca="false">IF(I234="","",ROUND(100*(1-EXP(-I234/30)),0))</f>
        <v>62</v>
      </c>
      <c r="AE234" s="7" t="str">
        <f aca="false">IFERROR(INDEX('Stato Asta'!$G$9:$G$12,MATCH($B234,'Stato Asta'!$A$9:$A$12,0)),"")</f>
        <v>🟡 Attesa rischiosa</v>
      </c>
    </row>
    <row r="235" customFormat="false" ht="14.25" hidden="false" customHeight="true" outlineLevel="0" collapsed="false">
      <c r="A235" s="21" t="n">
        <v>7318</v>
      </c>
      <c r="B235" s="21" t="s">
        <v>45</v>
      </c>
      <c r="C235" s="21" t="s">
        <v>458</v>
      </c>
      <c r="E235" s="26" t="str">
        <f aca="false">IF(COUNTIF('Info Strategia'!$D$2:$D$51,$C235)&gt;0,"SI","NO")</f>
        <v>NO</v>
      </c>
      <c r="F235" s="27" t="n">
        <f aca="false">IFERROR(ROUND(($G235+($H235-$G235)*'Info Strategia'!$B$6)*(1+IF($E235="SI",'Parametri Modello'!$B$7*'Info Strategia'!$B$6,0)),0),"")</f>
        <v>2</v>
      </c>
      <c r="G235" s="27" t="n">
        <f aca="false">IFERROR(ROUND(MAX(1,(IF($V235&lt;=INDEX('Parametri Modello'!$C$57:$C$60,MATCH($B235,'Parametri Modello'!$A$57:$A$60,0)),IF(INDEX('Parametri Modello'!$E$57:$E$60,MATCH($B235,'Parametri Modello'!$A$57:$A$60,0))=0,0,($O235/INDEX('Parametri Modello'!$E$57:$E$60,MATCH($B235,'Parametri Modello'!$A$57:$A$60,0)))*(INDEX('Parametri Modello'!$D$57:$D$60,MATCH($B235,'Parametri Modello'!$A$57:$A$60,0))*(INDEX('Parametri Modello'!$B$50:$B$53,MATCH($B235,'Parametri Modello'!$A$50:$A$53,0))*'Parametri Modello'!$B$44))),IF(INDEX('Parametri Modello'!$F$57:$F$60,MATCH($B235,'Parametri Modello'!$A$57:$A$60,0))=0,0,($O235/INDEX('Parametri Modello'!$F$57:$F$60,MATCH($B235,'Parametri Modello'!$A$57:$A$60,0)))*((1-INDEX('Parametri Modello'!$D$57:$D$60,MATCH($B235,'Parametri Modello'!$A$57:$A$60,0)))*(INDEX('Parametri Modello'!$B$50:$B$53,MATCH($B235,'Parametri Modello'!$A$50:$A$53,0))*'Parametri Modello'!$B$44))))*(1+IF(IF($B235="D",'Info Lega'!$B$25,IF($B235="C",'Info Lega'!$B$26,"No"))="Si",'Parametri Modello'!$B$5,0))*(1+MAX(-0.25,MIN(0.25,IF(OR($T235="",$I235="",$I235=0,INDEX('Parametri Modello'!$B$19:$B$22,MATCH($B235,'Parametri Modello'!$A$19:$A$22,0))="",INDEX('Parametri Modello'!$B$19:$B$22,MATCH($B235,'Parametri Modello'!$A$19:$A$22,0))=0),0,(($T235-INDEX('Parametri Modello'!$B$19:$B$22,MATCH($B235,'Parametri Modello'!$A$19:$A$22,0)))/INDEX('Parametri Modello'!$B$19:$B$22,MATCH($B235,'Parametri Modello'!$A$19:$A$22,0)))*'Parametri Modello'!$B$9))))*(1+IF('Parametri Modello'!$B$27="Si",MAX(-'Parametri Modello'!$B$28,MIN('Parametri Modello'!$B$28*1.5,IF(OR(INDEX('Parametri Modello'!$F$32:$F$35,MATCH($B235,'Parametri Modello'!$A$32:$A$35,0))="",INDEX('Parametri Modello'!$F$32:$F$35,MATCH($B235,'Parametri Modello'!$A$32:$A$35,0))=0),0,(1/INDEX('Parametri Modello'!$F$32:$F$35,MATCH($B235,'Parametri Modello'!$A$32:$A$35,0))-1)*'Parametri Modello'!$B$28))),0)))*(1-INDEX('Parametri Modello'!$B$12:$B$15,MATCH($B235,'Parametri Modello'!$A$12:$A$15,0)))),0),"")</f>
        <v>1</v>
      </c>
      <c r="H235" s="27" t="n">
        <f aca="false">IFERROR(ROUND((IF($V235&lt;=INDEX('Parametri Modello'!$C$57:$C$60,MATCH($B235,'Parametri Modello'!$A$57:$A$60,0)),IF(INDEX('Parametri Modello'!$E$57:$E$60,MATCH($B235,'Parametri Modello'!$A$57:$A$60,0))=0,0,($O235/INDEX('Parametri Modello'!$E$57:$E$60,MATCH($B235,'Parametri Modello'!$A$57:$A$60,0)))*(INDEX('Parametri Modello'!$D$57:$D$60,MATCH($B235,'Parametri Modello'!$A$57:$A$60,0))*(INDEX('Parametri Modello'!$B$50:$B$53,MATCH($B235,'Parametri Modello'!$A$50:$A$53,0))*'Parametri Modello'!$B$44))),IF(INDEX('Parametri Modello'!$F$57:$F$60,MATCH($B235,'Parametri Modello'!$A$57:$A$60,0))=0,0,($O235/INDEX('Parametri Modello'!$F$57:$F$60,MATCH($B235,'Parametri Modello'!$A$57:$A$60,0)))*((1-INDEX('Parametri Modello'!$D$57:$D$60,MATCH($B235,'Parametri Modello'!$A$57:$A$60,0)))*(INDEX('Parametri Modello'!$B$50:$B$53,MATCH($B235,'Parametri Modello'!$A$50:$A$53,0))*'Parametri Modello'!$B$44))))*(1+IF(IF($B235="D",'Info Lega'!$B$25,IF($B235="C",'Info Lega'!$B$26,"No"))="Si",'Parametri Modello'!$B$5,0))*(1+MAX(-0.25,MIN(0.25,IF(OR($T235="",$I235="",$I235=0,INDEX('Parametri Modello'!$B$19:$B$22,MATCH($B235,'Parametri Modello'!$A$19:$A$22,0))="",INDEX('Parametri Modello'!$B$19:$B$22,MATCH($B235,'Parametri Modello'!$A$19:$A$22,0))=0),0,(($T235-INDEX('Parametri Modello'!$B$19:$B$22,MATCH($B235,'Parametri Modello'!$A$19:$A$22,0)))/INDEX('Parametri Modello'!$B$19:$B$22,MATCH($B235,'Parametri Modello'!$A$19:$A$22,0)))*'Parametri Modello'!$B$9))))*(1+IF('Parametri Modello'!$B$27="Si",MAX(-'Parametri Modello'!$B$28,MIN('Parametri Modello'!$B$28*1.5,IF(OR(INDEX('Parametri Modello'!$F$32:$F$35,MATCH($B235,'Parametri Modello'!$A$32:$A$35,0))="",INDEX('Parametri Modello'!$F$32:$F$35,MATCH($B235,'Parametri Modello'!$A$32:$A$35,0))=0),0,(1/INDEX('Parametri Modello'!$F$32:$F$35,MATCH($B235,'Parametri Modello'!$A$32:$A$35,0))-1)*'Parametri Modello'!$B$28))),0)))*(1+INDEX('Parametri Modello'!$B$12:$B$15,MATCH($B235,'Parametri Modello'!$A$12:$A$15,0))),0),"")</f>
        <v>2</v>
      </c>
      <c r="I235" s="26" t="n">
        <f aca="false">IFERROR(INDEX('Input Statistiche 2025_26'!$F$3:$F$665,MATCH($A235,'Input Statistiche 2025_26'!$A$3:$A$665,0)),"")</f>
        <v>16</v>
      </c>
      <c r="J235" s="26" t="n">
        <f aca="false">IFERROR(IF($I235="","",MAX(0,38-$I235)),"")</f>
        <v>22</v>
      </c>
      <c r="K235" s="26" t="n">
        <f aca="false">IFERROR(INDEX('Input Statistiche 2025_26'!$I$3:$I$665,MATCH($A235,'Input Statistiche 2025_26'!$A$3:$A$665,0)),"")</f>
        <v>2</v>
      </c>
      <c r="L235" s="26" t="n">
        <f aca="false">IFERROR(INDEX('Input Statistiche 2025_26'!$O$3:$O$665,MATCH($A235,'Input Statistiche 2025_26'!$A$3:$A$665,0)),"")</f>
        <v>1</v>
      </c>
      <c r="M235" s="28"/>
      <c r="N235" s="27" t="n">
        <f aca="false">IFERROR(INDEX('Input Giocatori 2026_27'!$E$3:$E$493,MATCH($A235,'Input Giocatori 2026_27'!$A$3:$A$493,0)),"")</f>
        <v>5</v>
      </c>
      <c r="O235" s="27" t="n">
        <f aca="false">IFERROR(INDEX('Input Giocatori 2026_27'!$G$3:$G$493,MATCH($A235,'Input Giocatori 2026_27'!$A$3:$A$493,0)),"")</f>
        <v>14</v>
      </c>
      <c r="P235" s="26" t="str">
        <f aca="false">IFERROR(IF($O235="","",IF((1-(COUNTIFS($B$2:$B$492,$B235,$O$2:$O$492,"&gt;"&amp;$O235)+1-1)/COUNTIF($B$2:$B$492,$B235))&gt;=0.85,"Top",IF((1-(COUNTIFS($B$2:$B$492,$B235,$O$2:$O$492,"&gt;"&amp;$O235)+1-1)/COUNTIF($B$2:$B$492,$B235))&gt;=0.6,"Buono",IF((1-(COUNTIFS($B$2:$B$492,$B235,$O$2:$O$492,"&gt;"&amp;$O235)+1-1)/COUNTIF($B$2:$B$492,$B235))&gt;=0.3,"Nella Media","Scommessa/Riserva")))),"")</f>
        <v>Nella Media</v>
      </c>
      <c r="Q235" s="29" t="n">
        <f aca="false">IF($D235="",COUNTIF($D$2:$D235,""),"")</f>
        <v>234</v>
      </c>
      <c r="R235" s="29" t="str">
        <f aca="false">IF($D235='Info Lega'!$B$28,COUNTIFS($D$2:$D235,'Info Lega'!$B$28),"")</f>
        <v/>
      </c>
      <c r="S235" s="30" t="n">
        <f aca="false">IFERROR(INDEX('Input Statistiche 2025_26'!$G$3:$G$665,MATCH($A235,'Input Statistiche 2025_26'!$A$3:$A$665,0)),"")</f>
        <v>5.97</v>
      </c>
      <c r="T235" s="30" t="n">
        <f aca="false">IFERROR(INDEX('Input Statistiche 2025_26'!$H$3:$H$665,MATCH($A235,'Input Statistiche 2025_26'!$A$3:$A$665,0)),"")</f>
        <v>6.41</v>
      </c>
      <c r="U235" s="26" t="str">
        <f aca="false">IF(OR('La Mia Rosa'!$O$12="",$D235&lt;&gt;""),"",IF($F235&lt;='La Mia Rosa'!$O$12*'Parametri Modello'!$B$24,"OK",IF($F235&lt;='La Mia Rosa'!$O$12*'Parametri Modello'!$B$25,"Attenzione","Rischio Alto")))</f>
        <v>OK</v>
      </c>
      <c r="V235" s="26" t="n">
        <f aca="false">IFERROR(COUNTIFS($B$2:$B$492,$B235,$O$2:$O$492,"&gt;"&amp;$O235)+1,"")</f>
        <v>86</v>
      </c>
      <c r="W235" s="21" t="n">
        <f aca="false">'Info Lega'!$B$4-SUMIFS($M$2:$M$492,$D$2:$D$492,'Info Lega'!$B$28)</f>
        <v>1000</v>
      </c>
      <c r="X235" s="21" t="n">
        <f aca="false">('Info Lega'!$B$5-COUNTIFS($D$2:$D$492,'Info Lega'!$B$28,$B$2:$B$492,"P"))+('Info Lega'!$B$6-COUNTIFS($D$2:$D$492,'Info Lega'!$B$28,$B$2:$B$492,"D"))+('Info Lega'!$B$7-COUNTIFS($D$2:$D$492,'Info Lega'!$B$28,$B$2:$B$492,"C"))+('Info Lega'!$B$8-COUNTIFS($D$2:$D$492,'Info Lega'!$B$28,$B$2:$B$492,"A"))</f>
        <v>25</v>
      </c>
      <c r="Y235" s="21" t="n">
        <f aca="false">X235*'Parametri Modello'!$B$30</f>
        <v>25</v>
      </c>
      <c r="Z235" s="21" t="n">
        <f aca="false">MAX(0,W235-Y235)</f>
        <v>975</v>
      </c>
      <c r="AA235" s="21" t="n">
        <f aca="false">MIN(F235,Z235)</f>
        <v>2</v>
      </c>
      <c r="AB235" s="21"/>
      <c r="AC235" s="21" t="str">
        <f aca="false">IF(AB235="","",IF(AB235&gt;AA235,"PASS",IF(AB235&lt;=AA235*0.85,"BID","ATTENZIONE")))</f>
        <v/>
      </c>
      <c r="AD235" s="31" t="n">
        <f aca="false">IF(I235="","",ROUND(100*(1-EXP(-I235/30)),0))</f>
        <v>41</v>
      </c>
      <c r="AE235" s="7" t="str">
        <f aca="false">IFERROR(INDEX('Stato Asta'!$G$9:$G$12,MATCH($B235,'Stato Asta'!$A$9:$A$12,0)),"")</f>
        <v>🟡 Attesa rischiosa</v>
      </c>
    </row>
    <row r="236" customFormat="false" ht="14.25" hidden="false" customHeight="true" outlineLevel="0" collapsed="false">
      <c r="A236" s="21" t="n">
        <v>6677</v>
      </c>
      <c r="B236" s="21" t="s">
        <v>45</v>
      </c>
      <c r="C236" s="21" t="s">
        <v>464</v>
      </c>
      <c r="E236" s="26" t="str">
        <f aca="false">IF(COUNTIF('Info Strategia'!$D$2:$D$51,$C236)&gt;0,"SI","NO")</f>
        <v>NO</v>
      </c>
      <c r="F236" s="27" t="n">
        <f aca="false">IFERROR(ROUND(($G236+($H236-$G236)*'Info Strategia'!$B$6)*(1+IF($E236="SI",'Parametri Modello'!$B$7*'Info Strategia'!$B$6,0)),0),"")</f>
        <v>2</v>
      </c>
      <c r="G236" s="27" t="n">
        <f aca="false">IFERROR(ROUND(MAX(1,(IF($V236&lt;=INDEX('Parametri Modello'!$C$57:$C$60,MATCH($B236,'Parametri Modello'!$A$57:$A$60,0)),IF(INDEX('Parametri Modello'!$E$57:$E$60,MATCH($B236,'Parametri Modello'!$A$57:$A$60,0))=0,0,($O236/INDEX('Parametri Modello'!$E$57:$E$60,MATCH($B236,'Parametri Modello'!$A$57:$A$60,0)))*(INDEX('Parametri Modello'!$D$57:$D$60,MATCH($B236,'Parametri Modello'!$A$57:$A$60,0))*(INDEX('Parametri Modello'!$B$50:$B$53,MATCH($B236,'Parametri Modello'!$A$50:$A$53,0))*'Parametri Modello'!$B$44))),IF(INDEX('Parametri Modello'!$F$57:$F$60,MATCH($B236,'Parametri Modello'!$A$57:$A$60,0))=0,0,($O236/INDEX('Parametri Modello'!$F$57:$F$60,MATCH($B236,'Parametri Modello'!$A$57:$A$60,0)))*((1-INDEX('Parametri Modello'!$D$57:$D$60,MATCH($B236,'Parametri Modello'!$A$57:$A$60,0)))*(INDEX('Parametri Modello'!$B$50:$B$53,MATCH($B236,'Parametri Modello'!$A$50:$A$53,0))*'Parametri Modello'!$B$44))))*(1+IF(IF($B236="D",'Info Lega'!$B$25,IF($B236="C",'Info Lega'!$B$26,"No"))="Si",'Parametri Modello'!$B$5,0))*(1+MAX(-0.25,MIN(0.25,IF(OR($T236="",$I236="",$I236=0,INDEX('Parametri Modello'!$B$19:$B$22,MATCH($B236,'Parametri Modello'!$A$19:$A$22,0))="",INDEX('Parametri Modello'!$B$19:$B$22,MATCH($B236,'Parametri Modello'!$A$19:$A$22,0))=0),0,(($T236-INDEX('Parametri Modello'!$B$19:$B$22,MATCH($B236,'Parametri Modello'!$A$19:$A$22,0)))/INDEX('Parametri Modello'!$B$19:$B$22,MATCH($B236,'Parametri Modello'!$A$19:$A$22,0)))*'Parametri Modello'!$B$9))))*(1+IF('Parametri Modello'!$B$27="Si",MAX(-'Parametri Modello'!$B$28,MIN('Parametri Modello'!$B$28*1.5,IF(OR(INDEX('Parametri Modello'!$F$32:$F$35,MATCH($B236,'Parametri Modello'!$A$32:$A$35,0))="",INDEX('Parametri Modello'!$F$32:$F$35,MATCH($B236,'Parametri Modello'!$A$32:$A$35,0))=0),0,(1/INDEX('Parametri Modello'!$F$32:$F$35,MATCH($B236,'Parametri Modello'!$A$32:$A$35,0))-1)*'Parametri Modello'!$B$28))),0)))*(1-INDEX('Parametri Modello'!$B$12:$B$15,MATCH($B236,'Parametri Modello'!$A$12:$A$15,0)))),0),"")</f>
        <v>1</v>
      </c>
      <c r="H236" s="27" t="n">
        <f aca="false">IFERROR(ROUND((IF($V236&lt;=INDEX('Parametri Modello'!$C$57:$C$60,MATCH($B236,'Parametri Modello'!$A$57:$A$60,0)),IF(INDEX('Parametri Modello'!$E$57:$E$60,MATCH($B236,'Parametri Modello'!$A$57:$A$60,0))=0,0,($O236/INDEX('Parametri Modello'!$E$57:$E$60,MATCH($B236,'Parametri Modello'!$A$57:$A$60,0)))*(INDEX('Parametri Modello'!$D$57:$D$60,MATCH($B236,'Parametri Modello'!$A$57:$A$60,0))*(INDEX('Parametri Modello'!$B$50:$B$53,MATCH($B236,'Parametri Modello'!$A$50:$A$53,0))*'Parametri Modello'!$B$44))),IF(INDEX('Parametri Modello'!$F$57:$F$60,MATCH($B236,'Parametri Modello'!$A$57:$A$60,0))=0,0,($O236/INDEX('Parametri Modello'!$F$57:$F$60,MATCH($B236,'Parametri Modello'!$A$57:$A$60,0)))*((1-INDEX('Parametri Modello'!$D$57:$D$60,MATCH($B236,'Parametri Modello'!$A$57:$A$60,0)))*(INDEX('Parametri Modello'!$B$50:$B$53,MATCH($B236,'Parametri Modello'!$A$50:$A$53,0))*'Parametri Modello'!$B$44))))*(1+IF(IF($B236="D",'Info Lega'!$B$25,IF($B236="C",'Info Lega'!$B$26,"No"))="Si",'Parametri Modello'!$B$5,0))*(1+MAX(-0.25,MIN(0.25,IF(OR($T236="",$I236="",$I236=0,INDEX('Parametri Modello'!$B$19:$B$22,MATCH($B236,'Parametri Modello'!$A$19:$A$22,0))="",INDEX('Parametri Modello'!$B$19:$B$22,MATCH($B236,'Parametri Modello'!$A$19:$A$22,0))=0),0,(($T236-INDEX('Parametri Modello'!$B$19:$B$22,MATCH($B236,'Parametri Modello'!$A$19:$A$22,0)))/INDEX('Parametri Modello'!$B$19:$B$22,MATCH($B236,'Parametri Modello'!$A$19:$A$22,0)))*'Parametri Modello'!$B$9))))*(1+IF('Parametri Modello'!$B$27="Si",MAX(-'Parametri Modello'!$B$28,MIN('Parametri Modello'!$B$28*1.5,IF(OR(INDEX('Parametri Modello'!$F$32:$F$35,MATCH($B236,'Parametri Modello'!$A$32:$A$35,0))="",INDEX('Parametri Modello'!$F$32:$F$35,MATCH($B236,'Parametri Modello'!$A$32:$A$35,0))=0),0,(1/INDEX('Parametri Modello'!$F$32:$F$35,MATCH($B236,'Parametri Modello'!$A$32:$A$35,0))-1)*'Parametri Modello'!$B$28))),0)))*(1+INDEX('Parametri Modello'!$B$12:$B$15,MATCH($B236,'Parametri Modello'!$A$12:$A$15,0))),0),"")</f>
        <v>2</v>
      </c>
      <c r="I236" s="26" t="n">
        <f aca="false">IFERROR(INDEX('Input Statistiche 2025_26'!$F$3:$F$665,MATCH($A236,'Input Statistiche 2025_26'!$A$3:$A$665,0)),"")</f>
        <v>4</v>
      </c>
      <c r="J236" s="26" t="n">
        <f aca="false">IFERROR(IF($I236="","",MAX(0,38-$I236)),"")</f>
        <v>34</v>
      </c>
      <c r="K236" s="26" t="n">
        <f aca="false">IFERROR(INDEX('Input Statistiche 2025_26'!$I$3:$I$665,MATCH($A236,'Input Statistiche 2025_26'!$A$3:$A$665,0)),"")</f>
        <v>1</v>
      </c>
      <c r="L236" s="26" t="n">
        <f aca="false">IFERROR(INDEX('Input Statistiche 2025_26'!$O$3:$O$665,MATCH($A236,'Input Statistiche 2025_26'!$A$3:$A$665,0)),"")</f>
        <v>0</v>
      </c>
      <c r="M236" s="28"/>
      <c r="N236" s="27" t="n">
        <f aca="false">IFERROR(INDEX('Input Giocatori 2026_27'!$E$3:$E$493,MATCH($A236,'Input Giocatori 2026_27'!$A$3:$A$493,0)),"")</f>
        <v>5</v>
      </c>
      <c r="O236" s="27" t="n">
        <f aca="false">IFERROR(INDEX('Input Giocatori 2026_27'!$G$3:$G$493,MATCH($A236,'Input Giocatori 2026_27'!$A$3:$A$493,0)),"")</f>
        <v>14</v>
      </c>
      <c r="P236" s="26" t="str">
        <f aca="false">IFERROR(IF($O236="","",IF((1-(COUNTIFS($B$2:$B$492,$B236,$O$2:$O$492,"&gt;"&amp;$O236)+1-1)/COUNTIF($B$2:$B$492,$B236))&gt;=0.85,"Top",IF((1-(COUNTIFS($B$2:$B$492,$B236,$O$2:$O$492,"&gt;"&amp;$O236)+1-1)/COUNTIF($B$2:$B$492,$B236))&gt;=0.6,"Buono",IF((1-(COUNTIFS($B$2:$B$492,$B236,$O$2:$O$492,"&gt;"&amp;$O236)+1-1)/COUNTIF($B$2:$B$492,$B236))&gt;=0.3,"Nella Media","Scommessa/Riserva")))),"")</f>
        <v>Nella Media</v>
      </c>
      <c r="Q236" s="29" t="n">
        <f aca="false">IF($D236="",COUNTIF($D$2:$D236,""),"")</f>
        <v>235</v>
      </c>
      <c r="R236" s="29" t="str">
        <f aca="false">IF($D236='Info Lega'!$B$28,COUNTIFS($D$2:$D236,'Info Lega'!$B$28),"")</f>
        <v/>
      </c>
      <c r="S236" s="30" t="n">
        <f aca="false">IFERROR(INDEX('Input Statistiche 2025_26'!$G$3:$G$665,MATCH($A236,'Input Statistiche 2025_26'!$A$3:$A$665,0)),"")</f>
        <v>6.12</v>
      </c>
      <c r="T236" s="30" t="n">
        <f aca="false">IFERROR(INDEX('Input Statistiche 2025_26'!$H$3:$H$665,MATCH($A236,'Input Statistiche 2025_26'!$A$3:$A$665,0)),"")</f>
        <v>6.88</v>
      </c>
      <c r="U236" s="26" t="str">
        <f aca="false">IF(OR('La Mia Rosa'!$O$12="",$D236&lt;&gt;""),"",IF($F236&lt;='La Mia Rosa'!$O$12*'Parametri Modello'!$B$24,"OK",IF($F236&lt;='La Mia Rosa'!$O$12*'Parametri Modello'!$B$25,"Attenzione","Rischio Alto")))</f>
        <v>OK</v>
      </c>
      <c r="V236" s="26" t="n">
        <f aca="false">IFERROR(COUNTIFS($B$2:$B$492,$B236,$O$2:$O$492,"&gt;"&amp;$O236)+1,"")</f>
        <v>86</v>
      </c>
      <c r="W236" s="21" t="n">
        <f aca="false">'Info Lega'!$B$4-SUMIFS($M$2:$M$492,$D$2:$D$492,'Info Lega'!$B$28)</f>
        <v>1000</v>
      </c>
      <c r="X236" s="21" t="n">
        <f aca="false">('Info Lega'!$B$5-COUNTIFS($D$2:$D$492,'Info Lega'!$B$28,$B$2:$B$492,"P"))+('Info Lega'!$B$6-COUNTIFS($D$2:$D$492,'Info Lega'!$B$28,$B$2:$B$492,"D"))+('Info Lega'!$B$7-COUNTIFS($D$2:$D$492,'Info Lega'!$B$28,$B$2:$B$492,"C"))+('Info Lega'!$B$8-COUNTIFS($D$2:$D$492,'Info Lega'!$B$28,$B$2:$B$492,"A"))</f>
        <v>25</v>
      </c>
      <c r="Y236" s="21" t="n">
        <f aca="false">X236*'Parametri Modello'!$B$30</f>
        <v>25</v>
      </c>
      <c r="Z236" s="21" t="n">
        <f aca="false">MAX(0,W236-Y236)</f>
        <v>975</v>
      </c>
      <c r="AA236" s="21" t="n">
        <f aca="false">MIN(F236,Z236)</f>
        <v>2</v>
      </c>
      <c r="AB236" s="21"/>
      <c r="AC236" s="21" t="str">
        <f aca="false">IF(AB236="","",IF(AB236&gt;AA236,"PASS",IF(AB236&lt;=AA236*0.85,"BID","ATTENZIONE")))</f>
        <v/>
      </c>
      <c r="AD236" s="31" t="n">
        <f aca="false">IF(I236="","",ROUND(100*(1-EXP(-I236/30)),0))</f>
        <v>12</v>
      </c>
      <c r="AE236" s="7" t="str">
        <f aca="false">IFERROR(INDEX('Stato Asta'!$G$9:$G$12,MATCH($B236,'Stato Asta'!$A$9:$A$12,0)),"")</f>
        <v>🟡 Attesa rischiosa</v>
      </c>
    </row>
    <row r="237" customFormat="false" ht="14.25" hidden="false" customHeight="true" outlineLevel="0" collapsed="false">
      <c r="A237" s="21" t="n">
        <v>5507</v>
      </c>
      <c r="B237" s="21" t="s">
        <v>45</v>
      </c>
      <c r="C237" s="21" t="s">
        <v>469</v>
      </c>
      <c r="E237" s="26" t="str">
        <f aca="false">IF(COUNTIF('Info Strategia'!$D$2:$D$51,$C237)&gt;0,"SI","NO")</f>
        <v>NO</v>
      </c>
      <c r="F237" s="27" t="n">
        <f aca="false">IFERROR(ROUND(($G237+($H237-$G237)*'Info Strategia'!$B$6)*(1+IF($E237="SI",'Parametri Modello'!$B$7*'Info Strategia'!$B$6,0)),0),"")</f>
        <v>2</v>
      </c>
      <c r="G237" s="27" t="n">
        <f aca="false">IFERROR(ROUND(MAX(1,(IF($V237&lt;=INDEX('Parametri Modello'!$C$57:$C$60,MATCH($B237,'Parametri Modello'!$A$57:$A$60,0)),IF(INDEX('Parametri Modello'!$E$57:$E$60,MATCH($B237,'Parametri Modello'!$A$57:$A$60,0))=0,0,($O237/INDEX('Parametri Modello'!$E$57:$E$60,MATCH($B237,'Parametri Modello'!$A$57:$A$60,0)))*(INDEX('Parametri Modello'!$D$57:$D$60,MATCH($B237,'Parametri Modello'!$A$57:$A$60,0))*(INDEX('Parametri Modello'!$B$50:$B$53,MATCH($B237,'Parametri Modello'!$A$50:$A$53,0))*'Parametri Modello'!$B$44))),IF(INDEX('Parametri Modello'!$F$57:$F$60,MATCH($B237,'Parametri Modello'!$A$57:$A$60,0))=0,0,($O237/INDEX('Parametri Modello'!$F$57:$F$60,MATCH($B237,'Parametri Modello'!$A$57:$A$60,0)))*((1-INDEX('Parametri Modello'!$D$57:$D$60,MATCH($B237,'Parametri Modello'!$A$57:$A$60,0)))*(INDEX('Parametri Modello'!$B$50:$B$53,MATCH($B237,'Parametri Modello'!$A$50:$A$53,0))*'Parametri Modello'!$B$44))))*(1+IF(IF($B237="D",'Info Lega'!$B$25,IF($B237="C",'Info Lega'!$B$26,"No"))="Si",'Parametri Modello'!$B$5,0))*(1+MAX(-0.25,MIN(0.25,IF(OR($T237="",$I237="",$I237=0,INDEX('Parametri Modello'!$B$19:$B$22,MATCH($B237,'Parametri Modello'!$A$19:$A$22,0))="",INDEX('Parametri Modello'!$B$19:$B$22,MATCH($B237,'Parametri Modello'!$A$19:$A$22,0))=0),0,(($T237-INDEX('Parametri Modello'!$B$19:$B$22,MATCH($B237,'Parametri Modello'!$A$19:$A$22,0)))/INDEX('Parametri Modello'!$B$19:$B$22,MATCH($B237,'Parametri Modello'!$A$19:$A$22,0)))*'Parametri Modello'!$B$9))))*(1+IF('Parametri Modello'!$B$27="Si",MAX(-'Parametri Modello'!$B$28,MIN('Parametri Modello'!$B$28*1.5,IF(OR(INDEX('Parametri Modello'!$F$32:$F$35,MATCH($B237,'Parametri Modello'!$A$32:$A$35,0))="",INDEX('Parametri Modello'!$F$32:$F$35,MATCH($B237,'Parametri Modello'!$A$32:$A$35,0))=0),0,(1/INDEX('Parametri Modello'!$F$32:$F$35,MATCH($B237,'Parametri Modello'!$A$32:$A$35,0))-1)*'Parametri Modello'!$B$28))),0)))*(1-INDEX('Parametri Modello'!$B$12:$B$15,MATCH($B237,'Parametri Modello'!$A$12:$A$15,0)))),0),"")</f>
        <v>1</v>
      </c>
      <c r="H237" s="27" t="n">
        <f aca="false">IFERROR(ROUND((IF($V237&lt;=INDEX('Parametri Modello'!$C$57:$C$60,MATCH($B237,'Parametri Modello'!$A$57:$A$60,0)),IF(INDEX('Parametri Modello'!$E$57:$E$60,MATCH($B237,'Parametri Modello'!$A$57:$A$60,0))=0,0,($O237/INDEX('Parametri Modello'!$E$57:$E$60,MATCH($B237,'Parametri Modello'!$A$57:$A$60,0)))*(INDEX('Parametri Modello'!$D$57:$D$60,MATCH($B237,'Parametri Modello'!$A$57:$A$60,0))*(INDEX('Parametri Modello'!$B$50:$B$53,MATCH($B237,'Parametri Modello'!$A$50:$A$53,0))*'Parametri Modello'!$B$44))),IF(INDEX('Parametri Modello'!$F$57:$F$60,MATCH($B237,'Parametri Modello'!$A$57:$A$60,0))=0,0,($O237/INDEX('Parametri Modello'!$F$57:$F$60,MATCH($B237,'Parametri Modello'!$A$57:$A$60,0)))*((1-INDEX('Parametri Modello'!$D$57:$D$60,MATCH($B237,'Parametri Modello'!$A$57:$A$60,0)))*(INDEX('Parametri Modello'!$B$50:$B$53,MATCH($B237,'Parametri Modello'!$A$50:$A$53,0))*'Parametri Modello'!$B$44))))*(1+IF(IF($B237="D",'Info Lega'!$B$25,IF($B237="C",'Info Lega'!$B$26,"No"))="Si",'Parametri Modello'!$B$5,0))*(1+MAX(-0.25,MIN(0.25,IF(OR($T237="",$I237="",$I237=0,INDEX('Parametri Modello'!$B$19:$B$22,MATCH($B237,'Parametri Modello'!$A$19:$A$22,0))="",INDEX('Parametri Modello'!$B$19:$B$22,MATCH($B237,'Parametri Modello'!$A$19:$A$22,0))=0),0,(($T237-INDEX('Parametri Modello'!$B$19:$B$22,MATCH($B237,'Parametri Modello'!$A$19:$A$22,0)))/INDEX('Parametri Modello'!$B$19:$B$22,MATCH($B237,'Parametri Modello'!$A$19:$A$22,0)))*'Parametri Modello'!$B$9))))*(1+IF('Parametri Modello'!$B$27="Si",MAX(-'Parametri Modello'!$B$28,MIN('Parametri Modello'!$B$28*1.5,IF(OR(INDEX('Parametri Modello'!$F$32:$F$35,MATCH($B237,'Parametri Modello'!$A$32:$A$35,0))="",INDEX('Parametri Modello'!$F$32:$F$35,MATCH($B237,'Parametri Modello'!$A$32:$A$35,0))=0),0,(1/INDEX('Parametri Modello'!$F$32:$F$35,MATCH($B237,'Parametri Modello'!$A$32:$A$35,0))-1)*'Parametri Modello'!$B$28))),0)))*(1+INDEX('Parametri Modello'!$B$12:$B$15,MATCH($B237,'Parametri Modello'!$A$12:$A$15,0))),0),"")</f>
        <v>2</v>
      </c>
      <c r="I237" s="26" t="str">
        <f aca="false">IFERROR(INDEX('Input Statistiche 2025_26'!$F$3:$F$665,MATCH($A237,'Input Statistiche 2025_26'!$A$3:$A$665,0)),"")</f>
        <v/>
      </c>
      <c r="J237" s="26" t="str">
        <f aca="false">IFERROR(IF($I237="","",MAX(0,38-$I237)),"")</f>
        <v/>
      </c>
      <c r="K237" s="26" t="str">
        <f aca="false">IFERROR(INDEX('Input Statistiche 2025_26'!$I$3:$I$665,MATCH($A237,'Input Statistiche 2025_26'!$A$3:$A$665,0)),"")</f>
        <v/>
      </c>
      <c r="L237" s="26" t="str">
        <f aca="false">IFERROR(INDEX('Input Statistiche 2025_26'!$O$3:$O$665,MATCH($A237,'Input Statistiche 2025_26'!$A$3:$A$665,0)),"")</f>
        <v/>
      </c>
      <c r="M237" s="28"/>
      <c r="N237" s="27" t="n">
        <f aca="false">IFERROR(INDEX('Input Giocatori 2026_27'!$E$3:$E$493,MATCH($A237,'Input Giocatori 2026_27'!$A$3:$A$493,0)),"")</f>
        <v>5</v>
      </c>
      <c r="O237" s="27" t="n">
        <f aca="false">IFERROR(INDEX('Input Giocatori 2026_27'!$G$3:$G$493,MATCH($A237,'Input Giocatori 2026_27'!$A$3:$A$493,0)),"")</f>
        <v>14</v>
      </c>
      <c r="P237" s="26" t="str">
        <f aca="false">IFERROR(IF($O237="","",IF((1-(COUNTIFS($B$2:$B$492,$B237,$O$2:$O$492,"&gt;"&amp;$O237)+1-1)/COUNTIF($B$2:$B$492,$B237))&gt;=0.85,"Top",IF((1-(COUNTIFS($B$2:$B$492,$B237,$O$2:$O$492,"&gt;"&amp;$O237)+1-1)/COUNTIF($B$2:$B$492,$B237))&gt;=0.6,"Buono",IF((1-(COUNTIFS($B$2:$B$492,$B237,$O$2:$O$492,"&gt;"&amp;$O237)+1-1)/COUNTIF($B$2:$B$492,$B237))&gt;=0.3,"Nella Media","Scommessa/Riserva")))),"")</f>
        <v>Nella Media</v>
      </c>
      <c r="Q237" s="29" t="n">
        <f aca="false">IF($D237="",COUNTIF($D$2:$D237,""),"")</f>
        <v>236</v>
      </c>
      <c r="R237" s="29" t="str">
        <f aca="false">IF($D237='Info Lega'!$B$28,COUNTIFS($D$2:$D237,'Info Lega'!$B$28),"")</f>
        <v/>
      </c>
      <c r="S237" s="30" t="str">
        <f aca="false">IFERROR(INDEX('Input Statistiche 2025_26'!$G$3:$G$665,MATCH($A237,'Input Statistiche 2025_26'!$A$3:$A$665,0)),"")</f>
        <v/>
      </c>
      <c r="T237" s="30" t="str">
        <f aca="false">IFERROR(INDEX('Input Statistiche 2025_26'!$H$3:$H$665,MATCH($A237,'Input Statistiche 2025_26'!$A$3:$A$665,0)),"")</f>
        <v/>
      </c>
      <c r="U237" s="26" t="str">
        <f aca="false">IF(OR('La Mia Rosa'!$O$12="",$D237&lt;&gt;""),"",IF($F237&lt;='La Mia Rosa'!$O$12*'Parametri Modello'!$B$24,"OK",IF($F237&lt;='La Mia Rosa'!$O$12*'Parametri Modello'!$B$25,"Attenzione","Rischio Alto")))</f>
        <v>OK</v>
      </c>
      <c r="V237" s="26" t="n">
        <f aca="false">IFERROR(COUNTIFS($B$2:$B$492,$B237,$O$2:$O$492,"&gt;"&amp;$O237)+1,"")</f>
        <v>86</v>
      </c>
      <c r="W237" s="21" t="n">
        <f aca="false">'Info Lega'!$B$4-SUMIFS($M$2:$M$492,$D$2:$D$492,'Info Lega'!$B$28)</f>
        <v>1000</v>
      </c>
      <c r="X237" s="21" t="n">
        <f aca="false">('Info Lega'!$B$5-COUNTIFS($D$2:$D$492,'Info Lega'!$B$28,$B$2:$B$492,"P"))+('Info Lega'!$B$6-COUNTIFS($D$2:$D$492,'Info Lega'!$B$28,$B$2:$B$492,"D"))+('Info Lega'!$B$7-COUNTIFS($D$2:$D$492,'Info Lega'!$B$28,$B$2:$B$492,"C"))+('Info Lega'!$B$8-COUNTIFS($D$2:$D$492,'Info Lega'!$B$28,$B$2:$B$492,"A"))</f>
        <v>25</v>
      </c>
      <c r="Y237" s="21" t="n">
        <f aca="false">X237*'Parametri Modello'!$B$30</f>
        <v>25</v>
      </c>
      <c r="Z237" s="21" t="n">
        <f aca="false">MAX(0,W237-Y237)</f>
        <v>975</v>
      </c>
      <c r="AA237" s="21" t="n">
        <f aca="false">MIN(F237,Z237)</f>
        <v>2</v>
      </c>
      <c r="AB237" s="21"/>
      <c r="AC237" s="21" t="str">
        <f aca="false">IF(AB237="","",IF(AB237&gt;AA237,"PASS",IF(AB237&lt;=AA237*0.85,"BID","ATTENZIONE")))</f>
        <v/>
      </c>
      <c r="AD237" s="31" t="str">
        <f aca="false">IF(I237="","",ROUND(100*(1-EXP(-I237/30)),0))</f>
        <v/>
      </c>
      <c r="AE237" s="7" t="str">
        <f aca="false">IFERROR(INDEX('Stato Asta'!$G$9:$G$12,MATCH($B237,'Stato Asta'!$A$9:$A$12,0)),"")</f>
        <v>🟡 Attesa rischiosa</v>
      </c>
    </row>
    <row r="238" customFormat="false" ht="14.25" hidden="false" customHeight="true" outlineLevel="0" collapsed="false">
      <c r="A238" s="21" t="n">
        <v>5319</v>
      </c>
      <c r="B238" s="21" t="s">
        <v>45</v>
      </c>
      <c r="C238" s="21" t="s">
        <v>470</v>
      </c>
      <c r="E238" s="26" t="str">
        <f aca="false">IF(COUNTIF('Info Strategia'!$D$2:$D$51,$C238)&gt;0,"SI","NO")</f>
        <v>NO</v>
      </c>
      <c r="F238" s="27" t="n">
        <f aca="false">IFERROR(ROUND(($G238+($H238-$G238)*'Info Strategia'!$B$6)*(1+IF($E238="SI",'Parametri Modello'!$B$7*'Info Strategia'!$B$6,0)),0),"")</f>
        <v>2</v>
      </c>
      <c r="G238" s="27" t="n">
        <f aca="false">IFERROR(ROUND(MAX(1,(IF($V238&lt;=INDEX('Parametri Modello'!$C$57:$C$60,MATCH($B238,'Parametri Modello'!$A$57:$A$60,0)),IF(INDEX('Parametri Modello'!$E$57:$E$60,MATCH($B238,'Parametri Modello'!$A$57:$A$60,0))=0,0,($O238/INDEX('Parametri Modello'!$E$57:$E$60,MATCH($B238,'Parametri Modello'!$A$57:$A$60,0)))*(INDEX('Parametri Modello'!$D$57:$D$60,MATCH($B238,'Parametri Modello'!$A$57:$A$60,0))*(INDEX('Parametri Modello'!$B$50:$B$53,MATCH($B238,'Parametri Modello'!$A$50:$A$53,0))*'Parametri Modello'!$B$44))),IF(INDEX('Parametri Modello'!$F$57:$F$60,MATCH($B238,'Parametri Modello'!$A$57:$A$60,0))=0,0,($O238/INDEX('Parametri Modello'!$F$57:$F$60,MATCH($B238,'Parametri Modello'!$A$57:$A$60,0)))*((1-INDEX('Parametri Modello'!$D$57:$D$60,MATCH($B238,'Parametri Modello'!$A$57:$A$60,0)))*(INDEX('Parametri Modello'!$B$50:$B$53,MATCH($B238,'Parametri Modello'!$A$50:$A$53,0))*'Parametri Modello'!$B$44))))*(1+IF(IF($B238="D",'Info Lega'!$B$25,IF($B238="C",'Info Lega'!$B$26,"No"))="Si",'Parametri Modello'!$B$5,0))*(1+MAX(-0.25,MIN(0.25,IF(OR($T238="",$I238="",$I238=0,INDEX('Parametri Modello'!$B$19:$B$22,MATCH($B238,'Parametri Modello'!$A$19:$A$22,0))="",INDEX('Parametri Modello'!$B$19:$B$22,MATCH($B238,'Parametri Modello'!$A$19:$A$22,0))=0),0,(($T238-INDEX('Parametri Modello'!$B$19:$B$22,MATCH($B238,'Parametri Modello'!$A$19:$A$22,0)))/INDEX('Parametri Modello'!$B$19:$B$22,MATCH($B238,'Parametri Modello'!$A$19:$A$22,0)))*'Parametri Modello'!$B$9))))*(1+IF('Parametri Modello'!$B$27="Si",MAX(-'Parametri Modello'!$B$28,MIN('Parametri Modello'!$B$28*1.5,IF(OR(INDEX('Parametri Modello'!$F$32:$F$35,MATCH($B238,'Parametri Modello'!$A$32:$A$35,0))="",INDEX('Parametri Modello'!$F$32:$F$35,MATCH($B238,'Parametri Modello'!$A$32:$A$35,0))=0),0,(1/INDEX('Parametri Modello'!$F$32:$F$35,MATCH($B238,'Parametri Modello'!$A$32:$A$35,0))-1)*'Parametri Modello'!$B$28))),0)))*(1-INDEX('Parametri Modello'!$B$12:$B$15,MATCH($B238,'Parametri Modello'!$A$12:$A$15,0)))),0),"")</f>
        <v>1</v>
      </c>
      <c r="H238" s="27" t="n">
        <f aca="false">IFERROR(ROUND((IF($V238&lt;=INDEX('Parametri Modello'!$C$57:$C$60,MATCH($B238,'Parametri Modello'!$A$57:$A$60,0)),IF(INDEX('Parametri Modello'!$E$57:$E$60,MATCH($B238,'Parametri Modello'!$A$57:$A$60,0))=0,0,($O238/INDEX('Parametri Modello'!$E$57:$E$60,MATCH($B238,'Parametri Modello'!$A$57:$A$60,0)))*(INDEX('Parametri Modello'!$D$57:$D$60,MATCH($B238,'Parametri Modello'!$A$57:$A$60,0))*(INDEX('Parametri Modello'!$B$50:$B$53,MATCH($B238,'Parametri Modello'!$A$50:$A$53,0))*'Parametri Modello'!$B$44))),IF(INDEX('Parametri Modello'!$F$57:$F$60,MATCH($B238,'Parametri Modello'!$A$57:$A$60,0))=0,0,($O238/INDEX('Parametri Modello'!$F$57:$F$60,MATCH($B238,'Parametri Modello'!$A$57:$A$60,0)))*((1-INDEX('Parametri Modello'!$D$57:$D$60,MATCH($B238,'Parametri Modello'!$A$57:$A$60,0)))*(INDEX('Parametri Modello'!$B$50:$B$53,MATCH($B238,'Parametri Modello'!$A$50:$A$53,0))*'Parametri Modello'!$B$44))))*(1+IF(IF($B238="D",'Info Lega'!$B$25,IF($B238="C",'Info Lega'!$B$26,"No"))="Si",'Parametri Modello'!$B$5,0))*(1+MAX(-0.25,MIN(0.25,IF(OR($T238="",$I238="",$I238=0,INDEX('Parametri Modello'!$B$19:$B$22,MATCH($B238,'Parametri Modello'!$A$19:$A$22,0))="",INDEX('Parametri Modello'!$B$19:$B$22,MATCH($B238,'Parametri Modello'!$A$19:$A$22,0))=0),0,(($T238-INDEX('Parametri Modello'!$B$19:$B$22,MATCH($B238,'Parametri Modello'!$A$19:$A$22,0)))/INDEX('Parametri Modello'!$B$19:$B$22,MATCH($B238,'Parametri Modello'!$A$19:$A$22,0)))*'Parametri Modello'!$B$9))))*(1+IF('Parametri Modello'!$B$27="Si",MAX(-'Parametri Modello'!$B$28,MIN('Parametri Modello'!$B$28*1.5,IF(OR(INDEX('Parametri Modello'!$F$32:$F$35,MATCH($B238,'Parametri Modello'!$A$32:$A$35,0))="",INDEX('Parametri Modello'!$F$32:$F$35,MATCH($B238,'Parametri Modello'!$A$32:$A$35,0))=0),0,(1/INDEX('Parametri Modello'!$F$32:$F$35,MATCH($B238,'Parametri Modello'!$A$32:$A$35,0))-1)*'Parametri Modello'!$B$28))),0)))*(1+INDEX('Parametri Modello'!$B$12:$B$15,MATCH($B238,'Parametri Modello'!$A$12:$A$15,0))),0),"")</f>
        <v>2</v>
      </c>
      <c r="I238" s="26" t="n">
        <f aca="false">IFERROR(INDEX('Input Statistiche 2025_26'!$F$3:$F$665,MATCH($A238,'Input Statistiche 2025_26'!$A$3:$A$665,0)),"")</f>
        <v>24</v>
      </c>
      <c r="J238" s="26" t="n">
        <f aca="false">IFERROR(IF($I238="","",MAX(0,38-$I238)),"")</f>
        <v>14</v>
      </c>
      <c r="K238" s="26" t="n">
        <f aca="false">IFERROR(INDEX('Input Statistiche 2025_26'!$I$3:$I$665,MATCH($A238,'Input Statistiche 2025_26'!$A$3:$A$665,0)),"")</f>
        <v>0</v>
      </c>
      <c r="L238" s="26" t="n">
        <f aca="false">IFERROR(INDEX('Input Statistiche 2025_26'!$O$3:$O$665,MATCH($A238,'Input Statistiche 2025_26'!$A$3:$A$665,0)),"")</f>
        <v>1</v>
      </c>
      <c r="M238" s="28"/>
      <c r="N238" s="27" t="n">
        <f aca="false">IFERROR(INDEX('Input Giocatori 2026_27'!$E$3:$E$493,MATCH($A238,'Input Giocatori 2026_27'!$A$3:$A$493,0)),"")</f>
        <v>5</v>
      </c>
      <c r="O238" s="27" t="n">
        <f aca="false">IFERROR(INDEX('Input Giocatori 2026_27'!$G$3:$G$493,MATCH($A238,'Input Giocatori 2026_27'!$A$3:$A$493,0)),"")</f>
        <v>14</v>
      </c>
      <c r="P238" s="26" t="str">
        <f aca="false">IFERROR(IF($O238="","",IF((1-(COUNTIFS($B$2:$B$492,$B238,$O$2:$O$492,"&gt;"&amp;$O238)+1-1)/COUNTIF($B$2:$B$492,$B238))&gt;=0.85,"Top",IF((1-(COUNTIFS($B$2:$B$492,$B238,$O$2:$O$492,"&gt;"&amp;$O238)+1-1)/COUNTIF($B$2:$B$492,$B238))&gt;=0.6,"Buono",IF((1-(COUNTIFS($B$2:$B$492,$B238,$O$2:$O$492,"&gt;"&amp;$O238)+1-1)/COUNTIF($B$2:$B$492,$B238))&gt;=0.3,"Nella Media","Scommessa/Riserva")))),"")</f>
        <v>Nella Media</v>
      </c>
      <c r="Q238" s="29" t="n">
        <f aca="false">IF($D238="",COUNTIF($D$2:$D238,""),"")</f>
        <v>237</v>
      </c>
      <c r="R238" s="29" t="str">
        <f aca="false">IF($D238='Info Lega'!$B$28,COUNTIFS($D$2:$D238,'Info Lega'!$B$28),"")</f>
        <v/>
      </c>
      <c r="S238" s="30" t="n">
        <f aca="false">IFERROR(INDEX('Input Statistiche 2025_26'!$G$3:$G$665,MATCH($A238,'Input Statistiche 2025_26'!$A$3:$A$665,0)),"")</f>
        <v>5.65</v>
      </c>
      <c r="T238" s="30" t="n">
        <f aca="false">IFERROR(INDEX('Input Statistiche 2025_26'!$H$3:$H$665,MATCH($A238,'Input Statistiche 2025_26'!$A$3:$A$665,0)),"")</f>
        <v>5.62</v>
      </c>
      <c r="U238" s="26" t="str">
        <f aca="false">IF(OR('La Mia Rosa'!$O$12="",$D238&lt;&gt;""),"",IF($F238&lt;='La Mia Rosa'!$O$12*'Parametri Modello'!$B$24,"OK",IF($F238&lt;='La Mia Rosa'!$O$12*'Parametri Modello'!$B$25,"Attenzione","Rischio Alto")))</f>
        <v>OK</v>
      </c>
      <c r="V238" s="26" t="n">
        <f aca="false">IFERROR(COUNTIFS($B$2:$B$492,$B238,$O$2:$O$492,"&gt;"&amp;$O238)+1,"")</f>
        <v>86</v>
      </c>
      <c r="W238" s="21" t="n">
        <f aca="false">'Info Lega'!$B$4-SUMIFS($M$2:$M$492,$D$2:$D$492,'Info Lega'!$B$28)</f>
        <v>1000</v>
      </c>
      <c r="X238" s="21" t="n">
        <f aca="false">('Info Lega'!$B$5-COUNTIFS($D$2:$D$492,'Info Lega'!$B$28,$B$2:$B$492,"P"))+('Info Lega'!$B$6-COUNTIFS($D$2:$D$492,'Info Lega'!$B$28,$B$2:$B$492,"D"))+('Info Lega'!$B$7-COUNTIFS($D$2:$D$492,'Info Lega'!$B$28,$B$2:$B$492,"C"))+('Info Lega'!$B$8-COUNTIFS($D$2:$D$492,'Info Lega'!$B$28,$B$2:$B$492,"A"))</f>
        <v>25</v>
      </c>
      <c r="Y238" s="21" t="n">
        <f aca="false">X238*'Parametri Modello'!$B$30</f>
        <v>25</v>
      </c>
      <c r="Z238" s="21" t="n">
        <f aca="false">MAX(0,W238-Y238)</f>
        <v>975</v>
      </c>
      <c r="AA238" s="21" t="n">
        <f aca="false">MIN(F238,Z238)</f>
        <v>2</v>
      </c>
      <c r="AB238" s="21"/>
      <c r="AC238" s="21" t="str">
        <f aca="false">IF(AB238="","",IF(AB238&gt;AA238,"PASS",IF(AB238&lt;=AA238*0.85,"BID","ATTENZIONE")))</f>
        <v/>
      </c>
      <c r="AD238" s="31" t="n">
        <f aca="false">IF(I238="","",ROUND(100*(1-EXP(-I238/30)),0))</f>
        <v>55</v>
      </c>
      <c r="AE238" s="7" t="str">
        <f aca="false">IFERROR(INDEX('Stato Asta'!$G$9:$G$12,MATCH($B238,'Stato Asta'!$A$9:$A$12,0)),"")</f>
        <v>🟡 Attesa rischiosa</v>
      </c>
    </row>
    <row r="239" customFormat="false" ht="14.25" hidden="false" customHeight="true" outlineLevel="0" collapsed="false">
      <c r="A239" s="21" t="n">
        <v>6994</v>
      </c>
      <c r="B239" s="21" t="s">
        <v>45</v>
      </c>
      <c r="C239" s="21" t="s">
        <v>471</v>
      </c>
      <c r="E239" s="26" t="str">
        <f aca="false">IF(COUNTIF('Info Strategia'!$D$2:$D$51,$C239)&gt;0,"SI","NO")</f>
        <v>NO</v>
      </c>
      <c r="F239" s="27" t="n">
        <f aca="false">IFERROR(ROUND(($G239+($H239-$G239)*'Info Strategia'!$B$6)*(1+IF($E239="SI",'Parametri Modello'!$B$7*'Info Strategia'!$B$6,0)),0),"")</f>
        <v>2</v>
      </c>
      <c r="G239" s="27" t="n">
        <f aca="false">IFERROR(ROUND(MAX(1,(IF($V239&lt;=INDEX('Parametri Modello'!$C$57:$C$60,MATCH($B239,'Parametri Modello'!$A$57:$A$60,0)),IF(INDEX('Parametri Modello'!$E$57:$E$60,MATCH($B239,'Parametri Modello'!$A$57:$A$60,0))=0,0,($O239/INDEX('Parametri Modello'!$E$57:$E$60,MATCH($B239,'Parametri Modello'!$A$57:$A$60,0)))*(INDEX('Parametri Modello'!$D$57:$D$60,MATCH($B239,'Parametri Modello'!$A$57:$A$60,0))*(INDEX('Parametri Modello'!$B$50:$B$53,MATCH($B239,'Parametri Modello'!$A$50:$A$53,0))*'Parametri Modello'!$B$44))),IF(INDEX('Parametri Modello'!$F$57:$F$60,MATCH($B239,'Parametri Modello'!$A$57:$A$60,0))=0,0,($O239/INDEX('Parametri Modello'!$F$57:$F$60,MATCH($B239,'Parametri Modello'!$A$57:$A$60,0)))*((1-INDEX('Parametri Modello'!$D$57:$D$60,MATCH($B239,'Parametri Modello'!$A$57:$A$60,0)))*(INDEX('Parametri Modello'!$B$50:$B$53,MATCH($B239,'Parametri Modello'!$A$50:$A$53,0))*'Parametri Modello'!$B$44))))*(1+IF(IF($B239="D",'Info Lega'!$B$25,IF($B239="C",'Info Lega'!$B$26,"No"))="Si",'Parametri Modello'!$B$5,0))*(1+MAX(-0.25,MIN(0.25,IF(OR($T239="",$I239="",$I239=0,INDEX('Parametri Modello'!$B$19:$B$22,MATCH($B239,'Parametri Modello'!$A$19:$A$22,0))="",INDEX('Parametri Modello'!$B$19:$B$22,MATCH($B239,'Parametri Modello'!$A$19:$A$22,0))=0),0,(($T239-INDEX('Parametri Modello'!$B$19:$B$22,MATCH($B239,'Parametri Modello'!$A$19:$A$22,0)))/INDEX('Parametri Modello'!$B$19:$B$22,MATCH($B239,'Parametri Modello'!$A$19:$A$22,0)))*'Parametri Modello'!$B$9))))*(1+IF('Parametri Modello'!$B$27="Si",MAX(-'Parametri Modello'!$B$28,MIN('Parametri Modello'!$B$28*1.5,IF(OR(INDEX('Parametri Modello'!$F$32:$F$35,MATCH($B239,'Parametri Modello'!$A$32:$A$35,0))="",INDEX('Parametri Modello'!$F$32:$F$35,MATCH($B239,'Parametri Modello'!$A$32:$A$35,0))=0),0,(1/INDEX('Parametri Modello'!$F$32:$F$35,MATCH($B239,'Parametri Modello'!$A$32:$A$35,0))-1)*'Parametri Modello'!$B$28))),0)))*(1-INDEX('Parametri Modello'!$B$12:$B$15,MATCH($B239,'Parametri Modello'!$A$12:$A$15,0)))),0),"")</f>
        <v>1</v>
      </c>
      <c r="H239" s="27" t="n">
        <f aca="false">IFERROR(ROUND((IF($V239&lt;=INDEX('Parametri Modello'!$C$57:$C$60,MATCH($B239,'Parametri Modello'!$A$57:$A$60,0)),IF(INDEX('Parametri Modello'!$E$57:$E$60,MATCH($B239,'Parametri Modello'!$A$57:$A$60,0))=0,0,($O239/INDEX('Parametri Modello'!$E$57:$E$60,MATCH($B239,'Parametri Modello'!$A$57:$A$60,0)))*(INDEX('Parametri Modello'!$D$57:$D$60,MATCH($B239,'Parametri Modello'!$A$57:$A$60,0))*(INDEX('Parametri Modello'!$B$50:$B$53,MATCH($B239,'Parametri Modello'!$A$50:$A$53,0))*'Parametri Modello'!$B$44))),IF(INDEX('Parametri Modello'!$F$57:$F$60,MATCH($B239,'Parametri Modello'!$A$57:$A$60,0))=0,0,($O239/INDEX('Parametri Modello'!$F$57:$F$60,MATCH($B239,'Parametri Modello'!$A$57:$A$60,0)))*((1-INDEX('Parametri Modello'!$D$57:$D$60,MATCH($B239,'Parametri Modello'!$A$57:$A$60,0)))*(INDEX('Parametri Modello'!$B$50:$B$53,MATCH($B239,'Parametri Modello'!$A$50:$A$53,0))*'Parametri Modello'!$B$44))))*(1+IF(IF($B239="D",'Info Lega'!$B$25,IF($B239="C",'Info Lega'!$B$26,"No"))="Si",'Parametri Modello'!$B$5,0))*(1+MAX(-0.25,MIN(0.25,IF(OR($T239="",$I239="",$I239=0,INDEX('Parametri Modello'!$B$19:$B$22,MATCH($B239,'Parametri Modello'!$A$19:$A$22,0))="",INDEX('Parametri Modello'!$B$19:$B$22,MATCH($B239,'Parametri Modello'!$A$19:$A$22,0))=0),0,(($T239-INDEX('Parametri Modello'!$B$19:$B$22,MATCH($B239,'Parametri Modello'!$A$19:$A$22,0)))/INDEX('Parametri Modello'!$B$19:$B$22,MATCH($B239,'Parametri Modello'!$A$19:$A$22,0)))*'Parametri Modello'!$B$9))))*(1+IF('Parametri Modello'!$B$27="Si",MAX(-'Parametri Modello'!$B$28,MIN('Parametri Modello'!$B$28*1.5,IF(OR(INDEX('Parametri Modello'!$F$32:$F$35,MATCH($B239,'Parametri Modello'!$A$32:$A$35,0))="",INDEX('Parametri Modello'!$F$32:$F$35,MATCH($B239,'Parametri Modello'!$A$32:$A$35,0))=0),0,(1/INDEX('Parametri Modello'!$F$32:$F$35,MATCH($B239,'Parametri Modello'!$A$32:$A$35,0))-1)*'Parametri Modello'!$B$28))),0)))*(1+INDEX('Parametri Modello'!$B$12:$B$15,MATCH($B239,'Parametri Modello'!$A$12:$A$15,0))),0),"")</f>
        <v>2</v>
      </c>
      <c r="I239" s="26" t="str">
        <f aca="false">IFERROR(INDEX('Input Statistiche 2025_26'!$F$3:$F$665,MATCH($A239,'Input Statistiche 2025_26'!$A$3:$A$665,0)),"")</f>
        <v/>
      </c>
      <c r="J239" s="26" t="str">
        <f aca="false">IFERROR(IF($I239="","",MAX(0,38-$I239)),"")</f>
        <v/>
      </c>
      <c r="K239" s="26" t="str">
        <f aca="false">IFERROR(INDEX('Input Statistiche 2025_26'!$I$3:$I$665,MATCH($A239,'Input Statistiche 2025_26'!$A$3:$A$665,0)),"")</f>
        <v/>
      </c>
      <c r="L239" s="26" t="str">
        <f aca="false">IFERROR(INDEX('Input Statistiche 2025_26'!$O$3:$O$665,MATCH($A239,'Input Statistiche 2025_26'!$A$3:$A$665,0)),"")</f>
        <v/>
      </c>
      <c r="M239" s="28"/>
      <c r="N239" s="27" t="n">
        <f aca="false">IFERROR(INDEX('Input Giocatori 2026_27'!$E$3:$E$493,MATCH($A239,'Input Giocatori 2026_27'!$A$3:$A$493,0)),"")</f>
        <v>5</v>
      </c>
      <c r="O239" s="27" t="n">
        <f aca="false">IFERROR(INDEX('Input Giocatori 2026_27'!$G$3:$G$493,MATCH($A239,'Input Giocatori 2026_27'!$A$3:$A$493,0)),"")</f>
        <v>14</v>
      </c>
      <c r="P239" s="26" t="str">
        <f aca="false">IFERROR(IF($O239="","",IF((1-(COUNTIFS($B$2:$B$492,$B239,$O$2:$O$492,"&gt;"&amp;$O239)+1-1)/COUNTIF($B$2:$B$492,$B239))&gt;=0.85,"Top",IF((1-(COUNTIFS($B$2:$B$492,$B239,$O$2:$O$492,"&gt;"&amp;$O239)+1-1)/COUNTIF($B$2:$B$492,$B239))&gt;=0.6,"Buono",IF((1-(COUNTIFS($B$2:$B$492,$B239,$O$2:$O$492,"&gt;"&amp;$O239)+1-1)/COUNTIF($B$2:$B$492,$B239))&gt;=0.3,"Nella Media","Scommessa/Riserva")))),"")</f>
        <v>Nella Media</v>
      </c>
      <c r="Q239" s="29" t="n">
        <f aca="false">IF($D239="",COUNTIF($D$2:$D239,""),"")</f>
        <v>238</v>
      </c>
      <c r="R239" s="29" t="str">
        <f aca="false">IF($D239='Info Lega'!$B$28,COUNTIFS($D$2:$D239,'Info Lega'!$B$28),"")</f>
        <v/>
      </c>
      <c r="S239" s="30" t="str">
        <f aca="false">IFERROR(INDEX('Input Statistiche 2025_26'!$G$3:$G$665,MATCH($A239,'Input Statistiche 2025_26'!$A$3:$A$665,0)),"")</f>
        <v/>
      </c>
      <c r="T239" s="30" t="str">
        <f aca="false">IFERROR(INDEX('Input Statistiche 2025_26'!$H$3:$H$665,MATCH($A239,'Input Statistiche 2025_26'!$A$3:$A$665,0)),"")</f>
        <v/>
      </c>
      <c r="U239" s="26" t="str">
        <f aca="false">IF(OR('La Mia Rosa'!$O$12="",$D239&lt;&gt;""),"",IF($F239&lt;='La Mia Rosa'!$O$12*'Parametri Modello'!$B$24,"OK",IF($F239&lt;='La Mia Rosa'!$O$12*'Parametri Modello'!$B$25,"Attenzione","Rischio Alto")))</f>
        <v>OK</v>
      </c>
      <c r="V239" s="26" t="n">
        <f aca="false">IFERROR(COUNTIFS($B$2:$B$492,$B239,$O$2:$O$492,"&gt;"&amp;$O239)+1,"")</f>
        <v>86</v>
      </c>
      <c r="W239" s="21" t="n">
        <f aca="false">'Info Lega'!$B$4-SUMIFS($M$2:$M$492,$D$2:$D$492,'Info Lega'!$B$28)</f>
        <v>1000</v>
      </c>
      <c r="X239" s="21" t="n">
        <f aca="false">('Info Lega'!$B$5-COUNTIFS($D$2:$D$492,'Info Lega'!$B$28,$B$2:$B$492,"P"))+('Info Lega'!$B$6-COUNTIFS($D$2:$D$492,'Info Lega'!$B$28,$B$2:$B$492,"D"))+('Info Lega'!$B$7-COUNTIFS($D$2:$D$492,'Info Lega'!$B$28,$B$2:$B$492,"C"))+('Info Lega'!$B$8-COUNTIFS($D$2:$D$492,'Info Lega'!$B$28,$B$2:$B$492,"A"))</f>
        <v>25</v>
      </c>
      <c r="Y239" s="21" t="n">
        <f aca="false">X239*'Parametri Modello'!$B$30</f>
        <v>25</v>
      </c>
      <c r="Z239" s="21" t="n">
        <f aca="false">MAX(0,W239-Y239)</f>
        <v>975</v>
      </c>
      <c r="AA239" s="21" t="n">
        <f aca="false">MIN(F239,Z239)</f>
        <v>2</v>
      </c>
      <c r="AB239" s="21"/>
      <c r="AC239" s="21" t="str">
        <f aca="false">IF(AB239="","",IF(AB239&gt;AA239,"PASS",IF(AB239&lt;=AA239*0.85,"BID","ATTENZIONE")))</f>
        <v/>
      </c>
      <c r="AD239" s="31" t="str">
        <f aca="false">IF(I239="","",ROUND(100*(1-EXP(-I239/30)),0))</f>
        <v/>
      </c>
      <c r="AE239" s="7" t="str">
        <f aca="false">IFERROR(INDEX('Stato Asta'!$G$9:$G$12,MATCH($B239,'Stato Asta'!$A$9:$A$12,0)),"")</f>
        <v>🟡 Attesa rischiosa</v>
      </c>
    </row>
    <row r="240" customFormat="false" ht="14.25" hidden="false" customHeight="true" outlineLevel="0" collapsed="false">
      <c r="A240" s="21" t="n">
        <v>6207</v>
      </c>
      <c r="B240" s="21" t="s">
        <v>45</v>
      </c>
      <c r="C240" s="21" t="s">
        <v>487</v>
      </c>
      <c r="E240" s="26" t="str">
        <f aca="false">IF(COUNTIF('Info Strategia'!$D$2:$D$51,$C240)&gt;0,"SI","NO")</f>
        <v>NO</v>
      </c>
      <c r="F240" s="27" t="n">
        <f aca="false">IFERROR(ROUND(($G240+($H240-$G240)*'Info Strategia'!$B$6)*(1+IF($E240="SI",'Parametri Modello'!$B$7*'Info Strategia'!$B$6,0)),0),"")</f>
        <v>2</v>
      </c>
      <c r="G240" s="27" t="n">
        <f aca="false">IFERROR(ROUND(MAX(1,(IF($V240&lt;=INDEX('Parametri Modello'!$C$57:$C$60,MATCH($B240,'Parametri Modello'!$A$57:$A$60,0)),IF(INDEX('Parametri Modello'!$E$57:$E$60,MATCH($B240,'Parametri Modello'!$A$57:$A$60,0))=0,0,($O240/INDEX('Parametri Modello'!$E$57:$E$60,MATCH($B240,'Parametri Modello'!$A$57:$A$60,0)))*(INDEX('Parametri Modello'!$D$57:$D$60,MATCH($B240,'Parametri Modello'!$A$57:$A$60,0))*(INDEX('Parametri Modello'!$B$50:$B$53,MATCH($B240,'Parametri Modello'!$A$50:$A$53,0))*'Parametri Modello'!$B$44))),IF(INDEX('Parametri Modello'!$F$57:$F$60,MATCH($B240,'Parametri Modello'!$A$57:$A$60,0))=0,0,($O240/INDEX('Parametri Modello'!$F$57:$F$60,MATCH($B240,'Parametri Modello'!$A$57:$A$60,0)))*((1-INDEX('Parametri Modello'!$D$57:$D$60,MATCH($B240,'Parametri Modello'!$A$57:$A$60,0)))*(INDEX('Parametri Modello'!$B$50:$B$53,MATCH($B240,'Parametri Modello'!$A$50:$A$53,0))*'Parametri Modello'!$B$44))))*(1+IF(IF($B240="D",'Info Lega'!$B$25,IF($B240="C",'Info Lega'!$B$26,"No"))="Si",'Parametri Modello'!$B$5,0))*(1+MAX(-0.25,MIN(0.25,IF(OR($T240="",$I240="",$I240=0,INDEX('Parametri Modello'!$B$19:$B$22,MATCH($B240,'Parametri Modello'!$A$19:$A$22,0))="",INDEX('Parametri Modello'!$B$19:$B$22,MATCH($B240,'Parametri Modello'!$A$19:$A$22,0))=0),0,(($T240-INDEX('Parametri Modello'!$B$19:$B$22,MATCH($B240,'Parametri Modello'!$A$19:$A$22,0)))/INDEX('Parametri Modello'!$B$19:$B$22,MATCH($B240,'Parametri Modello'!$A$19:$A$22,0)))*'Parametri Modello'!$B$9))))*(1+IF('Parametri Modello'!$B$27="Si",MAX(-'Parametri Modello'!$B$28,MIN('Parametri Modello'!$B$28*1.5,IF(OR(INDEX('Parametri Modello'!$F$32:$F$35,MATCH($B240,'Parametri Modello'!$A$32:$A$35,0))="",INDEX('Parametri Modello'!$F$32:$F$35,MATCH($B240,'Parametri Modello'!$A$32:$A$35,0))=0),0,(1/INDEX('Parametri Modello'!$F$32:$F$35,MATCH($B240,'Parametri Modello'!$A$32:$A$35,0))-1)*'Parametri Modello'!$B$28))),0)))*(1-INDEX('Parametri Modello'!$B$12:$B$15,MATCH($B240,'Parametri Modello'!$A$12:$A$15,0)))),0),"")</f>
        <v>1</v>
      </c>
      <c r="H240" s="27" t="n">
        <f aca="false">IFERROR(ROUND((IF($V240&lt;=INDEX('Parametri Modello'!$C$57:$C$60,MATCH($B240,'Parametri Modello'!$A$57:$A$60,0)),IF(INDEX('Parametri Modello'!$E$57:$E$60,MATCH($B240,'Parametri Modello'!$A$57:$A$60,0))=0,0,($O240/INDEX('Parametri Modello'!$E$57:$E$60,MATCH($B240,'Parametri Modello'!$A$57:$A$60,0)))*(INDEX('Parametri Modello'!$D$57:$D$60,MATCH($B240,'Parametri Modello'!$A$57:$A$60,0))*(INDEX('Parametri Modello'!$B$50:$B$53,MATCH($B240,'Parametri Modello'!$A$50:$A$53,0))*'Parametri Modello'!$B$44))),IF(INDEX('Parametri Modello'!$F$57:$F$60,MATCH($B240,'Parametri Modello'!$A$57:$A$60,0))=0,0,($O240/INDEX('Parametri Modello'!$F$57:$F$60,MATCH($B240,'Parametri Modello'!$A$57:$A$60,0)))*((1-INDEX('Parametri Modello'!$D$57:$D$60,MATCH($B240,'Parametri Modello'!$A$57:$A$60,0)))*(INDEX('Parametri Modello'!$B$50:$B$53,MATCH($B240,'Parametri Modello'!$A$50:$A$53,0))*'Parametri Modello'!$B$44))))*(1+IF(IF($B240="D",'Info Lega'!$B$25,IF($B240="C",'Info Lega'!$B$26,"No"))="Si",'Parametri Modello'!$B$5,0))*(1+MAX(-0.25,MIN(0.25,IF(OR($T240="",$I240="",$I240=0,INDEX('Parametri Modello'!$B$19:$B$22,MATCH($B240,'Parametri Modello'!$A$19:$A$22,0))="",INDEX('Parametri Modello'!$B$19:$B$22,MATCH($B240,'Parametri Modello'!$A$19:$A$22,0))=0),0,(($T240-INDEX('Parametri Modello'!$B$19:$B$22,MATCH($B240,'Parametri Modello'!$A$19:$A$22,0)))/INDEX('Parametri Modello'!$B$19:$B$22,MATCH($B240,'Parametri Modello'!$A$19:$A$22,0)))*'Parametri Modello'!$B$9))))*(1+IF('Parametri Modello'!$B$27="Si",MAX(-'Parametri Modello'!$B$28,MIN('Parametri Modello'!$B$28*1.5,IF(OR(INDEX('Parametri Modello'!$F$32:$F$35,MATCH($B240,'Parametri Modello'!$A$32:$A$35,0))="",INDEX('Parametri Modello'!$F$32:$F$35,MATCH($B240,'Parametri Modello'!$A$32:$A$35,0))=0),0,(1/INDEX('Parametri Modello'!$F$32:$F$35,MATCH($B240,'Parametri Modello'!$A$32:$A$35,0))-1)*'Parametri Modello'!$B$28))),0)))*(1+INDEX('Parametri Modello'!$B$12:$B$15,MATCH($B240,'Parametri Modello'!$A$12:$A$15,0))),0),"")</f>
        <v>2</v>
      </c>
      <c r="I240" s="26" t="n">
        <f aca="false">IFERROR(INDEX('Input Statistiche 2025_26'!$F$3:$F$665,MATCH($A240,'Input Statistiche 2025_26'!$A$3:$A$665,0)),"")</f>
        <v>9</v>
      </c>
      <c r="J240" s="26" t="n">
        <f aca="false">IFERROR(IF($I240="","",MAX(0,38-$I240)),"")</f>
        <v>29</v>
      </c>
      <c r="K240" s="26" t="n">
        <f aca="false">IFERROR(INDEX('Input Statistiche 2025_26'!$I$3:$I$665,MATCH($A240,'Input Statistiche 2025_26'!$A$3:$A$665,0)),"")</f>
        <v>0</v>
      </c>
      <c r="L240" s="26" t="n">
        <f aca="false">IFERROR(INDEX('Input Statistiche 2025_26'!$O$3:$O$665,MATCH($A240,'Input Statistiche 2025_26'!$A$3:$A$665,0)),"")</f>
        <v>1</v>
      </c>
      <c r="M240" s="28"/>
      <c r="N240" s="27" t="n">
        <f aca="false">IFERROR(INDEX('Input Giocatori 2026_27'!$E$3:$E$493,MATCH($A240,'Input Giocatori 2026_27'!$A$3:$A$493,0)),"")</f>
        <v>4</v>
      </c>
      <c r="O240" s="27" t="n">
        <f aca="false">IFERROR(INDEX('Input Giocatori 2026_27'!$G$3:$G$493,MATCH($A240,'Input Giocatori 2026_27'!$A$3:$A$493,0)),"")</f>
        <v>14</v>
      </c>
      <c r="P240" s="26" t="str">
        <f aca="false">IFERROR(IF($O240="","",IF((1-(COUNTIFS($B$2:$B$492,$B240,$O$2:$O$492,"&gt;"&amp;$O240)+1-1)/COUNTIF($B$2:$B$492,$B240))&gt;=0.85,"Top",IF((1-(COUNTIFS($B$2:$B$492,$B240,$O$2:$O$492,"&gt;"&amp;$O240)+1-1)/COUNTIF($B$2:$B$492,$B240))&gt;=0.6,"Buono",IF((1-(COUNTIFS($B$2:$B$492,$B240,$O$2:$O$492,"&gt;"&amp;$O240)+1-1)/COUNTIF($B$2:$B$492,$B240))&gt;=0.3,"Nella Media","Scommessa/Riserva")))),"")</f>
        <v>Nella Media</v>
      </c>
      <c r="Q240" s="29" t="n">
        <f aca="false">IF($D240="",COUNTIF($D$2:$D240,""),"")</f>
        <v>239</v>
      </c>
      <c r="R240" s="29" t="str">
        <f aca="false">IF($D240='Info Lega'!$B$28,COUNTIFS($D$2:$D240,'Info Lega'!$B$28),"")</f>
        <v/>
      </c>
      <c r="S240" s="30" t="n">
        <f aca="false">IFERROR(INDEX('Input Statistiche 2025_26'!$G$3:$G$665,MATCH($A240,'Input Statistiche 2025_26'!$A$3:$A$665,0)),"")</f>
        <v>5.94</v>
      </c>
      <c r="T240" s="30" t="n">
        <f aca="false">IFERROR(INDEX('Input Statistiche 2025_26'!$H$3:$H$665,MATCH($A240,'Input Statistiche 2025_26'!$A$3:$A$665,0)),"")</f>
        <v>6.06</v>
      </c>
      <c r="U240" s="26" t="str">
        <f aca="false">IF(OR('La Mia Rosa'!$O$12="",$D240&lt;&gt;""),"",IF($F240&lt;='La Mia Rosa'!$O$12*'Parametri Modello'!$B$24,"OK",IF($F240&lt;='La Mia Rosa'!$O$12*'Parametri Modello'!$B$25,"Attenzione","Rischio Alto")))</f>
        <v>OK</v>
      </c>
      <c r="V240" s="26" t="n">
        <f aca="false">IFERROR(COUNTIFS($B$2:$B$492,$B240,$O$2:$O$492,"&gt;"&amp;$O240)+1,"")</f>
        <v>86</v>
      </c>
      <c r="W240" s="21" t="n">
        <f aca="false">'Info Lega'!$B$4-SUMIFS($M$2:$M$492,$D$2:$D$492,'Info Lega'!$B$28)</f>
        <v>1000</v>
      </c>
      <c r="X240" s="21" t="n">
        <f aca="false">('Info Lega'!$B$5-COUNTIFS($D$2:$D$492,'Info Lega'!$B$28,$B$2:$B$492,"P"))+('Info Lega'!$B$6-COUNTIFS($D$2:$D$492,'Info Lega'!$B$28,$B$2:$B$492,"D"))+('Info Lega'!$B$7-COUNTIFS($D$2:$D$492,'Info Lega'!$B$28,$B$2:$B$492,"C"))+('Info Lega'!$B$8-COUNTIFS($D$2:$D$492,'Info Lega'!$B$28,$B$2:$B$492,"A"))</f>
        <v>25</v>
      </c>
      <c r="Y240" s="21" t="n">
        <f aca="false">X240*'Parametri Modello'!$B$30</f>
        <v>25</v>
      </c>
      <c r="Z240" s="21" t="n">
        <f aca="false">MAX(0,W240-Y240)</f>
        <v>975</v>
      </c>
      <c r="AA240" s="21" t="n">
        <f aca="false">MIN(F240,Z240)</f>
        <v>2</v>
      </c>
      <c r="AB240" s="21"/>
      <c r="AC240" s="21" t="str">
        <f aca="false">IF(AB240="","",IF(AB240&gt;AA240,"PASS",IF(AB240&lt;=AA240*0.85,"BID","ATTENZIONE")))</f>
        <v/>
      </c>
      <c r="AD240" s="31" t="n">
        <f aca="false">IF(I240="","",ROUND(100*(1-EXP(-I240/30)),0))</f>
        <v>26</v>
      </c>
      <c r="AE240" s="7" t="str">
        <f aca="false">IFERROR(INDEX('Stato Asta'!$G$9:$G$12,MATCH($B240,'Stato Asta'!$A$9:$A$12,0)),"")</f>
        <v>🟡 Attesa rischiosa</v>
      </c>
    </row>
    <row r="241" customFormat="false" ht="14.25" hidden="false" customHeight="true" outlineLevel="0" collapsed="false">
      <c r="A241" s="21" t="n">
        <v>7008</v>
      </c>
      <c r="B241" s="21" t="s">
        <v>46</v>
      </c>
      <c r="C241" s="21" t="s">
        <v>591</v>
      </c>
      <c r="E241" s="26" t="str">
        <f aca="false">IF(COUNTIF('Info Strategia'!$D$2:$D$51,$C241)&gt;0,"SI","NO")</f>
        <v>NO</v>
      </c>
      <c r="F241" s="27" t="n">
        <f aca="false">IFERROR(ROUND(($G241+($H241-$G241)*'Info Strategia'!$B$6)*(1+IF($E241="SI",'Parametri Modello'!$B$7*'Info Strategia'!$B$6,0)),0),"")</f>
        <v>4</v>
      </c>
      <c r="G241" s="27" t="n">
        <f aca="false">IFERROR(ROUND(MAX(1,(IF($V241&lt;=INDEX('Parametri Modello'!$C$57:$C$60,MATCH($B241,'Parametri Modello'!$A$57:$A$60,0)),IF(INDEX('Parametri Modello'!$E$57:$E$60,MATCH($B241,'Parametri Modello'!$A$57:$A$60,0))=0,0,($O241/INDEX('Parametri Modello'!$E$57:$E$60,MATCH($B241,'Parametri Modello'!$A$57:$A$60,0)))*(INDEX('Parametri Modello'!$D$57:$D$60,MATCH($B241,'Parametri Modello'!$A$57:$A$60,0))*(INDEX('Parametri Modello'!$B$50:$B$53,MATCH($B241,'Parametri Modello'!$A$50:$A$53,0))*'Parametri Modello'!$B$44))),IF(INDEX('Parametri Modello'!$F$57:$F$60,MATCH($B241,'Parametri Modello'!$A$57:$A$60,0))=0,0,($O241/INDEX('Parametri Modello'!$F$57:$F$60,MATCH($B241,'Parametri Modello'!$A$57:$A$60,0)))*((1-INDEX('Parametri Modello'!$D$57:$D$60,MATCH($B241,'Parametri Modello'!$A$57:$A$60,0)))*(INDEX('Parametri Modello'!$B$50:$B$53,MATCH($B241,'Parametri Modello'!$A$50:$A$53,0))*'Parametri Modello'!$B$44))))*(1+IF(IF($B241="D",'Info Lega'!$B$25,IF($B241="C",'Info Lega'!$B$26,"No"))="Si",'Parametri Modello'!$B$5,0))*(1+MAX(-0.25,MIN(0.25,IF(OR($T241="",$I241="",$I241=0,INDEX('Parametri Modello'!$B$19:$B$22,MATCH($B241,'Parametri Modello'!$A$19:$A$22,0))="",INDEX('Parametri Modello'!$B$19:$B$22,MATCH($B241,'Parametri Modello'!$A$19:$A$22,0))=0),0,(($T241-INDEX('Parametri Modello'!$B$19:$B$22,MATCH($B241,'Parametri Modello'!$A$19:$A$22,0)))/INDEX('Parametri Modello'!$B$19:$B$22,MATCH($B241,'Parametri Modello'!$A$19:$A$22,0)))*'Parametri Modello'!$B$9))))*(1+IF('Parametri Modello'!$B$27="Si",MAX(-'Parametri Modello'!$B$28,MIN('Parametri Modello'!$B$28*1.5,IF(OR(INDEX('Parametri Modello'!$F$32:$F$35,MATCH($B241,'Parametri Modello'!$A$32:$A$35,0))="",INDEX('Parametri Modello'!$F$32:$F$35,MATCH($B241,'Parametri Modello'!$A$32:$A$35,0))=0),0,(1/INDEX('Parametri Modello'!$F$32:$F$35,MATCH($B241,'Parametri Modello'!$A$32:$A$35,0))-1)*'Parametri Modello'!$B$28))),0)))*(1-INDEX('Parametri Modello'!$B$12:$B$15,MATCH($B241,'Parametri Modello'!$A$12:$A$15,0)))),0),"")</f>
        <v>3</v>
      </c>
      <c r="H241" s="27" t="n">
        <f aca="false">IFERROR(ROUND((IF($V241&lt;=INDEX('Parametri Modello'!$C$57:$C$60,MATCH($B241,'Parametri Modello'!$A$57:$A$60,0)),IF(INDEX('Parametri Modello'!$E$57:$E$60,MATCH($B241,'Parametri Modello'!$A$57:$A$60,0))=0,0,($O241/INDEX('Parametri Modello'!$E$57:$E$60,MATCH($B241,'Parametri Modello'!$A$57:$A$60,0)))*(INDEX('Parametri Modello'!$D$57:$D$60,MATCH($B241,'Parametri Modello'!$A$57:$A$60,0))*(INDEX('Parametri Modello'!$B$50:$B$53,MATCH($B241,'Parametri Modello'!$A$50:$A$53,0))*'Parametri Modello'!$B$44))),IF(INDEX('Parametri Modello'!$F$57:$F$60,MATCH($B241,'Parametri Modello'!$A$57:$A$60,0))=0,0,($O241/INDEX('Parametri Modello'!$F$57:$F$60,MATCH($B241,'Parametri Modello'!$A$57:$A$60,0)))*((1-INDEX('Parametri Modello'!$D$57:$D$60,MATCH($B241,'Parametri Modello'!$A$57:$A$60,0)))*(INDEX('Parametri Modello'!$B$50:$B$53,MATCH($B241,'Parametri Modello'!$A$50:$A$53,0))*'Parametri Modello'!$B$44))))*(1+IF(IF($B241="D",'Info Lega'!$B$25,IF($B241="C",'Info Lega'!$B$26,"No"))="Si",'Parametri Modello'!$B$5,0))*(1+MAX(-0.25,MIN(0.25,IF(OR($T241="",$I241="",$I241=0,INDEX('Parametri Modello'!$B$19:$B$22,MATCH($B241,'Parametri Modello'!$A$19:$A$22,0))="",INDEX('Parametri Modello'!$B$19:$B$22,MATCH($B241,'Parametri Modello'!$A$19:$A$22,0))=0),0,(($T241-INDEX('Parametri Modello'!$B$19:$B$22,MATCH($B241,'Parametri Modello'!$A$19:$A$22,0)))/INDEX('Parametri Modello'!$B$19:$B$22,MATCH($B241,'Parametri Modello'!$A$19:$A$22,0)))*'Parametri Modello'!$B$9))))*(1+IF('Parametri Modello'!$B$27="Si",MAX(-'Parametri Modello'!$B$28,MIN('Parametri Modello'!$B$28*1.5,IF(OR(INDEX('Parametri Modello'!$F$32:$F$35,MATCH($B241,'Parametri Modello'!$A$32:$A$35,0))="",INDEX('Parametri Modello'!$F$32:$F$35,MATCH($B241,'Parametri Modello'!$A$32:$A$35,0))=0),0,(1/INDEX('Parametri Modello'!$F$32:$F$35,MATCH($B241,'Parametri Modello'!$A$32:$A$35,0))-1)*'Parametri Modello'!$B$28))),0)))*(1+INDEX('Parametri Modello'!$B$12:$B$15,MATCH($B241,'Parametri Modello'!$A$12:$A$15,0))),0),"")</f>
        <v>5</v>
      </c>
      <c r="I241" s="26" t="n">
        <f aca="false">IFERROR(INDEX('Input Statistiche 2025_26'!$F$3:$F$665,MATCH($A241,'Input Statistiche 2025_26'!$A$3:$A$665,0)),"")</f>
        <v>15</v>
      </c>
      <c r="J241" s="26" t="n">
        <f aca="false">IFERROR(IF($I241="","",MAX(0,38-$I241)),"")</f>
        <v>23</v>
      </c>
      <c r="K241" s="26" t="n">
        <f aca="false">IFERROR(INDEX('Input Statistiche 2025_26'!$I$3:$I$665,MATCH($A241,'Input Statistiche 2025_26'!$A$3:$A$665,0)),"")</f>
        <v>0</v>
      </c>
      <c r="L241" s="26" t="n">
        <f aca="false">IFERROR(INDEX('Input Statistiche 2025_26'!$O$3:$O$665,MATCH($A241,'Input Statistiche 2025_26'!$A$3:$A$665,0)),"")</f>
        <v>1</v>
      </c>
      <c r="M241" s="28"/>
      <c r="N241" s="27" t="n">
        <f aca="false">IFERROR(INDEX('Input Giocatori 2026_27'!$E$3:$E$493,MATCH($A241,'Input Giocatori 2026_27'!$A$3:$A$493,0)),"")</f>
        <v>6</v>
      </c>
      <c r="O241" s="27" t="n">
        <f aca="false">IFERROR(INDEX('Input Giocatori 2026_27'!$G$3:$G$493,MATCH($A241,'Input Giocatori 2026_27'!$A$3:$A$493,0)),"")</f>
        <v>14</v>
      </c>
      <c r="P241" s="26" t="str">
        <f aca="false">IFERROR(IF($O241="","",IF((1-(COUNTIFS($B$2:$B$492,$B241,$O$2:$O$492,"&gt;"&amp;$O241)+1-1)/COUNTIF($B$2:$B$492,$B241))&gt;=0.85,"Top",IF((1-(COUNTIFS($B$2:$B$492,$B241,$O$2:$O$492,"&gt;"&amp;$O241)+1-1)/COUNTIF($B$2:$B$492,$B241))&gt;=0.6,"Buono",IF((1-(COUNTIFS($B$2:$B$492,$B241,$O$2:$O$492,"&gt;"&amp;$O241)+1-1)/COUNTIF($B$2:$B$492,$B241))&gt;=0.3,"Nella Media","Scommessa/Riserva")))),"")</f>
        <v>Nella Media</v>
      </c>
      <c r="Q241" s="29" t="n">
        <f aca="false">IF($D241="",COUNTIF($D$2:$D241,""),"")</f>
        <v>240</v>
      </c>
      <c r="R241" s="29" t="str">
        <f aca="false">IF($D241='Info Lega'!$B$28,COUNTIFS($D$2:$D241,'Info Lega'!$B$28),"")</f>
        <v/>
      </c>
      <c r="S241" s="30" t="n">
        <f aca="false">IFERROR(INDEX('Input Statistiche 2025_26'!$G$3:$G$665,MATCH($A241,'Input Statistiche 2025_26'!$A$3:$A$665,0)),"")</f>
        <v>5.5</v>
      </c>
      <c r="T241" s="30" t="n">
        <f aca="false">IFERROR(INDEX('Input Statistiche 2025_26'!$H$3:$H$665,MATCH($A241,'Input Statistiche 2025_26'!$A$3:$A$665,0)),"")</f>
        <v>5.53</v>
      </c>
      <c r="U241" s="26" t="str">
        <f aca="false">IF(OR('La Mia Rosa'!$O$12="",$D241&lt;&gt;""),"",IF($F241&lt;='La Mia Rosa'!$O$12*'Parametri Modello'!$B$24,"OK",IF($F241&lt;='La Mia Rosa'!$O$12*'Parametri Modello'!$B$25,"Attenzione","Rischio Alto")))</f>
        <v>OK</v>
      </c>
      <c r="V241" s="26" t="n">
        <f aca="false">IFERROR(COUNTIFS($B$2:$B$492,$B241,$O$2:$O$492,"&gt;"&amp;$O241)+1,"")</f>
        <v>58</v>
      </c>
      <c r="W241" s="21" t="n">
        <f aca="false">'Info Lega'!$B$4-SUMIFS($M$2:$M$492,$D$2:$D$492,'Info Lega'!$B$28)</f>
        <v>1000</v>
      </c>
      <c r="X241" s="21" t="n">
        <f aca="false">('Info Lega'!$B$5-COUNTIFS($D$2:$D$492,'Info Lega'!$B$28,$B$2:$B$492,"P"))+('Info Lega'!$B$6-COUNTIFS($D$2:$D$492,'Info Lega'!$B$28,$B$2:$B$492,"D"))+('Info Lega'!$B$7-COUNTIFS($D$2:$D$492,'Info Lega'!$B$28,$B$2:$B$492,"C"))+('Info Lega'!$B$8-COUNTIFS($D$2:$D$492,'Info Lega'!$B$28,$B$2:$B$492,"A"))</f>
        <v>25</v>
      </c>
      <c r="Y241" s="21" t="n">
        <f aca="false">X241*'Parametri Modello'!$B$30</f>
        <v>25</v>
      </c>
      <c r="Z241" s="21" t="n">
        <f aca="false">MAX(0,W241-Y241)</f>
        <v>975</v>
      </c>
      <c r="AA241" s="21" t="n">
        <f aca="false">MIN(F241,Z241)</f>
        <v>4</v>
      </c>
      <c r="AB241" s="21"/>
      <c r="AC241" s="21" t="str">
        <f aca="false">IF(AB241="","",IF(AB241&gt;AA241,"PASS",IF(AB241&lt;=AA241*0.85,"BID","ATTENZIONE")))</f>
        <v/>
      </c>
      <c r="AD241" s="31" t="n">
        <f aca="false">IF(I241="","",ROUND(100*(1-EXP(-I241/30)),0))</f>
        <v>39</v>
      </c>
      <c r="AE241" s="7" t="str">
        <f aca="false">IFERROR(INDEX('Stato Asta'!$G$9:$G$12,MATCH($B241,'Stato Asta'!$A$9:$A$12,0)),"")</f>
        <v>🔴 Non aspettare</v>
      </c>
    </row>
    <row r="242" customFormat="false" ht="14.25" hidden="false" customHeight="true" outlineLevel="0" collapsed="false">
      <c r="A242" s="21" t="n">
        <v>4896</v>
      </c>
      <c r="B242" s="21" t="s">
        <v>46</v>
      </c>
      <c r="C242" s="21" t="s">
        <v>593</v>
      </c>
      <c r="E242" s="26" t="str">
        <f aca="false">IF(COUNTIF('Info Strategia'!$D$2:$D$51,$C242)&gt;0,"SI","NO")</f>
        <v>NO</v>
      </c>
      <c r="F242" s="27" t="n">
        <f aca="false">IFERROR(ROUND(($G242+($H242-$G242)*'Info Strategia'!$B$6)*(1+IF($E242="SI",'Parametri Modello'!$B$7*'Info Strategia'!$B$6,0)),0),"")</f>
        <v>4</v>
      </c>
      <c r="G242" s="27" t="n">
        <f aca="false">IFERROR(ROUND(MAX(1,(IF($V242&lt;=INDEX('Parametri Modello'!$C$57:$C$60,MATCH($B242,'Parametri Modello'!$A$57:$A$60,0)),IF(INDEX('Parametri Modello'!$E$57:$E$60,MATCH($B242,'Parametri Modello'!$A$57:$A$60,0))=0,0,($O242/INDEX('Parametri Modello'!$E$57:$E$60,MATCH($B242,'Parametri Modello'!$A$57:$A$60,0)))*(INDEX('Parametri Modello'!$D$57:$D$60,MATCH($B242,'Parametri Modello'!$A$57:$A$60,0))*(INDEX('Parametri Modello'!$B$50:$B$53,MATCH($B242,'Parametri Modello'!$A$50:$A$53,0))*'Parametri Modello'!$B$44))),IF(INDEX('Parametri Modello'!$F$57:$F$60,MATCH($B242,'Parametri Modello'!$A$57:$A$60,0))=0,0,($O242/INDEX('Parametri Modello'!$F$57:$F$60,MATCH($B242,'Parametri Modello'!$A$57:$A$60,0)))*((1-INDEX('Parametri Modello'!$D$57:$D$60,MATCH($B242,'Parametri Modello'!$A$57:$A$60,0)))*(INDEX('Parametri Modello'!$B$50:$B$53,MATCH($B242,'Parametri Modello'!$A$50:$A$53,0))*'Parametri Modello'!$B$44))))*(1+IF(IF($B242="D",'Info Lega'!$B$25,IF($B242="C",'Info Lega'!$B$26,"No"))="Si",'Parametri Modello'!$B$5,0))*(1+MAX(-0.25,MIN(0.25,IF(OR($T242="",$I242="",$I242=0,INDEX('Parametri Modello'!$B$19:$B$22,MATCH($B242,'Parametri Modello'!$A$19:$A$22,0))="",INDEX('Parametri Modello'!$B$19:$B$22,MATCH($B242,'Parametri Modello'!$A$19:$A$22,0))=0),0,(($T242-INDEX('Parametri Modello'!$B$19:$B$22,MATCH($B242,'Parametri Modello'!$A$19:$A$22,0)))/INDEX('Parametri Modello'!$B$19:$B$22,MATCH($B242,'Parametri Modello'!$A$19:$A$22,0)))*'Parametri Modello'!$B$9))))*(1+IF('Parametri Modello'!$B$27="Si",MAX(-'Parametri Modello'!$B$28,MIN('Parametri Modello'!$B$28*1.5,IF(OR(INDEX('Parametri Modello'!$F$32:$F$35,MATCH($B242,'Parametri Modello'!$A$32:$A$35,0))="",INDEX('Parametri Modello'!$F$32:$F$35,MATCH($B242,'Parametri Modello'!$A$32:$A$35,0))=0),0,(1/INDEX('Parametri Modello'!$F$32:$F$35,MATCH($B242,'Parametri Modello'!$A$32:$A$35,0))-1)*'Parametri Modello'!$B$28))),0)))*(1-INDEX('Parametri Modello'!$B$12:$B$15,MATCH($B242,'Parametri Modello'!$A$12:$A$15,0)))),0),"")</f>
        <v>3</v>
      </c>
      <c r="H242" s="27" t="n">
        <f aca="false">IFERROR(ROUND((IF($V242&lt;=INDEX('Parametri Modello'!$C$57:$C$60,MATCH($B242,'Parametri Modello'!$A$57:$A$60,0)),IF(INDEX('Parametri Modello'!$E$57:$E$60,MATCH($B242,'Parametri Modello'!$A$57:$A$60,0))=0,0,($O242/INDEX('Parametri Modello'!$E$57:$E$60,MATCH($B242,'Parametri Modello'!$A$57:$A$60,0)))*(INDEX('Parametri Modello'!$D$57:$D$60,MATCH($B242,'Parametri Modello'!$A$57:$A$60,0))*(INDEX('Parametri Modello'!$B$50:$B$53,MATCH($B242,'Parametri Modello'!$A$50:$A$53,0))*'Parametri Modello'!$B$44))),IF(INDEX('Parametri Modello'!$F$57:$F$60,MATCH($B242,'Parametri Modello'!$A$57:$A$60,0))=0,0,($O242/INDEX('Parametri Modello'!$F$57:$F$60,MATCH($B242,'Parametri Modello'!$A$57:$A$60,0)))*((1-INDEX('Parametri Modello'!$D$57:$D$60,MATCH($B242,'Parametri Modello'!$A$57:$A$60,0)))*(INDEX('Parametri Modello'!$B$50:$B$53,MATCH($B242,'Parametri Modello'!$A$50:$A$53,0))*'Parametri Modello'!$B$44))))*(1+IF(IF($B242="D",'Info Lega'!$B$25,IF($B242="C",'Info Lega'!$B$26,"No"))="Si",'Parametri Modello'!$B$5,0))*(1+MAX(-0.25,MIN(0.25,IF(OR($T242="",$I242="",$I242=0,INDEX('Parametri Modello'!$B$19:$B$22,MATCH($B242,'Parametri Modello'!$A$19:$A$22,0))="",INDEX('Parametri Modello'!$B$19:$B$22,MATCH($B242,'Parametri Modello'!$A$19:$A$22,0))=0),0,(($T242-INDEX('Parametri Modello'!$B$19:$B$22,MATCH($B242,'Parametri Modello'!$A$19:$A$22,0)))/INDEX('Parametri Modello'!$B$19:$B$22,MATCH($B242,'Parametri Modello'!$A$19:$A$22,0)))*'Parametri Modello'!$B$9))))*(1+IF('Parametri Modello'!$B$27="Si",MAX(-'Parametri Modello'!$B$28,MIN('Parametri Modello'!$B$28*1.5,IF(OR(INDEX('Parametri Modello'!$F$32:$F$35,MATCH($B242,'Parametri Modello'!$A$32:$A$35,0))="",INDEX('Parametri Modello'!$F$32:$F$35,MATCH($B242,'Parametri Modello'!$A$32:$A$35,0))=0),0,(1/INDEX('Parametri Modello'!$F$32:$F$35,MATCH($B242,'Parametri Modello'!$A$32:$A$35,0))-1)*'Parametri Modello'!$B$28))),0)))*(1+INDEX('Parametri Modello'!$B$12:$B$15,MATCH($B242,'Parametri Modello'!$A$12:$A$15,0))),0),"")</f>
        <v>5</v>
      </c>
      <c r="I242" s="26" t="n">
        <f aca="false">IFERROR(INDEX('Input Statistiche 2025_26'!$F$3:$F$665,MATCH($A242,'Input Statistiche 2025_26'!$A$3:$A$665,0)),"")</f>
        <v>18</v>
      </c>
      <c r="J242" s="26" t="n">
        <f aca="false">IFERROR(IF($I242="","",MAX(0,38-$I242)),"")</f>
        <v>20</v>
      </c>
      <c r="K242" s="26" t="n">
        <f aca="false">IFERROR(INDEX('Input Statistiche 2025_26'!$I$3:$I$665,MATCH($A242,'Input Statistiche 2025_26'!$A$3:$A$665,0)),"")</f>
        <v>2</v>
      </c>
      <c r="L242" s="26" t="n">
        <f aca="false">IFERROR(INDEX('Input Statistiche 2025_26'!$O$3:$O$665,MATCH($A242,'Input Statistiche 2025_26'!$A$3:$A$665,0)),"")</f>
        <v>1</v>
      </c>
      <c r="M242" s="28"/>
      <c r="N242" s="27" t="n">
        <f aca="false">IFERROR(INDEX('Input Giocatori 2026_27'!$E$3:$E$493,MATCH($A242,'Input Giocatori 2026_27'!$A$3:$A$493,0)),"")</f>
        <v>5</v>
      </c>
      <c r="O242" s="27" t="n">
        <f aca="false">IFERROR(INDEX('Input Giocatori 2026_27'!$G$3:$G$493,MATCH($A242,'Input Giocatori 2026_27'!$A$3:$A$493,0)),"")</f>
        <v>14</v>
      </c>
      <c r="P242" s="26" t="str">
        <f aca="false">IFERROR(IF($O242="","",IF((1-(COUNTIFS($B$2:$B$492,$B242,$O$2:$O$492,"&gt;"&amp;$O242)+1-1)/COUNTIF($B$2:$B$492,$B242))&gt;=0.85,"Top",IF((1-(COUNTIFS($B$2:$B$492,$B242,$O$2:$O$492,"&gt;"&amp;$O242)+1-1)/COUNTIF($B$2:$B$492,$B242))&gt;=0.6,"Buono",IF((1-(COUNTIFS($B$2:$B$492,$B242,$O$2:$O$492,"&gt;"&amp;$O242)+1-1)/COUNTIF($B$2:$B$492,$B242))&gt;=0.3,"Nella Media","Scommessa/Riserva")))),"")</f>
        <v>Nella Media</v>
      </c>
      <c r="Q242" s="29" t="n">
        <f aca="false">IF($D242="",COUNTIF($D$2:$D242,""),"")</f>
        <v>241</v>
      </c>
      <c r="R242" s="29" t="str">
        <f aca="false">IF($D242='Info Lega'!$B$28,COUNTIFS($D$2:$D242,'Info Lega'!$B$28),"")</f>
        <v/>
      </c>
      <c r="S242" s="30" t="n">
        <f aca="false">IFERROR(INDEX('Input Statistiche 2025_26'!$G$3:$G$665,MATCH($A242,'Input Statistiche 2025_26'!$A$3:$A$665,0)),"")</f>
        <v>5.94</v>
      </c>
      <c r="T242" s="30" t="n">
        <f aca="false">IFERROR(INDEX('Input Statistiche 2025_26'!$H$3:$H$665,MATCH($A242,'Input Statistiche 2025_26'!$A$3:$A$665,0)),"")</f>
        <v>6.31</v>
      </c>
      <c r="U242" s="26" t="str">
        <f aca="false">IF(OR('La Mia Rosa'!$O$12="",$D242&lt;&gt;""),"",IF($F242&lt;='La Mia Rosa'!$O$12*'Parametri Modello'!$B$24,"OK",IF($F242&lt;='La Mia Rosa'!$O$12*'Parametri Modello'!$B$25,"Attenzione","Rischio Alto")))</f>
        <v>OK</v>
      </c>
      <c r="V242" s="26" t="n">
        <f aca="false">IFERROR(COUNTIFS($B$2:$B$492,$B242,$O$2:$O$492,"&gt;"&amp;$O242)+1,"")</f>
        <v>58</v>
      </c>
      <c r="W242" s="21" t="n">
        <f aca="false">'Info Lega'!$B$4-SUMIFS($M$2:$M$492,$D$2:$D$492,'Info Lega'!$B$28)</f>
        <v>1000</v>
      </c>
      <c r="X242" s="21" t="n">
        <f aca="false">('Info Lega'!$B$5-COUNTIFS($D$2:$D$492,'Info Lega'!$B$28,$B$2:$B$492,"P"))+('Info Lega'!$B$6-COUNTIFS($D$2:$D$492,'Info Lega'!$B$28,$B$2:$B$492,"D"))+('Info Lega'!$B$7-COUNTIFS($D$2:$D$492,'Info Lega'!$B$28,$B$2:$B$492,"C"))+('Info Lega'!$B$8-COUNTIFS($D$2:$D$492,'Info Lega'!$B$28,$B$2:$B$492,"A"))</f>
        <v>25</v>
      </c>
      <c r="Y242" s="21" t="n">
        <f aca="false">X242*'Parametri Modello'!$B$30</f>
        <v>25</v>
      </c>
      <c r="Z242" s="21" t="n">
        <f aca="false">MAX(0,W242-Y242)</f>
        <v>975</v>
      </c>
      <c r="AA242" s="21" t="n">
        <f aca="false">MIN(F242,Z242)</f>
        <v>4</v>
      </c>
      <c r="AB242" s="21"/>
      <c r="AC242" s="21" t="str">
        <f aca="false">IF(AB242="","",IF(AB242&gt;AA242,"PASS",IF(AB242&lt;=AA242*0.85,"BID","ATTENZIONE")))</f>
        <v/>
      </c>
      <c r="AD242" s="31" t="n">
        <f aca="false">IF(I242="","",ROUND(100*(1-EXP(-I242/30)),0))</f>
        <v>45</v>
      </c>
      <c r="AE242" s="7" t="str">
        <f aca="false">IFERROR(INDEX('Stato Asta'!$G$9:$G$12,MATCH($B242,'Stato Asta'!$A$9:$A$12,0)),"")</f>
        <v>🔴 Non aspettare</v>
      </c>
    </row>
    <row r="243" customFormat="false" ht="14.25" hidden="false" customHeight="true" outlineLevel="0" collapsed="false">
      <c r="A243" s="21" t="n">
        <v>4387</v>
      </c>
      <c r="B243" s="21" t="s">
        <v>46</v>
      </c>
      <c r="C243" s="21" t="s">
        <v>597</v>
      </c>
      <c r="E243" s="26" t="str">
        <f aca="false">IF(COUNTIF('Info Strategia'!$D$2:$D$51,$C243)&gt;0,"SI","NO")</f>
        <v>NO</v>
      </c>
      <c r="F243" s="27" t="n">
        <f aca="false">IFERROR(ROUND(($G243+($H243-$G243)*'Info Strategia'!$B$6)*(1+IF($E243="SI",'Parametri Modello'!$B$7*'Info Strategia'!$B$6,0)),0),"")</f>
        <v>4</v>
      </c>
      <c r="G243" s="27" t="n">
        <f aca="false">IFERROR(ROUND(MAX(1,(IF($V243&lt;=INDEX('Parametri Modello'!$C$57:$C$60,MATCH($B243,'Parametri Modello'!$A$57:$A$60,0)),IF(INDEX('Parametri Modello'!$E$57:$E$60,MATCH($B243,'Parametri Modello'!$A$57:$A$60,0))=0,0,($O243/INDEX('Parametri Modello'!$E$57:$E$60,MATCH($B243,'Parametri Modello'!$A$57:$A$60,0)))*(INDEX('Parametri Modello'!$D$57:$D$60,MATCH($B243,'Parametri Modello'!$A$57:$A$60,0))*(INDEX('Parametri Modello'!$B$50:$B$53,MATCH($B243,'Parametri Modello'!$A$50:$A$53,0))*'Parametri Modello'!$B$44))),IF(INDEX('Parametri Modello'!$F$57:$F$60,MATCH($B243,'Parametri Modello'!$A$57:$A$60,0))=0,0,($O243/INDEX('Parametri Modello'!$F$57:$F$60,MATCH($B243,'Parametri Modello'!$A$57:$A$60,0)))*((1-INDEX('Parametri Modello'!$D$57:$D$60,MATCH($B243,'Parametri Modello'!$A$57:$A$60,0)))*(INDEX('Parametri Modello'!$B$50:$B$53,MATCH($B243,'Parametri Modello'!$A$50:$A$53,0))*'Parametri Modello'!$B$44))))*(1+IF(IF($B243="D",'Info Lega'!$B$25,IF($B243="C",'Info Lega'!$B$26,"No"))="Si",'Parametri Modello'!$B$5,0))*(1+MAX(-0.25,MIN(0.25,IF(OR($T243="",$I243="",$I243=0,INDEX('Parametri Modello'!$B$19:$B$22,MATCH($B243,'Parametri Modello'!$A$19:$A$22,0))="",INDEX('Parametri Modello'!$B$19:$B$22,MATCH($B243,'Parametri Modello'!$A$19:$A$22,0))=0),0,(($T243-INDEX('Parametri Modello'!$B$19:$B$22,MATCH($B243,'Parametri Modello'!$A$19:$A$22,0)))/INDEX('Parametri Modello'!$B$19:$B$22,MATCH($B243,'Parametri Modello'!$A$19:$A$22,0)))*'Parametri Modello'!$B$9))))*(1+IF('Parametri Modello'!$B$27="Si",MAX(-'Parametri Modello'!$B$28,MIN('Parametri Modello'!$B$28*1.5,IF(OR(INDEX('Parametri Modello'!$F$32:$F$35,MATCH($B243,'Parametri Modello'!$A$32:$A$35,0))="",INDEX('Parametri Modello'!$F$32:$F$35,MATCH($B243,'Parametri Modello'!$A$32:$A$35,0))=0),0,(1/INDEX('Parametri Modello'!$F$32:$F$35,MATCH($B243,'Parametri Modello'!$A$32:$A$35,0))-1)*'Parametri Modello'!$B$28))),0)))*(1-INDEX('Parametri Modello'!$B$12:$B$15,MATCH($B243,'Parametri Modello'!$A$12:$A$15,0)))),0),"")</f>
        <v>3</v>
      </c>
      <c r="H243" s="27" t="n">
        <f aca="false">IFERROR(ROUND((IF($V243&lt;=INDEX('Parametri Modello'!$C$57:$C$60,MATCH($B243,'Parametri Modello'!$A$57:$A$60,0)),IF(INDEX('Parametri Modello'!$E$57:$E$60,MATCH($B243,'Parametri Modello'!$A$57:$A$60,0))=0,0,($O243/INDEX('Parametri Modello'!$E$57:$E$60,MATCH($B243,'Parametri Modello'!$A$57:$A$60,0)))*(INDEX('Parametri Modello'!$D$57:$D$60,MATCH($B243,'Parametri Modello'!$A$57:$A$60,0))*(INDEX('Parametri Modello'!$B$50:$B$53,MATCH($B243,'Parametri Modello'!$A$50:$A$53,0))*'Parametri Modello'!$B$44))),IF(INDEX('Parametri Modello'!$F$57:$F$60,MATCH($B243,'Parametri Modello'!$A$57:$A$60,0))=0,0,($O243/INDEX('Parametri Modello'!$F$57:$F$60,MATCH($B243,'Parametri Modello'!$A$57:$A$60,0)))*((1-INDEX('Parametri Modello'!$D$57:$D$60,MATCH($B243,'Parametri Modello'!$A$57:$A$60,0)))*(INDEX('Parametri Modello'!$B$50:$B$53,MATCH($B243,'Parametri Modello'!$A$50:$A$53,0))*'Parametri Modello'!$B$44))))*(1+IF(IF($B243="D",'Info Lega'!$B$25,IF($B243="C",'Info Lega'!$B$26,"No"))="Si",'Parametri Modello'!$B$5,0))*(1+MAX(-0.25,MIN(0.25,IF(OR($T243="",$I243="",$I243=0,INDEX('Parametri Modello'!$B$19:$B$22,MATCH($B243,'Parametri Modello'!$A$19:$A$22,0))="",INDEX('Parametri Modello'!$B$19:$B$22,MATCH($B243,'Parametri Modello'!$A$19:$A$22,0))=0),0,(($T243-INDEX('Parametri Modello'!$B$19:$B$22,MATCH($B243,'Parametri Modello'!$A$19:$A$22,0)))/INDEX('Parametri Modello'!$B$19:$B$22,MATCH($B243,'Parametri Modello'!$A$19:$A$22,0)))*'Parametri Modello'!$B$9))))*(1+IF('Parametri Modello'!$B$27="Si",MAX(-'Parametri Modello'!$B$28,MIN('Parametri Modello'!$B$28*1.5,IF(OR(INDEX('Parametri Modello'!$F$32:$F$35,MATCH($B243,'Parametri Modello'!$A$32:$A$35,0))="",INDEX('Parametri Modello'!$F$32:$F$35,MATCH($B243,'Parametri Modello'!$A$32:$A$35,0))=0),0,(1/INDEX('Parametri Modello'!$F$32:$F$35,MATCH($B243,'Parametri Modello'!$A$32:$A$35,0))-1)*'Parametri Modello'!$B$28))),0)))*(1+INDEX('Parametri Modello'!$B$12:$B$15,MATCH($B243,'Parametri Modello'!$A$12:$A$15,0))),0),"")</f>
        <v>5</v>
      </c>
      <c r="I243" s="26" t="str">
        <f aca="false">IFERROR(INDEX('Input Statistiche 2025_26'!$F$3:$F$665,MATCH($A243,'Input Statistiche 2025_26'!$A$3:$A$665,0)),"")</f>
        <v/>
      </c>
      <c r="J243" s="26" t="str">
        <f aca="false">IFERROR(IF($I243="","",MAX(0,38-$I243)),"")</f>
        <v/>
      </c>
      <c r="K243" s="26" t="str">
        <f aca="false">IFERROR(INDEX('Input Statistiche 2025_26'!$I$3:$I$665,MATCH($A243,'Input Statistiche 2025_26'!$A$3:$A$665,0)),"")</f>
        <v/>
      </c>
      <c r="L243" s="26" t="str">
        <f aca="false">IFERROR(INDEX('Input Statistiche 2025_26'!$O$3:$O$665,MATCH($A243,'Input Statistiche 2025_26'!$A$3:$A$665,0)),"")</f>
        <v/>
      </c>
      <c r="M243" s="28"/>
      <c r="N243" s="27" t="n">
        <f aca="false">IFERROR(INDEX('Input Giocatori 2026_27'!$E$3:$E$493,MATCH($A243,'Input Giocatori 2026_27'!$A$3:$A$493,0)),"")</f>
        <v>5</v>
      </c>
      <c r="O243" s="27" t="n">
        <f aca="false">IFERROR(INDEX('Input Giocatori 2026_27'!$G$3:$G$493,MATCH($A243,'Input Giocatori 2026_27'!$A$3:$A$493,0)),"")</f>
        <v>14</v>
      </c>
      <c r="P243" s="26" t="str">
        <f aca="false">IFERROR(IF($O243="","",IF((1-(COUNTIFS($B$2:$B$492,$B243,$O$2:$O$492,"&gt;"&amp;$O243)+1-1)/COUNTIF($B$2:$B$492,$B243))&gt;=0.85,"Top",IF((1-(COUNTIFS($B$2:$B$492,$B243,$O$2:$O$492,"&gt;"&amp;$O243)+1-1)/COUNTIF($B$2:$B$492,$B243))&gt;=0.6,"Buono",IF((1-(COUNTIFS($B$2:$B$492,$B243,$O$2:$O$492,"&gt;"&amp;$O243)+1-1)/COUNTIF($B$2:$B$492,$B243))&gt;=0.3,"Nella Media","Scommessa/Riserva")))),"")</f>
        <v>Nella Media</v>
      </c>
      <c r="Q243" s="29" t="n">
        <f aca="false">IF($D243="",COUNTIF($D$2:$D243,""),"")</f>
        <v>242</v>
      </c>
      <c r="R243" s="29" t="str">
        <f aca="false">IF($D243='Info Lega'!$B$28,COUNTIFS($D$2:$D243,'Info Lega'!$B$28),"")</f>
        <v/>
      </c>
      <c r="S243" s="30" t="str">
        <f aca="false">IFERROR(INDEX('Input Statistiche 2025_26'!$G$3:$G$665,MATCH($A243,'Input Statistiche 2025_26'!$A$3:$A$665,0)),"")</f>
        <v/>
      </c>
      <c r="T243" s="30" t="str">
        <f aca="false">IFERROR(INDEX('Input Statistiche 2025_26'!$H$3:$H$665,MATCH($A243,'Input Statistiche 2025_26'!$A$3:$A$665,0)),"")</f>
        <v/>
      </c>
      <c r="U243" s="26" t="str">
        <f aca="false">IF(OR('La Mia Rosa'!$O$12="",$D243&lt;&gt;""),"",IF($F243&lt;='La Mia Rosa'!$O$12*'Parametri Modello'!$B$24,"OK",IF($F243&lt;='La Mia Rosa'!$O$12*'Parametri Modello'!$B$25,"Attenzione","Rischio Alto")))</f>
        <v>OK</v>
      </c>
      <c r="V243" s="26" t="n">
        <f aca="false">IFERROR(COUNTIFS($B$2:$B$492,$B243,$O$2:$O$492,"&gt;"&amp;$O243)+1,"")</f>
        <v>58</v>
      </c>
      <c r="W243" s="21" t="n">
        <f aca="false">'Info Lega'!$B$4-SUMIFS($M$2:$M$492,$D$2:$D$492,'Info Lega'!$B$28)</f>
        <v>1000</v>
      </c>
      <c r="X243" s="21" t="n">
        <f aca="false">('Info Lega'!$B$5-COUNTIFS($D$2:$D$492,'Info Lega'!$B$28,$B$2:$B$492,"P"))+('Info Lega'!$B$6-COUNTIFS($D$2:$D$492,'Info Lega'!$B$28,$B$2:$B$492,"D"))+('Info Lega'!$B$7-COUNTIFS($D$2:$D$492,'Info Lega'!$B$28,$B$2:$B$492,"C"))+('Info Lega'!$B$8-COUNTIFS($D$2:$D$492,'Info Lega'!$B$28,$B$2:$B$492,"A"))</f>
        <v>25</v>
      </c>
      <c r="Y243" s="21" t="n">
        <f aca="false">X243*'Parametri Modello'!$B$30</f>
        <v>25</v>
      </c>
      <c r="Z243" s="21" t="n">
        <f aca="false">MAX(0,W243-Y243)</f>
        <v>975</v>
      </c>
      <c r="AA243" s="21" t="n">
        <f aca="false">MIN(F243,Z243)</f>
        <v>4</v>
      </c>
      <c r="AB243" s="21"/>
      <c r="AC243" s="21" t="str">
        <f aca="false">IF(AB243="","",IF(AB243&gt;AA243,"PASS",IF(AB243&lt;=AA243*0.85,"BID","ATTENZIONE")))</f>
        <v/>
      </c>
      <c r="AD243" s="31" t="str">
        <f aca="false">IF(I243="","",ROUND(100*(1-EXP(-I243/30)),0))</f>
        <v/>
      </c>
      <c r="AE243" s="7" t="str">
        <f aca="false">IFERROR(INDEX('Stato Asta'!$G$9:$G$12,MATCH($B243,'Stato Asta'!$A$9:$A$12,0)),"")</f>
        <v>🔴 Non aspettare</v>
      </c>
    </row>
    <row r="244" customFormat="false" ht="14.25" hidden="false" customHeight="true" outlineLevel="0" collapsed="false">
      <c r="A244" s="21" t="n">
        <v>6660</v>
      </c>
      <c r="B244" s="21" t="s">
        <v>44</v>
      </c>
      <c r="C244" s="21" t="s">
        <v>251</v>
      </c>
      <c r="E244" s="26" t="str">
        <f aca="false">IF(COUNTIF('Info Strategia'!$D$2:$D$51,$C244)&gt;0,"SI","NO")</f>
        <v>NO</v>
      </c>
      <c r="F244" s="27" t="n">
        <f aca="false">IFERROR(ROUND(($G244+($H244-$G244)*'Info Strategia'!$B$6)*(1+IF($E244="SI",'Parametri Modello'!$B$7*'Info Strategia'!$B$6,0)),0),"")</f>
        <v>3</v>
      </c>
      <c r="G244" s="27" t="n">
        <f aca="false">IFERROR(ROUND(MAX(1,(IF($V244&lt;=INDEX('Parametri Modello'!$C$57:$C$60,MATCH($B244,'Parametri Modello'!$A$57:$A$60,0)),IF(INDEX('Parametri Modello'!$E$57:$E$60,MATCH($B244,'Parametri Modello'!$A$57:$A$60,0))=0,0,($O244/INDEX('Parametri Modello'!$E$57:$E$60,MATCH($B244,'Parametri Modello'!$A$57:$A$60,0)))*(INDEX('Parametri Modello'!$D$57:$D$60,MATCH($B244,'Parametri Modello'!$A$57:$A$60,0))*(INDEX('Parametri Modello'!$B$50:$B$53,MATCH($B244,'Parametri Modello'!$A$50:$A$53,0))*'Parametri Modello'!$B$44))),IF(INDEX('Parametri Modello'!$F$57:$F$60,MATCH($B244,'Parametri Modello'!$A$57:$A$60,0))=0,0,($O244/INDEX('Parametri Modello'!$F$57:$F$60,MATCH($B244,'Parametri Modello'!$A$57:$A$60,0)))*((1-INDEX('Parametri Modello'!$D$57:$D$60,MATCH($B244,'Parametri Modello'!$A$57:$A$60,0)))*(INDEX('Parametri Modello'!$B$50:$B$53,MATCH($B244,'Parametri Modello'!$A$50:$A$53,0))*'Parametri Modello'!$B$44))))*(1+IF(IF($B244="D",'Info Lega'!$B$25,IF($B244="C",'Info Lega'!$B$26,"No"))="Si",'Parametri Modello'!$B$5,0))*(1+MAX(-0.25,MIN(0.25,IF(OR($T244="",$I244="",$I244=0,INDEX('Parametri Modello'!$B$19:$B$22,MATCH($B244,'Parametri Modello'!$A$19:$A$22,0))="",INDEX('Parametri Modello'!$B$19:$B$22,MATCH($B244,'Parametri Modello'!$A$19:$A$22,0))=0),0,(($T244-INDEX('Parametri Modello'!$B$19:$B$22,MATCH($B244,'Parametri Modello'!$A$19:$A$22,0)))/INDEX('Parametri Modello'!$B$19:$B$22,MATCH($B244,'Parametri Modello'!$A$19:$A$22,0)))*'Parametri Modello'!$B$9))))*(1+IF('Parametri Modello'!$B$27="Si",MAX(-'Parametri Modello'!$B$28,MIN('Parametri Modello'!$B$28*1.5,IF(OR(INDEX('Parametri Modello'!$F$32:$F$35,MATCH($B244,'Parametri Modello'!$A$32:$A$35,0))="",INDEX('Parametri Modello'!$F$32:$F$35,MATCH($B244,'Parametri Modello'!$A$32:$A$35,0))=0),0,(1/INDEX('Parametri Modello'!$F$32:$F$35,MATCH($B244,'Parametri Modello'!$A$32:$A$35,0))-1)*'Parametri Modello'!$B$28))),0)))*(1-INDEX('Parametri Modello'!$B$12:$B$15,MATCH($B244,'Parametri Modello'!$A$12:$A$15,0)))),0),"")</f>
        <v>2</v>
      </c>
      <c r="H244" s="27" t="n">
        <f aca="false">IFERROR(ROUND((IF($V244&lt;=INDEX('Parametri Modello'!$C$57:$C$60,MATCH($B244,'Parametri Modello'!$A$57:$A$60,0)),IF(INDEX('Parametri Modello'!$E$57:$E$60,MATCH($B244,'Parametri Modello'!$A$57:$A$60,0))=0,0,($O244/INDEX('Parametri Modello'!$E$57:$E$60,MATCH($B244,'Parametri Modello'!$A$57:$A$60,0)))*(INDEX('Parametri Modello'!$D$57:$D$60,MATCH($B244,'Parametri Modello'!$A$57:$A$60,0))*(INDEX('Parametri Modello'!$B$50:$B$53,MATCH($B244,'Parametri Modello'!$A$50:$A$53,0))*'Parametri Modello'!$B$44))),IF(INDEX('Parametri Modello'!$F$57:$F$60,MATCH($B244,'Parametri Modello'!$A$57:$A$60,0))=0,0,($O244/INDEX('Parametri Modello'!$F$57:$F$60,MATCH($B244,'Parametri Modello'!$A$57:$A$60,0)))*((1-INDEX('Parametri Modello'!$D$57:$D$60,MATCH($B244,'Parametri Modello'!$A$57:$A$60,0)))*(INDEX('Parametri Modello'!$B$50:$B$53,MATCH($B244,'Parametri Modello'!$A$50:$A$53,0))*'Parametri Modello'!$B$44))))*(1+IF(IF($B244="D",'Info Lega'!$B$25,IF($B244="C",'Info Lega'!$B$26,"No"))="Si",'Parametri Modello'!$B$5,0))*(1+MAX(-0.25,MIN(0.25,IF(OR($T244="",$I244="",$I244=0,INDEX('Parametri Modello'!$B$19:$B$22,MATCH($B244,'Parametri Modello'!$A$19:$A$22,0))="",INDEX('Parametri Modello'!$B$19:$B$22,MATCH($B244,'Parametri Modello'!$A$19:$A$22,0))=0),0,(($T244-INDEX('Parametri Modello'!$B$19:$B$22,MATCH($B244,'Parametri Modello'!$A$19:$A$22,0)))/INDEX('Parametri Modello'!$B$19:$B$22,MATCH($B244,'Parametri Modello'!$A$19:$A$22,0)))*'Parametri Modello'!$B$9))))*(1+IF('Parametri Modello'!$B$27="Si",MAX(-'Parametri Modello'!$B$28,MIN('Parametri Modello'!$B$28*1.5,IF(OR(INDEX('Parametri Modello'!$F$32:$F$35,MATCH($B244,'Parametri Modello'!$A$32:$A$35,0))="",INDEX('Parametri Modello'!$F$32:$F$35,MATCH($B244,'Parametri Modello'!$A$32:$A$35,0))=0),0,(1/INDEX('Parametri Modello'!$F$32:$F$35,MATCH($B244,'Parametri Modello'!$A$32:$A$35,0))-1)*'Parametri Modello'!$B$28))),0)))*(1+INDEX('Parametri Modello'!$B$12:$B$15,MATCH($B244,'Parametri Modello'!$A$12:$A$15,0))),0),"")</f>
        <v>3</v>
      </c>
      <c r="I244" s="26" t="n">
        <f aca="false">IFERROR(INDEX('Input Statistiche 2025_26'!$F$3:$F$665,MATCH($A244,'Input Statistiche 2025_26'!$A$3:$A$665,0)),"")</f>
        <v>31</v>
      </c>
      <c r="J244" s="26" t="n">
        <f aca="false">IFERROR(IF($I244="","",MAX(0,38-$I244)),"")</f>
        <v>7</v>
      </c>
      <c r="K244" s="26" t="n">
        <f aca="false">IFERROR(INDEX('Input Statistiche 2025_26'!$I$3:$I$665,MATCH($A244,'Input Statistiche 2025_26'!$A$3:$A$665,0)),"")</f>
        <v>0</v>
      </c>
      <c r="L244" s="26" t="n">
        <f aca="false">IFERROR(INDEX('Input Statistiche 2025_26'!$O$3:$O$665,MATCH($A244,'Input Statistiche 2025_26'!$A$3:$A$665,0)),"")</f>
        <v>1</v>
      </c>
      <c r="M244" s="28"/>
      <c r="N244" s="27" t="n">
        <f aca="false">IFERROR(INDEX('Input Giocatori 2026_27'!$E$3:$E$493,MATCH($A244,'Input Giocatori 2026_27'!$A$3:$A$493,0)),"")</f>
        <v>6</v>
      </c>
      <c r="O244" s="27" t="n">
        <f aca="false">IFERROR(INDEX('Input Giocatori 2026_27'!$G$3:$G$493,MATCH($A244,'Input Giocatori 2026_27'!$A$3:$A$493,0)),"")</f>
        <v>13</v>
      </c>
      <c r="P244" s="26" t="str">
        <f aca="false">IFERROR(IF($O244="","",IF((1-(COUNTIFS($B$2:$B$492,$B244,$O$2:$O$492,"&gt;"&amp;$O244)+1-1)/COUNTIF($B$2:$B$492,$B244))&gt;=0.85,"Top",IF((1-(COUNTIFS($B$2:$B$492,$B244,$O$2:$O$492,"&gt;"&amp;$O244)+1-1)/COUNTIF($B$2:$B$492,$B244))&gt;=0.6,"Buono",IF((1-(COUNTIFS($B$2:$B$492,$B244,$O$2:$O$492,"&gt;"&amp;$O244)+1-1)/COUNTIF($B$2:$B$492,$B244))&gt;=0.3,"Nella Media","Scommessa/Riserva")))),"")</f>
        <v>Buono</v>
      </c>
      <c r="Q244" s="29" t="n">
        <f aca="false">IF($D244="",COUNTIF($D$2:$D244,""),"")</f>
        <v>243</v>
      </c>
      <c r="R244" s="29" t="str">
        <f aca="false">IF($D244='Info Lega'!$B$28,COUNTIFS($D$2:$D244,'Info Lega'!$B$28),"")</f>
        <v/>
      </c>
      <c r="S244" s="30" t="n">
        <f aca="false">IFERROR(INDEX('Input Statistiche 2025_26'!$G$3:$G$665,MATCH($A244,'Input Statistiche 2025_26'!$A$3:$A$665,0)),"")</f>
        <v>5.87</v>
      </c>
      <c r="T244" s="30" t="n">
        <f aca="false">IFERROR(INDEX('Input Statistiche 2025_26'!$H$3:$H$665,MATCH($A244,'Input Statistiche 2025_26'!$A$3:$A$665,0)),"")</f>
        <v>5.84</v>
      </c>
      <c r="U244" s="26" t="str">
        <f aca="false">IF(OR('La Mia Rosa'!$O$12="",$D244&lt;&gt;""),"",IF($F244&lt;='La Mia Rosa'!$O$12*'Parametri Modello'!$B$24,"OK",IF($F244&lt;='La Mia Rosa'!$O$12*'Parametri Modello'!$B$25,"Attenzione","Rischio Alto")))</f>
        <v>OK</v>
      </c>
      <c r="V244" s="26" t="n">
        <f aca="false">IFERROR(COUNTIFS($B$2:$B$492,$B244,$O$2:$O$492,"&gt;"&amp;$O244)+1,"")</f>
        <v>69</v>
      </c>
      <c r="W244" s="21" t="n">
        <f aca="false">'Info Lega'!$B$4-SUMIFS($M$2:$M$492,$D$2:$D$492,'Info Lega'!$B$28)</f>
        <v>1000</v>
      </c>
      <c r="X244" s="21" t="n">
        <f aca="false">('Info Lega'!$B$5-COUNTIFS($D$2:$D$492,'Info Lega'!$B$28,$B$2:$B$492,"P"))+('Info Lega'!$B$6-COUNTIFS($D$2:$D$492,'Info Lega'!$B$28,$B$2:$B$492,"D"))+('Info Lega'!$B$7-COUNTIFS($D$2:$D$492,'Info Lega'!$B$28,$B$2:$B$492,"C"))+('Info Lega'!$B$8-COUNTIFS($D$2:$D$492,'Info Lega'!$B$28,$B$2:$B$492,"A"))</f>
        <v>25</v>
      </c>
      <c r="Y244" s="21" t="n">
        <f aca="false">X244*'Parametri Modello'!$B$30</f>
        <v>25</v>
      </c>
      <c r="Z244" s="21" t="n">
        <f aca="false">MAX(0,W244-Y244)</f>
        <v>975</v>
      </c>
      <c r="AA244" s="21" t="n">
        <f aca="false">MIN(F244,Z244)</f>
        <v>3</v>
      </c>
      <c r="AB244" s="21"/>
      <c r="AC244" s="21" t="str">
        <f aca="false">IF(AB244="","",IF(AB244&gt;AA244,"PASS",IF(AB244&lt;=AA244*0.85,"BID","ATTENZIONE")))</f>
        <v/>
      </c>
      <c r="AD244" s="31" t="n">
        <f aca="false">IF(I244="","",ROUND(100*(1-EXP(-I244/30)),0))</f>
        <v>64</v>
      </c>
      <c r="AE244" s="7" t="str">
        <f aca="false">IFERROR(INDEX('Stato Asta'!$G$9:$G$12,MATCH($B244,'Stato Asta'!$A$9:$A$12,0)),"")</f>
        <v>🟡 Attesa rischiosa</v>
      </c>
    </row>
    <row r="245" customFormat="false" ht="14.25" hidden="false" customHeight="true" outlineLevel="0" collapsed="false">
      <c r="A245" s="21" t="n">
        <v>4502</v>
      </c>
      <c r="B245" s="21" t="s">
        <v>44</v>
      </c>
      <c r="C245" s="21" t="s">
        <v>255</v>
      </c>
      <c r="E245" s="26" t="str">
        <f aca="false">IF(COUNTIF('Info Strategia'!$D$2:$D$51,$C245)&gt;0,"SI","NO")</f>
        <v>NO</v>
      </c>
      <c r="F245" s="27" t="n">
        <f aca="false">IFERROR(ROUND(($G245+($H245-$G245)*'Info Strategia'!$B$6)*(1+IF($E245="SI",'Parametri Modello'!$B$7*'Info Strategia'!$B$6,0)),0),"")</f>
        <v>3</v>
      </c>
      <c r="G245" s="27" t="n">
        <f aca="false">IFERROR(ROUND(MAX(1,(IF($V245&lt;=INDEX('Parametri Modello'!$C$57:$C$60,MATCH($B245,'Parametri Modello'!$A$57:$A$60,0)),IF(INDEX('Parametri Modello'!$E$57:$E$60,MATCH($B245,'Parametri Modello'!$A$57:$A$60,0))=0,0,($O245/INDEX('Parametri Modello'!$E$57:$E$60,MATCH($B245,'Parametri Modello'!$A$57:$A$60,0)))*(INDEX('Parametri Modello'!$D$57:$D$60,MATCH($B245,'Parametri Modello'!$A$57:$A$60,0))*(INDEX('Parametri Modello'!$B$50:$B$53,MATCH($B245,'Parametri Modello'!$A$50:$A$53,0))*'Parametri Modello'!$B$44))),IF(INDEX('Parametri Modello'!$F$57:$F$60,MATCH($B245,'Parametri Modello'!$A$57:$A$60,0))=0,0,($O245/INDEX('Parametri Modello'!$F$57:$F$60,MATCH($B245,'Parametri Modello'!$A$57:$A$60,0)))*((1-INDEX('Parametri Modello'!$D$57:$D$60,MATCH($B245,'Parametri Modello'!$A$57:$A$60,0)))*(INDEX('Parametri Modello'!$B$50:$B$53,MATCH($B245,'Parametri Modello'!$A$50:$A$53,0))*'Parametri Modello'!$B$44))))*(1+IF(IF($B245="D",'Info Lega'!$B$25,IF($B245="C",'Info Lega'!$B$26,"No"))="Si",'Parametri Modello'!$B$5,0))*(1+MAX(-0.25,MIN(0.25,IF(OR($T245="",$I245="",$I245=0,INDEX('Parametri Modello'!$B$19:$B$22,MATCH($B245,'Parametri Modello'!$A$19:$A$22,0))="",INDEX('Parametri Modello'!$B$19:$B$22,MATCH($B245,'Parametri Modello'!$A$19:$A$22,0))=0),0,(($T245-INDEX('Parametri Modello'!$B$19:$B$22,MATCH($B245,'Parametri Modello'!$A$19:$A$22,0)))/INDEX('Parametri Modello'!$B$19:$B$22,MATCH($B245,'Parametri Modello'!$A$19:$A$22,0)))*'Parametri Modello'!$B$9))))*(1+IF('Parametri Modello'!$B$27="Si",MAX(-'Parametri Modello'!$B$28,MIN('Parametri Modello'!$B$28*1.5,IF(OR(INDEX('Parametri Modello'!$F$32:$F$35,MATCH($B245,'Parametri Modello'!$A$32:$A$35,0))="",INDEX('Parametri Modello'!$F$32:$F$35,MATCH($B245,'Parametri Modello'!$A$32:$A$35,0))=0),0,(1/INDEX('Parametri Modello'!$F$32:$F$35,MATCH($B245,'Parametri Modello'!$A$32:$A$35,0))-1)*'Parametri Modello'!$B$28))),0)))*(1-INDEX('Parametri Modello'!$B$12:$B$15,MATCH($B245,'Parametri Modello'!$A$12:$A$15,0)))),0),"")</f>
        <v>2</v>
      </c>
      <c r="H245" s="27" t="n">
        <f aca="false">IFERROR(ROUND((IF($V245&lt;=INDEX('Parametri Modello'!$C$57:$C$60,MATCH($B245,'Parametri Modello'!$A$57:$A$60,0)),IF(INDEX('Parametri Modello'!$E$57:$E$60,MATCH($B245,'Parametri Modello'!$A$57:$A$60,0))=0,0,($O245/INDEX('Parametri Modello'!$E$57:$E$60,MATCH($B245,'Parametri Modello'!$A$57:$A$60,0)))*(INDEX('Parametri Modello'!$D$57:$D$60,MATCH($B245,'Parametri Modello'!$A$57:$A$60,0))*(INDEX('Parametri Modello'!$B$50:$B$53,MATCH($B245,'Parametri Modello'!$A$50:$A$53,0))*'Parametri Modello'!$B$44))),IF(INDEX('Parametri Modello'!$F$57:$F$60,MATCH($B245,'Parametri Modello'!$A$57:$A$60,0))=0,0,($O245/INDEX('Parametri Modello'!$F$57:$F$60,MATCH($B245,'Parametri Modello'!$A$57:$A$60,0)))*((1-INDEX('Parametri Modello'!$D$57:$D$60,MATCH($B245,'Parametri Modello'!$A$57:$A$60,0)))*(INDEX('Parametri Modello'!$B$50:$B$53,MATCH($B245,'Parametri Modello'!$A$50:$A$53,0))*'Parametri Modello'!$B$44))))*(1+IF(IF($B245="D",'Info Lega'!$B$25,IF($B245="C",'Info Lega'!$B$26,"No"))="Si",'Parametri Modello'!$B$5,0))*(1+MAX(-0.25,MIN(0.25,IF(OR($T245="",$I245="",$I245=0,INDEX('Parametri Modello'!$B$19:$B$22,MATCH($B245,'Parametri Modello'!$A$19:$A$22,0))="",INDEX('Parametri Modello'!$B$19:$B$22,MATCH($B245,'Parametri Modello'!$A$19:$A$22,0))=0),0,(($T245-INDEX('Parametri Modello'!$B$19:$B$22,MATCH($B245,'Parametri Modello'!$A$19:$A$22,0)))/INDEX('Parametri Modello'!$B$19:$B$22,MATCH($B245,'Parametri Modello'!$A$19:$A$22,0)))*'Parametri Modello'!$B$9))))*(1+IF('Parametri Modello'!$B$27="Si",MAX(-'Parametri Modello'!$B$28,MIN('Parametri Modello'!$B$28*1.5,IF(OR(INDEX('Parametri Modello'!$F$32:$F$35,MATCH($B245,'Parametri Modello'!$A$32:$A$35,0))="",INDEX('Parametri Modello'!$F$32:$F$35,MATCH($B245,'Parametri Modello'!$A$32:$A$35,0))=0),0,(1/INDEX('Parametri Modello'!$F$32:$F$35,MATCH($B245,'Parametri Modello'!$A$32:$A$35,0))-1)*'Parametri Modello'!$B$28))),0)))*(1+INDEX('Parametri Modello'!$B$12:$B$15,MATCH($B245,'Parametri Modello'!$A$12:$A$15,0))),0),"")</f>
        <v>3</v>
      </c>
      <c r="I245" s="26" t="n">
        <f aca="false">IFERROR(INDEX('Input Statistiche 2025_26'!$F$3:$F$665,MATCH($A245,'Input Statistiche 2025_26'!$A$3:$A$665,0)),"")</f>
        <v>37</v>
      </c>
      <c r="J245" s="26" t="n">
        <f aca="false">IFERROR(IF($I245="","",MAX(0,38-$I245)),"")</f>
        <v>1</v>
      </c>
      <c r="K245" s="26" t="n">
        <f aca="false">IFERROR(INDEX('Input Statistiche 2025_26'!$I$3:$I$665,MATCH($A245,'Input Statistiche 2025_26'!$A$3:$A$665,0)),"")</f>
        <v>0</v>
      </c>
      <c r="L245" s="26" t="n">
        <f aca="false">IFERROR(INDEX('Input Statistiche 2025_26'!$O$3:$O$665,MATCH($A245,'Input Statistiche 2025_26'!$A$3:$A$665,0)),"")</f>
        <v>3</v>
      </c>
      <c r="M245" s="28"/>
      <c r="N245" s="27" t="n">
        <f aca="false">IFERROR(INDEX('Input Giocatori 2026_27'!$E$3:$E$493,MATCH($A245,'Input Giocatori 2026_27'!$A$3:$A$493,0)),"")</f>
        <v>6</v>
      </c>
      <c r="O245" s="27" t="n">
        <f aca="false">IFERROR(INDEX('Input Giocatori 2026_27'!$G$3:$G$493,MATCH($A245,'Input Giocatori 2026_27'!$A$3:$A$493,0)),"")</f>
        <v>13</v>
      </c>
      <c r="P245" s="26" t="str">
        <f aca="false">IFERROR(IF($O245="","",IF((1-(COUNTIFS($B$2:$B$492,$B245,$O$2:$O$492,"&gt;"&amp;$O245)+1-1)/COUNTIF($B$2:$B$492,$B245))&gt;=0.85,"Top",IF((1-(COUNTIFS($B$2:$B$492,$B245,$O$2:$O$492,"&gt;"&amp;$O245)+1-1)/COUNTIF($B$2:$B$492,$B245))&gt;=0.6,"Buono",IF((1-(COUNTIFS($B$2:$B$492,$B245,$O$2:$O$492,"&gt;"&amp;$O245)+1-1)/COUNTIF($B$2:$B$492,$B245))&gt;=0.3,"Nella Media","Scommessa/Riserva")))),"")</f>
        <v>Buono</v>
      </c>
      <c r="Q245" s="29" t="n">
        <f aca="false">IF($D245="",COUNTIF($D$2:$D245,""),"")</f>
        <v>244</v>
      </c>
      <c r="R245" s="29" t="str">
        <f aca="false">IF($D245='Info Lega'!$B$28,COUNTIFS($D$2:$D245,'Info Lega'!$B$28),"")</f>
        <v/>
      </c>
      <c r="S245" s="30" t="n">
        <f aca="false">IFERROR(INDEX('Input Statistiche 2025_26'!$G$3:$G$665,MATCH($A245,'Input Statistiche 2025_26'!$A$3:$A$665,0)),"")</f>
        <v>5.95</v>
      </c>
      <c r="T245" s="30" t="n">
        <f aca="false">IFERROR(INDEX('Input Statistiche 2025_26'!$H$3:$H$665,MATCH($A245,'Input Statistiche 2025_26'!$A$3:$A$665,0)),"")</f>
        <v>5.99</v>
      </c>
      <c r="U245" s="26" t="str">
        <f aca="false">IF(OR('La Mia Rosa'!$O$12="",$D245&lt;&gt;""),"",IF($F245&lt;='La Mia Rosa'!$O$12*'Parametri Modello'!$B$24,"OK",IF($F245&lt;='La Mia Rosa'!$O$12*'Parametri Modello'!$B$25,"Attenzione","Rischio Alto")))</f>
        <v>OK</v>
      </c>
      <c r="V245" s="26" t="n">
        <f aca="false">IFERROR(COUNTIFS($B$2:$B$492,$B245,$O$2:$O$492,"&gt;"&amp;$O245)+1,"")</f>
        <v>69</v>
      </c>
      <c r="W245" s="21" t="n">
        <f aca="false">'Info Lega'!$B$4-SUMIFS($M$2:$M$492,$D$2:$D$492,'Info Lega'!$B$28)</f>
        <v>1000</v>
      </c>
      <c r="X245" s="21" t="n">
        <f aca="false">('Info Lega'!$B$5-COUNTIFS($D$2:$D$492,'Info Lega'!$B$28,$B$2:$B$492,"P"))+('Info Lega'!$B$6-COUNTIFS($D$2:$D$492,'Info Lega'!$B$28,$B$2:$B$492,"D"))+('Info Lega'!$B$7-COUNTIFS($D$2:$D$492,'Info Lega'!$B$28,$B$2:$B$492,"C"))+('Info Lega'!$B$8-COUNTIFS($D$2:$D$492,'Info Lega'!$B$28,$B$2:$B$492,"A"))</f>
        <v>25</v>
      </c>
      <c r="Y245" s="21" t="n">
        <f aca="false">X245*'Parametri Modello'!$B$30</f>
        <v>25</v>
      </c>
      <c r="Z245" s="21" t="n">
        <f aca="false">MAX(0,W245-Y245)</f>
        <v>975</v>
      </c>
      <c r="AA245" s="21" t="n">
        <f aca="false">MIN(F245,Z245)</f>
        <v>3</v>
      </c>
      <c r="AB245" s="21"/>
      <c r="AC245" s="21" t="str">
        <f aca="false">IF(AB245="","",IF(AB245&gt;AA245,"PASS",IF(AB245&lt;=AA245*0.85,"BID","ATTENZIONE")))</f>
        <v/>
      </c>
      <c r="AD245" s="31" t="n">
        <f aca="false">IF(I245="","",ROUND(100*(1-EXP(-I245/30)),0))</f>
        <v>71</v>
      </c>
      <c r="AE245" s="7" t="str">
        <f aca="false">IFERROR(INDEX('Stato Asta'!$G$9:$G$12,MATCH($B245,'Stato Asta'!$A$9:$A$12,0)),"")</f>
        <v>🟡 Attesa rischiosa</v>
      </c>
    </row>
    <row r="246" customFormat="false" ht="14.25" hidden="false" customHeight="true" outlineLevel="0" collapsed="false">
      <c r="A246" s="21" t="n">
        <v>7253</v>
      </c>
      <c r="B246" s="21" t="s">
        <v>44</v>
      </c>
      <c r="C246" s="21" t="s">
        <v>261</v>
      </c>
      <c r="E246" s="26" t="str">
        <f aca="false">IF(COUNTIF('Info Strategia'!$D$2:$D$51,$C246)&gt;0,"SI","NO")</f>
        <v>NO</v>
      </c>
      <c r="F246" s="27" t="n">
        <f aca="false">IFERROR(ROUND(($G246+($H246-$G246)*'Info Strategia'!$B$6)*(1+IF($E246="SI",'Parametri Modello'!$B$7*'Info Strategia'!$B$6,0)),0),"")</f>
        <v>3</v>
      </c>
      <c r="G246" s="27" t="n">
        <f aca="false">IFERROR(ROUND(MAX(1,(IF($V246&lt;=INDEX('Parametri Modello'!$C$57:$C$60,MATCH($B246,'Parametri Modello'!$A$57:$A$60,0)),IF(INDEX('Parametri Modello'!$E$57:$E$60,MATCH($B246,'Parametri Modello'!$A$57:$A$60,0))=0,0,($O246/INDEX('Parametri Modello'!$E$57:$E$60,MATCH($B246,'Parametri Modello'!$A$57:$A$60,0)))*(INDEX('Parametri Modello'!$D$57:$D$60,MATCH($B246,'Parametri Modello'!$A$57:$A$60,0))*(INDEX('Parametri Modello'!$B$50:$B$53,MATCH($B246,'Parametri Modello'!$A$50:$A$53,0))*'Parametri Modello'!$B$44))),IF(INDEX('Parametri Modello'!$F$57:$F$60,MATCH($B246,'Parametri Modello'!$A$57:$A$60,0))=0,0,($O246/INDEX('Parametri Modello'!$F$57:$F$60,MATCH($B246,'Parametri Modello'!$A$57:$A$60,0)))*((1-INDEX('Parametri Modello'!$D$57:$D$60,MATCH($B246,'Parametri Modello'!$A$57:$A$60,0)))*(INDEX('Parametri Modello'!$B$50:$B$53,MATCH($B246,'Parametri Modello'!$A$50:$A$53,0))*'Parametri Modello'!$B$44))))*(1+IF(IF($B246="D",'Info Lega'!$B$25,IF($B246="C",'Info Lega'!$B$26,"No"))="Si",'Parametri Modello'!$B$5,0))*(1+MAX(-0.25,MIN(0.25,IF(OR($T246="",$I246="",$I246=0,INDEX('Parametri Modello'!$B$19:$B$22,MATCH($B246,'Parametri Modello'!$A$19:$A$22,0))="",INDEX('Parametri Modello'!$B$19:$B$22,MATCH($B246,'Parametri Modello'!$A$19:$A$22,0))=0),0,(($T246-INDEX('Parametri Modello'!$B$19:$B$22,MATCH($B246,'Parametri Modello'!$A$19:$A$22,0)))/INDEX('Parametri Modello'!$B$19:$B$22,MATCH($B246,'Parametri Modello'!$A$19:$A$22,0)))*'Parametri Modello'!$B$9))))*(1+IF('Parametri Modello'!$B$27="Si",MAX(-'Parametri Modello'!$B$28,MIN('Parametri Modello'!$B$28*1.5,IF(OR(INDEX('Parametri Modello'!$F$32:$F$35,MATCH($B246,'Parametri Modello'!$A$32:$A$35,0))="",INDEX('Parametri Modello'!$F$32:$F$35,MATCH($B246,'Parametri Modello'!$A$32:$A$35,0))=0),0,(1/INDEX('Parametri Modello'!$F$32:$F$35,MATCH($B246,'Parametri Modello'!$A$32:$A$35,0))-1)*'Parametri Modello'!$B$28))),0)))*(1-INDEX('Parametri Modello'!$B$12:$B$15,MATCH($B246,'Parametri Modello'!$A$12:$A$15,0)))),0),"")</f>
        <v>2</v>
      </c>
      <c r="H246" s="27" t="n">
        <f aca="false">IFERROR(ROUND((IF($V246&lt;=INDEX('Parametri Modello'!$C$57:$C$60,MATCH($B246,'Parametri Modello'!$A$57:$A$60,0)),IF(INDEX('Parametri Modello'!$E$57:$E$60,MATCH($B246,'Parametri Modello'!$A$57:$A$60,0))=0,0,($O246/INDEX('Parametri Modello'!$E$57:$E$60,MATCH($B246,'Parametri Modello'!$A$57:$A$60,0)))*(INDEX('Parametri Modello'!$D$57:$D$60,MATCH($B246,'Parametri Modello'!$A$57:$A$60,0))*(INDEX('Parametri Modello'!$B$50:$B$53,MATCH($B246,'Parametri Modello'!$A$50:$A$53,0))*'Parametri Modello'!$B$44))),IF(INDEX('Parametri Modello'!$F$57:$F$60,MATCH($B246,'Parametri Modello'!$A$57:$A$60,0))=0,0,($O246/INDEX('Parametri Modello'!$F$57:$F$60,MATCH($B246,'Parametri Modello'!$A$57:$A$60,0)))*((1-INDEX('Parametri Modello'!$D$57:$D$60,MATCH($B246,'Parametri Modello'!$A$57:$A$60,0)))*(INDEX('Parametri Modello'!$B$50:$B$53,MATCH($B246,'Parametri Modello'!$A$50:$A$53,0))*'Parametri Modello'!$B$44))))*(1+IF(IF($B246="D",'Info Lega'!$B$25,IF($B246="C",'Info Lega'!$B$26,"No"))="Si",'Parametri Modello'!$B$5,0))*(1+MAX(-0.25,MIN(0.25,IF(OR($T246="",$I246="",$I246=0,INDEX('Parametri Modello'!$B$19:$B$22,MATCH($B246,'Parametri Modello'!$A$19:$A$22,0))="",INDEX('Parametri Modello'!$B$19:$B$22,MATCH($B246,'Parametri Modello'!$A$19:$A$22,0))=0),0,(($T246-INDEX('Parametri Modello'!$B$19:$B$22,MATCH($B246,'Parametri Modello'!$A$19:$A$22,0)))/INDEX('Parametri Modello'!$B$19:$B$22,MATCH($B246,'Parametri Modello'!$A$19:$A$22,0)))*'Parametri Modello'!$B$9))))*(1+IF('Parametri Modello'!$B$27="Si",MAX(-'Parametri Modello'!$B$28,MIN('Parametri Modello'!$B$28*1.5,IF(OR(INDEX('Parametri Modello'!$F$32:$F$35,MATCH($B246,'Parametri Modello'!$A$32:$A$35,0))="",INDEX('Parametri Modello'!$F$32:$F$35,MATCH($B246,'Parametri Modello'!$A$32:$A$35,0))=0),0,(1/INDEX('Parametri Modello'!$F$32:$F$35,MATCH($B246,'Parametri Modello'!$A$32:$A$35,0))-1)*'Parametri Modello'!$B$28))),0)))*(1+INDEX('Parametri Modello'!$B$12:$B$15,MATCH($B246,'Parametri Modello'!$A$12:$A$15,0))),0),"")</f>
        <v>3</v>
      </c>
      <c r="I246" s="26" t="n">
        <f aca="false">IFERROR(INDEX('Input Statistiche 2025_26'!$F$3:$F$665,MATCH($A246,'Input Statistiche 2025_26'!$A$3:$A$665,0)),"")</f>
        <v>18</v>
      </c>
      <c r="J246" s="26" t="n">
        <f aca="false">IFERROR(IF($I246="","",MAX(0,38-$I246)),"")</f>
        <v>20</v>
      </c>
      <c r="K246" s="26" t="n">
        <f aca="false">IFERROR(INDEX('Input Statistiche 2025_26'!$I$3:$I$665,MATCH($A246,'Input Statistiche 2025_26'!$A$3:$A$665,0)),"")</f>
        <v>0</v>
      </c>
      <c r="L246" s="26" t="n">
        <f aca="false">IFERROR(INDEX('Input Statistiche 2025_26'!$O$3:$O$665,MATCH($A246,'Input Statistiche 2025_26'!$A$3:$A$665,0)),"")</f>
        <v>0</v>
      </c>
      <c r="M246" s="28"/>
      <c r="N246" s="27" t="n">
        <f aca="false">IFERROR(INDEX('Input Giocatori 2026_27'!$E$3:$E$493,MATCH($A246,'Input Giocatori 2026_27'!$A$3:$A$493,0)),"")</f>
        <v>6</v>
      </c>
      <c r="O246" s="27" t="n">
        <f aca="false">IFERROR(INDEX('Input Giocatori 2026_27'!$G$3:$G$493,MATCH($A246,'Input Giocatori 2026_27'!$A$3:$A$493,0)),"")</f>
        <v>13</v>
      </c>
      <c r="P246" s="26" t="str">
        <f aca="false">IFERROR(IF($O246="","",IF((1-(COUNTIFS($B$2:$B$492,$B246,$O$2:$O$492,"&gt;"&amp;$O246)+1-1)/COUNTIF($B$2:$B$492,$B246))&gt;=0.85,"Top",IF((1-(COUNTIFS($B$2:$B$492,$B246,$O$2:$O$492,"&gt;"&amp;$O246)+1-1)/COUNTIF($B$2:$B$492,$B246))&gt;=0.6,"Buono",IF((1-(COUNTIFS($B$2:$B$492,$B246,$O$2:$O$492,"&gt;"&amp;$O246)+1-1)/COUNTIF($B$2:$B$492,$B246))&gt;=0.3,"Nella Media","Scommessa/Riserva")))),"")</f>
        <v>Buono</v>
      </c>
      <c r="Q246" s="29" t="n">
        <f aca="false">IF($D246="",COUNTIF($D$2:$D246,""),"")</f>
        <v>245</v>
      </c>
      <c r="R246" s="29" t="str">
        <f aca="false">IF($D246='Info Lega'!$B$28,COUNTIFS($D$2:$D246,'Info Lega'!$B$28),"")</f>
        <v/>
      </c>
      <c r="S246" s="30" t="n">
        <f aca="false">IFERROR(INDEX('Input Statistiche 2025_26'!$G$3:$G$665,MATCH($A246,'Input Statistiche 2025_26'!$A$3:$A$665,0)),"")</f>
        <v>5.83</v>
      </c>
      <c r="T246" s="30" t="n">
        <f aca="false">IFERROR(INDEX('Input Statistiche 2025_26'!$H$3:$H$665,MATCH($A246,'Input Statistiche 2025_26'!$A$3:$A$665,0)),"")</f>
        <v>5.75</v>
      </c>
      <c r="U246" s="26" t="str">
        <f aca="false">IF(OR('La Mia Rosa'!$O$12="",$D246&lt;&gt;""),"",IF($F246&lt;='La Mia Rosa'!$O$12*'Parametri Modello'!$B$24,"OK",IF($F246&lt;='La Mia Rosa'!$O$12*'Parametri Modello'!$B$25,"Attenzione","Rischio Alto")))</f>
        <v>OK</v>
      </c>
      <c r="V246" s="26" t="n">
        <f aca="false">IFERROR(COUNTIFS($B$2:$B$492,$B246,$O$2:$O$492,"&gt;"&amp;$O246)+1,"")</f>
        <v>69</v>
      </c>
      <c r="W246" s="21" t="n">
        <f aca="false">'Info Lega'!$B$4-SUMIFS($M$2:$M$492,$D$2:$D$492,'Info Lega'!$B$28)</f>
        <v>1000</v>
      </c>
      <c r="X246" s="21" t="n">
        <f aca="false">('Info Lega'!$B$5-COUNTIFS($D$2:$D$492,'Info Lega'!$B$28,$B$2:$B$492,"P"))+('Info Lega'!$B$6-COUNTIFS($D$2:$D$492,'Info Lega'!$B$28,$B$2:$B$492,"D"))+('Info Lega'!$B$7-COUNTIFS($D$2:$D$492,'Info Lega'!$B$28,$B$2:$B$492,"C"))+('Info Lega'!$B$8-COUNTIFS($D$2:$D$492,'Info Lega'!$B$28,$B$2:$B$492,"A"))</f>
        <v>25</v>
      </c>
      <c r="Y246" s="21" t="n">
        <f aca="false">X246*'Parametri Modello'!$B$30</f>
        <v>25</v>
      </c>
      <c r="Z246" s="21" t="n">
        <f aca="false">MAX(0,W246-Y246)</f>
        <v>975</v>
      </c>
      <c r="AA246" s="21" t="n">
        <f aca="false">MIN(F246,Z246)</f>
        <v>3</v>
      </c>
      <c r="AB246" s="21"/>
      <c r="AC246" s="21" t="str">
        <f aca="false">IF(AB246="","",IF(AB246&gt;AA246,"PASS",IF(AB246&lt;=AA246*0.85,"BID","ATTENZIONE")))</f>
        <v/>
      </c>
      <c r="AD246" s="31" t="n">
        <f aca="false">IF(I246="","",ROUND(100*(1-EXP(-I246/30)),0))</f>
        <v>45</v>
      </c>
      <c r="AE246" s="7" t="str">
        <f aca="false">IFERROR(INDEX('Stato Asta'!$G$9:$G$12,MATCH($B246,'Stato Asta'!$A$9:$A$12,0)),"")</f>
        <v>🟡 Attesa rischiosa</v>
      </c>
    </row>
    <row r="247" customFormat="false" ht="14.25" hidden="false" customHeight="true" outlineLevel="0" collapsed="false">
      <c r="A247" s="21" t="n">
        <v>5678</v>
      </c>
      <c r="B247" s="21" t="s">
        <v>44</v>
      </c>
      <c r="C247" s="21" t="s">
        <v>264</v>
      </c>
      <c r="E247" s="26" t="str">
        <f aca="false">IF(COUNTIF('Info Strategia'!$D$2:$D$51,$C247)&gt;0,"SI","NO")</f>
        <v>NO</v>
      </c>
      <c r="F247" s="27" t="n">
        <f aca="false">IFERROR(ROUND(($G247+($H247-$G247)*'Info Strategia'!$B$6)*(1+IF($E247="SI",'Parametri Modello'!$B$7*'Info Strategia'!$B$6,0)),0),"")</f>
        <v>3</v>
      </c>
      <c r="G247" s="27" t="n">
        <f aca="false">IFERROR(ROUND(MAX(1,(IF($V247&lt;=INDEX('Parametri Modello'!$C$57:$C$60,MATCH($B247,'Parametri Modello'!$A$57:$A$60,0)),IF(INDEX('Parametri Modello'!$E$57:$E$60,MATCH($B247,'Parametri Modello'!$A$57:$A$60,0))=0,0,($O247/INDEX('Parametri Modello'!$E$57:$E$60,MATCH($B247,'Parametri Modello'!$A$57:$A$60,0)))*(INDEX('Parametri Modello'!$D$57:$D$60,MATCH($B247,'Parametri Modello'!$A$57:$A$60,0))*(INDEX('Parametri Modello'!$B$50:$B$53,MATCH($B247,'Parametri Modello'!$A$50:$A$53,0))*'Parametri Modello'!$B$44))),IF(INDEX('Parametri Modello'!$F$57:$F$60,MATCH($B247,'Parametri Modello'!$A$57:$A$60,0))=0,0,($O247/INDEX('Parametri Modello'!$F$57:$F$60,MATCH($B247,'Parametri Modello'!$A$57:$A$60,0)))*((1-INDEX('Parametri Modello'!$D$57:$D$60,MATCH($B247,'Parametri Modello'!$A$57:$A$60,0)))*(INDEX('Parametri Modello'!$B$50:$B$53,MATCH($B247,'Parametri Modello'!$A$50:$A$53,0))*'Parametri Modello'!$B$44))))*(1+IF(IF($B247="D",'Info Lega'!$B$25,IF($B247="C",'Info Lega'!$B$26,"No"))="Si",'Parametri Modello'!$B$5,0))*(1+MAX(-0.25,MIN(0.25,IF(OR($T247="",$I247="",$I247=0,INDEX('Parametri Modello'!$B$19:$B$22,MATCH($B247,'Parametri Modello'!$A$19:$A$22,0))="",INDEX('Parametri Modello'!$B$19:$B$22,MATCH($B247,'Parametri Modello'!$A$19:$A$22,0))=0),0,(($T247-INDEX('Parametri Modello'!$B$19:$B$22,MATCH($B247,'Parametri Modello'!$A$19:$A$22,0)))/INDEX('Parametri Modello'!$B$19:$B$22,MATCH($B247,'Parametri Modello'!$A$19:$A$22,0)))*'Parametri Modello'!$B$9))))*(1+IF('Parametri Modello'!$B$27="Si",MAX(-'Parametri Modello'!$B$28,MIN('Parametri Modello'!$B$28*1.5,IF(OR(INDEX('Parametri Modello'!$F$32:$F$35,MATCH($B247,'Parametri Modello'!$A$32:$A$35,0))="",INDEX('Parametri Modello'!$F$32:$F$35,MATCH($B247,'Parametri Modello'!$A$32:$A$35,0))=0),0,(1/INDEX('Parametri Modello'!$F$32:$F$35,MATCH($B247,'Parametri Modello'!$A$32:$A$35,0))-1)*'Parametri Modello'!$B$28))),0)))*(1-INDEX('Parametri Modello'!$B$12:$B$15,MATCH($B247,'Parametri Modello'!$A$12:$A$15,0)))),0),"")</f>
        <v>2</v>
      </c>
      <c r="H247" s="27" t="n">
        <f aca="false">IFERROR(ROUND((IF($V247&lt;=INDEX('Parametri Modello'!$C$57:$C$60,MATCH($B247,'Parametri Modello'!$A$57:$A$60,0)),IF(INDEX('Parametri Modello'!$E$57:$E$60,MATCH($B247,'Parametri Modello'!$A$57:$A$60,0))=0,0,($O247/INDEX('Parametri Modello'!$E$57:$E$60,MATCH($B247,'Parametri Modello'!$A$57:$A$60,0)))*(INDEX('Parametri Modello'!$D$57:$D$60,MATCH($B247,'Parametri Modello'!$A$57:$A$60,0))*(INDEX('Parametri Modello'!$B$50:$B$53,MATCH($B247,'Parametri Modello'!$A$50:$A$53,0))*'Parametri Modello'!$B$44))),IF(INDEX('Parametri Modello'!$F$57:$F$60,MATCH($B247,'Parametri Modello'!$A$57:$A$60,0))=0,0,($O247/INDEX('Parametri Modello'!$F$57:$F$60,MATCH($B247,'Parametri Modello'!$A$57:$A$60,0)))*((1-INDEX('Parametri Modello'!$D$57:$D$60,MATCH($B247,'Parametri Modello'!$A$57:$A$60,0)))*(INDEX('Parametri Modello'!$B$50:$B$53,MATCH($B247,'Parametri Modello'!$A$50:$A$53,0))*'Parametri Modello'!$B$44))))*(1+IF(IF($B247="D",'Info Lega'!$B$25,IF($B247="C",'Info Lega'!$B$26,"No"))="Si",'Parametri Modello'!$B$5,0))*(1+MAX(-0.25,MIN(0.25,IF(OR($T247="",$I247="",$I247=0,INDEX('Parametri Modello'!$B$19:$B$22,MATCH($B247,'Parametri Modello'!$A$19:$A$22,0))="",INDEX('Parametri Modello'!$B$19:$B$22,MATCH($B247,'Parametri Modello'!$A$19:$A$22,0))=0),0,(($T247-INDEX('Parametri Modello'!$B$19:$B$22,MATCH($B247,'Parametri Modello'!$A$19:$A$22,0)))/INDEX('Parametri Modello'!$B$19:$B$22,MATCH($B247,'Parametri Modello'!$A$19:$A$22,0)))*'Parametri Modello'!$B$9))))*(1+IF('Parametri Modello'!$B$27="Si",MAX(-'Parametri Modello'!$B$28,MIN('Parametri Modello'!$B$28*1.5,IF(OR(INDEX('Parametri Modello'!$F$32:$F$35,MATCH($B247,'Parametri Modello'!$A$32:$A$35,0))="",INDEX('Parametri Modello'!$F$32:$F$35,MATCH($B247,'Parametri Modello'!$A$32:$A$35,0))=0),0,(1/INDEX('Parametri Modello'!$F$32:$F$35,MATCH($B247,'Parametri Modello'!$A$32:$A$35,0))-1)*'Parametri Modello'!$B$28))),0)))*(1+INDEX('Parametri Modello'!$B$12:$B$15,MATCH($B247,'Parametri Modello'!$A$12:$A$15,0))),0),"")</f>
        <v>3</v>
      </c>
      <c r="I247" s="26" t="n">
        <f aca="false">IFERROR(INDEX('Input Statistiche 2025_26'!$F$3:$F$665,MATCH($A247,'Input Statistiche 2025_26'!$A$3:$A$665,0)),"")</f>
        <v>16</v>
      </c>
      <c r="J247" s="26" t="n">
        <f aca="false">IFERROR(IF($I247="","",MAX(0,38-$I247)),"")</f>
        <v>22</v>
      </c>
      <c r="K247" s="26" t="n">
        <f aca="false">IFERROR(INDEX('Input Statistiche 2025_26'!$I$3:$I$665,MATCH($A247,'Input Statistiche 2025_26'!$A$3:$A$665,0)),"")</f>
        <v>1</v>
      </c>
      <c r="L247" s="26" t="n">
        <f aca="false">IFERROR(INDEX('Input Statistiche 2025_26'!$O$3:$O$665,MATCH($A247,'Input Statistiche 2025_26'!$A$3:$A$665,0)),"")</f>
        <v>4</v>
      </c>
      <c r="M247" s="28"/>
      <c r="N247" s="27" t="n">
        <f aca="false">IFERROR(INDEX('Input Giocatori 2026_27'!$E$3:$E$493,MATCH($A247,'Input Giocatori 2026_27'!$A$3:$A$493,0)),"")</f>
        <v>5</v>
      </c>
      <c r="O247" s="27" t="n">
        <f aca="false">IFERROR(INDEX('Input Giocatori 2026_27'!$G$3:$G$493,MATCH($A247,'Input Giocatori 2026_27'!$A$3:$A$493,0)),"")</f>
        <v>13</v>
      </c>
      <c r="P247" s="26" t="str">
        <f aca="false">IFERROR(IF($O247="","",IF((1-(COUNTIFS($B$2:$B$492,$B247,$O$2:$O$492,"&gt;"&amp;$O247)+1-1)/COUNTIF($B$2:$B$492,$B247))&gt;=0.85,"Top",IF((1-(COUNTIFS($B$2:$B$492,$B247,$O$2:$O$492,"&gt;"&amp;$O247)+1-1)/COUNTIF($B$2:$B$492,$B247))&gt;=0.6,"Buono",IF((1-(COUNTIFS($B$2:$B$492,$B247,$O$2:$O$492,"&gt;"&amp;$O247)+1-1)/COUNTIF($B$2:$B$492,$B247))&gt;=0.3,"Nella Media","Scommessa/Riserva")))),"")</f>
        <v>Buono</v>
      </c>
      <c r="Q247" s="29" t="n">
        <f aca="false">IF($D247="",COUNTIF($D$2:$D247,""),"")</f>
        <v>246</v>
      </c>
      <c r="R247" s="29" t="str">
        <f aca="false">IF($D247='Info Lega'!$B$28,COUNTIFS($D$2:$D247,'Info Lega'!$B$28),"")</f>
        <v/>
      </c>
      <c r="S247" s="30" t="n">
        <f aca="false">IFERROR(INDEX('Input Statistiche 2025_26'!$G$3:$G$665,MATCH($A247,'Input Statistiche 2025_26'!$A$3:$A$665,0)),"")</f>
        <v>6.09</v>
      </c>
      <c r="T247" s="30" t="n">
        <f aca="false">IFERROR(INDEX('Input Statistiche 2025_26'!$H$3:$H$665,MATCH($A247,'Input Statistiche 2025_26'!$A$3:$A$665,0)),"")</f>
        <v>6.44</v>
      </c>
      <c r="U247" s="26" t="str">
        <f aca="false">IF(OR('La Mia Rosa'!$O$12="",$D247&lt;&gt;""),"",IF($F247&lt;='La Mia Rosa'!$O$12*'Parametri Modello'!$B$24,"OK",IF($F247&lt;='La Mia Rosa'!$O$12*'Parametri Modello'!$B$25,"Attenzione","Rischio Alto")))</f>
        <v>OK</v>
      </c>
      <c r="V247" s="26" t="n">
        <f aca="false">IFERROR(COUNTIFS($B$2:$B$492,$B247,$O$2:$O$492,"&gt;"&amp;$O247)+1,"")</f>
        <v>69</v>
      </c>
      <c r="W247" s="21" t="n">
        <f aca="false">'Info Lega'!$B$4-SUMIFS($M$2:$M$492,$D$2:$D$492,'Info Lega'!$B$28)</f>
        <v>1000</v>
      </c>
      <c r="X247" s="21" t="n">
        <f aca="false">('Info Lega'!$B$5-COUNTIFS($D$2:$D$492,'Info Lega'!$B$28,$B$2:$B$492,"P"))+('Info Lega'!$B$6-COUNTIFS($D$2:$D$492,'Info Lega'!$B$28,$B$2:$B$492,"D"))+('Info Lega'!$B$7-COUNTIFS($D$2:$D$492,'Info Lega'!$B$28,$B$2:$B$492,"C"))+('Info Lega'!$B$8-COUNTIFS($D$2:$D$492,'Info Lega'!$B$28,$B$2:$B$492,"A"))</f>
        <v>25</v>
      </c>
      <c r="Y247" s="21" t="n">
        <f aca="false">X247*'Parametri Modello'!$B$30</f>
        <v>25</v>
      </c>
      <c r="Z247" s="21" t="n">
        <f aca="false">MAX(0,W247-Y247)</f>
        <v>975</v>
      </c>
      <c r="AA247" s="21" t="n">
        <f aca="false">MIN(F247,Z247)</f>
        <v>3</v>
      </c>
      <c r="AB247" s="21"/>
      <c r="AC247" s="21" t="str">
        <f aca="false">IF(AB247="","",IF(AB247&gt;AA247,"PASS",IF(AB247&lt;=AA247*0.85,"BID","ATTENZIONE")))</f>
        <v/>
      </c>
      <c r="AD247" s="31" t="n">
        <f aca="false">IF(I247="","",ROUND(100*(1-EXP(-I247/30)),0))</f>
        <v>41</v>
      </c>
      <c r="AE247" s="7" t="str">
        <f aca="false">IFERROR(INDEX('Stato Asta'!$G$9:$G$12,MATCH($B247,'Stato Asta'!$A$9:$A$12,0)),"")</f>
        <v>🟡 Attesa rischiosa</v>
      </c>
    </row>
    <row r="248" customFormat="false" ht="14.25" hidden="false" customHeight="true" outlineLevel="0" collapsed="false">
      <c r="A248" s="21" t="n">
        <v>6893</v>
      </c>
      <c r="B248" s="21" t="s">
        <v>44</v>
      </c>
      <c r="C248" s="21" t="s">
        <v>267</v>
      </c>
      <c r="E248" s="26" t="str">
        <f aca="false">IF(COUNTIF('Info Strategia'!$D$2:$D$51,$C248)&gt;0,"SI","NO")</f>
        <v>NO</v>
      </c>
      <c r="F248" s="27" t="n">
        <f aca="false">IFERROR(ROUND(($G248+($H248-$G248)*'Info Strategia'!$B$6)*(1+IF($E248="SI",'Parametri Modello'!$B$7*'Info Strategia'!$B$6,0)),0),"")</f>
        <v>3</v>
      </c>
      <c r="G248" s="27" t="n">
        <f aca="false">IFERROR(ROUND(MAX(1,(IF($V248&lt;=INDEX('Parametri Modello'!$C$57:$C$60,MATCH($B248,'Parametri Modello'!$A$57:$A$60,0)),IF(INDEX('Parametri Modello'!$E$57:$E$60,MATCH($B248,'Parametri Modello'!$A$57:$A$60,0))=0,0,($O248/INDEX('Parametri Modello'!$E$57:$E$60,MATCH($B248,'Parametri Modello'!$A$57:$A$60,0)))*(INDEX('Parametri Modello'!$D$57:$D$60,MATCH($B248,'Parametri Modello'!$A$57:$A$60,0))*(INDEX('Parametri Modello'!$B$50:$B$53,MATCH($B248,'Parametri Modello'!$A$50:$A$53,0))*'Parametri Modello'!$B$44))),IF(INDEX('Parametri Modello'!$F$57:$F$60,MATCH($B248,'Parametri Modello'!$A$57:$A$60,0))=0,0,($O248/INDEX('Parametri Modello'!$F$57:$F$60,MATCH($B248,'Parametri Modello'!$A$57:$A$60,0)))*((1-INDEX('Parametri Modello'!$D$57:$D$60,MATCH($B248,'Parametri Modello'!$A$57:$A$60,0)))*(INDEX('Parametri Modello'!$B$50:$B$53,MATCH($B248,'Parametri Modello'!$A$50:$A$53,0))*'Parametri Modello'!$B$44))))*(1+IF(IF($B248="D",'Info Lega'!$B$25,IF($B248="C",'Info Lega'!$B$26,"No"))="Si",'Parametri Modello'!$B$5,0))*(1+MAX(-0.25,MIN(0.25,IF(OR($T248="",$I248="",$I248=0,INDEX('Parametri Modello'!$B$19:$B$22,MATCH($B248,'Parametri Modello'!$A$19:$A$22,0))="",INDEX('Parametri Modello'!$B$19:$B$22,MATCH($B248,'Parametri Modello'!$A$19:$A$22,0))=0),0,(($T248-INDEX('Parametri Modello'!$B$19:$B$22,MATCH($B248,'Parametri Modello'!$A$19:$A$22,0)))/INDEX('Parametri Modello'!$B$19:$B$22,MATCH($B248,'Parametri Modello'!$A$19:$A$22,0)))*'Parametri Modello'!$B$9))))*(1+IF('Parametri Modello'!$B$27="Si",MAX(-'Parametri Modello'!$B$28,MIN('Parametri Modello'!$B$28*1.5,IF(OR(INDEX('Parametri Modello'!$F$32:$F$35,MATCH($B248,'Parametri Modello'!$A$32:$A$35,0))="",INDEX('Parametri Modello'!$F$32:$F$35,MATCH($B248,'Parametri Modello'!$A$32:$A$35,0))=0),0,(1/INDEX('Parametri Modello'!$F$32:$F$35,MATCH($B248,'Parametri Modello'!$A$32:$A$35,0))-1)*'Parametri Modello'!$B$28))),0)))*(1-INDEX('Parametri Modello'!$B$12:$B$15,MATCH($B248,'Parametri Modello'!$A$12:$A$15,0)))),0),"")</f>
        <v>2</v>
      </c>
      <c r="H248" s="27" t="n">
        <f aca="false">IFERROR(ROUND((IF($V248&lt;=INDEX('Parametri Modello'!$C$57:$C$60,MATCH($B248,'Parametri Modello'!$A$57:$A$60,0)),IF(INDEX('Parametri Modello'!$E$57:$E$60,MATCH($B248,'Parametri Modello'!$A$57:$A$60,0))=0,0,($O248/INDEX('Parametri Modello'!$E$57:$E$60,MATCH($B248,'Parametri Modello'!$A$57:$A$60,0)))*(INDEX('Parametri Modello'!$D$57:$D$60,MATCH($B248,'Parametri Modello'!$A$57:$A$60,0))*(INDEX('Parametri Modello'!$B$50:$B$53,MATCH($B248,'Parametri Modello'!$A$50:$A$53,0))*'Parametri Modello'!$B$44))),IF(INDEX('Parametri Modello'!$F$57:$F$60,MATCH($B248,'Parametri Modello'!$A$57:$A$60,0))=0,0,($O248/INDEX('Parametri Modello'!$F$57:$F$60,MATCH($B248,'Parametri Modello'!$A$57:$A$60,0)))*((1-INDEX('Parametri Modello'!$D$57:$D$60,MATCH($B248,'Parametri Modello'!$A$57:$A$60,0)))*(INDEX('Parametri Modello'!$B$50:$B$53,MATCH($B248,'Parametri Modello'!$A$50:$A$53,0))*'Parametri Modello'!$B$44))))*(1+IF(IF($B248="D",'Info Lega'!$B$25,IF($B248="C",'Info Lega'!$B$26,"No"))="Si",'Parametri Modello'!$B$5,0))*(1+MAX(-0.25,MIN(0.25,IF(OR($T248="",$I248="",$I248=0,INDEX('Parametri Modello'!$B$19:$B$22,MATCH($B248,'Parametri Modello'!$A$19:$A$22,0))="",INDEX('Parametri Modello'!$B$19:$B$22,MATCH($B248,'Parametri Modello'!$A$19:$A$22,0))=0),0,(($T248-INDEX('Parametri Modello'!$B$19:$B$22,MATCH($B248,'Parametri Modello'!$A$19:$A$22,0)))/INDEX('Parametri Modello'!$B$19:$B$22,MATCH($B248,'Parametri Modello'!$A$19:$A$22,0)))*'Parametri Modello'!$B$9))))*(1+IF('Parametri Modello'!$B$27="Si",MAX(-'Parametri Modello'!$B$28,MIN('Parametri Modello'!$B$28*1.5,IF(OR(INDEX('Parametri Modello'!$F$32:$F$35,MATCH($B248,'Parametri Modello'!$A$32:$A$35,0))="",INDEX('Parametri Modello'!$F$32:$F$35,MATCH($B248,'Parametri Modello'!$A$32:$A$35,0))=0),0,(1/INDEX('Parametri Modello'!$F$32:$F$35,MATCH($B248,'Parametri Modello'!$A$32:$A$35,0))-1)*'Parametri Modello'!$B$28))),0)))*(1+INDEX('Parametri Modello'!$B$12:$B$15,MATCH($B248,'Parametri Modello'!$A$12:$A$15,0))),0),"")</f>
        <v>3</v>
      </c>
      <c r="I248" s="26" t="n">
        <f aca="false">IFERROR(INDEX('Input Statistiche 2025_26'!$F$3:$F$665,MATCH($A248,'Input Statistiche 2025_26'!$A$3:$A$665,0)),"")</f>
        <v>29</v>
      </c>
      <c r="J248" s="26" t="n">
        <f aca="false">IFERROR(IF($I248="","",MAX(0,38-$I248)),"")</f>
        <v>9</v>
      </c>
      <c r="K248" s="26" t="n">
        <f aca="false">IFERROR(INDEX('Input Statistiche 2025_26'!$I$3:$I$665,MATCH($A248,'Input Statistiche 2025_26'!$A$3:$A$665,0)),"")</f>
        <v>4</v>
      </c>
      <c r="L248" s="26" t="n">
        <f aca="false">IFERROR(INDEX('Input Statistiche 2025_26'!$O$3:$O$665,MATCH($A248,'Input Statistiche 2025_26'!$A$3:$A$665,0)),"")</f>
        <v>1</v>
      </c>
      <c r="M248" s="28"/>
      <c r="N248" s="27" t="n">
        <f aca="false">IFERROR(INDEX('Input Giocatori 2026_27'!$E$3:$E$493,MATCH($A248,'Input Giocatori 2026_27'!$A$3:$A$493,0)),"")</f>
        <v>5</v>
      </c>
      <c r="O248" s="27" t="n">
        <f aca="false">IFERROR(INDEX('Input Giocatori 2026_27'!$G$3:$G$493,MATCH($A248,'Input Giocatori 2026_27'!$A$3:$A$493,0)),"")</f>
        <v>13</v>
      </c>
      <c r="P248" s="26" t="str">
        <f aca="false">IFERROR(IF($O248="","",IF((1-(COUNTIFS($B$2:$B$492,$B248,$O$2:$O$492,"&gt;"&amp;$O248)+1-1)/COUNTIF($B$2:$B$492,$B248))&gt;=0.85,"Top",IF((1-(COUNTIFS($B$2:$B$492,$B248,$O$2:$O$492,"&gt;"&amp;$O248)+1-1)/COUNTIF($B$2:$B$492,$B248))&gt;=0.6,"Buono",IF((1-(COUNTIFS($B$2:$B$492,$B248,$O$2:$O$492,"&gt;"&amp;$O248)+1-1)/COUNTIF($B$2:$B$492,$B248))&gt;=0.3,"Nella Media","Scommessa/Riserva")))),"")</f>
        <v>Buono</v>
      </c>
      <c r="Q248" s="29" t="n">
        <f aca="false">IF($D248="",COUNTIF($D$2:$D248,""),"")</f>
        <v>247</v>
      </c>
      <c r="R248" s="29" t="str">
        <f aca="false">IF($D248='Info Lega'!$B$28,COUNTIFS($D$2:$D248,'Info Lega'!$B$28),"")</f>
        <v/>
      </c>
      <c r="S248" s="30" t="n">
        <f aca="false">IFERROR(INDEX('Input Statistiche 2025_26'!$G$3:$G$665,MATCH($A248,'Input Statistiche 2025_26'!$A$3:$A$665,0)),"")</f>
        <v>6.12</v>
      </c>
      <c r="T248" s="30" t="n">
        <f aca="false">IFERROR(INDEX('Input Statistiche 2025_26'!$H$3:$H$665,MATCH($A248,'Input Statistiche 2025_26'!$A$3:$A$665,0)),"")</f>
        <v>6.52</v>
      </c>
      <c r="U248" s="26" t="str">
        <f aca="false">IF(OR('La Mia Rosa'!$O$12="",$D248&lt;&gt;""),"",IF($F248&lt;='La Mia Rosa'!$O$12*'Parametri Modello'!$B$24,"OK",IF($F248&lt;='La Mia Rosa'!$O$12*'Parametri Modello'!$B$25,"Attenzione","Rischio Alto")))</f>
        <v>OK</v>
      </c>
      <c r="V248" s="26" t="n">
        <f aca="false">IFERROR(COUNTIFS($B$2:$B$492,$B248,$O$2:$O$492,"&gt;"&amp;$O248)+1,"")</f>
        <v>69</v>
      </c>
      <c r="W248" s="21" t="n">
        <f aca="false">'Info Lega'!$B$4-SUMIFS($M$2:$M$492,$D$2:$D$492,'Info Lega'!$B$28)</f>
        <v>1000</v>
      </c>
      <c r="X248" s="21" t="n">
        <f aca="false">('Info Lega'!$B$5-COUNTIFS($D$2:$D$492,'Info Lega'!$B$28,$B$2:$B$492,"P"))+('Info Lega'!$B$6-COUNTIFS($D$2:$D$492,'Info Lega'!$B$28,$B$2:$B$492,"D"))+('Info Lega'!$B$7-COUNTIFS($D$2:$D$492,'Info Lega'!$B$28,$B$2:$B$492,"C"))+('Info Lega'!$B$8-COUNTIFS($D$2:$D$492,'Info Lega'!$B$28,$B$2:$B$492,"A"))</f>
        <v>25</v>
      </c>
      <c r="Y248" s="21" t="n">
        <f aca="false">X248*'Parametri Modello'!$B$30</f>
        <v>25</v>
      </c>
      <c r="Z248" s="21" t="n">
        <f aca="false">MAX(0,W248-Y248)</f>
        <v>975</v>
      </c>
      <c r="AA248" s="21" t="n">
        <f aca="false">MIN(F248,Z248)</f>
        <v>3</v>
      </c>
      <c r="AB248" s="21"/>
      <c r="AC248" s="21" t="str">
        <f aca="false">IF(AB248="","",IF(AB248&gt;AA248,"PASS",IF(AB248&lt;=AA248*0.85,"BID","ATTENZIONE")))</f>
        <v/>
      </c>
      <c r="AD248" s="31" t="n">
        <f aca="false">IF(I248="","",ROUND(100*(1-EXP(-I248/30)),0))</f>
        <v>62</v>
      </c>
      <c r="AE248" s="7" t="str">
        <f aca="false">IFERROR(INDEX('Stato Asta'!$G$9:$G$12,MATCH($B248,'Stato Asta'!$A$9:$A$12,0)),"")</f>
        <v>🟡 Attesa rischiosa</v>
      </c>
    </row>
    <row r="249" customFormat="false" ht="14.25" hidden="false" customHeight="true" outlineLevel="0" collapsed="false">
      <c r="A249" s="21" t="n">
        <v>6766</v>
      </c>
      <c r="B249" s="21" t="s">
        <v>44</v>
      </c>
      <c r="C249" s="21" t="s">
        <v>272</v>
      </c>
      <c r="E249" s="26" t="str">
        <f aca="false">IF(COUNTIF('Info Strategia'!$D$2:$D$51,$C249)&gt;0,"SI","NO")</f>
        <v>NO</v>
      </c>
      <c r="F249" s="27" t="n">
        <f aca="false">IFERROR(ROUND(($G249+($H249-$G249)*'Info Strategia'!$B$6)*(1+IF($E249="SI",'Parametri Modello'!$B$7*'Info Strategia'!$B$6,0)),0),"")</f>
        <v>3</v>
      </c>
      <c r="G249" s="27" t="n">
        <f aca="false">IFERROR(ROUND(MAX(1,(IF($V249&lt;=INDEX('Parametri Modello'!$C$57:$C$60,MATCH($B249,'Parametri Modello'!$A$57:$A$60,0)),IF(INDEX('Parametri Modello'!$E$57:$E$60,MATCH($B249,'Parametri Modello'!$A$57:$A$60,0))=0,0,($O249/INDEX('Parametri Modello'!$E$57:$E$60,MATCH($B249,'Parametri Modello'!$A$57:$A$60,0)))*(INDEX('Parametri Modello'!$D$57:$D$60,MATCH($B249,'Parametri Modello'!$A$57:$A$60,0))*(INDEX('Parametri Modello'!$B$50:$B$53,MATCH($B249,'Parametri Modello'!$A$50:$A$53,0))*'Parametri Modello'!$B$44))),IF(INDEX('Parametri Modello'!$F$57:$F$60,MATCH($B249,'Parametri Modello'!$A$57:$A$60,0))=0,0,($O249/INDEX('Parametri Modello'!$F$57:$F$60,MATCH($B249,'Parametri Modello'!$A$57:$A$60,0)))*((1-INDEX('Parametri Modello'!$D$57:$D$60,MATCH($B249,'Parametri Modello'!$A$57:$A$60,0)))*(INDEX('Parametri Modello'!$B$50:$B$53,MATCH($B249,'Parametri Modello'!$A$50:$A$53,0))*'Parametri Modello'!$B$44))))*(1+IF(IF($B249="D",'Info Lega'!$B$25,IF($B249="C",'Info Lega'!$B$26,"No"))="Si",'Parametri Modello'!$B$5,0))*(1+MAX(-0.25,MIN(0.25,IF(OR($T249="",$I249="",$I249=0,INDEX('Parametri Modello'!$B$19:$B$22,MATCH($B249,'Parametri Modello'!$A$19:$A$22,0))="",INDEX('Parametri Modello'!$B$19:$B$22,MATCH($B249,'Parametri Modello'!$A$19:$A$22,0))=0),0,(($T249-INDEX('Parametri Modello'!$B$19:$B$22,MATCH($B249,'Parametri Modello'!$A$19:$A$22,0)))/INDEX('Parametri Modello'!$B$19:$B$22,MATCH($B249,'Parametri Modello'!$A$19:$A$22,0)))*'Parametri Modello'!$B$9))))*(1+IF('Parametri Modello'!$B$27="Si",MAX(-'Parametri Modello'!$B$28,MIN('Parametri Modello'!$B$28*1.5,IF(OR(INDEX('Parametri Modello'!$F$32:$F$35,MATCH($B249,'Parametri Modello'!$A$32:$A$35,0))="",INDEX('Parametri Modello'!$F$32:$F$35,MATCH($B249,'Parametri Modello'!$A$32:$A$35,0))=0),0,(1/INDEX('Parametri Modello'!$F$32:$F$35,MATCH($B249,'Parametri Modello'!$A$32:$A$35,0))-1)*'Parametri Modello'!$B$28))),0)))*(1-INDEX('Parametri Modello'!$B$12:$B$15,MATCH($B249,'Parametri Modello'!$A$12:$A$15,0)))),0),"")</f>
        <v>2</v>
      </c>
      <c r="H249" s="27" t="n">
        <f aca="false">IFERROR(ROUND((IF($V249&lt;=INDEX('Parametri Modello'!$C$57:$C$60,MATCH($B249,'Parametri Modello'!$A$57:$A$60,0)),IF(INDEX('Parametri Modello'!$E$57:$E$60,MATCH($B249,'Parametri Modello'!$A$57:$A$60,0))=0,0,($O249/INDEX('Parametri Modello'!$E$57:$E$60,MATCH($B249,'Parametri Modello'!$A$57:$A$60,0)))*(INDEX('Parametri Modello'!$D$57:$D$60,MATCH($B249,'Parametri Modello'!$A$57:$A$60,0))*(INDEX('Parametri Modello'!$B$50:$B$53,MATCH($B249,'Parametri Modello'!$A$50:$A$53,0))*'Parametri Modello'!$B$44))),IF(INDEX('Parametri Modello'!$F$57:$F$60,MATCH($B249,'Parametri Modello'!$A$57:$A$60,0))=0,0,($O249/INDEX('Parametri Modello'!$F$57:$F$60,MATCH($B249,'Parametri Modello'!$A$57:$A$60,0)))*((1-INDEX('Parametri Modello'!$D$57:$D$60,MATCH($B249,'Parametri Modello'!$A$57:$A$60,0)))*(INDEX('Parametri Modello'!$B$50:$B$53,MATCH($B249,'Parametri Modello'!$A$50:$A$53,0))*'Parametri Modello'!$B$44))))*(1+IF(IF($B249="D",'Info Lega'!$B$25,IF($B249="C",'Info Lega'!$B$26,"No"))="Si",'Parametri Modello'!$B$5,0))*(1+MAX(-0.25,MIN(0.25,IF(OR($T249="",$I249="",$I249=0,INDEX('Parametri Modello'!$B$19:$B$22,MATCH($B249,'Parametri Modello'!$A$19:$A$22,0))="",INDEX('Parametri Modello'!$B$19:$B$22,MATCH($B249,'Parametri Modello'!$A$19:$A$22,0))=0),0,(($T249-INDEX('Parametri Modello'!$B$19:$B$22,MATCH($B249,'Parametri Modello'!$A$19:$A$22,0)))/INDEX('Parametri Modello'!$B$19:$B$22,MATCH($B249,'Parametri Modello'!$A$19:$A$22,0)))*'Parametri Modello'!$B$9))))*(1+IF('Parametri Modello'!$B$27="Si",MAX(-'Parametri Modello'!$B$28,MIN('Parametri Modello'!$B$28*1.5,IF(OR(INDEX('Parametri Modello'!$F$32:$F$35,MATCH($B249,'Parametri Modello'!$A$32:$A$35,0))="",INDEX('Parametri Modello'!$F$32:$F$35,MATCH($B249,'Parametri Modello'!$A$32:$A$35,0))=0),0,(1/INDEX('Parametri Modello'!$F$32:$F$35,MATCH($B249,'Parametri Modello'!$A$32:$A$35,0))-1)*'Parametri Modello'!$B$28))),0)))*(1+INDEX('Parametri Modello'!$B$12:$B$15,MATCH($B249,'Parametri Modello'!$A$12:$A$15,0))),0),"")</f>
        <v>3</v>
      </c>
      <c r="I249" s="26" t="n">
        <f aca="false">IFERROR(INDEX('Input Statistiche 2025_26'!$F$3:$F$665,MATCH($A249,'Input Statistiche 2025_26'!$A$3:$A$665,0)),"")</f>
        <v>35</v>
      </c>
      <c r="J249" s="26" t="n">
        <f aca="false">IFERROR(IF($I249="","",MAX(0,38-$I249)),"")</f>
        <v>3</v>
      </c>
      <c r="K249" s="26" t="n">
        <f aca="false">IFERROR(INDEX('Input Statistiche 2025_26'!$I$3:$I$665,MATCH($A249,'Input Statistiche 2025_26'!$A$3:$A$665,0)),"")</f>
        <v>1</v>
      </c>
      <c r="L249" s="26" t="n">
        <f aca="false">IFERROR(INDEX('Input Statistiche 2025_26'!$O$3:$O$665,MATCH($A249,'Input Statistiche 2025_26'!$A$3:$A$665,0)),"")</f>
        <v>1</v>
      </c>
      <c r="M249" s="28"/>
      <c r="N249" s="27" t="n">
        <f aca="false">IFERROR(INDEX('Input Giocatori 2026_27'!$E$3:$E$493,MATCH($A249,'Input Giocatori 2026_27'!$A$3:$A$493,0)),"")</f>
        <v>5</v>
      </c>
      <c r="O249" s="27" t="n">
        <f aca="false">IFERROR(INDEX('Input Giocatori 2026_27'!$G$3:$G$493,MATCH($A249,'Input Giocatori 2026_27'!$A$3:$A$493,0)),"")</f>
        <v>13</v>
      </c>
      <c r="P249" s="26" t="str">
        <f aca="false">IFERROR(IF($O249="","",IF((1-(COUNTIFS($B$2:$B$492,$B249,$O$2:$O$492,"&gt;"&amp;$O249)+1-1)/COUNTIF($B$2:$B$492,$B249))&gt;=0.85,"Top",IF((1-(COUNTIFS($B$2:$B$492,$B249,$O$2:$O$492,"&gt;"&amp;$O249)+1-1)/COUNTIF($B$2:$B$492,$B249))&gt;=0.6,"Buono",IF((1-(COUNTIFS($B$2:$B$492,$B249,$O$2:$O$492,"&gt;"&amp;$O249)+1-1)/COUNTIF($B$2:$B$492,$B249))&gt;=0.3,"Nella Media","Scommessa/Riserva")))),"")</f>
        <v>Buono</v>
      </c>
      <c r="Q249" s="29" t="n">
        <f aca="false">IF($D249="",COUNTIF($D$2:$D249,""),"")</f>
        <v>248</v>
      </c>
      <c r="R249" s="29" t="str">
        <f aca="false">IF($D249='Info Lega'!$B$28,COUNTIFS($D$2:$D249,'Info Lega'!$B$28),"")</f>
        <v/>
      </c>
      <c r="S249" s="30" t="n">
        <f aca="false">IFERROR(INDEX('Input Statistiche 2025_26'!$G$3:$G$665,MATCH($A249,'Input Statistiche 2025_26'!$A$3:$A$665,0)),"")</f>
        <v>6.01</v>
      </c>
      <c r="T249" s="30" t="n">
        <f aca="false">IFERROR(INDEX('Input Statistiche 2025_26'!$H$3:$H$665,MATCH($A249,'Input Statistiche 2025_26'!$A$3:$A$665,0)),"")</f>
        <v>6.07</v>
      </c>
      <c r="U249" s="26" t="str">
        <f aca="false">IF(OR('La Mia Rosa'!$O$12="",$D249&lt;&gt;""),"",IF($F249&lt;='La Mia Rosa'!$O$12*'Parametri Modello'!$B$24,"OK",IF($F249&lt;='La Mia Rosa'!$O$12*'Parametri Modello'!$B$25,"Attenzione","Rischio Alto")))</f>
        <v>OK</v>
      </c>
      <c r="V249" s="26" t="n">
        <f aca="false">IFERROR(COUNTIFS($B$2:$B$492,$B249,$O$2:$O$492,"&gt;"&amp;$O249)+1,"")</f>
        <v>69</v>
      </c>
      <c r="W249" s="21" t="n">
        <f aca="false">'Info Lega'!$B$4-SUMIFS($M$2:$M$492,$D$2:$D$492,'Info Lega'!$B$28)</f>
        <v>1000</v>
      </c>
      <c r="X249" s="21" t="n">
        <f aca="false">('Info Lega'!$B$5-COUNTIFS($D$2:$D$492,'Info Lega'!$B$28,$B$2:$B$492,"P"))+('Info Lega'!$B$6-COUNTIFS($D$2:$D$492,'Info Lega'!$B$28,$B$2:$B$492,"D"))+('Info Lega'!$B$7-COUNTIFS($D$2:$D$492,'Info Lega'!$B$28,$B$2:$B$492,"C"))+('Info Lega'!$B$8-COUNTIFS($D$2:$D$492,'Info Lega'!$B$28,$B$2:$B$492,"A"))</f>
        <v>25</v>
      </c>
      <c r="Y249" s="21" t="n">
        <f aca="false">X249*'Parametri Modello'!$B$30</f>
        <v>25</v>
      </c>
      <c r="Z249" s="21" t="n">
        <f aca="false">MAX(0,W249-Y249)</f>
        <v>975</v>
      </c>
      <c r="AA249" s="21" t="n">
        <f aca="false">MIN(F249,Z249)</f>
        <v>3</v>
      </c>
      <c r="AB249" s="21"/>
      <c r="AC249" s="21" t="str">
        <f aca="false">IF(AB249="","",IF(AB249&gt;AA249,"PASS",IF(AB249&lt;=AA249*0.85,"BID","ATTENZIONE")))</f>
        <v/>
      </c>
      <c r="AD249" s="31" t="n">
        <f aca="false">IF(I249="","",ROUND(100*(1-EXP(-I249/30)),0))</f>
        <v>69</v>
      </c>
      <c r="AE249" s="7" t="str">
        <f aca="false">IFERROR(INDEX('Stato Asta'!$G$9:$G$12,MATCH($B249,'Stato Asta'!$A$9:$A$12,0)),"")</f>
        <v>🟡 Attesa rischiosa</v>
      </c>
    </row>
    <row r="250" customFormat="false" ht="14.25" hidden="false" customHeight="true" outlineLevel="0" collapsed="false">
      <c r="A250" s="21" t="n">
        <v>5840</v>
      </c>
      <c r="B250" s="21" t="s">
        <v>44</v>
      </c>
      <c r="C250" s="21" t="s">
        <v>276</v>
      </c>
      <c r="E250" s="26" t="str">
        <f aca="false">IF(COUNTIF('Info Strategia'!$D$2:$D$51,$C250)&gt;0,"SI","NO")</f>
        <v>NO</v>
      </c>
      <c r="F250" s="27" t="n">
        <f aca="false">IFERROR(ROUND(($G250+($H250-$G250)*'Info Strategia'!$B$6)*(1+IF($E250="SI",'Parametri Modello'!$B$7*'Info Strategia'!$B$6,0)),0),"")</f>
        <v>3</v>
      </c>
      <c r="G250" s="27" t="n">
        <f aca="false">IFERROR(ROUND(MAX(1,(IF($V250&lt;=INDEX('Parametri Modello'!$C$57:$C$60,MATCH($B250,'Parametri Modello'!$A$57:$A$60,0)),IF(INDEX('Parametri Modello'!$E$57:$E$60,MATCH($B250,'Parametri Modello'!$A$57:$A$60,0))=0,0,($O250/INDEX('Parametri Modello'!$E$57:$E$60,MATCH($B250,'Parametri Modello'!$A$57:$A$60,0)))*(INDEX('Parametri Modello'!$D$57:$D$60,MATCH($B250,'Parametri Modello'!$A$57:$A$60,0))*(INDEX('Parametri Modello'!$B$50:$B$53,MATCH($B250,'Parametri Modello'!$A$50:$A$53,0))*'Parametri Modello'!$B$44))),IF(INDEX('Parametri Modello'!$F$57:$F$60,MATCH($B250,'Parametri Modello'!$A$57:$A$60,0))=0,0,($O250/INDEX('Parametri Modello'!$F$57:$F$60,MATCH($B250,'Parametri Modello'!$A$57:$A$60,0)))*((1-INDEX('Parametri Modello'!$D$57:$D$60,MATCH($B250,'Parametri Modello'!$A$57:$A$60,0)))*(INDEX('Parametri Modello'!$B$50:$B$53,MATCH($B250,'Parametri Modello'!$A$50:$A$53,0))*'Parametri Modello'!$B$44))))*(1+IF(IF($B250="D",'Info Lega'!$B$25,IF($B250="C",'Info Lega'!$B$26,"No"))="Si",'Parametri Modello'!$B$5,0))*(1+MAX(-0.25,MIN(0.25,IF(OR($T250="",$I250="",$I250=0,INDEX('Parametri Modello'!$B$19:$B$22,MATCH($B250,'Parametri Modello'!$A$19:$A$22,0))="",INDEX('Parametri Modello'!$B$19:$B$22,MATCH($B250,'Parametri Modello'!$A$19:$A$22,0))=0),0,(($T250-INDEX('Parametri Modello'!$B$19:$B$22,MATCH($B250,'Parametri Modello'!$A$19:$A$22,0)))/INDEX('Parametri Modello'!$B$19:$B$22,MATCH($B250,'Parametri Modello'!$A$19:$A$22,0)))*'Parametri Modello'!$B$9))))*(1+IF('Parametri Modello'!$B$27="Si",MAX(-'Parametri Modello'!$B$28,MIN('Parametri Modello'!$B$28*1.5,IF(OR(INDEX('Parametri Modello'!$F$32:$F$35,MATCH($B250,'Parametri Modello'!$A$32:$A$35,0))="",INDEX('Parametri Modello'!$F$32:$F$35,MATCH($B250,'Parametri Modello'!$A$32:$A$35,0))=0),0,(1/INDEX('Parametri Modello'!$F$32:$F$35,MATCH($B250,'Parametri Modello'!$A$32:$A$35,0))-1)*'Parametri Modello'!$B$28))),0)))*(1-INDEX('Parametri Modello'!$B$12:$B$15,MATCH($B250,'Parametri Modello'!$A$12:$A$15,0)))),0),"")</f>
        <v>2</v>
      </c>
      <c r="H250" s="27" t="n">
        <f aca="false">IFERROR(ROUND((IF($V250&lt;=INDEX('Parametri Modello'!$C$57:$C$60,MATCH($B250,'Parametri Modello'!$A$57:$A$60,0)),IF(INDEX('Parametri Modello'!$E$57:$E$60,MATCH($B250,'Parametri Modello'!$A$57:$A$60,0))=0,0,($O250/INDEX('Parametri Modello'!$E$57:$E$60,MATCH($B250,'Parametri Modello'!$A$57:$A$60,0)))*(INDEX('Parametri Modello'!$D$57:$D$60,MATCH($B250,'Parametri Modello'!$A$57:$A$60,0))*(INDEX('Parametri Modello'!$B$50:$B$53,MATCH($B250,'Parametri Modello'!$A$50:$A$53,0))*'Parametri Modello'!$B$44))),IF(INDEX('Parametri Modello'!$F$57:$F$60,MATCH($B250,'Parametri Modello'!$A$57:$A$60,0))=0,0,($O250/INDEX('Parametri Modello'!$F$57:$F$60,MATCH($B250,'Parametri Modello'!$A$57:$A$60,0)))*((1-INDEX('Parametri Modello'!$D$57:$D$60,MATCH($B250,'Parametri Modello'!$A$57:$A$60,0)))*(INDEX('Parametri Modello'!$B$50:$B$53,MATCH($B250,'Parametri Modello'!$A$50:$A$53,0))*'Parametri Modello'!$B$44))))*(1+IF(IF($B250="D",'Info Lega'!$B$25,IF($B250="C",'Info Lega'!$B$26,"No"))="Si",'Parametri Modello'!$B$5,0))*(1+MAX(-0.25,MIN(0.25,IF(OR($T250="",$I250="",$I250=0,INDEX('Parametri Modello'!$B$19:$B$22,MATCH($B250,'Parametri Modello'!$A$19:$A$22,0))="",INDEX('Parametri Modello'!$B$19:$B$22,MATCH($B250,'Parametri Modello'!$A$19:$A$22,0))=0),0,(($T250-INDEX('Parametri Modello'!$B$19:$B$22,MATCH($B250,'Parametri Modello'!$A$19:$A$22,0)))/INDEX('Parametri Modello'!$B$19:$B$22,MATCH($B250,'Parametri Modello'!$A$19:$A$22,0)))*'Parametri Modello'!$B$9))))*(1+IF('Parametri Modello'!$B$27="Si",MAX(-'Parametri Modello'!$B$28,MIN('Parametri Modello'!$B$28*1.5,IF(OR(INDEX('Parametri Modello'!$F$32:$F$35,MATCH($B250,'Parametri Modello'!$A$32:$A$35,0))="",INDEX('Parametri Modello'!$F$32:$F$35,MATCH($B250,'Parametri Modello'!$A$32:$A$35,0))=0),0,(1/INDEX('Parametri Modello'!$F$32:$F$35,MATCH($B250,'Parametri Modello'!$A$32:$A$35,0))-1)*'Parametri Modello'!$B$28))),0)))*(1+INDEX('Parametri Modello'!$B$12:$B$15,MATCH($B250,'Parametri Modello'!$A$12:$A$15,0))),0),"")</f>
        <v>3</v>
      </c>
      <c r="I250" s="26" t="n">
        <f aca="false">IFERROR(INDEX('Input Statistiche 2025_26'!$F$3:$F$665,MATCH($A250,'Input Statistiche 2025_26'!$A$3:$A$665,0)),"")</f>
        <v>22</v>
      </c>
      <c r="J250" s="26" t="n">
        <f aca="false">IFERROR(IF($I250="","",MAX(0,38-$I250)),"")</f>
        <v>16</v>
      </c>
      <c r="K250" s="26" t="n">
        <f aca="false">IFERROR(INDEX('Input Statistiche 2025_26'!$I$3:$I$665,MATCH($A250,'Input Statistiche 2025_26'!$A$3:$A$665,0)),"")</f>
        <v>0</v>
      </c>
      <c r="L250" s="26" t="n">
        <f aca="false">IFERROR(INDEX('Input Statistiche 2025_26'!$O$3:$O$665,MATCH($A250,'Input Statistiche 2025_26'!$A$3:$A$665,0)),"")</f>
        <v>0</v>
      </c>
      <c r="M250" s="28"/>
      <c r="N250" s="27" t="n">
        <f aca="false">IFERROR(INDEX('Input Giocatori 2026_27'!$E$3:$E$493,MATCH($A250,'Input Giocatori 2026_27'!$A$3:$A$493,0)),"")</f>
        <v>5</v>
      </c>
      <c r="O250" s="27" t="n">
        <f aca="false">IFERROR(INDEX('Input Giocatori 2026_27'!$G$3:$G$493,MATCH($A250,'Input Giocatori 2026_27'!$A$3:$A$493,0)),"")</f>
        <v>13</v>
      </c>
      <c r="P250" s="26" t="str">
        <f aca="false">IFERROR(IF($O250="","",IF((1-(COUNTIFS($B$2:$B$492,$B250,$O$2:$O$492,"&gt;"&amp;$O250)+1-1)/COUNTIF($B$2:$B$492,$B250))&gt;=0.85,"Top",IF((1-(COUNTIFS($B$2:$B$492,$B250,$O$2:$O$492,"&gt;"&amp;$O250)+1-1)/COUNTIF($B$2:$B$492,$B250))&gt;=0.6,"Buono",IF((1-(COUNTIFS($B$2:$B$492,$B250,$O$2:$O$492,"&gt;"&amp;$O250)+1-1)/COUNTIF($B$2:$B$492,$B250))&gt;=0.3,"Nella Media","Scommessa/Riserva")))),"")</f>
        <v>Buono</v>
      </c>
      <c r="Q250" s="29" t="n">
        <f aca="false">IF($D250="",COUNTIF($D$2:$D250,""),"")</f>
        <v>249</v>
      </c>
      <c r="R250" s="29" t="str">
        <f aca="false">IF($D250='Info Lega'!$B$28,COUNTIFS($D$2:$D250,'Info Lega'!$B$28),"")</f>
        <v/>
      </c>
      <c r="S250" s="30" t="n">
        <f aca="false">IFERROR(INDEX('Input Statistiche 2025_26'!$G$3:$G$665,MATCH($A250,'Input Statistiche 2025_26'!$A$3:$A$665,0)),"")</f>
        <v>5.75</v>
      </c>
      <c r="T250" s="30" t="n">
        <f aca="false">IFERROR(INDEX('Input Statistiche 2025_26'!$H$3:$H$665,MATCH($A250,'Input Statistiche 2025_26'!$A$3:$A$665,0)),"")</f>
        <v>5.68</v>
      </c>
      <c r="U250" s="26" t="str">
        <f aca="false">IF(OR('La Mia Rosa'!$O$12="",$D250&lt;&gt;""),"",IF($F250&lt;='La Mia Rosa'!$O$12*'Parametri Modello'!$B$24,"OK",IF($F250&lt;='La Mia Rosa'!$O$12*'Parametri Modello'!$B$25,"Attenzione","Rischio Alto")))</f>
        <v>OK</v>
      </c>
      <c r="V250" s="26" t="n">
        <f aca="false">IFERROR(COUNTIFS($B$2:$B$492,$B250,$O$2:$O$492,"&gt;"&amp;$O250)+1,"")</f>
        <v>69</v>
      </c>
      <c r="W250" s="21" t="n">
        <f aca="false">'Info Lega'!$B$4-SUMIFS($M$2:$M$492,$D$2:$D$492,'Info Lega'!$B$28)</f>
        <v>1000</v>
      </c>
      <c r="X250" s="21" t="n">
        <f aca="false">('Info Lega'!$B$5-COUNTIFS($D$2:$D$492,'Info Lega'!$B$28,$B$2:$B$492,"P"))+('Info Lega'!$B$6-COUNTIFS($D$2:$D$492,'Info Lega'!$B$28,$B$2:$B$492,"D"))+('Info Lega'!$B$7-COUNTIFS($D$2:$D$492,'Info Lega'!$B$28,$B$2:$B$492,"C"))+('Info Lega'!$B$8-COUNTIFS($D$2:$D$492,'Info Lega'!$B$28,$B$2:$B$492,"A"))</f>
        <v>25</v>
      </c>
      <c r="Y250" s="21" t="n">
        <f aca="false">X250*'Parametri Modello'!$B$30</f>
        <v>25</v>
      </c>
      <c r="Z250" s="21" t="n">
        <f aca="false">MAX(0,W250-Y250)</f>
        <v>975</v>
      </c>
      <c r="AA250" s="21" t="n">
        <f aca="false">MIN(F250,Z250)</f>
        <v>3</v>
      </c>
      <c r="AB250" s="21"/>
      <c r="AC250" s="21" t="str">
        <f aca="false">IF(AB250="","",IF(AB250&gt;AA250,"PASS",IF(AB250&lt;=AA250*0.85,"BID","ATTENZIONE")))</f>
        <v/>
      </c>
      <c r="AD250" s="31" t="n">
        <f aca="false">IF(I250="","",ROUND(100*(1-EXP(-I250/30)),0))</f>
        <v>52</v>
      </c>
      <c r="AE250" s="7" t="str">
        <f aca="false">IFERROR(INDEX('Stato Asta'!$G$9:$G$12,MATCH($B250,'Stato Asta'!$A$9:$A$12,0)),"")</f>
        <v>🟡 Attesa rischiosa</v>
      </c>
    </row>
    <row r="251" customFormat="false" ht="14.25" hidden="false" customHeight="true" outlineLevel="0" collapsed="false">
      <c r="A251" s="21" t="n">
        <v>6426</v>
      </c>
      <c r="B251" s="21" t="s">
        <v>44</v>
      </c>
      <c r="C251" s="21" t="s">
        <v>278</v>
      </c>
      <c r="E251" s="26" t="str">
        <f aca="false">IF(COUNTIF('Info Strategia'!$D$2:$D$51,$C251)&gt;0,"SI","NO")</f>
        <v>NO</v>
      </c>
      <c r="F251" s="27" t="n">
        <f aca="false">IFERROR(ROUND(($G251+($H251-$G251)*'Info Strategia'!$B$6)*(1+IF($E251="SI",'Parametri Modello'!$B$7*'Info Strategia'!$B$6,0)),0),"")</f>
        <v>3</v>
      </c>
      <c r="G251" s="27" t="n">
        <f aca="false">IFERROR(ROUND(MAX(1,(IF($V251&lt;=INDEX('Parametri Modello'!$C$57:$C$60,MATCH($B251,'Parametri Modello'!$A$57:$A$60,0)),IF(INDEX('Parametri Modello'!$E$57:$E$60,MATCH($B251,'Parametri Modello'!$A$57:$A$60,0))=0,0,($O251/INDEX('Parametri Modello'!$E$57:$E$60,MATCH($B251,'Parametri Modello'!$A$57:$A$60,0)))*(INDEX('Parametri Modello'!$D$57:$D$60,MATCH($B251,'Parametri Modello'!$A$57:$A$60,0))*(INDEX('Parametri Modello'!$B$50:$B$53,MATCH($B251,'Parametri Modello'!$A$50:$A$53,0))*'Parametri Modello'!$B$44))),IF(INDEX('Parametri Modello'!$F$57:$F$60,MATCH($B251,'Parametri Modello'!$A$57:$A$60,0))=0,0,($O251/INDEX('Parametri Modello'!$F$57:$F$60,MATCH($B251,'Parametri Modello'!$A$57:$A$60,0)))*((1-INDEX('Parametri Modello'!$D$57:$D$60,MATCH($B251,'Parametri Modello'!$A$57:$A$60,0)))*(INDEX('Parametri Modello'!$B$50:$B$53,MATCH($B251,'Parametri Modello'!$A$50:$A$53,0))*'Parametri Modello'!$B$44))))*(1+IF(IF($B251="D",'Info Lega'!$B$25,IF($B251="C",'Info Lega'!$B$26,"No"))="Si",'Parametri Modello'!$B$5,0))*(1+MAX(-0.25,MIN(0.25,IF(OR($T251="",$I251="",$I251=0,INDEX('Parametri Modello'!$B$19:$B$22,MATCH($B251,'Parametri Modello'!$A$19:$A$22,0))="",INDEX('Parametri Modello'!$B$19:$B$22,MATCH($B251,'Parametri Modello'!$A$19:$A$22,0))=0),0,(($T251-INDEX('Parametri Modello'!$B$19:$B$22,MATCH($B251,'Parametri Modello'!$A$19:$A$22,0)))/INDEX('Parametri Modello'!$B$19:$B$22,MATCH($B251,'Parametri Modello'!$A$19:$A$22,0)))*'Parametri Modello'!$B$9))))*(1+IF('Parametri Modello'!$B$27="Si",MAX(-'Parametri Modello'!$B$28,MIN('Parametri Modello'!$B$28*1.5,IF(OR(INDEX('Parametri Modello'!$F$32:$F$35,MATCH($B251,'Parametri Modello'!$A$32:$A$35,0))="",INDEX('Parametri Modello'!$F$32:$F$35,MATCH($B251,'Parametri Modello'!$A$32:$A$35,0))=0),0,(1/INDEX('Parametri Modello'!$F$32:$F$35,MATCH($B251,'Parametri Modello'!$A$32:$A$35,0))-1)*'Parametri Modello'!$B$28))),0)))*(1-INDEX('Parametri Modello'!$B$12:$B$15,MATCH($B251,'Parametri Modello'!$A$12:$A$15,0)))),0),"")</f>
        <v>2</v>
      </c>
      <c r="H251" s="27" t="n">
        <f aca="false">IFERROR(ROUND((IF($V251&lt;=INDEX('Parametri Modello'!$C$57:$C$60,MATCH($B251,'Parametri Modello'!$A$57:$A$60,0)),IF(INDEX('Parametri Modello'!$E$57:$E$60,MATCH($B251,'Parametri Modello'!$A$57:$A$60,0))=0,0,($O251/INDEX('Parametri Modello'!$E$57:$E$60,MATCH($B251,'Parametri Modello'!$A$57:$A$60,0)))*(INDEX('Parametri Modello'!$D$57:$D$60,MATCH($B251,'Parametri Modello'!$A$57:$A$60,0))*(INDEX('Parametri Modello'!$B$50:$B$53,MATCH($B251,'Parametri Modello'!$A$50:$A$53,0))*'Parametri Modello'!$B$44))),IF(INDEX('Parametri Modello'!$F$57:$F$60,MATCH($B251,'Parametri Modello'!$A$57:$A$60,0))=0,0,($O251/INDEX('Parametri Modello'!$F$57:$F$60,MATCH($B251,'Parametri Modello'!$A$57:$A$60,0)))*((1-INDEX('Parametri Modello'!$D$57:$D$60,MATCH($B251,'Parametri Modello'!$A$57:$A$60,0)))*(INDEX('Parametri Modello'!$B$50:$B$53,MATCH($B251,'Parametri Modello'!$A$50:$A$53,0))*'Parametri Modello'!$B$44))))*(1+IF(IF($B251="D",'Info Lega'!$B$25,IF($B251="C",'Info Lega'!$B$26,"No"))="Si",'Parametri Modello'!$B$5,0))*(1+MAX(-0.25,MIN(0.25,IF(OR($T251="",$I251="",$I251=0,INDEX('Parametri Modello'!$B$19:$B$22,MATCH($B251,'Parametri Modello'!$A$19:$A$22,0))="",INDEX('Parametri Modello'!$B$19:$B$22,MATCH($B251,'Parametri Modello'!$A$19:$A$22,0))=0),0,(($T251-INDEX('Parametri Modello'!$B$19:$B$22,MATCH($B251,'Parametri Modello'!$A$19:$A$22,0)))/INDEX('Parametri Modello'!$B$19:$B$22,MATCH($B251,'Parametri Modello'!$A$19:$A$22,0)))*'Parametri Modello'!$B$9))))*(1+IF('Parametri Modello'!$B$27="Si",MAX(-'Parametri Modello'!$B$28,MIN('Parametri Modello'!$B$28*1.5,IF(OR(INDEX('Parametri Modello'!$F$32:$F$35,MATCH($B251,'Parametri Modello'!$A$32:$A$35,0))="",INDEX('Parametri Modello'!$F$32:$F$35,MATCH($B251,'Parametri Modello'!$A$32:$A$35,0))=0),0,(1/INDEX('Parametri Modello'!$F$32:$F$35,MATCH($B251,'Parametri Modello'!$A$32:$A$35,0))-1)*'Parametri Modello'!$B$28))),0)))*(1+INDEX('Parametri Modello'!$B$12:$B$15,MATCH($B251,'Parametri Modello'!$A$12:$A$15,0))),0),"")</f>
        <v>3</v>
      </c>
      <c r="I251" s="26" t="n">
        <f aca="false">IFERROR(INDEX('Input Statistiche 2025_26'!$F$3:$F$665,MATCH($A251,'Input Statistiche 2025_26'!$A$3:$A$665,0)),"")</f>
        <v>28</v>
      </c>
      <c r="J251" s="26" t="n">
        <f aca="false">IFERROR(IF($I251="","",MAX(0,38-$I251)),"")</f>
        <v>10</v>
      </c>
      <c r="K251" s="26" t="n">
        <f aca="false">IFERROR(INDEX('Input Statistiche 2025_26'!$I$3:$I$665,MATCH($A251,'Input Statistiche 2025_26'!$A$3:$A$665,0)),"")</f>
        <v>1</v>
      </c>
      <c r="L251" s="26" t="n">
        <f aca="false">IFERROR(INDEX('Input Statistiche 2025_26'!$O$3:$O$665,MATCH($A251,'Input Statistiche 2025_26'!$A$3:$A$665,0)),"")</f>
        <v>2</v>
      </c>
      <c r="M251" s="28"/>
      <c r="N251" s="27" t="n">
        <f aca="false">IFERROR(INDEX('Input Giocatori 2026_27'!$E$3:$E$493,MATCH($A251,'Input Giocatori 2026_27'!$A$3:$A$493,0)),"")</f>
        <v>5</v>
      </c>
      <c r="O251" s="27" t="n">
        <f aca="false">IFERROR(INDEX('Input Giocatori 2026_27'!$G$3:$G$493,MATCH($A251,'Input Giocatori 2026_27'!$A$3:$A$493,0)),"")</f>
        <v>13</v>
      </c>
      <c r="P251" s="26" t="str">
        <f aca="false">IFERROR(IF($O251="","",IF((1-(COUNTIFS($B$2:$B$492,$B251,$O$2:$O$492,"&gt;"&amp;$O251)+1-1)/COUNTIF($B$2:$B$492,$B251))&gt;=0.85,"Top",IF((1-(COUNTIFS($B$2:$B$492,$B251,$O$2:$O$492,"&gt;"&amp;$O251)+1-1)/COUNTIF($B$2:$B$492,$B251))&gt;=0.6,"Buono",IF((1-(COUNTIFS($B$2:$B$492,$B251,$O$2:$O$492,"&gt;"&amp;$O251)+1-1)/COUNTIF($B$2:$B$492,$B251))&gt;=0.3,"Nella Media","Scommessa/Riserva")))),"")</f>
        <v>Buono</v>
      </c>
      <c r="Q251" s="29" t="n">
        <f aca="false">IF($D251="",COUNTIF($D$2:$D251,""),"")</f>
        <v>250</v>
      </c>
      <c r="R251" s="29" t="str">
        <f aca="false">IF($D251='Info Lega'!$B$28,COUNTIFS($D$2:$D251,'Info Lega'!$B$28),"")</f>
        <v/>
      </c>
      <c r="S251" s="30" t="n">
        <f aca="false">IFERROR(INDEX('Input Statistiche 2025_26'!$G$3:$G$665,MATCH($A251,'Input Statistiche 2025_26'!$A$3:$A$665,0)),"")</f>
        <v>5.84</v>
      </c>
      <c r="T251" s="30" t="n">
        <f aca="false">IFERROR(INDEX('Input Statistiche 2025_26'!$H$3:$H$665,MATCH($A251,'Input Statistiche 2025_26'!$A$3:$A$665,0)),"")</f>
        <v>5.96</v>
      </c>
      <c r="U251" s="26" t="str">
        <f aca="false">IF(OR('La Mia Rosa'!$O$12="",$D251&lt;&gt;""),"",IF($F251&lt;='La Mia Rosa'!$O$12*'Parametri Modello'!$B$24,"OK",IF($F251&lt;='La Mia Rosa'!$O$12*'Parametri Modello'!$B$25,"Attenzione","Rischio Alto")))</f>
        <v>OK</v>
      </c>
      <c r="V251" s="26" t="n">
        <f aca="false">IFERROR(COUNTIFS($B$2:$B$492,$B251,$O$2:$O$492,"&gt;"&amp;$O251)+1,"")</f>
        <v>69</v>
      </c>
      <c r="W251" s="21" t="n">
        <f aca="false">'Info Lega'!$B$4-SUMIFS($M$2:$M$492,$D$2:$D$492,'Info Lega'!$B$28)</f>
        <v>1000</v>
      </c>
      <c r="X251" s="21" t="n">
        <f aca="false">('Info Lega'!$B$5-COUNTIFS($D$2:$D$492,'Info Lega'!$B$28,$B$2:$B$492,"P"))+('Info Lega'!$B$6-COUNTIFS($D$2:$D$492,'Info Lega'!$B$28,$B$2:$B$492,"D"))+('Info Lega'!$B$7-COUNTIFS($D$2:$D$492,'Info Lega'!$B$28,$B$2:$B$492,"C"))+('Info Lega'!$B$8-COUNTIFS($D$2:$D$492,'Info Lega'!$B$28,$B$2:$B$492,"A"))</f>
        <v>25</v>
      </c>
      <c r="Y251" s="21" t="n">
        <f aca="false">X251*'Parametri Modello'!$B$30</f>
        <v>25</v>
      </c>
      <c r="Z251" s="21" t="n">
        <f aca="false">MAX(0,W251-Y251)</f>
        <v>975</v>
      </c>
      <c r="AA251" s="21" t="n">
        <f aca="false">MIN(F251,Z251)</f>
        <v>3</v>
      </c>
      <c r="AB251" s="21"/>
      <c r="AC251" s="21" t="str">
        <f aca="false">IF(AB251="","",IF(AB251&gt;AA251,"PASS",IF(AB251&lt;=AA251*0.85,"BID","ATTENZIONE")))</f>
        <v/>
      </c>
      <c r="AD251" s="31" t="n">
        <f aca="false">IF(I251="","",ROUND(100*(1-EXP(-I251/30)),0))</f>
        <v>61</v>
      </c>
      <c r="AE251" s="7" t="str">
        <f aca="false">IFERROR(INDEX('Stato Asta'!$G$9:$G$12,MATCH($B251,'Stato Asta'!$A$9:$A$12,0)),"")</f>
        <v>🟡 Attesa rischiosa</v>
      </c>
    </row>
    <row r="252" customFormat="false" ht="14.25" hidden="false" customHeight="true" outlineLevel="0" collapsed="false">
      <c r="A252" s="21" t="n">
        <v>5851</v>
      </c>
      <c r="B252" s="21" t="s">
        <v>44</v>
      </c>
      <c r="C252" s="21" t="s">
        <v>294</v>
      </c>
      <c r="E252" s="26" t="str">
        <f aca="false">IF(COUNTIF('Info Strategia'!$D$2:$D$51,$C252)&gt;0,"SI","NO")</f>
        <v>NO</v>
      </c>
      <c r="F252" s="27" t="n">
        <f aca="false">IFERROR(ROUND(($G252+($H252-$G252)*'Info Strategia'!$B$6)*(1+IF($E252="SI",'Parametri Modello'!$B$7*'Info Strategia'!$B$6,0)),0),"")</f>
        <v>3</v>
      </c>
      <c r="G252" s="27" t="n">
        <f aca="false">IFERROR(ROUND(MAX(1,(IF($V252&lt;=INDEX('Parametri Modello'!$C$57:$C$60,MATCH($B252,'Parametri Modello'!$A$57:$A$60,0)),IF(INDEX('Parametri Modello'!$E$57:$E$60,MATCH($B252,'Parametri Modello'!$A$57:$A$60,0))=0,0,($O252/INDEX('Parametri Modello'!$E$57:$E$60,MATCH($B252,'Parametri Modello'!$A$57:$A$60,0)))*(INDEX('Parametri Modello'!$D$57:$D$60,MATCH($B252,'Parametri Modello'!$A$57:$A$60,0))*(INDEX('Parametri Modello'!$B$50:$B$53,MATCH($B252,'Parametri Modello'!$A$50:$A$53,0))*'Parametri Modello'!$B$44))),IF(INDEX('Parametri Modello'!$F$57:$F$60,MATCH($B252,'Parametri Modello'!$A$57:$A$60,0))=0,0,($O252/INDEX('Parametri Modello'!$F$57:$F$60,MATCH($B252,'Parametri Modello'!$A$57:$A$60,0)))*((1-INDEX('Parametri Modello'!$D$57:$D$60,MATCH($B252,'Parametri Modello'!$A$57:$A$60,0)))*(INDEX('Parametri Modello'!$B$50:$B$53,MATCH($B252,'Parametri Modello'!$A$50:$A$53,0))*'Parametri Modello'!$B$44))))*(1+IF(IF($B252="D",'Info Lega'!$B$25,IF($B252="C",'Info Lega'!$B$26,"No"))="Si",'Parametri Modello'!$B$5,0))*(1+MAX(-0.25,MIN(0.25,IF(OR($T252="",$I252="",$I252=0,INDEX('Parametri Modello'!$B$19:$B$22,MATCH($B252,'Parametri Modello'!$A$19:$A$22,0))="",INDEX('Parametri Modello'!$B$19:$B$22,MATCH($B252,'Parametri Modello'!$A$19:$A$22,0))=0),0,(($T252-INDEX('Parametri Modello'!$B$19:$B$22,MATCH($B252,'Parametri Modello'!$A$19:$A$22,0)))/INDEX('Parametri Modello'!$B$19:$B$22,MATCH($B252,'Parametri Modello'!$A$19:$A$22,0)))*'Parametri Modello'!$B$9))))*(1+IF('Parametri Modello'!$B$27="Si",MAX(-'Parametri Modello'!$B$28,MIN('Parametri Modello'!$B$28*1.5,IF(OR(INDEX('Parametri Modello'!$F$32:$F$35,MATCH($B252,'Parametri Modello'!$A$32:$A$35,0))="",INDEX('Parametri Modello'!$F$32:$F$35,MATCH($B252,'Parametri Modello'!$A$32:$A$35,0))=0),0,(1/INDEX('Parametri Modello'!$F$32:$F$35,MATCH($B252,'Parametri Modello'!$A$32:$A$35,0))-1)*'Parametri Modello'!$B$28))),0)))*(1-INDEX('Parametri Modello'!$B$12:$B$15,MATCH($B252,'Parametri Modello'!$A$12:$A$15,0)))),0),"")</f>
        <v>2</v>
      </c>
      <c r="H252" s="27" t="n">
        <f aca="false">IFERROR(ROUND((IF($V252&lt;=INDEX('Parametri Modello'!$C$57:$C$60,MATCH($B252,'Parametri Modello'!$A$57:$A$60,0)),IF(INDEX('Parametri Modello'!$E$57:$E$60,MATCH($B252,'Parametri Modello'!$A$57:$A$60,0))=0,0,($O252/INDEX('Parametri Modello'!$E$57:$E$60,MATCH($B252,'Parametri Modello'!$A$57:$A$60,0)))*(INDEX('Parametri Modello'!$D$57:$D$60,MATCH($B252,'Parametri Modello'!$A$57:$A$60,0))*(INDEX('Parametri Modello'!$B$50:$B$53,MATCH($B252,'Parametri Modello'!$A$50:$A$53,0))*'Parametri Modello'!$B$44))),IF(INDEX('Parametri Modello'!$F$57:$F$60,MATCH($B252,'Parametri Modello'!$A$57:$A$60,0))=0,0,($O252/INDEX('Parametri Modello'!$F$57:$F$60,MATCH($B252,'Parametri Modello'!$A$57:$A$60,0)))*((1-INDEX('Parametri Modello'!$D$57:$D$60,MATCH($B252,'Parametri Modello'!$A$57:$A$60,0)))*(INDEX('Parametri Modello'!$B$50:$B$53,MATCH($B252,'Parametri Modello'!$A$50:$A$53,0))*'Parametri Modello'!$B$44))))*(1+IF(IF($B252="D",'Info Lega'!$B$25,IF($B252="C",'Info Lega'!$B$26,"No"))="Si",'Parametri Modello'!$B$5,0))*(1+MAX(-0.25,MIN(0.25,IF(OR($T252="",$I252="",$I252=0,INDEX('Parametri Modello'!$B$19:$B$22,MATCH($B252,'Parametri Modello'!$A$19:$A$22,0))="",INDEX('Parametri Modello'!$B$19:$B$22,MATCH($B252,'Parametri Modello'!$A$19:$A$22,0))=0),0,(($T252-INDEX('Parametri Modello'!$B$19:$B$22,MATCH($B252,'Parametri Modello'!$A$19:$A$22,0)))/INDEX('Parametri Modello'!$B$19:$B$22,MATCH($B252,'Parametri Modello'!$A$19:$A$22,0)))*'Parametri Modello'!$B$9))))*(1+IF('Parametri Modello'!$B$27="Si",MAX(-'Parametri Modello'!$B$28,MIN('Parametri Modello'!$B$28*1.5,IF(OR(INDEX('Parametri Modello'!$F$32:$F$35,MATCH($B252,'Parametri Modello'!$A$32:$A$35,0))="",INDEX('Parametri Modello'!$F$32:$F$35,MATCH($B252,'Parametri Modello'!$A$32:$A$35,0))=0),0,(1/INDEX('Parametri Modello'!$F$32:$F$35,MATCH($B252,'Parametri Modello'!$A$32:$A$35,0))-1)*'Parametri Modello'!$B$28))),0)))*(1+INDEX('Parametri Modello'!$B$12:$B$15,MATCH($B252,'Parametri Modello'!$A$12:$A$15,0))),0),"")</f>
        <v>3</v>
      </c>
      <c r="I252" s="26" t="n">
        <f aca="false">IFERROR(INDEX('Input Statistiche 2025_26'!$F$3:$F$665,MATCH($A252,'Input Statistiche 2025_26'!$A$3:$A$665,0)),"")</f>
        <v>27</v>
      </c>
      <c r="J252" s="26" t="n">
        <f aca="false">IFERROR(IF($I252="","",MAX(0,38-$I252)),"")</f>
        <v>11</v>
      </c>
      <c r="K252" s="26" t="n">
        <f aca="false">IFERROR(INDEX('Input Statistiche 2025_26'!$I$3:$I$665,MATCH($A252,'Input Statistiche 2025_26'!$A$3:$A$665,0)),"")</f>
        <v>0</v>
      </c>
      <c r="L252" s="26" t="n">
        <f aca="false">IFERROR(INDEX('Input Statistiche 2025_26'!$O$3:$O$665,MATCH($A252,'Input Statistiche 2025_26'!$A$3:$A$665,0)),"")</f>
        <v>0</v>
      </c>
      <c r="M252" s="28"/>
      <c r="N252" s="27" t="n">
        <f aca="false">IFERROR(INDEX('Input Giocatori 2026_27'!$E$3:$E$493,MATCH($A252,'Input Giocatori 2026_27'!$A$3:$A$493,0)),"")</f>
        <v>4</v>
      </c>
      <c r="O252" s="27" t="n">
        <f aca="false">IFERROR(INDEX('Input Giocatori 2026_27'!$G$3:$G$493,MATCH($A252,'Input Giocatori 2026_27'!$A$3:$A$493,0)),"")</f>
        <v>13</v>
      </c>
      <c r="P252" s="26" t="str">
        <f aca="false">IFERROR(IF($O252="","",IF((1-(COUNTIFS($B$2:$B$492,$B252,$O$2:$O$492,"&gt;"&amp;$O252)+1-1)/COUNTIF($B$2:$B$492,$B252))&gt;=0.85,"Top",IF((1-(COUNTIFS($B$2:$B$492,$B252,$O$2:$O$492,"&gt;"&amp;$O252)+1-1)/COUNTIF($B$2:$B$492,$B252))&gt;=0.6,"Buono",IF((1-(COUNTIFS($B$2:$B$492,$B252,$O$2:$O$492,"&gt;"&amp;$O252)+1-1)/COUNTIF($B$2:$B$492,$B252))&gt;=0.3,"Nella Media","Scommessa/Riserva")))),"")</f>
        <v>Buono</v>
      </c>
      <c r="Q252" s="29" t="n">
        <f aca="false">IF($D252="",COUNTIF($D$2:$D252,""),"")</f>
        <v>251</v>
      </c>
      <c r="R252" s="29" t="str">
        <f aca="false">IF($D252='Info Lega'!$B$28,COUNTIFS($D$2:$D252,'Info Lega'!$B$28),"")</f>
        <v/>
      </c>
      <c r="S252" s="30" t="n">
        <f aca="false">IFERROR(INDEX('Input Statistiche 2025_26'!$G$3:$G$665,MATCH($A252,'Input Statistiche 2025_26'!$A$3:$A$665,0)),"")</f>
        <v>5.85</v>
      </c>
      <c r="T252" s="30" t="n">
        <f aca="false">IFERROR(INDEX('Input Statistiche 2025_26'!$H$3:$H$665,MATCH($A252,'Input Statistiche 2025_26'!$A$3:$A$665,0)),"")</f>
        <v>5.76</v>
      </c>
      <c r="U252" s="26" t="str">
        <f aca="false">IF(OR('La Mia Rosa'!$O$12="",$D252&lt;&gt;""),"",IF($F252&lt;='La Mia Rosa'!$O$12*'Parametri Modello'!$B$24,"OK",IF($F252&lt;='La Mia Rosa'!$O$12*'Parametri Modello'!$B$25,"Attenzione","Rischio Alto")))</f>
        <v>OK</v>
      </c>
      <c r="V252" s="26" t="n">
        <f aca="false">IFERROR(COUNTIFS($B$2:$B$492,$B252,$O$2:$O$492,"&gt;"&amp;$O252)+1,"")</f>
        <v>69</v>
      </c>
      <c r="W252" s="21" t="n">
        <f aca="false">'Info Lega'!$B$4-SUMIFS($M$2:$M$492,$D$2:$D$492,'Info Lega'!$B$28)</f>
        <v>1000</v>
      </c>
      <c r="X252" s="21" t="n">
        <f aca="false">('Info Lega'!$B$5-COUNTIFS($D$2:$D$492,'Info Lega'!$B$28,$B$2:$B$492,"P"))+('Info Lega'!$B$6-COUNTIFS($D$2:$D$492,'Info Lega'!$B$28,$B$2:$B$492,"D"))+('Info Lega'!$B$7-COUNTIFS($D$2:$D$492,'Info Lega'!$B$28,$B$2:$B$492,"C"))+('Info Lega'!$B$8-COUNTIFS($D$2:$D$492,'Info Lega'!$B$28,$B$2:$B$492,"A"))</f>
        <v>25</v>
      </c>
      <c r="Y252" s="21" t="n">
        <f aca="false">X252*'Parametri Modello'!$B$30</f>
        <v>25</v>
      </c>
      <c r="Z252" s="21" t="n">
        <f aca="false">MAX(0,W252-Y252)</f>
        <v>975</v>
      </c>
      <c r="AA252" s="21" t="n">
        <f aca="false">MIN(F252,Z252)</f>
        <v>3</v>
      </c>
      <c r="AB252" s="21"/>
      <c r="AC252" s="21" t="str">
        <f aca="false">IF(AB252="","",IF(AB252&gt;AA252,"PASS",IF(AB252&lt;=AA252*0.85,"BID","ATTENZIONE")))</f>
        <v/>
      </c>
      <c r="AD252" s="31" t="n">
        <f aca="false">IF(I252="","",ROUND(100*(1-EXP(-I252/30)),0))</f>
        <v>59</v>
      </c>
      <c r="AE252" s="7" t="str">
        <f aca="false">IFERROR(INDEX('Stato Asta'!$G$9:$G$12,MATCH($B252,'Stato Asta'!$A$9:$A$12,0)),"")</f>
        <v>🟡 Attesa rischiosa</v>
      </c>
    </row>
    <row r="253" customFormat="false" ht="14.25" hidden="false" customHeight="true" outlineLevel="0" collapsed="false">
      <c r="A253" s="21" t="n">
        <v>2848</v>
      </c>
      <c r="B253" s="21" t="s">
        <v>45</v>
      </c>
      <c r="C253" s="21" t="s">
        <v>422</v>
      </c>
      <c r="E253" s="26" t="str">
        <f aca="false">IF(COUNTIF('Info Strategia'!$D$2:$D$51,$C253)&gt;0,"SI","NO")</f>
        <v>NO</v>
      </c>
      <c r="F253" s="27" t="n">
        <f aca="false">IFERROR(ROUND(($G253+($H253-$G253)*'Info Strategia'!$B$6)*(1+IF($E253="SI",'Parametri Modello'!$B$7*'Info Strategia'!$B$6,0)),0),"")</f>
        <v>2</v>
      </c>
      <c r="G253" s="27" t="n">
        <f aca="false">IFERROR(ROUND(MAX(1,(IF($V253&lt;=INDEX('Parametri Modello'!$C$57:$C$60,MATCH($B253,'Parametri Modello'!$A$57:$A$60,0)),IF(INDEX('Parametri Modello'!$E$57:$E$60,MATCH($B253,'Parametri Modello'!$A$57:$A$60,0))=0,0,($O253/INDEX('Parametri Modello'!$E$57:$E$60,MATCH($B253,'Parametri Modello'!$A$57:$A$60,0)))*(INDEX('Parametri Modello'!$D$57:$D$60,MATCH($B253,'Parametri Modello'!$A$57:$A$60,0))*(INDEX('Parametri Modello'!$B$50:$B$53,MATCH($B253,'Parametri Modello'!$A$50:$A$53,0))*'Parametri Modello'!$B$44))),IF(INDEX('Parametri Modello'!$F$57:$F$60,MATCH($B253,'Parametri Modello'!$A$57:$A$60,0))=0,0,($O253/INDEX('Parametri Modello'!$F$57:$F$60,MATCH($B253,'Parametri Modello'!$A$57:$A$60,0)))*((1-INDEX('Parametri Modello'!$D$57:$D$60,MATCH($B253,'Parametri Modello'!$A$57:$A$60,0)))*(INDEX('Parametri Modello'!$B$50:$B$53,MATCH($B253,'Parametri Modello'!$A$50:$A$53,0))*'Parametri Modello'!$B$44))))*(1+IF(IF($B253="D",'Info Lega'!$B$25,IF($B253="C",'Info Lega'!$B$26,"No"))="Si",'Parametri Modello'!$B$5,0))*(1+MAX(-0.25,MIN(0.25,IF(OR($T253="",$I253="",$I253=0,INDEX('Parametri Modello'!$B$19:$B$22,MATCH($B253,'Parametri Modello'!$A$19:$A$22,0))="",INDEX('Parametri Modello'!$B$19:$B$22,MATCH($B253,'Parametri Modello'!$A$19:$A$22,0))=0),0,(($T253-INDEX('Parametri Modello'!$B$19:$B$22,MATCH($B253,'Parametri Modello'!$A$19:$A$22,0)))/INDEX('Parametri Modello'!$B$19:$B$22,MATCH($B253,'Parametri Modello'!$A$19:$A$22,0)))*'Parametri Modello'!$B$9))))*(1+IF('Parametri Modello'!$B$27="Si",MAX(-'Parametri Modello'!$B$28,MIN('Parametri Modello'!$B$28*1.5,IF(OR(INDEX('Parametri Modello'!$F$32:$F$35,MATCH($B253,'Parametri Modello'!$A$32:$A$35,0))="",INDEX('Parametri Modello'!$F$32:$F$35,MATCH($B253,'Parametri Modello'!$A$32:$A$35,0))=0),0,(1/INDEX('Parametri Modello'!$F$32:$F$35,MATCH($B253,'Parametri Modello'!$A$32:$A$35,0))-1)*'Parametri Modello'!$B$28))),0)))*(1-INDEX('Parametri Modello'!$B$12:$B$15,MATCH($B253,'Parametri Modello'!$A$12:$A$15,0)))),0),"")</f>
        <v>1</v>
      </c>
      <c r="H253" s="27" t="n">
        <f aca="false">IFERROR(ROUND((IF($V253&lt;=INDEX('Parametri Modello'!$C$57:$C$60,MATCH($B253,'Parametri Modello'!$A$57:$A$60,0)),IF(INDEX('Parametri Modello'!$E$57:$E$60,MATCH($B253,'Parametri Modello'!$A$57:$A$60,0))=0,0,($O253/INDEX('Parametri Modello'!$E$57:$E$60,MATCH($B253,'Parametri Modello'!$A$57:$A$60,0)))*(INDEX('Parametri Modello'!$D$57:$D$60,MATCH($B253,'Parametri Modello'!$A$57:$A$60,0))*(INDEX('Parametri Modello'!$B$50:$B$53,MATCH($B253,'Parametri Modello'!$A$50:$A$53,0))*'Parametri Modello'!$B$44))),IF(INDEX('Parametri Modello'!$F$57:$F$60,MATCH($B253,'Parametri Modello'!$A$57:$A$60,0))=0,0,($O253/INDEX('Parametri Modello'!$F$57:$F$60,MATCH($B253,'Parametri Modello'!$A$57:$A$60,0)))*((1-INDEX('Parametri Modello'!$D$57:$D$60,MATCH($B253,'Parametri Modello'!$A$57:$A$60,0)))*(INDEX('Parametri Modello'!$B$50:$B$53,MATCH($B253,'Parametri Modello'!$A$50:$A$53,0))*'Parametri Modello'!$B$44))))*(1+IF(IF($B253="D",'Info Lega'!$B$25,IF($B253="C",'Info Lega'!$B$26,"No"))="Si",'Parametri Modello'!$B$5,0))*(1+MAX(-0.25,MIN(0.25,IF(OR($T253="",$I253="",$I253=0,INDEX('Parametri Modello'!$B$19:$B$22,MATCH($B253,'Parametri Modello'!$A$19:$A$22,0))="",INDEX('Parametri Modello'!$B$19:$B$22,MATCH($B253,'Parametri Modello'!$A$19:$A$22,0))=0),0,(($T253-INDEX('Parametri Modello'!$B$19:$B$22,MATCH($B253,'Parametri Modello'!$A$19:$A$22,0)))/INDEX('Parametri Modello'!$B$19:$B$22,MATCH($B253,'Parametri Modello'!$A$19:$A$22,0)))*'Parametri Modello'!$B$9))))*(1+IF('Parametri Modello'!$B$27="Si",MAX(-'Parametri Modello'!$B$28,MIN('Parametri Modello'!$B$28*1.5,IF(OR(INDEX('Parametri Modello'!$F$32:$F$35,MATCH($B253,'Parametri Modello'!$A$32:$A$35,0))="",INDEX('Parametri Modello'!$F$32:$F$35,MATCH($B253,'Parametri Modello'!$A$32:$A$35,0))=0),0,(1/INDEX('Parametri Modello'!$F$32:$F$35,MATCH($B253,'Parametri Modello'!$A$32:$A$35,0))-1)*'Parametri Modello'!$B$28))),0)))*(1+INDEX('Parametri Modello'!$B$12:$B$15,MATCH($B253,'Parametri Modello'!$A$12:$A$15,0))),0),"")</f>
        <v>2</v>
      </c>
      <c r="I253" s="26" t="n">
        <f aca="false">IFERROR(INDEX('Input Statistiche 2025_26'!$F$3:$F$665,MATCH($A253,'Input Statistiche 2025_26'!$A$3:$A$665,0)),"")</f>
        <v>14</v>
      </c>
      <c r="J253" s="26" t="n">
        <f aca="false">IFERROR(IF($I253="","",MAX(0,38-$I253)),"")</f>
        <v>24</v>
      </c>
      <c r="K253" s="26" t="n">
        <f aca="false">IFERROR(INDEX('Input Statistiche 2025_26'!$I$3:$I$665,MATCH($A253,'Input Statistiche 2025_26'!$A$3:$A$665,0)),"")</f>
        <v>0</v>
      </c>
      <c r="L253" s="26" t="n">
        <f aca="false">IFERROR(INDEX('Input Statistiche 2025_26'!$O$3:$O$665,MATCH($A253,'Input Statistiche 2025_26'!$A$3:$A$665,0)),"")</f>
        <v>0</v>
      </c>
      <c r="M253" s="28"/>
      <c r="N253" s="27" t="n">
        <f aca="false">IFERROR(INDEX('Input Giocatori 2026_27'!$E$3:$E$493,MATCH($A253,'Input Giocatori 2026_27'!$A$3:$A$493,0)),"")</f>
        <v>7</v>
      </c>
      <c r="O253" s="27" t="n">
        <f aca="false">IFERROR(INDEX('Input Giocatori 2026_27'!$G$3:$G$493,MATCH($A253,'Input Giocatori 2026_27'!$A$3:$A$493,0)),"")</f>
        <v>13</v>
      </c>
      <c r="P253" s="26" t="str">
        <f aca="false">IFERROR(IF($O253="","",IF((1-(COUNTIFS($B$2:$B$492,$B253,$O$2:$O$492,"&gt;"&amp;$O253)+1-1)/COUNTIF($B$2:$B$492,$B253))&gt;=0.85,"Top",IF((1-(COUNTIFS($B$2:$B$492,$B253,$O$2:$O$492,"&gt;"&amp;$O253)+1-1)/COUNTIF($B$2:$B$492,$B253))&gt;=0.6,"Buono",IF((1-(COUNTIFS($B$2:$B$492,$B253,$O$2:$O$492,"&gt;"&amp;$O253)+1-1)/COUNTIF($B$2:$B$492,$B253))&gt;=0.3,"Nella Media","Scommessa/Riserva")))),"")</f>
        <v>Nella Media</v>
      </c>
      <c r="Q253" s="29" t="n">
        <f aca="false">IF($D253="",COUNTIF($D$2:$D253,""),"")</f>
        <v>252</v>
      </c>
      <c r="R253" s="29" t="str">
        <f aca="false">IF($D253='Info Lega'!$B$28,COUNTIFS($D$2:$D253,'Info Lega'!$B$28),"")</f>
        <v/>
      </c>
      <c r="S253" s="30" t="n">
        <f aca="false">IFERROR(INDEX('Input Statistiche 2025_26'!$G$3:$G$665,MATCH($A253,'Input Statistiche 2025_26'!$A$3:$A$665,0)),"")</f>
        <v>5.89</v>
      </c>
      <c r="T253" s="30" t="n">
        <f aca="false">IFERROR(INDEX('Input Statistiche 2025_26'!$H$3:$H$665,MATCH($A253,'Input Statistiche 2025_26'!$A$3:$A$665,0)),"")</f>
        <v>5.89</v>
      </c>
      <c r="U253" s="26" t="str">
        <f aca="false">IF(OR('La Mia Rosa'!$O$12="",$D253&lt;&gt;""),"",IF($F253&lt;='La Mia Rosa'!$O$12*'Parametri Modello'!$B$24,"OK",IF($F253&lt;='La Mia Rosa'!$O$12*'Parametri Modello'!$B$25,"Attenzione","Rischio Alto")))</f>
        <v>OK</v>
      </c>
      <c r="V253" s="26" t="n">
        <f aca="false">IFERROR(COUNTIFS($B$2:$B$492,$B253,$O$2:$O$492,"&gt;"&amp;$O253)+1,"")</f>
        <v>98</v>
      </c>
      <c r="W253" s="21" t="n">
        <f aca="false">'Info Lega'!$B$4-SUMIFS($M$2:$M$492,$D$2:$D$492,'Info Lega'!$B$28)</f>
        <v>1000</v>
      </c>
      <c r="X253" s="21" t="n">
        <f aca="false">('Info Lega'!$B$5-COUNTIFS($D$2:$D$492,'Info Lega'!$B$28,$B$2:$B$492,"P"))+('Info Lega'!$B$6-COUNTIFS($D$2:$D$492,'Info Lega'!$B$28,$B$2:$B$492,"D"))+('Info Lega'!$B$7-COUNTIFS($D$2:$D$492,'Info Lega'!$B$28,$B$2:$B$492,"C"))+('Info Lega'!$B$8-COUNTIFS($D$2:$D$492,'Info Lega'!$B$28,$B$2:$B$492,"A"))</f>
        <v>25</v>
      </c>
      <c r="Y253" s="21" t="n">
        <f aca="false">X253*'Parametri Modello'!$B$30</f>
        <v>25</v>
      </c>
      <c r="Z253" s="21" t="n">
        <f aca="false">MAX(0,W253-Y253)</f>
        <v>975</v>
      </c>
      <c r="AA253" s="21" t="n">
        <f aca="false">MIN(F253,Z253)</f>
        <v>2</v>
      </c>
      <c r="AB253" s="21"/>
      <c r="AC253" s="21" t="str">
        <f aca="false">IF(AB253="","",IF(AB253&gt;AA253,"PASS",IF(AB253&lt;=AA253*0.85,"BID","ATTENZIONE")))</f>
        <v/>
      </c>
      <c r="AD253" s="31" t="n">
        <f aca="false">IF(I253="","",ROUND(100*(1-EXP(-I253/30)),0))</f>
        <v>37</v>
      </c>
      <c r="AE253" s="7" t="str">
        <f aca="false">IFERROR(INDEX('Stato Asta'!$G$9:$G$12,MATCH($B253,'Stato Asta'!$A$9:$A$12,0)),"")</f>
        <v>🟡 Attesa rischiosa</v>
      </c>
    </row>
    <row r="254" customFormat="false" ht="14.25" hidden="false" customHeight="true" outlineLevel="0" collapsed="false">
      <c r="A254" s="21" t="n">
        <v>4870</v>
      </c>
      <c r="B254" s="21" t="s">
        <v>45</v>
      </c>
      <c r="C254" s="21" t="s">
        <v>431</v>
      </c>
      <c r="E254" s="26" t="str">
        <f aca="false">IF(COUNTIF('Info Strategia'!$D$2:$D$51,$C254)&gt;0,"SI","NO")</f>
        <v>NO</v>
      </c>
      <c r="F254" s="27" t="n">
        <f aca="false">IFERROR(ROUND(($G254+($H254-$G254)*'Info Strategia'!$B$6)*(1+IF($E254="SI",'Parametri Modello'!$B$7*'Info Strategia'!$B$6,0)),0),"")</f>
        <v>2</v>
      </c>
      <c r="G254" s="27" t="n">
        <f aca="false">IFERROR(ROUND(MAX(1,(IF($V254&lt;=INDEX('Parametri Modello'!$C$57:$C$60,MATCH($B254,'Parametri Modello'!$A$57:$A$60,0)),IF(INDEX('Parametri Modello'!$E$57:$E$60,MATCH($B254,'Parametri Modello'!$A$57:$A$60,0))=0,0,($O254/INDEX('Parametri Modello'!$E$57:$E$60,MATCH($B254,'Parametri Modello'!$A$57:$A$60,0)))*(INDEX('Parametri Modello'!$D$57:$D$60,MATCH($B254,'Parametri Modello'!$A$57:$A$60,0))*(INDEX('Parametri Modello'!$B$50:$B$53,MATCH($B254,'Parametri Modello'!$A$50:$A$53,0))*'Parametri Modello'!$B$44))),IF(INDEX('Parametri Modello'!$F$57:$F$60,MATCH($B254,'Parametri Modello'!$A$57:$A$60,0))=0,0,($O254/INDEX('Parametri Modello'!$F$57:$F$60,MATCH($B254,'Parametri Modello'!$A$57:$A$60,0)))*((1-INDEX('Parametri Modello'!$D$57:$D$60,MATCH($B254,'Parametri Modello'!$A$57:$A$60,0)))*(INDEX('Parametri Modello'!$B$50:$B$53,MATCH($B254,'Parametri Modello'!$A$50:$A$53,0))*'Parametri Modello'!$B$44))))*(1+IF(IF($B254="D",'Info Lega'!$B$25,IF($B254="C",'Info Lega'!$B$26,"No"))="Si",'Parametri Modello'!$B$5,0))*(1+MAX(-0.25,MIN(0.25,IF(OR($T254="",$I254="",$I254=0,INDEX('Parametri Modello'!$B$19:$B$22,MATCH($B254,'Parametri Modello'!$A$19:$A$22,0))="",INDEX('Parametri Modello'!$B$19:$B$22,MATCH($B254,'Parametri Modello'!$A$19:$A$22,0))=0),0,(($T254-INDEX('Parametri Modello'!$B$19:$B$22,MATCH($B254,'Parametri Modello'!$A$19:$A$22,0)))/INDEX('Parametri Modello'!$B$19:$B$22,MATCH($B254,'Parametri Modello'!$A$19:$A$22,0)))*'Parametri Modello'!$B$9))))*(1+IF('Parametri Modello'!$B$27="Si",MAX(-'Parametri Modello'!$B$28,MIN('Parametri Modello'!$B$28*1.5,IF(OR(INDEX('Parametri Modello'!$F$32:$F$35,MATCH($B254,'Parametri Modello'!$A$32:$A$35,0))="",INDEX('Parametri Modello'!$F$32:$F$35,MATCH($B254,'Parametri Modello'!$A$32:$A$35,0))=0),0,(1/INDEX('Parametri Modello'!$F$32:$F$35,MATCH($B254,'Parametri Modello'!$A$32:$A$35,0))-1)*'Parametri Modello'!$B$28))),0)))*(1-INDEX('Parametri Modello'!$B$12:$B$15,MATCH($B254,'Parametri Modello'!$A$12:$A$15,0)))),0),"")</f>
        <v>1</v>
      </c>
      <c r="H254" s="27" t="n">
        <f aca="false">IFERROR(ROUND((IF($V254&lt;=INDEX('Parametri Modello'!$C$57:$C$60,MATCH($B254,'Parametri Modello'!$A$57:$A$60,0)),IF(INDEX('Parametri Modello'!$E$57:$E$60,MATCH($B254,'Parametri Modello'!$A$57:$A$60,0))=0,0,($O254/INDEX('Parametri Modello'!$E$57:$E$60,MATCH($B254,'Parametri Modello'!$A$57:$A$60,0)))*(INDEX('Parametri Modello'!$D$57:$D$60,MATCH($B254,'Parametri Modello'!$A$57:$A$60,0))*(INDEX('Parametri Modello'!$B$50:$B$53,MATCH($B254,'Parametri Modello'!$A$50:$A$53,0))*'Parametri Modello'!$B$44))),IF(INDEX('Parametri Modello'!$F$57:$F$60,MATCH($B254,'Parametri Modello'!$A$57:$A$60,0))=0,0,($O254/INDEX('Parametri Modello'!$F$57:$F$60,MATCH($B254,'Parametri Modello'!$A$57:$A$60,0)))*((1-INDEX('Parametri Modello'!$D$57:$D$60,MATCH($B254,'Parametri Modello'!$A$57:$A$60,0)))*(INDEX('Parametri Modello'!$B$50:$B$53,MATCH($B254,'Parametri Modello'!$A$50:$A$53,0))*'Parametri Modello'!$B$44))))*(1+IF(IF($B254="D",'Info Lega'!$B$25,IF($B254="C",'Info Lega'!$B$26,"No"))="Si",'Parametri Modello'!$B$5,0))*(1+MAX(-0.25,MIN(0.25,IF(OR($T254="",$I254="",$I254=0,INDEX('Parametri Modello'!$B$19:$B$22,MATCH($B254,'Parametri Modello'!$A$19:$A$22,0))="",INDEX('Parametri Modello'!$B$19:$B$22,MATCH($B254,'Parametri Modello'!$A$19:$A$22,0))=0),0,(($T254-INDEX('Parametri Modello'!$B$19:$B$22,MATCH($B254,'Parametri Modello'!$A$19:$A$22,0)))/INDEX('Parametri Modello'!$B$19:$B$22,MATCH($B254,'Parametri Modello'!$A$19:$A$22,0)))*'Parametri Modello'!$B$9))))*(1+IF('Parametri Modello'!$B$27="Si",MAX(-'Parametri Modello'!$B$28,MIN('Parametri Modello'!$B$28*1.5,IF(OR(INDEX('Parametri Modello'!$F$32:$F$35,MATCH($B254,'Parametri Modello'!$A$32:$A$35,0))="",INDEX('Parametri Modello'!$F$32:$F$35,MATCH($B254,'Parametri Modello'!$A$32:$A$35,0))=0),0,(1/INDEX('Parametri Modello'!$F$32:$F$35,MATCH($B254,'Parametri Modello'!$A$32:$A$35,0))-1)*'Parametri Modello'!$B$28))),0)))*(1+INDEX('Parametri Modello'!$B$12:$B$15,MATCH($B254,'Parametri Modello'!$A$12:$A$15,0))),0),"")</f>
        <v>2</v>
      </c>
      <c r="I254" s="26" t="n">
        <f aca="false">IFERROR(INDEX('Input Statistiche 2025_26'!$F$3:$F$665,MATCH($A254,'Input Statistiche 2025_26'!$A$3:$A$665,0)),"")</f>
        <v>38</v>
      </c>
      <c r="J254" s="26" t="n">
        <f aca="false">IFERROR(IF($I254="","",MAX(0,38-$I254)),"")</f>
        <v>0</v>
      </c>
      <c r="K254" s="26" t="n">
        <f aca="false">IFERROR(INDEX('Input Statistiche 2025_26'!$I$3:$I$665,MATCH($A254,'Input Statistiche 2025_26'!$A$3:$A$665,0)),"")</f>
        <v>1</v>
      </c>
      <c r="L254" s="26" t="n">
        <f aca="false">IFERROR(INDEX('Input Statistiche 2025_26'!$O$3:$O$665,MATCH($A254,'Input Statistiche 2025_26'!$A$3:$A$665,0)),"")</f>
        <v>1</v>
      </c>
      <c r="M254" s="28"/>
      <c r="N254" s="27" t="n">
        <f aca="false">IFERROR(INDEX('Input Giocatori 2026_27'!$E$3:$E$493,MATCH($A254,'Input Giocatori 2026_27'!$A$3:$A$493,0)),"")</f>
        <v>6</v>
      </c>
      <c r="O254" s="27" t="n">
        <f aca="false">IFERROR(INDEX('Input Giocatori 2026_27'!$G$3:$G$493,MATCH($A254,'Input Giocatori 2026_27'!$A$3:$A$493,0)),"")</f>
        <v>13</v>
      </c>
      <c r="P254" s="26" t="str">
        <f aca="false">IFERROR(IF($O254="","",IF((1-(COUNTIFS($B$2:$B$492,$B254,$O$2:$O$492,"&gt;"&amp;$O254)+1-1)/COUNTIF($B$2:$B$492,$B254))&gt;=0.85,"Top",IF((1-(COUNTIFS($B$2:$B$492,$B254,$O$2:$O$492,"&gt;"&amp;$O254)+1-1)/COUNTIF($B$2:$B$492,$B254))&gt;=0.6,"Buono",IF((1-(COUNTIFS($B$2:$B$492,$B254,$O$2:$O$492,"&gt;"&amp;$O254)+1-1)/COUNTIF($B$2:$B$492,$B254))&gt;=0.3,"Nella Media","Scommessa/Riserva")))),"")</f>
        <v>Nella Media</v>
      </c>
      <c r="Q254" s="29" t="n">
        <f aca="false">IF($D254="",COUNTIF($D$2:$D254,""),"")</f>
        <v>253</v>
      </c>
      <c r="R254" s="29" t="str">
        <f aca="false">IF($D254='Info Lega'!$B$28,COUNTIFS($D$2:$D254,'Info Lega'!$B$28),"")</f>
        <v/>
      </c>
      <c r="S254" s="30" t="n">
        <f aca="false">IFERROR(INDEX('Input Statistiche 2025_26'!$G$3:$G$665,MATCH($A254,'Input Statistiche 2025_26'!$A$3:$A$665,0)),"")</f>
        <v>5.83</v>
      </c>
      <c r="T254" s="30" t="n">
        <f aca="false">IFERROR(INDEX('Input Statistiche 2025_26'!$H$3:$H$665,MATCH($A254,'Input Statistiche 2025_26'!$A$3:$A$665,0)),"")</f>
        <v>5.88</v>
      </c>
      <c r="U254" s="26" t="str">
        <f aca="false">IF(OR('La Mia Rosa'!$O$12="",$D254&lt;&gt;""),"",IF($F254&lt;='La Mia Rosa'!$O$12*'Parametri Modello'!$B$24,"OK",IF($F254&lt;='La Mia Rosa'!$O$12*'Parametri Modello'!$B$25,"Attenzione","Rischio Alto")))</f>
        <v>OK</v>
      </c>
      <c r="V254" s="26" t="n">
        <f aca="false">IFERROR(COUNTIFS($B$2:$B$492,$B254,$O$2:$O$492,"&gt;"&amp;$O254)+1,"")</f>
        <v>98</v>
      </c>
      <c r="W254" s="21" t="n">
        <f aca="false">'Info Lega'!$B$4-SUMIFS($M$2:$M$492,$D$2:$D$492,'Info Lega'!$B$28)</f>
        <v>1000</v>
      </c>
      <c r="X254" s="21" t="n">
        <f aca="false">('Info Lega'!$B$5-COUNTIFS($D$2:$D$492,'Info Lega'!$B$28,$B$2:$B$492,"P"))+('Info Lega'!$B$6-COUNTIFS($D$2:$D$492,'Info Lega'!$B$28,$B$2:$B$492,"D"))+('Info Lega'!$B$7-COUNTIFS($D$2:$D$492,'Info Lega'!$B$28,$B$2:$B$492,"C"))+('Info Lega'!$B$8-COUNTIFS($D$2:$D$492,'Info Lega'!$B$28,$B$2:$B$492,"A"))</f>
        <v>25</v>
      </c>
      <c r="Y254" s="21" t="n">
        <f aca="false">X254*'Parametri Modello'!$B$30</f>
        <v>25</v>
      </c>
      <c r="Z254" s="21" t="n">
        <f aca="false">MAX(0,W254-Y254)</f>
        <v>975</v>
      </c>
      <c r="AA254" s="21" t="n">
        <f aca="false">MIN(F254,Z254)</f>
        <v>2</v>
      </c>
      <c r="AB254" s="21"/>
      <c r="AC254" s="21" t="str">
        <f aca="false">IF(AB254="","",IF(AB254&gt;AA254,"PASS",IF(AB254&lt;=AA254*0.85,"BID","ATTENZIONE")))</f>
        <v/>
      </c>
      <c r="AD254" s="31" t="n">
        <f aca="false">IF(I254="","",ROUND(100*(1-EXP(-I254/30)),0))</f>
        <v>72</v>
      </c>
      <c r="AE254" s="7" t="str">
        <f aca="false">IFERROR(INDEX('Stato Asta'!$G$9:$G$12,MATCH($B254,'Stato Asta'!$A$9:$A$12,0)),"")</f>
        <v>🟡 Attesa rischiosa</v>
      </c>
    </row>
    <row r="255" customFormat="false" ht="14.25" hidden="false" customHeight="true" outlineLevel="0" collapsed="false">
      <c r="A255" s="21" t="n">
        <v>5998</v>
      </c>
      <c r="B255" s="21" t="s">
        <v>45</v>
      </c>
      <c r="C255" s="21" t="s">
        <v>451</v>
      </c>
      <c r="E255" s="26" t="str">
        <f aca="false">IF(COUNTIF('Info Strategia'!$D$2:$D$51,$C255)&gt;0,"SI","NO")</f>
        <v>NO</v>
      </c>
      <c r="F255" s="27" t="n">
        <f aca="false">IFERROR(ROUND(($G255+($H255-$G255)*'Info Strategia'!$B$6)*(1+IF($E255="SI",'Parametri Modello'!$B$7*'Info Strategia'!$B$6,0)),0),"")</f>
        <v>2</v>
      </c>
      <c r="G255" s="27" t="n">
        <f aca="false">IFERROR(ROUND(MAX(1,(IF($V255&lt;=INDEX('Parametri Modello'!$C$57:$C$60,MATCH($B255,'Parametri Modello'!$A$57:$A$60,0)),IF(INDEX('Parametri Modello'!$E$57:$E$60,MATCH($B255,'Parametri Modello'!$A$57:$A$60,0))=0,0,($O255/INDEX('Parametri Modello'!$E$57:$E$60,MATCH($B255,'Parametri Modello'!$A$57:$A$60,0)))*(INDEX('Parametri Modello'!$D$57:$D$60,MATCH($B255,'Parametri Modello'!$A$57:$A$60,0))*(INDEX('Parametri Modello'!$B$50:$B$53,MATCH($B255,'Parametri Modello'!$A$50:$A$53,0))*'Parametri Modello'!$B$44))),IF(INDEX('Parametri Modello'!$F$57:$F$60,MATCH($B255,'Parametri Modello'!$A$57:$A$60,0))=0,0,($O255/INDEX('Parametri Modello'!$F$57:$F$60,MATCH($B255,'Parametri Modello'!$A$57:$A$60,0)))*((1-INDEX('Parametri Modello'!$D$57:$D$60,MATCH($B255,'Parametri Modello'!$A$57:$A$60,0)))*(INDEX('Parametri Modello'!$B$50:$B$53,MATCH($B255,'Parametri Modello'!$A$50:$A$53,0))*'Parametri Modello'!$B$44))))*(1+IF(IF($B255="D",'Info Lega'!$B$25,IF($B255="C",'Info Lega'!$B$26,"No"))="Si",'Parametri Modello'!$B$5,0))*(1+MAX(-0.25,MIN(0.25,IF(OR($T255="",$I255="",$I255=0,INDEX('Parametri Modello'!$B$19:$B$22,MATCH($B255,'Parametri Modello'!$A$19:$A$22,0))="",INDEX('Parametri Modello'!$B$19:$B$22,MATCH($B255,'Parametri Modello'!$A$19:$A$22,0))=0),0,(($T255-INDEX('Parametri Modello'!$B$19:$B$22,MATCH($B255,'Parametri Modello'!$A$19:$A$22,0)))/INDEX('Parametri Modello'!$B$19:$B$22,MATCH($B255,'Parametri Modello'!$A$19:$A$22,0)))*'Parametri Modello'!$B$9))))*(1+IF('Parametri Modello'!$B$27="Si",MAX(-'Parametri Modello'!$B$28,MIN('Parametri Modello'!$B$28*1.5,IF(OR(INDEX('Parametri Modello'!$F$32:$F$35,MATCH($B255,'Parametri Modello'!$A$32:$A$35,0))="",INDEX('Parametri Modello'!$F$32:$F$35,MATCH($B255,'Parametri Modello'!$A$32:$A$35,0))=0),0,(1/INDEX('Parametri Modello'!$F$32:$F$35,MATCH($B255,'Parametri Modello'!$A$32:$A$35,0))-1)*'Parametri Modello'!$B$28))),0)))*(1-INDEX('Parametri Modello'!$B$12:$B$15,MATCH($B255,'Parametri Modello'!$A$12:$A$15,0)))),0),"")</f>
        <v>1</v>
      </c>
      <c r="H255" s="27" t="n">
        <f aca="false">IFERROR(ROUND((IF($V255&lt;=INDEX('Parametri Modello'!$C$57:$C$60,MATCH($B255,'Parametri Modello'!$A$57:$A$60,0)),IF(INDEX('Parametri Modello'!$E$57:$E$60,MATCH($B255,'Parametri Modello'!$A$57:$A$60,0))=0,0,($O255/INDEX('Parametri Modello'!$E$57:$E$60,MATCH($B255,'Parametri Modello'!$A$57:$A$60,0)))*(INDEX('Parametri Modello'!$D$57:$D$60,MATCH($B255,'Parametri Modello'!$A$57:$A$60,0))*(INDEX('Parametri Modello'!$B$50:$B$53,MATCH($B255,'Parametri Modello'!$A$50:$A$53,0))*'Parametri Modello'!$B$44))),IF(INDEX('Parametri Modello'!$F$57:$F$60,MATCH($B255,'Parametri Modello'!$A$57:$A$60,0))=0,0,($O255/INDEX('Parametri Modello'!$F$57:$F$60,MATCH($B255,'Parametri Modello'!$A$57:$A$60,0)))*((1-INDEX('Parametri Modello'!$D$57:$D$60,MATCH($B255,'Parametri Modello'!$A$57:$A$60,0)))*(INDEX('Parametri Modello'!$B$50:$B$53,MATCH($B255,'Parametri Modello'!$A$50:$A$53,0))*'Parametri Modello'!$B$44))))*(1+IF(IF($B255="D",'Info Lega'!$B$25,IF($B255="C",'Info Lega'!$B$26,"No"))="Si",'Parametri Modello'!$B$5,0))*(1+MAX(-0.25,MIN(0.25,IF(OR($T255="",$I255="",$I255=0,INDEX('Parametri Modello'!$B$19:$B$22,MATCH($B255,'Parametri Modello'!$A$19:$A$22,0))="",INDEX('Parametri Modello'!$B$19:$B$22,MATCH($B255,'Parametri Modello'!$A$19:$A$22,0))=0),0,(($T255-INDEX('Parametri Modello'!$B$19:$B$22,MATCH($B255,'Parametri Modello'!$A$19:$A$22,0)))/INDEX('Parametri Modello'!$B$19:$B$22,MATCH($B255,'Parametri Modello'!$A$19:$A$22,0)))*'Parametri Modello'!$B$9))))*(1+IF('Parametri Modello'!$B$27="Si",MAX(-'Parametri Modello'!$B$28,MIN('Parametri Modello'!$B$28*1.5,IF(OR(INDEX('Parametri Modello'!$F$32:$F$35,MATCH($B255,'Parametri Modello'!$A$32:$A$35,0))="",INDEX('Parametri Modello'!$F$32:$F$35,MATCH($B255,'Parametri Modello'!$A$32:$A$35,0))=0),0,(1/INDEX('Parametri Modello'!$F$32:$F$35,MATCH($B255,'Parametri Modello'!$A$32:$A$35,0))-1)*'Parametri Modello'!$B$28))),0)))*(1+INDEX('Parametri Modello'!$B$12:$B$15,MATCH($B255,'Parametri Modello'!$A$12:$A$15,0))),0),"")</f>
        <v>2</v>
      </c>
      <c r="I255" s="26" t="n">
        <f aca="false">IFERROR(INDEX('Input Statistiche 2025_26'!$F$3:$F$665,MATCH($A255,'Input Statistiche 2025_26'!$A$3:$A$665,0)),"")</f>
        <v>29</v>
      </c>
      <c r="J255" s="26" t="n">
        <f aca="false">IFERROR(IF($I255="","",MAX(0,38-$I255)),"")</f>
        <v>9</v>
      </c>
      <c r="K255" s="26" t="n">
        <f aca="false">IFERROR(INDEX('Input Statistiche 2025_26'!$I$3:$I$665,MATCH($A255,'Input Statistiche 2025_26'!$A$3:$A$665,0)),"")</f>
        <v>0</v>
      </c>
      <c r="L255" s="26" t="n">
        <f aca="false">IFERROR(INDEX('Input Statistiche 2025_26'!$O$3:$O$665,MATCH($A255,'Input Statistiche 2025_26'!$A$3:$A$665,0)),"")</f>
        <v>2</v>
      </c>
      <c r="M255" s="28"/>
      <c r="N255" s="27" t="n">
        <f aca="false">IFERROR(INDEX('Input Giocatori 2026_27'!$E$3:$E$493,MATCH($A255,'Input Giocatori 2026_27'!$A$3:$A$493,0)),"")</f>
        <v>5</v>
      </c>
      <c r="O255" s="27" t="n">
        <f aca="false">IFERROR(INDEX('Input Giocatori 2026_27'!$G$3:$G$493,MATCH($A255,'Input Giocatori 2026_27'!$A$3:$A$493,0)),"")</f>
        <v>13</v>
      </c>
      <c r="P255" s="26" t="str">
        <f aca="false">IFERROR(IF($O255="","",IF((1-(COUNTIFS($B$2:$B$492,$B255,$O$2:$O$492,"&gt;"&amp;$O255)+1-1)/COUNTIF($B$2:$B$492,$B255))&gt;=0.85,"Top",IF((1-(COUNTIFS($B$2:$B$492,$B255,$O$2:$O$492,"&gt;"&amp;$O255)+1-1)/COUNTIF($B$2:$B$492,$B255))&gt;=0.6,"Buono",IF((1-(COUNTIFS($B$2:$B$492,$B255,$O$2:$O$492,"&gt;"&amp;$O255)+1-1)/COUNTIF($B$2:$B$492,$B255))&gt;=0.3,"Nella Media","Scommessa/Riserva")))),"")</f>
        <v>Nella Media</v>
      </c>
      <c r="Q255" s="29" t="n">
        <f aca="false">IF($D255="",COUNTIF($D$2:$D255,""),"")</f>
        <v>254</v>
      </c>
      <c r="R255" s="29" t="str">
        <f aca="false">IF($D255='Info Lega'!$B$28,COUNTIFS($D$2:$D255,'Info Lega'!$B$28),"")</f>
        <v/>
      </c>
      <c r="S255" s="30" t="n">
        <f aca="false">IFERROR(INDEX('Input Statistiche 2025_26'!$G$3:$G$665,MATCH($A255,'Input Statistiche 2025_26'!$A$3:$A$665,0)),"")</f>
        <v>5.76</v>
      </c>
      <c r="T255" s="30" t="n">
        <f aca="false">IFERROR(INDEX('Input Statistiche 2025_26'!$H$3:$H$665,MATCH($A255,'Input Statistiche 2025_26'!$A$3:$A$665,0)),"")</f>
        <v>5.79</v>
      </c>
      <c r="U255" s="26" t="str">
        <f aca="false">IF(OR('La Mia Rosa'!$O$12="",$D255&lt;&gt;""),"",IF($F255&lt;='La Mia Rosa'!$O$12*'Parametri Modello'!$B$24,"OK",IF($F255&lt;='La Mia Rosa'!$O$12*'Parametri Modello'!$B$25,"Attenzione","Rischio Alto")))</f>
        <v>OK</v>
      </c>
      <c r="V255" s="26" t="n">
        <f aca="false">IFERROR(COUNTIFS($B$2:$B$492,$B255,$O$2:$O$492,"&gt;"&amp;$O255)+1,"")</f>
        <v>98</v>
      </c>
      <c r="W255" s="21" t="n">
        <f aca="false">'Info Lega'!$B$4-SUMIFS($M$2:$M$492,$D$2:$D$492,'Info Lega'!$B$28)</f>
        <v>1000</v>
      </c>
      <c r="X255" s="21" t="n">
        <f aca="false">('Info Lega'!$B$5-COUNTIFS($D$2:$D$492,'Info Lega'!$B$28,$B$2:$B$492,"P"))+('Info Lega'!$B$6-COUNTIFS($D$2:$D$492,'Info Lega'!$B$28,$B$2:$B$492,"D"))+('Info Lega'!$B$7-COUNTIFS($D$2:$D$492,'Info Lega'!$B$28,$B$2:$B$492,"C"))+('Info Lega'!$B$8-COUNTIFS($D$2:$D$492,'Info Lega'!$B$28,$B$2:$B$492,"A"))</f>
        <v>25</v>
      </c>
      <c r="Y255" s="21" t="n">
        <f aca="false">X255*'Parametri Modello'!$B$30</f>
        <v>25</v>
      </c>
      <c r="Z255" s="21" t="n">
        <f aca="false">MAX(0,W255-Y255)</f>
        <v>975</v>
      </c>
      <c r="AA255" s="21" t="n">
        <f aca="false">MIN(F255,Z255)</f>
        <v>2</v>
      </c>
      <c r="AB255" s="21"/>
      <c r="AC255" s="21" t="str">
        <f aca="false">IF(AB255="","",IF(AB255&gt;AA255,"PASS",IF(AB255&lt;=AA255*0.85,"BID","ATTENZIONE")))</f>
        <v/>
      </c>
      <c r="AD255" s="31" t="n">
        <f aca="false">IF(I255="","",ROUND(100*(1-EXP(-I255/30)),0))</f>
        <v>62</v>
      </c>
      <c r="AE255" s="7" t="str">
        <f aca="false">IFERROR(INDEX('Stato Asta'!$G$9:$G$12,MATCH($B255,'Stato Asta'!$A$9:$A$12,0)),"")</f>
        <v>🟡 Attesa rischiosa</v>
      </c>
    </row>
    <row r="256" customFormat="false" ht="14.25" hidden="false" customHeight="true" outlineLevel="0" collapsed="false">
      <c r="A256" s="21" t="n">
        <v>6629</v>
      </c>
      <c r="B256" s="21" t="s">
        <v>45</v>
      </c>
      <c r="C256" s="21" t="s">
        <v>456</v>
      </c>
      <c r="E256" s="26" t="str">
        <f aca="false">IF(COUNTIF('Info Strategia'!$D$2:$D$51,$C256)&gt;0,"SI","NO")</f>
        <v>NO</v>
      </c>
      <c r="F256" s="27" t="n">
        <f aca="false">IFERROR(ROUND(($G256+($H256-$G256)*'Info Strategia'!$B$6)*(1+IF($E256="SI",'Parametri Modello'!$B$7*'Info Strategia'!$B$6,0)),0),"")</f>
        <v>2</v>
      </c>
      <c r="G256" s="27" t="n">
        <f aca="false">IFERROR(ROUND(MAX(1,(IF($V256&lt;=INDEX('Parametri Modello'!$C$57:$C$60,MATCH($B256,'Parametri Modello'!$A$57:$A$60,0)),IF(INDEX('Parametri Modello'!$E$57:$E$60,MATCH($B256,'Parametri Modello'!$A$57:$A$60,0))=0,0,($O256/INDEX('Parametri Modello'!$E$57:$E$60,MATCH($B256,'Parametri Modello'!$A$57:$A$60,0)))*(INDEX('Parametri Modello'!$D$57:$D$60,MATCH($B256,'Parametri Modello'!$A$57:$A$60,0))*(INDEX('Parametri Modello'!$B$50:$B$53,MATCH($B256,'Parametri Modello'!$A$50:$A$53,0))*'Parametri Modello'!$B$44))),IF(INDEX('Parametri Modello'!$F$57:$F$60,MATCH($B256,'Parametri Modello'!$A$57:$A$60,0))=0,0,($O256/INDEX('Parametri Modello'!$F$57:$F$60,MATCH($B256,'Parametri Modello'!$A$57:$A$60,0)))*((1-INDEX('Parametri Modello'!$D$57:$D$60,MATCH($B256,'Parametri Modello'!$A$57:$A$60,0)))*(INDEX('Parametri Modello'!$B$50:$B$53,MATCH($B256,'Parametri Modello'!$A$50:$A$53,0))*'Parametri Modello'!$B$44))))*(1+IF(IF($B256="D",'Info Lega'!$B$25,IF($B256="C",'Info Lega'!$B$26,"No"))="Si",'Parametri Modello'!$B$5,0))*(1+MAX(-0.25,MIN(0.25,IF(OR($T256="",$I256="",$I256=0,INDEX('Parametri Modello'!$B$19:$B$22,MATCH($B256,'Parametri Modello'!$A$19:$A$22,0))="",INDEX('Parametri Modello'!$B$19:$B$22,MATCH($B256,'Parametri Modello'!$A$19:$A$22,0))=0),0,(($T256-INDEX('Parametri Modello'!$B$19:$B$22,MATCH($B256,'Parametri Modello'!$A$19:$A$22,0)))/INDEX('Parametri Modello'!$B$19:$B$22,MATCH($B256,'Parametri Modello'!$A$19:$A$22,0)))*'Parametri Modello'!$B$9))))*(1+IF('Parametri Modello'!$B$27="Si",MAX(-'Parametri Modello'!$B$28,MIN('Parametri Modello'!$B$28*1.5,IF(OR(INDEX('Parametri Modello'!$F$32:$F$35,MATCH($B256,'Parametri Modello'!$A$32:$A$35,0))="",INDEX('Parametri Modello'!$F$32:$F$35,MATCH($B256,'Parametri Modello'!$A$32:$A$35,0))=0),0,(1/INDEX('Parametri Modello'!$F$32:$F$35,MATCH($B256,'Parametri Modello'!$A$32:$A$35,0))-1)*'Parametri Modello'!$B$28))),0)))*(1-INDEX('Parametri Modello'!$B$12:$B$15,MATCH($B256,'Parametri Modello'!$A$12:$A$15,0)))),0),"")</f>
        <v>1</v>
      </c>
      <c r="H256" s="27" t="n">
        <f aca="false">IFERROR(ROUND((IF($V256&lt;=INDEX('Parametri Modello'!$C$57:$C$60,MATCH($B256,'Parametri Modello'!$A$57:$A$60,0)),IF(INDEX('Parametri Modello'!$E$57:$E$60,MATCH($B256,'Parametri Modello'!$A$57:$A$60,0))=0,0,($O256/INDEX('Parametri Modello'!$E$57:$E$60,MATCH($B256,'Parametri Modello'!$A$57:$A$60,0)))*(INDEX('Parametri Modello'!$D$57:$D$60,MATCH($B256,'Parametri Modello'!$A$57:$A$60,0))*(INDEX('Parametri Modello'!$B$50:$B$53,MATCH($B256,'Parametri Modello'!$A$50:$A$53,0))*'Parametri Modello'!$B$44))),IF(INDEX('Parametri Modello'!$F$57:$F$60,MATCH($B256,'Parametri Modello'!$A$57:$A$60,0))=0,0,($O256/INDEX('Parametri Modello'!$F$57:$F$60,MATCH($B256,'Parametri Modello'!$A$57:$A$60,0)))*((1-INDEX('Parametri Modello'!$D$57:$D$60,MATCH($B256,'Parametri Modello'!$A$57:$A$60,0)))*(INDEX('Parametri Modello'!$B$50:$B$53,MATCH($B256,'Parametri Modello'!$A$50:$A$53,0))*'Parametri Modello'!$B$44))))*(1+IF(IF($B256="D",'Info Lega'!$B$25,IF($B256="C",'Info Lega'!$B$26,"No"))="Si",'Parametri Modello'!$B$5,0))*(1+MAX(-0.25,MIN(0.25,IF(OR($T256="",$I256="",$I256=0,INDEX('Parametri Modello'!$B$19:$B$22,MATCH($B256,'Parametri Modello'!$A$19:$A$22,0))="",INDEX('Parametri Modello'!$B$19:$B$22,MATCH($B256,'Parametri Modello'!$A$19:$A$22,0))=0),0,(($T256-INDEX('Parametri Modello'!$B$19:$B$22,MATCH($B256,'Parametri Modello'!$A$19:$A$22,0)))/INDEX('Parametri Modello'!$B$19:$B$22,MATCH($B256,'Parametri Modello'!$A$19:$A$22,0)))*'Parametri Modello'!$B$9))))*(1+IF('Parametri Modello'!$B$27="Si",MAX(-'Parametri Modello'!$B$28,MIN('Parametri Modello'!$B$28*1.5,IF(OR(INDEX('Parametri Modello'!$F$32:$F$35,MATCH($B256,'Parametri Modello'!$A$32:$A$35,0))="",INDEX('Parametri Modello'!$F$32:$F$35,MATCH($B256,'Parametri Modello'!$A$32:$A$35,0))=0),0,(1/INDEX('Parametri Modello'!$F$32:$F$35,MATCH($B256,'Parametri Modello'!$A$32:$A$35,0))-1)*'Parametri Modello'!$B$28))),0)))*(1+INDEX('Parametri Modello'!$B$12:$B$15,MATCH($B256,'Parametri Modello'!$A$12:$A$15,0))),0),"")</f>
        <v>2</v>
      </c>
      <c r="I256" s="26" t="n">
        <f aca="false">IFERROR(INDEX('Input Statistiche 2025_26'!$F$3:$F$665,MATCH($A256,'Input Statistiche 2025_26'!$A$3:$A$665,0)),"")</f>
        <v>21</v>
      </c>
      <c r="J256" s="26" t="n">
        <f aca="false">IFERROR(IF($I256="","",MAX(0,38-$I256)),"")</f>
        <v>17</v>
      </c>
      <c r="K256" s="26" t="n">
        <f aca="false">IFERROR(INDEX('Input Statistiche 2025_26'!$I$3:$I$665,MATCH($A256,'Input Statistiche 2025_26'!$A$3:$A$665,0)),"")</f>
        <v>1</v>
      </c>
      <c r="L256" s="26" t="n">
        <f aca="false">IFERROR(INDEX('Input Statistiche 2025_26'!$O$3:$O$665,MATCH($A256,'Input Statistiche 2025_26'!$A$3:$A$665,0)),"")</f>
        <v>0</v>
      </c>
      <c r="M256" s="28"/>
      <c r="N256" s="27" t="n">
        <f aca="false">IFERROR(INDEX('Input Giocatori 2026_27'!$E$3:$E$493,MATCH($A256,'Input Giocatori 2026_27'!$A$3:$A$493,0)),"")</f>
        <v>5</v>
      </c>
      <c r="O256" s="27" t="n">
        <f aca="false">IFERROR(INDEX('Input Giocatori 2026_27'!$G$3:$G$493,MATCH($A256,'Input Giocatori 2026_27'!$A$3:$A$493,0)),"")</f>
        <v>13</v>
      </c>
      <c r="P256" s="26" t="str">
        <f aca="false">IFERROR(IF($O256="","",IF((1-(COUNTIFS($B$2:$B$492,$B256,$O$2:$O$492,"&gt;"&amp;$O256)+1-1)/COUNTIF($B$2:$B$492,$B256))&gt;=0.85,"Top",IF((1-(COUNTIFS($B$2:$B$492,$B256,$O$2:$O$492,"&gt;"&amp;$O256)+1-1)/COUNTIF($B$2:$B$492,$B256))&gt;=0.6,"Buono",IF((1-(COUNTIFS($B$2:$B$492,$B256,$O$2:$O$492,"&gt;"&amp;$O256)+1-1)/COUNTIF($B$2:$B$492,$B256))&gt;=0.3,"Nella Media","Scommessa/Riserva")))),"")</f>
        <v>Nella Media</v>
      </c>
      <c r="Q256" s="29" t="n">
        <f aca="false">IF($D256="",COUNTIF($D$2:$D256,""),"")</f>
        <v>255</v>
      </c>
      <c r="R256" s="29" t="str">
        <f aca="false">IF($D256='Info Lega'!$B$28,COUNTIFS($D$2:$D256,'Info Lega'!$B$28),"")</f>
        <v/>
      </c>
      <c r="S256" s="30" t="n">
        <f aca="false">IFERROR(INDEX('Input Statistiche 2025_26'!$G$3:$G$665,MATCH($A256,'Input Statistiche 2025_26'!$A$3:$A$665,0)),"")</f>
        <v>5.69</v>
      </c>
      <c r="T256" s="30" t="n">
        <f aca="false">IFERROR(INDEX('Input Statistiche 2025_26'!$H$3:$H$665,MATCH($A256,'Input Statistiche 2025_26'!$A$3:$A$665,0)),"")</f>
        <v>5.83</v>
      </c>
      <c r="U256" s="26" t="str">
        <f aca="false">IF(OR('La Mia Rosa'!$O$12="",$D256&lt;&gt;""),"",IF($F256&lt;='La Mia Rosa'!$O$12*'Parametri Modello'!$B$24,"OK",IF($F256&lt;='La Mia Rosa'!$O$12*'Parametri Modello'!$B$25,"Attenzione","Rischio Alto")))</f>
        <v>OK</v>
      </c>
      <c r="V256" s="26" t="n">
        <f aca="false">IFERROR(COUNTIFS($B$2:$B$492,$B256,$O$2:$O$492,"&gt;"&amp;$O256)+1,"")</f>
        <v>98</v>
      </c>
      <c r="W256" s="21" t="n">
        <f aca="false">'Info Lega'!$B$4-SUMIFS($M$2:$M$492,$D$2:$D$492,'Info Lega'!$B$28)</f>
        <v>1000</v>
      </c>
      <c r="X256" s="21" t="n">
        <f aca="false">('Info Lega'!$B$5-COUNTIFS($D$2:$D$492,'Info Lega'!$B$28,$B$2:$B$492,"P"))+('Info Lega'!$B$6-COUNTIFS($D$2:$D$492,'Info Lega'!$B$28,$B$2:$B$492,"D"))+('Info Lega'!$B$7-COUNTIFS($D$2:$D$492,'Info Lega'!$B$28,$B$2:$B$492,"C"))+('Info Lega'!$B$8-COUNTIFS($D$2:$D$492,'Info Lega'!$B$28,$B$2:$B$492,"A"))</f>
        <v>25</v>
      </c>
      <c r="Y256" s="21" t="n">
        <f aca="false">X256*'Parametri Modello'!$B$30</f>
        <v>25</v>
      </c>
      <c r="Z256" s="21" t="n">
        <f aca="false">MAX(0,W256-Y256)</f>
        <v>975</v>
      </c>
      <c r="AA256" s="21" t="n">
        <f aca="false">MIN(F256,Z256)</f>
        <v>2</v>
      </c>
      <c r="AB256" s="21"/>
      <c r="AC256" s="21" t="str">
        <f aca="false">IF(AB256="","",IF(AB256&gt;AA256,"PASS",IF(AB256&lt;=AA256*0.85,"BID","ATTENZIONE")))</f>
        <v/>
      </c>
      <c r="AD256" s="31" t="n">
        <f aca="false">IF(I256="","",ROUND(100*(1-EXP(-I256/30)),0))</f>
        <v>50</v>
      </c>
      <c r="AE256" s="7" t="str">
        <f aca="false">IFERROR(INDEX('Stato Asta'!$G$9:$G$12,MATCH($B256,'Stato Asta'!$A$9:$A$12,0)),"")</f>
        <v>🟡 Attesa rischiosa</v>
      </c>
    </row>
    <row r="257" customFormat="false" ht="14.25" hidden="false" customHeight="true" outlineLevel="0" collapsed="false">
      <c r="A257" s="21" t="n">
        <v>6170</v>
      </c>
      <c r="B257" s="21" t="s">
        <v>45</v>
      </c>
      <c r="C257" s="21" t="s">
        <v>467</v>
      </c>
      <c r="E257" s="26" t="str">
        <f aca="false">IF(COUNTIF('Info Strategia'!$D$2:$D$51,$C257)&gt;0,"SI","NO")</f>
        <v>NO</v>
      </c>
      <c r="F257" s="27" t="n">
        <f aca="false">IFERROR(ROUND(($G257+($H257-$G257)*'Info Strategia'!$B$6)*(1+IF($E257="SI",'Parametri Modello'!$B$7*'Info Strategia'!$B$6,0)),0),"")</f>
        <v>2</v>
      </c>
      <c r="G257" s="27" t="n">
        <f aca="false">IFERROR(ROUND(MAX(1,(IF($V257&lt;=INDEX('Parametri Modello'!$C$57:$C$60,MATCH($B257,'Parametri Modello'!$A$57:$A$60,0)),IF(INDEX('Parametri Modello'!$E$57:$E$60,MATCH($B257,'Parametri Modello'!$A$57:$A$60,0))=0,0,($O257/INDEX('Parametri Modello'!$E$57:$E$60,MATCH($B257,'Parametri Modello'!$A$57:$A$60,0)))*(INDEX('Parametri Modello'!$D$57:$D$60,MATCH($B257,'Parametri Modello'!$A$57:$A$60,0))*(INDEX('Parametri Modello'!$B$50:$B$53,MATCH($B257,'Parametri Modello'!$A$50:$A$53,0))*'Parametri Modello'!$B$44))),IF(INDEX('Parametri Modello'!$F$57:$F$60,MATCH($B257,'Parametri Modello'!$A$57:$A$60,0))=0,0,($O257/INDEX('Parametri Modello'!$F$57:$F$60,MATCH($B257,'Parametri Modello'!$A$57:$A$60,0)))*((1-INDEX('Parametri Modello'!$D$57:$D$60,MATCH($B257,'Parametri Modello'!$A$57:$A$60,0)))*(INDEX('Parametri Modello'!$B$50:$B$53,MATCH($B257,'Parametri Modello'!$A$50:$A$53,0))*'Parametri Modello'!$B$44))))*(1+IF(IF($B257="D",'Info Lega'!$B$25,IF($B257="C",'Info Lega'!$B$26,"No"))="Si",'Parametri Modello'!$B$5,0))*(1+MAX(-0.25,MIN(0.25,IF(OR($T257="",$I257="",$I257=0,INDEX('Parametri Modello'!$B$19:$B$22,MATCH($B257,'Parametri Modello'!$A$19:$A$22,0))="",INDEX('Parametri Modello'!$B$19:$B$22,MATCH($B257,'Parametri Modello'!$A$19:$A$22,0))=0),0,(($T257-INDEX('Parametri Modello'!$B$19:$B$22,MATCH($B257,'Parametri Modello'!$A$19:$A$22,0)))/INDEX('Parametri Modello'!$B$19:$B$22,MATCH($B257,'Parametri Modello'!$A$19:$A$22,0)))*'Parametri Modello'!$B$9))))*(1+IF('Parametri Modello'!$B$27="Si",MAX(-'Parametri Modello'!$B$28,MIN('Parametri Modello'!$B$28*1.5,IF(OR(INDEX('Parametri Modello'!$F$32:$F$35,MATCH($B257,'Parametri Modello'!$A$32:$A$35,0))="",INDEX('Parametri Modello'!$F$32:$F$35,MATCH($B257,'Parametri Modello'!$A$32:$A$35,0))=0),0,(1/INDEX('Parametri Modello'!$F$32:$F$35,MATCH($B257,'Parametri Modello'!$A$32:$A$35,0))-1)*'Parametri Modello'!$B$28))),0)))*(1-INDEX('Parametri Modello'!$B$12:$B$15,MATCH($B257,'Parametri Modello'!$A$12:$A$15,0)))),0),"")</f>
        <v>1</v>
      </c>
      <c r="H257" s="27" t="n">
        <f aca="false">IFERROR(ROUND((IF($V257&lt;=INDEX('Parametri Modello'!$C$57:$C$60,MATCH($B257,'Parametri Modello'!$A$57:$A$60,0)),IF(INDEX('Parametri Modello'!$E$57:$E$60,MATCH($B257,'Parametri Modello'!$A$57:$A$60,0))=0,0,($O257/INDEX('Parametri Modello'!$E$57:$E$60,MATCH($B257,'Parametri Modello'!$A$57:$A$60,0)))*(INDEX('Parametri Modello'!$D$57:$D$60,MATCH($B257,'Parametri Modello'!$A$57:$A$60,0))*(INDEX('Parametri Modello'!$B$50:$B$53,MATCH($B257,'Parametri Modello'!$A$50:$A$53,0))*'Parametri Modello'!$B$44))),IF(INDEX('Parametri Modello'!$F$57:$F$60,MATCH($B257,'Parametri Modello'!$A$57:$A$60,0))=0,0,($O257/INDEX('Parametri Modello'!$F$57:$F$60,MATCH($B257,'Parametri Modello'!$A$57:$A$60,0)))*((1-INDEX('Parametri Modello'!$D$57:$D$60,MATCH($B257,'Parametri Modello'!$A$57:$A$60,0)))*(INDEX('Parametri Modello'!$B$50:$B$53,MATCH($B257,'Parametri Modello'!$A$50:$A$53,0))*'Parametri Modello'!$B$44))))*(1+IF(IF($B257="D",'Info Lega'!$B$25,IF($B257="C",'Info Lega'!$B$26,"No"))="Si",'Parametri Modello'!$B$5,0))*(1+MAX(-0.25,MIN(0.25,IF(OR($T257="",$I257="",$I257=0,INDEX('Parametri Modello'!$B$19:$B$22,MATCH($B257,'Parametri Modello'!$A$19:$A$22,0))="",INDEX('Parametri Modello'!$B$19:$B$22,MATCH($B257,'Parametri Modello'!$A$19:$A$22,0))=0),0,(($T257-INDEX('Parametri Modello'!$B$19:$B$22,MATCH($B257,'Parametri Modello'!$A$19:$A$22,0)))/INDEX('Parametri Modello'!$B$19:$B$22,MATCH($B257,'Parametri Modello'!$A$19:$A$22,0)))*'Parametri Modello'!$B$9))))*(1+IF('Parametri Modello'!$B$27="Si",MAX(-'Parametri Modello'!$B$28,MIN('Parametri Modello'!$B$28*1.5,IF(OR(INDEX('Parametri Modello'!$F$32:$F$35,MATCH($B257,'Parametri Modello'!$A$32:$A$35,0))="",INDEX('Parametri Modello'!$F$32:$F$35,MATCH($B257,'Parametri Modello'!$A$32:$A$35,0))=0),0,(1/INDEX('Parametri Modello'!$F$32:$F$35,MATCH($B257,'Parametri Modello'!$A$32:$A$35,0))-1)*'Parametri Modello'!$B$28))),0)))*(1+INDEX('Parametri Modello'!$B$12:$B$15,MATCH($B257,'Parametri Modello'!$A$12:$A$15,0))),0),"")</f>
        <v>2</v>
      </c>
      <c r="I257" s="26" t="n">
        <f aca="false">IFERROR(INDEX('Input Statistiche 2025_26'!$F$3:$F$665,MATCH($A257,'Input Statistiche 2025_26'!$A$3:$A$665,0)),"")</f>
        <v>27</v>
      </c>
      <c r="J257" s="26" t="n">
        <f aca="false">IFERROR(IF($I257="","",MAX(0,38-$I257)),"")</f>
        <v>11</v>
      </c>
      <c r="K257" s="26" t="n">
        <f aca="false">IFERROR(INDEX('Input Statistiche 2025_26'!$I$3:$I$665,MATCH($A257,'Input Statistiche 2025_26'!$A$3:$A$665,0)),"")</f>
        <v>0</v>
      </c>
      <c r="L257" s="26" t="n">
        <f aca="false">IFERROR(INDEX('Input Statistiche 2025_26'!$O$3:$O$665,MATCH($A257,'Input Statistiche 2025_26'!$A$3:$A$665,0)),"")</f>
        <v>1</v>
      </c>
      <c r="M257" s="28"/>
      <c r="N257" s="27" t="n">
        <f aca="false">IFERROR(INDEX('Input Giocatori 2026_27'!$E$3:$E$493,MATCH($A257,'Input Giocatori 2026_27'!$A$3:$A$493,0)),"")</f>
        <v>5</v>
      </c>
      <c r="O257" s="27" t="n">
        <f aca="false">IFERROR(INDEX('Input Giocatori 2026_27'!$G$3:$G$493,MATCH($A257,'Input Giocatori 2026_27'!$A$3:$A$493,0)),"")</f>
        <v>13</v>
      </c>
      <c r="P257" s="26" t="str">
        <f aca="false">IFERROR(IF($O257="","",IF((1-(COUNTIFS($B$2:$B$492,$B257,$O$2:$O$492,"&gt;"&amp;$O257)+1-1)/COUNTIF($B$2:$B$492,$B257))&gt;=0.85,"Top",IF((1-(COUNTIFS($B$2:$B$492,$B257,$O$2:$O$492,"&gt;"&amp;$O257)+1-1)/COUNTIF($B$2:$B$492,$B257))&gt;=0.6,"Buono",IF((1-(COUNTIFS($B$2:$B$492,$B257,$O$2:$O$492,"&gt;"&amp;$O257)+1-1)/COUNTIF($B$2:$B$492,$B257))&gt;=0.3,"Nella Media","Scommessa/Riserva")))),"")</f>
        <v>Nella Media</v>
      </c>
      <c r="Q257" s="29" t="n">
        <f aca="false">IF($D257="",COUNTIF($D$2:$D257,""),"")</f>
        <v>256</v>
      </c>
      <c r="R257" s="29" t="str">
        <f aca="false">IF($D257='Info Lega'!$B$28,COUNTIFS($D$2:$D257,'Info Lega'!$B$28),"")</f>
        <v/>
      </c>
      <c r="S257" s="30" t="n">
        <f aca="false">IFERROR(INDEX('Input Statistiche 2025_26'!$G$3:$G$665,MATCH($A257,'Input Statistiche 2025_26'!$A$3:$A$665,0)),"")</f>
        <v>5.87</v>
      </c>
      <c r="T257" s="30" t="n">
        <f aca="false">IFERROR(INDEX('Input Statistiche 2025_26'!$H$3:$H$665,MATCH($A257,'Input Statistiche 2025_26'!$A$3:$A$665,0)),"")</f>
        <v>5.81</v>
      </c>
      <c r="U257" s="26" t="str">
        <f aca="false">IF(OR('La Mia Rosa'!$O$12="",$D257&lt;&gt;""),"",IF($F257&lt;='La Mia Rosa'!$O$12*'Parametri Modello'!$B$24,"OK",IF($F257&lt;='La Mia Rosa'!$O$12*'Parametri Modello'!$B$25,"Attenzione","Rischio Alto")))</f>
        <v>OK</v>
      </c>
      <c r="V257" s="26" t="n">
        <f aca="false">IFERROR(COUNTIFS($B$2:$B$492,$B257,$O$2:$O$492,"&gt;"&amp;$O257)+1,"")</f>
        <v>98</v>
      </c>
      <c r="W257" s="21" t="n">
        <f aca="false">'Info Lega'!$B$4-SUMIFS($M$2:$M$492,$D$2:$D$492,'Info Lega'!$B$28)</f>
        <v>1000</v>
      </c>
      <c r="X257" s="21" t="n">
        <f aca="false">('Info Lega'!$B$5-COUNTIFS($D$2:$D$492,'Info Lega'!$B$28,$B$2:$B$492,"P"))+('Info Lega'!$B$6-COUNTIFS($D$2:$D$492,'Info Lega'!$B$28,$B$2:$B$492,"D"))+('Info Lega'!$B$7-COUNTIFS($D$2:$D$492,'Info Lega'!$B$28,$B$2:$B$492,"C"))+('Info Lega'!$B$8-COUNTIFS($D$2:$D$492,'Info Lega'!$B$28,$B$2:$B$492,"A"))</f>
        <v>25</v>
      </c>
      <c r="Y257" s="21" t="n">
        <f aca="false">X257*'Parametri Modello'!$B$30</f>
        <v>25</v>
      </c>
      <c r="Z257" s="21" t="n">
        <f aca="false">MAX(0,W257-Y257)</f>
        <v>975</v>
      </c>
      <c r="AA257" s="21" t="n">
        <f aca="false">MIN(F257,Z257)</f>
        <v>2</v>
      </c>
      <c r="AB257" s="21"/>
      <c r="AC257" s="21" t="str">
        <f aca="false">IF(AB257="","",IF(AB257&gt;AA257,"PASS",IF(AB257&lt;=AA257*0.85,"BID","ATTENZIONE")))</f>
        <v/>
      </c>
      <c r="AD257" s="31" t="n">
        <f aca="false">IF(I257="","",ROUND(100*(1-EXP(-I257/30)),0))</f>
        <v>59</v>
      </c>
      <c r="AE257" s="7" t="str">
        <f aca="false">IFERROR(INDEX('Stato Asta'!$G$9:$G$12,MATCH($B257,'Stato Asta'!$A$9:$A$12,0)),"")</f>
        <v>🟡 Attesa rischiosa</v>
      </c>
    </row>
    <row r="258" customFormat="false" ht="14.25" hidden="false" customHeight="true" outlineLevel="0" collapsed="false">
      <c r="A258" s="21" t="n">
        <v>5301</v>
      </c>
      <c r="B258" s="21" t="s">
        <v>45</v>
      </c>
      <c r="C258" s="21" t="s">
        <v>479</v>
      </c>
      <c r="E258" s="26" t="str">
        <f aca="false">IF(COUNTIF('Info Strategia'!$D$2:$D$51,$C258)&gt;0,"SI","NO")</f>
        <v>NO</v>
      </c>
      <c r="F258" s="27" t="n">
        <f aca="false">IFERROR(ROUND(($G258+($H258-$G258)*'Info Strategia'!$B$6)*(1+IF($E258="SI",'Parametri Modello'!$B$7*'Info Strategia'!$B$6,0)),0),"")</f>
        <v>2</v>
      </c>
      <c r="G258" s="27" t="n">
        <f aca="false">IFERROR(ROUND(MAX(1,(IF($V258&lt;=INDEX('Parametri Modello'!$C$57:$C$60,MATCH($B258,'Parametri Modello'!$A$57:$A$60,0)),IF(INDEX('Parametri Modello'!$E$57:$E$60,MATCH($B258,'Parametri Modello'!$A$57:$A$60,0))=0,0,($O258/INDEX('Parametri Modello'!$E$57:$E$60,MATCH($B258,'Parametri Modello'!$A$57:$A$60,0)))*(INDEX('Parametri Modello'!$D$57:$D$60,MATCH($B258,'Parametri Modello'!$A$57:$A$60,0))*(INDEX('Parametri Modello'!$B$50:$B$53,MATCH($B258,'Parametri Modello'!$A$50:$A$53,0))*'Parametri Modello'!$B$44))),IF(INDEX('Parametri Modello'!$F$57:$F$60,MATCH($B258,'Parametri Modello'!$A$57:$A$60,0))=0,0,($O258/INDEX('Parametri Modello'!$F$57:$F$60,MATCH($B258,'Parametri Modello'!$A$57:$A$60,0)))*((1-INDEX('Parametri Modello'!$D$57:$D$60,MATCH($B258,'Parametri Modello'!$A$57:$A$60,0)))*(INDEX('Parametri Modello'!$B$50:$B$53,MATCH($B258,'Parametri Modello'!$A$50:$A$53,0))*'Parametri Modello'!$B$44))))*(1+IF(IF($B258="D",'Info Lega'!$B$25,IF($B258="C",'Info Lega'!$B$26,"No"))="Si",'Parametri Modello'!$B$5,0))*(1+MAX(-0.25,MIN(0.25,IF(OR($T258="",$I258="",$I258=0,INDEX('Parametri Modello'!$B$19:$B$22,MATCH($B258,'Parametri Modello'!$A$19:$A$22,0))="",INDEX('Parametri Modello'!$B$19:$B$22,MATCH($B258,'Parametri Modello'!$A$19:$A$22,0))=0),0,(($T258-INDEX('Parametri Modello'!$B$19:$B$22,MATCH($B258,'Parametri Modello'!$A$19:$A$22,0)))/INDEX('Parametri Modello'!$B$19:$B$22,MATCH($B258,'Parametri Modello'!$A$19:$A$22,0)))*'Parametri Modello'!$B$9))))*(1+IF('Parametri Modello'!$B$27="Si",MAX(-'Parametri Modello'!$B$28,MIN('Parametri Modello'!$B$28*1.5,IF(OR(INDEX('Parametri Modello'!$F$32:$F$35,MATCH($B258,'Parametri Modello'!$A$32:$A$35,0))="",INDEX('Parametri Modello'!$F$32:$F$35,MATCH($B258,'Parametri Modello'!$A$32:$A$35,0))=0),0,(1/INDEX('Parametri Modello'!$F$32:$F$35,MATCH($B258,'Parametri Modello'!$A$32:$A$35,0))-1)*'Parametri Modello'!$B$28))),0)))*(1-INDEX('Parametri Modello'!$B$12:$B$15,MATCH($B258,'Parametri Modello'!$A$12:$A$15,0)))),0),"")</f>
        <v>1</v>
      </c>
      <c r="H258" s="27" t="n">
        <f aca="false">IFERROR(ROUND((IF($V258&lt;=INDEX('Parametri Modello'!$C$57:$C$60,MATCH($B258,'Parametri Modello'!$A$57:$A$60,0)),IF(INDEX('Parametri Modello'!$E$57:$E$60,MATCH($B258,'Parametri Modello'!$A$57:$A$60,0))=0,0,($O258/INDEX('Parametri Modello'!$E$57:$E$60,MATCH($B258,'Parametri Modello'!$A$57:$A$60,0)))*(INDEX('Parametri Modello'!$D$57:$D$60,MATCH($B258,'Parametri Modello'!$A$57:$A$60,0))*(INDEX('Parametri Modello'!$B$50:$B$53,MATCH($B258,'Parametri Modello'!$A$50:$A$53,0))*'Parametri Modello'!$B$44))),IF(INDEX('Parametri Modello'!$F$57:$F$60,MATCH($B258,'Parametri Modello'!$A$57:$A$60,0))=0,0,($O258/INDEX('Parametri Modello'!$F$57:$F$60,MATCH($B258,'Parametri Modello'!$A$57:$A$60,0)))*((1-INDEX('Parametri Modello'!$D$57:$D$60,MATCH($B258,'Parametri Modello'!$A$57:$A$60,0)))*(INDEX('Parametri Modello'!$B$50:$B$53,MATCH($B258,'Parametri Modello'!$A$50:$A$53,0))*'Parametri Modello'!$B$44))))*(1+IF(IF($B258="D",'Info Lega'!$B$25,IF($B258="C",'Info Lega'!$B$26,"No"))="Si",'Parametri Modello'!$B$5,0))*(1+MAX(-0.25,MIN(0.25,IF(OR($T258="",$I258="",$I258=0,INDEX('Parametri Modello'!$B$19:$B$22,MATCH($B258,'Parametri Modello'!$A$19:$A$22,0))="",INDEX('Parametri Modello'!$B$19:$B$22,MATCH($B258,'Parametri Modello'!$A$19:$A$22,0))=0),0,(($T258-INDEX('Parametri Modello'!$B$19:$B$22,MATCH($B258,'Parametri Modello'!$A$19:$A$22,0)))/INDEX('Parametri Modello'!$B$19:$B$22,MATCH($B258,'Parametri Modello'!$A$19:$A$22,0)))*'Parametri Modello'!$B$9))))*(1+IF('Parametri Modello'!$B$27="Si",MAX(-'Parametri Modello'!$B$28,MIN('Parametri Modello'!$B$28*1.5,IF(OR(INDEX('Parametri Modello'!$F$32:$F$35,MATCH($B258,'Parametri Modello'!$A$32:$A$35,0))="",INDEX('Parametri Modello'!$F$32:$F$35,MATCH($B258,'Parametri Modello'!$A$32:$A$35,0))=0),0,(1/INDEX('Parametri Modello'!$F$32:$F$35,MATCH($B258,'Parametri Modello'!$A$32:$A$35,0))-1)*'Parametri Modello'!$B$28))),0)))*(1+INDEX('Parametri Modello'!$B$12:$B$15,MATCH($B258,'Parametri Modello'!$A$12:$A$15,0))),0),"")</f>
        <v>2</v>
      </c>
      <c r="I258" s="26" t="n">
        <f aca="false">IFERROR(INDEX('Input Statistiche 2025_26'!$F$3:$F$665,MATCH($A258,'Input Statistiche 2025_26'!$A$3:$A$665,0)),"")</f>
        <v>27</v>
      </c>
      <c r="J258" s="26" t="n">
        <f aca="false">IFERROR(IF($I258="","",MAX(0,38-$I258)),"")</f>
        <v>11</v>
      </c>
      <c r="K258" s="26" t="n">
        <f aca="false">IFERROR(INDEX('Input Statistiche 2025_26'!$I$3:$I$665,MATCH($A258,'Input Statistiche 2025_26'!$A$3:$A$665,0)),"")</f>
        <v>1</v>
      </c>
      <c r="L258" s="26" t="n">
        <f aca="false">IFERROR(INDEX('Input Statistiche 2025_26'!$O$3:$O$665,MATCH($A258,'Input Statistiche 2025_26'!$A$3:$A$665,0)),"")</f>
        <v>2</v>
      </c>
      <c r="M258" s="28"/>
      <c r="N258" s="27" t="n">
        <f aca="false">IFERROR(INDEX('Input Giocatori 2026_27'!$E$3:$E$493,MATCH($A258,'Input Giocatori 2026_27'!$A$3:$A$493,0)),"")</f>
        <v>4</v>
      </c>
      <c r="O258" s="27" t="n">
        <f aca="false">IFERROR(INDEX('Input Giocatori 2026_27'!$G$3:$G$493,MATCH($A258,'Input Giocatori 2026_27'!$A$3:$A$493,0)),"")</f>
        <v>13</v>
      </c>
      <c r="P258" s="26" t="str">
        <f aca="false">IFERROR(IF($O258="","",IF((1-(COUNTIFS($B$2:$B$492,$B258,$O$2:$O$492,"&gt;"&amp;$O258)+1-1)/COUNTIF($B$2:$B$492,$B258))&gt;=0.85,"Top",IF((1-(COUNTIFS($B$2:$B$492,$B258,$O$2:$O$492,"&gt;"&amp;$O258)+1-1)/COUNTIF($B$2:$B$492,$B258))&gt;=0.6,"Buono",IF((1-(COUNTIFS($B$2:$B$492,$B258,$O$2:$O$492,"&gt;"&amp;$O258)+1-1)/COUNTIF($B$2:$B$492,$B258))&gt;=0.3,"Nella Media","Scommessa/Riserva")))),"")</f>
        <v>Nella Media</v>
      </c>
      <c r="Q258" s="29" t="n">
        <f aca="false">IF($D258="",COUNTIF($D$2:$D258,""),"")</f>
        <v>257</v>
      </c>
      <c r="R258" s="29" t="str">
        <f aca="false">IF($D258='Info Lega'!$B$28,COUNTIFS($D$2:$D258,'Info Lega'!$B$28),"")</f>
        <v/>
      </c>
      <c r="S258" s="30" t="n">
        <f aca="false">IFERROR(INDEX('Input Statistiche 2025_26'!$G$3:$G$665,MATCH($A258,'Input Statistiche 2025_26'!$A$3:$A$665,0)),"")</f>
        <v>5.89</v>
      </c>
      <c r="T258" s="30" t="n">
        <f aca="false">IFERROR(INDEX('Input Statistiche 2025_26'!$H$3:$H$665,MATCH($A258,'Input Statistiche 2025_26'!$A$3:$A$665,0)),"")</f>
        <v>6.06</v>
      </c>
      <c r="U258" s="26" t="str">
        <f aca="false">IF(OR('La Mia Rosa'!$O$12="",$D258&lt;&gt;""),"",IF($F258&lt;='La Mia Rosa'!$O$12*'Parametri Modello'!$B$24,"OK",IF($F258&lt;='La Mia Rosa'!$O$12*'Parametri Modello'!$B$25,"Attenzione","Rischio Alto")))</f>
        <v>OK</v>
      </c>
      <c r="V258" s="26" t="n">
        <f aca="false">IFERROR(COUNTIFS($B$2:$B$492,$B258,$O$2:$O$492,"&gt;"&amp;$O258)+1,"")</f>
        <v>98</v>
      </c>
      <c r="W258" s="21" t="n">
        <f aca="false">'Info Lega'!$B$4-SUMIFS($M$2:$M$492,$D$2:$D$492,'Info Lega'!$B$28)</f>
        <v>1000</v>
      </c>
      <c r="X258" s="21" t="n">
        <f aca="false">('Info Lega'!$B$5-COUNTIFS($D$2:$D$492,'Info Lega'!$B$28,$B$2:$B$492,"P"))+('Info Lega'!$B$6-COUNTIFS($D$2:$D$492,'Info Lega'!$B$28,$B$2:$B$492,"D"))+('Info Lega'!$B$7-COUNTIFS($D$2:$D$492,'Info Lega'!$B$28,$B$2:$B$492,"C"))+('Info Lega'!$B$8-COUNTIFS($D$2:$D$492,'Info Lega'!$B$28,$B$2:$B$492,"A"))</f>
        <v>25</v>
      </c>
      <c r="Y258" s="21" t="n">
        <f aca="false">X258*'Parametri Modello'!$B$30</f>
        <v>25</v>
      </c>
      <c r="Z258" s="21" t="n">
        <f aca="false">MAX(0,W258-Y258)</f>
        <v>975</v>
      </c>
      <c r="AA258" s="21" t="n">
        <f aca="false">MIN(F258,Z258)</f>
        <v>2</v>
      </c>
      <c r="AB258" s="21"/>
      <c r="AC258" s="21" t="str">
        <f aca="false">IF(AB258="","",IF(AB258&gt;AA258,"PASS",IF(AB258&lt;=AA258*0.85,"BID","ATTENZIONE")))</f>
        <v/>
      </c>
      <c r="AD258" s="31" t="n">
        <f aca="false">IF(I258="","",ROUND(100*(1-EXP(-I258/30)),0))</f>
        <v>59</v>
      </c>
      <c r="AE258" s="7" t="str">
        <f aca="false">IFERROR(INDEX('Stato Asta'!$G$9:$G$12,MATCH($B258,'Stato Asta'!$A$9:$A$12,0)),"")</f>
        <v>🟡 Attesa rischiosa</v>
      </c>
    </row>
    <row r="259" customFormat="false" ht="14.25" hidden="false" customHeight="true" outlineLevel="0" collapsed="false">
      <c r="A259" s="21" t="n">
        <v>7535</v>
      </c>
      <c r="B259" s="21" t="s">
        <v>45</v>
      </c>
      <c r="C259" s="21" t="s">
        <v>489</v>
      </c>
      <c r="E259" s="26" t="str">
        <f aca="false">IF(COUNTIF('Info Strategia'!$D$2:$D$51,$C259)&gt;0,"SI","NO")</f>
        <v>NO</v>
      </c>
      <c r="F259" s="27" t="n">
        <f aca="false">IFERROR(ROUND(($G259+($H259-$G259)*'Info Strategia'!$B$6)*(1+IF($E259="SI",'Parametri Modello'!$B$7*'Info Strategia'!$B$6,0)),0),"")</f>
        <v>2</v>
      </c>
      <c r="G259" s="27" t="n">
        <f aca="false">IFERROR(ROUND(MAX(1,(IF($V259&lt;=INDEX('Parametri Modello'!$C$57:$C$60,MATCH($B259,'Parametri Modello'!$A$57:$A$60,0)),IF(INDEX('Parametri Modello'!$E$57:$E$60,MATCH($B259,'Parametri Modello'!$A$57:$A$60,0))=0,0,($O259/INDEX('Parametri Modello'!$E$57:$E$60,MATCH($B259,'Parametri Modello'!$A$57:$A$60,0)))*(INDEX('Parametri Modello'!$D$57:$D$60,MATCH($B259,'Parametri Modello'!$A$57:$A$60,0))*(INDEX('Parametri Modello'!$B$50:$B$53,MATCH($B259,'Parametri Modello'!$A$50:$A$53,0))*'Parametri Modello'!$B$44))),IF(INDEX('Parametri Modello'!$F$57:$F$60,MATCH($B259,'Parametri Modello'!$A$57:$A$60,0))=0,0,($O259/INDEX('Parametri Modello'!$F$57:$F$60,MATCH($B259,'Parametri Modello'!$A$57:$A$60,0)))*((1-INDEX('Parametri Modello'!$D$57:$D$60,MATCH($B259,'Parametri Modello'!$A$57:$A$60,0)))*(INDEX('Parametri Modello'!$B$50:$B$53,MATCH($B259,'Parametri Modello'!$A$50:$A$53,0))*'Parametri Modello'!$B$44))))*(1+IF(IF($B259="D",'Info Lega'!$B$25,IF($B259="C",'Info Lega'!$B$26,"No"))="Si",'Parametri Modello'!$B$5,0))*(1+MAX(-0.25,MIN(0.25,IF(OR($T259="",$I259="",$I259=0,INDEX('Parametri Modello'!$B$19:$B$22,MATCH($B259,'Parametri Modello'!$A$19:$A$22,0))="",INDEX('Parametri Modello'!$B$19:$B$22,MATCH($B259,'Parametri Modello'!$A$19:$A$22,0))=0),0,(($T259-INDEX('Parametri Modello'!$B$19:$B$22,MATCH($B259,'Parametri Modello'!$A$19:$A$22,0)))/INDEX('Parametri Modello'!$B$19:$B$22,MATCH($B259,'Parametri Modello'!$A$19:$A$22,0)))*'Parametri Modello'!$B$9))))*(1+IF('Parametri Modello'!$B$27="Si",MAX(-'Parametri Modello'!$B$28,MIN('Parametri Modello'!$B$28*1.5,IF(OR(INDEX('Parametri Modello'!$F$32:$F$35,MATCH($B259,'Parametri Modello'!$A$32:$A$35,0))="",INDEX('Parametri Modello'!$F$32:$F$35,MATCH($B259,'Parametri Modello'!$A$32:$A$35,0))=0),0,(1/INDEX('Parametri Modello'!$F$32:$F$35,MATCH($B259,'Parametri Modello'!$A$32:$A$35,0))-1)*'Parametri Modello'!$B$28))),0)))*(1-INDEX('Parametri Modello'!$B$12:$B$15,MATCH($B259,'Parametri Modello'!$A$12:$A$15,0)))),0),"")</f>
        <v>1</v>
      </c>
      <c r="H259" s="27" t="n">
        <f aca="false">IFERROR(ROUND((IF($V259&lt;=INDEX('Parametri Modello'!$C$57:$C$60,MATCH($B259,'Parametri Modello'!$A$57:$A$60,0)),IF(INDEX('Parametri Modello'!$E$57:$E$60,MATCH($B259,'Parametri Modello'!$A$57:$A$60,0))=0,0,($O259/INDEX('Parametri Modello'!$E$57:$E$60,MATCH($B259,'Parametri Modello'!$A$57:$A$60,0)))*(INDEX('Parametri Modello'!$D$57:$D$60,MATCH($B259,'Parametri Modello'!$A$57:$A$60,0))*(INDEX('Parametri Modello'!$B$50:$B$53,MATCH($B259,'Parametri Modello'!$A$50:$A$53,0))*'Parametri Modello'!$B$44))),IF(INDEX('Parametri Modello'!$F$57:$F$60,MATCH($B259,'Parametri Modello'!$A$57:$A$60,0))=0,0,($O259/INDEX('Parametri Modello'!$F$57:$F$60,MATCH($B259,'Parametri Modello'!$A$57:$A$60,0)))*((1-INDEX('Parametri Modello'!$D$57:$D$60,MATCH($B259,'Parametri Modello'!$A$57:$A$60,0)))*(INDEX('Parametri Modello'!$B$50:$B$53,MATCH($B259,'Parametri Modello'!$A$50:$A$53,0))*'Parametri Modello'!$B$44))))*(1+IF(IF($B259="D",'Info Lega'!$B$25,IF($B259="C",'Info Lega'!$B$26,"No"))="Si",'Parametri Modello'!$B$5,0))*(1+MAX(-0.25,MIN(0.25,IF(OR($T259="",$I259="",$I259=0,INDEX('Parametri Modello'!$B$19:$B$22,MATCH($B259,'Parametri Modello'!$A$19:$A$22,0))="",INDEX('Parametri Modello'!$B$19:$B$22,MATCH($B259,'Parametri Modello'!$A$19:$A$22,0))=0),0,(($T259-INDEX('Parametri Modello'!$B$19:$B$22,MATCH($B259,'Parametri Modello'!$A$19:$A$22,0)))/INDEX('Parametri Modello'!$B$19:$B$22,MATCH($B259,'Parametri Modello'!$A$19:$A$22,0)))*'Parametri Modello'!$B$9))))*(1+IF('Parametri Modello'!$B$27="Si",MAX(-'Parametri Modello'!$B$28,MIN('Parametri Modello'!$B$28*1.5,IF(OR(INDEX('Parametri Modello'!$F$32:$F$35,MATCH($B259,'Parametri Modello'!$A$32:$A$35,0))="",INDEX('Parametri Modello'!$F$32:$F$35,MATCH($B259,'Parametri Modello'!$A$32:$A$35,0))=0),0,(1/INDEX('Parametri Modello'!$F$32:$F$35,MATCH($B259,'Parametri Modello'!$A$32:$A$35,0))-1)*'Parametri Modello'!$B$28))),0)))*(1+INDEX('Parametri Modello'!$B$12:$B$15,MATCH($B259,'Parametri Modello'!$A$12:$A$15,0))),0),"")</f>
        <v>2</v>
      </c>
      <c r="I259" s="26" t="str">
        <f aca="false">IFERROR(INDEX('Input Statistiche 2025_26'!$F$3:$F$665,MATCH($A259,'Input Statistiche 2025_26'!$A$3:$A$665,0)),"")</f>
        <v/>
      </c>
      <c r="J259" s="26" t="str">
        <f aca="false">IFERROR(IF($I259="","",MAX(0,38-$I259)),"")</f>
        <v/>
      </c>
      <c r="K259" s="26" t="str">
        <f aca="false">IFERROR(INDEX('Input Statistiche 2025_26'!$I$3:$I$665,MATCH($A259,'Input Statistiche 2025_26'!$A$3:$A$665,0)),"")</f>
        <v/>
      </c>
      <c r="L259" s="26" t="str">
        <f aca="false">IFERROR(INDEX('Input Statistiche 2025_26'!$O$3:$O$665,MATCH($A259,'Input Statistiche 2025_26'!$A$3:$A$665,0)),"")</f>
        <v/>
      </c>
      <c r="M259" s="28"/>
      <c r="N259" s="27" t="n">
        <f aca="false">IFERROR(INDEX('Input Giocatori 2026_27'!$E$3:$E$493,MATCH($A259,'Input Giocatori 2026_27'!$A$3:$A$493,0)),"")</f>
        <v>4</v>
      </c>
      <c r="O259" s="27" t="n">
        <f aca="false">IFERROR(INDEX('Input Giocatori 2026_27'!$G$3:$G$493,MATCH($A259,'Input Giocatori 2026_27'!$A$3:$A$493,0)),"")</f>
        <v>13</v>
      </c>
      <c r="P259" s="26" t="str">
        <f aca="false">IFERROR(IF($O259="","",IF((1-(COUNTIFS($B$2:$B$492,$B259,$O$2:$O$492,"&gt;"&amp;$O259)+1-1)/COUNTIF($B$2:$B$492,$B259))&gt;=0.85,"Top",IF((1-(COUNTIFS($B$2:$B$492,$B259,$O$2:$O$492,"&gt;"&amp;$O259)+1-1)/COUNTIF($B$2:$B$492,$B259))&gt;=0.6,"Buono",IF((1-(COUNTIFS($B$2:$B$492,$B259,$O$2:$O$492,"&gt;"&amp;$O259)+1-1)/COUNTIF($B$2:$B$492,$B259))&gt;=0.3,"Nella Media","Scommessa/Riserva")))),"")</f>
        <v>Nella Media</v>
      </c>
      <c r="Q259" s="29" t="n">
        <f aca="false">IF($D259="",COUNTIF($D$2:$D259,""),"")</f>
        <v>258</v>
      </c>
      <c r="R259" s="29" t="str">
        <f aca="false">IF($D259='Info Lega'!$B$28,COUNTIFS($D$2:$D259,'Info Lega'!$B$28),"")</f>
        <v/>
      </c>
      <c r="S259" s="30" t="str">
        <f aca="false">IFERROR(INDEX('Input Statistiche 2025_26'!$G$3:$G$665,MATCH($A259,'Input Statistiche 2025_26'!$A$3:$A$665,0)),"")</f>
        <v/>
      </c>
      <c r="T259" s="30" t="str">
        <f aca="false">IFERROR(INDEX('Input Statistiche 2025_26'!$H$3:$H$665,MATCH($A259,'Input Statistiche 2025_26'!$A$3:$A$665,0)),"")</f>
        <v/>
      </c>
      <c r="U259" s="26" t="str">
        <f aca="false">IF(OR('La Mia Rosa'!$O$12="",$D259&lt;&gt;""),"",IF($F259&lt;='La Mia Rosa'!$O$12*'Parametri Modello'!$B$24,"OK",IF($F259&lt;='La Mia Rosa'!$O$12*'Parametri Modello'!$B$25,"Attenzione","Rischio Alto")))</f>
        <v>OK</v>
      </c>
      <c r="V259" s="26" t="n">
        <f aca="false">IFERROR(COUNTIFS($B$2:$B$492,$B259,$O$2:$O$492,"&gt;"&amp;$O259)+1,"")</f>
        <v>98</v>
      </c>
      <c r="W259" s="21" t="n">
        <f aca="false">'Info Lega'!$B$4-SUMIFS($M$2:$M$492,$D$2:$D$492,'Info Lega'!$B$28)</f>
        <v>1000</v>
      </c>
      <c r="X259" s="21" t="n">
        <f aca="false">('Info Lega'!$B$5-COUNTIFS($D$2:$D$492,'Info Lega'!$B$28,$B$2:$B$492,"P"))+('Info Lega'!$B$6-COUNTIFS($D$2:$D$492,'Info Lega'!$B$28,$B$2:$B$492,"D"))+('Info Lega'!$B$7-COUNTIFS($D$2:$D$492,'Info Lega'!$B$28,$B$2:$B$492,"C"))+('Info Lega'!$B$8-COUNTIFS($D$2:$D$492,'Info Lega'!$B$28,$B$2:$B$492,"A"))</f>
        <v>25</v>
      </c>
      <c r="Y259" s="21" t="n">
        <f aca="false">X259*'Parametri Modello'!$B$30</f>
        <v>25</v>
      </c>
      <c r="Z259" s="21" t="n">
        <f aca="false">MAX(0,W259-Y259)</f>
        <v>975</v>
      </c>
      <c r="AA259" s="21" t="n">
        <f aca="false">MIN(F259,Z259)</f>
        <v>2</v>
      </c>
      <c r="AB259" s="21"/>
      <c r="AC259" s="21" t="str">
        <f aca="false">IF(AB259="","",IF(AB259&gt;AA259,"PASS",IF(AB259&lt;=AA259*0.85,"BID","ATTENZIONE")))</f>
        <v/>
      </c>
      <c r="AD259" s="31" t="str">
        <f aca="false">IF(I259="","",ROUND(100*(1-EXP(-I259/30)),0))</f>
        <v/>
      </c>
      <c r="AE259" s="7" t="str">
        <f aca="false">IFERROR(INDEX('Stato Asta'!$G$9:$G$12,MATCH($B259,'Stato Asta'!$A$9:$A$12,0)),"")</f>
        <v>🟡 Attesa rischiosa</v>
      </c>
    </row>
    <row r="260" customFormat="false" ht="14.25" hidden="false" customHeight="true" outlineLevel="0" collapsed="false">
      <c r="A260" s="21" t="n">
        <v>7213</v>
      </c>
      <c r="B260" s="21" t="s">
        <v>46</v>
      </c>
      <c r="C260" s="21" t="s">
        <v>596</v>
      </c>
      <c r="E260" s="26" t="str">
        <f aca="false">IF(COUNTIF('Info Strategia'!$D$2:$D$51,$C260)&gt;0,"SI","NO")</f>
        <v>NO</v>
      </c>
      <c r="F260" s="27" t="n">
        <f aca="false">IFERROR(ROUND(($G260+($H260-$G260)*'Info Strategia'!$B$6)*(1+IF($E260="SI",'Parametri Modello'!$B$7*'Info Strategia'!$B$6,0)),0),"")</f>
        <v>4</v>
      </c>
      <c r="G260" s="27" t="n">
        <f aca="false">IFERROR(ROUND(MAX(1,(IF($V260&lt;=INDEX('Parametri Modello'!$C$57:$C$60,MATCH($B260,'Parametri Modello'!$A$57:$A$60,0)),IF(INDEX('Parametri Modello'!$E$57:$E$60,MATCH($B260,'Parametri Modello'!$A$57:$A$60,0))=0,0,($O260/INDEX('Parametri Modello'!$E$57:$E$60,MATCH($B260,'Parametri Modello'!$A$57:$A$60,0)))*(INDEX('Parametri Modello'!$D$57:$D$60,MATCH($B260,'Parametri Modello'!$A$57:$A$60,0))*(INDEX('Parametri Modello'!$B$50:$B$53,MATCH($B260,'Parametri Modello'!$A$50:$A$53,0))*'Parametri Modello'!$B$44))),IF(INDEX('Parametri Modello'!$F$57:$F$60,MATCH($B260,'Parametri Modello'!$A$57:$A$60,0))=0,0,($O260/INDEX('Parametri Modello'!$F$57:$F$60,MATCH($B260,'Parametri Modello'!$A$57:$A$60,0)))*((1-INDEX('Parametri Modello'!$D$57:$D$60,MATCH($B260,'Parametri Modello'!$A$57:$A$60,0)))*(INDEX('Parametri Modello'!$B$50:$B$53,MATCH($B260,'Parametri Modello'!$A$50:$A$53,0))*'Parametri Modello'!$B$44))))*(1+IF(IF($B260="D",'Info Lega'!$B$25,IF($B260="C",'Info Lega'!$B$26,"No"))="Si",'Parametri Modello'!$B$5,0))*(1+MAX(-0.25,MIN(0.25,IF(OR($T260="",$I260="",$I260=0,INDEX('Parametri Modello'!$B$19:$B$22,MATCH($B260,'Parametri Modello'!$A$19:$A$22,0))="",INDEX('Parametri Modello'!$B$19:$B$22,MATCH($B260,'Parametri Modello'!$A$19:$A$22,0))=0),0,(($T260-INDEX('Parametri Modello'!$B$19:$B$22,MATCH($B260,'Parametri Modello'!$A$19:$A$22,0)))/INDEX('Parametri Modello'!$B$19:$B$22,MATCH($B260,'Parametri Modello'!$A$19:$A$22,0)))*'Parametri Modello'!$B$9))))*(1+IF('Parametri Modello'!$B$27="Si",MAX(-'Parametri Modello'!$B$28,MIN('Parametri Modello'!$B$28*1.5,IF(OR(INDEX('Parametri Modello'!$F$32:$F$35,MATCH($B260,'Parametri Modello'!$A$32:$A$35,0))="",INDEX('Parametri Modello'!$F$32:$F$35,MATCH($B260,'Parametri Modello'!$A$32:$A$35,0))=0),0,(1/INDEX('Parametri Modello'!$F$32:$F$35,MATCH($B260,'Parametri Modello'!$A$32:$A$35,0))-1)*'Parametri Modello'!$B$28))),0)))*(1-INDEX('Parametri Modello'!$B$12:$B$15,MATCH($B260,'Parametri Modello'!$A$12:$A$15,0)))),0),"")</f>
        <v>3</v>
      </c>
      <c r="H260" s="27" t="n">
        <f aca="false">IFERROR(ROUND((IF($V260&lt;=INDEX('Parametri Modello'!$C$57:$C$60,MATCH($B260,'Parametri Modello'!$A$57:$A$60,0)),IF(INDEX('Parametri Modello'!$E$57:$E$60,MATCH($B260,'Parametri Modello'!$A$57:$A$60,0))=0,0,($O260/INDEX('Parametri Modello'!$E$57:$E$60,MATCH($B260,'Parametri Modello'!$A$57:$A$60,0)))*(INDEX('Parametri Modello'!$D$57:$D$60,MATCH($B260,'Parametri Modello'!$A$57:$A$60,0))*(INDEX('Parametri Modello'!$B$50:$B$53,MATCH($B260,'Parametri Modello'!$A$50:$A$53,0))*'Parametri Modello'!$B$44))),IF(INDEX('Parametri Modello'!$F$57:$F$60,MATCH($B260,'Parametri Modello'!$A$57:$A$60,0))=0,0,($O260/INDEX('Parametri Modello'!$F$57:$F$60,MATCH($B260,'Parametri Modello'!$A$57:$A$60,0)))*((1-INDEX('Parametri Modello'!$D$57:$D$60,MATCH($B260,'Parametri Modello'!$A$57:$A$60,0)))*(INDEX('Parametri Modello'!$B$50:$B$53,MATCH($B260,'Parametri Modello'!$A$50:$A$53,0))*'Parametri Modello'!$B$44))))*(1+IF(IF($B260="D",'Info Lega'!$B$25,IF($B260="C",'Info Lega'!$B$26,"No"))="Si",'Parametri Modello'!$B$5,0))*(1+MAX(-0.25,MIN(0.25,IF(OR($T260="",$I260="",$I260=0,INDEX('Parametri Modello'!$B$19:$B$22,MATCH($B260,'Parametri Modello'!$A$19:$A$22,0))="",INDEX('Parametri Modello'!$B$19:$B$22,MATCH($B260,'Parametri Modello'!$A$19:$A$22,0))=0),0,(($T260-INDEX('Parametri Modello'!$B$19:$B$22,MATCH($B260,'Parametri Modello'!$A$19:$A$22,0)))/INDEX('Parametri Modello'!$B$19:$B$22,MATCH($B260,'Parametri Modello'!$A$19:$A$22,0)))*'Parametri Modello'!$B$9))))*(1+IF('Parametri Modello'!$B$27="Si",MAX(-'Parametri Modello'!$B$28,MIN('Parametri Modello'!$B$28*1.5,IF(OR(INDEX('Parametri Modello'!$F$32:$F$35,MATCH($B260,'Parametri Modello'!$A$32:$A$35,0))="",INDEX('Parametri Modello'!$F$32:$F$35,MATCH($B260,'Parametri Modello'!$A$32:$A$35,0))=0),0,(1/INDEX('Parametri Modello'!$F$32:$F$35,MATCH($B260,'Parametri Modello'!$A$32:$A$35,0))-1)*'Parametri Modello'!$B$28))),0)))*(1+INDEX('Parametri Modello'!$B$12:$B$15,MATCH($B260,'Parametri Modello'!$A$12:$A$15,0))),0),"")</f>
        <v>5</v>
      </c>
      <c r="I260" s="26" t="n">
        <f aca="false">IFERROR(INDEX('Input Statistiche 2025_26'!$F$3:$F$665,MATCH($A260,'Input Statistiche 2025_26'!$A$3:$A$665,0)),"")</f>
        <v>0</v>
      </c>
      <c r="J260" s="26" t="n">
        <f aca="false">IFERROR(IF($I260="","",MAX(0,38-$I260)),"")</f>
        <v>38</v>
      </c>
      <c r="K260" s="26" t="n">
        <f aca="false">IFERROR(INDEX('Input Statistiche 2025_26'!$I$3:$I$665,MATCH($A260,'Input Statistiche 2025_26'!$A$3:$A$665,0)),"")</f>
        <v>0</v>
      </c>
      <c r="L260" s="26" t="n">
        <f aca="false">IFERROR(INDEX('Input Statistiche 2025_26'!$O$3:$O$665,MATCH($A260,'Input Statistiche 2025_26'!$A$3:$A$665,0)),"")</f>
        <v>0</v>
      </c>
      <c r="M260" s="28"/>
      <c r="N260" s="27" t="n">
        <f aca="false">IFERROR(INDEX('Input Giocatori 2026_27'!$E$3:$E$493,MATCH($A260,'Input Giocatori 2026_27'!$A$3:$A$493,0)),"")</f>
        <v>5</v>
      </c>
      <c r="O260" s="27" t="n">
        <f aca="false">IFERROR(INDEX('Input Giocatori 2026_27'!$G$3:$G$493,MATCH($A260,'Input Giocatori 2026_27'!$A$3:$A$493,0)),"")</f>
        <v>13</v>
      </c>
      <c r="P260" s="26" t="str">
        <f aca="false">IFERROR(IF($O260="","",IF((1-(COUNTIFS($B$2:$B$492,$B260,$O$2:$O$492,"&gt;"&amp;$O260)+1-1)/COUNTIF($B$2:$B$492,$B260))&gt;=0.85,"Top",IF((1-(COUNTIFS($B$2:$B$492,$B260,$O$2:$O$492,"&gt;"&amp;$O260)+1-1)/COUNTIF($B$2:$B$492,$B260))&gt;=0.6,"Buono",IF((1-(COUNTIFS($B$2:$B$492,$B260,$O$2:$O$492,"&gt;"&amp;$O260)+1-1)/COUNTIF($B$2:$B$492,$B260))&gt;=0.3,"Nella Media","Scommessa/Riserva")))),"")</f>
        <v>Scommessa/Riserva</v>
      </c>
      <c r="Q260" s="29" t="n">
        <f aca="false">IF($D260="",COUNTIF($D$2:$D260,""),"")</f>
        <v>259</v>
      </c>
      <c r="R260" s="29" t="str">
        <f aca="false">IF($D260='Info Lega'!$B$28,COUNTIFS($D$2:$D260,'Info Lega'!$B$28),"")</f>
        <v/>
      </c>
      <c r="S260" s="30" t="n">
        <f aca="false">IFERROR(INDEX('Input Statistiche 2025_26'!$G$3:$G$665,MATCH($A260,'Input Statistiche 2025_26'!$A$3:$A$665,0)),"")</f>
        <v>0</v>
      </c>
      <c r="T260" s="30" t="n">
        <f aca="false">IFERROR(INDEX('Input Statistiche 2025_26'!$H$3:$H$665,MATCH($A260,'Input Statistiche 2025_26'!$A$3:$A$665,0)),"")</f>
        <v>0</v>
      </c>
      <c r="U260" s="26" t="str">
        <f aca="false">IF(OR('La Mia Rosa'!$O$12="",$D260&lt;&gt;""),"",IF($F260&lt;='La Mia Rosa'!$O$12*'Parametri Modello'!$B$24,"OK",IF($F260&lt;='La Mia Rosa'!$O$12*'Parametri Modello'!$B$25,"Attenzione","Rischio Alto")))</f>
        <v>OK</v>
      </c>
      <c r="V260" s="26" t="n">
        <f aca="false">IFERROR(COUNTIFS($B$2:$B$492,$B260,$O$2:$O$492,"&gt;"&amp;$O260)+1,"")</f>
        <v>61</v>
      </c>
      <c r="W260" s="21" t="n">
        <f aca="false">'Info Lega'!$B$4-SUMIFS($M$2:$M$492,$D$2:$D$492,'Info Lega'!$B$28)</f>
        <v>1000</v>
      </c>
      <c r="X260" s="21" t="n">
        <f aca="false">('Info Lega'!$B$5-COUNTIFS($D$2:$D$492,'Info Lega'!$B$28,$B$2:$B$492,"P"))+('Info Lega'!$B$6-COUNTIFS($D$2:$D$492,'Info Lega'!$B$28,$B$2:$B$492,"D"))+('Info Lega'!$B$7-COUNTIFS($D$2:$D$492,'Info Lega'!$B$28,$B$2:$B$492,"C"))+('Info Lega'!$B$8-COUNTIFS($D$2:$D$492,'Info Lega'!$B$28,$B$2:$B$492,"A"))</f>
        <v>25</v>
      </c>
      <c r="Y260" s="21" t="n">
        <f aca="false">X260*'Parametri Modello'!$B$30</f>
        <v>25</v>
      </c>
      <c r="Z260" s="21" t="n">
        <f aca="false">MAX(0,W260-Y260)</f>
        <v>975</v>
      </c>
      <c r="AA260" s="21" t="n">
        <f aca="false">MIN(F260,Z260)</f>
        <v>4</v>
      </c>
      <c r="AB260" s="21"/>
      <c r="AC260" s="21" t="str">
        <f aca="false">IF(AB260="","",IF(AB260&gt;AA260,"PASS",IF(AB260&lt;=AA260*0.85,"BID","ATTENZIONE")))</f>
        <v/>
      </c>
      <c r="AD260" s="31" t="n">
        <f aca="false">IF(I260="","",ROUND(100*(1-EXP(-I260/30)),0))</f>
        <v>0</v>
      </c>
      <c r="AE260" s="7" t="str">
        <f aca="false">IFERROR(INDEX('Stato Asta'!$G$9:$G$12,MATCH($B260,'Stato Asta'!$A$9:$A$12,0)),"")</f>
        <v>🔴 Non aspettare</v>
      </c>
    </row>
    <row r="261" customFormat="false" ht="14.25" hidden="false" customHeight="true" outlineLevel="0" collapsed="false">
      <c r="A261" s="21" t="n">
        <v>4485</v>
      </c>
      <c r="B261" s="21" t="s">
        <v>43</v>
      </c>
      <c r="C261" s="21" t="s">
        <v>148</v>
      </c>
      <c r="E261" s="26" t="str">
        <f aca="false">IF(COUNTIF('Info Strategia'!$D$2:$D$51,$C261)&gt;0,"SI","NO")</f>
        <v>NO</v>
      </c>
      <c r="F261" s="27" t="n">
        <f aca="false">IFERROR(ROUND(($G261+($H261-$G261)*'Info Strategia'!$B$6)*(1+IF($E261="SI",'Parametri Modello'!$B$7*'Info Strategia'!$B$6,0)),0),"")</f>
        <v>4</v>
      </c>
      <c r="G261" s="27" t="n">
        <f aca="false">IFERROR(ROUND(MAX(1,(IF($V261&lt;=INDEX('Parametri Modello'!$C$57:$C$60,MATCH($B261,'Parametri Modello'!$A$57:$A$60,0)),IF(INDEX('Parametri Modello'!$E$57:$E$60,MATCH($B261,'Parametri Modello'!$A$57:$A$60,0))=0,0,($O261/INDEX('Parametri Modello'!$E$57:$E$60,MATCH($B261,'Parametri Modello'!$A$57:$A$60,0)))*(INDEX('Parametri Modello'!$D$57:$D$60,MATCH($B261,'Parametri Modello'!$A$57:$A$60,0))*(INDEX('Parametri Modello'!$B$50:$B$53,MATCH($B261,'Parametri Modello'!$A$50:$A$53,0))*'Parametri Modello'!$B$44))),IF(INDEX('Parametri Modello'!$F$57:$F$60,MATCH($B261,'Parametri Modello'!$A$57:$A$60,0))=0,0,($O261/INDEX('Parametri Modello'!$F$57:$F$60,MATCH($B261,'Parametri Modello'!$A$57:$A$60,0)))*((1-INDEX('Parametri Modello'!$D$57:$D$60,MATCH($B261,'Parametri Modello'!$A$57:$A$60,0)))*(INDEX('Parametri Modello'!$B$50:$B$53,MATCH($B261,'Parametri Modello'!$A$50:$A$53,0))*'Parametri Modello'!$B$44))))*(1+IF(IF($B261="D",'Info Lega'!$B$25,IF($B261="C",'Info Lega'!$B$26,"No"))="Si",'Parametri Modello'!$B$5,0))*(1+MAX(-0.25,MIN(0.25,IF(OR($T261="",$I261="",$I261=0,INDEX('Parametri Modello'!$B$19:$B$22,MATCH($B261,'Parametri Modello'!$A$19:$A$22,0))="",INDEX('Parametri Modello'!$B$19:$B$22,MATCH($B261,'Parametri Modello'!$A$19:$A$22,0))=0),0,(($T261-INDEX('Parametri Modello'!$B$19:$B$22,MATCH($B261,'Parametri Modello'!$A$19:$A$22,0)))/INDEX('Parametri Modello'!$B$19:$B$22,MATCH($B261,'Parametri Modello'!$A$19:$A$22,0)))*'Parametri Modello'!$B$9))))*(1+IF('Parametri Modello'!$B$27="Si",MAX(-'Parametri Modello'!$B$28,MIN('Parametri Modello'!$B$28*1.5,IF(OR(INDEX('Parametri Modello'!$F$32:$F$35,MATCH($B261,'Parametri Modello'!$A$32:$A$35,0))="",INDEX('Parametri Modello'!$F$32:$F$35,MATCH($B261,'Parametri Modello'!$A$32:$A$35,0))=0),0,(1/INDEX('Parametri Modello'!$F$32:$F$35,MATCH($B261,'Parametri Modello'!$A$32:$A$35,0))-1)*'Parametri Modello'!$B$28))),0)))*(1-INDEX('Parametri Modello'!$B$12:$B$15,MATCH($B261,'Parametri Modello'!$A$12:$A$15,0)))),0),"")</f>
        <v>3</v>
      </c>
      <c r="H261" s="27" t="n">
        <f aca="false">IFERROR(ROUND((IF($V261&lt;=INDEX('Parametri Modello'!$C$57:$C$60,MATCH($B261,'Parametri Modello'!$A$57:$A$60,0)),IF(INDEX('Parametri Modello'!$E$57:$E$60,MATCH($B261,'Parametri Modello'!$A$57:$A$60,0))=0,0,($O261/INDEX('Parametri Modello'!$E$57:$E$60,MATCH($B261,'Parametri Modello'!$A$57:$A$60,0)))*(INDEX('Parametri Modello'!$D$57:$D$60,MATCH($B261,'Parametri Modello'!$A$57:$A$60,0))*(INDEX('Parametri Modello'!$B$50:$B$53,MATCH($B261,'Parametri Modello'!$A$50:$A$53,0))*'Parametri Modello'!$B$44))),IF(INDEX('Parametri Modello'!$F$57:$F$60,MATCH($B261,'Parametri Modello'!$A$57:$A$60,0))=0,0,($O261/INDEX('Parametri Modello'!$F$57:$F$60,MATCH($B261,'Parametri Modello'!$A$57:$A$60,0)))*((1-INDEX('Parametri Modello'!$D$57:$D$60,MATCH($B261,'Parametri Modello'!$A$57:$A$60,0)))*(INDEX('Parametri Modello'!$B$50:$B$53,MATCH($B261,'Parametri Modello'!$A$50:$A$53,0))*'Parametri Modello'!$B$44))))*(1+IF(IF($B261="D",'Info Lega'!$B$25,IF($B261="C",'Info Lega'!$B$26,"No"))="Si",'Parametri Modello'!$B$5,0))*(1+MAX(-0.25,MIN(0.25,IF(OR($T261="",$I261="",$I261=0,INDEX('Parametri Modello'!$B$19:$B$22,MATCH($B261,'Parametri Modello'!$A$19:$A$22,0))="",INDEX('Parametri Modello'!$B$19:$B$22,MATCH($B261,'Parametri Modello'!$A$19:$A$22,0))=0),0,(($T261-INDEX('Parametri Modello'!$B$19:$B$22,MATCH($B261,'Parametri Modello'!$A$19:$A$22,0)))/INDEX('Parametri Modello'!$B$19:$B$22,MATCH($B261,'Parametri Modello'!$A$19:$A$22,0)))*'Parametri Modello'!$B$9))))*(1+IF('Parametri Modello'!$B$27="Si",MAX(-'Parametri Modello'!$B$28,MIN('Parametri Modello'!$B$28*1.5,IF(OR(INDEX('Parametri Modello'!$F$32:$F$35,MATCH($B261,'Parametri Modello'!$A$32:$A$35,0))="",INDEX('Parametri Modello'!$F$32:$F$35,MATCH($B261,'Parametri Modello'!$A$32:$A$35,0))=0),0,(1/INDEX('Parametri Modello'!$F$32:$F$35,MATCH($B261,'Parametri Modello'!$A$32:$A$35,0))-1)*'Parametri Modello'!$B$28))),0)))*(1+INDEX('Parametri Modello'!$B$12:$B$15,MATCH($B261,'Parametri Modello'!$A$12:$A$15,0))),0),"")</f>
        <v>5</v>
      </c>
      <c r="I261" s="26" t="str">
        <f aca="false">IFERROR(INDEX('Input Statistiche 2025_26'!$F$3:$F$665,MATCH($A261,'Input Statistiche 2025_26'!$A$3:$A$665,0)),"")</f>
        <v/>
      </c>
      <c r="J261" s="26" t="str">
        <f aca="false">IFERROR(IF($I261="","",MAX(0,38-$I261)),"")</f>
        <v/>
      </c>
      <c r="K261" s="26" t="str">
        <f aca="false">IFERROR(INDEX('Input Statistiche 2025_26'!$I$3:$I$665,MATCH($A261,'Input Statistiche 2025_26'!$A$3:$A$665,0)),"")</f>
        <v/>
      </c>
      <c r="L261" s="26" t="str">
        <f aca="false">IFERROR(INDEX('Input Statistiche 2025_26'!$O$3:$O$665,MATCH($A261,'Input Statistiche 2025_26'!$A$3:$A$665,0)),"")</f>
        <v/>
      </c>
      <c r="M261" s="28"/>
      <c r="N261" s="27" t="n">
        <f aca="false">IFERROR(INDEX('Input Giocatori 2026_27'!$E$3:$E$493,MATCH($A261,'Input Giocatori 2026_27'!$A$3:$A$493,0)),"")</f>
        <v>5</v>
      </c>
      <c r="O261" s="27" t="n">
        <f aca="false">IFERROR(INDEX('Input Giocatori 2026_27'!$G$3:$G$493,MATCH($A261,'Input Giocatori 2026_27'!$A$3:$A$493,0)),"")</f>
        <v>12</v>
      </c>
      <c r="P261" s="26" t="str">
        <f aca="false">IFERROR(IF($O261="","",IF((1-(COUNTIFS($B$2:$B$492,$B261,$O$2:$O$492,"&gt;"&amp;$O261)+1-1)/COUNTIF($B$2:$B$492,$B261))&gt;=0.85,"Top",IF((1-(COUNTIFS($B$2:$B$492,$B261,$O$2:$O$492,"&gt;"&amp;$O261)+1-1)/COUNTIF($B$2:$B$492,$B261))&gt;=0.6,"Buono",IF((1-(COUNTIFS($B$2:$B$492,$B261,$O$2:$O$492,"&gt;"&amp;$O261)+1-1)/COUNTIF($B$2:$B$492,$B261))&gt;=0.3,"Nella Media","Scommessa/Riserva")))),"")</f>
        <v>Buono</v>
      </c>
      <c r="Q261" s="29" t="n">
        <f aca="false">IF($D261="",COUNTIF($D$2:$D261,""),"")</f>
        <v>260</v>
      </c>
      <c r="R261" s="29" t="str">
        <f aca="false">IF($D261='Info Lega'!$B$28,COUNTIFS($D$2:$D261,'Info Lega'!$B$28),"")</f>
        <v/>
      </c>
      <c r="S261" s="30" t="str">
        <f aca="false">IFERROR(INDEX('Input Statistiche 2025_26'!$G$3:$G$665,MATCH($A261,'Input Statistiche 2025_26'!$A$3:$A$665,0)),"")</f>
        <v/>
      </c>
      <c r="T261" s="30" t="str">
        <f aca="false">IFERROR(INDEX('Input Statistiche 2025_26'!$H$3:$H$665,MATCH($A261,'Input Statistiche 2025_26'!$A$3:$A$665,0)),"")</f>
        <v/>
      </c>
      <c r="U261" s="26" t="str">
        <f aca="false">IF(OR('La Mia Rosa'!$O$12="",$D261&lt;&gt;""),"",IF($F261&lt;='La Mia Rosa'!$O$12*'Parametri Modello'!$B$24,"OK",IF($F261&lt;='La Mia Rosa'!$O$12*'Parametri Modello'!$B$25,"Attenzione","Rischio Alto")))</f>
        <v>OK</v>
      </c>
      <c r="V261" s="26" t="n">
        <f aca="false">IFERROR(COUNTIFS($B$2:$B$492,$B261,$O$2:$O$492,"&gt;"&amp;$O261)+1,"")</f>
        <v>18</v>
      </c>
      <c r="W261" s="21" t="n">
        <f aca="false">'Info Lega'!$B$4-SUMIFS($M$2:$M$492,$D$2:$D$492,'Info Lega'!$B$28)</f>
        <v>1000</v>
      </c>
      <c r="X261" s="21" t="n">
        <f aca="false">('Info Lega'!$B$5-COUNTIFS($D$2:$D$492,'Info Lega'!$B$28,$B$2:$B$492,"P"))+('Info Lega'!$B$6-COUNTIFS($D$2:$D$492,'Info Lega'!$B$28,$B$2:$B$492,"D"))+('Info Lega'!$B$7-COUNTIFS($D$2:$D$492,'Info Lega'!$B$28,$B$2:$B$492,"C"))+('Info Lega'!$B$8-COUNTIFS($D$2:$D$492,'Info Lega'!$B$28,$B$2:$B$492,"A"))</f>
        <v>25</v>
      </c>
      <c r="Y261" s="21" t="n">
        <f aca="false">X261*'Parametri Modello'!$B$30</f>
        <v>25</v>
      </c>
      <c r="Z261" s="21" t="n">
        <f aca="false">MAX(0,W261-Y261)</f>
        <v>975</v>
      </c>
      <c r="AA261" s="21" t="n">
        <f aca="false">MIN(F261,Z261)</f>
        <v>4</v>
      </c>
      <c r="AB261" s="21"/>
      <c r="AC261" s="21" t="str">
        <f aca="false">IF(AB261="","",IF(AB261&gt;AA261,"PASS",IF(AB261&lt;=AA261*0.85,"BID","ATTENZIONE")))</f>
        <v/>
      </c>
      <c r="AD261" s="31" t="str">
        <f aca="false">IF(I261="","",ROUND(100*(1-EXP(-I261/30)),0))</f>
        <v/>
      </c>
      <c r="AE261" s="7" t="str">
        <f aca="false">IFERROR(INDEX('Stato Asta'!$G$9:$G$12,MATCH($B261,'Stato Asta'!$A$9:$A$12,0)),"")</f>
        <v>🟡 Attesa rischiosa</v>
      </c>
    </row>
    <row r="262" customFormat="false" ht="14.25" hidden="false" customHeight="true" outlineLevel="0" collapsed="false">
      <c r="A262" s="21" t="n">
        <v>5555</v>
      </c>
      <c r="B262" s="21" t="s">
        <v>44</v>
      </c>
      <c r="C262" s="21" t="s">
        <v>260</v>
      </c>
      <c r="E262" s="26" t="str">
        <f aca="false">IF(COUNTIF('Info Strategia'!$D$2:$D$51,$C262)&gt;0,"SI","NO")</f>
        <v>NO</v>
      </c>
      <c r="F262" s="27" t="n">
        <f aca="false">IFERROR(ROUND(($G262+($H262-$G262)*'Info Strategia'!$B$6)*(1+IF($E262="SI",'Parametri Modello'!$B$7*'Info Strategia'!$B$6,0)),0),"")</f>
        <v>2</v>
      </c>
      <c r="G262" s="27" t="n">
        <f aca="false">IFERROR(ROUND(MAX(1,(IF($V262&lt;=INDEX('Parametri Modello'!$C$57:$C$60,MATCH($B262,'Parametri Modello'!$A$57:$A$60,0)),IF(INDEX('Parametri Modello'!$E$57:$E$60,MATCH($B262,'Parametri Modello'!$A$57:$A$60,0))=0,0,($O262/INDEX('Parametri Modello'!$E$57:$E$60,MATCH($B262,'Parametri Modello'!$A$57:$A$60,0)))*(INDEX('Parametri Modello'!$D$57:$D$60,MATCH($B262,'Parametri Modello'!$A$57:$A$60,0))*(INDEX('Parametri Modello'!$B$50:$B$53,MATCH($B262,'Parametri Modello'!$A$50:$A$53,0))*'Parametri Modello'!$B$44))),IF(INDEX('Parametri Modello'!$F$57:$F$60,MATCH($B262,'Parametri Modello'!$A$57:$A$60,0))=0,0,($O262/INDEX('Parametri Modello'!$F$57:$F$60,MATCH($B262,'Parametri Modello'!$A$57:$A$60,0)))*((1-INDEX('Parametri Modello'!$D$57:$D$60,MATCH($B262,'Parametri Modello'!$A$57:$A$60,0)))*(INDEX('Parametri Modello'!$B$50:$B$53,MATCH($B262,'Parametri Modello'!$A$50:$A$53,0))*'Parametri Modello'!$B$44))))*(1+IF(IF($B262="D",'Info Lega'!$B$25,IF($B262="C",'Info Lega'!$B$26,"No"))="Si",'Parametri Modello'!$B$5,0))*(1+MAX(-0.25,MIN(0.25,IF(OR($T262="",$I262="",$I262=0,INDEX('Parametri Modello'!$B$19:$B$22,MATCH($B262,'Parametri Modello'!$A$19:$A$22,0))="",INDEX('Parametri Modello'!$B$19:$B$22,MATCH($B262,'Parametri Modello'!$A$19:$A$22,0))=0),0,(($T262-INDEX('Parametri Modello'!$B$19:$B$22,MATCH($B262,'Parametri Modello'!$A$19:$A$22,0)))/INDEX('Parametri Modello'!$B$19:$B$22,MATCH($B262,'Parametri Modello'!$A$19:$A$22,0)))*'Parametri Modello'!$B$9))))*(1+IF('Parametri Modello'!$B$27="Si",MAX(-'Parametri Modello'!$B$28,MIN('Parametri Modello'!$B$28*1.5,IF(OR(INDEX('Parametri Modello'!$F$32:$F$35,MATCH($B262,'Parametri Modello'!$A$32:$A$35,0))="",INDEX('Parametri Modello'!$F$32:$F$35,MATCH($B262,'Parametri Modello'!$A$32:$A$35,0))=0),0,(1/INDEX('Parametri Modello'!$F$32:$F$35,MATCH($B262,'Parametri Modello'!$A$32:$A$35,0))-1)*'Parametri Modello'!$B$28))),0)))*(1-INDEX('Parametri Modello'!$B$12:$B$15,MATCH($B262,'Parametri Modello'!$A$12:$A$15,0)))),0),"")</f>
        <v>2</v>
      </c>
      <c r="H262" s="27" t="n">
        <f aca="false">IFERROR(ROUND((IF($V262&lt;=INDEX('Parametri Modello'!$C$57:$C$60,MATCH($B262,'Parametri Modello'!$A$57:$A$60,0)),IF(INDEX('Parametri Modello'!$E$57:$E$60,MATCH($B262,'Parametri Modello'!$A$57:$A$60,0))=0,0,($O262/INDEX('Parametri Modello'!$E$57:$E$60,MATCH($B262,'Parametri Modello'!$A$57:$A$60,0)))*(INDEX('Parametri Modello'!$D$57:$D$60,MATCH($B262,'Parametri Modello'!$A$57:$A$60,0))*(INDEX('Parametri Modello'!$B$50:$B$53,MATCH($B262,'Parametri Modello'!$A$50:$A$53,0))*'Parametri Modello'!$B$44))),IF(INDEX('Parametri Modello'!$F$57:$F$60,MATCH($B262,'Parametri Modello'!$A$57:$A$60,0))=0,0,($O262/INDEX('Parametri Modello'!$F$57:$F$60,MATCH($B262,'Parametri Modello'!$A$57:$A$60,0)))*((1-INDEX('Parametri Modello'!$D$57:$D$60,MATCH($B262,'Parametri Modello'!$A$57:$A$60,0)))*(INDEX('Parametri Modello'!$B$50:$B$53,MATCH($B262,'Parametri Modello'!$A$50:$A$53,0))*'Parametri Modello'!$B$44))))*(1+IF(IF($B262="D",'Info Lega'!$B$25,IF($B262="C",'Info Lega'!$B$26,"No"))="Si",'Parametri Modello'!$B$5,0))*(1+MAX(-0.25,MIN(0.25,IF(OR($T262="",$I262="",$I262=0,INDEX('Parametri Modello'!$B$19:$B$22,MATCH($B262,'Parametri Modello'!$A$19:$A$22,0))="",INDEX('Parametri Modello'!$B$19:$B$22,MATCH($B262,'Parametri Modello'!$A$19:$A$22,0))=0),0,(($T262-INDEX('Parametri Modello'!$B$19:$B$22,MATCH($B262,'Parametri Modello'!$A$19:$A$22,0)))/INDEX('Parametri Modello'!$B$19:$B$22,MATCH($B262,'Parametri Modello'!$A$19:$A$22,0)))*'Parametri Modello'!$B$9))))*(1+IF('Parametri Modello'!$B$27="Si",MAX(-'Parametri Modello'!$B$28,MIN('Parametri Modello'!$B$28*1.5,IF(OR(INDEX('Parametri Modello'!$F$32:$F$35,MATCH($B262,'Parametri Modello'!$A$32:$A$35,0))="",INDEX('Parametri Modello'!$F$32:$F$35,MATCH($B262,'Parametri Modello'!$A$32:$A$35,0))=0),0,(1/INDEX('Parametri Modello'!$F$32:$F$35,MATCH($B262,'Parametri Modello'!$A$32:$A$35,0))-1)*'Parametri Modello'!$B$28))),0)))*(1+INDEX('Parametri Modello'!$B$12:$B$15,MATCH($B262,'Parametri Modello'!$A$12:$A$15,0))),0),"")</f>
        <v>2</v>
      </c>
      <c r="I262" s="26" t="n">
        <f aca="false">IFERROR(INDEX('Input Statistiche 2025_26'!$F$3:$F$665,MATCH($A262,'Input Statistiche 2025_26'!$A$3:$A$665,0)),"")</f>
        <v>26</v>
      </c>
      <c r="J262" s="26" t="n">
        <f aca="false">IFERROR(IF($I262="","",MAX(0,38-$I262)),"")</f>
        <v>12</v>
      </c>
      <c r="K262" s="26" t="n">
        <f aca="false">IFERROR(INDEX('Input Statistiche 2025_26'!$I$3:$I$665,MATCH($A262,'Input Statistiche 2025_26'!$A$3:$A$665,0)),"")</f>
        <v>0</v>
      </c>
      <c r="L262" s="26" t="n">
        <f aca="false">IFERROR(INDEX('Input Statistiche 2025_26'!$O$3:$O$665,MATCH($A262,'Input Statistiche 2025_26'!$A$3:$A$665,0)),"")</f>
        <v>2</v>
      </c>
      <c r="M262" s="28"/>
      <c r="N262" s="27" t="n">
        <f aca="false">IFERROR(INDEX('Input Giocatori 2026_27'!$E$3:$E$493,MATCH($A262,'Input Giocatori 2026_27'!$A$3:$A$493,0)),"")</f>
        <v>6</v>
      </c>
      <c r="O262" s="27" t="n">
        <f aca="false">IFERROR(INDEX('Input Giocatori 2026_27'!$G$3:$G$493,MATCH($A262,'Input Giocatori 2026_27'!$A$3:$A$493,0)),"")</f>
        <v>12</v>
      </c>
      <c r="P262" s="26" t="str">
        <f aca="false">IFERROR(IF($O262="","",IF((1-(COUNTIFS($B$2:$B$492,$B262,$O$2:$O$492,"&gt;"&amp;$O262)+1-1)/COUNTIF($B$2:$B$492,$B262))&gt;=0.85,"Top",IF((1-(COUNTIFS($B$2:$B$492,$B262,$O$2:$O$492,"&gt;"&amp;$O262)+1-1)/COUNTIF($B$2:$B$492,$B262))&gt;=0.6,"Buono",IF((1-(COUNTIFS($B$2:$B$492,$B262,$O$2:$O$492,"&gt;"&amp;$O262)+1-1)/COUNTIF($B$2:$B$492,$B262))&gt;=0.3,"Nella Media","Scommessa/Riserva")))),"")</f>
        <v>Nella Media</v>
      </c>
      <c r="Q262" s="29" t="n">
        <f aca="false">IF($D262="",COUNTIF($D$2:$D262,""),"")</f>
        <v>261</v>
      </c>
      <c r="R262" s="29" t="str">
        <f aca="false">IF($D262='Info Lega'!$B$28,COUNTIFS($D$2:$D262,'Info Lega'!$B$28),"")</f>
        <v/>
      </c>
      <c r="S262" s="30" t="n">
        <f aca="false">IFERROR(INDEX('Input Statistiche 2025_26'!$G$3:$G$665,MATCH($A262,'Input Statistiche 2025_26'!$A$3:$A$665,0)),"")</f>
        <v>5.88</v>
      </c>
      <c r="T262" s="30" t="n">
        <f aca="false">IFERROR(INDEX('Input Statistiche 2025_26'!$H$3:$H$665,MATCH($A262,'Input Statistiche 2025_26'!$A$3:$A$665,0)),"")</f>
        <v>5.87</v>
      </c>
      <c r="U262" s="26" t="str">
        <f aca="false">IF(OR('La Mia Rosa'!$O$12="",$D262&lt;&gt;""),"",IF($F262&lt;='La Mia Rosa'!$O$12*'Parametri Modello'!$B$24,"OK",IF($F262&lt;='La Mia Rosa'!$O$12*'Parametri Modello'!$B$25,"Attenzione","Rischio Alto")))</f>
        <v>OK</v>
      </c>
      <c r="V262" s="26" t="n">
        <f aca="false">IFERROR(COUNTIFS($B$2:$B$492,$B262,$O$2:$O$492,"&gt;"&amp;$O262)+1,"")</f>
        <v>78</v>
      </c>
      <c r="W262" s="21" t="n">
        <f aca="false">'Info Lega'!$B$4-SUMIFS($M$2:$M$492,$D$2:$D$492,'Info Lega'!$B$28)</f>
        <v>1000</v>
      </c>
      <c r="X262" s="21" t="n">
        <f aca="false">('Info Lega'!$B$5-COUNTIFS($D$2:$D$492,'Info Lega'!$B$28,$B$2:$B$492,"P"))+('Info Lega'!$B$6-COUNTIFS($D$2:$D$492,'Info Lega'!$B$28,$B$2:$B$492,"D"))+('Info Lega'!$B$7-COUNTIFS($D$2:$D$492,'Info Lega'!$B$28,$B$2:$B$492,"C"))+('Info Lega'!$B$8-COUNTIFS($D$2:$D$492,'Info Lega'!$B$28,$B$2:$B$492,"A"))</f>
        <v>25</v>
      </c>
      <c r="Y262" s="21" t="n">
        <f aca="false">X262*'Parametri Modello'!$B$30</f>
        <v>25</v>
      </c>
      <c r="Z262" s="21" t="n">
        <f aca="false">MAX(0,W262-Y262)</f>
        <v>975</v>
      </c>
      <c r="AA262" s="21" t="n">
        <f aca="false">MIN(F262,Z262)</f>
        <v>2</v>
      </c>
      <c r="AB262" s="21"/>
      <c r="AC262" s="21" t="str">
        <f aca="false">IF(AB262="","",IF(AB262&gt;AA262,"PASS",IF(AB262&lt;=AA262*0.85,"BID","ATTENZIONE")))</f>
        <v/>
      </c>
      <c r="AD262" s="31" t="n">
        <f aca="false">IF(I262="","",ROUND(100*(1-EXP(-I262/30)),0))</f>
        <v>58</v>
      </c>
      <c r="AE262" s="7" t="str">
        <f aca="false">IFERROR(INDEX('Stato Asta'!$G$9:$G$12,MATCH($B262,'Stato Asta'!$A$9:$A$12,0)),"")</f>
        <v>🟡 Attesa rischiosa</v>
      </c>
    </row>
    <row r="263" customFormat="false" ht="14.25" hidden="false" customHeight="true" outlineLevel="0" collapsed="false">
      <c r="A263" s="21" t="n">
        <v>2640</v>
      </c>
      <c r="B263" s="21" t="s">
        <v>44</v>
      </c>
      <c r="C263" s="21" t="s">
        <v>262</v>
      </c>
      <c r="E263" s="26" t="str">
        <f aca="false">IF(COUNTIF('Info Strategia'!$D$2:$D$51,$C263)&gt;0,"SI","NO")</f>
        <v>NO</v>
      </c>
      <c r="F263" s="27" t="n">
        <f aca="false">IFERROR(ROUND(($G263+($H263-$G263)*'Info Strategia'!$B$6)*(1+IF($E263="SI",'Parametri Modello'!$B$7*'Info Strategia'!$B$6,0)),0),"")</f>
        <v>2</v>
      </c>
      <c r="G263" s="27" t="n">
        <f aca="false">IFERROR(ROUND(MAX(1,(IF($V263&lt;=INDEX('Parametri Modello'!$C$57:$C$60,MATCH($B263,'Parametri Modello'!$A$57:$A$60,0)),IF(INDEX('Parametri Modello'!$E$57:$E$60,MATCH($B263,'Parametri Modello'!$A$57:$A$60,0))=0,0,($O263/INDEX('Parametri Modello'!$E$57:$E$60,MATCH($B263,'Parametri Modello'!$A$57:$A$60,0)))*(INDEX('Parametri Modello'!$D$57:$D$60,MATCH($B263,'Parametri Modello'!$A$57:$A$60,0))*(INDEX('Parametri Modello'!$B$50:$B$53,MATCH($B263,'Parametri Modello'!$A$50:$A$53,0))*'Parametri Modello'!$B$44))),IF(INDEX('Parametri Modello'!$F$57:$F$60,MATCH($B263,'Parametri Modello'!$A$57:$A$60,0))=0,0,($O263/INDEX('Parametri Modello'!$F$57:$F$60,MATCH($B263,'Parametri Modello'!$A$57:$A$60,0)))*((1-INDEX('Parametri Modello'!$D$57:$D$60,MATCH($B263,'Parametri Modello'!$A$57:$A$60,0)))*(INDEX('Parametri Modello'!$B$50:$B$53,MATCH($B263,'Parametri Modello'!$A$50:$A$53,0))*'Parametri Modello'!$B$44))))*(1+IF(IF($B263="D",'Info Lega'!$B$25,IF($B263="C",'Info Lega'!$B$26,"No"))="Si",'Parametri Modello'!$B$5,0))*(1+MAX(-0.25,MIN(0.25,IF(OR($T263="",$I263="",$I263=0,INDEX('Parametri Modello'!$B$19:$B$22,MATCH($B263,'Parametri Modello'!$A$19:$A$22,0))="",INDEX('Parametri Modello'!$B$19:$B$22,MATCH($B263,'Parametri Modello'!$A$19:$A$22,0))=0),0,(($T263-INDEX('Parametri Modello'!$B$19:$B$22,MATCH($B263,'Parametri Modello'!$A$19:$A$22,0)))/INDEX('Parametri Modello'!$B$19:$B$22,MATCH($B263,'Parametri Modello'!$A$19:$A$22,0)))*'Parametri Modello'!$B$9))))*(1+IF('Parametri Modello'!$B$27="Si",MAX(-'Parametri Modello'!$B$28,MIN('Parametri Modello'!$B$28*1.5,IF(OR(INDEX('Parametri Modello'!$F$32:$F$35,MATCH($B263,'Parametri Modello'!$A$32:$A$35,0))="",INDEX('Parametri Modello'!$F$32:$F$35,MATCH($B263,'Parametri Modello'!$A$32:$A$35,0))=0),0,(1/INDEX('Parametri Modello'!$F$32:$F$35,MATCH($B263,'Parametri Modello'!$A$32:$A$35,0))-1)*'Parametri Modello'!$B$28))),0)))*(1-INDEX('Parametri Modello'!$B$12:$B$15,MATCH($B263,'Parametri Modello'!$A$12:$A$15,0)))),0),"")</f>
        <v>2</v>
      </c>
      <c r="H263" s="27" t="n">
        <f aca="false">IFERROR(ROUND((IF($V263&lt;=INDEX('Parametri Modello'!$C$57:$C$60,MATCH($B263,'Parametri Modello'!$A$57:$A$60,0)),IF(INDEX('Parametri Modello'!$E$57:$E$60,MATCH($B263,'Parametri Modello'!$A$57:$A$60,0))=0,0,($O263/INDEX('Parametri Modello'!$E$57:$E$60,MATCH($B263,'Parametri Modello'!$A$57:$A$60,0)))*(INDEX('Parametri Modello'!$D$57:$D$60,MATCH($B263,'Parametri Modello'!$A$57:$A$60,0))*(INDEX('Parametri Modello'!$B$50:$B$53,MATCH($B263,'Parametri Modello'!$A$50:$A$53,0))*'Parametri Modello'!$B$44))),IF(INDEX('Parametri Modello'!$F$57:$F$60,MATCH($B263,'Parametri Modello'!$A$57:$A$60,0))=0,0,($O263/INDEX('Parametri Modello'!$F$57:$F$60,MATCH($B263,'Parametri Modello'!$A$57:$A$60,0)))*((1-INDEX('Parametri Modello'!$D$57:$D$60,MATCH($B263,'Parametri Modello'!$A$57:$A$60,0)))*(INDEX('Parametri Modello'!$B$50:$B$53,MATCH($B263,'Parametri Modello'!$A$50:$A$53,0))*'Parametri Modello'!$B$44))))*(1+IF(IF($B263="D",'Info Lega'!$B$25,IF($B263="C",'Info Lega'!$B$26,"No"))="Si",'Parametri Modello'!$B$5,0))*(1+MAX(-0.25,MIN(0.25,IF(OR($T263="",$I263="",$I263=0,INDEX('Parametri Modello'!$B$19:$B$22,MATCH($B263,'Parametri Modello'!$A$19:$A$22,0))="",INDEX('Parametri Modello'!$B$19:$B$22,MATCH($B263,'Parametri Modello'!$A$19:$A$22,0))=0),0,(($T263-INDEX('Parametri Modello'!$B$19:$B$22,MATCH($B263,'Parametri Modello'!$A$19:$A$22,0)))/INDEX('Parametri Modello'!$B$19:$B$22,MATCH($B263,'Parametri Modello'!$A$19:$A$22,0)))*'Parametri Modello'!$B$9))))*(1+IF('Parametri Modello'!$B$27="Si",MAX(-'Parametri Modello'!$B$28,MIN('Parametri Modello'!$B$28*1.5,IF(OR(INDEX('Parametri Modello'!$F$32:$F$35,MATCH($B263,'Parametri Modello'!$A$32:$A$35,0))="",INDEX('Parametri Modello'!$F$32:$F$35,MATCH($B263,'Parametri Modello'!$A$32:$A$35,0))=0),0,(1/INDEX('Parametri Modello'!$F$32:$F$35,MATCH($B263,'Parametri Modello'!$A$32:$A$35,0))-1)*'Parametri Modello'!$B$28))),0)))*(1+INDEX('Parametri Modello'!$B$12:$B$15,MATCH($B263,'Parametri Modello'!$A$12:$A$15,0))),0),"")</f>
        <v>2</v>
      </c>
      <c r="I263" s="26" t="n">
        <f aca="false">IFERROR(INDEX('Input Statistiche 2025_26'!$F$3:$F$665,MATCH($A263,'Input Statistiche 2025_26'!$A$3:$A$665,0)),"")</f>
        <v>17</v>
      </c>
      <c r="J263" s="26" t="n">
        <f aca="false">IFERROR(IF($I263="","",MAX(0,38-$I263)),"")</f>
        <v>21</v>
      </c>
      <c r="K263" s="26" t="n">
        <f aca="false">IFERROR(INDEX('Input Statistiche 2025_26'!$I$3:$I$665,MATCH($A263,'Input Statistiche 2025_26'!$A$3:$A$665,0)),"")</f>
        <v>0</v>
      </c>
      <c r="L263" s="26" t="n">
        <f aca="false">IFERROR(INDEX('Input Statistiche 2025_26'!$O$3:$O$665,MATCH($A263,'Input Statistiche 2025_26'!$A$3:$A$665,0)),"")</f>
        <v>0</v>
      </c>
      <c r="M263" s="28"/>
      <c r="N263" s="27" t="n">
        <f aca="false">IFERROR(INDEX('Input Giocatori 2026_27'!$E$3:$E$493,MATCH($A263,'Input Giocatori 2026_27'!$A$3:$A$493,0)),"")</f>
        <v>5</v>
      </c>
      <c r="O263" s="27" t="n">
        <f aca="false">IFERROR(INDEX('Input Giocatori 2026_27'!$G$3:$G$493,MATCH($A263,'Input Giocatori 2026_27'!$A$3:$A$493,0)),"")</f>
        <v>12</v>
      </c>
      <c r="P263" s="26" t="str">
        <f aca="false">IFERROR(IF($O263="","",IF((1-(COUNTIFS($B$2:$B$492,$B263,$O$2:$O$492,"&gt;"&amp;$O263)+1-1)/COUNTIF($B$2:$B$492,$B263))&gt;=0.85,"Top",IF((1-(COUNTIFS($B$2:$B$492,$B263,$O$2:$O$492,"&gt;"&amp;$O263)+1-1)/COUNTIF($B$2:$B$492,$B263))&gt;=0.6,"Buono",IF((1-(COUNTIFS($B$2:$B$492,$B263,$O$2:$O$492,"&gt;"&amp;$O263)+1-1)/COUNTIF($B$2:$B$492,$B263))&gt;=0.3,"Nella Media","Scommessa/Riserva")))),"")</f>
        <v>Nella Media</v>
      </c>
      <c r="Q263" s="29" t="n">
        <f aca="false">IF($D263="",COUNTIF($D$2:$D263,""),"")</f>
        <v>262</v>
      </c>
      <c r="R263" s="29" t="str">
        <f aca="false">IF($D263='Info Lega'!$B$28,COUNTIFS($D$2:$D263,'Info Lega'!$B$28),"")</f>
        <v/>
      </c>
      <c r="S263" s="30" t="n">
        <f aca="false">IFERROR(INDEX('Input Statistiche 2025_26'!$G$3:$G$665,MATCH($A263,'Input Statistiche 2025_26'!$A$3:$A$665,0)),"")</f>
        <v>6.03</v>
      </c>
      <c r="T263" s="30" t="n">
        <f aca="false">IFERROR(INDEX('Input Statistiche 2025_26'!$H$3:$H$665,MATCH($A263,'Input Statistiche 2025_26'!$A$3:$A$665,0)),"")</f>
        <v>5.94</v>
      </c>
      <c r="U263" s="26" t="str">
        <f aca="false">IF(OR('La Mia Rosa'!$O$12="",$D263&lt;&gt;""),"",IF($F263&lt;='La Mia Rosa'!$O$12*'Parametri Modello'!$B$24,"OK",IF($F263&lt;='La Mia Rosa'!$O$12*'Parametri Modello'!$B$25,"Attenzione","Rischio Alto")))</f>
        <v>OK</v>
      </c>
      <c r="V263" s="26" t="n">
        <f aca="false">IFERROR(COUNTIFS($B$2:$B$492,$B263,$O$2:$O$492,"&gt;"&amp;$O263)+1,"")</f>
        <v>78</v>
      </c>
      <c r="W263" s="21" t="n">
        <f aca="false">'Info Lega'!$B$4-SUMIFS($M$2:$M$492,$D$2:$D$492,'Info Lega'!$B$28)</f>
        <v>1000</v>
      </c>
      <c r="X263" s="21" t="n">
        <f aca="false">('Info Lega'!$B$5-COUNTIFS($D$2:$D$492,'Info Lega'!$B$28,$B$2:$B$492,"P"))+('Info Lega'!$B$6-COUNTIFS($D$2:$D$492,'Info Lega'!$B$28,$B$2:$B$492,"D"))+('Info Lega'!$B$7-COUNTIFS($D$2:$D$492,'Info Lega'!$B$28,$B$2:$B$492,"C"))+('Info Lega'!$B$8-COUNTIFS($D$2:$D$492,'Info Lega'!$B$28,$B$2:$B$492,"A"))</f>
        <v>25</v>
      </c>
      <c r="Y263" s="21" t="n">
        <f aca="false">X263*'Parametri Modello'!$B$30</f>
        <v>25</v>
      </c>
      <c r="Z263" s="21" t="n">
        <f aca="false">MAX(0,W263-Y263)</f>
        <v>975</v>
      </c>
      <c r="AA263" s="21" t="n">
        <f aca="false">MIN(F263,Z263)</f>
        <v>2</v>
      </c>
      <c r="AB263" s="21"/>
      <c r="AC263" s="21" t="str">
        <f aca="false">IF(AB263="","",IF(AB263&gt;AA263,"PASS",IF(AB263&lt;=AA263*0.85,"BID","ATTENZIONE")))</f>
        <v/>
      </c>
      <c r="AD263" s="31" t="n">
        <f aca="false">IF(I263="","",ROUND(100*(1-EXP(-I263/30)),0))</f>
        <v>43</v>
      </c>
      <c r="AE263" s="7" t="str">
        <f aca="false">IFERROR(INDEX('Stato Asta'!$G$9:$G$12,MATCH($B263,'Stato Asta'!$A$9:$A$12,0)),"")</f>
        <v>🟡 Attesa rischiosa</v>
      </c>
    </row>
    <row r="264" customFormat="false" ht="14.25" hidden="false" customHeight="true" outlineLevel="0" collapsed="false">
      <c r="A264" s="21" t="n">
        <v>5449</v>
      </c>
      <c r="B264" s="21" t="s">
        <v>44</v>
      </c>
      <c r="C264" s="21" t="s">
        <v>268</v>
      </c>
      <c r="E264" s="26" t="str">
        <f aca="false">IF(COUNTIF('Info Strategia'!$D$2:$D$51,$C264)&gt;0,"SI","NO")</f>
        <v>NO</v>
      </c>
      <c r="F264" s="27" t="n">
        <f aca="false">IFERROR(ROUND(($G264+($H264-$G264)*'Info Strategia'!$B$6)*(1+IF($E264="SI",'Parametri Modello'!$B$7*'Info Strategia'!$B$6,0)),0),"")</f>
        <v>2</v>
      </c>
      <c r="G264" s="27" t="n">
        <f aca="false">IFERROR(ROUND(MAX(1,(IF($V264&lt;=INDEX('Parametri Modello'!$C$57:$C$60,MATCH($B264,'Parametri Modello'!$A$57:$A$60,0)),IF(INDEX('Parametri Modello'!$E$57:$E$60,MATCH($B264,'Parametri Modello'!$A$57:$A$60,0))=0,0,($O264/INDEX('Parametri Modello'!$E$57:$E$60,MATCH($B264,'Parametri Modello'!$A$57:$A$60,0)))*(INDEX('Parametri Modello'!$D$57:$D$60,MATCH($B264,'Parametri Modello'!$A$57:$A$60,0))*(INDEX('Parametri Modello'!$B$50:$B$53,MATCH($B264,'Parametri Modello'!$A$50:$A$53,0))*'Parametri Modello'!$B$44))),IF(INDEX('Parametri Modello'!$F$57:$F$60,MATCH($B264,'Parametri Modello'!$A$57:$A$60,0))=0,0,($O264/INDEX('Parametri Modello'!$F$57:$F$60,MATCH($B264,'Parametri Modello'!$A$57:$A$60,0)))*((1-INDEX('Parametri Modello'!$D$57:$D$60,MATCH($B264,'Parametri Modello'!$A$57:$A$60,0)))*(INDEX('Parametri Modello'!$B$50:$B$53,MATCH($B264,'Parametri Modello'!$A$50:$A$53,0))*'Parametri Modello'!$B$44))))*(1+IF(IF($B264="D",'Info Lega'!$B$25,IF($B264="C",'Info Lega'!$B$26,"No"))="Si",'Parametri Modello'!$B$5,0))*(1+MAX(-0.25,MIN(0.25,IF(OR($T264="",$I264="",$I264=0,INDEX('Parametri Modello'!$B$19:$B$22,MATCH($B264,'Parametri Modello'!$A$19:$A$22,0))="",INDEX('Parametri Modello'!$B$19:$B$22,MATCH($B264,'Parametri Modello'!$A$19:$A$22,0))=0),0,(($T264-INDEX('Parametri Modello'!$B$19:$B$22,MATCH($B264,'Parametri Modello'!$A$19:$A$22,0)))/INDEX('Parametri Modello'!$B$19:$B$22,MATCH($B264,'Parametri Modello'!$A$19:$A$22,0)))*'Parametri Modello'!$B$9))))*(1+IF('Parametri Modello'!$B$27="Si",MAX(-'Parametri Modello'!$B$28,MIN('Parametri Modello'!$B$28*1.5,IF(OR(INDEX('Parametri Modello'!$F$32:$F$35,MATCH($B264,'Parametri Modello'!$A$32:$A$35,0))="",INDEX('Parametri Modello'!$F$32:$F$35,MATCH($B264,'Parametri Modello'!$A$32:$A$35,0))=0),0,(1/INDEX('Parametri Modello'!$F$32:$F$35,MATCH($B264,'Parametri Modello'!$A$32:$A$35,0))-1)*'Parametri Modello'!$B$28))),0)))*(1-INDEX('Parametri Modello'!$B$12:$B$15,MATCH($B264,'Parametri Modello'!$A$12:$A$15,0)))),0),"")</f>
        <v>2</v>
      </c>
      <c r="H264" s="27" t="n">
        <f aca="false">IFERROR(ROUND((IF($V264&lt;=INDEX('Parametri Modello'!$C$57:$C$60,MATCH($B264,'Parametri Modello'!$A$57:$A$60,0)),IF(INDEX('Parametri Modello'!$E$57:$E$60,MATCH($B264,'Parametri Modello'!$A$57:$A$60,0))=0,0,($O264/INDEX('Parametri Modello'!$E$57:$E$60,MATCH($B264,'Parametri Modello'!$A$57:$A$60,0)))*(INDEX('Parametri Modello'!$D$57:$D$60,MATCH($B264,'Parametri Modello'!$A$57:$A$60,0))*(INDEX('Parametri Modello'!$B$50:$B$53,MATCH($B264,'Parametri Modello'!$A$50:$A$53,0))*'Parametri Modello'!$B$44))),IF(INDEX('Parametri Modello'!$F$57:$F$60,MATCH($B264,'Parametri Modello'!$A$57:$A$60,0))=0,0,($O264/INDEX('Parametri Modello'!$F$57:$F$60,MATCH($B264,'Parametri Modello'!$A$57:$A$60,0)))*((1-INDEX('Parametri Modello'!$D$57:$D$60,MATCH($B264,'Parametri Modello'!$A$57:$A$60,0)))*(INDEX('Parametri Modello'!$B$50:$B$53,MATCH($B264,'Parametri Modello'!$A$50:$A$53,0))*'Parametri Modello'!$B$44))))*(1+IF(IF($B264="D",'Info Lega'!$B$25,IF($B264="C",'Info Lega'!$B$26,"No"))="Si",'Parametri Modello'!$B$5,0))*(1+MAX(-0.25,MIN(0.25,IF(OR($T264="",$I264="",$I264=0,INDEX('Parametri Modello'!$B$19:$B$22,MATCH($B264,'Parametri Modello'!$A$19:$A$22,0))="",INDEX('Parametri Modello'!$B$19:$B$22,MATCH($B264,'Parametri Modello'!$A$19:$A$22,0))=0),0,(($T264-INDEX('Parametri Modello'!$B$19:$B$22,MATCH($B264,'Parametri Modello'!$A$19:$A$22,0)))/INDEX('Parametri Modello'!$B$19:$B$22,MATCH($B264,'Parametri Modello'!$A$19:$A$22,0)))*'Parametri Modello'!$B$9))))*(1+IF('Parametri Modello'!$B$27="Si",MAX(-'Parametri Modello'!$B$28,MIN('Parametri Modello'!$B$28*1.5,IF(OR(INDEX('Parametri Modello'!$F$32:$F$35,MATCH($B264,'Parametri Modello'!$A$32:$A$35,0))="",INDEX('Parametri Modello'!$F$32:$F$35,MATCH($B264,'Parametri Modello'!$A$32:$A$35,0))=0),0,(1/INDEX('Parametri Modello'!$F$32:$F$35,MATCH($B264,'Parametri Modello'!$A$32:$A$35,0))-1)*'Parametri Modello'!$B$28))),0)))*(1+INDEX('Parametri Modello'!$B$12:$B$15,MATCH($B264,'Parametri Modello'!$A$12:$A$15,0))),0),"")</f>
        <v>2</v>
      </c>
      <c r="I264" s="26" t="n">
        <f aca="false">IFERROR(INDEX('Input Statistiche 2025_26'!$F$3:$F$665,MATCH($A264,'Input Statistiche 2025_26'!$A$3:$A$665,0)),"")</f>
        <v>23</v>
      </c>
      <c r="J264" s="26" t="n">
        <f aca="false">IFERROR(IF($I264="","",MAX(0,38-$I264)),"")</f>
        <v>15</v>
      </c>
      <c r="K264" s="26" t="n">
        <f aca="false">IFERROR(INDEX('Input Statistiche 2025_26'!$I$3:$I$665,MATCH($A264,'Input Statistiche 2025_26'!$A$3:$A$665,0)),"")</f>
        <v>1</v>
      </c>
      <c r="L264" s="26" t="n">
        <f aca="false">IFERROR(INDEX('Input Statistiche 2025_26'!$O$3:$O$665,MATCH($A264,'Input Statistiche 2025_26'!$A$3:$A$665,0)),"")</f>
        <v>1</v>
      </c>
      <c r="M264" s="28"/>
      <c r="N264" s="27" t="n">
        <f aca="false">IFERROR(INDEX('Input Giocatori 2026_27'!$E$3:$E$493,MATCH($A264,'Input Giocatori 2026_27'!$A$3:$A$493,0)),"")</f>
        <v>5</v>
      </c>
      <c r="O264" s="27" t="n">
        <f aca="false">IFERROR(INDEX('Input Giocatori 2026_27'!$G$3:$G$493,MATCH($A264,'Input Giocatori 2026_27'!$A$3:$A$493,0)),"")</f>
        <v>12</v>
      </c>
      <c r="P264" s="26" t="str">
        <f aca="false">IFERROR(IF($O264="","",IF((1-(COUNTIFS($B$2:$B$492,$B264,$O$2:$O$492,"&gt;"&amp;$O264)+1-1)/COUNTIF($B$2:$B$492,$B264))&gt;=0.85,"Top",IF((1-(COUNTIFS($B$2:$B$492,$B264,$O$2:$O$492,"&gt;"&amp;$O264)+1-1)/COUNTIF($B$2:$B$492,$B264))&gt;=0.6,"Buono",IF((1-(COUNTIFS($B$2:$B$492,$B264,$O$2:$O$492,"&gt;"&amp;$O264)+1-1)/COUNTIF($B$2:$B$492,$B264))&gt;=0.3,"Nella Media","Scommessa/Riserva")))),"")</f>
        <v>Nella Media</v>
      </c>
      <c r="Q264" s="29" t="n">
        <f aca="false">IF($D264="",COUNTIF($D$2:$D264,""),"")</f>
        <v>263</v>
      </c>
      <c r="R264" s="29" t="str">
        <f aca="false">IF($D264='Info Lega'!$B$28,COUNTIFS($D$2:$D264,'Info Lega'!$B$28),"")</f>
        <v/>
      </c>
      <c r="S264" s="30" t="n">
        <f aca="false">IFERROR(INDEX('Input Statistiche 2025_26'!$G$3:$G$665,MATCH($A264,'Input Statistiche 2025_26'!$A$3:$A$665,0)),"")</f>
        <v>6.02</v>
      </c>
      <c r="T264" s="30" t="n">
        <f aca="false">IFERROR(INDEX('Input Statistiche 2025_26'!$H$3:$H$665,MATCH($A264,'Input Statistiche 2025_26'!$A$3:$A$665,0)),"")</f>
        <v>5.98</v>
      </c>
      <c r="U264" s="26" t="str">
        <f aca="false">IF(OR('La Mia Rosa'!$O$12="",$D264&lt;&gt;""),"",IF($F264&lt;='La Mia Rosa'!$O$12*'Parametri Modello'!$B$24,"OK",IF($F264&lt;='La Mia Rosa'!$O$12*'Parametri Modello'!$B$25,"Attenzione","Rischio Alto")))</f>
        <v>OK</v>
      </c>
      <c r="V264" s="26" t="n">
        <f aca="false">IFERROR(COUNTIFS($B$2:$B$492,$B264,$O$2:$O$492,"&gt;"&amp;$O264)+1,"")</f>
        <v>78</v>
      </c>
      <c r="W264" s="21" t="n">
        <f aca="false">'Info Lega'!$B$4-SUMIFS($M$2:$M$492,$D$2:$D$492,'Info Lega'!$B$28)</f>
        <v>1000</v>
      </c>
      <c r="X264" s="21" t="n">
        <f aca="false">('Info Lega'!$B$5-COUNTIFS($D$2:$D$492,'Info Lega'!$B$28,$B$2:$B$492,"P"))+('Info Lega'!$B$6-COUNTIFS($D$2:$D$492,'Info Lega'!$B$28,$B$2:$B$492,"D"))+('Info Lega'!$B$7-COUNTIFS($D$2:$D$492,'Info Lega'!$B$28,$B$2:$B$492,"C"))+('Info Lega'!$B$8-COUNTIFS($D$2:$D$492,'Info Lega'!$B$28,$B$2:$B$492,"A"))</f>
        <v>25</v>
      </c>
      <c r="Y264" s="21" t="n">
        <f aca="false">X264*'Parametri Modello'!$B$30</f>
        <v>25</v>
      </c>
      <c r="Z264" s="21" t="n">
        <f aca="false">MAX(0,W264-Y264)</f>
        <v>975</v>
      </c>
      <c r="AA264" s="21" t="n">
        <f aca="false">MIN(F264,Z264)</f>
        <v>2</v>
      </c>
      <c r="AB264" s="21"/>
      <c r="AC264" s="21" t="str">
        <f aca="false">IF(AB264="","",IF(AB264&gt;AA264,"PASS",IF(AB264&lt;=AA264*0.85,"BID","ATTENZIONE")))</f>
        <v/>
      </c>
      <c r="AD264" s="31" t="n">
        <f aca="false">IF(I264="","",ROUND(100*(1-EXP(-I264/30)),0))</f>
        <v>54</v>
      </c>
      <c r="AE264" s="7" t="str">
        <f aca="false">IFERROR(INDEX('Stato Asta'!$G$9:$G$12,MATCH($B264,'Stato Asta'!$A$9:$A$12,0)),"")</f>
        <v>🟡 Attesa rischiosa</v>
      </c>
    </row>
    <row r="265" customFormat="false" ht="14.25" hidden="false" customHeight="true" outlineLevel="0" collapsed="false">
      <c r="A265" s="21" t="n">
        <v>6238</v>
      </c>
      <c r="B265" s="21" t="s">
        <v>44</v>
      </c>
      <c r="C265" s="21" t="s">
        <v>270</v>
      </c>
      <c r="E265" s="26" t="str">
        <f aca="false">IF(COUNTIF('Info Strategia'!$D$2:$D$51,$C265)&gt;0,"SI","NO")</f>
        <v>NO</v>
      </c>
      <c r="F265" s="27" t="n">
        <f aca="false">IFERROR(ROUND(($G265+($H265-$G265)*'Info Strategia'!$B$6)*(1+IF($E265="SI",'Parametri Modello'!$B$7*'Info Strategia'!$B$6,0)),0),"")</f>
        <v>2</v>
      </c>
      <c r="G265" s="27" t="n">
        <f aca="false">IFERROR(ROUND(MAX(1,(IF($V265&lt;=INDEX('Parametri Modello'!$C$57:$C$60,MATCH($B265,'Parametri Modello'!$A$57:$A$60,0)),IF(INDEX('Parametri Modello'!$E$57:$E$60,MATCH($B265,'Parametri Modello'!$A$57:$A$60,0))=0,0,($O265/INDEX('Parametri Modello'!$E$57:$E$60,MATCH($B265,'Parametri Modello'!$A$57:$A$60,0)))*(INDEX('Parametri Modello'!$D$57:$D$60,MATCH($B265,'Parametri Modello'!$A$57:$A$60,0))*(INDEX('Parametri Modello'!$B$50:$B$53,MATCH($B265,'Parametri Modello'!$A$50:$A$53,0))*'Parametri Modello'!$B$44))),IF(INDEX('Parametri Modello'!$F$57:$F$60,MATCH($B265,'Parametri Modello'!$A$57:$A$60,0))=0,0,($O265/INDEX('Parametri Modello'!$F$57:$F$60,MATCH($B265,'Parametri Modello'!$A$57:$A$60,0)))*((1-INDEX('Parametri Modello'!$D$57:$D$60,MATCH($B265,'Parametri Modello'!$A$57:$A$60,0)))*(INDEX('Parametri Modello'!$B$50:$B$53,MATCH($B265,'Parametri Modello'!$A$50:$A$53,0))*'Parametri Modello'!$B$44))))*(1+IF(IF($B265="D",'Info Lega'!$B$25,IF($B265="C",'Info Lega'!$B$26,"No"))="Si",'Parametri Modello'!$B$5,0))*(1+MAX(-0.25,MIN(0.25,IF(OR($T265="",$I265="",$I265=0,INDEX('Parametri Modello'!$B$19:$B$22,MATCH($B265,'Parametri Modello'!$A$19:$A$22,0))="",INDEX('Parametri Modello'!$B$19:$B$22,MATCH($B265,'Parametri Modello'!$A$19:$A$22,0))=0),0,(($T265-INDEX('Parametri Modello'!$B$19:$B$22,MATCH($B265,'Parametri Modello'!$A$19:$A$22,0)))/INDEX('Parametri Modello'!$B$19:$B$22,MATCH($B265,'Parametri Modello'!$A$19:$A$22,0)))*'Parametri Modello'!$B$9))))*(1+IF('Parametri Modello'!$B$27="Si",MAX(-'Parametri Modello'!$B$28,MIN('Parametri Modello'!$B$28*1.5,IF(OR(INDEX('Parametri Modello'!$F$32:$F$35,MATCH($B265,'Parametri Modello'!$A$32:$A$35,0))="",INDEX('Parametri Modello'!$F$32:$F$35,MATCH($B265,'Parametri Modello'!$A$32:$A$35,0))=0),0,(1/INDEX('Parametri Modello'!$F$32:$F$35,MATCH($B265,'Parametri Modello'!$A$32:$A$35,0))-1)*'Parametri Modello'!$B$28))),0)))*(1-INDEX('Parametri Modello'!$B$12:$B$15,MATCH($B265,'Parametri Modello'!$A$12:$A$15,0)))),0),"")</f>
        <v>2</v>
      </c>
      <c r="H265" s="27" t="n">
        <f aca="false">IFERROR(ROUND((IF($V265&lt;=INDEX('Parametri Modello'!$C$57:$C$60,MATCH($B265,'Parametri Modello'!$A$57:$A$60,0)),IF(INDEX('Parametri Modello'!$E$57:$E$60,MATCH($B265,'Parametri Modello'!$A$57:$A$60,0))=0,0,($O265/INDEX('Parametri Modello'!$E$57:$E$60,MATCH($B265,'Parametri Modello'!$A$57:$A$60,0)))*(INDEX('Parametri Modello'!$D$57:$D$60,MATCH($B265,'Parametri Modello'!$A$57:$A$60,0))*(INDEX('Parametri Modello'!$B$50:$B$53,MATCH($B265,'Parametri Modello'!$A$50:$A$53,0))*'Parametri Modello'!$B$44))),IF(INDEX('Parametri Modello'!$F$57:$F$60,MATCH($B265,'Parametri Modello'!$A$57:$A$60,0))=0,0,($O265/INDEX('Parametri Modello'!$F$57:$F$60,MATCH($B265,'Parametri Modello'!$A$57:$A$60,0)))*((1-INDEX('Parametri Modello'!$D$57:$D$60,MATCH($B265,'Parametri Modello'!$A$57:$A$60,0)))*(INDEX('Parametri Modello'!$B$50:$B$53,MATCH($B265,'Parametri Modello'!$A$50:$A$53,0))*'Parametri Modello'!$B$44))))*(1+IF(IF($B265="D",'Info Lega'!$B$25,IF($B265="C",'Info Lega'!$B$26,"No"))="Si",'Parametri Modello'!$B$5,0))*(1+MAX(-0.25,MIN(0.25,IF(OR($T265="",$I265="",$I265=0,INDEX('Parametri Modello'!$B$19:$B$22,MATCH($B265,'Parametri Modello'!$A$19:$A$22,0))="",INDEX('Parametri Modello'!$B$19:$B$22,MATCH($B265,'Parametri Modello'!$A$19:$A$22,0))=0),0,(($T265-INDEX('Parametri Modello'!$B$19:$B$22,MATCH($B265,'Parametri Modello'!$A$19:$A$22,0)))/INDEX('Parametri Modello'!$B$19:$B$22,MATCH($B265,'Parametri Modello'!$A$19:$A$22,0)))*'Parametri Modello'!$B$9))))*(1+IF('Parametri Modello'!$B$27="Si",MAX(-'Parametri Modello'!$B$28,MIN('Parametri Modello'!$B$28*1.5,IF(OR(INDEX('Parametri Modello'!$F$32:$F$35,MATCH($B265,'Parametri Modello'!$A$32:$A$35,0))="",INDEX('Parametri Modello'!$F$32:$F$35,MATCH($B265,'Parametri Modello'!$A$32:$A$35,0))=0),0,(1/INDEX('Parametri Modello'!$F$32:$F$35,MATCH($B265,'Parametri Modello'!$A$32:$A$35,0))-1)*'Parametri Modello'!$B$28))),0)))*(1+INDEX('Parametri Modello'!$B$12:$B$15,MATCH($B265,'Parametri Modello'!$A$12:$A$15,0))),0),"")</f>
        <v>2</v>
      </c>
      <c r="I265" s="26" t="str">
        <f aca="false">IFERROR(INDEX('Input Statistiche 2025_26'!$F$3:$F$665,MATCH($A265,'Input Statistiche 2025_26'!$A$3:$A$665,0)),"")</f>
        <v/>
      </c>
      <c r="J265" s="26" t="str">
        <f aca="false">IFERROR(IF($I265="","",MAX(0,38-$I265)),"")</f>
        <v/>
      </c>
      <c r="K265" s="26" t="str">
        <f aca="false">IFERROR(INDEX('Input Statistiche 2025_26'!$I$3:$I$665,MATCH($A265,'Input Statistiche 2025_26'!$A$3:$A$665,0)),"")</f>
        <v/>
      </c>
      <c r="L265" s="26" t="str">
        <f aca="false">IFERROR(INDEX('Input Statistiche 2025_26'!$O$3:$O$665,MATCH($A265,'Input Statistiche 2025_26'!$A$3:$A$665,0)),"")</f>
        <v/>
      </c>
      <c r="M265" s="28"/>
      <c r="N265" s="27" t="n">
        <f aca="false">IFERROR(INDEX('Input Giocatori 2026_27'!$E$3:$E$493,MATCH($A265,'Input Giocatori 2026_27'!$A$3:$A$493,0)),"")</f>
        <v>5</v>
      </c>
      <c r="O265" s="27" t="n">
        <f aca="false">IFERROR(INDEX('Input Giocatori 2026_27'!$G$3:$G$493,MATCH($A265,'Input Giocatori 2026_27'!$A$3:$A$493,0)),"")</f>
        <v>12</v>
      </c>
      <c r="P265" s="26" t="str">
        <f aca="false">IFERROR(IF($O265="","",IF((1-(COUNTIFS($B$2:$B$492,$B265,$O$2:$O$492,"&gt;"&amp;$O265)+1-1)/COUNTIF($B$2:$B$492,$B265))&gt;=0.85,"Top",IF((1-(COUNTIFS($B$2:$B$492,$B265,$O$2:$O$492,"&gt;"&amp;$O265)+1-1)/COUNTIF($B$2:$B$492,$B265))&gt;=0.6,"Buono",IF((1-(COUNTIFS($B$2:$B$492,$B265,$O$2:$O$492,"&gt;"&amp;$O265)+1-1)/COUNTIF($B$2:$B$492,$B265))&gt;=0.3,"Nella Media","Scommessa/Riserva")))),"")</f>
        <v>Nella Media</v>
      </c>
      <c r="Q265" s="29" t="n">
        <f aca="false">IF($D265="",COUNTIF($D$2:$D265,""),"")</f>
        <v>264</v>
      </c>
      <c r="R265" s="29" t="str">
        <f aca="false">IF($D265='Info Lega'!$B$28,COUNTIFS($D$2:$D265,'Info Lega'!$B$28),"")</f>
        <v/>
      </c>
      <c r="S265" s="30" t="str">
        <f aca="false">IFERROR(INDEX('Input Statistiche 2025_26'!$G$3:$G$665,MATCH($A265,'Input Statistiche 2025_26'!$A$3:$A$665,0)),"")</f>
        <v/>
      </c>
      <c r="T265" s="30" t="str">
        <f aca="false">IFERROR(INDEX('Input Statistiche 2025_26'!$H$3:$H$665,MATCH($A265,'Input Statistiche 2025_26'!$A$3:$A$665,0)),"")</f>
        <v/>
      </c>
      <c r="U265" s="26" t="str">
        <f aca="false">IF(OR('La Mia Rosa'!$O$12="",$D265&lt;&gt;""),"",IF($F265&lt;='La Mia Rosa'!$O$12*'Parametri Modello'!$B$24,"OK",IF($F265&lt;='La Mia Rosa'!$O$12*'Parametri Modello'!$B$25,"Attenzione","Rischio Alto")))</f>
        <v>OK</v>
      </c>
      <c r="V265" s="26" t="n">
        <f aca="false">IFERROR(COUNTIFS($B$2:$B$492,$B265,$O$2:$O$492,"&gt;"&amp;$O265)+1,"")</f>
        <v>78</v>
      </c>
      <c r="W265" s="21" t="n">
        <f aca="false">'Info Lega'!$B$4-SUMIFS($M$2:$M$492,$D$2:$D$492,'Info Lega'!$B$28)</f>
        <v>1000</v>
      </c>
      <c r="X265" s="21" t="n">
        <f aca="false">('Info Lega'!$B$5-COUNTIFS($D$2:$D$492,'Info Lega'!$B$28,$B$2:$B$492,"P"))+('Info Lega'!$B$6-COUNTIFS($D$2:$D$492,'Info Lega'!$B$28,$B$2:$B$492,"D"))+('Info Lega'!$B$7-COUNTIFS($D$2:$D$492,'Info Lega'!$B$28,$B$2:$B$492,"C"))+('Info Lega'!$B$8-COUNTIFS($D$2:$D$492,'Info Lega'!$B$28,$B$2:$B$492,"A"))</f>
        <v>25</v>
      </c>
      <c r="Y265" s="21" t="n">
        <f aca="false">X265*'Parametri Modello'!$B$30</f>
        <v>25</v>
      </c>
      <c r="Z265" s="21" t="n">
        <f aca="false">MAX(0,W265-Y265)</f>
        <v>975</v>
      </c>
      <c r="AA265" s="21" t="n">
        <f aca="false">MIN(F265,Z265)</f>
        <v>2</v>
      </c>
      <c r="AB265" s="21"/>
      <c r="AC265" s="21" t="str">
        <f aca="false">IF(AB265="","",IF(AB265&gt;AA265,"PASS",IF(AB265&lt;=AA265*0.85,"BID","ATTENZIONE")))</f>
        <v/>
      </c>
      <c r="AD265" s="31" t="str">
        <f aca="false">IF(I265="","",ROUND(100*(1-EXP(-I265/30)),0))</f>
        <v/>
      </c>
      <c r="AE265" s="7" t="str">
        <f aca="false">IFERROR(INDEX('Stato Asta'!$G$9:$G$12,MATCH($B265,'Stato Asta'!$A$9:$A$12,0)),"")</f>
        <v>🟡 Attesa rischiosa</v>
      </c>
    </row>
    <row r="266" customFormat="false" ht="14.25" hidden="false" customHeight="true" outlineLevel="0" collapsed="false">
      <c r="A266" s="21" t="n">
        <v>6632</v>
      </c>
      <c r="B266" s="21" t="s">
        <v>44</v>
      </c>
      <c r="C266" s="21" t="s">
        <v>274</v>
      </c>
      <c r="E266" s="26" t="str">
        <f aca="false">IF(COUNTIF('Info Strategia'!$D$2:$D$51,$C266)&gt;0,"SI","NO")</f>
        <v>NO</v>
      </c>
      <c r="F266" s="27" t="n">
        <f aca="false">IFERROR(ROUND(($G266+($H266-$G266)*'Info Strategia'!$B$6)*(1+IF($E266="SI",'Parametri Modello'!$B$7*'Info Strategia'!$B$6,0)),0),"")</f>
        <v>2</v>
      </c>
      <c r="G266" s="27" t="n">
        <f aca="false">IFERROR(ROUND(MAX(1,(IF($V266&lt;=INDEX('Parametri Modello'!$C$57:$C$60,MATCH($B266,'Parametri Modello'!$A$57:$A$60,0)),IF(INDEX('Parametri Modello'!$E$57:$E$60,MATCH($B266,'Parametri Modello'!$A$57:$A$60,0))=0,0,($O266/INDEX('Parametri Modello'!$E$57:$E$60,MATCH($B266,'Parametri Modello'!$A$57:$A$60,0)))*(INDEX('Parametri Modello'!$D$57:$D$60,MATCH($B266,'Parametri Modello'!$A$57:$A$60,0))*(INDEX('Parametri Modello'!$B$50:$B$53,MATCH($B266,'Parametri Modello'!$A$50:$A$53,0))*'Parametri Modello'!$B$44))),IF(INDEX('Parametri Modello'!$F$57:$F$60,MATCH($B266,'Parametri Modello'!$A$57:$A$60,0))=0,0,($O266/INDEX('Parametri Modello'!$F$57:$F$60,MATCH($B266,'Parametri Modello'!$A$57:$A$60,0)))*((1-INDEX('Parametri Modello'!$D$57:$D$60,MATCH($B266,'Parametri Modello'!$A$57:$A$60,0)))*(INDEX('Parametri Modello'!$B$50:$B$53,MATCH($B266,'Parametri Modello'!$A$50:$A$53,0))*'Parametri Modello'!$B$44))))*(1+IF(IF($B266="D",'Info Lega'!$B$25,IF($B266="C",'Info Lega'!$B$26,"No"))="Si",'Parametri Modello'!$B$5,0))*(1+MAX(-0.25,MIN(0.25,IF(OR($T266="",$I266="",$I266=0,INDEX('Parametri Modello'!$B$19:$B$22,MATCH($B266,'Parametri Modello'!$A$19:$A$22,0))="",INDEX('Parametri Modello'!$B$19:$B$22,MATCH($B266,'Parametri Modello'!$A$19:$A$22,0))=0),0,(($T266-INDEX('Parametri Modello'!$B$19:$B$22,MATCH($B266,'Parametri Modello'!$A$19:$A$22,0)))/INDEX('Parametri Modello'!$B$19:$B$22,MATCH($B266,'Parametri Modello'!$A$19:$A$22,0)))*'Parametri Modello'!$B$9))))*(1+IF('Parametri Modello'!$B$27="Si",MAX(-'Parametri Modello'!$B$28,MIN('Parametri Modello'!$B$28*1.5,IF(OR(INDEX('Parametri Modello'!$F$32:$F$35,MATCH($B266,'Parametri Modello'!$A$32:$A$35,0))="",INDEX('Parametri Modello'!$F$32:$F$35,MATCH($B266,'Parametri Modello'!$A$32:$A$35,0))=0),0,(1/INDEX('Parametri Modello'!$F$32:$F$35,MATCH($B266,'Parametri Modello'!$A$32:$A$35,0))-1)*'Parametri Modello'!$B$28))),0)))*(1-INDEX('Parametri Modello'!$B$12:$B$15,MATCH($B266,'Parametri Modello'!$A$12:$A$15,0)))),0),"")</f>
        <v>2</v>
      </c>
      <c r="H266" s="27" t="n">
        <f aca="false">IFERROR(ROUND((IF($V266&lt;=INDEX('Parametri Modello'!$C$57:$C$60,MATCH($B266,'Parametri Modello'!$A$57:$A$60,0)),IF(INDEX('Parametri Modello'!$E$57:$E$60,MATCH($B266,'Parametri Modello'!$A$57:$A$60,0))=0,0,($O266/INDEX('Parametri Modello'!$E$57:$E$60,MATCH($B266,'Parametri Modello'!$A$57:$A$60,0)))*(INDEX('Parametri Modello'!$D$57:$D$60,MATCH($B266,'Parametri Modello'!$A$57:$A$60,0))*(INDEX('Parametri Modello'!$B$50:$B$53,MATCH($B266,'Parametri Modello'!$A$50:$A$53,0))*'Parametri Modello'!$B$44))),IF(INDEX('Parametri Modello'!$F$57:$F$60,MATCH($B266,'Parametri Modello'!$A$57:$A$60,0))=0,0,($O266/INDEX('Parametri Modello'!$F$57:$F$60,MATCH($B266,'Parametri Modello'!$A$57:$A$60,0)))*((1-INDEX('Parametri Modello'!$D$57:$D$60,MATCH($B266,'Parametri Modello'!$A$57:$A$60,0)))*(INDEX('Parametri Modello'!$B$50:$B$53,MATCH($B266,'Parametri Modello'!$A$50:$A$53,0))*'Parametri Modello'!$B$44))))*(1+IF(IF($B266="D",'Info Lega'!$B$25,IF($B266="C",'Info Lega'!$B$26,"No"))="Si",'Parametri Modello'!$B$5,0))*(1+MAX(-0.25,MIN(0.25,IF(OR($T266="",$I266="",$I266=0,INDEX('Parametri Modello'!$B$19:$B$22,MATCH($B266,'Parametri Modello'!$A$19:$A$22,0))="",INDEX('Parametri Modello'!$B$19:$B$22,MATCH($B266,'Parametri Modello'!$A$19:$A$22,0))=0),0,(($T266-INDEX('Parametri Modello'!$B$19:$B$22,MATCH($B266,'Parametri Modello'!$A$19:$A$22,0)))/INDEX('Parametri Modello'!$B$19:$B$22,MATCH($B266,'Parametri Modello'!$A$19:$A$22,0)))*'Parametri Modello'!$B$9))))*(1+IF('Parametri Modello'!$B$27="Si",MAX(-'Parametri Modello'!$B$28,MIN('Parametri Modello'!$B$28*1.5,IF(OR(INDEX('Parametri Modello'!$F$32:$F$35,MATCH($B266,'Parametri Modello'!$A$32:$A$35,0))="",INDEX('Parametri Modello'!$F$32:$F$35,MATCH($B266,'Parametri Modello'!$A$32:$A$35,0))=0),0,(1/INDEX('Parametri Modello'!$F$32:$F$35,MATCH($B266,'Parametri Modello'!$A$32:$A$35,0))-1)*'Parametri Modello'!$B$28))),0)))*(1+INDEX('Parametri Modello'!$B$12:$B$15,MATCH($B266,'Parametri Modello'!$A$12:$A$15,0))),0),"")</f>
        <v>2</v>
      </c>
      <c r="I266" s="26" t="n">
        <f aca="false">IFERROR(INDEX('Input Statistiche 2025_26'!$F$3:$F$665,MATCH($A266,'Input Statistiche 2025_26'!$A$3:$A$665,0)),"")</f>
        <v>21</v>
      </c>
      <c r="J266" s="26" t="n">
        <f aca="false">IFERROR(IF($I266="","",MAX(0,38-$I266)),"")</f>
        <v>17</v>
      </c>
      <c r="K266" s="26" t="n">
        <f aca="false">IFERROR(INDEX('Input Statistiche 2025_26'!$I$3:$I$665,MATCH($A266,'Input Statistiche 2025_26'!$A$3:$A$665,0)),"")</f>
        <v>0</v>
      </c>
      <c r="L266" s="26" t="n">
        <f aca="false">IFERROR(INDEX('Input Statistiche 2025_26'!$O$3:$O$665,MATCH($A266,'Input Statistiche 2025_26'!$A$3:$A$665,0)),"")</f>
        <v>0</v>
      </c>
      <c r="M266" s="28"/>
      <c r="N266" s="27" t="n">
        <f aca="false">IFERROR(INDEX('Input Giocatori 2026_27'!$E$3:$E$493,MATCH($A266,'Input Giocatori 2026_27'!$A$3:$A$493,0)),"")</f>
        <v>5</v>
      </c>
      <c r="O266" s="27" t="n">
        <f aca="false">IFERROR(INDEX('Input Giocatori 2026_27'!$G$3:$G$493,MATCH($A266,'Input Giocatori 2026_27'!$A$3:$A$493,0)),"")</f>
        <v>12</v>
      </c>
      <c r="P266" s="26" t="str">
        <f aca="false">IFERROR(IF($O266="","",IF((1-(COUNTIFS($B$2:$B$492,$B266,$O$2:$O$492,"&gt;"&amp;$O266)+1-1)/COUNTIF($B$2:$B$492,$B266))&gt;=0.85,"Top",IF((1-(COUNTIFS($B$2:$B$492,$B266,$O$2:$O$492,"&gt;"&amp;$O266)+1-1)/COUNTIF($B$2:$B$492,$B266))&gt;=0.6,"Buono",IF((1-(COUNTIFS($B$2:$B$492,$B266,$O$2:$O$492,"&gt;"&amp;$O266)+1-1)/COUNTIF($B$2:$B$492,$B266))&gt;=0.3,"Nella Media","Scommessa/Riserva")))),"")</f>
        <v>Nella Media</v>
      </c>
      <c r="Q266" s="29" t="n">
        <f aca="false">IF($D266="",COUNTIF($D$2:$D266,""),"")</f>
        <v>265</v>
      </c>
      <c r="R266" s="29" t="str">
        <f aca="false">IF($D266='Info Lega'!$B$28,COUNTIFS($D$2:$D266,'Info Lega'!$B$28),"")</f>
        <v/>
      </c>
      <c r="S266" s="30" t="n">
        <f aca="false">IFERROR(INDEX('Input Statistiche 2025_26'!$G$3:$G$665,MATCH($A266,'Input Statistiche 2025_26'!$A$3:$A$665,0)),"")</f>
        <v>5.83</v>
      </c>
      <c r="T266" s="30" t="n">
        <f aca="false">IFERROR(INDEX('Input Statistiche 2025_26'!$H$3:$H$665,MATCH($A266,'Input Statistiche 2025_26'!$A$3:$A$665,0)),"")</f>
        <v>5.64</v>
      </c>
      <c r="U266" s="26" t="str">
        <f aca="false">IF(OR('La Mia Rosa'!$O$12="",$D266&lt;&gt;""),"",IF($F266&lt;='La Mia Rosa'!$O$12*'Parametri Modello'!$B$24,"OK",IF($F266&lt;='La Mia Rosa'!$O$12*'Parametri Modello'!$B$25,"Attenzione","Rischio Alto")))</f>
        <v>OK</v>
      </c>
      <c r="V266" s="26" t="n">
        <f aca="false">IFERROR(COUNTIFS($B$2:$B$492,$B266,$O$2:$O$492,"&gt;"&amp;$O266)+1,"")</f>
        <v>78</v>
      </c>
      <c r="W266" s="21" t="n">
        <f aca="false">'Info Lega'!$B$4-SUMIFS($M$2:$M$492,$D$2:$D$492,'Info Lega'!$B$28)</f>
        <v>1000</v>
      </c>
      <c r="X266" s="21" t="n">
        <f aca="false">('Info Lega'!$B$5-COUNTIFS($D$2:$D$492,'Info Lega'!$B$28,$B$2:$B$492,"P"))+('Info Lega'!$B$6-COUNTIFS($D$2:$D$492,'Info Lega'!$B$28,$B$2:$B$492,"D"))+('Info Lega'!$B$7-COUNTIFS($D$2:$D$492,'Info Lega'!$B$28,$B$2:$B$492,"C"))+('Info Lega'!$B$8-COUNTIFS($D$2:$D$492,'Info Lega'!$B$28,$B$2:$B$492,"A"))</f>
        <v>25</v>
      </c>
      <c r="Y266" s="21" t="n">
        <f aca="false">X266*'Parametri Modello'!$B$30</f>
        <v>25</v>
      </c>
      <c r="Z266" s="21" t="n">
        <f aca="false">MAX(0,W266-Y266)</f>
        <v>975</v>
      </c>
      <c r="AA266" s="21" t="n">
        <f aca="false">MIN(F266,Z266)</f>
        <v>2</v>
      </c>
      <c r="AB266" s="21"/>
      <c r="AC266" s="21" t="str">
        <f aca="false">IF(AB266="","",IF(AB266&gt;AA266,"PASS",IF(AB266&lt;=AA266*0.85,"BID","ATTENZIONE")))</f>
        <v/>
      </c>
      <c r="AD266" s="31" t="n">
        <f aca="false">IF(I266="","",ROUND(100*(1-EXP(-I266/30)),0))</f>
        <v>50</v>
      </c>
      <c r="AE266" s="7" t="str">
        <f aca="false">IFERROR(INDEX('Stato Asta'!$G$9:$G$12,MATCH($B266,'Stato Asta'!$A$9:$A$12,0)),"")</f>
        <v>🟡 Attesa rischiosa</v>
      </c>
    </row>
    <row r="267" customFormat="false" ht="14.25" hidden="false" customHeight="true" outlineLevel="0" collapsed="false">
      <c r="A267" s="21" t="n">
        <v>7240</v>
      </c>
      <c r="B267" s="21" t="s">
        <v>44</v>
      </c>
      <c r="C267" s="21" t="s">
        <v>287</v>
      </c>
      <c r="E267" s="26" t="str">
        <f aca="false">IF(COUNTIF('Info Strategia'!$D$2:$D$51,$C267)&gt;0,"SI","NO")</f>
        <v>NO</v>
      </c>
      <c r="F267" s="27" t="n">
        <f aca="false">IFERROR(ROUND(($G267+($H267-$G267)*'Info Strategia'!$B$6)*(1+IF($E267="SI",'Parametri Modello'!$B$7*'Info Strategia'!$B$6,0)),0),"")</f>
        <v>2</v>
      </c>
      <c r="G267" s="27" t="n">
        <f aca="false">IFERROR(ROUND(MAX(1,(IF($V267&lt;=INDEX('Parametri Modello'!$C$57:$C$60,MATCH($B267,'Parametri Modello'!$A$57:$A$60,0)),IF(INDEX('Parametri Modello'!$E$57:$E$60,MATCH($B267,'Parametri Modello'!$A$57:$A$60,0))=0,0,($O267/INDEX('Parametri Modello'!$E$57:$E$60,MATCH($B267,'Parametri Modello'!$A$57:$A$60,0)))*(INDEX('Parametri Modello'!$D$57:$D$60,MATCH($B267,'Parametri Modello'!$A$57:$A$60,0))*(INDEX('Parametri Modello'!$B$50:$B$53,MATCH($B267,'Parametri Modello'!$A$50:$A$53,0))*'Parametri Modello'!$B$44))),IF(INDEX('Parametri Modello'!$F$57:$F$60,MATCH($B267,'Parametri Modello'!$A$57:$A$60,0))=0,0,($O267/INDEX('Parametri Modello'!$F$57:$F$60,MATCH($B267,'Parametri Modello'!$A$57:$A$60,0)))*((1-INDEX('Parametri Modello'!$D$57:$D$60,MATCH($B267,'Parametri Modello'!$A$57:$A$60,0)))*(INDEX('Parametri Modello'!$B$50:$B$53,MATCH($B267,'Parametri Modello'!$A$50:$A$53,0))*'Parametri Modello'!$B$44))))*(1+IF(IF($B267="D",'Info Lega'!$B$25,IF($B267="C",'Info Lega'!$B$26,"No"))="Si",'Parametri Modello'!$B$5,0))*(1+MAX(-0.25,MIN(0.25,IF(OR($T267="",$I267="",$I267=0,INDEX('Parametri Modello'!$B$19:$B$22,MATCH($B267,'Parametri Modello'!$A$19:$A$22,0))="",INDEX('Parametri Modello'!$B$19:$B$22,MATCH($B267,'Parametri Modello'!$A$19:$A$22,0))=0),0,(($T267-INDEX('Parametri Modello'!$B$19:$B$22,MATCH($B267,'Parametri Modello'!$A$19:$A$22,0)))/INDEX('Parametri Modello'!$B$19:$B$22,MATCH($B267,'Parametri Modello'!$A$19:$A$22,0)))*'Parametri Modello'!$B$9))))*(1+IF('Parametri Modello'!$B$27="Si",MAX(-'Parametri Modello'!$B$28,MIN('Parametri Modello'!$B$28*1.5,IF(OR(INDEX('Parametri Modello'!$F$32:$F$35,MATCH($B267,'Parametri Modello'!$A$32:$A$35,0))="",INDEX('Parametri Modello'!$F$32:$F$35,MATCH($B267,'Parametri Modello'!$A$32:$A$35,0))=0),0,(1/INDEX('Parametri Modello'!$F$32:$F$35,MATCH($B267,'Parametri Modello'!$A$32:$A$35,0))-1)*'Parametri Modello'!$B$28))),0)))*(1-INDEX('Parametri Modello'!$B$12:$B$15,MATCH($B267,'Parametri Modello'!$A$12:$A$15,0)))),0),"")</f>
        <v>2</v>
      </c>
      <c r="H267" s="27" t="n">
        <f aca="false">IFERROR(ROUND((IF($V267&lt;=INDEX('Parametri Modello'!$C$57:$C$60,MATCH($B267,'Parametri Modello'!$A$57:$A$60,0)),IF(INDEX('Parametri Modello'!$E$57:$E$60,MATCH($B267,'Parametri Modello'!$A$57:$A$60,0))=0,0,($O267/INDEX('Parametri Modello'!$E$57:$E$60,MATCH($B267,'Parametri Modello'!$A$57:$A$60,0)))*(INDEX('Parametri Modello'!$D$57:$D$60,MATCH($B267,'Parametri Modello'!$A$57:$A$60,0))*(INDEX('Parametri Modello'!$B$50:$B$53,MATCH($B267,'Parametri Modello'!$A$50:$A$53,0))*'Parametri Modello'!$B$44))),IF(INDEX('Parametri Modello'!$F$57:$F$60,MATCH($B267,'Parametri Modello'!$A$57:$A$60,0))=0,0,($O267/INDEX('Parametri Modello'!$F$57:$F$60,MATCH($B267,'Parametri Modello'!$A$57:$A$60,0)))*((1-INDEX('Parametri Modello'!$D$57:$D$60,MATCH($B267,'Parametri Modello'!$A$57:$A$60,0)))*(INDEX('Parametri Modello'!$B$50:$B$53,MATCH($B267,'Parametri Modello'!$A$50:$A$53,0))*'Parametri Modello'!$B$44))))*(1+IF(IF($B267="D",'Info Lega'!$B$25,IF($B267="C",'Info Lega'!$B$26,"No"))="Si",'Parametri Modello'!$B$5,0))*(1+MAX(-0.25,MIN(0.25,IF(OR($T267="",$I267="",$I267=0,INDEX('Parametri Modello'!$B$19:$B$22,MATCH($B267,'Parametri Modello'!$A$19:$A$22,0))="",INDEX('Parametri Modello'!$B$19:$B$22,MATCH($B267,'Parametri Modello'!$A$19:$A$22,0))=0),0,(($T267-INDEX('Parametri Modello'!$B$19:$B$22,MATCH($B267,'Parametri Modello'!$A$19:$A$22,0)))/INDEX('Parametri Modello'!$B$19:$B$22,MATCH($B267,'Parametri Modello'!$A$19:$A$22,0)))*'Parametri Modello'!$B$9))))*(1+IF('Parametri Modello'!$B$27="Si",MAX(-'Parametri Modello'!$B$28,MIN('Parametri Modello'!$B$28*1.5,IF(OR(INDEX('Parametri Modello'!$F$32:$F$35,MATCH($B267,'Parametri Modello'!$A$32:$A$35,0))="",INDEX('Parametri Modello'!$F$32:$F$35,MATCH($B267,'Parametri Modello'!$A$32:$A$35,0))=0),0,(1/INDEX('Parametri Modello'!$F$32:$F$35,MATCH($B267,'Parametri Modello'!$A$32:$A$35,0))-1)*'Parametri Modello'!$B$28))),0)))*(1+INDEX('Parametri Modello'!$B$12:$B$15,MATCH($B267,'Parametri Modello'!$A$12:$A$15,0))),0),"")</f>
        <v>2</v>
      </c>
      <c r="I267" s="26" t="n">
        <f aca="false">IFERROR(INDEX('Input Statistiche 2025_26'!$F$3:$F$665,MATCH($A267,'Input Statistiche 2025_26'!$A$3:$A$665,0)),"")</f>
        <v>19</v>
      </c>
      <c r="J267" s="26" t="n">
        <f aca="false">IFERROR(IF($I267="","",MAX(0,38-$I267)),"")</f>
        <v>19</v>
      </c>
      <c r="K267" s="26" t="n">
        <f aca="false">IFERROR(INDEX('Input Statistiche 2025_26'!$I$3:$I$665,MATCH($A267,'Input Statistiche 2025_26'!$A$3:$A$665,0)),"")</f>
        <v>1</v>
      </c>
      <c r="L267" s="26" t="n">
        <f aca="false">IFERROR(INDEX('Input Statistiche 2025_26'!$O$3:$O$665,MATCH($A267,'Input Statistiche 2025_26'!$A$3:$A$665,0)),"")</f>
        <v>0</v>
      </c>
      <c r="M267" s="28"/>
      <c r="N267" s="27" t="n">
        <f aca="false">IFERROR(INDEX('Input Giocatori 2026_27'!$E$3:$E$493,MATCH($A267,'Input Giocatori 2026_27'!$A$3:$A$493,0)),"")</f>
        <v>4</v>
      </c>
      <c r="O267" s="27" t="n">
        <f aca="false">IFERROR(INDEX('Input Giocatori 2026_27'!$G$3:$G$493,MATCH($A267,'Input Giocatori 2026_27'!$A$3:$A$493,0)),"")</f>
        <v>12</v>
      </c>
      <c r="P267" s="26" t="str">
        <f aca="false">IFERROR(IF($O267="","",IF((1-(COUNTIFS($B$2:$B$492,$B267,$O$2:$O$492,"&gt;"&amp;$O267)+1-1)/COUNTIF($B$2:$B$492,$B267))&gt;=0.85,"Top",IF((1-(COUNTIFS($B$2:$B$492,$B267,$O$2:$O$492,"&gt;"&amp;$O267)+1-1)/COUNTIF($B$2:$B$492,$B267))&gt;=0.6,"Buono",IF((1-(COUNTIFS($B$2:$B$492,$B267,$O$2:$O$492,"&gt;"&amp;$O267)+1-1)/COUNTIF($B$2:$B$492,$B267))&gt;=0.3,"Nella Media","Scommessa/Riserva")))),"")</f>
        <v>Nella Media</v>
      </c>
      <c r="Q267" s="29" t="n">
        <f aca="false">IF($D267="",COUNTIF($D$2:$D267,""),"")</f>
        <v>266</v>
      </c>
      <c r="R267" s="29" t="str">
        <f aca="false">IF($D267='Info Lega'!$B$28,COUNTIFS($D$2:$D267,'Info Lega'!$B$28),"")</f>
        <v/>
      </c>
      <c r="S267" s="30" t="n">
        <f aca="false">IFERROR(INDEX('Input Statistiche 2025_26'!$G$3:$G$665,MATCH($A267,'Input Statistiche 2025_26'!$A$3:$A$665,0)),"")</f>
        <v>5.68</v>
      </c>
      <c r="T267" s="30" t="n">
        <f aca="false">IFERROR(INDEX('Input Statistiche 2025_26'!$H$3:$H$665,MATCH($A267,'Input Statistiche 2025_26'!$A$3:$A$665,0)),"")</f>
        <v>5.76</v>
      </c>
      <c r="U267" s="26" t="str">
        <f aca="false">IF(OR('La Mia Rosa'!$O$12="",$D267&lt;&gt;""),"",IF($F267&lt;='La Mia Rosa'!$O$12*'Parametri Modello'!$B$24,"OK",IF($F267&lt;='La Mia Rosa'!$O$12*'Parametri Modello'!$B$25,"Attenzione","Rischio Alto")))</f>
        <v>OK</v>
      </c>
      <c r="V267" s="26" t="n">
        <f aca="false">IFERROR(COUNTIFS($B$2:$B$492,$B267,$O$2:$O$492,"&gt;"&amp;$O267)+1,"")</f>
        <v>78</v>
      </c>
      <c r="W267" s="21" t="n">
        <f aca="false">'Info Lega'!$B$4-SUMIFS($M$2:$M$492,$D$2:$D$492,'Info Lega'!$B$28)</f>
        <v>1000</v>
      </c>
      <c r="X267" s="21" t="n">
        <f aca="false">('Info Lega'!$B$5-COUNTIFS($D$2:$D$492,'Info Lega'!$B$28,$B$2:$B$492,"P"))+('Info Lega'!$B$6-COUNTIFS($D$2:$D$492,'Info Lega'!$B$28,$B$2:$B$492,"D"))+('Info Lega'!$B$7-COUNTIFS($D$2:$D$492,'Info Lega'!$B$28,$B$2:$B$492,"C"))+('Info Lega'!$B$8-COUNTIFS($D$2:$D$492,'Info Lega'!$B$28,$B$2:$B$492,"A"))</f>
        <v>25</v>
      </c>
      <c r="Y267" s="21" t="n">
        <f aca="false">X267*'Parametri Modello'!$B$30</f>
        <v>25</v>
      </c>
      <c r="Z267" s="21" t="n">
        <f aca="false">MAX(0,W267-Y267)</f>
        <v>975</v>
      </c>
      <c r="AA267" s="21" t="n">
        <f aca="false">MIN(F267,Z267)</f>
        <v>2</v>
      </c>
      <c r="AB267" s="21"/>
      <c r="AC267" s="21" t="str">
        <f aca="false">IF(AB267="","",IF(AB267&gt;AA267,"PASS",IF(AB267&lt;=AA267*0.85,"BID","ATTENZIONE")))</f>
        <v/>
      </c>
      <c r="AD267" s="31" t="n">
        <f aca="false">IF(I267="","",ROUND(100*(1-EXP(-I267/30)),0))</f>
        <v>47</v>
      </c>
      <c r="AE267" s="7" t="str">
        <f aca="false">IFERROR(INDEX('Stato Asta'!$G$9:$G$12,MATCH($B267,'Stato Asta'!$A$9:$A$12,0)),"")</f>
        <v>🟡 Attesa rischiosa</v>
      </c>
    </row>
    <row r="268" customFormat="false" ht="14.25" hidden="false" customHeight="true" outlineLevel="0" collapsed="false">
      <c r="A268" s="21" t="n">
        <v>6659</v>
      </c>
      <c r="B268" s="21" t="s">
        <v>44</v>
      </c>
      <c r="C268" s="21" t="s">
        <v>289</v>
      </c>
      <c r="E268" s="26" t="str">
        <f aca="false">IF(COUNTIF('Info Strategia'!$D$2:$D$51,$C268)&gt;0,"SI","NO")</f>
        <v>NO</v>
      </c>
      <c r="F268" s="27" t="n">
        <f aca="false">IFERROR(ROUND(($G268+($H268-$G268)*'Info Strategia'!$B$6)*(1+IF($E268="SI",'Parametri Modello'!$B$7*'Info Strategia'!$B$6,0)),0),"")</f>
        <v>2</v>
      </c>
      <c r="G268" s="27" t="n">
        <f aca="false">IFERROR(ROUND(MAX(1,(IF($V268&lt;=INDEX('Parametri Modello'!$C$57:$C$60,MATCH($B268,'Parametri Modello'!$A$57:$A$60,0)),IF(INDEX('Parametri Modello'!$E$57:$E$60,MATCH($B268,'Parametri Modello'!$A$57:$A$60,0))=0,0,($O268/INDEX('Parametri Modello'!$E$57:$E$60,MATCH($B268,'Parametri Modello'!$A$57:$A$60,0)))*(INDEX('Parametri Modello'!$D$57:$D$60,MATCH($B268,'Parametri Modello'!$A$57:$A$60,0))*(INDEX('Parametri Modello'!$B$50:$B$53,MATCH($B268,'Parametri Modello'!$A$50:$A$53,0))*'Parametri Modello'!$B$44))),IF(INDEX('Parametri Modello'!$F$57:$F$60,MATCH($B268,'Parametri Modello'!$A$57:$A$60,0))=0,0,($O268/INDEX('Parametri Modello'!$F$57:$F$60,MATCH($B268,'Parametri Modello'!$A$57:$A$60,0)))*((1-INDEX('Parametri Modello'!$D$57:$D$60,MATCH($B268,'Parametri Modello'!$A$57:$A$60,0)))*(INDEX('Parametri Modello'!$B$50:$B$53,MATCH($B268,'Parametri Modello'!$A$50:$A$53,0))*'Parametri Modello'!$B$44))))*(1+IF(IF($B268="D",'Info Lega'!$B$25,IF($B268="C",'Info Lega'!$B$26,"No"))="Si",'Parametri Modello'!$B$5,0))*(1+MAX(-0.25,MIN(0.25,IF(OR($T268="",$I268="",$I268=0,INDEX('Parametri Modello'!$B$19:$B$22,MATCH($B268,'Parametri Modello'!$A$19:$A$22,0))="",INDEX('Parametri Modello'!$B$19:$B$22,MATCH($B268,'Parametri Modello'!$A$19:$A$22,0))=0),0,(($T268-INDEX('Parametri Modello'!$B$19:$B$22,MATCH($B268,'Parametri Modello'!$A$19:$A$22,0)))/INDEX('Parametri Modello'!$B$19:$B$22,MATCH($B268,'Parametri Modello'!$A$19:$A$22,0)))*'Parametri Modello'!$B$9))))*(1+IF('Parametri Modello'!$B$27="Si",MAX(-'Parametri Modello'!$B$28,MIN('Parametri Modello'!$B$28*1.5,IF(OR(INDEX('Parametri Modello'!$F$32:$F$35,MATCH($B268,'Parametri Modello'!$A$32:$A$35,0))="",INDEX('Parametri Modello'!$F$32:$F$35,MATCH($B268,'Parametri Modello'!$A$32:$A$35,0))=0),0,(1/INDEX('Parametri Modello'!$F$32:$F$35,MATCH($B268,'Parametri Modello'!$A$32:$A$35,0))-1)*'Parametri Modello'!$B$28))),0)))*(1-INDEX('Parametri Modello'!$B$12:$B$15,MATCH($B268,'Parametri Modello'!$A$12:$A$15,0)))),0),"")</f>
        <v>2</v>
      </c>
      <c r="H268" s="27" t="n">
        <f aca="false">IFERROR(ROUND((IF($V268&lt;=INDEX('Parametri Modello'!$C$57:$C$60,MATCH($B268,'Parametri Modello'!$A$57:$A$60,0)),IF(INDEX('Parametri Modello'!$E$57:$E$60,MATCH($B268,'Parametri Modello'!$A$57:$A$60,0))=0,0,($O268/INDEX('Parametri Modello'!$E$57:$E$60,MATCH($B268,'Parametri Modello'!$A$57:$A$60,0)))*(INDEX('Parametri Modello'!$D$57:$D$60,MATCH($B268,'Parametri Modello'!$A$57:$A$60,0))*(INDEX('Parametri Modello'!$B$50:$B$53,MATCH($B268,'Parametri Modello'!$A$50:$A$53,0))*'Parametri Modello'!$B$44))),IF(INDEX('Parametri Modello'!$F$57:$F$60,MATCH($B268,'Parametri Modello'!$A$57:$A$60,0))=0,0,($O268/INDEX('Parametri Modello'!$F$57:$F$60,MATCH($B268,'Parametri Modello'!$A$57:$A$60,0)))*((1-INDEX('Parametri Modello'!$D$57:$D$60,MATCH($B268,'Parametri Modello'!$A$57:$A$60,0)))*(INDEX('Parametri Modello'!$B$50:$B$53,MATCH($B268,'Parametri Modello'!$A$50:$A$53,0))*'Parametri Modello'!$B$44))))*(1+IF(IF($B268="D",'Info Lega'!$B$25,IF($B268="C",'Info Lega'!$B$26,"No"))="Si",'Parametri Modello'!$B$5,0))*(1+MAX(-0.25,MIN(0.25,IF(OR($T268="",$I268="",$I268=0,INDEX('Parametri Modello'!$B$19:$B$22,MATCH($B268,'Parametri Modello'!$A$19:$A$22,0))="",INDEX('Parametri Modello'!$B$19:$B$22,MATCH($B268,'Parametri Modello'!$A$19:$A$22,0))=0),0,(($T268-INDEX('Parametri Modello'!$B$19:$B$22,MATCH($B268,'Parametri Modello'!$A$19:$A$22,0)))/INDEX('Parametri Modello'!$B$19:$B$22,MATCH($B268,'Parametri Modello'!$A$19:$A$22,0)))*'Parametri Modello'!$B$9))))*(1+IF('Parametri Modello'!$B$27="Si",MAX(-'Parametri Modello'!$B$28,MIN('Parametri Modello'!$B$28*1.5,IF(OR(INDEX('Parametri Modello'!$F$32:$F$35,MATCH($B268,'Parametri Modello'!$A$32:$A$35,0))="",INDEX('Parametri Modello'!$F$32:$F$35,MATCH($B268,'Parametri Modello'!$A$32:$A$35,0))=0),0,(1/INDEX('Parametri Modello'!$F$32:$F$35,MATCH($B268,'Parametri Modello'!$A$32:$A$35,0))-1)*'Parametri Modello'!$B$28))),0)))*(1+INDEX('Parametri Modello'!$B$12:$B$15,MATCH($B268,'Parametri Modello'!$A$12:$A$15,0))),0),"")</f>
        <v>2</v>
      </c>
      <c r="I268" s="26" t="str">
        <f aca="false">IFERROR(INDEX('Input Statistiche 2025_26'!$F$3:$F$665,MATCH($A268,'Input Statistiche 2025_26'!$A$3:$A$665,0)),"")</f>
        <v/>
      </c>
      <c r="J268" s="26" t="str">
        <f aca="false">IFERROR(IF($I268="","",MAX(0,38-$I268)),"")</f>
        <v/>
      </c>
      <c r="K268" s="26" t="str">
        <f aca="false">IFERROR(INDEX('Input Statistiche 2025_26'!$I$3:$I$665,MATCH($A268,'Input Statistiche 2025_26'!$A$3:$A$665,0)),"")</f>
        <v/>
      </c>
      <c r="L268" s="26" t="str">
        <f aca="false">IFERROR(INDEX('Input Statistiche 2025_26'!$O$3:$O$665,MATCH($A268,'Input Statistiche 2025_26'!$A$3:$A$665,0)),"")</f>
        <v/>
      </c>
      <c r="M268" s="28"/>
      <c r="N268" s="27" t="n">
        <f aca="false">IFERROR(INDEX('Input Giocatori 2026_27'!$E$3:$E$493,MATCH($A268,'Input Giocatori 2026_27'!$A$3:$A$493,0)),"")</f>
        <v>4</v>
      </c>
      <c r="O268" s="27" t="n">
        <f aca="false">IFERROR(INDEX('Input Giocatori 2026_27'!$G$3:$G$493,MATCH($A268,'Input Giocatori 2026_27'!$A$3:$A$493,0)),"")</f>
        <v>12</v>
      </c>
      <c r="P268" s="26" t="str">
        <f aca="false">IFERROR(IF($O268="","",IF((1-(COUNTIFS($B$2:$B$492,$B268,$O$2:$O$492,"&gt;"&amp;$O268)+1-1)/COUNTIF($B$2:$B$492,$B268))&gt;=0.85,"Top",IF((1-(COUNTIFS($B$2:$B$492,$B268,$O$2:$O$492,"&gt;"&amp;$O268)+1-1)/COUNTIF($B$2:$B$492,$B268))&gt;=0.6,"Buono",IF((1-(COUNTIFS($B$2:$B$492,$B268,$O$2:$O$492,"&gt;"&amp;$O268)+1-1)/COUNTIF($B$2:$B$492,$B268))&gt;=0.3,"Nella Media","Scommessa/Riserva")))),"")</f>
        <v>Nella Media</v>
      </c>
      <c r="Q268" s="29" t="n">
        <f aca="false">IF($D268="",COUNTIF($D$2:$D268,""),"")</f>
        <v>267</v>
      </c>
      <c r="R268" s="29" t="str">
        <f aca="false">IF($D268='Info Lega'!$B$28,COUNTIFS($D$2:$D268,'Info Lega'!$B$28),"")</f>
        <v/>
      </c>
      <c r="S268" s="30" t="str">
        <f aca="false">IFERROR(INDEX('Input Statistiche 2025_26'!$G$3:$G$665,MATCH($A268,'Input Statistiche 2025_26'!$A$3:$A$665,0)),"")</f>
        <v/>
      </c>
      <c r="T268" s="30" t="str">
        <f aca="false">IFERROR(INDEX('Input Statistiche 2025_26'!$H$3:$H$665,MATCH($A268,'Input Statistiche 2025_26'!$A$3:$A$665,0)),"")</f>
        <v/>
      </c>
      <c r="U268" s="26" t="str">
        <f aca="false">IF(OR('La Mia Rosa'!$O$12="",$D268&lt;&gt;""),"",IF($F268&lt;='La Mia Rosa'!$O$12*'Parametri Modello'!$B$24,"OK",IF($F268&lt;='La Mia Rosa'!$O$12*'Parametri Modello'!$B$25,"Attenzione","Rischio Alto")))</f>
        <v>OK</v>
      </c>
      <c r="V268" s="26" t="n">
        <f aca="false">IFERROR(COUNTIFS($B$2:$B$492,$B268,$O$2:$O$492,"&gt;"&amp;$O268)+1,"")</f>
        <v>78</v>
      </c>
      <c r="W268" s="21" t="n">
        <f aca="false">'Info Lega'!$B$4-SUMIFS($M$2:$M$492,$D$2:$D$492,'Info Lega'!$B$28)</f>
        <v>1000</v>
      </c>
      <c r="X268" s="21" t="n">
        <f aca="false">('Info Lega'!$B$5-COUNTIFS($D$2:$D$492,'Info Lega'!$B$28,$B$2:$B$492,"P"))+('Info Lega'!$B$6-COUNTIFS($D$2:$D$492,'Info Lega'!$B$28,$B$2:$B$492,"D"))+('Info Lega'!$B$7-COUNTIFS($D$2:$D$492,'Info Lega'!$B$28,$B$2:$B$492,"C"))+('Info Lega'!$B$8-COUNTIFS($D$2:$D$492,'Info Lega'!$B$28,$B$2:$B$492,"A"))</f>
        <v>25</v>
      </c>
      <c r="Y268" s="21" t="n">
        <f aca="false">X268*'Parametri Modello'!$B$30</f>
        <v>25</v>
      </c>
      <c r="Z268" s="21" t="n">
        <f aca="false">MAX(0,W268-Y268)</f>
        <v>975</v>
      </c>
      <c r="AA268" s="21" t="n">
        <f aca="false">MIN(F268,Z268)</f>
        <v>2</v>
      </c>
      <c r="AB268" s="21"/>
      <c r="AC268" s="21" t="str">
        <f aca="false">IF(AB268="","",IF(AB268&gt;AA268,"PASS",IF(AB268&lt;=AA268*0.85,"BID","ATTENZIONE")))</f>
        <v/>
      </c>
      <c r="AD268" s="31" t="str">
        <f aca="false">IF(I268="","",ROUND(100*(1-EXP(-I268/30)),0))</f>
        <v/>
      </c>
      <c r="AE268" s="7" t="str">
        <f aca="false">IFERROR(INDEX('Stato Asta'!$G$9:$G$12,MATCH($B268,'Stato Asta'!$A$9:$A$12,0)),"")</f>
        <v>🟡 Attesa rischiosa</v>
      </c>
    </row>
    <row r="269" customFormat="false" ht="14.25" hidden="false" customHeight="true" outlineLevel="0" collapsed="false">
      <c r="A269" s="21" t="n">
        <v>5838</v>
      </c>
      <c r="B269" s="21" t="s">
        <v>44</v>
      </c>
      <c r="C269" s="21" t="s">
        <v>290</v>
      </c>
      <c r="E269" s="26" t="str">
        <f aca="false">IF(COUNTIF('Info Strategia'!$D$2:$D$51,$C269)&gt;0,"SI","NO")</f>
        <v>NO</v>
      </c>
      <c r="F269" s="27" t="n">
        <f aca="false">IFERROR(ROUND(($G269+($H269-$G269)*'Info Strategia'!$B$6)*(1+IF($E269="SI",'Parametri Modello'!$B$7*'Info Strategia'!$B$6,0)),0),"")</f>
        <v>2</v>
      </c>
      <c r="G269" s="27" t="n">
        <f aca="false">IFERROR(ROUND(MAX(1,(IF($V269&lt;=INDEX('Parametri Modello'!$C$57:$C$60,MATCH($B269,'Parametri Modello'!$A$57:$A$60,0)),IF(INDEX('Parametri Modello'!$E$57:$E$60,MATCH($B269,'Parametri Modello'!$A$57:$A$60,0))=0,0,($O269/INDEX('Parametri Modello'!$E$57:$E$60,MATCH($B269,'Parametri Modello'!$A$57:$A$60,0)))*(INDEX('Parametri Modello'!$D$57:$D$60,MATCH($B269,'Parametri Modello'!$A$57:$A$60,0))*(INDEX('Parametri Modello'!$B$50:$B$53,MATCH($B269,'Parametri Modello'!$A$50:$A$53,0))*'Parametri Modello'!$B$44))),IF(INDEX('Parametri Modello'!$F$57:$F$60,MATCH($B269,'Parametri Modello'!$A$57:$A$60,0))=0,0,($O269/INDEX('Parametri Modello'!$F$57:$F$60,MATCH($B269,'Parametri Modello'!$A$57:$A$60,0)))*((1-INDEX('Parametri Modello'!$D$57:$D$60,MATCH($B269,'Parametri Modello'!$A$57:$A$60,0)))*(INDEX('Parametri Modello'!$B$50:$B$53,MATCH($B269,'Parametri Modello'!$A$50:$A$53,0))*'Parametri Modello'!$B$44))))*(1+IF(IF($B269="D",'Info Lega'!$B$25,IF($B269="C",'Info Lega'!$B$26,"No"))="Si",'Parametri Modello'!$B$5,0))*(1+MAX(-0.25,MIN(0.25,IF(OR($T269="",$I269="",$I269=0,INDEX('Parametri Modello'!$B$19:$B$22,MATCH($B269,'Parametri Modello'!$A$19:$A$22,0))="",INDEX('Parametri Modello'!$B$19:$B$22,MATCH($B269,'Parametri Modello'!$A$19:$A$22,0))=0),0,(($T269-INDEX('Parametri Modello'!$B$19:$B$22,MATCH($B269,'Parametri Modello'!$A$19:$A$22,0)))/INDEX('Parametri Modello'!$B$19:$B$22,MATCH($B269,'Parametri Modello'!$A$19:$A$22,0)))*'Parametri Modello'!$B$9))))*(1+IF('Parametri Modello'!$B$27="Si",MAX(-'Parametri Modello'!$B$28,MIN('Parametri Modello'!$B$28*1.5,IF(OR(INDEX('Parametri Modello'!$F$32:$F$35,MATCH($B269,'Parametri Modello'!$A$32:$A$35,0))="",INDEX('Parametri Modello'!$F$32:$F$35,MATCH($B269,'Parametri Modello'!$A$32:$A$35,0))=0),0,(1/INDEX('Parametri Modello'!$F$32:$F$35,MATCH($B269,'Parametri Modello'!$A$32:$A$35,0))-1)*'Parametri Modello'!$B$28))),0)))*(1-INDEX('Parametri Modello'!$B$12:$B$15,MATCH($B269,'Parametri Modello'!$A$12:$A$15,0)))),0),"")</f>
        <v>2</v>
      </c>
      <c r="H269" s="27" t="n">
        <f aca="false">IFERROR(ROUND((IF($V269&lt;=INDEX('Parametri Modello'!$C$57:$C$60,MATCH($B269,'Parametri Modello'!$A$57:$A$60,0)),IF(INDEX('Parametri Modello'!$E$57:$E$60,MATCH($B269,'Parametri Modello'!$A$57:$A$60,0))=0,0,($O269/INDEX('Parametri Modello'!$E$57:$E$60,MATCH($B269,'Parametri Modello'!$A$57:$A$60,0)))*(INDEX('Parametri Modello'!$D$57:$D$60,MATCH($B269,'Parametri Modello'!$A$57:$A$60,0))*(INDEX('Parametri Modello'!$B$50:$B$53,MATCH($B269,'Parametri Modello'!$A$50:$A$53,0))*'Parametri Modello'!$B$44))),IF(INDEX('Parametri Modello'!$F$57:$F$60,MATCH($B269,'Parametri Modello'!$A$57:$A$60,0))=0,0,($O269/INDEX('Parametri Modello'!$F$57:$F$60,MATCH($B269,'Parametri Modello'!$A$57:$A$60,0)))*((1-INDEX('Parametri Modello'!$D$57:$D$60,MATCH($B269,'Parametri Modello'!$A$57:$A$60,0)))*(INDEX('Parametri Modello'!$B$50:$B$53,MATCH($B269,'Parametri Modello'!$A$50:$A$53,0))*'Parametri Modello'!$B$44))))*(1+IF(IF($B269="D",'Info Lega'!$B$25,IF($B269="C",'Info Lega'!$B$26,"No"))="Si",'Parametri Modello'!$B$5,0))*(1+MAX(-0.25,MIN(0.25,IF(OR($T269="",$I269="",$I269=0,INDEX('Parametri Modello'!$B$19:$B$22,MATCH($B269,'Parametri Modello'!$A$19:$A$22,0))="",INDEX('Parametri Modello'!$B$19:$B$22,MATCH($B269,'Parametri Modello'!$A$19:$A$22,0))=0),0,(($T269-INDEX('Parametri Modello'!$B$19:$B$22,MATCH($B269,'Parametri Modello'!$A$19:$A$22,0)))/INDEX('Parametri Modello'!$B$19:$B$22,MATCH($B269,'Parametri Modello'!$A$19:$A$22,0)))*'Parametri Modello'!$B$9))))*(1+IF('Parametri Modello'!$B$27="Si",MAX(-'Parametri Modello'!$B$28,MIN('Parametri Modello'!$B$28*1.5,IF(OR(INDEX('Parametri Modello'!$F$32:$F$35,MATCH($B269,'Parametri Modello'!$A$32:$A$35,0))="",INDEX('Parametri Modello'!$F$32:$F$35,MATCH($B269,'Parametri Modello'!$A$32:$A$35,0))=0),0,(1/INDEX('Parametri Modello'!$F$32:$F$35,MATCH($B269,'Parametri Modello'!$A$32:$A$35,0))-1)*'Parametri Modello'!$B$28))),0)))*(1+INDEX('Parametri Modello'!$B$12:$B$15,MATCH($B269,'Parametri Modello'!$A$12:$A$15,0))),0),"")</f>
        <v>2</v>
      </c>
      <c r="I269" s="26" t="str">
        <f aca="false">IFERROR(INDEX('Input Statistiche 2025_26'!$F$3:$F$665,MATCH($A269,'Input Statistiche 2025_26'!$A$3:$A$665,0)),"")</f>
        <v/>
      </c>
      <c r="J269" s="26" t="str">
        <f aca="false">IFERROR(IF($I269="","",MAX(0,38-$I269)),"")</f>
        <v/>
      </c>
      <c r="K269" s="26" t="str">
        <f aca="false">IFERROR(INDEX('Input Statistiche 2025_26'!$I$3:$I$665,MATCH($A269,'Input Statistiche 2025_26'!$A$3:$A$665,0)),"")</f>
        <v/>
      </c>
      <c r="L269" s="26" t="str">
        <f aca="false">IFERROR(INDEX('Input Statistiche 2025_26'!$O$3:$O$665,MATCH($A269,'Input Statistiche 2025_26'!$A$3:$A$665,0)),"")</f>
        <v/>
      </c>
      <c r="M269" s="28"/>
      <c r="N269" s="27" t="n">
        <f aca="false">IFERROR(INDEX('Input Giocatori 2026_27'!$E$3:$E$493,MATCH($A269,'Input Giocatori 2026_27'!$A$3:$A$493,0)),"")</f>
        <v>4</v>
      </c>
      <c r="O269" s="27" t="n">
        <f aca="false">IFERROR(INDEX('Input Giocatori 2026_27'!$G$3:$G$493,MATCH($A269,'Input Giocatori 2026_27'!$A$3:$A$493,0)),"")</f>
        <v>12</v>
      </c>
      <c r="P269" s="26" t="str">
        <f aca="false">IFERROR(IF($O269="","",IF((1-(COUNTIFS($B$2:$B$492,$B269,$O$2:$O$492,"&gt;"&amp;$O269)+1-1)/COUNTIF($B$2:$B$492,$B269))&gt;=0.85,"Top",IF((1-(COUNTIFS($B$2:$B$492,$B269,$O$2:$O$492,"&gt;"&amp;$O269)+1-1)/COUNTIF($B$2:$B$492,$B269))&gt;=0.6,"Buono",IF((1-(COUNTIFS($B$2:$B$492,$B269,$O$2:$O$492,"&gt;"&amp;$O269)+1-1)/COUNTIF($B$2:$B$492,$B269))&gt;=0.3,"Nella Media","Scommessa/Riserva")))),"")</f>
        <v>Nella Media</v>
      </c>
      <c r="Q269" s="29" t="n">
        <f aca="false">IF($D269="",COUNTIF($D$2:$D269,""),"")</f>
        <v>268</v>
      </c>
      <c r="R269" s="29" t="str">
        <f aca="false">IF($D269='Info Lega'!$B$28,COUNTIFS($D$2:$D269,'Info Lega'!$B$28),"")</f>
        <v/>
      </c>
      <c r="S269" s="30" t="str">
        <f aca="false">IFERROR(INDEX('Input Statistiche 2025_26'!$G$3:$G$665,MATCH($A269,'Input Statistiche 2025_26'!$A$3:$A$665,0)),"")</f>
        <v/>
      </c>
      <c r="T269" s="30" t="str">
        <f aca="false">IFERROR(INDEX('Input Statistiche 2025_26'!$H$3:$H$665,MATCH($A269,'Input Statistiche 2025_26'!$A$3:$A$665,0)),"")</f>
        <v/>
      </c>
      <c r="U269" s="26" t="str">
        <f aca="false">IF(OR('La Mia Rosa'!$O$12="",$D269&lt;&gt;""),"",IF($F269&lt;='La Mia Rosa'!$O$12*'Parametri Modello'!$B$24,"OK",IF($F269&lt;='La Mia Rosa'!$O$12*'Parametri Modello'!$B$25,"Attenzione","Rischio Alto")))</f>
        <v>OK</v>
      </c>
      <c r="V269" s="26" t="n">
        <f aca="false">IFERROR(COUNTIFS($B$2:$B$492,$B269,$O$2:$O$492,"&gt;"&amp;$O269)+1,"")</f>
        <v>78</v>
      </c>
      <c r="W269" s="21" t="n">
        <f aca="false">'Info Lega'!$B$4-SUMIFS($M$2:$M$492,$D$2:$D$492,'Info Lega'!$B$28)</f>
        <v>1000</v>
      </c>
      <c r="X269" s="21" t="n">
        <f aca="false">('Info Lega'!$B$5-COUNTIFS($D$2:$D$492,'Info Lega'!$B$28,$B$2:$B$492,"P"))+('Info Lega'!$B$6-COUNTIFS($D$2:$D$492,'Info Lega'!$B$28,$B$2:$B$492,"D"))+('Info Lega'!$B$7-COUNTIFS($D$2:$D$492,'Info Lega'!$B$28,$B$2:$B$492,"C"))+('Info Lega'!$B$8-COUNTIFS($D$2:$D$492,'Info Lega'!$B$28,$B$2:$B$492,"A"))</f>
        <v>25</v>
      </c>
      <c r="Y269" s="21" t="n">
        <f aca="false">X269*'Parametri Modello'!$B$30</f>
        <v>25</v>
      </c>
      <c r="Z269" s="21" t="n">
        <f aca="false">MAX(0,W269-Y269)</f>
        <v>975</v>
      </c>
      <c r="AA269" s="21" t="n">
        <f aca="false">MIN(F269,Z269)</f>
        <v>2</v>
      </c>
      <c r="AB269" s="21"/>
      <c r="AC269" s="21" t="str">
        <f aca="false">IF(AB269="","",IF(AB269&gt;AA269,"PASS",IF(AB269&lt;=AA269*0.85,"BID","ATTENZIONE")))</f>
        <v/>
      </c>
      <c r="AD269" s="31" t="str">
        <f aca="false">IF(I269="","",ROUND(100*(1-EXP(-I269/30)),0))</f>
        <v/>
      </c>
      <c r="AE269" s="7" t="str">
        <f aca="false">IFERROR(INDEX('Stato Asta'!$G$9:$G$12,MATCH($B269,'Stato Asta'!$A$9:$A$12,0)),"")</f>
        <v>🟡 Attesa rischiosa</v>
      </c>
    </row>
    <row r="270" customFormat="false" ht="14.25" hidden="false" customHeight="true" outlineLevel="0" collapsed="false">
      <c r="A270" s="21" t="n">
        <v>4845</v>
      </c>
      <c r="B270" s="21" t="s">
        <v>44</v>
      </c>
      <c r="C270" s="21" t="s">
        <v>301</v>
      </c>
      <c r="E270" s="26" t="str">
        <f aca="false">IF(COUNTIF('Info Strategia'!$D$2:$D$51,$C270)&gt;0,"SI","NO")</f>
        <v>NO</v>
      </c>
      <c r="F270" s="27" t="n">
        <f aca="false">IFERROR(ROUND(($G270+($H270-$G270)*'Info Strategia'!$B$6)*(1+IF($E270="SI",'Parametri Modello'!$B$7*'Info Strategia'!$B$6,0)),0),"")</f>
        <v>2</v>
      </c>
      <c r="G270" s="27" t="n">
        <f aca="false">IFERROR(ROUND(MAX(1,(IF($V270&lt;=INDEX('Parametri Modello'!$C$57:$C$60,MATCH($B270,'Parametri Modello'!$A$57:$A$60,0)),IF(INDEX('Parametri Modello'!$E$57:$E$60,MATCH($B270,'Parametri Modello'!$A$57:$A$60,0))=0,0,($O270/INDEX('Parametri Modello'!$E$57:$E$60,MATCH($B270,'Parametri Modello'!$A$57:$A$60,0)))*(INDEX('Parametri Modello'!$D$57:$D$60,MATCH($B270,'Parametri Modello'!$A$57:$A$60,0))*(INDEX('Parametri Modello'!$B$50:$B$53,MATCH($B270,'Parametri Modello'!$A$50:$A$53,0))*'Parametri Modello'!$B$44))),IF(INDEX('Parametri Modello'!$F$57:$F$60,MATCH($B270,'Parametri Modello'!$A$57:$A$60,0))=0,0,($O270/INDEX('Parametri Modello'!$F$57:$F$60,MATCH($B270,'Parametri Modello'!$A$57:$A$60,0)))*((1-INDEX('Parametri Modello'!$D$57:$D$60,MATCH($B270,'Parametri Modello'!$A$57:$A$60,0)))*(INDEX('Parametri Modello'!$B$50:$B$53,MATCH($B270,'Parametri Modello'!$A$50:$A$53,0))*'Parametri Modello'!$B$44))))*(1+IF(IF($B270="D",'Info Lega'!$B$25,IF($B270="C",'Info Lega'!$B$26,"No"))="Si",'Parametri Modello'!$B$5,0))*(1+MAX(-0.25,MIN(0.25,IF(OR($T270="",$I270="",$I270=0,INDEX('Parametri Modello'!$B$19:$B$22,MATCH($B270,'Parametri Modello'!$A$19:$A$22,0))="",INDEX('Parametri Modello'!$B$19:$B$22,MATCH($B270,'Parametri Modello'!$A$19:$A$22,0))=0),0,(($T270-INDEX('Parametri Modello'!$B$19:$B$22,MATCH($B270,'Parametri Modello'!$A$19:$A$22,0)))/INDEX('Parametri Modello'!$B$19:$B$22,MATCH($B270,'Parametri Modello'!$A$19:$A$22,0)))*'Parametri Modello'!$B$9))))*(1+IF('Parametri Modello'!$B$27="Si",MAX(-'Parametri Modello'!$B$28,MIN('Parametri Modello'!$B$28*1.5,IF(OR(INDEX('Parametri Modello'!$F$32:$F$35,MATCH($B270,'Parametri Modello'!$A$32:$A$35,0))="",INDEX('Parametri Modello'!$F$32:$F$35,MATCH($B270,'Parametri Modello'!$A$32:$A$35,0))=0),0,(1/INDEX('Parametri Modello'!$F$32:$F$35,MATCH($B270,'Parametri Modello'!$A$32:$A$35,0))-1)*'Parametri Modello'!$B$28))),0)))*(1-INDEX('Parametri Modello'!$B$12:$B$15,MATCH($B270,'Parametri Modello'!$A$12:$A$15,0)))),0),"")</f>
        <v>2</v>
      </c>
      <c r="H270" s="27" t="n">
        <f aca="false">IFERROR(ROUND((IF($V270&lt;=INDEX('Parametri Modello'!$C$57:$C$60,MATCH($B270,'Parametri Modello'!$A$57:$A$60,0)),IF(INDEX('Parametri Modello'!$E$57:$E$60,MATCH($B270,'Parametri Modello'!$A$57:$A$60,0))=0,0,($O270/INDEX('Parametri Modello'!$E$57:$E$60,MATCH($B270,'Parametri Modello'!$A$57:$A$60,0)))*(INDEX('Parametri Modello'!$D$57:$D$60,MATCH($B270,'Parametri Modello'!$A$57:$A$60,0))*(INDEX('Parametri Modello'!$B$50:$B$53,MATCH($B270,'Parametri Modello'!$A$50:$A$53,0))*'Parametri Modello'!$B$44))),IF(INDEX('Parametri Modello'!$F$57:$F$60,MATCH($B270,'Parametri Modello'!$A$57:$A$60,0))=0,0,($O270/INDEX('Parametri Modello'!$F$57:$F$60,MATCH($B270,'Parametri Modello'!$A$57:$A$60,0)))*((1-INDEX('Parametri Modello'!$D$57:$D$60,MATCH($B270,'Parametri Modello'!$A$57:$A$60,0)))*(INDEX('Parametri Modello'!$B$50:$B$53,MATCH($B270,'Parametri Modello'!$A$50:$A$53,0))*'Parametri Modello'!$B$44))))*(1+IF(IF($B270="D",'Info Lega'!$B$25,IF($B270="C",'Info Lega'!$B$26,"No"))="Si",'Parametri Modello'!$B$5,0))*(1+MAX(-0.25,MIN(0.25,IF(OR($T270="",$I270="",$I270=0,INDEX('Parametri Modello'!$B$19:$B$22,MATCH($B270,'Parametri Modello'!$A$19:$A$22,0))="",INDEX('Parametri Modello'!$B$19:$B$22,MATCH($B270,'Parametri Modello'!$A$19:$A$22,0))=0),0,(($T270-INDEX('Parametri Modello'!$B$19:$B$22,MATCH($B270,'Parametri Modello'!$A$19:$A$22,0)))/INDEX('Parametri Modello'!$B$19:$B$22,MATCH($B270,'Parametri Modello'!$A$19:$A$22,0)))*'Parametri Modello'!$B$9))))*(1+IF('Parametri Modello'!$B$27="Si",MAX(-'Parametri Modello'!$B$28,MIN('Parametri Modello'!$B$28*1.5,IF(OR(INDEX('Parametri Modello'!$F$32:$F$35,MATCH($B270,'Parametri Modello'!$A$32:$A$35,0))="",INDEX('Parametri Modello'!$F$32:$F$35,MATCH($B270,'Parametri Modello'!$A$32:$A$35,0))=0),0,(1/INDEX('Parametri Modello'!$F$32:$F$35,MATCH($B270,'Parametri Modello'!$A$32:$A$35,0))-1)*'Parametri Modello'!$B$28))),0)))*(1+INDEX('Parametri Modello'!$B$12:$B$15,MATCH($B270,'Parametri Modello'!$A$12:$A$15,0))),0),"")</f>
        <v>2</v>
      </c>
      <c r="I270" s="26" t="str">
        <f aca="false">IFERROR(INDEX('Input Statistiche 2025_26'!$F$3:$F$665,MATCH($A270,'Input Statistiche 2025_26'!$A$3:$A$665,0)),"")</f>
        <v/>
      </c>
      <c r="J270" s="26" t="str">
        <f aca="false">IFERROR(IF($I270="","",MAX(0,38-$I270)),"")</f>
        <v/>
      </c>
      <c r="K270" s="26" t="str">
        <f aca="false">IFERROR(INDEX('Input Statistiche 2025_26'!$I$3:$I$665,MATCH($A270,'Input Statistiche 2025_26'!$A$3:$A$665,0)),"")</f>
        <v/>
      </c>
      <c r="L270" s="26" t="str">
        <f aca="false">IFERROR(INDEX('Input Statistiche 2025_26'!$O$3:$O$665,MATCH($A270,'Input Statistiche 2025_26'!$A$3:$A$665,0)),"")</f>
        <v/>
      </c>
      <c r="M270" s="28"/>
      <c r="N270" s="27" t="n">
        <f aca="false">IFERROR(INDEX('Input Giocatori 2026_27'!$E$3:$E$493,MATCH($A270,'Input Giocatori 2026_27'!$A$3:$A$493,0)),"")</f>
        <v>4</v>
      </c>
      <c r="O270" s="27" t="n">
        <f aca="false">IFERROR(INDEX('Input Giocatori 2026_27'!$G$3:$G$493,MATCH($A270,'Input Giocatori 2026_27'!$A$3:$A$493,0)),"")</f>
        <v>12</v>
      </c>
      <c r="P270" s="26" t="str">
        <f aca="false">IFERROR(IF($O270="","",IF((1-(COUNTIFS($B$2:$B$492,$B270,$O$2:$O$492,"&gt;"&amp;$O270)+1-1)/COUNTIF($B$2:$B$492,$B270))&gt;=0.85,"Top",IF((1-(COUNTIFS($B$2:$B$492,$B270,$O$2:$O$492,"&gt;"&amp;$O270)+1-1)/COUNTIF($B$2:$B$492,$B270))&gt;=0.6,"Buono",IF((1-(COUNTIFS($B$2:$B$492,$B270,$O$2:$O$492,"&gt;"&amp;$O270)+1-1)/COUNTIF($B$2:$B$492,$B270))&gt;=0.3,"Nella Media","Scommessa/Riserva")))),"")</f>
        <v>Nella Media</v>
      </c>
      <c r="Q270" s="29" t="n">
        <f aca="false">IF($D270="",COUNTIF($D$2:$D270,""),"")</f>
        <v>269</v>
      </c>
      <c r="R270" s="29" t="str">
        <f aca="false">IF($D270='Info Lega'!$B$28,COUNTIFS($D$2:$D270,'Info Lega'!$B$28),"")</f>
        <v/>
      </c>
      <c r="S270" s="30" t="str">
        <f aca="false">IFERROR(INDEX('Input Statistiche 2025_26'!$G$3:$G$665,MATCH($A270,'Input Statistiche 2025_26'!$A$3:$A$665,0)),"")</f>
        <v/>
      </c>
      <c r="T270" s="30" t="str">
        <f aca="false">IFERROR(INDEX('Input Statistiche 2025_26'!$H$3:$H$665,MATCH($A270,'Input Statistiche 2025_26'!$A$3:$A$665,0)),"")</f>
        <v/>
      </c>
      <c r="U270" s="26" t="str">
        <f aca="false">IF(OR('La Mia Rosa'!$O$12="",$D270&lt;&gt;""),"",IF($F270&lt;='La Mia Rosa'!$O$12*'Parametri Modello'!$B$24,"OK",IF($F270&lt;='La Mia Rosa'!$O$12*'Parametri Modello'!$B$25,"Attenzione","Rischio Alto")))</f>
        <v>OK</v>
      </c>
      <c r="V270" s="26" t="n">
        <f aca="false">IFERROR(COUNTIFS($B$2:$B$492,$B270,$O$2:$O$492,"&gt;"&amp;$O270)+1,"")</f>
        <v>78</v>
      </c>
      <c r="W270" s="21" t="n">
        <f aca="false">'Info Lega'!$B$4-SUMIFS($M$2:$M$492,$D$2:$D$492,'Info Lega'!$B$28)</f>
        <v>1000</v>
      </c>
      <c r="X270" s="21" t="n">
        <f aca="false">('Info Lega'!$B$5-COUNTIFS($D$2:$D$492,'Info Lega'!$B$28,$B$2:$B$492,"P"))+('Info Lega'!$B$6-COUNTIFS($D$2:$D$492,'Info Lega'!$B$28,$B$2:$B$492,"D"))+('Info Lega'!$B$7-COUNTIFS($D$2:$D$492,'Info Lega'!$B$28,$B$2:$B$492,"C"))+('Info Lega'!$B$8-COUNTIFS($D$2:$D$492,'Info Lega'!$B$28,$B$2:$B$492,"A"))</f>
        <v>25</v>
      </c>
      <c r="Y270" s="21" t="n">
        <f aca="false">X270*'Parametri Modello'!$B$30</f>
        <v>25</v>
      </c>
      <c r="Z270" s="21" t="n">
        <f aca="false">MAX(0,W270-Y270)</f>
        <v>975</v>
      </c>
      <c r="AA270" s="21" t="n">
        <f aca="false">MIN(F270,Z270)</f>
        <v>2</v>
      </c>
      <c r="AB270" s="21"/>
      <c r="AC270" s="21" t="str">
        <f aca="false">IF(AB270="","",IF(AB270&gt;AA270,"PASS",IF(AB270&lt;=AA270*0.85,"BID","ATTENZIONE")))</f>
        <v/>
      </c>
      <c r="AD270" s="31" t="str">
        <f aca="false">IF(I270="","",ROUND(100*(1-EXP(-I270/30)),0))</f>
        <v/>
      </c>
      <c r="AE270" s="7" t="str">
        <f aca="false">IFERROR(INDEX('Stato Asta'!$G$9:$G$12,MATCH($B270,'Stato Asta'!$A$9:$A$12,0)),"")</f>
        <v>🟡 Attesa rischiosa</v>
      </c>
    </row>
    <row r="271" customFormat="false" ht="14.25" hidden="false" customHeight="true" outlineLevel="0" collapsed="false">
      <c r="A271" s="21" t="n">
        <v>7131</v>
      </c>
      <c r="B271" s="21" t="s">
        <v>44</v>
      </c>
      <c r="C271" s="21" t="s">
        <v>311</v>
      </c>
      <c r="E271" s="26" t="str">
        <f aca="false">IF(COUNTIF('Info Strategia'!$D$2:$D$51,$C271)&gt;0,"SI","NO")</f>
        <v>NO</v>
      </c>
      <c r="F271" s="27" t="n">
        <f aca="false">IFERROR(ROUND(($G271+($H271-$G271)*'Info Strategia'!$B$6)*(1+IF($E271="SI",'Parametri Modello'!$B$7*'Info Strategia'!$B$6,0)),0),"")</f>
        <v>2</v>
      </c>
      <c r="G271" s="27" t="n">
        <f aca="false">IFERROR(ROUND(MAX(1,(IF($V271&lt;=INDEX('Parametri Modello'!$C$57:$C$60,MATCH($B271,'Parametri Modello'!$A$57:$A$60,0)),IF(INDEX('Parametri Modello'!$E$57:$E$60,MATCH($B271,'Parametri Modello'!$A$57:$A$60,0))=0,0,($O271/INDEX('Parametri Modello'!$E$57:$E$60,MATCH($B271,'Parametri Modello'!$A$57:$A$60,0)))*(INDEX('Parametri Modello'!$D$57:$D$60,MATCH($B271,'Parametri Modello'!$A$57:$A$60,0))*(INDEX('Parametri Modello'!$B$50:$B$53,MATCH($B271,'Parametri Modello'!$A$50:$A$53,0))*'Parametri Modello'!$B$44))),IF(INDEX('Parametri Modello'!$F$57:$F$60,MATCH($B271,'Parametri Modello'!$A$57:$A$60,0))=0,0,($O271/INDEX('Parametri Modello'!$F$57:$F$60,MATCH($B271,'Parametri Modello'!$A$57:$A$60,0)))*((1-INDEX('Parametri Modello'!$D$57:$D$60,MATCH($B271,'Parametri Modello'!$A$57:$A$60,0)))*(INDEX('Parametri Modello'!$B$50:$B$53,MATCH($B271,'Parametri Modello'!$A$50:$A$53,0))*'Parametri Modello'!$B$44))))*(1+IF(IF($B271="D",'Info Lega'!$B$25,IF($B271="C",'Info Lega'!$B$26,"No"))="Si",'Parametri Modello'!$B$5,0))*(1+MAX(-0.25,MIN(0.25,IF(OR($T271="",$I271="",$I271=0,INDEX('Parametri Modello'!$B$19:$B$22,MATCH($B271,'Parametri Modello'!$A$19:$A$22,0))="",INDEX('Parametri Modello'!$B$19:$B$22,MATCH($B271,'Parametri Modello'!$A$19:$A$22,0))=0),0,(($T271-INDEX('Parametri Modello'!$B$19:$B$22,MATCH($B271,'Parametri Modello'!$A$19:$A$22,0)))/INDEX('Parametri Modello'!$B$19:$B$22,MATCH($B271,'Parametri Modello'!$A$19:$A$22,0)))*'Parametri Modello'!$B$9))))*(1+IF('Parametri Modello'!$B$27="Si",MAX(-'Parametri Modello'!$B$28,MIN('Parametri Modello'!$B$28*1.5,IF(OR(INDEX('Parametri Modello'!$F$32:$F$35,MATCH($B271,'Parametri Modello'!$A$32:$A$35,0))="",INDEX('Parametri Modello'!$F$32:$F$35,MATCH($B271,'Parametri Modello'!$A$32:$A$35,0))=0),0,(1/INDEX('Parametri Modello'!$F$32:$F$35,MATCH($B271,'Parametri Modello'!$A$32:$A$35,0))-1)*'Parametri Modello'!$B$28))),0)))*(1-INDEX('Parametri Modello'!$B$12:$B$15,MATCH($B271,'Parametri Modello'!$A$12:$A$15,0)))),0),"")</f>
        <v>2</v>
      </c>
      <c r="H271" s="27" t="n">
        <f aca="false">IFERROR(ROUND((IF($V271&lt;=INDEX('Parametri Modello'!$C$57:$C$60,MATCH($B271,'Parametri Modello'!$A$57:$A$60,0)),IF(INDEX('Parametri Modello'!$E$57:$E$60,MATCH($B271,'Parametri Modello'!$A$57:$A$60,0))=0,0,($O271/INDEX('Parametri Modello'!$E$57:$E$60,MATCH($B271,'Parametri Modello'!$A$57:$A$60,0)))*(INDEX('Parametri Modello'!$D$57:$D$60,MATCH($B271,'Parametri Modello'!$A$57:$A$60,0))*(INDEX('Parametri Modello'!$B$50:$B$53,MATCH($B271,'Parametri Modello'!$A$50:$A$53,0))*'Parametri Modello'!$B$44))),IF(INDEX('Parametri Modello'!$F$57:$F$60,MATCH($B271,'Parametri Modello'!$A$57:$A$60,0))=0,0,($O271/INDEX('Parametri Modello'!$F$57:$F$60,MATCH($B271,'Parametri Modello'!$A$57:$A$60,0)))*((1-INDEX('Parametri Modello'!$D$57:$D$60,MATCH($B271,'Parametri Modello'!$A$57:$A$60,0)))*(INDEX('Parametri Modello'!$B$50:$B$53,MATCH($B271,'Parametri Modello'!$A$50:$A$53,0))*'Parametri Modello'!$B$44))))*(1+IF(IF($B271="D",'Info Lega'!$B$25,IF($B271="C",'Info Lega'!$B$26,"No"))="Si",'Parametri Modello'!$B$5,0))*(1+MAX(-0.25,MIN(0.25,IF(OR($T271="",$I271="",$I271=0,INDEX('Parametri Modello'!$B$19:$B$22,MATCH($B271,'Parametri Modello'!$A$19:$A$22,0))="",INDEX('Parametri Modello'!$B$19:$B$22,MATCH($B271,'Parametri Modello'!$A$19:$A$22,0))=0),0,(($T271-INDEX('Parametri Modello'!$B$19:$B$22,MATCH($B271,'Parametri Modello'!$A$19:$A$22,0)))/INDEX('Parametri Modello'!$B$19:$B$22,MATCH($B271,'Parametri Modello'!$A$19:$A$22,0)))*'Parametri Modello'!$B$9))))*(1+IF('Parametri Modello'!$B$27="Si",MAX(-'Parametri Modello'!$B$28,MIN('Parametri Modello'!$B$28*1.5,IF(OR(INDEX('Parametri Modello'!$F$32:$F$35,MATCH($B271,'Parametri Modello'!$A$32:$A$35,0))="",INDEX('Parametri Modello'!$F$32:$F$35,MATCH($B271,'Parametri Modello'!$A$32:$A$35,0))=0),0,(1/INDEX('Parametri Modello'!$F$32:$F$35,MATCH($B271,'Parametri Modello'!$A$32:$A$35,0))-1)*'Parametri Modello'!$B$28))),0)))*(1+INDEX('Parametri Modello'!$B$12:$B$15,MATCH($B271,'Parametri Modello'!$A$12:$A$15,0))),0),"")</f>
        <v>2</v>
      </c>
      <c r="I271" s="26" t="n">
        <f aca="false">IFERROR(INDEX('Input Statistiche 2025_26'!$F$3:$F$665,MATCH($A271,'Input Statistiche 2025_26'!$A$3:$A$665,0)),"")</f>
        <v>23</v>
      </c>
      <c r="J271" s="26" t="n">
        <f aca="false">IFERROR(IF($I271="","",MAX(0,38-$I271)),"")</f>
        <v>15</v>
      </c>
      <c r="K271" s="26" t="n">
        <f aca="false">IFERROR(INDEX('Input Statistiche 2025_26'!$I$3:$I$665,MATCH($A271,'Input Statistiche 2025_26'!$A$3:$A$665,0)),"")</f>
        <v>0</v>
      </c>
      <c r="L271" s="26" t="n">
        <f aca="false">IFERROR(INDEX('Input Statistiche 2025_26'!$O$3:$O$665,MATCH($A271,'Input Statistiche 2025_26'!$A$3:$A$665,0)),"")</f>
        <v>1</v>
      </c>
      <c r="M271" s="28"/>
      <c r="N271" s="27" t="n">
        <f aca="false">IFERROR(INDEX('Input Giocatori 2026_27'!$E$3:$E$493,MATCH($A271,'Input Giocatori 2026_27'!$A$3:$A$493,0)),"")</f>
        <v>3</v>
      </c>
      <c r="O271" s="27" t="n">
        <f aca="false">IFERROR(INDEX('Input Giocatori 2026_27'!$G$3:$G$493,MATCH($A271,'Input Giocatori 2026_27'!$A$3:$A$493,0)),"")</f>
        <v>12</v>
      </c>
      <c r="P271" s="26" t="str">
        <f aca="false">IFERROR(IF($O271="","",IF((1-(COUNTIFS($B$2:$B$492,$B271,$O$2:$O$492,"&gt;"&amp;$O271)+1-1)/COUNTIF($B$2:$B$492,$B271))&gt;=0.85,"Top",IF((1-(COUNTIFS($B$2:$B$492,$B271,$O$2:$O$492,"&gt;"&amp;$O271)+1-1)/COUNTIF($B$2:$B$492,$B271))&gt;=0.6,"Buono",IF((1-(COUNTIFS($B$2:$B$492,$B271,$O$2:$O$492,"&gt;"&amp;$O271)+1-1)/COUNTIF($B$2:$B$492,$B271))&gt;=0.3,"Nella Media","Scommessa/Riserva")))),"")</f>
        <v>Nella Media</v>
      </c>
      <c r="Q271" s="29" t="n">
        <f aca="false">IF($D271="",COUNTIF($D$2:$D271,""),"")</f>
        <v>270</v>
      </c>
      <c r="R271" s="29" t="str">
        <f aca="false">IF($D271='Info Lega'!$B$28,COUNTIFS($D$2:$D271,'Info Lega'!$B$28),"")</f>
        <v/>
      </c>
      <c r="S271" s="30" t="n">
        <f aca="false">IFERROR(INDEX('Input Statistiche 2025_26'!$G$3:$G$665,MATCH($A271,'Input Statistiche 2025_26'!$A$3:$A$665,0)),"")</f>
        <v>5.72</v>
      </c>
      <c r="T271" s="30" t="n">
        <f aca="false">IFERROR(INDEX('Input Statistiche 2025_26'!$H$3:$H$665,MATCH($A271,'Input Statistiche 2025_26'!$A$3:$A$665,0)),"")</f>
        <v>5.72</v>
      </c>
      <c r="U271" s="26" t="str">
        <f aca="false">IF(OR('La Mia Rosa'!$O$12="",$D271&lt;&gt;""),"",IF($F271&lt;='La Mia Rosa'!$O$12*'Parametri Modello'!$B$24,"OK",IF($F271&lt;='La Mia Rosa'!$O$12*'Parametri Modello'!$B$25,"Attenzione","Rischio Alto")))</f>
        <v>OK</v>
      </c>
      <c r="V271" s="26" t="n">
        <f aca="false">IFERROR(COUNTIFS($B$2:$B$492,$B271,$O$2:$O$492,"&gt;"&amp;$O271)+1,"")</f>
        <v>78</v>
      </c>
      <c r="W271" s="21" t="n">
        <f aca="false">'Info Lega'!$B$4-SUMIFS($M$2:$M$492,$D$2:$D$492,'Info Lega'!$B$28)</f>
        <v>1000</v>
      </c>
      <c r="X271" s="21" t="n">
        <f aca="false">('Info Lega'!$B$5-COUNTIFS($D$2:$D$492,'Info Lega'!$B$28,$B$2:$B$492,"P"))+('Info Lega'!$B$6-COUNTIFS($D$2:$D$492,'Info Lega'!$B$28,$B$2:$B$492,"D"))+('Info Lega'!$B$7-COUNTIFS($D$2:$D$492,'Info Lega'!$B$28,$B$2:$B$492,"C"))+('Info Lega'!$B$8-COUNTIFS($D$2:$D$492,'Info Lega'!$B$28,$B$2:$B$492,"A"))</f>
        <v>25</v>
      </c>
      <c r="Y271" s="21" t="n">
        <f aca="false">X271*'Parametri Modello'!$B$30</f>
        <v>25</v>
      </c>
      <c r="Z271" s="21" t="n">
        <f aca="false">MAX(0,W271-Y271)</f>
        <v>975</v>
      </c>
      <c r="AA271" s="21" t="n">
        <f aca="false">MIN(F271,Z271)</f>
        <v>2</v>
      </c>
      <c r="AB271" s="21"/>
      <c r="AC271" s="21" t="str">
        <f aca="false">IF(AB271="","",IF(AB271&gt;AA271,"PASS",IF(AB271&lt;=AA271*0.85,"BID","ATTENZIONE")))</f>
        <v/>
      </c>
      <c r="AD271" s="31" t="n">
        <f aca="false">IF(I271="","",ROUND(100*(1-EXP(-I271/30)),0))</f>
        <v>54</v>
      </c>
      <c r="AE271" s="7" t="str">
        <f aca="false">IFERROR(INDEX('Stato Asta'!$G$9:$G$12,MATCH($B271,'Stato Asta'!$A$9:$A$12,0)),"")</f>
        <v>🟡 Attesa rischiosa</v>
      </c>
    </row>
    <row r="272" customFormat="false" ht="14.25" hidden="false" customHeight="true" outlineLevel="0" collapsed="false">
      <c r="A272" s="21" t="n">
        <v>5739</v>
      </c>
      <c r="B272" s="21" t="s">
        <v>44</v>
      </c>
      <c r="C272" s="21" t="s">
        <v>312</v>
      </c>
      <c r="E272" s="26" t="str">
        <f aca="false">IF(COUNTIF('Info Strategia'!$D$2:$D$51,$C272)&gt;0,"SI","NO")</f>
        <v>NO</v>
      </c>
      <c r="F272" s="27" t="n">
        <f aca="false">IFERROR(ROUND(($G272+($H272-$G272)*'Info Strategia'!$B$6)*(1+IF($E272="SI",'Parametri Modello'!$B$7*'Info Strategia'!$B$6,0)),0),"")</f>
        <v>2</v>
      </c>
      <c r="G272" s="27" t="n">
        <f aca="false">IFERROR(ROUND(MAX(1,(IF($V272&lt;=INDEX('Parametri Modello'!$C$57:$C$60,MATCH($B272,'Parametri Modello'!$A$57:$A$60,0)),IF(INDEX('Parametri Modello'!$E$57:$E$60,MATCH($B272,'Parametri Modello'!$A$57:$A$60,0))=0,0,($O272/INDEX('Parametri Modello'!$E$57:$E$60,MATCH($B272,'Parametri Modello'!$A$57:$A$60,0)))*(INDEX('Parametri Modello'!$D$57:$D$60,MATCH($B272,'Parametri Modello'!$A$57:$A$60,0))*(INDEX('Parametri Modello'!$B$50:$B$53,MATCH($B272,'Parametri Modello'!$A$50:$A$53,0))*'Parametri Modello'!$B$44))),IF(INDEX('Parametri Modello'!$F$57:$F$60,MATCH($B272,'Parametri Modello'!$A$57:$A$60,0))=0,0,($O272/INDEX('Parametri Modello'!$F$57:$F$60,MATCH($B272,'Parametri Modello'!$A$57:$A$60,0)))*((1-INDEX('Parametri Modello'!$D$57:$D$60,MATCH($B272,'Parametri Modello'!$A$57:$A$60,0)))*(INDEX('Parametri Modello'!$B$50:$B$53,MATCH($B272,'Parametri Modello'!$A$50:$A$53,0))*'Parametri Modello'!$B$44))))*(1+IF(IF($B272="D",'Info Lega'!$B$25,IF($B272="C",'Info Lega'!$B$26,"No"))="Si",'Parametri Modello'!$B$5,0))*(1+MAX(-0.25,MIN(0.25,IF(OR($T272="",$I272="",$I272=0,INDEX('Parametri Modello'!$B$19:$B$22,MATCH($B272,'Parametri Modello'!$A$19:$A$22,0))="",INDEX('Parametri Modello'!$B$19:$B$22,MATCH($B272,'Parametri Modello'!$A$19:$A$22,0))=0),0,(($T272-INDEX('Parametri Modello'!$B$19:$B$22,MATCH($B272,'Parametri Modello'!$A$19:$A$22,0)))/INDEX('Parametri Modello'!$B$19:$B$22,MATCH($B272,'Parametri Modello'!$A$19:$A$22,0)))*'Parametri Modello'!$B$9))))*(1+IF('Parametri Modello'!$B$27="Si",MAX(-'Parametri Modello'!$B$28,MIN('Parametri Modello'!$B$28*1.5,IF(OR(INDEX('Parametri Modello'!$F$32:$F$35,MATCH($B272,'Parametri Modello'!$A$32:$A$35,0))="",INDEX('Parametri Modello'!$F$32:$F$35,MATCH($B272,'Parametri Modello'!$A$32:$A$35,0))=0),0,(1/INDEX('Parametri Modello'!$F$32:$F$35,MATCH($B272,'Parametri Modello'!$A$32:$A$35,0))-1)*'Parametri Modello'!$B$28))),0)))*(1-INDEX('Parametri Modello'!$B$12:$B$15,MATCH($B272,'Parametri Modello'!$A$12:$A$15,0)))),0),"")</f>
        <v>2</v>
      </c>
      <c r="H272" s="27" t="n">
        <f aca="false">IFERROR(ROUND((IF($V272&lt;=INDEX('Parametri Modello'!$C$57:$C$60,MATCH($B272,'Parametri Modello'!$A$57:$A$60,0)),IF(INDEX('Parametri Modello'!$E$57:$E$60,MATCH($B272,'Parametri Modello'!$A$57:$A$60,0))=0,0,($O272/INDEX('Parametri Modello'!$E$57:$E$60,MATCH($B272,'Parametri Modello'!$A$57:$A$60,0)))*(INDEX('Parametri Modello'!$D$57:$D$60,MATCH($B272,'Parametri Modello'!$A$57:$A$60,0))*(INDEX('Parametri Modello'!$B$50:$B$53,MATCH($B272,'Parametri Modello'!$A$50:$A$53,0))*'Parametri Modello'!$B$44))),IF(INDEX('Parametri Modello'!$F$57:$F$60,MATCH($B272,'Parametri Modello'!$A$57:$A$60,0))=0,0,($O272/INDEX('Parametri Modello'!$F$57:$F$60,MATCH($B272,'Parametri Modello'!$A$57:$A$60,0)))*((1-INDEX('Parametri Modello'!$D$57:$D$60,MATCH($B272,'Parametri Modello'!$A$57:$A$60,0)))*(INDEX('Parametri Modello'!$B$50:$B$53,MATCH($B272,'Parametri Modello'!$A$50:$A$53,0))*'Parametri Modello'!$B$44))))*(1+IF(IF($B272="D",'Info Lega'!$B$25,IF($B272="C",'Info Lega'!$B$26,"No"))="Si",'Parametri Modello'!$B$5,0))*(1+MAX(-0.25,MIN(0.25,IF(OR($T272="",$I272="",$I272=0,INDEX('Parametri Modello'!$B$19:$B$22,MATCH($B272,'Parametri Modello'!$A$19:$A$22,0))="",INDEX('Parametri Modello'!$B$19:$B$22,MATCH($B272,'Parametri Modello'!$A$19:$A$22,0))=0),0,(($T272-INDEX('Parametri Modello'!$B$19:$B$22,MATCH($B272,'Parametri Modello'!$A$19:$A$22,0)))/INDEX('Parametri Modello'!$B$19:$B$22,MATCH($B272,'Parametri Modello'!$A$19:$A$22,0)))*'Parametri Modello'!$B$9))))*(1+IF('Parametri Modello'!$B$27="Si",MAX(-'Parametri Modello'!$B$28,MIN('Parametri Modello'!$B$28*1.5,IF(OR(INDEX('Parametri Modello'!$F$32:$F$35,MATCH($B272,'Parametri Modello'!$A$32:$A$35,0))="",INDEX('Parametri Modello'!$F$32:$F$35,MATCH($B272,'Parametri Modello'!$A$32:$A$35,0))=0),0,(1/INDEX('Parametri Modello'!$F$32:$F$35,MATCH($B272,'Parametri Modello'!$A$32:$A$35,0))-1)*'Parametri Modello'!$B$28))),0)))*(1+INDEX('Parametri Modello'!$B$12:$B$15,MATCH($B272,'Parametri Modello'!$A$12:$A$15,0))),0),"")</f>
        <v>2</v>
      </c>
      <c r="I272" s="26" t="n">
        <f aca="false">IFERROR(INDEX('Input Statistiche 2025_26'!$F$3:$F$665,MATCH($A272,'Input Statistiche 2025_26'!$A$3:$A$665,0)),"")</f>
        <v>24</v>
      </c>
      <c r="J272" s="26" t="n">
        <f aca="false">IFERROR(IF($I272="","",MAX(0,38-$I272)),"")</f>
        <v>14</v>
      </c>
      <c r="K272" s="26" t="n">
        <f aca="false">IFERROR(INDEX('Input Statistiche 2025_26'!$I$3:$I$665,MATCH($A272,'Input Statistiche 2025_26'!$A$3:$A$665,0)),"")</f>
        <v>1</v>
      </c>
      <c r="L272" s="26" t="n">
        <f aca="false">IFERROR(INDEX('Input Statistiche 2025_26'!$O$3:$O$665,MATCH($A272,'Input Statistiche 2025_26'!$A$3:$A$665,0)),"")</f>
        <v>1</v>
      </c>
      <c r="M272" s="28"/>
      <c r="N272" s="27" t="n">
        <f aca="false">IFERROR(INDEX('Input Giocatori 2026_27'!$E$3:$E$493,MATCH($A272,'Input Giocatori 2026_27'!$A$3:$A$493,0)),"")</f>
        <v>3</v>
      </c>
      <c r="O272" s="27" t="n">
        <f aca="false">IFERROR(INDEX('Input Giocatori 2026_27'!$G$3:$G$493,MATCH($A272,'Input Giocatori 2026_27'!$A$3:$A$493,0)),"")</f>
        <v>12</v>
      </c>
      <c r="P272" s="26" t="str">
        <f aca="false">IFERROR(IF($O272="","",IF((1-(COUNTIFS($B$2:$B$492,$B272,$O$2:$O$492,"&gt;"&amp;$O272)+1-1)/COUNTIF($B$2:$B$492,$B272))&gt;=0.85,"Top",IF((1-(COUNTIFS($B$2:$B$492,$B272,$O$2:$O$492,"&gt;"&amp;$O272)+1-1)/COUNTIF($B$2:$B$492,$B272))&gt;=0.6,"Buono",IF((1-(COUNTIFS($B$2:$B$492,$B272,$O$2:$O$492,"&gt;"&amp;$O272)+1-1)/COUNTIF($B$2:$B$492,$B272))&gt;=0.3,"Nella Media","Scommessa/Riserva")))),"")</f>
        <v>Nella Media</v>
      </c>
      <c r="Q272" s="29" t="n">
        <f aca="false">IF($D272="",COUNTIF($D$2:$D272,""),"")</f>
        <v>271</v>
      </c>
      <c r="R272" s="29" t="str">
        <f aca="false">IF($D272='Info Lega'!$B$28,COUNTIFS($D$2:$D272,'Info Lega'!$B$28),"")</f>
        <v/>
      </c>
      <c r="S272" s="30" t="n">
        <f aca="false">IFERROR(INDEX('Input Statistiche 2025_26'!$G$3:$G$665,MATCH($A272,'Input Statistiche 2025_26'!$A$3:$A$665,0)),"")</f>
        <v>5.75</v>
      </c>
      <c r="T272" s="30" t="n">
        <f aca="false">IFERROR(INDEX('Input Statistiche 2025_26'!$H$3:$H$665,MATCH($A272,'Input Statistiche 2025_26'!$A$3:$A$665,0)),"")</f>
        <v>5.9</v>
      </c>
      <c r="U272" s="26" t="str">
        <f aca="false">IF(OR('La Mia Rosa'!$O$12="",$D272&lt;&gt;""),"",IF($F272&lt;='La Mia Rosa'!$O$12*'Parametri Modello'!$B$24,"OK",IF($F272&lt;='La Mia Rosa'!$O$12*'Parametri Modello'!$B$25,"Attenzione","Rischio Alto")))</f>
        <v>OK</v>
      </c>
      <c r="V272" s="26" t="n">
        <f aca="false">IFERROR(COUNTIFS($B$2:$B$492,$B272,$O$2:$O$492,"&gt;"&amp;$O272)+1,"")</f>
        <v>78</v>
      </c>
      <c r="W272" s="21" t="n">
        <f aca="false">'Info Lega'!$B$4-SUMIFS($M$2:$M$492,$D$2:$D$492,'Info Lega'!$B$28)</f>
        <v>1000</v>
      </c>
      <c r="X272" s="21" t="n">
        <f aca="false">('Info Lega'!$B$5-COUNTIFS($D$2:$D$492,'Info Lega'!$B$28,$B$2:$B$492,"P"))+('Info Lega'!$B$6-COUNTIFS($D$2:$D$492,'Info Lega'!$B$28,$B$2:$B$492,"D"))+('Info Lega'!$B$7-COUNTIFS($D$2:$D$492,'Info Lega'!$B$28,$B$2:$B$492,"C"))+('Info Lega'!$B$8-COUNTIFS($D$2:$D$492,'Info Lega'!$B$28,$B$2:$B$492,"A"))</f>
        <v>25</v>
      </c>
      <c r="Y272" s="21" t="n">
        <f aca="false">X272*'Parametri Modello'!$B$30</f>
        <v>25</v>
      </c>
      <c r="Z272" s="21" t="n">
        <f aca="false">MAX(0,W272-Y272)</f>
        <v>975</v>
      </c>
      <c r="AA272" s="21" t="n">
        <f aca="false">MIN(F272,Z272)</f>
        <v>2</v>
      </c>
      <c r="AB272" s="21"/>
      <c r="AC272" s="21" t="str">
        <f aca="false">IF(AB272="","",IF(AB272&gt;AA272,"PASS",IF(AB272&lt;=AA272*0.85,"BID","ATTENZIONE")))</f>
        <v/>
      </c>
      <c r="AD272" s="31" t="n">
        <f aca="false">IF(I272="","",ROUND(100*(1-EXP(-I272/30)),0))</f>
        <v>55</v>
      </c>
      <c r="AE272" s="7" t="str">
        <f aca="false">IFERROR(INDEX('Stato Asta'!$G$9:$G$12,MATCH($B272,'Stato Asta'!$A$9:$A$12,0)),"")</f>
        <v>🟡 Attesa rischiosa</v>
      </c>
    </row>
    <row r="273" customFormat="false" ht="14.25" hidden="false" customHeight="true" outlineLevel="0" collapsed="false">
      <c r="A273" s="21" t="n">
        <v>6985</v>
      </c>
      <c r="B273" s="21" t="s">
        <v>44</v>
      </c>
      <c r="C273" s="21" t="s">
        <v>319</v>
      </c>
      <c r="E273" s="26" t="str">
        <f aca="false">IF(COUNTIF('Info Strategia'!$D$2:$D$51,$C273)&gt;0,"SI","NO")</f>
        <v>NO</v>
      </c>
      <c r="F273" s="27" t="n">
        <f aca="false">IFERROR(ROUND(($G273+($H273-$G273)*'Info Strategia'!$B$6)*(1+IF($E273="SI",'Parametri Modello'!$B$7*'Info Strategia'!$B$6,0)),0),"")</f>
        <v>2</v>
      </c>
      <c r="G273" s="27" t="n">
        <f aca="false">IFERROR(ROUND(MAX(1,(IF($V273&lt;=INDEX('Parametri Modello'!$C$57:$C$60,MATCH($B273,'Parametri Modello'!$A$57:$A$60,0)),IF(INDEX('Parametri Modello'!$E$57:$E$60,MATCH($B273,'Parametri Modello'!$A$57:$A$60,0))=0,0,($O273/INDEX('Parametri Modello'!$E$57:$E$60,MATCH($B273,'Parametri Modello'!$A$57:$A$60,0)))*(INDEX('Parametri Modello'!$D$57:$D$60,MATCH($B273,'Parametri Modello'!$A$57:$A$60,0))*(INDEX('Parametri Modello'!$B$50:$B$53,MATCH($B273,'Parametri Modello'!$A$50:$A$53,0))*'Parametri Modello'!$B$44))),IF(INDEX('Parametri Modello'!$F$57:$F$60,MATCH($B273,'Parametri Modello'!$A$57:$A$60,0))=0,0,($O273/INDEX('Parametri Modello'!$F$57:$F$60,MATCH($B273,'Parametri Modello'!$A$57:$A$60,0)))*((1-INDEX('Parametri Modello'!$D$57:$D$60,MATCH($B273,'Parametri Modello'!$A$57:$A$60,0)))*(INDEX('Parametri Modello'!$B$50:$B$53,MATCH($B273,'Parametri Modello'!$A$50:$A$53,0))*'Parametri Modello'!$B$44))))*(1+IF(IF($B273="D",'Info Lega'!$B$25,IF($B273="C",'Info Lega'!$B$26,"No"))="Si",'Parametri Modello'!$B$5,0))*(1+MAX(-0.25,MIN(0.25,IF(OR($T273="",$I273="",$I273=0,INDEX('Parametri Modello'!$B$19:$B$22,MATCH($B273,'Parametri Modello'!$A$19:$A$22,0))="",INDEX('Parametri Modello'!$B$19:$B$22,MATCH($B273,'Parametri Modello'!$A$19:$A$22,0))=0),0,(($T273-INDEX('Parametri Modello'!$B$19:$B$22,MATCH($B273,'Parametri Modello'!$A$19:$A$22,0)))/INDEX('Parametri Modello'!$B$19:$B$22,MATCH($B273,'Parametri Modello'!$A$19:$A$22,0)))*'Parametri Modello'!$B$9))))*(1+IF('Parametri Modello'!$B$27="Si",MAX(-'Parametri Modello'!$B$28,MIN('Parametri Modello'!$B$28*1.5,IF(OR(INDEX('Parametri Modello'!$F$32:$F$35,MATCH($B273,'Parametri Modello'!$A$32:$A$35,0))="",INDEX('Parametri Modello'!$F$32:$F$35,MATCH($B273,'Parametri Modello'!$A$32:$A$35,0))=0),0,(1/INDEX('Parametri Modello'!$F$32:$F$35,MATCH($B273,'Parametri Modello'!$A$32:$A$35,0))-1)*'Parametri Modello'!$B$28))),0)))*(1-INDEX('Parametri Modello'!$B$12:$B$15,MATCH($B273,'Parametri Modello'!$A$12:$A$15,0)))),0),"")</f>
        <v>2</v>
      </c>
      <c r="H273" s="27" t="n">
        <f aca="false">IFERROR(ROUND((IF($V273&lt;=INDEX('Parametri Modello'!$C$57:$C$60,MATCH($B273,'Parametri Modello'!$A$57:$A$60,0)),IF(INDEX('Parametri Modello'!$E$57:$E$60,MATCH($B273,'Parametri Modello'!$A$57:$A$60,0))=0,0,($O273/INDEX('Parametri Modello'!$E$57:$E$60,MATCH($B273,'Parametri Modello'!$A$57:$A$60,0)))*(INDEX('Parametri Modello'!$D$57:$D$60,MATCH($B273,'Parametri Modello'!$A$57:$A$60,0))*(INDEX('Parametri Modello'!$B$50:$B$53,MATCH($B273,'Parametri Modello'!$A$50:$A$53,0))*'Parametri Modello'!$B$44))),IF(INDEX('Parametri Modello'!$F$57:$F$60,MATCH($B273,'Parametri Modello'!$A$57:$A$60,0))=0,0,($O273/INDEX('Parametri Modello'!$F$57:$F$60,MATCH($B273,'Parametri Modello'!$A$57:$A$60,0)))*((1-INDEX('Parametri Modello'!$D$57:$D$60,MATCH($B273,'Parametri Modello'!$A$57:$A$60,0)))*(INDEX('Parametri Modello'!$B$50:$B$53,MATCH($B273,'Parametri Modello'!$A$50:$A$53,0))*'Parametri Modello'!$B$44))))*(1+IF(IF($B273="D",'Info Lega'!$B$25,IF($B273="C",'Info Lega'!$B$26,"No"))="Si",'Parametri Modello'!$B$5,0))*(1+MAX(-0.25,MIN(0.25,IF(OR($T273="",$I273="",$I273=0,INDEX('Parametri Modello'!$B$19:$B$22,MATCH($B273,'Parametri Modello'!$A$19:$A$22,0))="",INDEX('Parametri Modello'!$B$19:$B$22,MATCH($B273,'Parametri Modello'!$A$19:$A$22,0))=0),0,(($T273-INDEX('Parametri Modello'!$B$19:$B$22,MATCH($B273,'Parametri Modello'!$A$19:$A$22,0)))/INDEX('Parametri Modello'!$B$19:$B$22,MATCH($B273,'Parametri Modello'!$A$19:$A$22,0)))*'Parametri Modello'!$B$9))))*(1+IF('Parametri Modello'!$B$27="Si",MAX(-'Parametri Modello'!$B$28,MIN('Parametri Modello'!$B$28*1.5,IF(OR(INDEX('Parametri Modello'!$F$32:$F$35,MATCH($B273,'Parametri Modello'!$A$32:$A$35,0))="",INDEX('Parametri Modello'!$F$32:$F$35,MATCH($B273,'Parametri Modello'!$A$32:$A$35,0))=0),0,(1/INDEX('Parametri Modello'!$F$32:$F$35,MATCH($B273,'Parametri Modello'!$A$32:$A$35,0))-1)*'Parametri Modello'!$B$28))),0)))*(1+INDEX('Parametri Modello'!$B$12:$B$15,MATCH($B273,'Parametri Modello'!$A$12:$A$15,0))),0),"")</f>
        <v>2</v>
      </c>
      <c r="I273" s="26" t="n">
        <f aca="false">IFERROR(INDEX('Input Statistiche 2025_26'!$F$3:$F$665,MATCH($A273,'Input Statistiche 2025_26'!$A$3:$A$665,0)),"")</f>
        <v>8</v>
      </c>
      <c r="J273" s="26" t="n">
        <f aca="false">IFERROR(IF($I273="","",MAX(0,38-$I273)),"")</f>
        <v>30</v>
      </c>
      <c r="K273" s="26" t="n">
        <f aca="false">IFERROR(INDEX('Input Statistiche 2025_26'!$I$3:$I$665,MATCH($A273,'Input Statistiche 2025_26'!$A$3:$A$665,0)),"")</f>
        <v>0</v>
      </c>
      <c r="L273" s="26" t="n">
        <f aca="false">IFERROR(INDEX('Input Statistiche 2025_26'!$O$3:$O$665,MATCH($A273,'Input Statistiche 2025_26'!$A$3:$A$665,0)),"")</f>
        <v>0</v>
      </c>
      <c r="M273" s="28"/>
      <c r="N273" s="27" t="n">
        <f aca="false">IFERROR(INDEX('Input Giocatori 2026_27'!$E$3:$E$493,MATCH($A273,'Input Giocatori 2026_27'!$A$3:$A$493,0)),"")</f>
        <v>3</v>
      </c>
      <c r="O273" s="27" t="n">
        <f aca="false">IFERROR(INDEX('Input Giocatori 2026_27'!$G$3:$G$493,MATCH($A273,'Input Giocatori 2026_27'!$A$3:$A$493,0)),"")</f>
        <v>12</v>
      </c>
      <c r="P273" s="26" t="str">
        <f aca="false">IFERROR(IF($O273="","",IF((1-(COUNTIFS($B$2:$B$492,$B273,$O$2:$O$492,"&gt;"&amp;$O273)+1-1)/COUNTIF($B$2:$B$492,$B273))&gt;=0.85,"Top",IF((1-(COUNTIFS($B$2:$B$492,$B273,$O$2:$O$492,"&gt;"&amp;$O273)+1-1)/COUNTIF($B$2:$B$492,$B273))&gt;=0.6,"Buono",IF((1-(COUNTIFS($B$2:$B$492,$B273,$O$2:$O$492,"&gt;"&amp;$O273)+1-1)/COUNTIF($B$2:$B$492,$B273))&gt;=0.3,"Nella Media","Scommessa/Riserva")))),"")</f>
        <v>Nella Media</v>
      </c>
      <c r="Q273" s="29" t="n">
        <f aca="false">IF($D273="",COUNTIF($D$2:$D273,""),"")</f>
        <v>272</v>
      </c>
      <c r="R273" s="29" t="str">
        <f aca="false">IF($D273='Info Lega'!$B$28,COUNTIFS($D$2:$D273,'Info Lega'!$B$28),"")</f>
        <v/>
      </c>
      <c r="S273" s="30" t="n">
        <f aca="false">IFERROR(INDEX('Input Statistiche 2025_26'!$G$3:$G$665,MATCH($A273,'Input Statistiche 2025_26'!$A$3:$A$665,0)),"")</f>
        <v>5.69</v>
      </c>
      <c r="T273" s="30" t="n">
        <f aca="false">IFERROR(INDEX('Input Statistiche 2025_26'!$H$3:$H$665,MATCH($A273,'Input Statistiche 2025_26'!$A$3:$A$665,0)),"")</f>
        <v>5.56</v>
      </c>
      <c r="U273" s="26" t="str">
        <f aca="false">IF(OR('La Mia Rosa'!$O$12="",$D273&lt;&gt;""),"",IF($F273&lt;='La Mia Rosa'!$O$12*'Parametri Modello'!$B$24,"OK",IF($F273&lt;='La Mia Rosa'!$O$12*'Parametri Modello'!$B$25,"Attenzione","Rischio Alto")))</f>
        <v>OK</v>
      </c>
      <c r="V273" s="26" t="n">
        <f aca="false">IFERROR(COUNTIFS($B$2:$B$492,$B273,$O$2:$O$492,"&gt;"&amp;$O273)+1,"")</f>
        <v>78</v>
      </c>
      <c r="W273" s="21" t="n">
        <f aca="false">'Info Lega'!$B$4-SUMIFS($M$2:$M$492,$D$2:$D$492,'Info Lega'!$B$28)</f>
        <v>1000</v>
      </c>
      <c r="X273" s="21" t="n">
        <f aca="false">('Info Lega'!$B$5-COUNTIFS($D$2:$D$492,'Info Lega'!$B$28,$B$2:$B$492,"P"))+('Info Lega'!$B$6-COUNTIFS($D$2:$D$492,'Info Lega'!$B$28,$B$2:$B$492,"D"))+('Info Lega'!$B$7-COUNTIFS($D$2:$D$492,'Info Lega'!$B$28,$B$2:$B$492,"C"))+('Info Lega'!$B$8-COUNTIFS($D$2:$D$492,'Info Lega'!$B$28,$B$2:$B$492,"A"))</f>
        <v>25</v>
      </c>
      <c r="Y273" s="21" t="n">
        <f aca="false">X273*'Parametri Modello'!$B$30</f>
        <v>25</v>
      </c>
      <c r="Z273" s="21" t="n">
        <f aca="false">MAX(0,W273-Y273)</f>
        <v>975</v>
      </c>
      <c r="AA273" s="21" t="n">
        <f aca="false">MIN(F273,Z273)</f>
        <v>2</v>
      </c>
      <c r="AB273" s="21"/>
      <c r="AC273" s="21" t="str">
        <f aca="false">IF(AB273="","",IF(AB273&gt;AA273,"PASS",IF(AB273&lt;=AA273*0.85,"BID","ATTENZIONE")))</f>
        <v/>
      </c>
      <c r="AD273" s="31" t="n">
        <f aca="false">IF(I273="","",ROUND(100*(1-EXP(-I273/30)),0))</f>
        <v>23</v>
      </c>
      <c r="AE273" s="7" t="str">
        <f aca="false">IFERROR(INDEX('Stato Asta'!$G$9:$G$12,MATCH($B273,'Stato Asta'!$A$9:$A$12,0)),"")</f>
        <v>🟡 Attesa rischiosa</v>
      </c>
    </row>
    <row r="274" customFormat="false" ht="14.25" hidden="false" customHeight="true" outlineLevel="0" collapsed="false">
      <c r="A274" s="21" t="n">
        <v>7528</v>
      </c>
      <c r="B274" s="21" t="s">
        <v>45</v>
      </c>
      <c r="C274" s="21" t="s">
        <v>446</v>
      </c>
      <c r="E274" s="26" t="str">
        <f aca="false">IF(COUNTIF('Info Strategia'!$D$2:$D$51,$C274)&gt;0,"SI","NO")</f>
        <v>NO</v>
      </c>
      <c r="F274" s="27" t="n">
        <f aca="false">IFERROR(ROUND(($G274+($H274-$G274)*'Info Strategia'!$B$6)*(1+IF($E274="SI",'Parametri Modello'!$B$7*'Info Strategia'!$B$6,0)),0),"")</f>
        <v>2</v>
      </c>
      <c r="G274" s="27" t="n">
        <f aca="false">IFERROR(ROUND(MAX(1,(IF($V274&lt;=INDEX('Parametri Modello'!$C$57:$C$60,MATCH($B274,'Parametri Modello'!$A$57:$A$60,0)),IF(INDEX('Parametri Modello'!$E$57:$E$60,MATCH($B274,'Parametri Modello'!$A$57:$A$60,0))=0,0,($O274/INDEX('Parametri Modello'!$E$57:$E$60,MATCH($B274,'Parametri Modello'!$A$57:$A$60,0)))*(INDEX('Parametri Modello'!$D$57:$D$60,MATCH($B274,'Parametri Modello'!$A$57:$A$60,0))*(INDEX('Parametri Modello'!$B$50:$B$53,MATCH($B274,'Parametri Modello'!$A$50:$A$53,0))*'Parametri Modello'!$B$44))),IF(INDEX('Parametri Modello'!$F$57:$F$60,MATCH($B274,'Parametri Modello'!$A$57:$A$60,0))=0,0,($O274/INDEX('Parametri Modello'!$F$57:$F$60,MATCH($B274,'Parametri Modello'!$A$57:$A$60,0)))*((1-INDEX('Parametri Modello'!$D$57:$D$60,MATCH($B274,'Parametri Modello'!$A$57:$A$60,0)))*(INDEX('Parametri Modello'!$B$50:$B$53,MATCH($B274,'Parametri Modello'!$A$50:$A$53,0))*'Parametri Modello'!$B$44))))*(1+IF(IF($B274="D",'Info Lega'!$B$25,IF($B274="C",'Info Lega'!$B$26,"No"))="Si",'Parametri Modello'!$B$5,0))*(1+MAX(-0.25,MIN(0.25,IF(OR($T274="",$I274="",$I274=0,INDEX('Parametri Modello'!$B$19:$B$22,MATCH($B274,'Parametri Modello'!$A$19:$A$22,0))="",INDEX('Parametri Modello'!$B$19:$B$22,MATCH($B274,'Parametri Modello'!$A$19:$A$22,0))=0),0,(($T274-INDEX('Parametri Modello'!$B$19:$B$22,MATCH($B274,'Parametri Modello'!$A$19:$A$22,0)))/INDEX('Parametri Modello'!$B$19:$B$22,MATCH($B274,'Parametri Modello'!$A$19:$A$22,0)))*'Parametri Modello'!$B$9))))*(1+IF('Parametri Modello'!$B$27="Si",MAX(-'Parametri Modello'!$B$28,MIN('Parametri Modello'!$B$28*1.5,IF(OR(INDEX('Parametri Modello'!$F$32:$F$35,MATCH($B274,'Parametri Modello'!$A$32:$A$35,0))="",INDEX('Parametri Modello'!$F$32:$F$35,MATCH($B274,'Parametri Modello'!$A$32:$A$35,0))=0),0,(1/INDEX('Parametri Modello'!$F$32:$F$35,MATCH($B274,'Parametri Modello'!$A$32:$A$35,0))-1)*'Parametri Modello'!$B$28))),0)))*(1-INDEX('Parametri Modello'!$B$12:$B$15,MATCH($B274,'Parametri Modello'!$A$12:$A$15,0)))),0),"")</f>
        <v>1</v>
      </c>
      <c r="H274" s="27" t="n">
        <f aca="false">IFERROR(ROUND((IF($V274&lt;=INDEX('Parametri Modello'!$C$57:$C$60,MATCH($B274,'Parametri Modello'!$A$57:$A$60,0)),IF(INDEX('Parametri Modello'!$E$57:$E$60,MATCH($B274,'Parametri Modello'!$A$57:$A$60,0))=0,0,($O274/INDEX('Parametri Modello'!$E$57:$E$60,MATCH($B274,'Parametri Modello'!$A$57:$A$60,0)))*(INDEX('Parametri Modello'!$D$57:$D$60,MATCH($B274,'Parametri Modello'!$A$57:$A$60,0))*(INDEX('Parametri Modello'!$B$50:$B$53,MATCH($B274,'Parametri Modello'!$A$50:$A$53,0))*'Parametri Modello'!$B$44))),IF(INDEX('Parametri Modello'!$F$57:$F$60,MATCH($B274,'Parametri Modello'!$A$57:$A$60,0))=0,0,($O274/INDEX('Parametri Modello'!$F$57:$F$60,MATCH($B274,'Parametri Modello'!$A$57:$A$60,0)))*((1-INDEX('Parametri Modello'!$D$57:$D$60,MATCH($B274,'Parametri Modello'!$A$57:$A$60,0)))*(INDEX('Parametri Modello'!$B$50:$B$53,MATCH($B274,'Parametri Modello'!$A$50:$A$53,0))*'Parametri Modello'!$B$44))))*(1+IF(IF($B274="D",'Info Lega'!$B$25,IF($B274="C",'Info Lega'!$B$26,"No"))="Si",'Parametri Modello'!$B$5,0))*(1+MAX(-0.25,MIN(0.25,IF(OR($T274="",$I274="",$I274=0,INDEX('Parametri Modello'!$B$19:$B$22,MATCH($B274,'Parametri Modello'!$A$19:$A$22,0))="",INDEX('Parametri Modello'!$B$19:$B$22,MATCH($B274,'Parametri Modello'!$A$19:$A$22,0))=0),0,(($T274-INDEX('Parametri Modello'!$B$19:$B$22,MATCH($B274,'Parametri Modello'!$A$19:$A$22,0)))/INDEX('Parametri Modello'!$B$19:$B$22,MATCH($B274,'Parametri Modello'!$A$19:$A$22,0)))*'Parametri Modello'!$B$9))))*(1+IF('Parametri Modello'!$B$27="Si",MAX(-'Parametri Modello'!$B$28,MIN('Parametri Modello'!$B$28*1.5,IF(OR(INDEX('Parametri Modello'!$F$32:$F$35,MATCH($B274,'Parametri Modello'!$A$32:$A$35,0))="",INDEX('Parametri Modello'!$F$32:$F$35,MATCH($B274,'Parametri Modello'!$A$32:$A$35,0))=0),0,(1/INDEX('Parametri Modello'!$F$32:$F$35,MATCH($B274,'Parametri Modello'!$A$32:$A$35,0))-1)*'Parametri Modello'!$B$28))),0)))*(1+INDEX('Parametri Modello'!$B$12:$B$15,MATCH($B274,'Parametri Modello'!$A$12:$A$15,0))),0),"")</f>
        <v>2</v>
      </c>
      <c r="I274" s="26" t="str">
        <f aca="false">IFERROR(INDEX('Input Statistiche 2025_26'!$F$3:$F$665,MATCH($A274,'Input Statistiche 2025_26'!$A$3:$A$665,0)),"")</f>
        <v/>
      </c>
      <c r="J274" s="26" t="str">
        <f aca="false">IFERROR(IF($I274="","",MAX(0,38-$I274)),"")</f>
        <v/>
      </c>
      <c r="K274" s="26" t="str">
        <f aca="false">IFERROR(INDEX('Input Statistiche 2025_26'!$I$3:$I$665,MATCH($A274,'Input Statistiche 2025_26'!$A$3:$A$665,0)),"")</f>
        <v/>
      </c>
      <c r="L274" s="26" t="str">
        <f aca="false">IFERROR(INDEX('Input Statistiche 2025_26'!$O$3:$O$665,MATCH($A274,'Input Statistiche 2025_26'!$A$3:$A$665,0)),"")</f>
        <v/>
      </c>
      <c r="M274" s="28"/>
      <c r="N274" s="27" t="n">
        <f aca="false">IFERROR(INDEX('Input Giocatori 2026_27'!$E$3:$E$493,MATCH($A274,'Input Giocatori 2026_27'!$A$3:$A$493,0)),"")</f>
        <v>5</v>
      </c>
      <c r="O274" s="27" t="n">
        <f aca="false">IFERROR(INDEX('Input Giocatori 2026_27'!$G$3:$G$493,MATCH($A274,'Input Giocatori 2026_27'!$A$3:$A$493,0)),"")</f>
        <v>12</v>
      </c>
      <c r="P274" s="26" t="str">
        <f aca="false">IFERROR(IF($O274="","",IF((1-(COUNTIFS($B$2:$B$492,$B274,$O$2:$O$492,"&gt;"&amp;$O274)+1-1)/COUNTIF($B$2:$B$492,$B274))&gt;=0.85,"Top",IF((1-(COUNTIFS($B$2:$B$492,$B274,$O$2:$O$492,"&gt;"&amp;$O274)+1-1)/COUNTIF($B$2:$B$492,$B274))&gt;=0.6,"Buono",IF((1-(COUNTIFS($B$2:$B$492,$B274,$O$2:$O$492,"&gt;"&amp;$O274)+1-1)/COUNTIF($B$2:$B$492,$B274))&gt;=0.3,"Nella Media","Scommessa/Riserva")))),"")</f>
        <v>Nella Media</v>
      </c>
      <c r="Q274" s="29" t="n">
        <f aca="false">IF($D274="",COUNTIF($D$2:$D274,""),"")</f>
        <v>273</v>
      </c>
      <c r="R274" s="29" t="str">
        <f aca="false">IF($D274='Info Lega'!$B$28,COUNTIFS($D$2:$D274,'Info Lega'!$B$28),"")</f>
        <v/>
      </c>
      <c r="S274" s="30" t="str">
        <f aca="false">IFERROR(INDEX('Input Statistiche 2025_26'!$G$3:$G$665,MATCH($A274,'Input Statistiche 2025_26'!$A$3:$A$665,0)),"")</f>
        <v/>
      </c>
      <c r="T274" s="30" t="str">
        <f aca="false">IFERROR(INDEX('Input Statistiche 2025_26'!$H$3:$H$665,MATCH($A274,'Input Statistiche 2025_26'!$A$3:$A$665,0)),"")</f>
        <v/>
      </c>
      <c r="U274" s="26" t="str">
        <f aca="false">IF(OR('La Mia Rosa'!$O$12="",$D274&lt;&gt;""),"",IF($F274&lt;='La Mia Rosa'!$O$12*'Parametri Modello'!$B$24,"OK",IF($F274&lt;='La Mia Rosa'!$O$12*'Parametri Modello'!$B$25,"Attenzione","Rischio Alto")))</f>
        <v>OK</v>
      </c>
      <c r="V274" s="26" t="n">
        <f aca="false">IFERROR(COUNTIFS($B$2:$B$492,$B274,$O$2:$O$492,"&gt;"&amp;$O274)+1,"")</f>
        <v>105</v>
      </c>
      <c r="W274" s="21" t="n">
        <f aca="false">'Info Lega'!$B$4-SUMIFS($M$2:$M$492,$D$2:$D$492,'Info Lega'!$B$28)</f>
        <v>1000</v>
      </c>
      <c r="X274" s="21" t="n">
        <f aca="false">('Info Lega'!$B$5-COUNTIFS($D$2:$D$492,'Info Lega'!$B$28,$B$2:$B$492,"P"))+('Info Lega'!$B$6-COUNTIFS($D$2:$D$492,'Info Lega'!$B$28,$B$2:$B$492,"D"))+('Info Lega'!$B$7-COUNTIFS($D$2:$D$492,'Info Lega'!$B$28,$B$2:$B$492,"C"))+('Info Lega'!$B$8-COUNTIFS($D$2:$D$492,'Info Lega'!$B$28,$B$2:$B$492,"A"))</f>
        <v>25</v>
      </c>
      <c r="Y274" s="21" t="n">
        <f aca="false">X274*'Parametri Modello'!$B$30</f>
        <v>25</v>
      </c>
      <c r="Z274" s="21" t="n">
        <f aca="false">MAX(0,W274-Y274)</f>
        <v>975</v>
      </c>
      <c r="AA274" s="21" t="n">
        <f aca="false">MIN(F274,Z274)</f>
        <v>2</v>
      </c>
      <c r="AB274" s="21"/>
      <c r="AC274" s="21" t="str">
        <f aca="false">IF(AB274="","",IF(AB274&gt;AA274,"PASS",IF(AB274&lt;=AA274*0.85,"BID","ATTENZIONE")))</f>
        <v/>
      </c>
      <c r="AD274" s="31" t="str">
        <f aca="false">IF(I274="","",ROUND(100*(1-EXP(-I274/30)),0))</f>
        <v/>
      </c>
      <c r="AE274" s="7" t="str">
        <f aca="false">IFERROR(INDEX('Stato Asta'!$G$9:$G$12,MATCH($B274,'Stato Asta'!$A$9:$A$12,0)),"")</f>
        <v>🟡 Attesa rischiosa</v>
      </c>
    </row>
    <row r="275" customFormat="false" ht="14.25" hidden="false" customHeight="true" outlineLevel="0" collapsed="false">
      <c r="A275" s="21" t="n">
        <v>7311</v>
      </c>
      <c r="B275" s="21" t="s">
        <v>45</v>
      </c>
      <c r="C275" s="21" t="s">
        <v>447</v>
      </c>
      <c r="E275" s="26" t="str">
        <f aca="false">IF(COUNTIF('Info Strategia'!$D$2:$D$51,$C275)&gt;0,"SI","NO")</f>
        <v>NO</v>
      </c>
      <c r="F275" s="27" t="n">
        <f aca="false">IFERROR(ROUND(($G275+($H275-$G275)*'Info Strategia'!$B$6)*(1+IF($E275="SI",'Parametri Modello'!$B$7*'Info Strategia'!$B$6,0)),0),"")</f>
        <v>2</v>
      </c>
      <c r="G275" s="27" t="n">
        <f aca="false">IFERROR(ROUND(MAX(1,(IF($V275&lt;=INDEX('Parametri Modello'!$C$57:$C$60,MATCH($B275,'Parametri Modello'!$A$57:$A$60,0)),IF(INDEX('Parametri Modello'!$E$57:$E$60,MATCH($B275,'Parametri Modello'!$A$57:$A$60,0))=0,0,($O275/INDEX('Parametri Modello'!$E$57:$E$60,MATCH($B275,'Parametri Modello'!$A$57:$A$60,0)))*(INDEX('Parametri Modello'!$D$57:$D$60,MATCH($B275,'Parametri Modello'!$A$57:$A$60,0))*(INDEX('Parametri Modello'!$B$50:$B$53,MATCH($B275,'Parametri Modello'!$A$50:$A$53,0))*'Parametri Modello'!$B$44))),IF(INDEX('Parametri Modello'!$F$57:$F$60,MATCH($B275,'Parametri Modello'!$A$57:$A$60,0))=0,0,($O275/INDEX('Parametri Modello'!$F$57:$F$60,MATCH($B275,'Parametri Modello'!$A$57:$A$60,0)))*((1-INDEX('Parametri Modello'!$D$57:$D$60,MATCH($B275,'Parametri Modello'!$A$57:$A$60,0)))*(INDEX('Parametri Modello'!$B$50:$B$53,MATCH($B275,'Parametri Modello'!$A$50:$A$53,0))*'Parametri Modello'!$B$44))))*(1+IF(IF($B275="D",'Info Lega'!$B$25,IF($B275="C",'Info Lega'!$B$26,"No"))="Si",'Parametri Modello'!$B$5,0))*(1+MAX(-0.25,MIN(0.25,IF(OR($T275="",$I275="",$I275=0,INDEX('Parametri Modello'!$B$19:$B$22,MATCH($B275,'Parametri Modello'!$A$19:$A$22,0))="",INDEX('Parametri Modello'!$B$19:$B$22,MATCH($B275,'Parametri Modello'!$A$19:$A$22,0))=0),0,(($T275-INDEX('Parametri Modello'!$B$19:$B$22,MATCH($B275,'Parametri Modello'!$A$19:$A$22,0)))/INDEX('Parametri Modello'!$B$19:$B$22,MATCH($B275,'Parametri Modello'!$A$19:$A$22,0)))*'Parametri Modello'!$B$9))))*(1+IF('Parametri Modello'!$B$27="Si",MAX(-'Parametri Modello'!$B$28,MIN('Parametri Modello'!$B$28*1.5,IF(OR(INDEX('Parametri Modello'!$F$32:$F$35,MATCH($B275,'Parametri Modello'!$A$32:$A$35,0))="",INDEX('Parametri Modello'!$F$32:$F$35,MATCH($B275,'Parametri Modello'!$A$32:$A$35,0))=0),0,(1/INDEX('Parametri Modello'!$F$32:$F$35,MATCH($B275,'Parametri Modello'!$A$32:$A$35,0))-1)*'Parametri Modello'!$B$28))),0)))*(1-INDEX('Parametri Modello'!$B$12:$B$15,MATCH($B275,'Parametri Modello'!$A$12:$A$15,0)))),0),"")</f>
        <v>1</v>
      </c>
      <c r="H275" s="27" t="n">
        <f aca="false">IFERROR(ROUND((IF($V275&lt;=INDEX('Parametri Modello'!$C$57:$C$60,MATCH($B275,'Parametri Modello'!$A$57:$A$60,0)),IF(INDEX('Parametri Modello'!$E$57:$E$60,MATCH($B275,'Parametri Modello'!$A$57:$A$60,0))=0,0,($O275/INDEX('Parametri Modello'!$E$57:$E$60,MATCH($B275,'Parametri Modello'!$A$57:$A$60,0)))*(INDEX('Parametri Modello'!$D$57:$D$60,MATCH($B275,'Parametri Modello'!$A$57:$A$60,0))*(INDEX('Parametri Modello'!$B$50:$B$53,MATCH($B275,'Parametri Modello'!$A$50:$A$53,0))*'Parametri Modello'!$B$44))),IF(INDEX('Parametri Modello'!$F$57:$F$60,MATCH($B275,'Parametri Modello'!$A$57:$A$60,0))=0,0,($O275/INDEX('Parametri Modello'!$F$57:$F$60,MATCH($B275,'Parametri Modello'!$A$57:$A$60,0)))*((1-INDEX('Parametri Modello'!$D$57:$D$60,MATCH($B275,'Parametri Modello'!$A$57:$A$60,0)))*(INDEX('Parametri Modello'!$B$50:$B$53,MATCH($B275,'Parametri Modello'!$A$50:$A$53,0))*'Parametri Modello'!$B$44))))*(1+IF(IF($B275="D",'Info Lega'!$B$25,IF($B275="C",'Info Lega'!$B$26,"No"))="Si",'Parametri Modello'!$B$5,0))*(1+MAX(-0.25,MIN(0.25,IF(OR($T275="",$I275="",$I275=0,INDEX('Parametri Modello'!$B$19:$B$22,MATCH($B275,'Parametri Modello'!$A$19:$A$22,0))="",INDEX('Parametri Modello'!$B$19:$B$22,MATCH($B275,'Parametri Modello'!$A$19:$A$22,0))=0),0,(($T275-INDEX('Parametri Modello'!$B$19:$B$22,MATCH($B275,'Parametri Modello'!$A$19:$A$22,0)))/INDEX('Parametri Modello'!$B$19:$B$22,MATCH($B275,'Parametri Modello'!$A$19:$A$22,0)))*'Parametri Modello'!$B$9))))*(1+IF('Parametri Modello'!$B$27="Si",MAX(-'Parametri Modello'!$B$28,MIN('Parametri Modello'!$B$28*1.5,IF(OR(INDEX('Parametri Modello'!$F$32:$F$35,MATCH($B275,'Parametri Modello'!$A$32:$A$35,0))="",INDEX('Parametri Modello'!$F$32:$F$35,MATCH($B275,'Parametri Modello'!$A$32:$A$35,0))=0),0,(1/INDEX('Parametri Modello'!$F$32:$F$35,MATCH($B275,'Parametri Modello'!$A$32:$A$35,0))-1)*'Parametri Modello'!$B$28))),0)))*(1+INDEX('Parametri Modello'!$B$12:$B$15,MATCH($B275,'Parametri Modello'!$A$12:$A$15,0))),0),"")</f>
        <v>2</v>
      </c>
      <c r="I275" s="26" t="str">
        <f aca="false">IFERROR(INDEX('Input Statistiche 2025_26'!$F$3:$F$665,MATCH($A275,'Input Statistiche 2025_26'!$A$3:$A$665,0)),"")</f>
        <v/>
      </c>
      <c r="J275" s="26" t="str">
        <f aca="false">IFERROR(IF($I275="","",MAX(0,38-$I275)),"")</f>
        <v/>
      </c>
      <c r="K275" s="26" t="str">
        <f aca="false">IFERROR(INDEX('Input Statistiche 2025_26'!$I$3:$I$665,MATCH($A275,'Input Statistiche 2025_26'!$A$3:$A$665,0)),"")</f>
        <v/>
      </c>
      <c r="L275" s="26" t="str">
        <f aca="false">IFERROR(INDEX('Input Statistiche 2025_26'!$O$3:$O$665,MATCH($A275,'Input Statistiche 2025_26'!$A$3:$A$665,0)),"")</f>
        <v/>
      </c>
      <c r="M275" s="28"/>
      <c r="N275" s="27" t="n">
        <f aca="false">IFERROR(INDEX('Input Giocatori 2026_27'!$E$3:$E$493,MATCH($A275,'Input Giocatori 2026_27'!$A$3:$A$493,0)),"")</f>
        <v>5</v>
      </c>
      <c r="O275" s="27" t="n">
        <f aca="false">IFERROR(INDEX('Input Giocatori 2026_27'!$G$3:$G$493,MATCH($A275,'Input Giocatori 2026_27'!$A$3:$A$493,0)),"")</f>
        <v>12</v>
      </c>
      <c r="P275" s="26" t="str">
        <f aca="false">IFERROR(IF($O275="","",IF((1-(COUNTIFS($B$2:$B$492,$B275,$O$2:$O$492,"&gt;"&amp;$O275)+1-1)/COUNTIF($B$2:$B$492,$B275))&gt;=0.85,"Top",IF((1-(COUNTIFS($B$2:$B$492,$B275,$O$2:$O$492,"&gt;"&amp;$O275)+1-1)/COUNTIF($B$2:$B$492,$B275))&gt;=0.6,"Buono",IF((1-(COUNTIFS($B$2:$B$492,$B275,$O$2:$O$492,"&gt;"&amp;$O275)+1-1)/COUNTIF($B$2:$B$492,$B275))&gt;=0.3,"Nella Media","Scommessa/Riserva")))),"")</f>
        <v>Nella Media</v>
      </c>
      <c r="Q275" s="29" t="n">
        <f aca="false">IF($D275="",COUNTIF($D$2:$D275,""),"")</f>
        <v>274</v>
      </c>
      <c r="R275" s="29" t="str">
        <f aca="false">IF($D275='Info Lega'!$B$28,COUNTIFS($D$2:$D275,'Info Lega'!$B$28),"")</f>
        <v/>
      </c>
      <c r="S275" s="30" t="str">
        <f aca="false">IFERROR(INDEX('Input Statistiche 2025_26'!$G$3:$G$665,MATCH($A275,'Input Statistiche 2025_26'!$A$3:$A$665,0)),"")</f>
        <v/>
      </c>
      <c r="T275" s="30" t="str">
        <f aca="false">IFERROR(INDEX('Input Statistiche 2025_26'!$H$3:$H$665,MATCH($A275,'Input Statistiche 2025_26'!$A$3:$A$665,0)),"")</f>
        <v/>
      </c>
      <c r="U275" s="26" t="str">
        <f aca="false">IF(OR('La Mia Rosa'!$O$12="",$D275&lt;&gt;""),"",IF($F275&lt;='La Mia Rosa'!$O$12*'Parametri Modello'!$B$24,"OK",IF($F275&lt;='La Mia Rosa'!$O$12*'Parametri Modello'!$B$25,"Attenzione","Rischio Alto")))</f>
        <v>OK</v>
      </c>
      <c r="V275" s="26" t="n">
        <f aca="false">IFERROR(COUNTIFS($B$2:$B$492,$B275,$O$2:$O$492,"&gt;"&amp;$O275)+1,"")</f>
        <v>105</v>
      </c>
      <c r="W275" s="21" t="n">
        <f aca="false">'Info Lega'!$B$4-SUMIFS($M$2:$M$492,$D$2:$D$492,'Info Lega'!$B$28)</f>
        <v>1000</v>
      </c>
      <c r="X275" s="21" t="n">
        <f aca="false">('Info Lega'!$B$5-COUNTIFS($D$2:$D$492,'Info Lega'!$B$28,$B$2:$B$492,"P"))+('Info Lega'!$B$6-COUNTIFS($D$2:$D$492,'Info Lega'!$B$28,$B$2:$B$492,"D"))+('Info Lega'!$B$7-COUNTIFS($D$2:$D$492,'Info Lega'!$B$28,$B$2:$B$492,"C"))+('Info Lega'!$B$8-COUNTIFS($D$2:$D$492,'Info Lega'!$B$28,$B$2:$B$492,"A"))</f>
        <v>25</v>
      </c>
      <c r="Y275" s="21" t="n">
        <f aca="false">X275*'Parametri Modello'!$B$30</f>
        <v>25</v>
      </c>
      <c r="Z275" s="21" t="n">
        <f aca="false">MAX(0,W275-Y275)</f>
        <v>975</v>
      </c>
      <c r="AA275" s="21" t="n">
        <f aca="false">MIN(F275,Z275)</f>
        <v>2</v>
      </c>
      <c r="AB275" s="21"/>
      <c r="AC275" s="21" t="str">
        <f aca="false">IF(AB275="","",IF(AB275&gt;AA275,"PASS",IF(AB275&lt;=AA275*0.85,"BID","ATTENZIONE")))</f>
        <v/>
      </c>
      <c r="AD275" s="31" t="str">
        <f aca="false">IF(I275="","",ROUND(100*(1-EXP(-I275/30)),0))</f>
        <v/>
      </c>
      <c r="AE275" s="7" t="str">
        <f aca="false">IFERROR(INDEX('Stato Asta'!$G$9:$G$12,MATCH($B275,'Stato Asta'!$A$9:$A$12,0)),"")</f>
        <v>🟡 Attesa rischiosa</v>
      </c>
    </row>
    <row r="276" customFormat="false" ht="14.25" hidden="false" customHeight="true" outlineLevel="0" collapsed="false">
      <c r="A276" s="21" t="n">
        <v>22</v>
      </c>
      <c r="B276" s="21" t="s">
        <v>45</v>
      </c>
      <c r="C276" s="21" t="s">
        <v>472</v>
      </c>
      <c r="E276" s="26" t="str">
        <f aca="false">IF(COUNTIF('Info Strategia'!$D$2:$D$51,$C276)&gt;0,"SI","NO")</f>
        <v>NO</v>
      </c>
      <c r="F276" s="27" t="n">
        <f aca="false">IFERROR(ROUND(($G276+($H276-$G276)*'Info Strategia'!$B$6)*(1+IF($E276="SI",'Parametri Modello'!$B$7*'Info Strategia'!$B$6,0)),0),"")</f>
        <v>2</v>
      </c>
      <c r="G276" s="27" t="n">
        <f aca="false">IFERROR(ROUND(MAX(1,(IF($V276&lt;=INDEX('Parametri Modello'!$C$57:$C$60,MATCH($B276,'Parametri Modello'!$A$57:$A$60,0)),IF(INDEX('Parametri Modello'!$E$57:$E$60,MATCH($B276,'Parametri Modello'!$A$57:$A$60,0))=0,0,($O276/INDEX('Parametri Modello'!$E$57:$E$60,MATCH($B276,'Parametri Modello'!$A$57:$A$60,0)))*(INDEX('Parametri Modello'!$D$57:$D$60,MATCH($B276,'Parametri Modello'!$A$57:$A$60,0))*(INDEX('Parametri Modello'!$B$50:$B$53,MATCH($B276,'Parametri Modello'!$A$50:$A$53,0))*'Parametri Modello'!$B$44))),IF(INDEX('Parametri Modello'!$F$57:$F$60,MATCH($B276,'Parametri Modello'!$A$57:$A$60,0))=0,0,($O276/INDEX('Parametri Modello'!$F$57:$F$60,MATCH($B276,'Parametri Modello'!$A$57:$A$60,0)))*((1-INDEX('Parametri Modello'!$D$57:$D$60,MATCH($B276,'Parametri Modello'!$A$57:$A$60,0)))*(INDEX('Parametri Modello'!$B$50:$B$53,MATCH($B276,'Parametri Modello'!$A$50:$A$53,0))*'Parametri Modello'!$B$44))))*(1+IF(IF($B276="D",'Info Lega'!$B$25,IF($B276="C",'Info Lega'!$B$26,"No"))="Si",'Parametri Modello'!$B$5,0))*(1+MAX(-0.25,MIN(0.25,IF(OR($T276="",$I276="",$I276=0,INDEX('Parametri Modello'!$B$19:$B$22,MATCH($B276,'Parametri Modello'!$A$19:$A$22,0))="",INDEX('Parametri Modello'!$B$19:$B$22,MATCH($B276,'Parametri Modello'!$A$19:$A$22,0))=0),0,(($T276-INDEX('Parametri Modello'!$B$19:$B$22,MATCH($B276,'Parametri Modello'!$A$19:$A$22,0)))/INDEX('Parametri Modello'!$B$19:$B$22,MATCH($B276,'Parametri Modello'!$A$19:$A$22,0)))*'Parametri Modello'!$B$9))))*(1+IF('Parametri Modello'!$B$27="Si",MAX(-'Parametri Modello'!$B$28,MIN('Parametri Modello'!$B$28*1.5,IF(OR(INDEX('Parametri Modello'!$F$32:$F$35,MATCH($B276,'Parametri Modello'!$A$32:$A$35,0))="",INDEX('Parametri Modello'!$F$32:$F$35,MATCH($B276,'Parametri Modello'!$A$32:$A$35,0))=0),0,(1/INDEX('Parametri Modello'!$F$32:$F$35,MATCH($B276,'Parametri Modello'!$A$32:$A$35,0))-1)*'Parametri Modello'!$B$28))),0)))*(1-INDEX('Parametri Modello'!$B$12:$B$15,MATCH($B276,'Parametri Modello'!$A$12:$A$15,0)))),0),"")</f>
        <v>1</v>
      </c>
      <c r="H276" s="27" t="n">
        <f aca="false">IFERROR(ROUND((IF($V276&lt;=INDEX('Parametri Modello'!$C$57:$C$60,MATCH($B276,'Parametri Modello'!$A$57:$A$60,0)),IF(INDEX('Parametri Modello'!$E$57:$E$60,MATCH($B276,'Parametri Modello'!$A$57:$A$60,0))=0,0,($O276/INDEX('Parametri Modello'!$E$57:$E$60,MATCH($B276,'Parametri Modello'!$A$57:$A$60,0)))*(INDEX('Parametri Modello'!$D$57:$D$60,MATCH($B276,'Parametri Modello'!$A$57:$A$60,0))*(INDEX('Parametri Modello'!$B$50:$B$53,MATCH($B276,'Parametri Modello'!$A$50:$A$53,0))*'Parametri Modello'!$B$44))),IF(INDEX('Parametri Modello'!$F$57:$F$60,MATCH($B276,'Parametri Modello'!$A$57:$A$60,0))=0,0,($O276/INDEX('Parametri Modello'!$F$57:$F$60,MATCH($B276,'Parametri Modello'!$A$57:$A$60,0)))*((1-INDEX('Parametri Modello'!$D$57:$D$60,MATCH($B276,'Parametri Modello'!$A$57:$A$60,0)))*(INDEX('Parametri Modello'!$B$50:$B$53,MATCH($B276,'Parametri Modello'!$A$50:$A$53,0))*'Parametri Modello'!$B$44))))*(1+IF(IF($B276="D",'Info Lega'!$B$25,IF($B276="C",'Info Lega'!$B$26,"No"))="Si",'Parametri Modello'!$B$5,0))*(1+MAX(-0.25,MIN(0.25,IF(OR($T276="",$I276="",$I276=0,INDEX('Parametri Modello'!$B$19:$B$22,MATCH($B276,'Parametri Modello'!$A$19:$A$22,0))="",INDEX('Parametri Modello'!$B$19:$B$22,MATCH($B276,'Parametri Modello'!$A$19:$A$22,0))=0),0,(($T276-INDEX('Parametri Modello'!$B$19:$B$22,MATCH($B276,'Parametri Modello'!$A$19:$A$22,0)))/INDEX('Parametri Modello'!$B$19:$B$22,MATCH($B276,'Parametri Modello'!$A$19:$A$22,0)))*'Parametri Modello'!$B$9))))*(1+IF('Parametri Modello'!$B$27="Si",MAX(-'Parametri Modello'!$B$28,MIN('Parametri Modello'!$B$28*1.5,IF(OR(INDEX('Parametri Modello'!$F$32:$F$35,MATCH($B276,'Parametri Modello'!$A$32:$A$35,0))="",INDEX('Parametri Modello'!$F$32:$F$35,MATCH($B276,'Parametri Modello'!$A$32:$A$35,0))=0),0,(1/INDEX('Parametri Modello'!$F$32:$F$35,MATCH($B276,'Parametri Modello'!$A$32:$A$35,0))-1)*'Parametri Modello'!$B$28))),0)))*(1+INDEX('Parametri Modello'!$B$12:$B$15,MATCH($B276,'Parametri Modello'!$A$12:$A$15,0))),0),"")</f>
        <v>2</v>
      </c>
      <c r="I276" s="26" t="n">
        <f aca="false">IFERROR(INDEX('Input Statistiche 2025_26'!$F$3:$F$665,MATCH($A276,'Input Statistiche 2025_26'!$A$3:$A$665,0)),"")</f>
        <v>34</v>
      </c>
      <c r="J276" s="26" t="n">
        <f aca="false">IFERROR(IF($I276="","",MAX(0,38-$I276)),"")</f>
        <v>4</v>
      </c>
      <c r="K276" s="26" t="n">
        <f aca="false">IFERROR(INDEX('Input Statistiche 2025_26'!$I$3:$I$665,MATCH($A276,'Input Statistiche 2025_26'!$A$3:$A$665,0)),"")</f>
        <v>1</v>
      </c>
      <c r="L276" s="26" t="n">
        <f aca="false">IFERROR(INDEX('Input Statistiche 2025_26'!$O$3:$O$665,MATCH($A276,'Input Statistiche 2025_26'!$A$3:$A$665,0)),"")</f>
        <v>2</v>
      </c>
      <c r="M276" s="28"/>
      <c r="N276" s="27" t="n">
        <f aca="false">IFERROR(INDEX('Input Giocatori 2026_27'!$E$3:$E$493,MATCH($A276,'Input Giocatori 2026_27'!$A$3:$A$493,0)),"")</f>
        <v>4</v>
      </c>
      <c r="O276" s="27" t="n">
        <f aca="false">IFERROR(INDEX('Input Giocatori 2026_27'!$G$3:$G$493,MATCH($A276,'Input Giocatori 2026_27'!$A$3:$A$493,0)),"")</f>
        <v>12</v>
      </c>
      <c r="P276" s="26" t="str">
        <f aca="false">IFERROR(IF($O276="","",IF((1-(COUNTIFS($B$2:$B$492,$B276,$O$2:$O$492,"&gt;"&amp;$O276)+1-1)/COUNTIF($B$2:$B$492,$B276))&gt;=0.85,"Top",IF((1-(COUNTIFS($B$2:$B$492,$B276,$O$2:$O$492,"&gt;"&amp;$O276)+1-1)/COUNTIF($B$2:$B$492,$B276))&gt;=0.6,"Buono",IF((1-(COUNTIFS($B$2:$B$492,$B276,$O$2:$O$492,"&gt;"&amp;$O276)+1-1)/COUNTIF($B$2:$B$492,$B276))&gt;=0.3,"Nella Media","Scommessa/Riserva")))),"")</f>
        <v>Nella Media</v>
      </c>
      <c r="Q276" s="29" t="n">
        <f aca="false">IF($D276="",COUNTIF($D$2:$D276,""),"")</f>
        <v>275</v>
      </c>
      <c r="R276" s="29" t="str">
        <f aca="false">IF($D276='Info Lega'!$B$28,COUNTIFS($D$2:$D276,'Info Lega'!$B$28),"")</f>
        <v/>
      </c>
      <c r="S276" s="30" t="n">
        <f aca="false">IFERROR(INDEX('Input Statistiche 2025_26'!$G$3:$G$665,MATCH($A276,'Input Statistiche 2025_26'!$A$3:$A$665,0)),"")</f>
        <v>5.97</v>
      </c>
      <c r="T276" s="30" t="n">
        <f aca="false">IFERROR(INDEX('Input Statistiche 2025_26'!$H$3:$H$665,MATCH($A276,'Input Statistiche 2025_26'!$A$3:$A$665,0)),"")</f>
        <v>6</v>
      </c>
      <c r="U276" s="26" t="str">
        <f aca="false">IF(OR('La Mia Rosa'!$O$12="",$D276&lt;&gt;""),"",IF($F276&lt;='La Mia Rosa'!$O$12*'Parametri Modello'!$B$24,"OK",IF($F276&lt;='La Mia Rosa'!$O$12*'Parametri Modello'!$B$25,"Attenzione","Rischio Alto")))</f>
        <v>OK</v>
      </c>
      <c r="V276" s="26" t="n">
        <f aca="false">IFERROR(COUNTIFS($B$2:$B$492,$B276,$O$2:$O$492,"&gt;"&amp;$O276)+1,"")</f>
        <v>105</v>
      </c>
      <c r="W276" s="21" t="n">
        <f aca="false">'Info Lega'!$B$4-SUMIFS($M$2:$M$492,$D$2:$D$492,'Info Lega'!$B$28)</f>
        <v>1000</v>
      </c>
      <c r="X276" s="21" t="n">
        <f aca="false">('Info Lega'!$B$5-COUNTIFS($D$2:$D$492,'Info Lega'!$B$28,$B$2:$B$492,"P"))+('Info Lega'!$B$6-COUNTIFS($D$2:$D$492,'Info Lega'!$B$28,$B$2:$B$492,"D"))+('Info Lega'!$B$7-COUNTIFS($D$2:$D$492,'Info Lega'!$B$28,$B$2:$B$492,"C"))+('Info Lega'!$B$8-COUNTIFS($D$2:$D$492,'Info Lega'!$B$28,$B$2:$B$492,"A"))</f>
        <v>25</v>
      </c>
      <c r="Y276" s="21" t="n">
        <f aca="false">X276*'Parametri Modello'!$B$30</f>
        <v>25</v>
      </c>
      <c r="Z276" s="21" t="n">
        <f aca="false">MAX(0,W276-Y276)</f>
        <v>975</v>
      </c>
      <c r="AA276" s="21" t="n">
        <f aca="false">MIN(F276,Z276)</f>
        <v>2</v>
      </c>
      <c r="AB276" s="21"/>
      <c r="AC276" s="21" t="str">
        <f aca="false">IF(AB276="","",IF(AB276&gt;AA276,"PASS",IF(AB276&lt;=AA276*0.85,"BID","ATTENZIONE")))</f>
        <v/>
      </c>
      <c r="AD276" s="31" t="n">
        <f aca="false">IF(I276="","",ROUND(100*(1-EXP(-I276/30)),0))</f>
        <v>68</v>
      </c>
      <c r="AE276" s="7" t="str">
        <f aca="false">IFERROR(INDEX('Stato Asta'!$G$9:$G$12,MATCH($B276,'Stato Asta'!$A$9:$A$12,0)),"")</f>
        <v>🟡 Attesa rischiosa</v>
      </c>
    </row>
    <row r="277" customFormat="false" ht="14.25" hidden="false" customHeight="true" outlineLevel="0" collapsed="false">
      <c r="A277" s="21" t="n">
        <v>7474</v>
      </c>
      <c r="B277" s="21" t="s">
        <v>45</v>
      </c>
      <c r="C277" s="21" t="s">
        <v>477</v>
      </c>
      <c r="E277" s="26" t="str">
        <f aca="false">IF(COUNTIF('Info Strategia'!$D$2:$D$51,$C277)&gt;0,"SI","NO")</f>
        <v>NO</v>
      </c>
      <c r="F277" s="27" t="n">
        <f aca="false">IFERROR(ROUND(($G277+($H277-$G277)*'Info Strategia'!$B$6)*(1+IF($E277="SI",'Parametri Modello'!$B$7*'Info Strategia'!$B$6,0)),0),"")</f>
        <v>2</v>
      </c>
      <c r="G277" s="27" t="n">
        <f aca="false">IFERROR(ROUND(MAX(1,(IF($V277&lt;=INDEX('Parametri Modello'!$C$57:$C$60,MATCH($B277,'Parametri Modello'!$A$57:$A$60,0)),IF(INDEX('Parametri Modello'!$E$57:$E$60,MATCH($B277,'Parametri Modello'!$A$57:$A$60,0))=0,0,($O277/INDEX('Parametri Modello'!$E$57:$E$60,MATCH($B277,'Parametri Modello'!$A$57:$A$60,0)))*(INDEX('Parametri Modello'!$D$57:$D$60,MATCH($B277,'Parametri Modello'!$A$57:$A$60,0))*(INDEX('Parametri Modello'!$B$50:$B$53,MATCH($B277,'Parametri Modello'!$A$50:$A$53,0))*'Parametri Modello'!$B$44))),IF(INDEX('Parametri Modello'!$F$57:$F$60,MATCH($B277,'Parametri Modello'!$A$57:$A$60,0))=0,0,($O277/INDEX('Parametri Modello'!$F$57:$F$60,MATCH($B277,'Parametri Modello'!$A$57:$A$60,0)))*((1-INDEX('Parametri Modello'!$D$57:$D$60,MATCH($B277,'Parametri Modello'!$A$57:$A$60,0)))*(INDEX('Parametri Modello'!$B$50:$B$53,MATCH($B277,'Parametri Modello'!$A$50:$A$53,0))*'Parametri Modello'!$B$44))))*(1+IF(IF($B277="D",'Info Lega'!$B$25,IF($B277="C",'Info Lega'!$B$26,"No"))="Si",'Parametri Modello'!$B$5,0))*(1+MAX(-0.25,MIN(0.25,IF(OR($T277="",$I277="",$I277=0,INDEX('Parametri Modello'!$B$19:$B$22,MATCH($B277,'Parametri Modello'!$A$19:$A$22,0))="",INDEX('Parametri Modello'!$B$19:$B$22,MATCH($B277,'Parametri Modello'!$A$19:$A$22,0))=0),0,(($T277-INDEX('Parametri Modello'!$B$19:$B$22,MATCH($B277,'Parametri Modello'!$A$19:$A$22,0)))/INDEX('Parametri Modello'!$B$19:$B$22,MATCH($B277,'Parametri Modello'!$A$19:$A$22,0)))*'Parametri Modello'!$B$9))))*(1+IF('Parametri Modello'!$B$27="Si",MAX(-'Parametri Modello'!$B$28,MIN('Parametri Modello'!$B$28*1.5,IF(OR(INDEX('Parametri Modello'!$F$32:$F$35,MATCH($B277,'Parametri Modello'!$A$32:$A$35,0))="",INDEX('Parametri Modello'!$F$32:$F$35,MATCH($B277,'Parametri Modello'!$A$32:$A$35,0))=0),0,(1/INDEX('Parametri Modello'!$F$32:$F$35,MATCH($B277,'Parametri Modello'!$A$32:$A$35,0))-1)*'Parametri Modello'!$B$28))),0)))*(1-INDEX('Parametri Modello'!$B$12:$B$15,MATCH($B277,'Parametri Modello'!$A$12:$A$15,0)))),0),"")</f>
        <v>1</v>
      </c>
      <c r="H277" s="27" t="n">
        <f aca="false">IFERROR(ROUND((IF($V277&lt;=INDEX('Parametri Modello'!$C$57:$C$60,MATCH($B277,'Parametri Modello'!$A$57:$A$60,0)),IF(INDEX('Parametri Modello'!$E$57:$E$60,MATCH($B277,'Parametri Modello'!$A$57:$A$60,0))=0,0,($O277/INDEX('Parametri Modello'!$E$57:$E$60,MATCH($B277,'Parametri Modello'!$A$57:$A$60,0)))*(INDEX('Parametri Modello'!$D$57:$D$60,MATCH($B277,'Parametri Modello'!$A$57:$A$60,0))*(INDEX('Parametri Modello'!$B$50:$B$53,MATCH($B277,'Parametri Modello'!$A$50:$A$53,0))*'Parametri Modello'!$B$44))),IF(INDEX('Parametri Modello'!$F$57:$F$60,MATCH($B277,'Parametri Modello'!$A$57:$A$60,0))=0,0,($O277/INDEX('Parametri Modello'!$F$57:$F$60,MATCH($B277,'Parametri Modello'!$A$57:$A$60,0)))*((1-INDEX('Parametri Modello'!$D$57:$D$60,MATCH($B277,'Parametri Modello'!$A$57:$A$60,0)))*(INDEX('Parametri Modello'!$B$50:$B$53,MATCH($B277,'Parametri Modello'!$A$50:$A$53,0))*'Parametri Modello'!$B$44))))*(1+IF(IF($B277="D",'Info Lega'!$B$25,IF($B277="C",'Info Lega'!$B$26,"No"))="Si",'Parametri Modello'!$B$5,0))*(1+MAX(-0.25,MIN(0.25,IF(OR($T277="",$I277="",$I277=0,INDEX('Parametri Modello'!$B$19:$B$22,MATCH($B277,'Parametri Modello'!$A$19:$A$22,0))="",INDEX('Parametri Modello'!$B$19:$B$22,MATCH($B277,'Parametri Modello'!$A$19:$A$22,0))=0),0,(($T277-INDEX('Parametri Modello'!$B$19:$B$22,MATCH($B277,'Parametri Modello'!$A$19:$A$22,0)))/INDEX('Parametri Modello'!$B$19:$B$22,MATCH($B277,'Parametri Modello'!$A$19:$A$22,0)))*'Parametri Modello'!$B$9))))*(1+IF('Parametri Modello'!$B$27="Si",MAX(-'Parametri Modello'!$B$28,MIN('Parametri Modello'!$B$28*1.5,IF(OR(INDEX('Parametri Modello'!$F$32:$F$35,MATCH($B277,'Parametri Modello'!$A$32:$A$35,0))="",INDEX('Parametri Modello'!$F$32:$F$35,MATCH($B277,'Parametri Modello'!$A$32:$A$35,0))=0),0,(1/INDEX('Parametri Modello'!$F$32:$F$35,MATCH($B277,'Parametri Modello'!$A$32:$A$35,0))-1)*'Parametri Modello'!$B$28))),0)))*(1+INDEX('Parametri Modello'!$B$12:$B$15,MATCH($B277,'Parametri Modello'!$A$12:$A$15,0))),0),"")</f>
        <v>2</v>
      </c>
      <c r="I277" s="26" t="str">
        <f aca="false">IFERROR(INDEX('Input Statistiche 2025_26'!$F$3:$F$665,MATCH($A277,'Input Statistiche 2025_26'!$A$3:$A$665,0)),"")</f>
        <v/>
      </c>
      <c r="J277" s="26" t="str">
        <f aca="false">IFERROR(IF($I277="","",MAX(0,38-$I277)),"")</f>
        <v/>
      </c>
      <c r="K277" s="26" t="str">
        <f aca="false">IFERROR(INDEX('Input Statistiche 2025_26'!$I$3:$I$665,MATCH($A277,'Input Statistiche 2025_26'!$A$3:$A$665,0)),"")</f>
        <v/>
      </c>
      <c r="L277" s="26" t="str">
        <f aca="false">IFERROR(INDEX('Input Statistiche 2025_26'!$O$3:$O$665,MATCH($A277,'Input Statistiche 2025_26'!$A$3:$A$665,0)),"")</f>
        <v/>
      </c>
      <c r="M277" s="28"/>
      <c r="N277" s="27" t="n">
        <f aca="false">IFERROR(INDEX('Input Giocatori 2026_27'!$E$3:$E$493,MATCH($A277,'Input Giocatori 2026_27'!$A$3:$A$493,0)),"")</f>
        <v>4</v>
      </c>
      <c r="O277" s="27" t="n">
        <f aca="false">IFERROR(INDEX('Input Giocatori 2026_27'!$G$3:$G$493,MATCH($A277,'Input Giocatori 2026_27'!$A$3:$A$493,0)),"")</f>
        <v>12</v>
      </c>
      <c r="P277" s="26" t="str">
        <f aca="false">IFERROR(IF($O277="","",IF((1-(COUNTIFS($B$2:$B$492,$B277,$O$2:$O$492,"&gt;"&amp;$O277)+1-1)/COUNTIF($B$2:$B$492,$B277))&gt;=0.85,"Top",IF((1-(COUNTIFS($B$2:$B$492,$B277,$O$2:$O$492,"&gt;"&amp;$O277)+1-1)/COUNTIF($B$2:$B$492,$B277))&gt;=0.6,"Buono",IF((1-(COUNTIFS($B$2:$B$492,$B277,$O$2:$O$492,"&gt;"&amp;$O277)+1-1)/COUNTIF($B$2:$B$492,$B277))&gt;=0.3,"Nella Media","Scommessa/Riserva")))),"")</f>
        <v>Nella Media</v>
      </c>
      <c r="Q277" s="29" t="n">
        <f aca="false">IF($D277="",COUNTIF($D$2:$D277,""),"")</f>
        <v>276</v>
      </c>
      <c r="R277" s="29" t="str">
        <f aca="false">IF($D277='Info Lega'!$B$28,COUNTIFS($D$2:$D277,'Info Lega'!$B$28),"")</f>
        <v/>
      </c>
      <c r="S277" s="30" t="str">
        <f aca="false">IFERROR(INDEX('Input Statistiche 2025_26'!$G$3:$G$665,MATCH($A277,'Input Statistiche 2025_26'!$A$3:$A$665,0)),"")</f>
        <v/>
      </c>
      <c r="T277" s="30" t="str">
        <f aca="false">IFERROR(INDEX('Input Statistiche 2025_26'!$H$3:$H$665,MATCH($A277,'Input Statistiche 2025_26'!$A$3:$A$665,0)),"")</f>
        <v/>
      </c>
      <c r="U277" s="26" t="str">
        <f aca="false">IF(OR('La Mia Rosa'!$O$12="",$D277&lt;&gt;""),"",IF($F277&lt;='La Mia Rosa'!$O$12*'Parametri Modello'!$B$24,"OK",IF($F277&lt;='La Mia Rosa'!$O$12*'Parametri Modello'!$B$25,"Attenzione","Rischio Alto")))</f>
        <v>OK</v>
      </c>
      <c r="V277" s="26" t="n">
        <f aca="false">IFERROR(COUNTIFS($B$2:$B$492,$B277,$O$2:$O$492,"&gt;"&amp;$O277)+1,"")</f>
        <v>105</v>
      </c>
      <c r="W277" s="21" t="n">
        <f aca="false">'Info Lega'!$B$4-SUMIFS($M$2:$M$492,$D$2:$D$492,'Info Lega'!$B$28)</f>
        <v>1000</v>
      </c>
      <c r="X277" s="21" t="n">
        <f aca="false">('Info Lega'!$B$5-COUNTIFS($D$2:$D$492,'Info Lega'!$B$28,$B$2:$B$492,"P"))+('Info Lega'!$B$6-COUNTIFS($D$2:$D$492,'Info Lega'!$B$28,$B$2:$B$492,"D"))+('Info Lega'!$B$7-COUNTIFS($D$2:$D$492,'Info Lega'!$B$28,$B$2:$B$492,"C"))+('Info Lega'!$B$8-COUNTIFS($D$2:$D$492,'Info Lega'!$B$28,$B$2:$B$492,"A"))</f>
        <v>25</v>
      </c>
      <c r="Y277" s="21" t="n">
        <f aca="false">X277*'Parametri Modello'!$B$30</f>
        <v>25</v>
      </c>
      <c r="Z277" s="21" t="n">
        <f aca="false">MAX(0,W277-Y277)</f>
        <v>975</v>
      </c>
      <c r="AA277" s="21" t="n">
        <f aca="false">MIN(F277,Z277)</f>
        <v>2</v>
      </c>
      <c r="AB277" s="21"/>
      <c r="AC277" s="21" t="str">
        <f aca="false">IF(AB277="","",IF(AB277&gt;AA277,"PASS",IF(AB277&lt;=AA277*0.85,"BID","ATTENZIONE")))</f>
        <v/>
      </c>
      <c r="AD277" s="31" t="str">
        <f aca="false">IF(I277="","",ROUND(100*(1-EXP(-I277/30)),0))</f>
        <v/>
      </c>
      <c r="AE277" s="7" t="str">
        <f aca="false">IFERROR(INDEX('Stato Asta'!$G$9:$G$12,MATCH($B277,'Stato Asta'!$A$9:$A$12,0)),"")</f>
        <v>🟡 Attesa rischiosa</v>
      </c>
    </row>
    <row r="278" customFormat="false" ht="14.25" hidden="false" customHeight="true" outlineLevel="0" collapsed="false">
      <c r="A278" s="21" t="n">
        <v>4911</v>
      </c>
      <c r="B278" s="21" t="s">
        <v>45</v>
      </c>
      <c r="C278" s="21" t="s">
        <v>480</v>
      </c>
      <c r="E278" s="26" t="str">
        <f aca="false">IF(COUNTIF('Info Strategia'!$D$2:$D$51,$C278)&gt;0,"SI","NO")</f>
        <v>NO</v>
      </c>
      <c r="F278" s="27" t="n">
        <f aca="false">IFERROR(ROUND(($G278+($H278-$G278)*'Info Strategia'!$B$6)*(1+IF($E278="SI",'Parametri Modello'!$B$7*'Info Strategia'!$B$6,0)),0),"")</f>
        <v>2</v>
      </c>
      <c r="G278" s="27" t="n">
        <f aca="false">IFERROR(ROUND(MAX(1,(IF($V278&lt;=INDEX('Parametri Modello'!$C$57:$C$60,MATCH($B278,'Parametri Modello'!$A$57:$A$60,0)),IF(INDEX('Parametri Modello'!$E$57:$E$60,MATCH($B278,'Parametri Modello'!$A$57:$A$60,0))=0,0,($O278/INDEX('Parametri Modello'!$E$57:$E$60,MATCH($B278,'Parametri Modello'!$A$57:$A$60,0)))*(INDEX('Parametri Modello'!$D$57:$D$60,MATCH($B278,'Parametri Modello'!$A$57:$A$60,0))*(INDEX('Parametri Modello'!$B$50:$B$53,MATCH($B278,'Parametri Modello'!$A$50:$A$53,0))*'Parametri Modello'!$B$44))),IF(INDEX('Parametri Modello'!$F$57:$F$60,MATCH($B278,'Parametri Modello'!$A$57:$A$60,0))=0,0,($O278/INDEX('Parametri Modello'!$F$57:$F$60,MATCH($B278,'Parametri Modello'!$A$57:$A$60,0)))*((1-INDEX('Parametri Modello'!$D$57:$D$60,MATCH($B278,'Parametri Modello'!$A$57:$A$60,0)))*(INDEX('Parametri Modello'!$B$50:$B$53,MATCH($B278,'Parametri Modello'!$A$50:$A$53,0))*'Parametri Modello'!$B$44))))*(1+IF(IF($B278="D",'Info Lega'!$B$25,IF($B278="C",'Info Lega'!$B$26,"No"))="Si",'Parametri Modello'!$B$5,0))*(1+MAX(-0.25,MIN(0.25,IF(OR($T278="",$I278="",$I278=0,INDEX('Parametri Modello'!$B$19:$B$22,MATCH($B278,'Parametri Modello'!$A$19:$A$22,0))="",INDEX('Parametri Modello'!$B$19:$B$22,MATCH($B278,'Parametri Modello'!$A$19:$A$22,0))=0),0,(($T278-INDEX('Parametri Modello'!$B$19:$B$22,MATCH($B278,'Parametri Modello'!$A$19:$A$22,0)))/INDEX('Parametri Modello'!$B$19:$B$22,MATCH($B278,'Parametri Modello'!$A$19:$A$22,0)))*'Parametri Modello'!$B$9))))*(1+IF('Parametri Modello'!$B$27="Si",MAX(-'Parametri Modello'!$B$28,MIN('Parametri Modello'!$B$28*1.5,IF(OR(INDEX('Parametri Modello'!$F$32:$F$35,MATCH($B278,'Parametri Modello'!$A$32:$A$35,0))="",INDEX('Parametri Modello'!$F$32:$F$35,MATCH($B278,'Parametri Modello'!$A$32:$A$35,0))=0),0,(1/INDEX('Parametri Modello'!$F$32:$F$35,MATCH($B278,'Parametri Modello'!$A$32:$A$35,0))-1)*'Parametri Modello'!$B$28))),0)))*(1-INDEX('Parametri Modello'!$B$12:$B$15,MATCH($B278,'Parametri Modello'!$A$12:$A$15,0)))),0),"")</f>
        <v>1</v>
      </c>
      <c r="H278" s="27" t="n">
        <f aca="false">IFERROR(ROUND((IF($V278&lt;=INDEX('Parametri Modello'!$C$57:$C$60,MATCH($B278,'Parametri Modello'!$A$57:$A$60,0)),IF(INDEX('Parametri Modello'!$E$57:$E$60,MATCH($B278,'Parametri Modello'!$A$57:$A$60,0))=0,0,($O278/INDEX('Parametri Modello'!$E$57:$E$60,MATCH($B278,'Parametri Modello'!$A$57:$A$60,0)))*(INDEX('Parametri Modello'!$D$57:$D$60,MATCH($B278,'Parametri Modello'!$A$57:$A$60,0))*(INDEX('Parametri Modello'!$B$50:$B$53,MATCH($B278,'Parametri Modello'!$A$50:$A$53,0))*'Parametri Modello'!$B$44))),IF(INDEX('Parametri Modello'!$F$57:$F$60,MATCH($B278,'Parametri Modello'!$A$57:$A$60,0))=0,0,($O278/INDEX('Parametri Modello'!$F$57:$F$60,MATCH($B278,'Parametri Modello'!$A$57:$A$60,0)))*((1-INDEX('Parametri Modello'!$D$57:$D$60,MATCH($B278,'Parametri Modello'!$A$57:$A$60,0)))*(INDEX('Parametri Modello'!$B$50:$B$53,MATCH($B278,'Parametri Modello'!$A$50:$A$53,0))*'Parametri Modello'!$B$44))))*(1+IF(IF($B278="D",'Info Lega'!$B$25,IF($B278="C",'Info Lega'!$B$26,"No"))="Si",'Parametri Modello'!$B$5,0))*(1+MAX(-0.25,MIN(0.25,IF(OR($T278="",$I278="",$I278=0,INDEX('Parametri Modello'!$B$19:$B$22,MATCH($B278,'Parametri Modello'!$A$19:$A$22,0))="",INDEX('Parametri Modello'!$B$19:$B$22,MATCH($B278,'Parametri Modello'!$A$19:$A$22,0))=0),0,(($T278-INDEX('Parametri Modello'!$B$19:$B$22,MATCH($B278,'Parametri Modello'!$A$19:$A$22,0)))/INDEX('Parametri Modello'!$B$19:$B$22,MATCH($B278,'Parametri Modello'!$A$19:$A$22,0)))*'Parametri Modello'!$B$9))))*(1+IF('Parametri Modello'!$B$27="Si",MAX(-'Parametri Modello'!$B$28,MIN('Parametri Modello'!$B$28*1.5,IF(OR(INDEX('Parametri Modello'!$F$32:$F$35,MATCH($B278,'Parametri Modello'!$A$32:$A$35,0))="",INDEX('Parametri Modello'!$F$32:$F$35,MATCH($B278,'Parametri Modello'!$A$32:$A$35,0))=0),0,(1/INDEX('Parametri Modello'!$F$32:$F$35,MATCH($B278,'Parametri Modello'!$A$32:$A$35,0))-1)*'Parametri Modello'!$B$28))),0)))*(1+INDEX('Parametri Modello'!$B$12:$B$15,MATCH($B278,'Parametri Modello'!$A$12:$A$15,0))),0),"")</f>
        <v>2</v>
      </c>
      <c r="I278" s="26" t="n">
        <f aca="false">IFERROR(INDEX('Input Statistiche 2025_26'!$F$3:$F$665,MATCH($A278,'Input Statistiche 2025_26'!$A$3:$A$665,0)),"")</f>
        <v>0</v>
      </c>
      <c r="J278" s="26" t="n">
        <f aca="false">IFERROR(IF($I278="","",MAX(0,38-$I278)),"")</f>
        <v>38</v>
      </c>
      <c r="K278" s="26" t="n">
        <f aca="false">IFERROR(INDEX('Input Statistiche 2025_26'!$I$3:$I$665,MATCH($A278,'Input Statistiche 2025_26'!$A$3:$A$665,0)),"")</f>
        <v>0</v>
      </c>
      <c r="L278" s="26" t="n">
        <f aca="false">IFERROR(INDEX('Input Statistiche 2025_26'!$O$3:$O$665,MATCH($A278,'Input Statistiche 2025_26'!$A$3:$A$665,0)),"")</f>
        <v>0</v>
      </c>
      <c r="M278" s="28"/>
      <c r="N278" s="27" t="n">
        <f aca="false">IFERROR(INDEX('Input Giocatori 2026_27'!$E$3:$E$493,MATCH($A278,'Input Giocatori 2026_27'!$A$3:$A$493,0)),"")</f>
        <v>4</v>
      </c>
      <c r="O278" s="27" t="n">
        <f aca="false">IFERROR(INDEX('Input Giocatori 2026_27'!$G$3:$G$493,MATCH($A278,'Input Giocatori 2026_27'!$A$3:$A$493,0)),"")</f>
        <v>12</v>
      </c>
      <c r="P278" s="26" t="str">
        <f aca="false">IFERROR(IF($O278="","",IF((1-(COUNTIFS($B$2:$B$492,$B278,$O$2:$O$492,"&gt;"&amp;$O278)+1-1)/COUNTIF($B$2:$B$492,$B278))&gt;=0.85,"Top",IF((1-(COUNTIFS($B$2:$B$492,$B278,$O$2:$O$492,"&gt;"&amp;$O278)+1-1)/COUNTIF($B$2:$B$492,$B278))&gt;=0.6,"Buono",IF((1-(COUNTIFS($B$2:$B$492,$B278,$O$2:$O$492,"&gt;"&amp;$O278)+1-1)/COUNTIF($B$2:$B$492,$B278))&gt;=0.3,"Nella Media","Scommessa/Riserva")))),"")</f>
        <v>Nella Media</v>
      </c>
      <c r="Q278" s="29" t="n">
        <f aca="false">IF($D278="",COUNTIF($D$2:$D278,""),"")</f>
        <v>277</v>
      </c>
      <c r="R278" s="29" t="str">
        <f aca="false">IF($D278='Info Lega'!$B$28,COUNTIFS($D$2:$D278,'Info Lega'!$B$28),"")</f>
        <v/>
      </c>
      <c r="S278" s="30" t="n">
        <f aca="false">IFERROR(INDEX('Input Statistiche 2025_26'!$G$3:$G$665,MATCH($A278,'Input Statistiche 2025_26'!$A$3:$A$665,0)),"")</f>
        <v>0</v>
      </c>
      <c r="T278" s="30" t="n">
        <f aca="false">IFERROR(INDEX('Input Statistiche 2025_26'!$H$3:$H$665,MATCH($A278,'Input Statistiche 2025_26'!$A$3:$A$665,0)),"")</f>
        <v>0</v>
      </c>
      <c r="U278" s="26" t="str">
        <f aca="false">IF(OR('La Mia Rosa'!$O$12="",$D278&lt;&gt;""),"",IF($F278&lt;='La Mia Rosa'!$O$12*'Parametri Modello'!$B$24,"OK",IF($F278&lt;='La Mia Rosa'!$O$12*'Parametri Modello'!$B$25,"Attenzione","Rischio Alto")))</f>
        <v>OK</v>
      </c>
      <c r="V278" s="26" t="n">
        <f aca="false">IFERROR(COUNTIFS($B$2:$B$492,$B278,$O$2:$O$492,"&gt;"&amp;$O278)+1,"")</f>
        <v>105</v>
      </c>
      <c r="W278" s="21" t="n">
        <f aca="false">'Info Lega'!$B$4-SUMIFS($M$2:$M$492,$D$2:$D$492,'Info Lega'!$B$28)</f>
        <v>1000</v>
      </c>
      <c r="X278" s="21" t="n">
        <f aca="false">('Info Lega'!$B$5-COUNTIFS($D$2:$D$492,'Info Lega'!$B$28,$B$2:$B$492,"P"))+('Info Lega'!$B$6-COUNTIFS($D$2:$D$492,'Info Lega'!$B$28,$B$2:$B$492,"D"))+('Info Lega'!$B$7-COUNTIFS($D$2:$D$492,'Info Lega'!$B$28,$B$2:$B$492,"C"))+('Info Lega'!$B$8-COUNTIFS($D$2:$D$492,'Info Lega'!$B$28,$B$2:$B$492,"A"))</f>
        <v>25</v>
      </c>
      <c r="Y278" s="21" t="n">
        <f aca="false">X278*'Parametri Modello'!$B$30</f>
        <v>25</v>
      </c>
      <c r="Z278" s="21" t="n">
        <f aca="false">MAX(0,W278-Y278)</f>
        <v>975</v>
      </c>
      <c r="AA278" s="21" t="n">
        <f aca="false">MIN(F278,Z278)</f>
        <v>2</v>
      </c>
      <c r="AB278" s="21"/>
      <c r="AC278" s="21" t="str">
        <f aca="false">IF(AB278="","",IF(AB278&gt;AA278,"PASS",IF(AB278&lt;=AA278*0.85,"BID","ATTENZIONE")))</f>
        <v/>
      </c>
      <c r="AD278" s="31" t="n">
        <f aca="false">IF(I278="","",ROUND(100*(1-EXP(-I278/30)),0))</f>
        <v>0</v>
      </c>
      <c r="AE278" s="7" t="str">
        <f aca="false">IFERROR(INDEX('Stato Asta'!$G$9:$G$12,MATCH($B278,'Stato Asta'!$A$9:$A$12,0)),"")</f>
        <v>🟡 Attesa rischiosa</v>
      </c>
    </row>
    <row r="279" customFormat="false" ht="14.25" hidden="false" customHeight="true" outlineLevel="0" collapsed="false">
      <c r="A279" s="21" t="n">
        <v>333</v>
      </c>
      <c r="B279" s="21" t="s">
        <v>45</v>
      </c>
      <c r="C279" s="21" t="s">
        <v>481</v>
      </c>
      <c r="E279" s="26" t="str">
        <f aca="false">IF(COUNTIF('Info Strategia'!$D$2:$D$51,$C279)&gt;0,"SI","NO")</f>
        <v>NO</v>
      </c>
      <c r="F279" s="27" t="n">
        <f aca="false">IFERROR(ROUND(($G279+($H279-$G279)*'Info Strategia'!$B$6)*(1+IF($E279="SI",'Parametri Modello'!$B$7*'Info Strategia'!$B$6,0)),0),"")</f>
        <v>2</v>
      </c>
      <c r="G279" s="27" t="n">
        <f aca="false">IFERROR(ROUND(MAX(1,(IF($V279&lt;=INDEX('Parametri Modello'!$C$57:$C$60,MATCH($B279,'Parametri Modello'!$A$57:$A$60,0)),IF(INDEX('Parametri Modello'!$E$57:$E$60,MATCH($B279,'Parametri Modello'!$A$57:$A$60,0))=0,0,($O279/INDEX('Parametri Modello'!$E$57:$E$60,MATCH($B279,'Parametri Modello'!$A$57:$A$60,0)))*(INDEX('Parametri Modello'!$D$57:$D$60,MATCH($B279,'Parametri Modello'!$A$57:$A$60,0))*(INDEX('Parametri Modello'!$B$50:$B$53,MATCH($B279,'Parametri Modello'!$A$50:$A$53,0))*'Parametri Modello'!$B$44))),IF(INDEX('Parametri Modello'!$F$57:$F$60,MATCH($B279,'Parametri Modello'!$A$57:$A$60,0))=0,0,($O279/INDEX('Parametri Modello'!$F$57:$F$60,MATCH($B279,'Parametri Modello'!$A$57:$A$60,0)))*((1-INDEX('Parametri Modello'!$D$57:$D$60,MATCH($B279,'Parametri Modello'!$A$57:$A$60,0)))*(INDEX('Parametri Modello'!$B$50:$B$53,MATCH($B279,'Parametri Modello'!$A$50:$A$53,0))*'Parametri Modello'!$B$44))))*(1+IF(IF($B279="D",'Info Lega'!$B$25,IF($B279="C",'Info Lega'!$B$26,"No"))="Si",'Parametri Modello'!$B$5,0))*(1+MAX(-0.25,MIN(0.25,IF(OR($T279="",$I279="",$I279=0,INDEX('Parametri Modello'!$B$19:$B$22,MATCH($B279,'Parametri Modello'!$A$19:$A$22,0))="",INDEX('Parametri Modello'!$B$19:$B$22,MATCH($B279,'Parametri Modello'!$A$19:$A$22,0))=0),0,(($T279-INDEX('Parametri Modello'!$B$19:$B$22,MATCH($B279,'Parametri Modello'!$A$19:$A$22,0)))/INDEX('Parametri Modello'!$B$19:$B$22,MATCH($B279,'Parametri Modello'!$A$19:$A$22,0)))*'Parametri Modello'!$B$9))))*(1+IF('Parametri Modello'!$B$27="Si",MAX(-'Parametri Modello'!$B$28,MIN('Parametri Modello'!$B$28*1.5,IF(OR(INDEX('Parametri Modello'!$F$32:$F$35,MATCH($B279,'Parametri Modello'!$A$32:$A$35,0))="",INDEX('Parametri Modello'!$F$32:$F$35,MATCH($B279,'Parametri Modello'!$A$32:$A$35,0))=0),0,(1/INDEX('Parametri Modello'!$F$32:$F$35,MATCH($B279,'Parametri Modello'!$A$32:$A$35,0))-1)*'Parametri Modello'!$B$28))),0)))*(1-INDEX('Parametri Modello'!$B$12:$B$15,MATCH($B279,'Parametri Modello'!$A$12:$A$15,0)))),0),"")</f>
        <v>1</v>
      </c>
      <c r="H279" s="27" t="n">
        <f aca="false">IFERROR(ROUND((IF($V279&lt;=INDEX('Parametri Modello'!$C$57:$C$60,MATCH($B279,'Parametri Modello'!$A$57:$A$60,0)),IF(INDEX('Parametri Modello'!$E$57:$E$60,MATCH($B279,'Parametri Modello'!$A$57:$A$60,0))=0,0,($O279/INDEX('Parametri Modello'!$E$57:$E$60,MATCH($B279,'Parametri Modello'!$A$57:$A$60,0)))*(INDEX('Parametri Modello'!$D$57:$D$60,MATCH($B279,'Parametri Modello'!$A$57:$A$60,0))*(INDEX('Parametri Modello'!$B$50:$B$53,MATCH($B279,'Parametri Modello'!$A$50:$A$53,0))*'Parametri Modello'!$B$44))),IF(INDEX('Parametri Modello'!$F$57:$F$60,MATCH($B279,'Parametri Modello'!$A$57:$A$60,0))=0,0,($O279/INDEX('Parametri Modello'!$F$57:$F$60,MATCH($B279,'Parametri Modello'!$A$57:$A$60,0)))*((1-INDEX('Parametri Modello'!$D$57:$D$60,MATCH($B279,'Parametri Modello'!$A$57:$A$60,0)))*(INDEX('Parametri Modello'!$B$50:$B$53,MATCH($B279,'Parametri Modello'!$A$50:$A$53,0))*'Parametri Modello'!$B$44))))*(1+IF(IF($B279="D",'Info Lega'!$B$25,IF($B279="C",'Info Lega'!$B$26,"No"))="Si",'Parametri Modello'!$B$5,0))*(1+MAX(-0.25,MIN(0.25,IF(OR($T279="",$I279="",$I279=0,INDEX('Parametri Modello'!$B$19:$B$22,MATCH($B279,'Parametri Modello'!$A$19:$A$22,0))="",INDEX('Parametri Modello'!$B$19:$B$22,MATCH($B279,'Parametri Modello'!$A$19:$A$22,0))=0),0,(($T279-INDEX('Parametri Modello'!$B$19:$B$22,MATCH($B279,'Parametri Modello'!$A$19:$A$22,0)))/INDEX('Parametri Modello'!$B$19:$B$22,MATCH($B279,'Parametri Modello'!$A$19:$A$22,0)))*'Parametri Modello'!$B$9))))*(1+IF('Parametri Modello'!$B$27="Si",MAX(-'Parametri Modello'!$B$28,MIN('Parametri Modello'!$B$28*1.5,IF(OR(INDEX('Parametri Modello'!$F$32:$F$35,MATCH($B279,'Parametri Modello'!$A$32:$A$35,0))="",INDEX('Parametri Modello'!$F$32:$F$35,MATCH($B279,'Parametri Modello'!$A$32:$A$35,0))=0),0,(1/INDEX('Parametri Modello'!$F$32:$F$35,MATCH($B279,'Parametri Modello'!$A$32:$A$35,0))-1)*'Parametri Modello'!$B$28))),0)))*(1+INDEX('Parametri Modello'!$B$12:$B$15,MATCH($B279,'Parametri Modello'!$A$12:$A$15,0))),0),"")</f>
        <v>2</v>
      </c>
      <c r="I279" s="26" t="n">
        <f aca="false">IFERROR(INDEX('Input Statistiche 2025_26'!$F$3:$F$665,MATCH($A279,'Input Statistiche 2025_26'!$A$3:$A$665,0)),"")</f>
        <v>27</v>
      </c>
      <c r="J279" s="26" t="n">
        <f aca="false">IFERROR(IF($I279="","",MAX(0,38-$I279)),"")</f>
        <v>11</v>
      </c>
      <c r="K279" s="26" t="n">
        <f aca="false">IFERROR(INDEX('Input Statistiche 2025_26'!$I$3:$I$665,MATCH($A279,'Input Statistiche 2025_26'!$A$3:$A$665,0)),"")</f>
        <v>3</v>
      </c>
      <c r="L279" s="26" t="n">
        <f aca="false">IFERROR(INDEX('Input Statistiche 2025_26'!$O$3:$O$665,MATCH($A279,'Input Statistiche 2025_26'!$A$3:$A$665,0)),"")</f>
        <v>3</v>
      </c>
      <c r="M279" s="28"/>
      <c r="N279" s="27" t="n">
        <f aca="false">IFERROR(INDEX('Input Giocatori 2026_27'!$E$3:$E$493,MATCH($A279,'Input Giocatori 2026_27'!$A$3:$A$493,0)),"")</f>
        <v>4</v>
      </c>
      <c r="O279" s="27" t="n">
        <f aca="false">IFERROR(INDEX('Input Giocatori 2026_27'!$G$3:$G$493,MATCH($A279,'Input Giocatori 2026_27'!$A$3:$A$493,0)),"")</f>
        <v>12</v>
      </c>
      <c r="P279" s="26" t="str">
        <f aca="false">IFERROR(IF($O279="","",IF((1-(COUNTIFS($B$2:$B$492,$B279,$O$2:$O$492,"&gt;"&amp;$O279)+1-1)/COUNTIF($B$2:$B$492,$B279))&gt;=0.85,"Top",IF((1-(COUNTIFS($B$2:$B$492,$B279,$O$2:$O$492,"&gt;"&amp;$O279)+1-1)/COUNTIF($B$2:$B$492,$B279))&gt;=0.6,"Buono",IF((1-(COUNTIFS($B$2:$B$492,$B279,$O$2:$O$492,"&gt;"&amp;$O279)+1-1)/COUNTIF($B$2:$B$492,$B279))&gt;=0.3,"Nella Media","Scommessa/Riserva")))),"")</f>
        <v>Nella Media</v>
      </c>
      <c r="Q279" s="29" t="n">
        <f aca="false">IF($D279="",COUNTIF($D$2:$D279,""),"")</f>
        <v>278</v>
      </c>
      <c r="R279" s="29" t="str">
        <f aca="false">IF($D279='Info Lega'!$B$28,COUNTIFS($D$2:$D279,'Info Lega'!$B$28),"")</f>
        <v/>
      </c>
      <c r="S279" s="30" t="n">
        <f aca="false">IFERROR(INDEX('Input Statistiche 2025_26'!$G$3:$G$665,MATCH($A279,'Input Statistiche 2025_26'!$A$3:$A$665,0)),"")</f>
        <v>6.07</v>
      </c>
      <c r="T279" s="30" t="n">
        <f aca="false">IFERROR(INDEX('Input Statistiche 2025_26'!$H$3:$H$665,MATCH($A279,'Input Statistiche 2025_26'!$A$3:$A$665,0)),"")</f>
        <v>6.41</v>
      </c>
      <c r="U279" s="26" t="str">
        <f aca="false">IF(OR('La Mia Rosa'!$O$12="",$D279&lt;&gt;""),"",IF($F279&lt;='La Mia Rosa'!$O$12*'Parametri Modello'!$B$24,"OK",IF($F279&lt;='La Mia Rosa'!$O$12*'Parametri Modello'!$B$25,"Attenzione","Rischio Alto")))</f>
        <v>OK</v>
      </c>
      <c r="V279" s="26" t="n">
        <f aca="false">IFERROR(COUNTIFS($B$2:$B$492,$B279,$O$2:$O$492,"&gt;"&amp;$O279)+1,"")</f>
        <v>105</v>
      </c>
      <c r="W279" s="21" t="n">
        <f aca="false">'Info Lega'!$B$4-SUMIFS($M$2:$M$492,$D$2:$D$492,'Info Lega'!$B$28)</f>
        <v>1000</v>
      </c>
      <c r="X279" s="21" t="n">
        <f aca="false">('Info Lega'!$B$5-COUNTIFS($D$2:$D$492,'Info Lega'!$B$28,$B$2:$B$492,"P"))+('Info Lega'!$B$6-COUNTIFS($D$2:$D$492,'Info Lega'!$B$28,$B$2:$B$492,"D"))+('Info Lega'!$B$7-COUNTIFS($D$2:$D$492,'Info Lega'!$B$28,$B$2:$B$492,"C"))+('Info Lega'!$B$8-COUNTIFS($D$2:$D$492,'Info Lega'!$B$28,$B$2:$B$492,"A"))</f>
        <v>25</v>
      </c>
      <c r="Y279" s="21" t="n">
        <f aca="false">X279*'Parametri Modello'!$B$30</f>
        <v>25</v>
      </c>
      <c r="Z279" s="21" t="n">
        <f aca="false">MAX(0,W279-Y279)</f>
        <v>975</v>
      </c>
      <c r="AA279" s="21" t="n">
        <f aca="false">MIN(F279,Z279)</f>
        <v>2</v>
      </c>
      <c r="AB279" s="21"/>
      <c r="AC279" s="21" t="str">
        <f aca="false">IF(AB279="","",IF(AB279&gt;AA279,"PASS",IF(AB279&lt;=AA279*0.85,"BID","ATTENZIONE")))</f>
        <v/>
      </c>
      <c r="AD279" s="31" t="n">
        <f aca="false">IF(I279="","",ROUND(100*(1-EXP(-I279/30)),0))</f>
        <v>59</v>
      </c>
      <c r="AE279" s="7" t="str">
        <f aca="false">IFERROR(INDEX('Stato Asta'!$G$9:$G$12,MATCH($B279,'Stato Asta'!$A$9:$A$12,0)),"")</f>
        <v>🟡 Attesa rischiosa</v>
      </c>
    </row>
    <row r="280" customFormat="false" ht="14.25" hidden="false" customHeight="true" outlineLevel="0" collapsed="false">
      <c r="A280" s="21" t="n">
        <v>6827</v>
      </c>
      <c r="B280" s="21" t="s">
        <v>45</v>
      </c>
      <c r="C280" s="21" t="s">
        <v>491</v>
      </c>
      <c r="E280" s="26" t="str">
        <f aca="false">IF(COUNTIF('Info Strategia'!$D$2:$D$51,$C280)&gt;0,"SI","NO")</f>
        <v>NO</v>
      </c>
      <c r="F280" s="27" t="n">
        <f aca="false">IFERROR(ROUND(($G280+($H280-$G280)*'Info Strategia'!$B$6)*(1+IF($E280="SI",'Parametri Modello'!$B$7*'Info Strategia'!$B$6,0)),0),"")</f>
        <v>2</v>
      </c>
      <c r="G280" s="27" t="n">
        <f aca="false">IFERROR(ROUND(MAX(1,(IF($V280&lt;=INDEX('Parametri Modello'!$C$57:$C$60,MATCH($B280,'Parametri Modello'!$A$57:$A$60,0)),IF(INDEX('Parametri Modello'!$E$57:$E$60,MATCH($B280,'Parametri Modello'!$A$57:$A$60,0))=0,0,($O280/INDEX('Parametri Modello'!$E$57:$E$60,MATCH($B280,'Parametri Modello'!$A$57:$A$60,0)))*(INDEX('Parametri Modello'!$D$57:$D$60,MATCH($B280,'Parametri Modello'!$A$57:$A$60,0))*(INDEX('Parametri Modello'!$B$50:$B$53,MATCH($B280,'Parametri Modello'!$A$50:$A$53,0))*'Parametri Modello'!$B$44))),IF(INDEX('Parametri Modello'!$F$57:$F$60,MATCH($B280,'Parametri Modello'!$A$57:$A$60,0))=0,0,($O280/INDEX('Parametri Modello'!$F$57:$F$60,MATCH($B280,'Parametri Modello'!$A$57:$A$60,0)))*((1-INDEX('Parametri Modello'!$D$57:$D$60,MATCH($B280,'Parametri Modello'!$A$57:$A$60,0)))*(INDEX('Parametri Modello'!$B$50:$B$53,MATCH($B280,'Parametri Modello'!$A$50:$A$53,0))*'Parametri Modello'!$B$44))))*(1+IF(IF($B280="D",'Info Lega'!$B$25,IF($B280="C",'Info Lega'!$B$26,"No"))="Si",'Parametri Modello'!$B$5,0))*(1+MAX(-0.25,MIN(0.25,IF(OR($T280="",$I280="",$I280=0,INDEX('Parametri Modello'!$B$19:$B$22,MATCH($B280,'Parametri Modello'!$A$19:$A$22,0))="",INDEX('Parametri Modello'!$B$19:$B$22,MATCH($B280,'Parametri Modello'!$A$19:$A$22,0))=0),0,(($T280-INDEX('Parametri Modello'!$B$19:$B$22,MATCH($B280,'Parametri Modello'!$A$19:$A$22,0)))/INDEX('Parametri Modello'!$B$19:$B$22,MATCH($B280,'Parametri Modello'!$A$19:$A$22,0)))*'Parametri Modello'!$B$9))))*(1+IF('Parametri Modello'!$B$27="Si",MAX(-'Parametri Modello'!$B$28,MIN('Parametri Modello'!$B$28*1.5,IF(OR(INDEX('Parametri Modello'!$F$32:$F$35,MATCH($B280,'Parametri Modello'!$A$32:$A$35,0))="",INDEX('Parametri Modello'!$F$32:$F$35,MATCH($B280,'Parametri Modello'!$A$32:$A$35,0))=0),0,(1/INDEX('Parametri Modello'!$F$32:$F$35,MATCH($B280,'Parametri Modello'!$A$32:$A$35,0))-1)*'Parametri Modello'!$B$28))),0)))*(1-INDEX('Parametri Modello'!$B$12:$B$15,MATCH($B280,'Parametri Modello'!$A$12:$A$15,0)))),0),"")</f>
        <v>1</v>
      </c>
      <c r="H280" s="27" t="n">
        <f aca="false">IFERROR(ROUND((IF($V280&lt;=INDEX('Parametri Modello'!$C$57:$C$60,MATCH($B280,'Parametri Modello'!$A$57:$A$60,0)),IF(INDEX('Parametri Modello'!$E$57:$E$60,MATCH($B280,'Parametri Modello'!$A$57:$A$60,0))=0,0,($O280/INDEX('Parametri Modello'!$E$57:$E$60,MATCH($B280,'Parametri Modello'!$A$57:$A$60,0)))*(INDEX('Parametri Modello'!$D$57:$D$60,MATCH($B280,'Parametri Modello'!$A$57:$A$60,0))*(INDEX('Parametri Modello'!$B$50:$B$53,MATCH($B280,'Parametri Modello'!$A$50:$A$53,0))*'Parametri Modello'!$B$44))),IF(INDEX('Parametri Modello'!$F$57:$F$60,MATCH($B280,'Parametri Modello'!$A$57:$A$60,0))=0,0,($O280/INDEX('Parametri Modello'!$F$57:$F$60,MATCH($B280,'Parametri Modello'!$A$57:$A$60,0)))*((1-INDEX('Parametri Modello'!$D$57:$D$60,MATCH($B280,'Parametri Modello'!$A$57:$A$60,0)))*(INDEX('Parametri Modello'!$B$50:$B$53,MATCH($B280,'Parametri Modello'!$A$50:$A$53,0))*'Parametri Modello'!$B$44))))*(1+IF(IF($B280="D",'Info Lega'!$B$25,IF($B280="C",'Info Lega'!$B$26,"No"))="Si",'Parametri Modello'!$B$5,0))*(1+MAX(-0.25,MIN(0.25,IF(OR($T280="",$I280="",$I280=0,INDEX('Parametri Modello'!$B$19:$B$22,MATCH($B280,'Parametri Modello'!$A$19:$A$22,0))="",INDEX('Parametri Modello'!$B$19:$B$22,MATCH($B280,'Parametri Modello'!$A$19:$A$22,0))=0),0,(($T280-INDEX('Parametri Modello'!$B$19:$B$22,MATCH($B280,'Parametri Modello'!$A$19:$A$22,0)))/INDEX('Parametri Modello'!$B$19:$B$22,MATCH($B280,'Parametri Modello'!$A$19:$A$22,0)))*'Parametri Modello'!$B$9))))*(1+IF('Parametri Modello'!$B$27="Si",MAX(-'Parametri Modello'!$B$28,MIN('Parametri Modello'!$B$28*1.5,IF(OR(INDEX('Parametri Modello'!$F$32:$F$35,MATCH($B280,'Parametri Modello'!$A$32:$A$35,0))="",INDEX('Parametri Modello'!$F$32:$F$35,MATCH($B280,'Parametri Modello'!$A$32:$A$35,0))=0),0,(1/INDEX('Parametri Modello'!$F$32:$F$35,MATCH($B280,'Parametri Modello'!$A$32:$A$35,0))-1)*'Parametri Modello'!$B$28))),0)))*(1+INDEX('Parametri Modello'!$B$12:$B$15,MATCH($B280,'Parametri Modello'!$A$12:$A$15,0))),0),"")</f>
        <v>2</v>
      </c>
      <c r="I280" s="26" t="n">
        <f aca="false">IFERROR(INDEX('Input Statistiche 2025_26'!$F$3:$F$665,MATCH($A280,'Input Statistiche 2025_26'!$A$3:$A$665,0)),"")</f>
        <v>10</v>
      </c>
      <c r="J280" s="26" t="n">
        <f aca="false">IFERROR(IF($I280="","",MAX(0,38-$I280)),"")</f>
        <v>28</v>
      </c>
      <c r="K280" s="26" t="n">
        <f aca="false">IFERROR(INDEX('Input Statistiche 2025_26'!$I$3:$I$665,MATCH($A280,'Input Statistiche 2025_26'!$A$3:$A$665,0)),"")</f>
        <v>1</v>
      </c>
      <c r="L280" s="26" t="n">
        <f aca="false">IFERROR(INDEX('Input Statistiche 2025_26'!$O$3:$O$665,MATCH($A280,'Input Statistiche 2025_26'!$A$3:$A$665,0)),"")</f>
        <v>1</v>
      </c>
      <c r="M280" s="28"/>
      <c r="N280" s="27" t="n">
        <f aca="false">IFERROR(INDEX('Input Giocatori 2026_27'!$E$3:$E$493,MATCH($A280,'Input Giocatori 2026_27'!$A$3:$A$493,0)),"")</f>
        <v>4</v>
      </c>
      <c r="O280" s="27" t="n">
        <f aca="false">IFERROR(INDEX('Input Giocatori 2026_27'!$G$3:$G$493,MATCH($A280,'Input Giocatori 2026_27'!$A$3:$A$493,0)),"")</f>
        <v>12</v>
      </c>
      <c r="P280" s="26" t="str">
        <f aca="false">IFERROR(IF($O280="","",IF((1-(COUNTIFS($B$2:$B$492,$B280,$O$2:$O$492,"&gt;"&amp;$O280)+1-1)/COUNTIF($B$2:$B$492,$B280))&gt;=0.85,"Top",IF((1-(COUNTIFS($B$2:$B$492,$B280,$O$2:$O$492,"&gt;"&amp;$O280)+1-1)/COUNTIF($B$2:$B$492,$B280))&gt;=0.6,"Buono",IF((1-(COUNTIFS($B$2:$B$492,$B280,$O$2:$O$492,"&gt;"&amp;$O280)+1-1)/COUNTIF($B$2:$B$492,$B280))&gt;=0.3,"Nella Media","Scommessa/Riserva")))),"")</f>
        <v>Nella Media</v>
      </c>
      <c r="Q280" s="29" t="n">
        <f aca="false">IF($D280="",COUNTIF($D$2:$D280,""),"")</f>
        <v>279</v>
      </c>
      <c r="R280" s="29" t="str">
        <f aca="false">IF($D280='Info Lega'!$B$28,COUNTIFS($D$2:$D280,'Info Lega'!$B$28),"")</f>
        <v/>
      </c>
      <c r="S280" s="30" t="n">
        <f aca="false">IFERROR(INDEX('Input Statistiche 2025_26'!$G$3:$G$665,MATCH($A280,'Input Statistiche 2025_26'!$A$3:$A$665,0)),"")</f>
        <v>5.8</v>
      </c>
      <c r="T280" s="30" t="n">
        <f aca="false">IFERROR(INDEX('Input Statistiche 2025_26'!$H$3:$H$665,MATCH($A280,'Input Statistiche 2025_26'!$A$3:$A$665,0)),"")</f>
        <v>6.15</v>
      </c>
      <c r="U280" s="26" t="str">
        <f aca="false">IF(OR('La Mia Rosa'!$O$12="",$D280&lt;&gt;""),"",IF($F280&lt;='La Mia Rosa'!$O$12*'Parametri Modello'!$B$24,"OK",IF($F280&lt;='La Mia Rosa'!$O$12*'Parametri Modello'!$B$25,"Attenzione","Rischio Alto")))</f>
        <v>OK</v>
      </c>
      <c r="V280" s="26" t="n">
        <f aca="false">IFERROR(COUNTIFS($B$2:$B$492,$B280,$O$2:$O$492,"&gt;"&amp;$O280)+1,"")</f>
        <v>105</v>
      </c>
      <c r="W280" s="21" t="n">
        <f aca="false">'Info Lega'!$B$4-SUMIFS($M$2:$M$492,$D$2:$D$492,'Info Lega'!$B$28)</f>
        <v>1000</v>
      </c>
      <c r="X280" s="21" t="n">
        <f aca="false">('Info Lega'!$B$5-COUNTIFS($D$2:$D$492,'Info Lega'!$B$28,$B$2:$B$492,"P"))+('Info Lega'!$B$6-COUNTIFS($D$2:$D$492,'Info Lega'!$B$28,$B$2:$B$492,"D"))+('Info Lega'!$B$7-COUNTIFS($D$2:$D$492,'Info Lega'!$B$28,$B$2:$B$492,"C"))+('Info Lega'!$B$8-COUNTIFS($D$2:$D$492,'Info Lega'!$B$28,$B$2:$B$492,"A"))</f>
        <v>25</v>
      </c>
      <c r="Y280" s="21" t="n">
        <f aca="false">X280*'Parametri Modello'!$B$30</f>
        <v>25</v>
      </c>
      <c r="Z280" s="21" t="n">
        <f aca="false">MAX(0,W280-Y280)</f>
        <v>975</v>
      </c>
      <c r="AA280" s="21" t="n">
        <f aca="false">MIN(F280,Z280)</f>
        <v>2</v>
      </c>
      <c r="AB280" s="21"/>
      <c r="AC280" s="21" t="str">
        <f aca="false">IF(AB280="","",IF(AB280&gt;AA280,"PASS",IF(AB280&lt;=AA280*0.85,"BID","ATTENZIONE")))</f>
        <v/>
      </c>
      <c r="AD280" s="31" t="n">
        <f aca="false">IF(I280="","",ROUND(100*(1-EXP(-I280/30)),0))</f>
        <v>28</v>
      </c>
      <c r="AE280" s="7" t="str">
        <f aca="false">IFERROR(INDEX('Stato Asta'!$G$9:$G$12,MATCH($B280,'Stato Asta'!$A$9:$A$12,0)),"")</f>
        <v>🟡 Attesa rischiosa</v>
      </c>
    </row>
    <row r="281" customFormat="false" ht="14.25" hidden="false" customHeight="true" outlineLevel="0" collapsed="false">
      <c r="A281" s="21" t="n">
        <v>7209</v>
      </c>
      <c r="B281" s="21" t="s">
        <v>45</v>
      </c>
      <c r="C281" s="21" t="s">
        <v>503</v>
      </c>
      <c r="E281" s="26" t="str">
        <f aca="false">IF(COUNTIF('Info Strategia'!$D$2:$D$51,$C281)&gt;0,"SI","NO")</f>
        <v>NO</v>
      </c>
      <c r="F281" s="27" t="n">
        <f aca="false">IFERROR(ROUND(($G281+($H281-$G281)*'Info Strategia'!$B$6)*(1+IF($E281="SI",'Parametri Modello'!$B$7*'Info Strategia'!$B$6,0)),0),"")</f>
        <v>2</v>
      </c>
      <c r="G281" s="27" t="n">
        <f aca="false">IFERROR(ROUND(MAX(1,(IF($V281&lt;=INDEX('Parametri Modello'!$C$57:$C$60,MATCH($B281,'Parametri Modello'!$A$57:$A$60,0)),IF(INDEX('Parametri Modello'!$E$57:$E$60,MATCH($B281,'Parametri Modello'!$A$57:$A$60,0))=0,0,($O281/INDEX('Parametri Modello'!$E$57:$E$60,MATCH($B281,'Parametri Modello'!$A$57:$A$60,0)))*(INDEX('Parametri Modello'!$D$57:$D$60,MATCH($B281,'Parametri Modello'!$A$57:$A$60,0))*(INDEX('Parametri Modello'!$B$50:$B$53,MATCH($B281,'Parametri Modello'!$A$50:$A$53,0))*'Parametri Modello'!$B$44))),IF(INDEX('Parametri Modello'!$F$57:$F$60,MATCH($B281,'Parametri Modello'!$A$57:$A$60,0))=0,0,($O281/INDEX('Parametri Modello'!$F$57:$F$60,MATCH($B281,'Parametri Modello'!$A$57:$A$60,0)))*((1-INDEX('Parametri Modello'!$D$57:$D$60,MATCH($B281,'Parametri Modello'!$A$57:$A$60,0)))*(INDEX('Parametri Modello'!$B$50:$B$53,MATCH($B281,'Parametri Modello'!$A$50:$A$53,0))*'Parametri Modello'!$B$44))))*(1+IF(IF($B281="D",'Info Lega'!$B$25,IF($B281="C",'Info Lega'!$B$26,"No"))="Si",'Parametri Modello'!$B$5,0))*(1+MAX(-0.25,MIN(0.25,IF(OR($T281="",$I281="",$I281=0,INDEX('Parametri Modello'!$B$19:$B$22,MATCH($B281,'Parametri Modello'!$A$19:$A$22,0))="",INDEX('Parametri Modello'!$B$19:$B$22,MATCH($B281,'Parametri Modello'!$A$19:$A$22,0))=0),0,(($T281-INDEX('Parametri Modello'!$B$19:$B$22,MATCH($B281,'Parametri Modello'!$A$19:$A$22,0)))/INDEX('Parametri Modello'!$B$19:$B$22,MATCH($B281,'Parametri Modello'!$A$19:$A$22,0)))*'Parametri Modello'!$B$9))))*(1+IF('Parametri Modello'!$B$27="Si",MAX(-'Parametri Modello'!$B$28,MIN('Parametri Modello'!$B$28*1.5,IF(OR(INDEX('Parametri Modello'!$F$32:$F$35,MATCH($B281,'Parametri Modello'!$A$32:$A$35,0))="",INDEX('Parametri Modello'!$F$32:$F$35,MATCH($B281,'Parametri Modello'!$A$32:$A$35,0))=0),0,(1/INDEX('Parametri Modello'!$F$32:$F$35,MATCH($B281,'Parametri Modello'!$A$32:$A$35,0))-1)*'Parametri Modello'!$B$28))),0)))*(1-INDEX('Parametri Modello'!$B$12:$B$15,MATCH($B281,'Parametri Modello'!$A$12:$A$15,0)))),0),"")</f>
        <v>1</v>
      </c>
      <c r="H281" s="27" t="n">
        <f aca="false">IFERROR(ROUND((IF($V281&lt;=INDEX('Parametri Modello'!$C$57:$C$60,MATCH($B281,'Parametri Modello'!$A$57:$A$60,0)),IF(INDEX('Parametri Modello'!$E$57:$E$60,MATCH($B281,'Parametri Modello'!$A$57:$A$60,0))=0,0,($O281/INDEX('Parametri Modello'!$E$57:$E$60,MATCH($B281,'Parametri Modello'!$A$57:$A$60,0)))*(INDEX('Parametri Modello'!$D$57:$D$60,MATCH($B281,'Parametri Modello'!$A$57:$A$60,0))*(INDEX('Parametri Modello'!$B$50:$B$53,MATCH($B281,'Parametri Modello'!$A$50:$A$53,0))*'Parametri Modello'!$B$44))),IF(INDEX('Parametri Modello'!$F$57:$F$60,MATCH($B281,'Parametri Modello'!$A$57:$A$60,0))=0,0,($O281/INDEX('Parametri Modello'!$F$57:$F$60,MATCH($B281,'Parametri Modello'!$A$57:$A$60,0)))*((1-INDEX('Parametri Modello'!$D$57:$D$60,MATCH($B281,'Parametri Modello'!$A$57:$A$60,0)))*(INDEX('Parametri Modello'!$B$50:$B$53,MATCH($B281,'Parametri Modello'!$A$50:$A$53,0))*'Parametri Modello'!$B$44))))*(1+IF(IF($B281="D",'Info Lega'!$B$25,IF($B281="C",'Info Lega'!$B$26,"No"))="Si",'Parametri Modello'!$B$5,0))*(1+MAX(-0.25,MIN(0.25,IF(OR($T281="",$I281="",$I281=0,INDEX('Parametri Modello'!$B$19:$B$22,MATCH($B281,'Parametri Modello'!$A$19:$A$22,0))="",INDEX('Parametri Modello'!$B$19:$B$22,MATCH($B281,'Parametri Modello'!$A$19:$A$22,0))=0),0,(($T281-INDEX('Parametri Modello'!$B$19:$B$22,MATCH($B281,'Parametri Modello'!$A$19:$A$22,0)))/INDEX('Parametri Modello'!$B$19:$B$22,MATCH($B281,'Parametri Modello'!$A$19:$A$22,0)))*'Parametri Modello'!$B$9))))*(1+IF('Parametri Modello'!$B$27="Si",MAX(-'Parametri Modello'!$B$28,MIN('Parametri Modello'!$B$28*1.5,IF(OR(INDEX('Parametri Modello'!$F$32:$F$35,MATCH($B281,'Parametri Modello'!$A$32:$A$35,0))="",INDEX('Parametri Modello'!$F$32:$F$35,MATCH($B281,'Parametri Modello'!$A$32:$A$35,0))=0),0,(1/INDEX('Parametri Modello'!$F$32:$F$35,MATCH($B281,'Parametri Modello'!$A$32:$A$35,0))-1)*'Parametri Modello'!$B$28))),0)))*(1+INDEX('Parametri Modello'!$B$12:$B$15,MATCH($B281,'Parametri Modello'!$A$12:$A$15,0))),0),"")</f>
        <v>2</v>
      </c>
      <c r="I281" s="26" t="n">
        <f aca="false">IFERROR(INDEX('Input Statistiche 2025_26'!$F$3:$F$665,MATCH($A281,'Input Statistiche 2025_26'!$A$3:$A$665,0)),"")</f>
        <v>30</v>
      </c>
      <c r="J281" s="26" t="n">
        <f aca="false">IFERROR(IF($I281="","",MAX(0,38-$I281)),"")</f>
        <v>8</v>
      </c>
      <c r="K281" s="26" t="n">
        <f aca="false">IFERROR(INDEX('Input Statistiche 2025_26'!$I$3:$I$665,MATCH($A281,'Input Statistiche 2025_26'!$A$3:$A$665,0)),"")</f>
        <v>1</v>
      </c>
      <c r="L281" s="26" t="n">
        <f aca="false">IFERROR(INDEX('Input Statistiche 2025_26'!$O$3:$O$665,MATCH($A281,'Input Statistiche 2025_26'!$A$3:$A$665,0)),"")</f>
        <v>1</v>
      </c>
      <c r="M281" s="28"/>
      <c r="N281" s="27" t="n">
        <f aca="false">IFERROR(INDEX('Input Giocatori 2026_27'!$E$3:$E$493,MATCH($A281,'Input Giocatori 2026_27'!$A$3:$A$493,0)),"")</f>
        <v>3</v>
      </c>
      <c r="O281" s="27" t="n">
        <f aca="false">IFERROR(INDEX('Input Giocatori 2026_27'!$G$3:$G$493,MATCH($A281,'Input Giocatori 2026_27'!$A$3:$A$493,0)),"")</f>
        <v>12</v>
      </c>
      <c r="P281" s="26" t="str">
        <f aca="false">IFERROR(IF($O281="","",IF((1-(COUNTIFS($B$2:$B$492,$B281,$O$2:$O$492,"&gt;"&amp;$O281)+1-1)/COUNTIF($B$2:$B$492,$B281))&gt;=0.85,"Top",IF((1-(COUNTIFS($B$2:$B$492,$B281,$O$2:$O$492,"&gt;"&amp;$O281)+1-1)/COUNTIF($B$2:$B$492,$B281))&gt;=0.6,"Buono",IF((1-(COUNTIFS($B$2:$B$492,$B281,$O$2:$O$492,"&gt;"&amp;$O281)+1-1)/COUNTIF($B$2:$B$492,$B281))&gt;=0.3,"Nella Media","Scommessa/Riserva")))),"")</f>
        <v>Nella Media</v>
      </c>
      <c r="Q281" s="29" t="n">
        <f aca="false">IF($D281="",COUNTIF($D$2:$D281,""),"")</f>
        <v>280</v>
      </c>
      <c r="R281" s="29" t="str">
        <f aca="false">IF($D281='Info Lega'!$B$28,COUNTIFS($D$2:$D281,'Info Lega'!$B$28),"")</f>
        <v/>
      </c>
      <c r="S281" s="30" t="n">
        <f aca="false">IFERROR(INDEX('Input Statistiche 2025_26'!$G$3:$G$665,MATCH($A281,'Input Statistiche 2025_26'!$A$3:$A$665,0)),"")</f>
        <v>5.85</v>
      </c>
      <c r="T281" s="30" t="n">
        <f aca="false">IFERROR(INDEX('Input Statistiche 2025_26'!$H$3:$H$665,MATCH($A281,'Input Statistiche 2025_26'!$A$3:$A$665,0)),"")</f>
        <v>5.95</v>
      </c>
      <c r="U281" s="26" t="str">
        <f aca="false">IF(OR('La Mia Rosa'!$O$12="",$D281&lt;&gt;""),"",IF($F281&lt;='La Mia Rosa'!$O$12*'Parametri Modello'!$B$24,"OK",IF($F281&lt;='La Mia Rosa'!$O$12*'Parametri Modello'!$B$25,"Attenzione","Rischio Alto")))</f>
        <v>OK</v>
      </c>
      <c r="V281" s="26" t="n">
        <f aca="false">IFERROR(COUNTIFS($B$2:$B$492,$B281,$O$2:$O$492,"&gt;"&amp;$O281)+1,"")</f>
        <v>105</v>
      </c>
      <c r="W281" s="21" t="n">
        <f aca="false">'Info Lega'!$B$4-SUMIFS($M$2:$M$492,$D$2:$D$492,'Info Lega'!$B$28)</f>
        <v>1000</v>
      </c>
      <c r="X281" s="21" t="n">
        <f aca="false">('Info Lega'!$B$5-COUNTIFS($D$2:$D$492,'Info Lega'!$B$28,$B$2:$B$492,"P"))+('Info Lega'!$B$6-COUNTIFS($D$2:$D$492,'Info Lega'!$B$28,$B$2:$B$492,"D"))+('Info Lega'!$B$7-COUNTIFS($D$2:$D$492,'Info Lega'!$B$28,$B$2:$B$492,"C"))+('Info Lega'!$B$8-COUNTIFS($D$2:$D$492,'Info Lega'!$B$28,$B$2:$B$492,"A"))</f>
        <v>25</v>
      </c>
      <c r="Y281" s="21" t="n">
        <f aca="false">X281*'Parametri Modello'!$B$30</f>
        <v>25</v>
      </c>
      <c r="Z281" s="21" t="n">
        <f aca="false">MAX(0,W281-Y281)</f>
        <v>975</v>
      </c>
      <c r="AA281" s="21" t="n">
        <f aca="false">MIN(F281,Z281)</f>
        <v>2</v>
      </c>
      <c r="AB281" s="21"/>
      <c r="AC281" s="21" t="str">
        <f aca="false">IF(AB281="","",IF(AB281&gt;AA281,"PASS",IF(AB281&lt;=AA281*0.85,"BID","ATTENZIONE")))</f>
        <v/>
      </c>
      <c r="AD281" s="31" t="n">
        <f aca="false">IF(I281="","",ROUND(100*(1-EXP(-I281/30)),0))</f>
        <v>63</v>
      </c>
      <c r="AE281" s="7" t="str">
        <f aca="false">IFERROR(INDEX('Stato Asta'!$G$9:$G$12,MATCH($B281,'Stato Asta'!$A$9:$A$12,0)),"")</f>
        <v>🟡 Attesa rischiosa</v>
      </c>
    </row>
    <row r="282" customFormat="false" ht="14.25" hidden="false" customHeight="true" outlineLevel="0" collapsed="false">
      <c r="A282" s="21" t="n">
        <v>7536</v>
      </c>
      <c r="B282" s="21" t="s">
        <v>45</v>
      </c>
      <c r="C282" s="21" t="s">
        <v>504</v>
      </c>
      <c r="E282" s="26" t="str">
        <f aca="false">IF(COUNTIF('Info Strategia'!$D$2:$D$51,$C282)&gt;0,"SI","NO")</f>
        <v>NO</v>
      </c>
      <c r="F282" s="27" t="n">
        <f aca="false">IFERROR(ROUND(($G282+($H282-$G282)*'Info Strategia'!$B$6)*(1+IF($E282="SI",'Parametri Modello'!$B$7*'Info Strategia'!$B$6,0)),0),"")</f>
        <v>2</v>
      </c>
      <c r="G282" s="27" t="n">
        <f aca="false">IFERROR(ROUND(MAX(1,(IF($V282&lt;=INDEX('Parametri Modello'!$C$57:$C$60,MATCH($B282,'Parametri Modello'!$A$57:$A$60,0)),IF(INDEX('Parametri Modello'!$E$57:$E$60,MATCH($B282,'Parametri Modello'!$A$57:$A$60,0))=0,0,($O282/INDEX('Parametri Modello'!$E$57:$E$60,MATCH($B282,'Parametri Modello'!$A$57:$A$60,0)))*(INDEX('Parametri Modello'!$D$57:$D$60,MATCH($B282,'Parametri Modello'!$A$57:$A$60,0))*(INDEX('Parametri Modello'!$B$50:$B$53,MATCH($B282,'Parametri Modello'!$A$50:$A$53,0))*'Parametri Modello'!$B$44))),IF(INDEX('Parametri Modello'!$F$57:$F$60,MATCH($B282,'Parametri Modello'!$A$57:$A$60,0))=0,0,($O282/INDEX('Parametri Modello'!$F$57:$F$60,MATCH($B282,'Parametri Modello'!$A$57:$A$60,0)))*((1-INDEX('Parametri Modello'!$D$57:$D$60,MATCH($B282,'Parametri Modello'!$A$57:$A$60,0)))*(INDEX('Parametri Modello'!$B$50:$B$53,MATCH($B282,'Parametri Modello'!$A$50:$A$53,0))*'Parametri Modello'!$B$44))))*(1+IF(IF($B282="D",'Info Lega'!$B$25,IF($B282="C",'Info Lega'!$B$26,"No"))="Si",'Parametri Modello'!$B$5,0))*(1+MAX(-0.25,MIN(0.25,IF(OR($T282="",$I282="",$I282=0,INDEX('Parametri Modello'!$B$19:$B$22,MATCH($B282,'Parametri Modello'!$A$19:$A$22,0))="",INDEX('Parametri Modello'!$B$19:$B$22,MATCH($B282,'Parametri Modello'!$A$19:$A$22,0))=0),0,(($T282-INDEX('Parametri Modello'!$B$19:$B$22,MATCH($B282,'Parametri Modello'!$A$19:$A$22,0)))/INDEX('Parametri Modello'!$B$19:$B$22,MATCH($B282,'Parametri Modello'!$A$19:$A$22,0)))*'Parametri Modello'!$B$9))))*(1+IF('Parametri Modello'!$B$27="Si",MAX(-'Parametri Modello'!$B$28,MIN('Parametri Modello'!$B$28*1.5,IF(OR(INDEX('Parametri Modello'!$F$32:$F$35,MATCH($B282,'Parametri Modello'!$A$32:$A$35,0))="",INDEX('Parametri Modello'!$F$32:$F$35,MATCH($B282,'Parametri Modello'!$A$32:$A$35,0))=0),0,(1/INDEX('Parametri Modello'!$F$32:$F$35,MATCH($B282,'Parametri Modello'!$A$32:$A$35,0))-1)*'Parametri Modello'!$B$28))),0)))*(1-INDEX('Parametri Modello'!$B$12:$B$15,MATCH($B282,'Parametri Modello'!$A$12:$A$15,0)))),0),"")</f>
        <v>1</v>
      </c>
      <c r="H282" s="27" t="n">
        <f aca="false">IFERROR(ROUND((IF($V282&lt;=INDEX('Parametri Modello'!$C$57:$C$60,MATCH($B282,'Parametri Modello'!$A$57:$A$60,0)),IF(INDEX('Parametri Modello'!$E$57:$E$60,MATCH($B282,'Parametri Modello'!$A$57:$A$60,0))=0,0,($O282/INDEX('Parametri Modello'!$E$57:$E$60,MATCH($B282,'Parametri Modello'!$A$57:$A$60,0)))*(INDEX('Parametri Modello'!$D$57:$D$60,MATCH($B282,'Parametri Modello'!$A$57:$A$60,0))*(INDEX('Parametri Modello'!$B$50:$B$53,MATCH($B282,'Parametri Modello'!$A$50:$A$53,0))*'Parametri Modello'!$B$44))),IF(INDEX('Parametri Modello'!$F$57:$F$60,MATCH($B282,'Parametri Modello'!$A$57:$A$60,0))=0,0,($O282/INDEX('Parametri Modello'!$F$57:$F$60,MATCH($B282,'Parametri Modello'!$A$57:$A$60,0)))*((1-INDEX('Parametri Modello'!$D$57:$D$60,MATCH($B282,'Parametri Modello'!$A$57:$A$60,0)))*(INDEX('Parametri Modello'!$B$50:$B$53,MATCH($B282,'Parametri Modello'!$A$50:$A$53,0))*'Parametri Modello'!$B$44))))*(1+IF(IF($B282="D",'Info Lega'!$B$25,IF($B282="C",'Info Lega'!$B$26,"No"))="Si",'Parametri Modello'!$B$5,0))*(1+MAX(-0.25,MIN(0.25,IF(OR($T282="",$I282="",$I282=0,INDEX('Parametri Modello'!$B$19:$B$22,MATCH($B282,'Parametri Modello'!$A$19:$A$22,0))="",INDEX('Parametri Modello'!$B$19:$B$22,MATCH($B282,'Parametri Modello'!$A$19:$A$22,0))=0),0,(($T282-INDEX('Parametri Modello'!$B$19:$B$22,MATCH($B282,'Parametri Modello'!$A$19:$A$22,0)))/INDEX('Parametri Modello'!$B$19:$B$22,MATCH($B282,'Parametri Modello'!$A$19:$A$22,0)))*'Parametri Modello'!$B$9))))*(1+IF('Parametri Modello'!$B$27="Si",MAX(-'Parametri Modello'!$B$28,MIN('Parametri Modello'!$B$28*1.5,IF(OR(INDEX('Parametri Modello'!$F$32:$F$35,MATCH($B282,'Parametri Modello'!$A$32:$A$35,0))="",INDEX('Parametri Modello'!$F$32:$F$35,MATCH($B282,'Parametri Modello'!$A$32:$A$35,0))=0),0,(1/INDEX('Parametri Modello'!$F$32:$F$35,MATCH($B282,'Parametri Modello'!$A$32:$A$35,0))-1)*'Parametri Modello'!$B$28))),0)))*(1+INDEX('Parametri Modello'!$B$12:$B$15,MATCH($B282,'Parametri Modello'!$A$12:$A$15,0))),0),"")</f>
        <v>2</v>
      </c>
      <c r="I282" s="26" t="str">
        <f aca="false">IFERROR(INDEX('Input Statistiche 2025_26'!$F$3:$F$665,MATCH($A282,'Input Statistiche 2025_26'!$A$3:$A$665,0)),"")</f>
        <v/>
      </c>
      <c r="J282" s="26" t="str">
        <f aca="false">IFERROR(IF($I282="","",MAX(0,38-$I282)),"")</f>
        <v/>
      </c>
      <c r="K282" s="26" t="str">
        <f aca="false">IFERROR(INDEX('Input Statistiche 2025_26'!$I$3:$I$665,MATCH($A282,'Input Statistiche 2025_26'!$A$3:$A$665,0)),"")</f>
        <v/>
      </c>
      <c r="L282" s="26" t="str">
        <f aca="false">IFERROR(INDEX('Input Statistiche 2025_26'!$O$3:$O$665,MATCH($A282,'Input Statistiche 2025_26'!$A$3:$A$665,0)),"")</f>
        <v/>
      </c>
      <c r="M282" s="28"/>
      <c r="N282" s="27" t="n">
        <f aca="false">IFERROR(INDEX('Input Giocatori 2026_27'!$E$3:$E$493,MATCH($A282,'Input Giocatori 2026_27'!$A$3:$A$493,0)),"")</f>
        <v>3</v>
      </c>
      <c r="O282" s="27" t="n">
        <f aca="false">IFERROR(INDEX('Input Giocatori 2026_27'!$G$3:$G$493,MATCH($A282,'Input Giocatori 2026_27'!$A$3:$A$493,0)),"")</f>
        <v>12</v>
      </c>
      <c r="P282" s="26" t="str">
        <f aca="false">IFERROR(IF($O282="","",IF((1-(COUNTIFS($B$2:$B$492,$B282,$O$2:$O$492,"&gt;"&amp;$O282)+1-1)/COUNTIF($B$2:$B$492,$B282))&gt;=0.85,"Top",IF((1-(COUNTIFS($B$2:$B$492,$B282,$O$2:$O$492,"&gt;"&amp;$O282)+1-1)/COUNTIF($B$2:$B$492,$B282))&gt;=0.6,"Buono",IF((1-(COUNTIFS($B$2:$B$492,$B282,$O$2:$O$492,"&gt;"&amp;$O282)+1-1)/COUNTIF($B$2:$B$492,$B282))&gt;=0.3,"Nella Media","Scommessa/Riserva")))),"")</f>
        <v>Nella Media</v>
      </c>
      <c r="Q282" s="29" t="n">
        <f aca="false">IF($D282="",COUNTIF($D$2:$D282,""),"")</f>
        <v>281</v>
      </c>
      <c r="R282" s="29" t="str">
        <f aca="false">IF($D282='Info Lega'!$B$28,COUNTIFS($D$2:$D282,'Info Lega'!$B$28),"")</f>
        <v/>
      </c>
      <c r="S282" s="30" t="str">
        <f aca="false">IFERROR(INDEX('Input Statistiche 2025_26'!$G$3:$G$665,MATCH($A282,'Input Statistiche 2025_26'!$A$3:$A$665,0)),"")</f>
        <v/>
      </c>
      <c r="T282" s="30" t="str">
        <f aca="false">IFERROR(INDEX('Input Statistiche 2025_26'!$H$3:$H$665,MATCH($A282,'Input Statistiche 2025_26'!$A$3:$A$665,0)),"")</f>
        <v/>
      </c>
      <c r="U282" s="26" t="str">
        <f aca="false">IF(OR('La Mia Rosa'!$O$12="",$D282&lt;&gt;""),"",IF($F282&lt;='La Mia Rosa'!$O$12*'Parametri Modello'!$B$24,"OK",IF($F282&lt;='La Mia Rosa'!$O$12*'Parametri Modello'!$B$25,"Attenzione","Rischio Alto")))</f>
        <v>OK</v>
      </c>
      <c r="V282" s="26" t="n">
        <f aca="false">IFERROR(COUNTIFS($B$2:$B$492,$B282,$O$2:$O$492,"&gt;"&amp;$O282)+1,"")</f>
        <v>105</v>
      </c>
      <c r="W282" s="21" t="n">
        <f aca="false">'Info Lega'!$B$4-SUMIFS($M$2:$M$492,$D$2:$D$492,'Info Lega'!$B$28)</f>
        <v>1000</v>
      </c>
      <c r="X282" s="21" t="n">
        <f aca="false">('Info Lega'!$B$5-COUNTIFS($D$2:$D$492,'Info Lega'!$B$28,$B$2:$B$492,"P"))+('Info Lega'!$B$6-COUNTIFS($D$2:$D$492,'Info Lega'!$B$28,$B$2:$B$492,"D"))+('Info Lega'!$B$7-COUNTIFS($D$2:$D$492,'Info Lega'!$B$28,$B$2:$B$492,"C"))+('Info Lega'!$B$8-COUNTIFS($D$2:$D$492,'Info Lega'!$B$28,$B$2:$B$492,"A"))</f>
        <v>25</v>
      </c>
      <c r="Y282" s="21" t="n">
        <f aca="false">X282*'Parametri Modello'!$B$30</f>
        <v>25</v>
      </c>
      <c r="Z282" s="21" t="n">
        <f aca="false">MAX(0,W282-Y282)</f>
        <v>975</v>
      </c>
      <c r="AA282" s="21" t="n">
        <f aca="false">MIN(F282,Z282)</f>
        <v>2</v>
      </c>
      <c r="AB282" s="21"/>
      <c r="AC282" s="21" t="str">
        <f aca="false">IF(AB282="","",IF(AB282&gt;AA282,"PASS",IF(AB282&lt;=AA282*0.85,"BID","ATTENZIONE")))</f>
        <v/>
      </c>
      <c r="AD282" s="31" t="str">
        <f aca="false">IF(I282="","",ROUND(100*(1-EXP(-I282/30)),0))</f>
        <v/>
      </c>
      <c r="AE282" s="7" t="str">
        <f aca="false">IFERROR(INDEX('Stato Asta'!$G$9:$G$12,MATCH($B282,'Stato Asta'!$A$9:$A$12,0)),"")</f>
        <v>🟡 Attesa rischiosa</v>
      </c>
    </row>
    <row r="283" customFormat="false" ht="14.25" hidden="false" customHeight="true" outlineLevel="0" collapsed="false">
      <c r="A283" s="21" t="n">
        <v>7208</v>
      </c>
      <c r="B283" s="21" t="s">
        <v>45</v>
      </c>
      <c r="C283" s="21" t="s">
        <v>506</v>
      </c>
      <c r="E283" s="26" t="str">
        <f aca="false">IF(COUNTIF('Info Strategia'!$D$2:$D$51,$C283)&gt;0,"SI","NO")</f>
        <v>NO</v>
      </c>
      <c r="F283" s="27" t="n">
        <f aca="false">IFERROR(ROUND(($G283+($H283-$G283)*'Info Strategia'!$B$6)*(1+IF($E283="SI",'Parametri Modello'!$B$7*'Info Strategia'!$B$6,0)),0),"")</f>
        <v>2</v>
      </c>
      <c r="G283" s="27" t="n">
        <f aca="false">IFERROR(ROUND(MAX(1,(IF($V283&lt;=INDEX('Parametri Modello'!$C$57:$C$60,MATCH($B283,'Parametri Modello'!$A$57:$A$60,0)),IF(INDEX('Parametri Modello'!$E$57:$E$60,MATCH($B283,'Parametri Modello'!$A$57:$A$60,0))=0,0,($O283/INDEX('Parametri Modello'!$E$57:$E$60,MATCH($B283,'Parametri Modello'!$A$57:$A$60,0)))*(INDEX('Parametri Modello'!$D$57:$D$60,MATCH($B283,'Parametri Modello'!$A$57:$A$60,0))*(INDEX('Parametri Modello'!$B$50:$B$53,MATCH($B283,'Parametri Modello'!$A$50:$A$53,0))*'Parametri Modello'!$B$44))),IF(INDEX('Parametri Modello'!$F$57:$F$60,MATCH($B283,'Parametri Modello'!$A$57:$A$60,0))=0,0,($O283/INDEX('Parametri Modello'!$F$57:$F$60,MATCH($B283,'Parametri Modello'!$A$57:$A$60,0)))*((1-INDEX('Parametri Modello'!$D$57:$D$60,MATCH($B283,'Parametri Modello'!$A$57:$A$60,0)))*(INDEX('Parametri Modello'!$B$50:$B$53,MATCH($B283,'Parametri Modello'!$A$50:$A$53,0))*'Parametri Modello'!$B$44))))*(1+IF(IF($B283="D",'Info Lega'!$B$25,IF($B283="C",'Info Lega'!$B$26,"No"))="Si",'Parametri Modello'!$B$5,0))*(1+MAX(-0.25,MIN(0.25,IF(OR($T283="",$I283="",$I283=0,INDEX('Parametri Modello'!$B$19:$B$22,MATCH($B283,'Parametri Modello'!$A$19:$A$22,0))="",INDEX('Parametri Modello'!$B$19:$B$22,MATCH($B283,'Parametri Modello'!$A$19:$A$22,0))=0),0,(($T283-INDEX('Parametri Modello'!$B$19:$B$22,MATCH($B283,'Parametri Modello'!$A$19:$A$22,0)))/INDEX('Parametri Modello'!$B$19:$B$22,MATCH($B283,'Parametri Modello'!$A$19:$A$22,0)))*'Parametri Modello'!$B$9))))*(1+IF('Parametri Modello'!$B$27="Si",MAX(-'Parametri Modello'!$B$28,MIN('Parametri Modello'!$B$28*1.5,IF(OR(INDEX('Parametri Modello'!$F$32:$F$35,MATCH($B283,'Parametri Modello'!$A$32:$A$35,0))="",INDEX('Parametri Modello'!$F$32:$F$35,MATCH($B283,'Parametri Modello'!$A$32:$A$35,0))=0),0,(1/INDEX('Parametri Modello'!$F$32:$F$35,MATCH($B283,'Parametri Modello'!$A$32:$A$35,0))-1)*'Parametri Modello'!$B$28))),0)))*(1-INDEX('Parametri Modello'!$B$12:$B$15,MATCH($B283,'Parametri Modello'!$A$12:$A$15,0)))),0),"")</f>
        <v>1</v>
      </c>
      <c r="H283" s="27" t="n">
        <f aca="false">IFERROR(ROUND((IF($V283&lt;=INDEX('Parametri Modello'!$C$57:$C$60,MATCH($B283,'Parametri Modello'!$A$57:$A$60,0)),IF(INDEX('Parametri Modello'!$E$57:$E$60,MATCH($B283,'Parametri Modello'!$A$57:$A$60,0))=0,0,($O283/INDEX('Parametri Modello'!$E$57:$E$60,MATCH($B283,'Parametri Modello'!$A$57:$A$60,0)))*(INDEX('Parametri Modello'!$D$57:$D$60,MATCH($B283,'Parametri Modello'!$A$57:$A$60,0))*(INDEX('Parametri Modello'!$B$50:$B$53,MATCH($B283,'Parametri Modello'!$A$50:$A$53,0))*'Parametri Modello'!$B$44))),IF(INDEX('Parametri Modello'!$F$57:$F$60,MATCH($B283,'Parametri Modello'!$A$57:$A$60,0))=0,0,($O283/INDEX('Parametri Modello'!$F$57:$F$60,MATCH($B283,'Parametri Modello'!$A$57:$A$60,0)))*((1-INDEX('Parametri Modello'!$D$57:$D$60,MATCH($B283,'Parametri Modello'!$A$57:$A$60,0)))*(INDEX('Parametri Modello'!$B$50:$B$53,MATCH($B283,'Parametri Modello'!$A$50:$A$53,0))*'Parametri Modello'!$B$44))))*(1+IF(IF($B283="D",'Info Lega'!$B$25,IF($B283="C",'Info Lega'!$B$26,"No"))="Si",'Parametri Modello'!$B$5,0))*(1+MAX(-0.25,MIN(0.25,IF(OR($T283="",$I283="",$I283=0,INDEX('Parametri Modello'!$B$19:$B$22,MATCH($B283,'Parametri Modello'!$A$19:$A$22,0))="",INDEX('Parametri Modello'!$B$19:$B$22,MATCH($B283,'Parametri Modello'!$A$19:$A$22,0))=0),0,(($T283-INDEX('Parametri Modello'!$B$19:$B$22,MATCH($B283,'Parametri Modello'!$A$19:$A$22,0)))/INDEX('Parametri Modello'!$B$19:$B$22,MATCH($B283,'Parametri Modello'!$A$19:$A$22,0)))*'Parametri Modello'!$B$9))))*(1+IF('Parametri Modello'!$B$27="Si",MAX(-'Parametri Modello'!$B$28,MIN('Parametri Modello'!$B$28*1.5,IF(OR(INDEX('Parametri Modello'!$F$32:$F$35,MATCH($B283,'Parametri Modello'!$A$32:$A$35,0))="",INDEX('Parametri Modello'!$F$32:$F$35,MATCH($B283,'Parametri Modello'!$A$32:$A$35,0))=0),0,(1/INDEX('Parametri Modello'!$F$32:$F$35,MATCH($B283,'Parametri Modello'!$A$32:$A$35,0))-1)*'Parametri Modello'!$B$28))),0)))*(1+INDEX('Parametri Modello'!$B$12:$B$15,MATCH($B283,'Parametri Modello'!$A$12:$A$15,0))),0),"")</f>
        <v>2</v>
      </c>
      <c r="I283" s="26" t="n">
        <f aca="false">IFERROR(INDEX('Input Statistiche 2025_26'!$F$3:$F$665,MATCH($A283,'Input Statistiche 2025_26'!$A$3:$A$665,0)),"")</f>
        <v>19</v>
      </c>
      <c r="J283" s="26" t="n">
        <f aca="false">IFERROR(IF($I283="","",MAX(0,38-$I283)),"")</f>
        <v>19</v>
      </c>
      <c r="K283" s="26" t="n">
        <f aca="false">IFERROR(INDEX('Input Statistiche 2025_26'!$I$3:$I$665,MATCH($A283,'Input Statistiche 2025_26'!$A$3:$A$665,0)),"")</f>
        <v>0</v>
      </c>
      <c r="L283" s="26" t="n">
        <f aca="false">IFERROR(INDEX('Input Statistiche 2025_26'!$O$3:$O$665,MATCH($A283,'Input Statistiche 2025_26'!$A$3:$A$665,0)),"")</f>
        <v>2</v>
      </c>
      <c r="M283" s="28"/>
      <c r="N283" s="27" t="n">
        <f aca="false">IFERROR(INDEX('Input Giocatori 2026_27'!$E$3:$E$493,MATCH($A283,'Input Giocatori 2026_27'!$A$3:$A$493,0)),"")</f>
        <v>3</v>
      </c>
      <c r="O283" s="27" t="n">
        <f aca="false">IFERROR(INDEX('Input Giocatori 2026_27'!$G$3:$G$493,MATCH($A283,'Input Giocatori 2026_27'!$A$3:$A$493,0)),"")</f>
        <v>12</v>
      </c>
      <c r="P283" s="26" t="str">
        <f aca="false">IFERROR(IF($O283="","",IF((1-(COUNTIFS($B$2:$B$492,$B283,$O$2:$O$492,"&gt;"&amp;$O283)+1-1)/COUNTIF($B$2:$B$492,$B283))&gt;=0.85,"Top",IF((1-(COUNTIFS($B$2:$B$492,$B283,$O$2:$O$492,"&gt;"&amp;$O283)+1-1)/COUNTIF($B$2:$B$492,$B283))&gt;=0.6,"Buono",IF((1-(COUNTIFS($B$2:$B$492,$B283,$O$2:$O$492,"&gt;"&amp;$O283)+1-1)/COUNTIF($B$2:$B$492,$B283))&gt;=0.3,"Nella Media","Scommessa/Riserva")))),"")</f>
        <v>Nella Media</v>
      </c>
      <c r="Q283" s="29" t="n">
        <f aca="false">IF($D283="",COUNTIF($D$2:$D283,""),"")</f>
        <v>282</v>
      </c>
      <c r="R283" s="29" t="str">
        <f aca="false">IF($D283='Info Lega'!$B$28,COUNTIFS($D$2:$D283,'Info Lega'!$B$28),"")</f>
        <v/>
      </c>
      <c r="S283" s="30" t="n">
        <f aca="false">IFERROR(INDEX('Input Statistiche 2025_26'!$G$3:$G$665,MATCH($A283,'Input Statistiche 2025_26'!$A$3:$A$665,0)),"")</f>
        <v>5.92</v>
      </c>
      <c r="T283" s="30" t="n">
        <f aca="false">IFERROR(INDEX('Input Statistiche 2025_26'!$H$3:$H$665,MATCH($A283,'Input Statistiche 2025_26'!$A$3:$A$665,0)),"")</f>
        <v>5.95</v>
      </c>
      <c r="U283" s="26" t="str">
        <f aca="false">IF(OR('La Mia Rosa'!$O$12="",$D283&lt;&gt;""),"",IF($F283&lt;='La Mia Rosa'!$O$12*'Parametri Modello'!$B$24,"OK",IF($F283&lt;='La Mia Rosa'!$O$12*'Parametri Modello'!$B$25,"Attenzione","Rischio Alto")))</f>
        <v>OK</v>
      </c>
      <c r="V283" s="26" t="n">
        <f aca="false">IFERROR(COUNTIFS($B$2:$B$492,$B283,$O$2:$O$492,"&gt;"&amp;$O283)+1,"")</f>
        <v>105</v>
      </c>
      <c r="W283" s="21" t="n">
        <f aca="false">'Info Lega'!$B$4-SUMIFS($M$2:$M$492,$D$2:$D$492,'Info Lega'!$B$28)</f>
        <v>1000</v>
      </c>
      <c r="X283" s="21" t="n">
        <f aca="false">('Info Lega'!$B$5-COUNTIFS($D$2:$D$492,'Info Lega'!$B$28,$B$2:$B$492,"P"))+('Info Lega'!$B$6-COUNTIFS($D$2:$D$492,'Info Lega'!$B$28,$B$2:$B$492,"D"))+('Info Lega'!$B$7-COUNTIFS($D$2:$D$492,'Info Lega'!$B$28,$B$2:$B$492,"C"))+('Info Lega'!$B$8-COUNTIFS($D$2:$D$492,'Info Lega'!$B$28,$B$2:$B$492,"A"))</f>
        <v>25</v>
      </c>
      <c r="Y283" s="21" t="n">
        <f aca="false">X283*'Parametri Modello'!$B$30</f>
        <v>25</v>
      </c>
      <c r="Z283" s="21" t="n">
        <f aca="false">MAX(0,W283-Y283)</f>
        <v>975</v>
      </c>
      <c r="AA283" s="21" t="n">
        <f aca="false">MIN(F283,Z283)</f>
        <v>2</v>
      </c>
      <c r="AB283" s="21"/>
      <c r="AC283" s="21" t="str">
        <f aca="false">IF(AB283="","",IF(AB283&gt;AA283,"PASS",IF(AB283&lt;=AA283*0.85,"BID","ATTENZIONE")))</f>
        <v/>
      </c>
      <c r="AD283" s="31" t="n">
        <f aca="false">IF(I283="","",ROUND(100*(1-EXP(-I283/30)),0))</f>
        <v>47</v>
      </c>
      <c r="AE283" s="7" t="str">
        <f aca="false">IFERROR(INDEX('Stato Asta'!$G$9:$G$12,MATCH($B283,'Stato Asta'!$A$9:$A$12,0)),"")</f>
        <v>🟡 Attesa rischiosa</v>
      </c>
    </row>
    <row r="284" customFormat="false" ht="14.25" hidden="false" customHeight="true" outlineLevel="0" collapsed="false">
      <c r="A284" s="21" t="n">
        <v>6495</v>
      </c>
      <c r="B284" s="21" t="s">
        <v>44</v>
      </c>
      <c r="C284" s="21" t="s">
        <v>259</v>
      </c>
      <c r="E284" s="26" t="str">
        <f aca="false">IF(COUNTIF('Info Strategia'!$D$2:$D$51,$C284)&gt;0,"SI","NO")</f>
        <v>NO</v>
      </c>
      <c r="F284" s="27" t="n">
        <f aca="false">IFERROR(ROUND(($G284+($H284-$G284)*'Info Strategia'!$B$6)*(1+IF($E284="SI",'Parametri Modello'!$B$7*'Info Strategia'!$B$6,0)),0),"")</f>
        <v>2</v>
      </c>
      <c r="G284" s="27" t="n">
        <f aca="false">IFERROR(ROUND(MAX(1,(IF($V284&lt;=INDEX('Parametri Modello'!$C$57:$C$60,MATCH($B284,'Parametri Modello'!$A$57:$A$60,0)),IF(INDEX('Parametri Modello'!$E$57:$E$60,MATCH($B284,'Parametri Modello'!$A$57:$A$60,0))=0,0,($O284/INDEX('Parametri Modello'!$E$57:$E$60,MATCH($B284,'Parametri Modello'!$A$57:$A$60,0)))*(INDEX('Parametri Modello'!$D$57:$D$60,MATCH($B284,'Parametri Modello'!$A$57:$A$60,0))*(INDEX('Parametri Modello'!$B$50:$B$53,MATCH($B284,'Parametri Modello'!$A$50:$A$53,0))*'Parametri Modello'!$B$44))),IF(INDEX('Parametri Modello'!$F$57:$F$60,MATCH($B284,'Parametri Modello'!$A$57:$A$60,0))=0,0,($O284/INDEX('Parametri Modello'!$F$57:$F$60,MATCH($B284,'Parametri Modello'!$A$57:$A$60,0)))*((1-INDEX('Parametri Modello'!$D$57:$D$60,MATCH($B284,'Parametri Modello'!$A$57:$A$60,0)))*(INDEX('Parametri Modello'!$B$50:$B$53,MATCH($B284,'Parametri Modello'!$A$50:$A$53,0))*'Parametri Modello'!$B$44))))*(1+IF(IF($B284="D",'Info Lega'!$B$25,IF($B284="C",'Info Lega'!$B$26,"No"))="Si",'Parametri Modello'!$B$5,0))*(1+MAX(-0.25,MIN(0.25,IF(OR($T284="",$I284="",$I284=0,INDEX('Parametri Modello'!$B$19:$B$22,MATCH($B284,'Parametri Modello'!$A$19:$A$22,0))="",INDEX('Parametri Modello'!$B$19:$B$22,MATCH($B284,'Parametri Modello'!$A$19:$A$22,0))=0),0,(($T284-INDEX('Parametri Modello'!$B$19:$B$22,MATCH($B284,'Parametri Modello'!$A$19:$A$22,0)))/INDEX('Parametri Modello'!$B$19:$B$22,MATCH($B284,'Parametri Modello'!$A$19:$A$22,0)))*'Parametri Modello'!$B$9))))*(1+IF('Parametri Modello'!$B$27="Si",MAX(-'Parametri Modello'!$B$28,MIN('Parametri Modello'!$B$28*1.5,IF(OR(INDEX('Parametri Modello'!$F$32:$F$35,MATCH($B284,'Parametri Modello'!$A$32:$A$35,0))="",INDEX('Parametri Modello'!$F$32:$F$35,MATCH($B284,'Parametri Modello'!$A$32:$A$35,0))=0),0,(1/INDEX('Parametri Modello'!$F$32:$F$35,MATCH($B284,'Parametri Modello'!$A$32:$A$35,0))-1)*'Parametri Modello'!$B$28))),0)))*(1-INDEX('Parametri Modello'!$B$12:$B$15,MATCH($B284,'Parametri Modello'!$A$12:$A$15,0)))),0),"")</f>
        <v>1</v>
      </c>
      <c r="H284" s="27" t="n">
        <f aca="false">IFERROR(ROUND((IF($V284&lt;=INDEX('Parametri Modello'!$C$57:$C$60,MATCH($B284,'Parametri Modello'!$A$57:$A$60,0)),IF(INDEX('Parametri Modello'!$E$57:$E$60,MATCH($B284,'Parametri Modello'!$A$57:$A$60,0))=0,0,($O284/INDEX('Parametri Modello'!$E$57:$E$60,MATCH($B284,'Parametri Modello'!$A$57:$A$60,0)))*(INDEX('Parametri Modello'!$D$57:$D$60,MATCH($B284,'Parametri Modello'!$A$57:$A$60,0))*(INDEX('Parametri Modello'!$B$50:$B$53,MATCH($B284,'Parametri Modello'!$A$50:$A$53,0))*'Parametri Modello'!$B$44))),IF(INDEX('Parametri Modello'!$F$57:$F$60,MATCH($B284,'Parametri Modello'!$A$57:$A$60,0))=0,0,($O284/INDEX('Parametri Modello'!$F$57:$F$60,MATCH($B284,'Parametri Modello'!$A$57:$A$60,0)))*((1-INDEX('Parametri Modello'!$D$57:$D$60,MATCH($B284,'Parametri Modello'!$A$57:$A$60,0)))*(INDEX('Parametri Modello'!$B$50:$B$53,MATCH($B284,'Parametri Modello'!$A$50:$A$53,0))*'Parametri Modello'!$B$44))))*(1+IF(IF($B284="D",'Info Lega'!$B$25,IF($B284="C",'Info Lega'!$B$26,"No"))="Si",'Parametri Modello'!$B$5,0))*(1+MAX(-0.25,MIN(0.25,IF(OR($T284="",$I284="",$I284=0,INDEX('Parametri Modello'!$B$19:$B$22,MATCH($B284,'Parametri Modello'!$A$19:$A$22,0))="",INDEX('Parametri Modello'!$B$19:$B$22,MATCH($B284,'Parametri Modello'!$A$19:$A$22,0))=0),0,(($T284-INDEX('Parametri Modello'!$B$19:$B$22,MATCH($B284,'Parametri Modello'!$A$19:$A$22,0)))/INDEX('Parametri Modello'!$B$19:$B$22,MATCH($B284,'Parametri Modello'!$A$19:$A$22,0)))*'Parametri Modello'!$B$9))))*(1+IF('Parametri Modello'!$B$27="Si",MAX(-'Parametri Modello'!$B$28,MIN('Parametri Modello'!$B$28*1.5,IF(OR(INDEX('Parametri Modello'!$F$32:$F$35,MATCH($B284,'Parametri Modello'!$A$32:$A$35,0))="",INDEX('Parametri Modello'!$F$32:$F$35,MATCH($B284,'Parametri Modello'!$A$32:$A$35,0))=0),0,(1/INDEX('Parametri Modello'!$F$32:$F$35,MATCH($B284,'Parametri Modello'!$A$32:$A$35,0))-1)*'Parametri Modello'!$B$28))),0)))*(1+INDEX('Parametri Modello'!$B$12:$B$15,MATCH($B284,'Parametri Modello'!$A$12:$A$15,0))),0),"")</f>
        <v>2</v>
      </c>
      <c r="I284" s="26" t="n">
        <f aca="false">IFERROR(INDEX('Input Statistiche 2025_26'!$F$3:$F$665,MATCH($A284,'Input Statistiche 2025_26'!$A$3:$A$665,0)),"")</f>
        <v>24</v>
      </c>
      <c r="J284" s="26" t="n">
        <f aca="false">IFERROR(IF($I284="","",MAX(0,38-$I284)),"")</f>
        <v>14</v>
      </c>
      <c r="K284" s="26" t="n">
        <f aca="false">IFERROR(INDEX('Input Statistiche 2025_26'!$I$3:$I$665,MATCH($A284,'Input Statistiche 2025_26'!$A$3:$A$665,0)),"")</f>
        <v>1</v>
      </c>
      <c r="L284" s="26" t="n">
        <f aca="false">IFERROR(INDEX('Input Statistiche 2025_26'!$O$3:$O$665,MATCH($A284,'Input Statistiche 2025_26'!$A$3:$A$665,0)),"")</f>
        <v>0</v>
      </c>
      <c r="M284" s="28"/>
      <c r="N284" s="27" t="n">
        <f aca="false">IFERROR(INDEX('Input Giocatori 2026_27'!$E$3:$E$493,MATCH($A284,'Input Giocatori 2026_27'!$A$3:$A$493,0)),"")</f>
        <v>6</v>
      </c>
      <c r="O284" s="27" t="n">
        <f aca="false">IFERROR(INDEX('Input Giocatori 2026_27'!$G$3:$G$493,MATCH($A284,'Input Giocatori 2026_27'!$A$3:$A$493,0)),"")</f>
        <v>11</v>
      </c>
      <c r="P284" s="26" t="str">
        <f aca="false">IFERROR(IF($O284="","",IF((1-(COUNTIFS($B$2:$B$492,$B284,$O$2:$O$492,"&gt;"&amp;$O284)+1-1)/COUNTIF($B$2:$B$492,$B284))&gt;=0.85,"Top",IF((1-(COUNTIFS($B$2:$B$492,$B284,$O$2:$O$492,"&gt;"&amp;$O284)+1-1)/COUNTIF($B$2:$B$492,$B284))&gt;=0.6,"Buono",IF((1-(COUNTIFS($B$2:$B$492,$B284,$O$2:$O$492,"&gt;"&amp;$O284)+1-1)/COUNTIF($B$2:$B$492,$B284))&gt;=0.3,"Nella Media","Scommessa/Riserva")))),"")</f>
        <v>Nella Media</v>
      </c>
      <c r="Q284" s="29" t="n">
        <f aca="false">IF($D284="",COUNTIF($D$2:$D284,""),"")</f>
        <v>283</v>
      </c>
      <c r="R284" s="29" t="str">
        <f aca="false">IF($D284='Info Lega'!$B$28,COUNTIFS($D$2:$D284,'Info Lega'!$B$28),"")</f>
        <v/>
      </c>
      <c r="S284" s="30" t="n">
        <f aca="false">IFERROR(INDEX('Input Statistiche 2025_26'!$G$3:$G$665,MATCH($A284,'Input Statistiche 2025_26'!$A$3:$A$665,0)),"")</f>
        <v>5.75</v>
      </c>
      <c r="T284" s="30" t="n">
        <f aca="false">IFERROR(INDEX('Input Statistiche 2025_26'!$H$3:$H$665,MATCH($A284,'Input Statistiche 2025_26'!$A$3:$A$665,0)),"")</f>
        <v>5.75</v>
      </c>
      <c r="U284" s="26" t="str">
        <f aca="false">IF(OR('La Mia Rosa'!$O$12="",$D284&lt;&gt;""),"",IF($F284&lt;='La Mia Rosa'!$O$12*'Parametri Modello'!$B$24,"OK",IF($F284&lt;='La Mia Rosa'!$O$12*'Parametri Modello'!$B$25,"Attenzione","Rischio Alto")))</f>
        <v>OK</v>
      </c>
      <c r="V284" s="26" t="n">
        <f aca="false">IFERROR(COUNTIFS($B$2:$B$492,$B284,$O$2:$O$492,"&gt;"&amp;$O284)+1,"")</f>
        <v>90</v>
      </c>
      <c r="W284" s="21" t="n">
        <f aca="false">'Info Lega'!$B$4-SUMIFS($M$2:$M$492,$D$2:$D$492,'Info Lega'!$B$28)</f>
        <v>1000</v>
      </c>
      <c r="X284" s="21" t="n">
        <f aca="false">('Info Lega'!$B$5-COUNTIFS($D$2:$D$492,'Info Lega'!$B$28,$B$2:$B$492,"P"))+('Info Lega'!$B$6-COUNTIFS($D$2:$D$492,'Info Lega'!$B$28,$B$2:$B$492,"D"))+('Info Lega'!$B$7-COUNTIFS($D$2:$D$492,'Info Lega'!$B$28,$B$2:$B$492,"C"))+('Info Lega'!$B$8-COUNTIFS($D$2:$D$492,'Info Lega'!$B$28,$B$2:$B$492,"A"))</f>
        <v>25</v>
      </c>
      <c r="Y284" s="21" t="n">
        <f aca="false">X284*'Parametri Modello'!$B$30</f>
        <v>25</v>
      </c>
      <c r="Z284" s="21" t="n">
        <f aca="false">MAX(0,W284-Y284)</f>
        <v>975</v>
      </c>
      <c r="AA284" s="21" t="n">
        <f aca="false">MIN(F284,Z284)</f>
        <v>2</v>
      </c>
      <c r="AB284" s="21"/>
      <c r="AC284" s="21" t="str">
        <f aca="false">IF(AB284="","",IF(AB284&gt;AA284,"PASS",IF(AB284&lt;=AA284*0.85,"BID","ATTENZIONE")))</f>
        <v/>
      </c>
      <c r="AD284" s="31" t="n">
        <f aca="false">IF(I284="","",ROUND(100*(1-EXP(-I284/30)),0))</f>
        <v>55</v>
      </c>
      <c r="AE284" s="7" t="str">
        <f aca="false">IFERROR(INDEX('Stato Asta'!$G$9:$G$12,MATCH($B284,'Stato Asta'!$A$9:$A$12,0)),"")</f>
        <v>🟡 Attesa rischiosa</v>
      </c>
    </row>
    <row r="285" customFormat="false" ht="14.25" hidden="false" customHeight="true" outlineLevel="0" collapsed="false">
      <c r="A285" s="21" t="n">
        <v>7068</v>
      </c>
      <c r="B285" s="21" t="s">
        <v>44</v>
      </c>
      <c r="C285" s="21" t="s">
        <v>263</v>
      </c>
      <c r="E285" s="26" t="str">
        <f aca="false">IF(COUNTIF('Info Strategia'!$D$2:$D$51,$C285)&gt;0,"SI","NO")</f>
        <v>NO</v>
      </c>
      <c r="F285" s="27" t="n">
        <f aca="false">IFERROR(ROUND(($G285+($H285-$G285)*'Info Strategia'!$B$6)*(1+IF($E285="SI",'Parametri Modello'!$B$7*'Info Strategia'!$B$6,0)),0),"")</f>
        <v>2</v>
      </c>
      <c r="G285" s="27" t="n">
        <f aca="false">IFERROR(ROUND(MAX(1,(IF($V285&lt;=INDEX('Parametri Modello'!$C$57:$C$60,MATCH($B285,'Parametri Modello'!$A$57:$A$60,0)),IF(INDEX('Parametri Modello'!$E$57:$E$60,MATCH($B285,'Parametri Modello'!$A$57:$A$60,0))=0,0,($O285/INDEX('Parametri Modello'!$E$57:$E$60,MATCH($B285,'Parametri Modello'!$A$57:$A$60,0)))*(INDEX('Parametri Modello'!$D$57:$D$60,MATCH($B285,'Parametri Modello'!$A$57:$A$60,0))*(INDEX('Parametri Modello'!$B$50:$B$53,MATCH($B285,'Parametri Modello'!$A$50:$A$53,0))*'Parametri Modello'!$B$44))),IF(INDEX('Parametri Modello'!$F$57:$F$60,MATCH($B285,'Parametri Modello'!$A$57:$A$60,0))=0,0,($O285/INDEX('Parametri Modello'!$F$57:$F$60,MATCH($B285,'Parametri Modello'!$A$57:$A$60,0)))*((1-INDEX('Parametri Modello'!$D$57:$D$60,MATCH($B285,'Parametri Modello'!$A$57:$A$60,0)))*(INDEX('Parametri Modello'!$B$50:$B$53,MATCH($B285,'Parametri Modello'!$A$50:$A$53,0))*'Parametri Modello'!$B$44))))*(1+IF(IF($B285="D",'Info Lega'!$B$25,IF($B285="C",'Info Lega'!$B$26,"No"))="Si",'Parametri Modello'!$B$5,0))*(1+MAX(-0.25,MIN(0.25,IF(OR($T285="",$I285="",$I285=0,INDEX('Parametri Modello'!$B$19:$B$22,MATCH($B285,'Parametri Modello'!$A$19:$A$22,0))="",INDEX('Parametri Modello'!$B$19:$B$22,MATCH($B285,'Parametri Modello'!$A$19:$A$22,0))=0),0,(($T285-INDEX('Parametri Modello'!$B$19:$B$22,MATCH($B285,'Parametri Modello'!$A$19:$A$22,0)))/INDEX('Parametri Modello'!$B$19:$B$22,MATCH($B285,'Parametri Modello'!$A$19:$A$22,0)))*'Parametri Modello'!$B$9))))*(1+IF('Parametri Modello'!$B$27="Si",MAX(-'Parametri Modello'!$B$28,MIN('Parametri Modello'!$B$28*1.5,IF(OR(INDEX('Parametri Modello'!$F$32:$F$35,MATCH($B285,'Parametri Modello'!$A$32:$A$35,0))="",INDEX('Parametri Modello'!$F$32:$F$35,MATCH($B285,'Parametri Modello'!$A$32:$A$35,0))=0),0,(1/INDEX('Parametri Modello'!$F$32:$F$35,MATCH($B285,'Parametri Modello'!$A$32:$A$35,0))-1)*'Parametri Modello'!$B$28))),0)))*(1-INDEX('Parametri Modello'!$B$12:$B$15,MATCH($B285,'Parametri Modello'!$A$12:$A$15,0)))),0),"")</f>
        <v>1</v>
      </c>
      <c r="H285" s="27" t="n">
        <f aca="false">IFERROR(ROUND((IF($V285&lt;=INDEX('Parametri Modello'!$C$57:$C$60,MATCH($B285,'Parametri Modello'!$A$57:$A$60,0)),IF(INDEX('Parametri Modello'!$E$57:$E$60,MATCH($B285,'Parametri Modello'!$A$57:$A$60,0))=0,0,($O285/INDEX('Parametri Modello'!$E$57:$E$60,MATCH($B285,'Parametri Modello'!$A$57:$A$60,0)))*(INDEX('Parametri Modello'!$D$57:$D$60,MATCH($B285,'Parametri Modello'!$A$57:$A$60,0))*(INDEX('Parametri Modello'!$B$50:$B$53,MATCH($B285,'Parametri Modello'!$A$50:$A$53,0))*'Parametri Modello'!$B$44))),IF(INDEX('Parametri Modello'!$F$57:$F$60,MATCH($B285,'Parametri Modello'!$A$57:$A$60,0))=0,0,($O285/INDEX('Parametri Modello'!$F$57:$F$60,MATCH($B285,'Parametri Modello'!$A$57:$A$60,0)))*((1-INDEX('Parametri Modello'!$D$57:$D$60,MATCH($B285,'Parametri Modello'!$A$57:$A$60,0)))*(INDEX('Parametri Modello'!$B$50:$B$53,MATCH($B285,'Parametri Modello'!$A$50:$A$53,0))*'Parametri Modello'!$B$44))))*(1+IF(IF($B285="D",'Info Lega'!$B$25,IF($B285="C",'Info Lega'!$B$26,"No"))="Si",'Parametri Modello'!$B$5,0))*(1+MAX(-0.25,MIN(0.25,IF(OR($T285="",$I285="",$I285=0,INDEX('Parametri Modello'!$B$19:$B$22,MATCH($B285,'Parametri Modello'!$A$19:$A$22,0))="",INDEX('Parametri Modello'!$B$19:$B$22,MATCH($B285,'Parametri Modello'!$A$19:$A$22,0))=0),0,(($T285-INDEX('Parametri Modello'!$B$19:$B$22,MATCH($B285,'Parametri Modello'!$A$19:$A$22,0)))/INDEX('Parametri Modello'!$B$19:$B$22,MATCH($B285,'Parametri Modello'!$A$19:$A$22,0)))*'Parametri Modello'!$B$9))))*(1+IF('Parametri Modello'!$B$27="Si",MAX(-'Parametri Modello'!$B$28,MIN('Parametri Modello'!$B$28*1.5,IF(OR(INDEX('Parametri Modello'!$F$32:$F$35,MATCH($B285,'Parametri Modello'!$A$32:$A$35,0))="",INDEX('Parametri Modello'!$F$32:$F$35,MATCH($B285,'Parametri Modello'!$A$32:$A$35,0))=0),0,(1/INDEX('Parametri Modello'!$F$32:$F$35,MATCH($B285,'Parametri Modello'!$A$32:$A$35,0))-1)*'Parametri Modello'!$B$28))),0)))*(1+INDEX('Parametri Modello'!$B$12:$B$15,MATCH($B285,'Parametri Modello'!$A$12:$A$15,0))),0),"")</f>
        <v>2</v>
      </c>
      <c r="I285" s="26" t="n">
        <f aca="false">IFERROR(INDEX('Input Statistiche 2025_26'!$F$3:$F$665,MATCH($A285,'Input Statistiche 2025_26'!$A$3:$A$665,0)),"")</f>
        <v>18</v>
      </c>
      <c r="J285" s="26" t="n">
        <f aca="false">IFERROR(IF($I285="","",MAX(0,38-$I285)),"")</f>
        <v>20</v>
      </c>
      <c r="K285" s="26" t="n">
        <f aca="false">IFERROR(INDEX('Input Statistiche 2025_26'!$I$3:$I$665,MATCH($A285,'Input Statistiche 2025_26'!$A$3:$A$665,0)),"")</f>
        <v>0</v>
      </c>
      <c r="L285" s="26" t="n">
        <f aca="false">IFERROR(INDEX('Input Statistiche 2025_26'!$O$3:$O$665,MATCH($A285,'Input Statistiche 2025_26'!$A$3:$A$665,0)),"")</f>
        <v>0</v>
      </c>
      <c r="M285" s="28"/>
      <c r="N285" s="27" t="n">
        <f aca="false">IFERROR(INDEX('Input Giocatori 2026_27'!$E$3:$E$493,MATCH($A285,'Input Giocatori 2026_27'!$A$3:$A$493,0)),"")</f>
        <v>5</v>
      </c>
      <c r="O285" s="27" t="n">
        <f aca="false">IFERROR(INDEX('Input Giocatori 2026_27'!$G$3:$G$493,MATCH($A285,'Input Giocatori 2026_27'!$A$3:$A$493,0)),"")</f>
        <v>11</v>
      </c>
      <c r="P285" s="26" t="str">
        <f aca="false">IFERROR(IF($O285="","",IF((1-(COUNTIFS($B$2:$B$492,$B285,$O$2:$O$492,"&gt;"&amp;$O285)+1-1)/COUNTIF($B$2:$B$492,$B285))&gt;=0.85,"Top",IF((1-(COUNTIFS($B$2:$B$492,$B285,$O$2:$O$492,"&gt;"&amp;$O285)+1-1)/COUNTIF($B$2:$B$492,$B285))&gt;=0.6,"Buono",IF((1-(COUNTIFS($B$2:$B$492,$B285,$O$2:$O$492,"&gt;"&amp;$O285)+1-1)/COUNTIF($B$2:$B$492,$B285))&gt;=0.3,"Nella Media","Scommessa/Riserva")))),"")</f>
        <v>Nella Media</v>
      </c>
      <c r="Q285" s="29" t="n">
        <f aca="false">IF($D285="",COUNTIF($D$2:$D285,""),"")</f>
        <v>284</v>
      </c>
      <c r="R285" s="29" t="str">
        <f aca="false">IF($D285='Info Lega'!$B$28,COUNTIFS($D$2:$D285,'Info Lega'!$B$28),"")</f>
        <v/>
      </c>
      <c r="S285" s="30" t="n">
        <f aca="false">IFERROR(INDEX('Input Statistiche 2025_26'!$G$3:$G$665,MATCH($A285,'Input Statistiche 2025_26'!$A$3:$A$665,0)),"")</f>
        <v>5.94</v>
      </c>
      <c r="T285" s="30" t="n">
        <f aca="false">IFERROR(INDEX('Input Statistiche 2025_26'!$H$3:$H$665,MATCH($A285,'Input Statistiche 2025_26'!$A$3:$A$665,0)),"")</f>
        <v>5.86</v>
      </c>
      <c r="U285" s="26" t="str">
        <f aca="false">IF(OR('La Mia Rosa'!$O$12="",$D285&lt;&gt;""),"",IF($F285&lt;='La Mia Rosa'!$O$12*'Parametri Modello'!$B$24,"OK",IF($F285&lt;='La Mia Rosa'!$O$12*'Parametri Modello'!$B$25,"Attenzione","Rischio Alto")))</f>
        <v>OK</v>
      </c>
      <c r="V285" s="26" t="n">
        <f aca="false">IFERROR(COUNTIFS($B$2:$B$492,$B285,$O$2:$O$492,"&gt;"&amp;$O285)+1,"")</f>
        <v>90</v>
      </c>
      <c r="W285" s="21" t="n">
        <f aca="false">'Info Lega'!$B$4-SUMIFS($M$2:$M$492,$D$2:$D$492,'Info Lega'!$B$28)</f>
        <v>1000</v>
      </c>
      <c r="X285" s="21" t="n">
        <f aca="false">('Info Lega'!$B$5-COUNTIFS($D$2:$D$492,'Info Lega'!$B$28,$B$2:$B$492,"P"))+('Info Lega'!$B$6-COUNTIFS($D$2:$D$492,'Info Lega'!$B$28,$B$2:$B$492,"D"))+('Info Lega'!$B$7-COUNTIFS($D$2:$D$492,'Info Lega'!$B$28,$B$2:$B$492,"C"))+('Info Lega'!$B$8-COUNTIFS($D$2:$D$492,'Info Lega'!$B$28,$B$2:$B$492,"A"))</f>
        <v>25</v>
      </c>
      <c r="Y285" s="21" t="n">
        <f aca="false">X285*'Parametri Modello'!$B$30</f>
        <v>25</v>
      </c>
      <c r="Z285" s="21" t="n">
        <f aca="false">MAX(0,W285-Y285)</f>
        <v>975</v>
      </c>
      <c r="AA285" s="21" t="n">
        <f aca="false">MIN(F285,Z285)</f>
        <v>2</v>
      </c>
      <c r="AB285" s="21"/>
      <c r="AC285" s="21" t="str">
        <f aca="false">IF(AB285="","",IF(AB285&gt;AA285,"PASS",IF(AB285&lt;=AA285*0.85,"BID","ATTENZIONE")))</f>
        <v/>
      </c>
      <c r="AD285" s="31" t="n">
        <f aca="false">IF(I285="","",ROUND(100*(1-EXP(-I285/30)),0))</f>
        <v>45</v>
      </c>
      <c r="AE285" s="7" t="str">
        <f aca="false">IFERROR(INDEX('Stato Asta'!$G$9:$G$12,MATCH($B285,'Stato Asta'!$A$9:$A$12,0)),"")</f>
        <v>🟡 Attesa rischiosa</v>
      </c>
    </row>
    <row r="286" customFormat="false" ht="14.25" hidden="false" customHeight="true" outlineLevel="0" collapsed="false">
      <c r="A286" s="21" t="n">
        <v>7532</v>
      </c>
      <c r="B286" s="21" t="s">
        <v>44</v>
      </c>
      <c r="C286" s="21" t="s">
        <v>265</v>
      </c>
      <c r="E286" s="26" t="str">
        <f aca="false">IF(COUNTIF('Info Strategia'!$D$2:$D$51,$C286)&gt;0,"SI","NO")</f>
        <v>NO</v>
      </c>
      <c r="F286" s="27" t="n">
        <f aca="false">IFERROR(ROUND(($G286+($H286-$G286)*'Info Strategia'!$B$6)*(1+IF($E286="SI",'Parametri Modello'!$B$7*'Info Strategia'!$B$6,0)),0),"")</f>
        <v>2</v>
      </c>
      <c r="G286" s="27" t="n">
        <f aca="false">IFERROR(ROUND(MAX(1,(IF($V286&lt;=INDEX('Parametri Modello'!$C$57:$C$60,MATCH($B286,'Parametri Modello'!$A$57:$A$60,0)),IF(INDEX('Parametri Modello'!$E$57:$E$60,MATCH($B286,'Parametri Modello'!$A$57:$A$60,0))=0,0,($O286/INDEX('Parametri Modello'!$E$57:$E$60,MATCH($B286,'Parametri Modello'!$A$57:$A$60,0)))*(INDEX('Parametri Modello'!$D$57:$D$60,MATCH($B286,'Parametri Modello'!$A$57:$A$60,0))*(INDEX('Parametri Modello'!$B$50:$B$53,MATCH($B286,'Parametri Modello'!$A$50:$A$53,0))*'Parametri Modello'!$B$44))),IF(INDEX('Parametri Modello'!$F$57:$F$60,MATCH($B286,'Parametri Modello'!$A$57:$A$60,0))=0,0,($O286/INDEX('Parametri Modello'!$F$57:$F$60,MATCH($B286,'Parametri Modello'!$A$57:$A$60,0)))*((1-INDEX('Parametri Modello'!$D$57:$D$60,MATCH($B286,'Parametri Modello'!$A$57:$A$60,0)))*(INDEX('Parametri Modello'!$B$50:$B$53,MATCH($B286,'Parametri Modello'!$A$50:$A$53,0))*'Parametri Modello'!$B$44))))*(1+IF(IF($B286="D",'Info Lega'!$B$25,IF($B286="C",'Info Lega'!$B$26,"No"))="Si",'Parametri Modello'!$B$5,0))*(1+MAX(-0.25,MIN(0.25,IF(OR($T286="",$I286="",$I286=0,INDEX('Parametri Modello'!$B$19:$B$22,MATCH($B286,'Parametri Modello'!$A$19:$A$22,0))="",INDEX('Parametri Modello'!$B$19:$B$22,MATCH($B286,'Parametri Modello'!$A$19:$A$22,0))=0),0,(($T286-INDEX('Parametri Modello'!$B$19:$B$22,MATCH($B286,'Parametri Modello'!$A$19:$A$22,0)))/INDEX('Parametri Modello'!$B$19:$B$22,MATCH($B286,'Parametri Modello'!$A$19:$A$22,0)))*'Parametri Modello'!$B$9))))*(1+IF('Parametri Modello'!$B$27="Si",MAX(-'Parametri Modello'!$B$28,MIN('Parametri Modello'!$B$28*1.5,IF(OR(INDEX('Parametri Modello'!$F$32:$F$35,MATCH($B286,'Parametri Modello'!$A$32:$A$35,0))="",INDEX('Parametri Modello'!$F$32:$F$35,MATCH($B286,'Parametri Modello'!$A$32:$A$35,0))=0),0,(1/INDEX('Parametri Modello'!$F$32:$F$35,MATCH($B286,'Parametri Modello'!$A$32:$A$35,0))-1)*'Parametri Modello'!$B$28))),0)))*(1-INDEX('Parametri Modello'!$B$12:$B$15,MATCH($B286,'Parametri Modello'!$A$12:$A$15,0)))),0),"")</f>
        <v>1</v>
      </c>
      <c r="H286" s="27" t="n">
        <f aca="false">IFERROR(ROUND((IF($V286&lt;=INDEX('Parametri Modello'!$C$57:$C$60,MATCH($B286,'Parametri Modello'!$A$57:$A$60,0)),IF(INDEX('Parametri Modello'!$E$57:$E$60,MATCH($B286,'Parametri Modello'!$A$57:$A$60,0))=0,0,($O286/INDEX('Parametri Modello'!$E$57:$E$60,MATCH($B286,'Parametri Modello'!$A$57:$A$60,0)))*(INDEX('Parametri Modello'!$D$57:$D$60,MATCH($B286,'Parametri Modello'!$A$57:$A$60,0))*(INDEX('Parametri Modello'!$B$50:$B$53,MATCH($B286,'Parametri Modello'!$A$50:$A$53,0))*'Parametri Modello'!$B$44))),IF(INDEX('Parametri Modello'!$F$57:$F$60,MATCH($B286,'Parametri Modello'!$A$57:$A$60,0))=0,0,($O286/INDEX('Parametri Modello'!$F$57:$F$60,MATCH($B286,'Parametri Modello'!$A$57:$A$60,0)))*((1-INDEX('Parametri Modello'!$D$57:$D$60,MATCH($B286,'Parametri Modello'!$A$57:$A$60,0)))*(INDEX('Parametri Modello'!$B$50:$B$53,MATCH($B286,'Parametri Modello'!$A$50:$A$53,0))*'Parametri Modello'!$B$44))))*(1+IF(IF($B286="D",'Info Lega'!$B$25,IF($B286="C",'Info Lega'!$B$26,"No"))="Si",'Parametri Modello'!$B$5,0))*(1+MAX(-0.25,MIN(0.25,IF(OR($T286="",$I286="",$I286=0,INDEX('Parametri Modello'!$B$19:$B$22,MATCH($B286,'Parametri Modello'!$A$19:$A$22,0))="",INDEX('Parametri Modello'!$B$19:$B$22,MATCH($B286,'Parametri Modello'!$A$19:$A$22,0))=0),0,(($T286-INDEX('Parametri Modello'!$B$19:$B$22,MATCH($B286,'Parametri Modello'!$A$19:$A$22,0)))/INDEX('Parametri Modello'!$B$19:$B$22,MATCH($B286,'Parametri Modello'!$A$19:$A$22,0)))*'Parametri Modello'!$B$9))))*(1+IF('Parametri Modello'!$B$27="Si",MAX(-'Parametri Modello'!$B$28,MIN('Parametri Modello'!$B$28*1.5,IF(OR(INDEX('Parametri Modello'!$F$32:$F$35,MATCH($B286,'Parametri Modello'!$A$32:$A$35,0))="",INDEX('Parametri Modello'!$F$32:$F$35,MATCH($B286,'Parametri Modello'!$A$32:$A$35,0))=0),0,(1/INDEX('Parametri Modello'!$F$32:$F$35,MATCH($B286,'Parametri Modello'!$A$32:$A$35,0))-1)*'Parametri Modello'!$B$28))),0)))*(1+INDEX('Parametri Modello'!$B$12:$B$15,MATCH($B286,'Parametri Modello'!$A$12:$A$15,0))),0),"")</f>
        <v>2</v>
      </c>
      <c r="I286" s="26" t="str">
        <f aca="false">IFERROR(INDEX('Input Statistiche 2025_26'!$F$3:$F$665,MATCH($A286,'Input Statistiche 2025_26'!$A$3:$A$665,0)),"")</f>
        <v/>
      </c>
      <c r="J286" s="26" t="str">
        <f aca="false">IFERROR(IF($I286="","",MAX(0,38-$I286)),"")</f>
        <v/>
      </c>
      <c r="K286" s="26" t="str">
        <f aca="false">IFERROR(INDEX('Input Statistiche 2025_26'!$I$3:$I$665,MATCH($A286,'Input Statistiche 2025_26'!$A$3:$A$665,0)),"")</f>
        <v/>
      </c>
      <c r="L286" s="26" t="str">
        <f aca="false">IFERROR(INDEX('Input Statistiche 2025_26'!$O$3:$O$665,MATCH($A286,'Input Statistiche 2025_26'!$A$3:$A$665,0)),"")</f>
        <v/>
      </c>
      <c r="M286" s="28"/>
      <c r="N286" s="27" t="n">
        <f aca="false">IFERROR(INDEX('Input Giocatori 2026_27'!$E$3:$E$493,MATCH($A286,'Input Giocatori 2026_27'!$A$3:$A$493,0)),"")</f>
        <v>5</v>
      </c>
      <c r="O286" s="27" t="n">
        <f aca="false">IFERROR(INDEX('Input Giocatori 2026_27'!$G$3:$G$493,MATCH($A286,'Input Giocatori 2026_27'!$A$3:$A$493,0)),"")</f>
        <v>11</v>
      </c>
      <c r="P286" s="26" t="str">
        <f aca="false">IFERROR(IF($O286="","",IF((1-(COUNTIFS($B$2:$B$492,$B286,$O$2:$O$492,"&gt;"&amp;$O286)+1-1)/COUNTIF($B$2:$B$492,$B286))&gt;=0.85,"Top",IF((1-(COUNTIFS($B$2:$B$492,$B286,$O$2:$O$492,"&gt;"&amp;$O286)+1-1)/COUNTIF($B$2:$B$492,$B286))&gt;=0.6,"Buono",IF((1-(COUNTIFS($B$2:$B$492,$B286,$O$2:$O$492,"&gt;"&amp;$O286)+1-1)/COUNTIF($B$2:$B$492,$B286))&gt;=0.3,"Nella Media","Scommessa/Riserva")))),"")</f>
        <v>Nella Media</v>
      </c>
      <c r="Q286" s="29" t="n">
        <f aca="false">IF($D286="",COUNTIF($D$2:$D286,""),"")</f>
        <v>285</v>
      </c>
      <c r="R286" s="29" t="str">
        <f aca="false">IF($D286='Info Lega'!$B$28,COUNTIFS($D$2:$D286,'Info Lega'!$B$28),"")</f>
        <v/>
      </c>
      <c r="S286" s="30" t="str">
        <f aca="false">IFERROR(INDEX('Input Statistiche 2025_26'!$G$3:$G$665,MATCH($A286,'Input Statistiche 2025_26'!$A$3:$A$665,0)),"")</f>
        <v/>
      </c>
      <c r="T286" s="30" t="str">
        <f aca="false">IFERROR(INDEX('Input Statistiche 2025_26'!$H$3:$H$665,MATCH($A286,'Input Statistiche 2025_26'!$A$3:$A$665,0)),"")</f>
        <v/>
      </c>
      <c r="U286" s="26" t="str">
        <f aca="false">IF(OR('La Mia Rosa'!$O$12="",$D286&lt;&gt;""),"",IF($F286&lt;='La Mia Rosa'!$O$12*'Parametri Modello'!$B$24,"OK",IF($F286&lt;='La Mia Rosa'!$O$12*'Parametri Modello'!$B$25,"Attenzione","Rischio Alto")))</f>
        <v>OK</v>
      </c>
      <c r="V286" s="26" t="n">
        <f aca="false">IFERROR(COUNTIFS($B$2:$B$492,$B286,$O$2:$O$492,"&gt;"&amp;$O286)+1,"")</f>
        <v>90</v>
      </c>
      <c r="W286" s="21" t="n">
        <f aca="false">'Info Lega'!$B$4-SUMIFS($M$2:$M$492,$D$2:$D$492,'Info Lega'!$B$28)</f>
        <v>1000</v>
      </c>
      <c r="X286" s="21" t="n">
        <f aca="false">('Info Lega'!$B$5-COUNTIFS($D$2:$D$492,'Info Lega'!$B$28,$B$2:$B$492,"P"))+('Info Lega'!$B$6-COUNTIFS($D$2:$D$492,'Info Lega'!$B$28,$B$2:$B$492,"D"))+('Info Lega'!$B$7-COUNTIFS($D$2:$D$492,'Info Lega'!$B$28,$B$2:$B$492,"C"))+('Info Lega'!$B$8-COUNTIFS($D$2:$D$492,'Info Lega'!$B$28,$B$2:$B$492,"A"))</f>
        <v>25</v>
      </c>
      <c r="Y286" s="21" t="n">
        <f aca="false">X286*'Parametri Modello'!$B$30</f>
        <v>25</v>
      </c>
      <c r="Z286" s="21" t="n">
        <f aca="false">MAX(0,W286-Y286)</f>
        <v>975</v>
      </c>
      <c r="AA286" s="21" t="n">
        <f aca="false">MIN(F286,Z286)</f>
        <v>2</v>
      </c>
      <c r="AB286" s="21"/>
      <c r="AC286" s="21" t="str">
        <f aca="false">IF(AB286="","",IF(AB286&gt;AA286,"PASS",IF(AB286&lt;=AA286*0.85,"BID","ATTENZIONE")))</f>
        <v/>
      </c>
      <c r="AD286" s="31" t="str">
        <f aca="false">IF(I286="","",ROUND(100*(1-EXP(-I286/30)),0))</f>
        <v/>
      </c>
      <c r="AE286" s="7" t="str">
        <f aca="false">IFERROR(INDEX('Stato Asta'!$G$9:$G$12,MATCH($B286,'Stato Asta'!$A$9:$A$12,0)),"")</f>
        <v>🟡 Attesa rischiosa</v>
      </c>
    </row>
    <row r="287" customFormat="false" ht="14.25" hidden="false" customHeight="true" outlineLevel="0" collapsed="false">
      <c r="A287" s="21" t="n">
        <v>7274</v>
      </c>
      <c r="B287" s="21" t="s">
        <v>44</v>
      </c>
      <c r="C287" s="21" t="s">
        <v>266</v>
      </c>
      <c r="E287" s="26" t="str">
        <f aca="false">IF(COUNTIF('Info Strategia'!$D$2:$D$51,$C287)&gt;0,"SI","NO")</f>
        <v>NO</v>
      </c>
      <c r="F287" s="27" t="n">
        <f aca="false">IFERROR(ROUND(($G287+($H287-$G287)*'Info Strategia'!$B$6)*(1+IF($E287="SI",'Parametri Modello'!$B$7*'Info Strategia'!$B$6,0)),0),"")</f>
        <v>2</v>
      </c>
      <c r="G287" s="27" t="n">
        <f aca="false">IFERROR(ROUND(MAX(1,(IF($V287&lt;=INDEX('Parametri Modello'!$C$57:$C$60,MATCH($B287,'Parametri Modello'!$A$57:$A$60,0)),IF(INDEX('Parametri Modello'!$E$57:$E$60,MATCH($B287,'Parametri Modello'!$A$57:$A$60,0))=0,0,($O287/INDEX('Parametri Modello'!$E$57:$E$60,MATCH($B287,'Parametri Modello'!$A$57:$A$60,0)))*(INDEX('Parametri Modello'!$D$57:$D$60,MATCH($B287,'Parametri Modello'!$A$57:$A$60,0))*(INDEX('Parametri Modello'!$B$50:$B$53,MATCH($B287,'Parametri Modello'!$A$50:$A$53,0))*'Parametri Modello'!$B$44))),IF(INDEX('Parametri Modello'!$F$57:$F$60,MATCH($B287,'Parametri Modello'!$A$57:$A$60,0))=0,0,($O287/INDEX('Parametri Modello'!$F$57:$F$60,MATCH($B287,'Parametri Modello'!$A$57:$A$60,0)))*((1-INDEX('Parametri Modello'!$D$57:$D$60,MATCH($B287,'Parametri Modello'!$A$57:$A$60,0)))*(INDEX('Parametri Modello'!$B$50:$B$53,MATCH($B287,'Parametri Modello'!$A$50:$A$53,0))*'Parametri Modello'!$B$44))))*(1+IF(IF($B287="D",'Info Lega'!$B$25,IF($B287="C",'Info Lega'!$B$26,"No"))="Si",'Parametri Modello'!$B$5,0))*(1+MAX(-0.25,MIN(0.25,IF(OR($T287="",$I287="",$I287=0,INDEX('Parametri Modello'!$B$19:$B$22,MATCH($B287,'Parametri Modello'!$A$19:$A$22,0))="",INDEX('Parametri Modello'!$B$19:$B$22,MATCH($B287,'Parametri Modello'!$A$19:$A$22,0))=0),0,(($T287-INDEX('Parametri Modello'!$B$19:$B$22,MATCH($B287,'Parametri Modello'!$A$19:$A$22,0)))/INDEX('Parametri Modello'!$B$19:$B$22,MATCH($B287,'Parametri Modello'!$A$19:$A$22,0)))*'Parametri Modello'!$B$9))))*(1+IF('Parametri Modello'!$B$27="Si",MAX(-'Parametri Modello'!$B$28,MIN('Parametri Modello'!$B$28*1.5,IF(OR(INDEX('Parametri Modello'!$F$32:$F$35,MATCH($B287,'Parametri Modello'!$A$32:$A$35,0))="",INDEX('Parametri Modello'!$F$32:$F$35,MATCH($B287,'Parametri Modello'!$A$32:$A$35,0))=0),0,(1/INDEX('Parametri Modello'!$F$32:$F$35,MATCH($B287,'Parametri Modello'!$A$32:$A$35,0))-1)*'Parametri Modello'!$B$28))),0)))*(1-INDEX('Parametri Modello'!$B$12:$B$15,MATCH($B287,'Parametri Modello'!$A$12:$A$15,0)))),0),"")</f>
        <v>1</v>
      </c>
      <c r="H287" s="27" t="n">
        <f aca="false">IFERROR(ROUND((IF($V287&lt;=INDEX('Parametri Modello'!$C$57:$C$60,MATCH($B287,'Parametri Modello'!$A$57:$A$60,0)),IF(INDEX('Parametri Modello'!$E$57:$E$60,MATCH($B287,'Parametri Modello'!$A$57:$A$60,0))=0,0,($O287/INDEX('Parametri Modello'!$E$57:$E$60,MATCH($B287,'Parametri Modello'!$A$57:$A$60,0)))*(INDEX('Parametri Modello'!$D$57:$D$60,MATCH($B287,'Parametri Modello'!$A$57:$A$60,0))*(INDEX('Parametri Modello'!$B$50:$B$53,MATCH($B287,'Parametri Modello'!$A$50:$A$53,0))*'Parametri Modello'!$B$44))),IF(INDEX('Parametri Modello'!$F$57:$F$60,MATCH($B287,'Parametri Modello'!$A$57:$A$60,0))=0,0,($O287/INDEX('Parametri Modello'!$F$57:$F$60,MATCH($B287,'Parametri Modello'!$A$57:$A$60,0)))*((1-INDEX('Parametri Modello'!$D$57:$D$60,MATCH($B287,'Parametri Modello'!$A$57:$A$60,0)))*(INDEX('Parametri Modello'!$B$50:$B$53,MATCH($B287,'Parametri Modello'!$A$50:$A$53,0))*'Parametri Modello'!$B$44))))*(1+IF(IF($B287="D",'Info Lega'!$B$25,IF($B287="C",'Info Lega'!$B$26,"No"))="Si",'Parametri Modello'!$B$5,0))*(1+MAX(-0.25,MIN(0.25,IF(OR($T287="",$I287="",$I287=0,INDEX('Parametri Modello'!$B$19:$B$22,MATCH($B287,'Parametri Modello'!$A$19:$A$22,0))="",INDEX('Parametri Modello'!$B$19:$B$22,MATCH($B287,'Parametri Modello'!$A$19:$A$22,0))=0),0,(($T287-INDEX('Parametri Modello'!$B$19:$B$22,MATCH($B287,'Parametri Modello'!$A$19:$A$22,0)))/INDEX('Parametri Modello'!$B$19:$B$22,MATCH($B287,'Parametri Modello'!$A$19:$A$22,0)))*'Parametri Modello'!$B$9))))*(1+IF('Parametri Modello'!$B$27="Si",MAX(-'Parametri Modello'!$B$28,MIN('Parametri Modello'!$B$28*1.5,IF(OR(INDEX('Parametri Modello'!$F$32:$F$35,MATCH($B287,'Parametri Modello'!$A$32:$A$35,0))="",INDEX('Parametri Modello'!$F$32:$F$35,MATCH($B287,'Parametri Modello'!$A$32:$A$35,0))=0),0,(1/INDEX('Parametri Modello'!$F$32:$F$35,MATCH($B287,'Parametri Modello'!$A$32:$A$35,0))-1)*'Parametri Modello'!$B$28))),0)))*(1+INDEX('Parametri Modello'!$B$12:$B$15,MATCH($B287,'Parametri Modello'!$A$12:$A$15,0))),0),"")</f>
        <v>2</v>
      </c>
      <c r="I287" s="26" t="n">
        <f aca="false">IFERROR(INDEX('Input Statistiche 2025_26'!$F$3:$F$665,MATCH($A287,'Input Statistiche 2025_26'!$A$3:$A$665,0)),"")</f>
        <v>22</v>
      </c>
      <c r="J287" s="26" t="n">
        <f aca="false">IFERROR(IF($I287="","",MAX(0,38-$I287)),"")</f>
        <v>16</v>
      </c>
      <c r="K287" s="26" t="n">
        <f aca="false">IFERROR(INDEX('Input Statistiche 2025_26'!$I$3:$I$665,MATCH($A287,'Input Statistiche 2025_26'!$A$3:$A$665,0)),"")</f>
        <v>0</v>
      </c>
      <c r="L287" s="26" t="n">
        <f aca="false">IFERROR(INDEX('Input Statistiche 2025_26'!$O$3:$O$665,MATCH($A287,'Input Statistiche 2025_26'!$A$3:$A$665,0)),"")</f>
        <v>1</v>
      </c>
      <c r="M287" s="28"/>
      <c r="N287" s="27" t="n">
        <f aca="false">IFERROR(INDEX('Input Giocatori 2026_27'!$E$3:$E$493,MATCH($A287,'Input Giocatori 2026_27'!$A$3:$A$493,0)),"")</f>
        <v>5</v>
      </c>
      <c r="O287" s="27" t="n">
        <f aca="false">IFERROR(INDEX('Input Giocatori 2026_27'!$G$3:$G$493,MATCH($A287,'Input Giocatori 2026_27'!$A$3:$A$493,0)),"")</f>
        <v>11</v>
      </c>
      <c r="P287" s="26" t="str">
        <f aca="false">IFERROR(IF($O287="","",IF((1-(COUNTIFS($B$2:$B$492,$B287,$O$2:$O$492,"&gt;"&amp;$O287)+1-1)/COUNTIF($B$2:$B$492,$B287))&gt;=0.85,"Top",IF((1-(COUNTIFS($B$2:$B$492,$B287,$O$2:$O$492,"&gt;"&amp;$O287)+1-1)/COUNTIF($B$2:$B$492,$B287))&gt;=0.6,"Buono",IF((1-(COUNTIFS($B$2:$B$492,$B287,$O$2:$O$492,"&gt;"&amp;$O287)+1-1)/COUNTIF($B$2:$B$492,$B287))&gt;=0.3,"Nella Media","Scommessa/Riserva")))),"")</f>
        <v>Nella Media</v>
      </c>
      <c r="Q287" s="29" t="n">
        <f aca="false">IF($D287="",COUNTIF($D$2:$D287,""),"")</f>
        <v>286</v>
      </c>
      <c r="R287" s="29" t="str">
        <f aca="false">IF($D287='Info Lega'!$B$28,COUNTIFS($D$2:$D287,'Info Lega'!$B$28),"")</f>
        <v/>
      </c>
      <c r="S287" s="30" t="n">
        <f aca="false">IFERROR(INDEX('Input Statistiche 2025_26'!$G$3:$G$665,MATCH($A287,'Input Statistiche 2025_26'!$A$3:$A$665,0)),"")</f>
        <v>5.77</v>
      </c>
      <c r="T287" s="30" t="n">
        <f aca="false">IFERROR(INDEX('Input Statistiche 2025_26'!$H$3:$H$665,MATCH($A287,'Input Statistiche 2025_26'!$A$3:$A$665,0)),"")</f>
        <v>5.68</v>
      </c>
      <c r="U287" s="26" t="str">
        <f aca="false">IF(OR('La Mia Rosa'!$O$12="",$D287&lt;&gt;""),"",IF($F287&lt;='La Mia Rosa'!$O$12*'Parametri Modello'!$B$24,"OK",IF($F287&lt;='La Mia Rosa'!$O$12*'Parametri Modello'!$B$25,"Attenzione","Rischio Alto")))</f>
        <v>OK</v>
      </c>
      <c r="V287" s="26" t="n">
        <f aca="false">IFERROR(COUNTIFS($B$2:$B$492,$B287,$O$2:$O$492,"&gt;"&amp;$O287)+1,"")</f>
        <v>90</v>
      </c>
      <c r="W287" s="21" t="n">
        <f aca="false">'Info Lega'!$B$4-SUMIFS($M$2:$M$492,$D$2:$D$492,'Info Lega'!$B$28)</f>
        <v>1000</v>
      </c>
      <c r="X287" s="21" t="n">
        <f aca="false">('Info Lega'!$B$5-COUNTIFS($D$2:$D$492,'Info Lega'!$B$28,$B$2:$B$492,"P"))+('Info Lega'!$B$6-COUNTIFS($D$2:$D$492,'Info Lega'!$B$28,$B$2:$B$492,"D"))+('Info Lega'!$B$7-COUNTIFS($D$2:$D$492,'Info Lega'!$B$28,$B$2:$B$492,"C"))+('Info Lega'!$B$8-COUNTIFS($D$2:$D$492,'Info Lega'!$B$28,$B$2:$B$492,"A"))</f>
        <v>25</v>
      </c>
      <c r="Y287" s="21" t="n">
        <f aca="false">X287*'Parametri Modello'!$B$30</f>
        <v>25</v>
      </c>
      <c r="Z287" s="21" t="n">
        <f aca="false">MAX(0,W287-Y287)</f>
        <v>975</v>
      </c>
      <c r="AA287" s="21" t="n">
        <f aca="false">MIN(F287,Z287)</f>
        <v>2</v>
      </c>
      <c r="AB287" s="21"/>
      <c r="AC287" s="21" t="str">
        <f aca="false">IF(AB287="","",IF(AB287&gt;AA287,"PASS",IF(AB287&lt;=AA287*0.85,"BID","ATTENZIONE")))</f>
        <v/>
      </c>
      <c r="AD287" s="31" t="n">
        <f aca="false">IF(I287="","",ROUND(100*(1-EXP(-I287/30)),0))</f>
        <v>52</v>
      </c>
      <c r="AE287" s="7" t="str">
        <f aca="false">IFERROR(INDEX('Stato Asta'!$G$9:$G$12,MATCH($B287,'Stato Asta'!$A$9:$A$12,0)),"")</f>
        <v>🟡 Attesa rischiosa</v>
      </c>
    </row>
    <row r="288" customFormat="false" ht="14.25" hidden="false" customHeight="true" outlineLevel="0" collapsed="false">
      <c r="A288" s="21" t="n">
        <v>7469</v>
      </c>
      <c r="B288" s="21" t="s">
        <v>44</v>
      </c>
      <c r="C288" s="21" t="s">
        <v>269</v>
      </c>
      <c r="E288" s="26" t="str">
        <f aca="false">IF(COUNTIF('Info Strategia'!$D$2:$D$51,$C288)&gt;0,"SI","NO")</f>
        <v>NO</v>
      </c>
      <c r="F288" s="27" t="n">
        <f aca="false">IFERROR(ROUND(($G288+($H288-$G288)*'Info Strategia'!$B$6)*(1+IF($E288="SI",'Parametri Modello'!$B$7*'Info Strategia'!$B$6,0)),0),"")</f>
        <v>2</v>
      </c>
      <c r="G288" s="27" t="n">
        <f aca="false">IFERROR(ROUND(MAX(1,(IF($V288&lt;=INDEX('Parametri Modello'!$C$57:$C$60,MATCH($B288,'Parametri Modello'!$A$57:$A$60,0)),IF(INDEX('Parametri Modello'!$E$57:$E$60,MATCH($B288,'Parametri Modello'!$A$57:$A$60,0))=0,0,($O288/INDEX('Parametri Modello'!$E$57:$E$60,MATCH($B288,'Parametri Modello'!$A$57:$A$60,0)))*(INDEX('Parametri Modello'!$D$57:$D$60,MATCH($B288,'Parametri Modello'!$A$57:$A$60,0))*(INDEX('Parametri Modello'!$B$50:$B$53,MATCH($B288,'Parametri Modello'!$A$50:$A$53,0))*'Parametri Modello'!$B$44))),IF(INDEX('Parametri Modello'!$F$57:$F$60,MATCH($B288,'Parametri Modello'!$A$57:$A$60,0))=0,0,($O288/INDEX('Parametri Modello'!$F$57:$F$60,MATCH($B288,'Parametri Modello'!$A$57:$A$60,0)))*((1-INDEX('Parametri Modello'!$D$57:$D$60,MATCH($B288,'Parametri Modello'!$A$57:$A$60,0)))*(INDEX('Parametri Modello'!$B$50:$B$53,MATCH($B288,'Parametri Modello'!$A$50:$A$53,0))*'Parametri Modello'!$B$44))))*(1+IF(IF($B288="D",'Info Lega'!$B$25,IF($B288="C",'Info Lega'!$B$26,"No"))="Si",'Parametri Modello'!$B$5,0))*(1+MAX(-0.25,MIN(0.25,IF(OR($T288="",$I288="",$I288=0,INDEX('Parametri Modello'!$B$19:$B$22,MATCH($B288,'Parametri Modello'!$A$19:$A$22,0))="",INDEX('Parametri Modello'!$B$19:$B$22,MATCH($B288,'Parametri Modello'!$A$19:$A$22,0))=0),0,(($T288-INDEX('Parametri Modello'!$B$19:$B$22,MATCH($B288,'Parametri Modello'!$A$19:$A$22,0)))/INDEX('Parametri Modello'!$B$19:$B$22,MATCH($B288,'Parametri Modello'!$A$19:$A$22,0)))*'Parametri Modello'!$B$9))))*(1+IF('Parametri Modello'!$B$27="Si",MAX(-'Parametri Modello'!$B$28,MIN('Parametri Modello'!$B$28*1.5,IF(OR(INDEX('Parametri Modello'!$F$32:$F$35,MATCH($B288,'Parametri Modello'!$A$32:$A$35,0))="",INDEX('Parametri Modello'!$F$32:$F$35,MATCH($B288,'Parametri Modello'!$A$32:$A$35,0))=0),0,(1/INDEX('Parametri Modello'!$F$32:$F$35,MATCH($B288,'Parametri Modello'!$A$32:$A$35,0))-1)*'Parametri Modello'!$B$28))),0)))*(1-INDEX('Parametri Modello'!$B$12:$B$15,MATCH($B288,'Parametri Modello'!$A$12:$A$15,0)))),0),"")</f>
        <v>1</v>
      </c>
      <c r="H288" s="27" t="n">
        <f aca="false">IFERROR(ROUND((IF($V288&lt;=INDEX('Parametri Modello'!$C$57:$C$60,MATCH($B288,'Parametri Modello'!$A$57:$A$60,0)),IF(INDEX('Parametri Modello'!$E$57:$E$60,MATCH($B288,'Parametri Modello'!$A$57:$A$60,0))=0,0,($O288/INDEX('Parametri Modello'!$E$57:$E$60,MATCH($B288,'Parametri Modello'!$A$57:$A$60,0)))*(INDEX('Parametri Modello'!$D$57:$D$60,MATCH($B288,'Parametri Modello'!$A$57:$A$60,0))*(INDEX('Parametri Modello'!$B$50:$B$53,MATCH($B288,'Parametri Modello'!$A$50:$A$53,0))*'Parametri Modello'!$B$44))),IF(INDEX('Parametri Modello'!$F$57:$F$60,MATCH($B288,'Parametri Modello'!$A$57:$A$60,0))=0,0,($O288/INDEX('Parametri Modello'!$F$57:$F$60,MATCH($B288,'Parametri Modello'!$A$57:$A$60,0)))*((1-INDEX('Parametri Modello'!$D$57:$D$60,MATCH($B288,'Parametri Modello'!$A$57:$A$60,0)))*(INDEX('Parametri Modello'!$B$50:$B$53,MATCH($B288,'Parametri Modello'!$A$50:$A$53,0))*'Parametri Modello'!$B$44))))*(1+IF(IF($B288="D",'Info Lega'!$B$25,IF($B288="C",'Info Lega'!$B$26,"No"))="Si",'Parametri Modello'!$B$5,0))*(1+MAX(-0.25,MIN(0.25,IF(OR($T288="",$I288="",$I288=0,INDEX('Parametri Modello'!$B$19:$B$22,MATCH($B288,'Parametri Modello'!$A$19:$A$22,0))="",INDEX('Parametri Modello'!$B$19:$B$22,MATCH($B288,'Parametri Modello'!$A$19:$A$22,0))=0),0,(($T288-INDEX('Parametri Modello'!$B$19:$B$22,MATCH($B288,'Parametri Modello'!$A$19:$A$22,0)))/INDEX('Parametri Modello'!$B$19:$B$22,MATCH($B288,'Parametri Modello'!$A$19:$A$22,0)))*'Parametri Modello'!$B$9))))*(1+IF('Parametri Modello'!$B$27="Si",MAX(-'Parametri Modello'!$B$28,MIN('Parametri Modello'!$B$28*1.5,IF(OR(INDEX('Parametri Modello'!$F$32:$F$35,MATCH($B288,'Parametri Modello'!$A$32:$A$35,0))="",INDEX('Parametri Modello'!$F$32:$F$35,MATCH($B288,'Parametri Modello'!$A$32:$A$35,0))=0),0,(1/INDEX('Parametri Modello'!$F$32:$F$35,MATCH($B288,'Parametri Modello'!$A$32:$A$35,0))-1)*'Parametri Modello'!$B$28))),0)))*(1+INDEX('Parametri Modello'!$B$12:$B$15,MATCH($B288,'Parametri Modello'!$A$12:$A$15,0))),0),"")</f>
        <v>2</v>
      </c>
      <c r="I288" s="26" t="str">
        <f aca="false">IFERROR(INDEX('Input Statistiche 2025_26'!$F$3:$F$665,MATCH($A288,'Input Statistiche 2025_26'!$A$3:$A$665,0)),"")</f>
        <v/>
      </c>
      <c r="J288" s="26" t="str">
        <f aca="false">IFERROR(IF($I288="","",MAX(0,38-$I288)),"")</f>
        <v/>
      </c>
      <c r="K288" s="26" t="str">
        <f aca="false">IFERROR(INDEX('Input Statistiche 2025_26'!$I$3:$I$665,MATCH($A288,'Input Statistiche 2025_26'!$A$3:$A$665,0)),"")</f>
        <v/>
      </c>
      <c r="L288" s="26" t="str">
        <f aca="false">IFERROR(INDEX('Input Statistiche 2025_26'!$O$3:$O$665,MATCH($A288,'Input Statistiche 2025_26'!$A$3:$A$665,0)),"")</f>
        <v/>
      </c>
      <c r="M288" s="28"/>
      <c r="N288" s="27" t="n">
        <f aca="false">IFERROR(INDEX('Input Giocatori 2026_27'!$E$3:$E$493,MATCH($A288,'Input Giocatori 2026_27'!$A$3:$A$493,0)),"")</f>
        <v>5</v>
      </c>
      <c r="O288" s="27" t="n">
        <f aca="false">IFERROR(INDEX('Input Giocatori 2026_27'!$G$3:$G$493,MATCH($A288,'Input Giocatori 2026_27'!$A$3:$A$493,0)),"")</f>
        <v>11</v>
      </c>
      <c r="P288" s="26" t="str">
        <f aca="false">IFERROR(IF($O288="","",IF((1-(COUNTIFS($B$2:$B$492,$B288,$O$2:$O$492,"&gt;"&amp;$O288)+1-1)/COUNTIF($B$2:$B$492,$B288))&gt;=0.85,"Top",IF((1-(COUNTIFS($B$2:$B$492,$B288,$O$2:$O$492,"&gt;"&amp;$O288)+1-1)/COUNTIF($B$2:$B$492,$B288))&gt;=0.6,"Buono",IF((1-(COUNTIFS($B$2:$B$492,$B288,$O$2:$O$492,"&gt;"&amp;$O288)+1-1)/COUNTIF($B$2:$B$492,$B288))&gt;=0.3,"Nella Media","Scommessa/Riserva")))),"")</f>
        <v>Nella Media</v>
      </c>
      <c r="Q288" s="29" t="n">
        <f aca="false">IF($D288="",COUNTIF($D$2:$D288,""),"")</f>
        <v>287</v>
      </c>
      <c r="R288" s="29" t="str">
        <f aca="false">IF($D288='Info Lega'!$B$28,COUNTIFS($D$2:$D288,'Info Lega'!$B$28),"")</f>
        <v/>
      </c>
      <c r="S288" s="30" t="str">
        <f aca="false">IFERROR(INDEX('Input Statistiche 2025_26'!$G$3:$G$665,MATCH($A288,'Input Statistiche 2025_26'!$A$3:$A$665,0)),"")</f>
        <v/>
      </c>
      <c r="T288" s="30" t="str">
        <f aca="false">IFERROR(INDEX('Input Statistiche 2025_26'!$H$3:$H$665,MATCH($A288,'Input Statistiche 2025_26'!$A$3:$A$665,0)),"")</f>
        <v/>
      </c>
      <c r="U288" s="26" t="str">
        <f aca="false">IF(OR('La Mia Rosa'!$O$12="",$D288&lt;&gt;""),"",IF($F288&lt;='La Mia Rosa'!$O$12*'Parametri Modello'!$B$24,"OK",IF($F288&lt;='La Mia Rosa'!$O$12*'Parametri Modello'!$B$25,"Attenzione","Rischio Alto")))</f>
        <v>OK</v>
      </c>
      <c r="V288" s="26" t="n">
        <f aca="false">IFERROR(COUNTIFS($B$2:$B$492,$B288,$O$2:$O$492,"&gt;"&amp;$O288)+1,"")</f>
        <v>90</v>
      </c>
      <c r="W288" s="21" t="n">
        <f aca="false">'Info Lega'!$B$4-SUMIFS($M$2:$M$492,$D$2:$D$492,'Info Lega'!$B$28)</f>
        <v>1000</v>
      </c>
      <c r="X288" s="21" t="n">
        <f aca="false">('Info Lega'!$B$5-COUNTIFS($D$2:$D$492,'Info Lega'!$B$28,$B$2:$B$492,"P"))+('Info Lega'!$B$6-COUNTIFS($D$2:$D$492,'Info Lega'!$B$28,$B$2:$B$492,"D"))+('Info Lega'!$B$7-COUNTIFS($D$2:$D$492,'Info Lega'!$B$28,$B$2:$B$492,"C"))+('Info Lega'!$B$8-COUNTIFS($D$2:$D$492,'Info Lega'!$B$28,$B$2:$B$492,"A"))</f>
        <v>25</v>
      </c>
      <c r="Y288" s="21" t="n">
        <f aca="false">X288*'Parametri Modello'!$B$30</f>
        <v>25</v>
      </c>
      <c r="Z288" s="21" t="n">
        <f aca="false">MAX(0,W288-Y288)</f>
        <v>975</v>
      </c>
      <c r="AA288" s="21" t="n">
        <f aca="false">MIN(F288,Z288)</f>
        <v>2</v>
      </c>
      <c r="AB288" s="21"/>
      <c r="AC288" s="21" t="str">
        <f aca="false">IF(AB288="","",IF(AB288&gt;AA288,"PASS",IF(AB288&lt;=AA288*0.85,"BID","ATTENZIONE")))</f>
        <v/>
      </c>
      <c r="AD288" s="31" t="str">
        <f aca="false">IF(I288="","",ROUND(100*(1-EXP(-I288/30)),0))</f>
        <v/>
      </c>
      <c r="AE288" s="7" t="str">
        <f aca="false">IFERROR(INDEX('Stato Asta'!$G$9:$G$12,MATCH($B288,'Stato Asta'!$A$9:$A$12,0)),"")</f>
        <v>🟡 Attesa rischiosa</v>
      </c>
    </row>
    <row r="289" customFormat="false" ht="14.25" hidden="false" customHeight="true" outlineLevel="0" collapsed="false">
      <c r="A289" s="21" t="n">
        <v>6990</v>
      </c>
      <c r="B289" s="21" t="s">
        <v>44</v>
      </c>
      <c r="C289" s="21" t="s">
        <v>275</v>
      </c>
      <c r="E289" s="26" t="str">
        <f aca="false">IF(COUNTIF('Info Strategia'!$D$2:$D$51,$C289)&gt;0,"SI","NO")</f>
        <v>NO</v>
      </c>
      <c r="F289" s="27" t="n">
        <f aca="false">IFERROR(ROUND(($G289+($H289-$G289)*'Info Strategia'!$B$6)*(1+IF($E289="SI",'Parametri Modello'!$B$7*'Info Strategia'!$B$6,0)),0),"")</f>
        <v>2</v>
      </c>
      <c r="G289" s="27" t="n">
        <f aca="false">IFERROR(ROUND(MAX(1,(IF($V289&lt;=INDEX('Parametri Modello'!$C$57:$C$60,MATCH($B289,'Parametri Modello'!$A$57:$A$60,0)),IF(INDEX('Parametri Modello'!$E$57:$E$60,MATCH($B289,'Parametri Modello'!$A$57:$A$60,0))=0,0,($O289/INDEX('Parametri Modello'!$E$57:$E$60,MATCH($B289,'Parametri Modello'!$A$57:$A$60,0)))*(INDEX('Parametri Modello'!$D$57:$D$60,MATCH($B289,'Parametri Modello'!$A$57:$A$60,0))*(INDEX('Parametri Modello'!$B$50:$B$53,MATCH($B289,'Parametri Modello'!$A$50:$A$53,0))*'Parametri Modello'!$B$44))),IF(INDEX('Parametri Modello'!$F$57:$F$60,MATCH($B289,'Parametri Modello'!$A$57:$A$60,0))=0,0,($O289/INDEX('Parametri Modello'!$F$57:$F$60,MATCH($B289,'Parametri Modello'!$A$57:$A$60,0)))*((1-INDEX('Parametri Modello'!$D$57:$D$60,MATCH($B289,'Parametri Modello'!$A$57:$A$60,0)))*(INDEX('Parametri Modello'!$B$50:$B$53,MATCH($B289,'Parametri Modello'!$A$50:$A$53,0))*'Parametri Modello'!$B$44))))*(1+IF(IF($B289="D",'Info Lega'!$B$25,IF($B289="C",'Info Lega'!$B$26,"No"))="Si",'Parametri Modello'!$B$5,0))*(1+MAX(-0.25,MIN(0.25,IF(OR($T289="",$I289="",$I289=0,INDEX('Parametri Modello'!$B$19:$B$22,MATCH($B289,'Parametri Modello'!$A$19:$A$22,0))="",INDEX('Parametri Modello'!$B$19:$B$22,MATCH($B289,'Parametri Modello'!$A$19:$A$22,0))=0),0,(($T289-INDEX('Parametri Modello'!$B$19:$B$22,MATCH($B289,'Parametri Modello'!$A$19:$A$22,0)))/INDEX('Parametri Modello'!$B$19:$B$22,MATCH($B289,'Parametri Modello'!$A$19:$A$22,0)))*'Parametri Modello'!$B$9))))*(1+IF('Parametri Modello'!$B$27="Si",MAX(-'Parametri Modello'!$B$28,MIN('Parametri Modello'!$B$28*1.5,IF(OR(INDEX('Parametri Modello'!$F$32:$F$35,MATCH($B289,'Parametri Modello'!$A$32:$A$35,0))="",INDEX('Parametri Modello'!$F$32:$F$35,MATCH($B289,'Parametri Modello'!$A$32:$A$35,0))=0),0,(1/INDEX('Parametri Modello'!$F$32:$F$35,MATCH($B289,'Parametri Modello'!$A$32:$A$35,0))-1)*'Parametri Modello'!$B$28))),0)))*(1-INDEX('Parametri Modello'!$B$12:$B$15,MATCH($B289,'Parametri Modello'!$A$12:$A$15,0)))),0),"")</f>
        <v>1</v>
      </c>
      <c r="H289" s="27" t="n">
        <f aca="false">IFERROR(ROUND((IF($V289&lt;=INDEX('Parametri Modello'!$C$57:$C$60,MATCH($B289,'Parametri Modello'!$A$57:$A$60,0)),IF(INDEX('Parametri Modello'!$E$57:$E$60,MATCH($B289,'Parametri Modello'!$A$57:$A$60,0))=0,0,($O289/INDEX('Parametri Modello'!$E$57:$E$60,MATCH($B289,'Parametri Modello'!$A$57:$A$60,0)))*(INDEX('Parametri Modello'!$D$57:$D$60,MATCH($B289,'Parametri Modello'!$A$57:$A$60,0))*(INDEX('Parametri Modello'!$B$50:$B$53,MATCH($B289,'Parametri Modello'!$A$50:$A$53,0))*'Parametri Modello'!$B$44))),IF(INDEX('Parametri Modello'!$F$57:$F$60,MATCH($B289,'Parametri Modello'!$A$57:$A$60,0))=0,0,($O289/INDEX('Parametri Modello'!$F$57:$F$60,MATCH($B289,'Parametri Modello'!$A$57:$A$60,0)))*((1-INDEX('Parametri Modello'!$D$57:$D$60,MATCH($B289,'Parametri Modello'!$A$57:$A$60,0)))*(INDEX('Parametri Modello'!$B$50:$B$53,MATCH($B289,'Parametri Modello'!$A$50:$A$53,0))*'Parametri Modello'!$B$44))))*(1+IF(IF($B289="D",'Info Lega'!$B$25,IF($B289="C",'Info Lega'!$B$26,"No"))="Si",'Parametri Modello'!$B$5,0))*(1+MAX(-0.25,MIN(0.25,IF(OR($T289="",$I289="",$I289=0,INDEX('Parametri Modello'!$B$19:$B$22,MATCH($B289,'Parametri Modello'!$A$19:$A$22,0))="",INDEX('Parametri Modello'!$B$19:$B$22,MATCH($B289,'Parametri Modello'!$A$19:$A$22,0))=0),0,(($T289-INDEX('Parametri Modello'!$B$19:$B$22,MATCH($B289,'Parametri Modello'!$A$19:$A$22,0)))/INDEX('Parametri Modello'!$B$19:$B$22,MATCH($B289,'Parametri Modello'!$A$19:$A$22,0)))*'Parametri Modello'!$B$9))))*(1+IF('Parametri Modello'!$B$27="Si",MAX(-'Parametri Modello'!$B$28,MIN('Parametri Modello'!$B$28*1.5,IF(OR(INDEX('Parametri Modello'!$F$32:$F$35,MATCH($B289,'Parametri Modello'!$A$32:$A$35,0))="",INDEX('Parametri Modello'!$F$32:$F$35,MATCH($B289,'Parametri Modello'!$A$32:$A$35,0))=0),0,(1/INDEX('Parametri Modello'!$F$32:$F$35,MATCH($B289,'Parametri Modello'!$A$32:$A$35,0))-1)*'Parametri Modello'!$B$28))),0)))*(1+INDEX('Parametri Modello'!$B$12:$B$15,MATCH($B289,'Parametri Modello'!$A$12:$A$15,0))),0),"")</f>
        <v>2</v>
      </c>
      <c r="I289" s="26" t="n">
        <f aca="false">IFERROR(INDEX('Input Statistiche 2025_26'!$F$3:$F$665,MATCH($A289,'Input Statistiche 2025_26'!$A$3:$A$665,0)),"")</f>
        <v>36</v>
      </c>
      <c r="J289" s="26" t="n">
        <f aca="false">IFERROR(IF($I289="","",MAX(0,38-$I289)),"")</f>
        <v>2</v>
      </c>
      <c r="K289" s="26" t="n">
        <f aca="false">IFERROR(INDEX('Input Statistiche 2025_26'!$I$3:$I$665,MATCH($A289,'Input Statistiche 2025_26'!$A$3:$A$665,0)),"")</f>
        <v>0</v>
      </c>
      <c r="L289" s="26" t="n">
        <f aca="false">IFERROR(INDEX('Input Statistiche 2025_26'!$O$3:$O$665,MATCH($A289,'Input Statistiche 2025_26'!$A$3:$A$665,0)),"")</f>
        <v>0</v>
      </c>
      <c r="M289" s="28"/>
      <c r="N289" s="27" t="n">
        <f aca="false">IFERROR(INDEX('Input Giocatori 2026_27'!$E$3:$E$493,MATCH($A289,'Input Giocatori 2026_27'!$A$3:$A$493,0)),"")</f>
        <v>5</v>
      </c>
      <c r="O289" s="27" t="n">
        <f aca="false">IFERROR(INDEX('Input Giocatori 2026_27'!$G$3:$G$493,MATCH($A289,'Input Giocatori 2026_27'!$A$3:$A$493,0)),"")</f>
        <v>11</v>
      </c>
      <c r="P289" s="26" t="str">
        <f aca="false">IFERROR(IF($O289="","",IF((1-(COUNTIFS($B$2:$B$492,$B289,$O$2:$O$492,"&gt;"&amp;$O289)+1-1)/COUNTIF($B$2:$B$492,$B289))&gt;=0.85,"Top",IF((1-(COUNTIFS($B$2:$B$492,$B289,$O$2:$O$492,"&gt;"&amp;$O289)+1-1)/COUNTIF($B$2:$B$492,$B289))&gt;=0.6,"Buono",IF((1-(COUNTIFS($B$2:$B$492,$B289,$O$2:$O$492,"&gt;"&amp;$O289)+1-1)/COUNTIF($B$2:$B$492,$B289))&gt;=0.3,"Nella Media","Scommessa/Riserva")))),"")</f>
        <v>Nella Media</v>
      </c>
      <c r="Q289" s="29" t="n">
        <f aca="false">IF($D289="",COUNTIF($D$2:$D289,""),"")</f>
        <v>288</v>
      </c>
      <c r="R289" s="29" t="str">
        <f aca="false">IF($D289='Info Lega'!$B$28,COUNTIFS($D$2:$D289,'Info Lega'!$B$28),"")</f>
        <v/>
      </c>
      <c r="S289" s="30" t="n">
        <f aca="false">IFERROR(INDEX('Input Statistiche 2025_26'!$G$3:$G$665,MATCH($A289,'Input Statistiche 2025_26'!$A$3:$A$665,0)),"")</f>
        <v>5.82</v>
      </c>
      <c r="T289" s="30" t="n">
        <f aca="false">IFERROR(INDEX('Input Statistiche 2025_26'!$H$3:$H$665,MATCH($A289,'Input Statistiche 2025_26'!$A$3:$A$665,0)),"")</f>
        <v>5.69</v>
      </c>
      <c r="U289" s="26" t="str">
        <f aca="false">IF(OR('La Mia Rosa'!$O$12="",$D289&lt;&gt;""),"",IF($F289&lt;='La Mia Rosa'!$O$12*'Parametri Modello'!$B$24,"OK",IF($F289&lt;='La Mia Rosa'!$O$12*'Parametri Modello'!$B$25,"Attenzione","Rischio Alto")))</f>
        <v>OK</v>
      </c>
      <c r="V289" s="26" t="n">
        <f aca="false">IFERROR(COUNTIFS($B$2:$B$492,$B289,$O$2:$O$492,"&gt;"&amp;$O289)+1,"")</f>
        <v>90</v>
      </c>
      <c r="W289" s="21" t="n">
        <f aca="false">'Info Lega'!$B$4-SUMIFS($M$2:$M$492,$D$2:$D$492,'Info Lega'!$B$28)</f>
        <v>1000</v>
      </c>
      <c r="X289" s="21" t="n">
        <f aca="false">('Info Lega'!$B$5-COUNTIFS($D$2:$D$492,'Info Lega'!$B$28,$B$2:$B$492,"P"))+('Info Lega'!$B$6-COUNTIFS($D$2:$D$492,'Info Lega'!$B$28,$B$2:$B$492,"D"))+('Info Lega'!$B$7-COUNTIFS($D$2:$D$492,'Info Lega'!$B$28,$B$2:$B$492,"C"))+('Info Lega'!$B$8-COUNTIFS($D$2:$D$492,'Info Lega'!$B$28,$B$2:$B$492,"A"))</f>
        <v>25</v>
      </c>
      <c r="Y289" s="21" t="n">
        <f aca="false">X289*'Parametri Modello'!$B$30</f>
        <v>25</v>
      </c>
      <c r="Z289" s="21" t="n">
        <f aca="false">MAX(0,W289-Y289)</f>
        <v>975</v>
      </c>
      <c r="AA289" s="21" t="n">
        <f aca="false">MIN(F289,Z289)</f>
        <v>2</v>
      </c>
      <c r="AB289" s="21"/>
      <c r="AC289" s="21" t="str">
        <f aca="false">IF(AB289="","",IF(AB289&gt;AA289,"PASS",IF(AB289&lt;=AA289*0.85,"BID","ATTENZIONE")))</f>
        <v/>
      </c>
      <c r="AD289" s="31" t="n">
        <f aca="false">IF(I289="","",ROUND(100*(1-EXP(-I289/30)),0))</f>
        <v>70</v>
      </c>
      <c r="AE289" s="7" t="str">
        <f aca="false">IFERROR(INDEX('Stato Asta'!$G$9:$G$12,MATCH($B289,'Stato Asta'!$A$9:$A$12,0)),"")</f>
        <v>🟡 Attesa rischiosa</v>
      </c>
    </row>
    <row r="290" customFormat="false" ht="14.25" hidden="false" customHeight="true" outlineLevel="0" collapsed="false">
      <c r="A290" s="21" t="n">
        <v>6890</v>
      </c>
      <c r="B290" s="21" t="s">
        <v>44</v>
      </c>
      <c r="C290" s="21" t="s">
        <v>279</v>
      </c>
      <c r="E290" s="26" t="str">
        <f aca="false">IF(COUNTIF('Info Strategia'!$D$2:$D$51,$C290)&gt;0,"SI","NO")</f>
        <v>NO</v>
      </c>
      <c r="F290" s="27" t="n">
        <f aca="false">IFERROR(ROUND(($G290+($H290-$G290)*'Info Strategia'!$B$6)*(1+IF($E290="SI",'Parametri Modello'!$B$7*'Info Strategia'!$B$6,0)),0),"")</f>
        <v>2</v>
      </c>
      <c r="G290" s="27" t="n">
        <f aca="false">IFERROR(ROUND(MAX(1,(IF($V290&lt;=INDEX('Parametri Modello'!$C$57:$C$60,MATCH($B290,'Parametri Modello'!$A$57:$A$60,0)),IF(INDEX('Parametri Modello'!$E$57:$E$60,MATCH($B290,'Parametri Modello'!$A$57:$A$60,0))=0,0,($O290/INDEX('Parametri Modello'!$E$57:$E$60,MATCH($B290,'Parametri Modello'!$A$57:$A$60,0)))*(INDEX('Parametri Modello'!$D$57:$D$60,MATCH($B290,'Parametri Modello'!$A$57:$A$60,0))*(INDEX('Parametri Modello'!$B$50:$B$53,MATCH($B290,'Parametri Modello'!$A$50:$A$53,0))*'Parametri Modello'!$B$44))),IF(INDEX('Parametri Modello'!$F$57:$F$60,MATCH($B290,'Parametri Modello'!$A$57:$A$60,0))=0,0,($O290/INDEX('Parametri Modello'!$F$57:$F$60,MATCH($B290,'Parametri Modello'!$A$57:$A$60,0)))*((1-INDEX('Parametri Modello'!$D$57:$D$60,MATCH($B290,'Parametri Modello'!$A$57:$A$60,0)))*(INDEX('Parametri Modello'!$B$50:$B$53,MATCH($B290,'Parametri Modello'!$A$50:$A$53,0))*'Parametri Modello'!$B$44))))*(1+IF(IF($B290="D",'Info Lega'!$B$25,IF($B290="C",'Info Lega'!$B$26,"No"))="Si",'Parametri Modello'!$B$5,0))*(1+MAX(-0.25,MIN(0.25,IF(OR($T290="",$I290="",$I290=0,INDEX('Parametri Modello'!$B$19:$B$22,MATCH($B290,'Parametri Modello'!$A$19:$A$22,0))="",INDEX('Parametri Modello'!$B$19:$B$22,MATCH($B290,'Parametri Modello'!$A$19:$A$22,0))=0),0,(($T290-INDEX('Parametri Modello'!$B$19:$B$22,MATCH($B290,'Parametri Modello'!$A$19:$A$22,0)))/INDEX('Parametri Modello'!$B$19:$B$22,MATCH($B290,'Parametri Modello'!$A$19:$A$22,0)))*'Parametri Modello'!$B$9))))*(1+IF('Parametri Modello'!$B$27="Si",MAX(-'Parametri Modello'!$B$28,MIN('Parametri Modello'!$B$28*1.5,IF(OR(INDEX('Parametri Modello'!$F$32:$F$35,MATCH($B290,'Parametri Modello'!$A$32:$A$35,0))="",INDEX('Parametri Modello'!$F$32:$F$35,MATCH($B290,'Parametri Modello'!$A$32:$A$35,0))=0),0,(1/INDEX('Parametri Modello'!$F$32:$F$35,MATCH($B290,'Parametri Modello'!$A$32:$A$35,0))-1)*'Parametri Modello'!$B$28))),0)))*(1-INDEX('Parametri Modello'!$B$12:$B$15,MATCH($B290,'Parametri Modello'!$A$12:$A$15,0)))),0),"")</f>
        <v>1</v>
      </c>
      <c r="H290" s="27" t="n">
        <f aca="false">IFERROR(ROUND((IF($V290&lt;=INDEX('Parametri Modello'!$C$57:$C$60,MATCH($B290,'Parametri Modello'!$A$57:$A$60,0)),IF(INDEX('Parametri Modello'!$E$57:$E$60,MATCH($B290,'Parametri Modello'!$A$57:$A$60,0))=0,0,($O290/INDEX('Parametri Modello'!$E$57:$E$60,MATCH($B290,'Parametri Modello'!$A$57:$A$60,0)))*(INDEX('Parametri Modello'!$D$57:$D$60,MATCH($B290,'Parametri Modello'!$A$57:$A$60,0))*(INDEX('Parametri Modello'!$B$50:$B$53,MATCH($B290,'Parametri Modello'!$A$50:$A$53,0))*'Parametri Modello'!$B$44))),IF(INDEX('Parametri Modello'!$F$57:$F$60,MATCH($B290,'Parametri Modello'!$A$57:$A$60,0))=0,0,($O290/INDEX('Parametri Modello'!$F$57:$F$60,MATCH($B290,'Parametri Modello'!$A$57:$A$60,0)))*((1-INDEX('Parametri Modello'!$D$57:$D$60,MATCH($B290,'Parametri Modello'!$A$57:$A$60,0)))*(INDEX('Parametri Modello'!$B$50:$B$53,MATCH($B290,'Parametri Modello'!$A$50:$A$53,0))*'Parametri Modello'!$B$44))))*(1+IF(IF($B290="D",'Info Lega'!$B$25,IF($B290="C",'Info Lega'!$B$26,"No"))="Si",'Parametri Modello'!$B$5,0))*(1+MAX(-0.25,MIN(0.25,IF(OR($T290="",$I290="",$I290=0,INDEX('Parametri Modello'!$B$19:$B$22,MATCH($B290,'Parametri Modello'!$A$19:$A$22,0))="",INDEX('Parametri Modello'!$B$19:$B$22,MATCH($B290,'Parametri Modello'!$A$19:$A$22,0))=0),0,(($T290-INDEX('Parametri Modello'!$B$19:$B$22,MATCH($B290,'Parametri Modello'!$A$19:$A$22,0)))/INDEX('Parametri Modello'!$B$19:$B$22,MATCH($B290,'Parametri Modello'!$A$19:$A$22,0)))*'Parametri Modello'!$B$9))))*(1+IF('Parametri Modello'!$B$27="Si",MAX(-'Parametri Modello'!$B$28,MIN('Parametri Modello'!$B$28*1.5,IF(OR(INDEX('Parametri Modello'!$F$32:$F$35,MATCH($B290,'Parametri Modello'!$A$32:$A$35,0))="",INDEX('Parametri Modello'!$F$32:$F$35,MATCH($B290,'Parametri Modello'!$A$32:$A$35,0))=0),0,(1/INDEX('Parametri Modello'!$F$32:$F$35,MATCH($B290,'Parametri Modello'!$A$32:$A$35,0))-1)*'Parametri Modello'!$B$28))),0)))*(1+INDEX('Parametri Modello'!$B$12:$B$15,MATCH($B290,'Parametri Modello'!$A$12:$A$15,0))),0),"")</f>
        <v>2</v>
      </c>
      <c r="I290" s="26" t="str">
        <f aca="false">IFERROR(INDEX('Input Statistiche 2025_26'!$F$3:$F$665,MATCH($A290,'Input Statistiche 2025_26'!$A$3:$A$665,0)),"")</f>
        <v/>
      </c>
      <c r="J290" s="26" t="str">
        <f aca="false">IFERROR(IF($I290="","",MAX(0,38-$I290)),"")</f>
        <v/>
      </c>
      <c r="K290" s="26" t="str">
        <f aca="false">IFERROR(INDEX('Input Statistiche 2025_26'!$I$3:$I$665,MATCH($A290,'Input Statistiche 2025_26'!$A$3:$A$665,0)),"")</f>
        <v/>
      </c>
      <c r="L290" s="26" t="str">
        <f aca="false">IFERROR(INDEX('Input Statistiche 2025_26'!$O$3:$O$665,MATCH($A290,'Input Statistiche 2025_26'!$A$3:$A$665,0)),"")</f>
        <v/>
      </c>
      <c r="M290" s="28"/>
      <c r="N290" s="27" t="n">
        <f aca="false">IFERROR(INDEX('Input Giocatori 2026_27'!$E$3:$E$493,MATCH($A290,'Input Giocatori 2026_27'!$A$3:$A$493,0)),"")</f>
        <v>5</v>
      </c>
      <c r="O290" s="27" t="n">
        <f aca="false">IFERROR(INDEX('Input Giocatori 2026_27'!$G$3:$G$493,MATCH($A290,'Input Giocatori 2026_27'!$A$3:$A$493,0)),"")</f>
        <v>11</v>
      </c>
      <c r="P290" s="26" t="str">
        <f aca="false">IFERROR(IF($O290="","",IF((1-(COUNTIFS($B$2:$B$492,$B290,$O$2:$O$492,"&gt;"&amp;$O290)+1-1)/COUNTIF($B$2:$B$492,$B290))&gt;=0.85,"Top",IF((1-(COUNTIFS($B$2:$B$492,$B290,$O$2:$O$492,"&gt;"&amp;$O290)+1-1)/COUNTIF($B$2:$B$492,$B290))&gt;=0.6,"Buono",IF((1-(COUNTIFS($B$2:$B$492,$B290,$O$2:$O$492,"&gt;"&amp;$O290)+1-1)/COUNTIF($B$2:$B$492,$B290))&gt;=0.3,"Nella Media","Scommessa/Riserva")))),"")</f>
        <v>Nella Media</v>
      </c>
      <c r="Q290" s="29" t="n">
        <f aca="false">IF($D290="",COUNTIF($D$2:$D290,""),"")</f>
        <v>289</v>
      </c>
      <c r="R290" s="29" t="str">
        <f aca="false">IF($D290='Info Lega'!$B$28,COUNTIFS($D$2:$D290,'Info Lega'!$B$28),"")</f>
        <v/>
      </c>
      <c r="S290" s="30" t="str">
        <f aca="false">IFERROR(INDEX('Input Statistiche 2025_26'!$G$3:$G$665,MATCH($A290,'Input Statistiche 2025_26'!$A$3:$A$665,0)),"")</f>
        <v/>
      </c>
      <c r="T290" s="30" t="str">
        <f aca="false">IFERROR(INDEX('Input Statistiche 2025_26'!$H$3:$H$665,MATCH($A290,'Input Statistiche 2025_26'!$A$3:$A$665,0)),"")</f>
        <v/>
      </c>
      <c r="U290" s="26" t="str">
        <f aca="false">IF(OR('La Mia Rosa'!$O$12="",$D290&lt;&gt;""),"",IF($F290&lt;='La Mia Rosa'!$O$12*'Parametri Modello'!$B$24,"OK",IF($F290&lt;='La Mia Rosa'!$O$12*'Parametri Modello'!$B$25,"Attenzione","Rischio Alto")))</f>
        <v>OK</v>
      </c>
      <c r="V290" s="26" t="n">
        <f aca="false">IFERROR(COUNTIFS($B$2:$B$492,$B290,$O$2:$O$492,"&gt;"&amp;$O290)+1,"")</f>
        <v>90</v>
      </c>
      <c r="W290" s="21" t="n">
        <f aca="false">'Info Lega'!$B$4-SUMIFS($M$2:$M$492,$D$2:$D$492,'Info Lega'!$B$28)</f>
        <v>1000</v>
      </c>
      <c r="X290" s="21" t="n">
        <f aca="false">('Info Lega'!$B$5-COUNTIFS($D$2:$D$492,'Info Lega'!$B$28,$B$2:$B$492,"P"))+('Info Lega'!$B$6-COUNTIFS($D$2:$D$492,'Info Lega'!$B$28,$B$2:$B$492,"D"))+('Info Lega'!$B$7-COUNTIFS($D$2:$D$492,'Info Lega'!$B$28,$B$2:$B$492,"C"))+('Info Lega'!$B$8-COUNTIFS($D$2:$D$492,'Info Lega'!$B$28,$B$2:$B$492,"A"))</f>
        <v>25</v>
      </c>
      <c r="Y290" s="21" t="n">
        <f aca="false">X290*'Parametri Modello'!$B$30</f>
        <v>25</v>
      </c>
      <c r="Z290" s="21" t="n">
        <f aca="false">MAX(0,W290-Y290)</f>
        <v>975</v>
      </c>
      <c r="AA290" s="21" t="n">
        <f aca="false">MIN(F290,Z290)</f>
        <v>2</v>
      </c>
      <c r="AB290" s="21"/>
      <c r="AC290" s="21" t="str">
        <f aca="false">IF(AB290="","",IF(AB290&gt;AA290,"PASS",IF(AB290&lt;=AA290*0.85,"BID","ATTENZIONE")))</f>
        <v/>
      </c>
      <c r="AD290" s="31" t="str">
        <f aca="false">IF(I290="","",ROUND(100*(1-EXP(-I290/30)),0))</f>
        <v/>
      </c>
      <c r="AE290" s="7" t="str">
        <f aca="false">IFERROR(INDEX('Stato Asta'!$G$9:$G$12,MATCH($B290,'Stato Asta'!$A$9:$A$12,0)),"")</f>
        <v>🟡 Attesa rischiosa</v>
      </c>
    </row>
    <row r="291" customFormat="false" ht="14.25" hidden="false" customHeight="true" outlineLevel="0" collapsed="false">
      <c r="A291" s="21" t="n">
        <v>5695</v>
      </c>
      <c r="B291" s="21" t="s">
        <v>44</v>
      </c>
      <c r="C291" s="21" t="s">
        <v>280</v>
      </c>
      <c r="E291" s="26" t="str">
        <f aca="false">IF(COUNTIF('Info Strategia'!$D$2:$D$51,$C291)&gt;0,"SI","NO")</f>
        <v>NO</v>
      </c>
      <c r="F291" s="27" t="n">
        <f aca="false">IFERROR(ROUND(($G291+($H291-$G291)*'Info Strategia'!$B$6)*(1+IF($E291="SI",'Parametri Modello'!$B$7*'Info Strategia'!$B$6,0)),0),"")</f>
        <v>2</v>
      </c>
      <c r="G291" s="27" t="n">
        <f aca="false">IFERROR(ROUND(MAX(1,(IF($V291&lt;=INDEX('Parametri Modello'!$C$57:$C$60,MATCH($B291,'Parametri Modello'!$A$57:$A$60,0)),IF(INDEX('Parametri Modello'!$E$57:$E$60,MATCH($B291,'Parametri Modello'!$A$57:$A$60,0))=0,0,($O291/INDEX('Parametri Modello'!$E$57:$E$60,MATCH($B291,'Parametri Modello'!$A$57:$A$60,0)))*(INDEX('Parametri Modello'!$D$57:$D$60,MATCH($B291,'Parametri Modello'!$A$57:$A$60,0))*(INDEX('Parametri Modello'!$B$50:$B$53,MATCH($B291,'Parametri Modello'!$A$50:$A$53,0))*'Parametri Modello'!$B$44))),IF(INDEX('Parametri Modello'!$F$57:$F$60,MATCH($B291,'Parametri Modello'!$A$57:$A$60,0))=0,0,($O291/INDEX('Parametri Modello'!$F$57:$F$60,MATCH($B291,'Parametri Modello'!$A$57:$A$60,0)))*((1-INDEX('Parametri Modello'!$D$57:$D$60,MATCH($B291,'Parametri Modello'!$A$57:$A$60,0)))*(INDEX('Parametri Modello'!$B$50:$B$53,MATCH($B291,'Parametri Modello'!$A$50:$A$53,0))*'Parametri Modello'!$B$44))))*(1+IF(IF($B291="D",'Info Lega'!$B$25,IF($B291="C",'Info Lega'!$B$26,"No"))="Si",'Parametri Modello'!$B$5,0))*(1+MAX(-0.25,MIN(0.25,IF(OR($T291="",$I291="",$I291=0,INDEX('Parametri Modello'!$B$19:$B$22,MATCH($B291,'Parametri Modello'!$A$19:$A$22,0))="",INDEX('Parametri Modello'!$B$19:$B$22,MATCH($B291,'Parametri Modello'!$A$19:$A$22,0))=0),0,(($T291-INDEX('Parametri Modello'!$B$19:$B$22,MATCH($B291,'Parametri Modello'!$A$19:$A$22,0)))/INDEX('Parametri Modello'!$B$19:$B$22,MATCH($B291,'Parametri Modello'!$A$19:$A$22,0)))*'Parametri Modello'!$B$9))))*(1+IF('Parametri Modello'!$B$27="Si",MAX(-'Parametri Modello'!$B$28,MIN('Parametri Modello'!$B$28*1.5,IF(OR(INDEX('Parametri Modello'!$F$32:$F$35,MATCH($B291,'Parametri Modello'!$A$32:$A$35,0))="",INDEX('Parametri Modello'!$F$32:$F$35,MATCH($B291,'Parametri Modello'!$A$32:$A$35,0))=0),0,(1/INDEX('Parametri Modello'!$F$32:$F$35,MATCH($B291,'Parametri Modello'!$A$32:$A$35,0))-1)*'Parametri Modello'!$B$28))),0)))*(1-INDEX('Parametri Modello'!$B$12:$B$15,MATCH($B291,'Parametri Modello'!$A$12:$A$15,0)))),0),"")</f>
        <v>1</v>
      </c>
      <c r="H291" s="27" t="n">
        <f aca="false">IFERROR(ROUND((IF($V291&lt;=INDEX('Parametri Modello'!$C$57:$C$60,MATCH($B291,'Parametri Modello'!$A$57:$A$60,0)),IF(INDEX('Parametri Modello'!$E$57:$E$60,MATCH($B291,'Parametri Modello'!$A$57:$A$60,0))=0,0,($O291/INDEX('Parametri Modello'!$E$57:$E$60,MATCH($B291,'Parametri Modello'!$A$57:$A$60,0)))*(INDEX('Parametri Modello'!$D$57:$D$60,MATCH($B291,'Parametri Modello'!$A$57:$A$60,0))*(INDEX('Parametri Modello'!$B$50:$B$53,MATCH($B291,'Parametri Modello'!$A$50:$A$53,0))*'Parametri Modello'!$B$44))),IF(INDEX('Parametri Modello'!$F$57:$F$60,MATCH($B291,'Parametri Modello'!$A$57:$A$60,0))=0,0,($O291/INDEX('Parametri Modello'!$F$57:$F$60,MATCH($B291,'Parametri Modello'!$A$57:$A$60,0)))*((1-INDEX('Parametri Modello'!$D$57:$D$60,MATCH($B291,'Parametri Modello'!$A$57:$A$60,0)))*(INDEX('Parametri Modello'!$B$50:$B$53,MATCH($B291,'Parametri Modello'!$A$50:$A$53,0))*'Parametri Modello'!$B$44))))*(1+IF(IF($B291="D",'Info Lega'!$B$25,IF($B291="C",'Info Lega'!$B$26,"No"))="Si",'Parametri Modello'!$B$5,0))*(1+MAX(-0.25,MIN(0.25,IF(OR($T291="",$I291="",$I291=0,INDEX('Parametri Modello'!$B$19:$B$22,MATCH($B291,'Parametri Modello'!$A$19:$A$22,0))="",INDEX('Parametri Modello'!$B$19:$B$22,MATCH($B291,'Parametri Modello'!$A$19:$A$22,0))=0),0,(($T291-INDEX('Parametri Modello'!$B$19:$B$22,MATCH($B291,'Parametri Modello'!$A$19:$A$22,0)))/INDEX('Parametri Modello'!$B$19:$B$22,MATCH($B291,'Parametri Modello'!$A$19:$A$22,0)))*'Parametri Modello'!$B$9))))*(1+IF('Parametri Modello'!$B$27="Si",MAX(-'Parametri Modello'!$B$28,MIN('Parametri Modello'!$B$28*1.5,IF(OR(INDEX('Parametri Modello'!$F$32:$F$35,MATCH($B291,'Parametri Modello'!$A$32:$A$35,0))="",INDEX('Parametri Modello'!$F$32:$F$35,MATCH($B291,'Parametri Modello'!$A$32:$A$35,0))=0),0,(1/INDEX('Parametri Modello'!$F$32:$F$35,MATCH($B291,'Parametri Modello'!$A$32:$A$35,0))-1)*'Parametri Modello'!$B$28))),0)))*(1+INDEX('Parametri Modello'!$B$12:$B$15,MATCH($B291,'Parametri Modello'!$A$12:$A$15,0))),0),"")</f>
        <v>2</v>
      </c>
      <c r="I291" s="26" t="str">
        <f aca="false">IFERROR(INDEX('Input Statistiche 2025_26'!$F$3:$F$665,MATCH($A291,'Input Statistiche 2025_26'!$A$3:$A$665,0)),"")</f>
        <v/>
      </c>
      <c r="J291" s="26" t="str">
        <f aca="false">IFERROR(IF($I291="","",MAX(0,38-$I291)),"")</f>
        <v/>
      </c>
      <c r="K291" s="26" t="str">
        <f aca="false">IFERROR(INDEX('Input Statistiche 2025_26'!$I$3:$I$665,MATCH($A291,'Input Statistiche 2025_26'!$A$3:$A$665,0)),"")</f>
        <v/>
      </c>
      <c r="L291" s="26" t="str">
        <f aca="false">IFERROR(INDEX('Input Statistiche 2025_26'!$O$3:$O$665,MATCH($A291,'Input Statistiche 2025_26'!$A$3:$A$665,0)),"")</f>
        <v/>
      </c>
      <c r="M291" s="28"/>
      <c r="N291" s="27" t="n">
        <f aca="false">IFERROR(INDEX('Input Giocatori 2026_27'!$E$3:$E$493,MATCH($A291,'Input Giocatori 2026_27'!$A$3:$A$493,0)),"")</f>
        <v>5</v>
      </c>
      <c r="O291" s="27" t="n">
        <f aca="false">IFERROR(INDEX('Input Giocatori 2026_27'!$G$3:$G$493,MATCH($A291,'Input Giocatori 2026_27'!$A$3:$A$493,0)),"")</f>
        <v>11</v>
      </c>
      <c r="P291" s="26" t="str">
        <f aca="false">IFERROR(IF($O291="","",IF((1-(COUNTIFS($B$2:$B$492,$B291,$O$2:$O$492,"&gt;"&amp;$O291)+1-1)/COUNTIF($B$2:$B$492,$B291))&gt;=0.85,"Top",IF((1-(COUNTIFS($B$2:$B$492,$B291,$O$2:$O$492,"&gt;"&amp;$O291)+1-1)/COUNTIF($B$2:$B$492,$B291))&gt;=0.6,"Buono",IF((1-(COUNTIFS($B$2:$B$492,$B291,$O$2:$O$492,"&gt;"&amp;$O291)+1-1)/COUNTIF($B$2:$B$492,$B291))&gt;=0.3,"Nella Media","Scommessa/Riserva")))),"")</f>
        <v>Nella Media</v>
      </c>
      <c r="Q291" s="29" t="n">
        <f aca="false">IF($D291="",COUNTIF($D$2:$D291,""),"")</f>
        <v>290</v>
      </c>
      <c r="R291" s="29" t="str">
        <f aca="false">IF($D291='Info Lega'!$B$28,COUNTIFS($D$2:$D291,'Info Lega'!$B$28),"")</f>
        <v/>
      </c>
      <c r="S291" s="30" t="str">
        <f aca="false">IFERROR(INDEX('Input Statistiche 2025_26'!$G$3:$G$665,MATCH($A291,'Input Statistiche 2025_26'!$A$3:$A$665,0)),"")</f>
        <v/>
      </c>
      <c r="T291" s="30" t="str">
        <f aca="false">IFERROR(INDEX('Input Statistiche 2025_26'!$H$3:$H$665,MATCH($A291,'Input Statistiche 2025_26'!$A$3:$A$665,0)),"")</f>
        <v/>
      </c>
      <c r="U291" s="26" t="str">
        <f aca="false">IF(OR('La Mia Rosa'!$O$12="",$D291&lt;&gt;""),"",IF($F291&lt;='La Mia Rosa'!$O$12*'Parametri Modello'!$B$24,"OK",IF($F291&lt;='La Mia Rosa'!$O$12*'Parametri Modello'!$B$25,"Attenzione","Rischio Alto")))</f>
        <v>OK</v>
      </c>
      <c r="V291" s="26" t="n">
        <f aca="false">IFERROR(COUNTIFS($B$2:$B$492,$B291,$O$2:$O$492,"&gt;"&amp;$O291)+1,"")</f>
        <v>90</v>
      </c>
      <c r="W291" s="21" t="n">
        <f aca="false">'Info Lega'!$B$4-SUMIFS($M$2:$M$492,$D$2:$D$492,'Info Lega'!$B$28)</f>
        <v>1000</v>
      </c>
      <c r="X291" s="21" t="n">
        <f aca="false">('Info Lega'!$B$5-COUNTIFS($D$2:$D$492,'Info Lega'!$B$28,$B$2:$B$492,"P"))+('Info Lega'!$B$6-COUNTIFS($D$2:$D$492,'Info Lega'!$B$28,$B$2:$B$492,"D"))+('Info Lega'!$B$7-COUNTIFS($D$2:$D$492,'Info Lega'!$B$28,$B$2:$B$492,"C"))+('Info Lega'!$B$8-COUNTIFS($D$2:$D$492,'Info Lega'!$B$28,$B$2:$B$492,"A"))</f>
        <v>25</v>
      </c>
      <c r="Y291" s="21" t="n">
        <f aca="false">X291*'Parametri Modello'!$B$30</f>
        <v>25</v>
      </c>
      <c r="Z291" s="21" t="n">
        <f aca="false">MAX(0,W291-Y291)</f>
        <v>975</v>
      </c>
      <c r="AA291" s="21" t="n">
        <f aca="false">MIN(F291,Z291)</f>
        <v>2</v>
      </c>
      <c r="AB291" s="21"/>
      <c r="AC291" s="21" t="str">
        <f aca="false">IF(AB291="","",IF(AB291&gt;AA291,"PASS",IF(AB291&lt;=AA291*0.85,"BID","ATTENZIONE")))</f>
        <v/>
      </c>
      <c r="AD291" s="31" t="str">
        <f aca="false">IF(I291="","",ROUND(100*(1-EXP(-I291/30)),0))</f>
        <v/>
      </c>
      <c r="AE291" s="7" t="str">
        <f aca="false">IFERROR(INDEX('Stato Asta'!$G$9:$G$12,MATCH($B291,'Stato Asta'!$A$9:$A$12,0)),"")</f>
        <v>🟡 Attesa rischiosa</v>
      </c>
    </row>
    <row r="292" customFormat="false" ht="14.25" hidden="false" customHeight="true" outlineLevel="0" collapsed="false">
      <c r="A292" s="21" t="n">
        <v>2115</v>
      </c>
      <c r="B292" s="21" t="s">
        <v>44</v>
      </c>
      <c r="C292" s="21" t="s">
        <v>288</v>
      </c>
      <c r="E292" s="26" t="str">
        <f aca="false">IF(COUNTIF('Info Strategia'!$D$2:$D$51,$C292)&gt;0,"SI","NO")</f>
        <v>NO</v>
      </c>
      <c r="F292" s="27" t="n">
        <f aca="false">IFERROR(ROUND(($G292+($H292-$G292)*'Info Strategia'!$B$6)*(1+IF($E292="SI",'Parametri Modello'!$B$7*'Info Strategia'!$B$6,0)),0),"")</f>
        <v>2</v>
      </c>
      <c r="G292" s="27" t="n">
        <f aca="false">IFERROR(ROUND(MAX(1,(IF($V292&lt;=INDEX('Parametri Modello'!$C$57:$C$60,MATCH($B292,'Parametri Modello'!$A$57:$A$60,0)),IF(INDEX('Parametri Modello'!$E$57:$E$60,MATCH($B292,'Parametri Modello'!$A$57:$A$60,0))=0,0,($O292/INDEX('Parametri Modello'!$E$57:$E$60,MATCH($B292,'Parametri Modello'!$A$57:$A$60,0)))*(INDEX('Parametri Modello'!$D$57:$D$60,MATCH($B292,'Parametri Modello'!$A$57:$A$60,0))*(INDEX('Parametri Modello'!$B$50:$B$53,MATCH($B292,'Parametri Modello'!$A$50:$A$53,0))*'Parametri Modello'!$B$44))),IF(INDEX('Parametri Modello'!$F$57:$F$60,MATCH($B292,'Parametri Modello'!$A$57:$A$60,0))=0,0,($O292/INDEX('Parametri Modello'!$F$57:$F$60,MATCH($B292,'Parametri Modello'!$A$57:$A$60,0)))*((1-INDEX('Parametri Modello'!$D$57:$D$60,MATCH($B292,'Parametri Modello'!$A$57:$A$60,0)))*(INDEX('Parametri Modello'!$B$50:$B$53,MATCH($B292,'Parametri Modello'!$A$50:$A$53,0))*'Parametri Modello'!$B$44))))*(1+IF(IF($B292="D",'Info Lega'!$B$25,IF($B292="C",'Info Lega'!$B$26,"No"))="Si",'Parametri Modello'!$B$5,0))*(1+MAX(-0.25,MIN(0.25,IF(OR($T292="",$I292="",$I292=0,INDEX('Parametri Modello'!$B$19:$B$22,MATCH($B292,'Parametri Modello'!$A$19:$A$22,0))="",INDEX('Parametri Modello'!$B$19:$B$22,MATCH($B292,'Parametri Modello'!$A$19:$A$22,0))=0),0,(($T292-INDEX('Parametri Modello'!$B$19:$B$22,MATCH($B292,'Parametri Modello'!$A$19:$A$22,0)))/INDEX('Parametri Modello'!$B$19:$B$22,MATCH($B292,'Parametri Modello'!$A$19:$A$22,0)))*'Parametri Modello'!$B$9))))*(1+IF('Parametri Modello'!$B$27="Si",MAX(-'Parametri Modello'!$B$28,MIN('Parametri Modello'!$B$28*1.5,IF(OR(INDEX('Parametri Modello'!$F$32:$F$35,MATCH($B292,'Parametri Modello'!$A$32:$A$35,0))="",INDEX('Parametri Modello'!$F$32:$F$35,MATCH($B292,'Parametri Modello'!$A$32:$A$35,0))=0),0,(1/INDEX('Parametri Modello'!$F$32:$F$35,MATCH($B292,'Parametri Modello'!$A$32:$A$35,0))-1)*'Parametri Modello'!$B$28))),0)))*(1-INDEX('Parametri Modello'!$B$12:$B$15,MATCH($B292,'Parametri Modello'!$A$12:$A$15,0)))),0),"")</f>
        <v>1</v>
      </c>
      <c r="H292" s="27" t="n">
        <f aca="false">IFERROR(ROUND((IF($V292&lt;=INDEX('Parametri Modello'!$C$57:$C$60,MATCH($B292,'Parametri Modello'!$A$57:$A$60,0)),IF(INDEX('Parametri Modello'!$E$57:$E$60,MATCH($B292,'Parametri Modello'!$A$57:$A$60,0))=0,0,($O292/INDEX('Parametri Modello'!$E$57:$E$60,MATCH($B292,'Parametri Modello'!$A$57:$A$60,0)))*(INDEX('Parametri Modello'!$D$57:$D$60,MATCH($B292,'Parametri Modello'!$A$57:$A$60,0))*(INDEX('Parametri Modello'!$B$50:$B$53,MATCH($B292,'Parametri Modello'!$A$50:$A$53,0))*'Parametri Modello'!$B$44))),IF(INDEX('Parametri Modello'!$F$57:$F$60,MATCH($B292,'Parametri Modello'!$A$57:$A$60,0))=0,0,($O292/INDEX('Parametri Modello'!$F$57:$F$60,MATCH($B292,'Parametri Modello'!$A$57:$A$60,0)))*((1-INDEX('Parametri Modello'!$D$57:$D$60,MATCH($B292,'Parametri Modello'!$A$57:$A$60,0)))*(INDEX('Parametri Modello'!$B$50:$B$53,MATCH($B292,'Parametri Modello'!$A$50:$A$53,0))*'Parametri Modello'!$B$44))))*(1+IF(IF($B292="D",'Info Lega'!$B$25,IF($B292="C",'Info Lega'!$B$26,"No"))="Si",'Parametri Modello'!$B$5,0))*(1+MAX(-0.25,MIN(0.25,IF(OR($T292="",$I292="",$I292=0,INDEX('Parametri Modello'!$B$19:$B$22,MATCH($B292,'Parametri Modello'!$A$19:$A$22,0))="",INDEX('Parametri Modello'!$B$19:$B$22,MATCH($B292,'Parametri Modello'!$A$19:$A$22,0))=0),0,(($T292-INDEX('Parametri Modello'!$B$19:$B$22,MATCH($B292,'Parametri Modello'!$A$19:$A$22,0)))/INDEX('Parametri Modello'!$B$19:$B$22,MATCH($B292,'Parametri Modello'!$A$19:$A$22,0)))*'Parametri Modello'!$B$9))))*(1+IF('Parametri Modello'!$B$27="Si",MAX(-'Parametri Modello'!$B$28,MIN('Parametri Modello'!$B$28*1.5,IF(OR(INDEX('Parametri Modello'!$F$32:$F$35,MATCH($B292,'Parametri Modello'!$A$32:$A$35,0))="",INDEX('Parametri Modello'!$F$32:$F$35,MATCH($B292,'Parametri Modello'!$A$32:$A$35,0))=0),0,(1/INDEX('Parametri Modello'!$F$32:$F$35,MATCH($B292,'Parametri Modello'!$A$32:$A$35,0))-1)*'Parametri Modello'!$B$28))),0)))*(1+INDEX('Parametri Modello'!$B$12:$B$15,MATCH($B292,'Parametri Modello'!$A$12:$A$15,0))),0),"")</f>
        <v>2</v>
      </c>
      <c r="I292" s="26" t="str">
        <f aca="false">IFERROR(INDEX('Input Statistiche 2025_26'!$F$3:$F$665,MATCH($A292,'Input Statistiche 2025_26'!$A$3:$A$665,0)),"")</f>
        <v/>
      </c>
      <c r="J292" s="26" t="str">
        <f aca="false">IFERROR(IF($I292="","",MAX(0,38-$I292)),"")</f>
        <v/>
      </c>
      <c r="K292" s="26" t="str">
        <f aca="false">IFERROR(INDEX('Input Statistiche 2025_26'!$I$3:$I$665,MATCH($A292,'Input Statistiche 2025_26'!$A$3:$A$665,0)),"")</f>
        <v/>
      </c>
      <c r="L292" s="26" t="str">
        <f aca="false">IFERROR(INDEX('Input Statistiche 2025_26'!$O$3:$O$665,MATCH($A292,'Input Statistiche 2025_26'!$A$3:$A$665,0)),"")</f>
        <v/>
      </c>
      <c r="M292" s="28"/>
      <c r="N292" s="27" t="n">
        <f aca="false">IFERROR(INDEX('Input Giocatori 2026_27'!$E$3:$E$493,MATCH($A292,'Input Giocatori 2026_27'!$A$3:$A$493,0)),"")</f>
        <v>4</v>
      </c>
      <c r="O292" s="27" t="n">
        <f aca="false">IFERROR(INDEX('Input Giocatori 2026_27'!$G$3:$G$493,MATCH($A292,'Input Giocatori 2026_27'!$A$3:$A$493,0)),"")</f>
        <v>11</v>
      </c>
      <c r="P292" s="26" t="str">
        <f aca="false">IFERROR(IF($O292="","",IF((1-(COUNTIFS($B$2:$B$492,$B292,$O$2:$O$492,"&gt;"&amp;$O292)+1-1)/COUNTIF($B$2:$B$492,$B292))&gt;=0.85,"Top",IF((1-(COUNTIFS($B$2:$B$492,$B292,$O$2:$O$492,"&gt;"&amp;$O292)+1-1)/COUNTIF($B$2:$B$492,$B292))&gt;=0.6,"Buono",IF((1-(COUNTIFS($B$2:$B$492,$B292,$O$2:$O$492,"&gt;"&amp;$O292)+1-1)/COUNTIF($B$2:$B$492,$B292))&gt;=0.3,"Nella Media","Scommessa/Riserva")))),"")</f>
        <v>Nella Media</v>
      </c>
      <c r="Q292" s="29" t="n">
        <f aca="false">IF($D292="",COUNTIF($D$2:$D292,""),"")</f>
        <v>291</v>
      </c>
      <c r="R292" s="29" t="str">
        <f aca="false">IF($D292='Info Lega'!$B$28,COUNTIFS($D$2:$D292,'Info Lega'!$B$28),"")</f>
        <v/>
      </c>
      <c r="S292" s="30" t="str">
        <f aca="false">IFERROR(INDEX('Input Statistiche 2025_26'!$G$3:$G$665,MATCH($A292,'Input Statistiche 2025_26'!$A$3:$A$665,0)),"")</f>
        <v/>
      </c>
      <c r="T292" s="30" t="str">
        <f aca="false">IFERROR(INDEX('Input Statistiche 2025_26'!$H$3:$H$665,MATCH($A292,'Input Statistiche 2025_26'!$A$3:$A$665,0)),"")</f>
        <v/>
      </c>
      <c r="U292" s="26" t="str">
        <f aca="false">IF(OR('La Mia Rosa'!$O$12="",$D292&lt;&gt;""),"",IF($F292&lt;='La Mia Rosa'!$O$12*'Parametri Modello'!$B$24,"OK",IF($F292&lt;='La Mia Rosa'!$O$12*'Parametri Modello'!$B$25,"Attenzione","Rischio Alto")))</f>
        <v>OK</v>
      </c>
      <c r="V292" s="26" t="n">
        <f aca="false">IFERROR(COUNTIFS($B$2:$B$492,$B292,$O$2:$O$492,"&gt;"&amp;$O292)+1,"")</f>
        <v>90</v>
      </c>
      <c r="W292" s="21" t="n">
        <f aca="false">'Info Lega'!$B$4-SUMIFS($M$2:$M$492,$D$2:$D$492,'Info Lega'!$B$28)</f>
        <v>1000</v>
      </c>
      <c r="X292" s="21" t="n">
        <f aca="false">('Info Lega'!$B$5-COUNTIFS($D$2:$D$492,'Info Lega'!$B$28,$B$2:$B$492,"P"))+('Info Lega'!$B$6-COUNTIFS($D$2:$D$492,'Info Lega'!$B$28,$B$2:$B$492,"D"))+('Info Lega'!$B$7-COUNTIFS($D$2:$D$492,'Info Lega'!$B$28,$B$2:$B$492,"C"))+('Info Lega'!$B$8-COUNTIFS($D$2:$D$492,'Info Lega'!$B$28,$B$2:$B$492,"A"))</f>
        <v>25</v>
      </c>
      <c r="Y292" s="21" t="n">
        <f aca="false">X292*'Parametri Modello'!$B$30</f>
        <v>25</v>
      </c>
      <c r="Z292" s="21" t="n">
        <f aca="false">MAX(0,W292-Y292)</f>
        <v>975</v>
      </c>
      <c r="AA292" s="21" t="n">
        <f aca="false">MIN(F292,Z292)</f>
        <v>2</v>
      </c>
      <c r="AB292" s="21"/>
      <c r="AC292" s="21" t="str">
        <f aca="false">IF(AB292="","",IF(AB292&gt;AA292,"PASS",IF(AB292&lt;=AA292*0.85,"BID","ATTENZIONE")))</f>
        <v/>
      </c>
      <c r="AD292" s="31" t="str">
        <f aca="false">IF(I292="","",ROUND(100*(1-EXP(-I292/30)),0))</f>
        <v/>
      </c>
      <c r="AE292" s="7" t="str">
        <f aca="false">IFERROR(INDEX('Stato Asta'!$G$9:$G$12,MATCH($B292,'Stato Asta'!$A$9:$A$12,0)),"")</f>
        <v>🟡 Attesa rischiosa</v>
      </c>
    </row>
    <row r="293" customFormat="false" ht="14.25" hidden="false" customHeight="true" outlineLevel="0" collapsed="false">
      <c r="A293" s="21" t="n">
        <v>4856</v>
      </c>
      <c r="B293" s="21" t="s">
        <v>45</v>
      </c>
      <c r="C293" s="21" t="s">
        <v>441</v>
      </c>
      <c r="E293" s="26" t="str">
        <f aca="false">IF(COUNTIF('Info Strategia'!$D$2:$D$51,$C293)&gt;0,"SI","NO")</f>
        <v>NO</v>
      </c>
      <c r="F293" s="27" t="n">
        <f aca="false">IFERROR(ROUND(($G293+($H293-$G293)*'Info Strategia'!$B$6)*(1+IF($E293="SI",'Parametri Modello'!$B$7*'Info Strategia'!$B$6,0)),0),"")</f>
        <v>2</v>
      </c>
      <c r="G293" s="27" t="n">
        <f aca="false">IFERROR(ROUND(MAX(1,(IF($V293&lt;=INDEX('Parametri Modello'!$C$57:$C$60,MATCH($B293,'Parametri Modello'!$A$57:$A$60,0)),IF(INDEX('Parametri Modello'!$E$57:$E$60,MATCH($B293,'Parametri Modello'!$A$57:$A$60,0))=0,0,($O293/INDEX('Parametri Modello'!$E$57:$E$60,MATCH($B293,'Parametri Modello'!$A$57:$A$60,0)))*(INDEX('Parametri Modello'!$D$57:$D$60,MATCH($B293,'Parametri Modello'!$A$57:$A$60,0))*(INDEX('Parametri Modello'!$B$50:$B$53,MATCH($B293,'Parametri Modello'!$A$50:$A$53,0))*'Parametri Modello'!$B$44))),IF(INDEX('Parametri Modello'!$F$57:$F$60,MATCH($B293,'Parametri Modello'!$A$57:$A$60,0))=0,0,($O293/INDEX('Parametri Modello'!$F$57:$F$60,MATCH($B293,'Parametri Modello'!$A$57:$A$60,0)))*((1-INDEX('Parametri Modello'!$D$57:$D$60,MATCH($B293,'Parametri Modello'!$A$57:$A$60,0)))*(INDEX('Parametri Modello'!$B$50:$B$53,MATCH($B293,'Parametri Modello'!$A$50:$A$53,0))*'Parametri Modello'!$B$44))))*(1+IF(IF($B293="D",'Info Lega'!$B$25,IF($B293="C",'Info Lega'!$B$26,"No"))="Si",'Parametri Modello'!$B$5,0))*(1+MAX(-0.25,MIN(0.25,IF(OR($T293="",$I293="",$I293=0,INDEX('Parametri Modello'!$B$19:$B$22,MATCH($B293,'Parametri Modello'!$A$19:$A$22,0))="",INDEX('Parametri Modello'!$B$19:$B$22,MATCH($B293,'Parametri Modello'!$A$19:$A$22,0))=0),0,(($T293-INDEX('Parametri Modello'!$B$19:$B$22,MATCH($B293,'Parametri Modello'!$A$19:$A$22,0)))/INDEX('Parametri Modello'!$B$19:$B$22,MATCH($B293,'Parametri Modello'!$A$19:$A$22,0)))*'Parametri Modello'!$B$9))))*(1+IF('Parametri Modello'!$B$27="Si",MAX(-'Parametri Modello'!$B$28,MIN('Parametri Modello'!$B$28*1.5,IF(OR(INDEX('Parametri Modello'!$F$32:$F$35,MATCH($B293,'Parametri Modello'!$A$32:$A$35,0))="",INDEX('Parametri Modello'!$F$32:$F$35,MATCH($B293,'Parametri Modello'!$A$32:$A$35,0))=0),0,(1/INDEX('Parametri Modello'!$F$32:$F$35,MATCH($B293,'Parametri Modello'!$A$32:$A$35,0))-1)*'Parametri Modello'!$B$28))),0)))*(1-INDEX('Parametri Modello'!$B$12:$B$15,MATCH($B293,'Parametri Modello'!$A$12:$A$15,0)))),0),"")</f>
        <v>1</v>
      </c>
      <c r="H293" s="27" t="n">
        <f aca="false">IFERROR(ROUND((IF($V293&lt;=INDEX('Parametri Modello'!$C$57:$C$60,MATCH($B293,'Parametri Modello'!$A$57:$A$60,0)),IF(INDEX('Parametri Modello'!$E$57:$E$60,MATCH($B293,'Parametri Modello'!$A$57:$A$60,0))=0,0,($O293/INDEX('Parametri Modello'!$E$57:$E$60,MATCH($B293,'Parametri Modello'!$A$57:$A$60,0)))*(INDEX('Parametri Modello'!$D$57:$D$60,MATCH($B293,'Parametri Modello'!$A$57:$A$60,0))*(INDEX('Parametri Modello'!$B$50:$B$53,MATCH($B293,'Parametri Modello'!$A$50:$A$53,0))*'Parametri Modello'!$B$44))),IF(INDEX('Parametri Modello'!$F$57:$F$60,MATCH($B293,'Parametri Modello'!$A$57:$A$60,0))=0,0,($O293/INDEX('Parametri Modello'!$F$57:$F$60,MATCH($B293,'Parametri Modello'!$A$57:$A$60,0)))*((1-INDEX('Parametri Modello'!$D$57:$D$60,MATCH($B293,'Parametri Modello'!$A$57:$A$60,0)))*(INDEX('Parametri Modello'!$B$50:$B$53,MATCH($B293,'Parametri Modello'!$A$50:$A$53,0))*'Parametri Modello'!$B$44))))*(1+IF(IF($B293="D",'Info Lega'!$B$25,IF($B293="C",'Info Lega'!$B$26,"No"))="Si",'Parametri Modello'!$B$5,0))*(1+MAX(-0.25,MIN(0.25,IF(OR($T293="",$I293="",$I293=0,INDEX('Parametri Modello'!$B$19:$B$22,MATCH($B293,'Parametri Modello'!$A$19:$A$22,0))="",INDEX('Parametri Modello'!$B$19:$B$22,MATCH($B293,'Parametri Modello'!$A$19:$A$22,0))=0),0,(($T293-INDEX('Parametri Modello'!$B$19:$B$22,MATCH($B293,'Parametri Modello'!$A$19:$A$22,0)))/INDEX('Parametri Modello'!$B$19:$B$22,MATCH($B293,'Parametri Modello'!$A$19:$A$22,0)))*'Parametri Modello'!$B$9))))*(1+IF('Parametri Modello'!$B$27="Si",MAX(-'Parametri Modello'!$B$28,MIN('Parametri Modello'!$B$28*1.5,IF(OR(INDEX('Parametri Modello'!$F$32:$F$35,MATCH($B293,'Parametri Modello'!$A$32:$A$35,0))="",INDEX('Parametri Modello'!$F$32:$F$35,MATCH($B293,'Parametri Modello'!$A$32:$A$35,0))=0),0,(1/INDEX('Parametri Modello'!$F$32:$F$35,MATCH($B293,'Parametri Modello'!$A$32:$A$35,0))-1)*'Parametri Modello'!$B$28))),0)))*(1+INDEX('Parametri Modello'!$B$12:$B$15,MATCH($B293,'Parametri Modello'!$A$12:$A$15,0))),0),"")</f>
        <v>2</v>
      </c>
      <c r="I293" s="26" t="n">
        <f aca="false">IFERROR(INDEX('Input Statistiche 2025_26'!$F$3:$F$665,MATCH($A293,'Input Statistiche 2025_26'!$A$3:$A$665,0)),"")</f>
        <v>1</v>
      </c>
      <c r="J293" s="26" t="n">
        <f aca="false">IFERROR(IF($I293="","",MAX(0,38-$I293)),"")</f>
        <v>37</v>
      </c>
      <c r="K293" s="26" t="n">
        <f aca="false">IFERROR(INDEX('Input Statistiche 2025_26'!$I$3:$I$665,MATCH($A293,'Input Statistiche 2025_26'!$A$3:$A$665,0)),"")</f>
        <v>0</v>
      </c>
      <c r="L293" s="26" t="n">
        <f aca="false">IFERROR(INDEX('Input Statistiche 2025_26'!$O$3:$O$665,MATCH($A293,'Input Statistiche 2025_26'!$A$3:$A$665,0)),"")</f>
        <v>0</v>
      </c>
      <c r="M293" s="28"/>
      <c r="N293" s="27" t="n">
        <f aca="false">IFERROR(INDEX('Input Giocatori 2026_27'!$E$3:$E$493,MATCH($A293,'Input Giocatori 2026_27'!$A$3:$A$493,0)),"")</f>
        <v>6</v>
      </c>
      <c r="O293" s="27" t="n">
        <f aca="false">IFERROR(INDEX('Input Giocatori 2026_27'!$G$3:$G$493,MATCH($A293,'Input Giocatori 2026_27'!$A$3:$A$493,0)),"")</f>
        <v>11</v>
      </c>
      <c r="P293" s="26" t="str">
        <f aca="false">IFERROR(IF($O293="","",IF((1-(COUNTIFS($B$2:$B$492,$B293,$O$2:$O$492,"&gt;"&amp;$O293)+1-1)/COUNTIF($B$2:$B$492,$B293))&gt;=0.85,"Top",IF((1-(COUNTIFS($B$2:$B$492,$B293,$O$2:$O$492,"&gt;"&amp;$O293)+1-1)/COUNTIF($B$2:$B$492,$B293))&gt;=0.6,"Buono",IF((1-(COUNTIFS($B$2:$B$492,$B293,$O$2:$O$492,"&gt;"&amp;$O293)+1-1)/COUNTIF($B$2:$B$492,$B293))&gt;=0.3,"Nella Media","Scommessa/Riserva")))),"")</f>
        <v>Nella Media</v>
      </c>
      <c r="Q293" s="29" t="n">
        <f aca="false">IF($D293="",COUNTIF($D$2:$D293,""),"")</f>
        <v>292</v>
      </c>
      <c r="R293" s="29" t="str">
        <f aca="false">IF($D293='Info Lega'!$B$28,COUNTIFS($D$2:$D293,'Info Lega'!$B$28),"")</f>
        <v/>
      </c>
      <c r="S293" s="30" t="n">
        <f aca="false">IFERROR(INDEX('Input Statistiche 2025_26'!$G$3:$G$665,MATCH($A293,'Input Statistiche 2025_26'!$A$3:$A$665,0)),"")</f>
        <v>5.5</v>
      </c>
      <c r="T293" s="30" t="n">
        <f aca="false">IFERROR(INDEX('Input Statistiche 2025_26'!$H$3:$H$665,MATCH($A293,'Input Statistiche 2025_26'!$A$3:$A$665,0)),"")</f>
        <v>5.5</v>
      </c>
      <c r="U293" s="26" t="str">
        <f aca="false">IF(OR('La Mia Rosa'!$O$12="",$D293&lt;&gt;""),"",IF($F293&lt;='La Mia Rosa'!$O$12*'Parametri Modello'!$B$24,"OK",IF($F293&lt;='La Mia Rosa'!$O$12*'Parametri Modello'!$B$25,"Attenzione","Rischio Alto")))</f>
        <v>OK</v>
      </c>
      <c r="V293" s="26" t="n">
        <f aca="false">IFERROR(COUNTIFS($B$2:$B$492,$B293,$O$2:$O$492,"&gt;"&amp;$O293)+1,"")</f>
        <v>115</v>
      </c>
      <c r="W293" s="21" t="n">
        <f aca="false">'Info Lega'!$B$4-SUMIFS($M$2:$M$492,$D$2:$D$492,'Info Lega'!$B$28)</f>
        <v>1000</v>
      </c>
      <c r="X293" s="21" t="n">
        <f aca="false">('Info Lega'!$B$5-COUNTIFS($D$2:$D$492,'Info Lega'!$B$28,$B$2:$B$492,"P"))+('Info Lega'!$B$6-COUNTIFS($D$2:$D$492,'Info Lega'!$B$28,$B$2:$B$492,"D"))+('Info Lega'!$B$7-COUNTIFS($D$2:$D$492,'Info Lega'!$B$28,$B$2:$B$492,"C"))+('Info Lega'!$B$8-COUNTIFS($D$2:$D$492,'Info Lega'!$B$28,$B$2:$B$492,"A"))</f>
        <v>25</v>
      </c>
      <c r="Y293" s="21" t="n">
        <f aca="false">X293*'Parametri Modello'!$B$30</f>
        <v>25</v>
      </c>
      <c r="Z293" s="21" t="n">
        <f aca="false">MAX(0,W293-Y293)</f>
        <v>975</v>
      </c>
      <c r="AA293" s="21" t="n">
        <f aca="false">MIN(F293,Z293)</f>
        <v>2</v>
      </c>
      <c r="AB293" s="21"/>
      <c r="AC293" s="21" t="str">
        <f aca="false">IF(AB293="","",IF(AB293&gt;AA293,"PASS",IF(AB293&lt;=AA293*0.85,"BID","ATTENZIONE")))</f>
        <v/>
      </c>
      <c r="AD293" s="31" t="n">
        <f aca="false">IF(I293="","",ROUND(100*(1-EXP(-I293/30)),0))</f>
        <v>3</v>
      </c>
      <c r="AE293" s="7" t="str">
        <f aca="false">IFERROR(INDEX('Stato Asta'!$G$9:$G$12,MATCH($B293,'Stato Asta'!$A$9:$A$12,0)),"")</f>
        <v>🟡 Attesa rischiosa</v>
      </c>
    </row>
    <row r="294" customFormat="false" ht="14.25" hidden="false" customHeight="true" outlineLevel="0" collapsed="false">
      <c r="A294" s="21" t="n">
        <v>2857</v>
      </c>
      <c r="B294" s="21" t="s">
        <v>45</v>
      </c>
      <c r="C294" s="21" t="s">
        <v>453</v>
      </c>
      <c r="E294" s="26" t="str">
        <f aca="false">IF(COUNTIF('Info Strategia'!$D$2:$D$51,$C294)&gt;0,"SI","NO")</f>
        <v>NO</v>
      </c>
      <c r="F294" s="27" t="n">
        <f aca="false">IFERROR(ROUND(($G294+($H294-$G294)*'Info Strategia'!$B$6)*(1+IF($E294="SI",'Parametri Modello'!$B$7*'Info Strategia'!$B$6,0)),0),"")</f>
        <v>2</v>
      </c>
      <c r="G294" s="27" t="n">
        <f aca="false">IFERROR(ROUND(MAX(1,(IF($V294&lt;=INDEX('Parametri Modello'!$C$57:$C$60,MATCH($B294,'Parametri Modello'!$A$57:$A$60,0)),IF(INDEX('Parametri Modello'!$E$57:$E$60,MATCH($B294,'Parametri Modello'!$A$57:$A$60,0))=0,0,($O294/INDEX('Parametri Modello'!$E$57:$E$60,MATCH($B294,'Parametri Modello'!$A$57:$A$60,0)))*(INDEX('Parametri Modello'!$D$57:$D$60,MATCH($B294,'Parametri Modello'!$A$57:$A$60,0))*(INDEX('Parametri Modello'!$B$50:$B$53,MATCH($B294,'Parametri Modello'!$A$50:$A$53,0))*'Parametri Modello'!$B$44))),IF(INDEX('Parametri Modello'!$F$57:$F$60,MATCH($B294,'Parametri Modello'!$A$57:$A$60,0))=0,0,($O294/INDEX('Parametri Modello'!$F$57:$F$60,MATCH($B294,'Parametri Modello'!$A$57:$A$60,0)))*((1-INDEX('Parametri Modello'!$D$57:$D$60,MATCH($B294,'Parametri Modello'!$A$57:$A$60,0)))*(INDEX('Parametri Modello'!$B$50:$B$53,MATCH($B294,'Parametri Modello'!$A$50:$A$53,0))*'Parametri Modello'!$B$44))))*(1+IF(IF($B294="D",'Info Lega'!$B$25,IF($B294="C",'Info Lega'!$B$26,"No"))="Si",'Parametri Modello'!$B$5,0))*(1+MAX(-0.25,MIN(0.25,IF(OR($T294="",$I294="",$I294=0,INDEX('Parametri Modello'!$B$19:$B$22,MATCH($B294,'Parametri Modello'!$A$19:$A$22,0))="",INDEX('Parametri Modello'!$B$19:$B$22,MATCH($B294,'Parametri Modello'!$A$19:$A$22,0))=0),0,(($T294-INDEX('Parametri Modello'!$B$19:$B$22,MATCH($B294,'Parametri Modello'!$A$19:$A$22,0)))/INDEX('Parametri Modello'!$B$19:$B$22,MATCH($B294,'Parametri Modello'!$A$19:$A$22,0)))*'Parametri Modello'!$B$9))))*(1+IF('Parametri Modello'!$B$27="Si",MAX(-'Parametri Modello'!$B$28,MIN('Parametri Modello'!$B$28*1.5,IF(OR(INDEX('Parametri Modello'!$F$32:$F$35,MATCH($B294,'Parametri Modello'!$A$32:$A$35,0))="",INDEX('Parametri Modello'!$F$32:$F$35,MATCH($B294,'Parametri Modello'!$A$32:$A$35,0))=0),0,(1/INDEX('Parametri Modello'!$F$32:$F$35,MATCH($B294,'Parametri Modello'!$A$32:$A$35,0))-1)*'Parametri Modello'!$B$28))),0)))*(1-INDEX('Parametri Modello'!$B$12:$B$15,MATCH($B294,'Parametri Modello'!$A$12:$A$15,0)))),0),"")</f>
        <v>1</v>
      </c>
      <c r="H294" s="27" t="n">
        <f aca="false">IFERROR(ROUND((IF($V294&lt;=INDEX('Parametri Modello'!$C$57:$C$60,MATCH($B294,'Parametri Modello'!$A$57:$A$60,0)),IF(INDEX('Parametri Modello'!$E$57:$E$60,MATCH($B294,'Parametri Modello'!$A$57:$A$60,0))=0,0,($O294/INDEX('Parametri Modello'!$E$57:$E$60,MATCH($B294,'Parametri Modello'!$A$57:$A$60,0)))*(INDEX('Parametri Modello'!$D$57:$D$60,MATCH($B294,'Parametri Modello'!$A$57:$A$60,0))*(INDEX('Parametri Modello'!$B$50:$B$53,MATCH($B294,'Parametri Modello'!$A$50:$A$53,0))*'Parametri Modello'!$B$44))),IF(INDEX('Parametri Modello'!$F$57:$F$60,MATCH($B294,'Parametri Modello'!$A$57:$A$60,0))=0,0,($O294/INDEX('Parametri Modello'!$F$57:$F$60,MATCH($B294,'Parametri Modello'!$A$57:$A$60,0)))*((1-INDEX('Parametri Modello'!$D$57:$D$60,MATCH($B294,'Parametri Modello'!$A$57:$A$60,0)))*(INDEX('Parametri Modello'!$B$50:$B$53,MATCH($B294,'Parametri Modello'!$A$50:$A$53,0))*'Parametri Modello'!$B$44))))*(1+IF(IF($B294="D",'Info Lega'!$B$25,IF($B294="C",'Info Lega'!$B$26,"No"))="Si",'Parametri Modello'!$B$5,0))*(1+MAX(-0.25,MIN(0.25,IF(OR($T294="",$I294="",$I294=0,INDEX('Parametri Modello'!$B$19:$B$22,MATCH($B294,'Parametri Modello'!$A$19:$A$22,0))="",INDEX('Parametri Modello'!$B$19:$B$22,MATCH($B294,'Parametri Modello'!$A$19:$A$22,0))=0),0,(($T294-INDEX('Parametri Modello'!$B$19:$B$22,MATCH($B294,'Parametri Modello'!$A$19:$A$22,0)))/INDEX('Parametri Modello'!$B$19:$B$22,MATCH($B294,'Parametri Modello'!$A$19:$A$22,0)))*'Parametri Modello'!$B$9))))*(1+IF('Parametri Modello'!$B$27="Si",MAX(-'Parametri Modello'!$B$28,MIN('Parametri Modello'!$B$28*1.5,IF(OR(INDEX('Parametri Modello'!$F$32:$F$35,MATCH($B294,'Parametri Modello'!$A$32:$A$35,0))="",INDEX('Parametri Modello'!$F$32:$F$35,MATCH($B294,'Parametri Modello'!$A$32:$A$35,0))=0),0,(1/INDEX('Parametri Modello'!$F$32:$F$35,MATCH($B294,'Parametri Modello'!$A$32:$A$35,0))-1)*'Parametri Modello'!$B$28))),0)))*(1+INDEX('Parametri Modello'!$B$12:$B$15,MATCH($B294,'Parametri Modello'!$A$12:$A$15,0))),0),"")</f>
        <v>2</v>
      </c>
      <c r="I294" s="26" t="str">
        <f aca="false">IFERROR(INDEX('Input Statistiche 2025_26'!$F$3:$F$665,MATCH($A294,'Input Statistiche 2025_26'!$A$3:$A$665,0)),"")</f>
        <v/>
      </c>
      <c r="J294" s="26" t="str">
        <f aca="false">IFERROR(IF($I294="","",MAX(0,38-$I294)),"")</f>
        <v/>
      </c>
      <c r="K294" s="26" t="str">
        <f aca="false">IFERROR(INDEX('Input Statistiche 2025_26'!$I$3:$I$665,MATCH($A294,'Input Statistiche 2025_26'!$A$3:$A$665,0)),"")</f>
        <v/>
      </c>
      <c r="L294" s="26" t="str">
        <f aca="false">IFERROR(INDEX('Input Statistiche 2025_26'!$O$3:$O$665,MATCH($A294,'Input Statistiche 2025_26'!$A$3:$A$665,0)),"")</f>
        <v/>
      </c>
      <c r="M294" s="28"/>
      <c r="N294" s="27" t="n">
        <f aca="false">IFERROR(INDEX('Input Giocatori 2026_27'!$E$3:$E$493,MATCH($A294,'Input Giocatori 2026_27'!$A$3:$A$493,0)),"")</f>
        <v>5</v>
      </c>
      <c r="O294" s="27" t="n">
        <f aca="false">IFERROR(INDEX('Input Giocatori 2026_27'!$G$3:$G$493,MATCH($A294,'Input Giocatori 2026_27'!$A$3:$A$493,0)),"")</f>
        <v>11</v>
      </c>
      <c r="P294" s="26" t="str">
        <f aca="false">IFERROR(IF($O294="","",IF((1-(COUNTIFS($B$2:$B$492,$B294,$O$2:$O$492,"&gt;"&amp;$O294)+1-1)/COUNTIF($B$2:$B$492,$B294))&gt;=0.85,"Top",IF((1-(COUNTIFS($B$2:$B$492,$B294,$O$2:$O$492,"&gt;"&amp;$O294)+1-1)/COUNTIF($B$2:$B$492,$B294))&gt;=0.6,"Buono",IF((1-(COUNTIFS($B$2:$B$492,$B294,$O$2:$O$492,"&gt;"&amp;$O294)+1-1)/COUNTIF($B$2:$B$492,$B294))&gt;=0.3,"Nella Media","Scommessa/Riserva")))),"")</f>
        <v>Nella Media</v>
      </c>
      <c r="Q294" s="29" t="n">
        <f aca="false">IF($D294="",COUNTIF($D$2:$D294,""),"")</f>
        <v>293</v>
      </c>
      <c r="R294" s="29" t="str">
        <f aca="false">IF($D294='Info Lega'!$B$28,COUNTIFS($D$2:$D294,'Info Lega'!$B$28),"")</f>
        <v/>
      </c>
      <c r="S294" s="30" t="str">
        <f aca="false">IFERROR(INDEX('Input Statistiche 2025_26'!$G$3:$G$665,MATCH($A294,'Input Statistiche 2025_26'!$A$3:$A$665,0)),"")</f>
        <v/>
      </c>
      <c r="T294" s="30" t="str">
        <f aca="false">IFERROR(INDEX('Input Statistiche 2025_26'!$H$3:$H$665,MATCH($A294,'Input Statistiche 2025_26'!$A$3:$A$665,0)),"")</f>
        <v/>
      </c>
      <c r="U294" s="26" t="str">
        <f aca="false">IF(OR('La Mia Rosa'!$O$12="",$D294&lt;&gt;""),"",IF($F294&lt;='La Mia Rosa'!$O$12*'Parametri Modello'!$B$24,"OK",IF($F294&lt;='La Mia Rosa'!$O$12*'Parametri Modello'!$B$25,"Attenzione","Rischio Alto")))</f>
        <v>OK</v>
      </c>
      <c r="V294" s="26" t="n">
        <f aca="false">IFERROR(COUNTIFS($B$2:$B$492,$B294,$O$2:$O$492,"&gt;"&amp;$O294)+1,"")</f>
        <v>115</v>
      </c>
      <c r="W294" s="21" t="n">
        <f aca="false">'Info Lega'!$B$4-SUMIFS($M$2:$M$492,$D$2:$D$492,'Info Lega'!$B$28)</f>
        <v>1000</v>
      </c>
      <c r="X294" s="21" t="n">
        <f aca="false">('Info Lega'!$B$5-COUNTIFS($D$2:$D$492,'Info Lega'!$B$28,$B$2:$B$492,"P"))+('Info Lega'!$B$6-COUNTIFS($D$2:$D$492,'Info Lega'!$B$28,$B$2:$B$492,"D"))+('Info Lega'!$B$7-COUNTIFS($D$2:$D$492,'Info Lega'!$B$28,$B$2:$B$492,"C"))+('Info Lega'!$B$8-COUNTIFS($D$2:$D$492,'Info Lega'!$B$28,$B$2:$B$492,"A"))</f>
        <v>25</v>
      </c>
      <c r="Y294" s="21" t="n">
        <f aca="false">X294*'Parametri Modello'!$B$30</f>
        <v>25</v>
      </c>
      <c r="Z294" s="21" t="n">
        <f aca="false">MAX(0,W294-Y294)</f>
        <v>975</v>
      </c>
      <c r="AA294" s="21" t="n">
        <f aca="false">MIN(F294,Z294)</f>
        <v>2</v>
      </c>
      <c r="AB294" s="21"/>
      <c r="AC294" s="21" t="str">
        <f aca="false">IF(AB294="","",IF(AB294&gt;AA294,"PASS",IF(AB294&lt;=AA294*0.85,"BID","ATTENZIONE")))</f>
        <v/>
      </c>
      <c r="AD294" s="31" t="str">
        <f aca="false">IF(I294="","",ROUND(100*(1-EXP(-I294/30)),0))</f>
        <v/>
      </c>
      <c r="AE294" s="7" t="str">
        <f aca="false">IFERROR(INDEX('Stato Asta'!$G$9:$G$12,MATCH($B294,'Stato Asta'!$A$9:$A$12,0)),"")</f>
        <v>🟡 Attesa rischiosa</v>
      </c>
    </row>
    <row r="295" customFormat="false" ht="14.25" hidden="false" customHeight="true" outlineLevel="0" collapsed="false">
      <c r="A295" s="21" t="n">
        <v>7473</v>
      </c>
      <c r="B295" s="21" t="s">
        <v>45</v>
      </c>
      <c r="C295" s="21" t="s">
        <v>476</v>
      </c>
      <c r="E295" s="26" t="str">
        <f aca="false">IF(COUNTIF('Info Strategia'!$D$2:$D$51,$C295)&gt;0,"SI","NO")</f>
        <v>NO</v>
      </c>
      <c r="F295" s="27" t="n">
        <f aca="false">IFERROR(ROUND(($G295+($H295-$G295)*'Info Strategia'!$B$6)*(1+IF($E295="SI",'Parametri Modello'!$B$7*'Info Strategia'!$B$6,0)),0),"")</f>
        <v>2</v>
      </c>
      <c r="G295" s="27" t="n">
        <f aca="false">IFERROR(ROUND(MAX(1,(IF($V295&lt;=INDEX('Parametri Modello'!$C$57:$C$60,MATCH($B295,'Parametri Modello'!$A$57:$A$60,0)),IF(INDEX('Parametri Modello'!$E$57:$E$60,MATCH($B295,'Parametri Modello'!$A$57:$A$60,0))=0,0,($O295/INDEX('Parametri Modello'!$E$57:$E$60,MATCH($B295,'Parametri Modello'!$A$57:$A$60,0)))*(INDEX('Parametri Modello'!$D$57:$D$60,MATCH($B295,'Parametri Modello'!$A$57:$A$60,0))*(INDEX('Parametri Modello'!$B$50:$B$53,MATCH($B295,'Parametri Modello'!$A$50:$A$53,0))*'Parametri Modello'!$B$44))),IF(INDEX('Parametri Modello'!$F$57:$F$60,MATCH($B295,'Parametri Modello'!$A$57:$A$60,0))=0,0,($O295/INDEX('Parametri Modello'!$F$57:$F$60,MATCH($B295,'Parametri Modello'!$A$57:$A$60,0)))*((1-INDEX('Parametri Modello'!$D$57:$D$60,MATCH($B295,'Parametri Modello'!$A$57:$A$60,0)))*(INDEX('Parametri Modello'!$B$50:$B$53,MATCH($B295,'Parametri Modello'!$A$50:$A$53,0))*'Parametri Modello'!$B$44))))*(1+IF(IF($B295="D",'Info Lega'!$B$25,IF($B295="C",'Info Lega'!$B$26,"No"))="Si",'Parametri Modello'!$B$5,0))*(1+MAX(-0.25,MIN(0.25,IF(OR($T295="",$I295="",$I295=0,INDEX('Parametri Modello'!$B$19:$B$22,MATCH($B295,'Parametri Modello'!$A$19:$A$22,0))="",INDEX('Parametri Modello'!$B$19:$B$22,MATCH($B295,'Parametri Modello'!$A$19:$A$22,0))=0),0,(($T295-INDEX('Parametri Modello'!$B$19:$B$22,MATCH($B295,'Parametri Modello'!$A$19:$A$22,0)))/INDEX('Parametri Modello'!$B$19:$B$22,MATCH($B295,'Parametri Modello'!$A$19:$A$22,0)))*'Parametri Modello'!$B$9))))*(1+IF('Parametri Modello'!$B$27="Si",MAX(-'Parametri Modello'!$B$28,MIN('Parametri Modello'!$B$28*1.5,IF(OR(INDEX('Parametri Modello'!$F$32:$F$35,MATCH($B295,'Parametri Modello'!$A$32:$A$35,0))="",INDEX('Parametri Modello'!$F$32:$F$35,MATCH($B295,'Parametri Modello'!$A$32:$A$35,0))=0),0,(1/INDEX('Parametri Modello'!$F$32:$F$35,MATCH($B295,'Parametri Modello'!$A$32:$A$35,0))-1)*'Parametri Modello'!$B$28))),0)))*(1-INDEX('Parametri Modello'!$B$12:$B$15,MATCH($B295,'Parametri Modello'!$A$12:$A$15,0)))),0),"")</f>
        <v>1</v>
      </c>
      <c r="H295" s="27" t="n">
        <f aca="false">IFERROR(ROUND((IF($V295&lt;=INDEX('Parametri Modello'!$C$57:$C$60,MATCH($B295,'Parametri Modello'!$A$57:$A$60,0)),IF(INDEX('Parametri Modello'!$E$57:$E$60,MATCH($B295,'Parametri Modello'!$A$57:$A$60,0))=0,0,($O295/INDEX('Parametri Modello'!$E$57:$E$60,MATCH($B295,'Parametri Modello'!$A$57:$A$60,0)))*(INDEX('Parametri Modello'!$D$57:$D$60,MATCH($B295,'Parametri Modello'!$A$57:$A$60,0))*(INDEX('Parametri Modello'!$B$50:$B$53,MATCH($B295,'Parametri Modello'!$A$50:$A$53,0))*'Parametri Modello'!$B$44))),IF(INDEX('Parametri Modello'!$F$57:$F$60,MATCH($B295,'Parametri Modello'!$A$57:$A$60,0))=0,0,($O295/INDEX('Parametri Modello'!$F$57:$F$60,MATCH($B295,'Parametri Modello'!$A$57:$A$60,0)))*((1-INDEX('Parametri Modello'!$D$57:$D$60,MATCH($B295,'Parametri Modello'!$A$57:$A$60,0)))*(INDEX('Parametri Modello'!$B$50:$B$53,MATCH($B295,'Parametri Modello'!$A$50:$A$53,0))*'Parametri Modello'!$B$44))))*(1+IF(IF($B295="D",'Info Lega'!$B$25,IF($B295="C",'Info Lega'!$B$26,"No"))="Si",'Parametri Modello'!$B$5,0))*(1+MAX(-0.25,MIN(0.25,IF(OR($T295="",$I295="",$I295=0,INDEX('Parametri Modello'!$B$19:$B$22,MATCH($B295,'Parametri Modello'!$A$19:$A$22,0))="",INDEX('Parametri Modello'!$B$19:$B$22,MATCH($B295,'Parametri Modello'!$A$19:$A$22,0))=0),0,(($T295-INDEX('Parametri Modello'!$B$19:$B$22,MATCH($B295,'Parametri Modello'!$A$19:$A$22,0)))/INDEX('Parametri Modello'!$B$19:$B$22,MATCH($B295,'Parametri Modello'!$A$19:$A$22,0)))*'Parametri Modello'!$B$9))))*(1+IF('Parametri Modello'!$B$27="Si",MAX(-'Parametri Modello'!$B$28,MIN('Parametri Modello'!$B$28*1.5,IF(OR(INDEX('Parametri Modello'!$F$32:$F$35,MATCH($B295,'Parametri Modello'!$A$32:$A$35,0))="",INDEX('Parametri Modello'!$F$32:$F$35,MATCH($B295,'Parametri Modello'!$A$32:$A$35,0))=0),0,(1/INDEX('Parametri Modello'!$F$32:$F$35,MATCH($B295,'Parametri Modello'!$A$32:$A$35,0))-1)*'Parametri Modello'!$B$28))),0)))*(1+INDEX('Parametri Modello'!$B$12:$B$15,MATCH($B295,'Parametri Modello'!$A$12:$A$15,0))),0),"")</f>
        <v>2</v>
      </c>
      <c r="I295" s="26" t="str">
        <f aca="false">IFERROR(INDEX('Input Statistiche 2025_26'!$F$3:$F$665,MATCH($A295,'Input Statistiche 2025_26'!$A$3:$A$665,0)),"")</f>
        <v/>
      </c>
      <c r="J295" s="26" t="str">
        <f aca="false">IFERROR(IF($I295="","",MAX(0,38-$I295)),"")</f>
        <v/>
      </c>
      <c r="K295" s="26" t="str">
        <f aca="false">IFERROR(INDEX('Input Statistiche 2025_26'!$I$3:$I$665,MATCH($A295,'Input Statistiche 2025_26'!$A$3:$A$665,0)),"")</f>
        <v/>
      </c>
      <c r="L295" s="26" t="str">
        <f aca="false">IFERROR(INDEX('Input Statistiche 2025_26'!$O$3:$O$665,MATCH($A295,'Input Statistiche 2025_26'!$A$3:$A$665,0)),"")</f>
        <v/>
      </c>
      <c r="M295" s="28"/>
      <c r="N295" s="27" t="n">
        <f aca="false">IFERROR(INDEX('Input Giocatori 2026_27'!$E$3:$E$493,MATCH($A295,'Input Giocatori 2026_27'!$A$3:$A$493,0)),"")</f>
        <v>4</v>
      </c>
      <c r="O295" s="27" t="n">
        <f aca="false">IFERROR(INDEX('Input Giocatori 2026_27'!$G$3:$G$493,MATCH($A295,'Input Giocatori 2026_27'!$A$3:$A$493,0)),"")</f>
        <v>11</v>
      </c>
      <c r="P295" s="26" t="str">
        <f aca="false">IFERROR(IF($O295="","",IF((1-(COUNTIFS($B$2:$B$492,$B295,$O$2:$O$492,"&gt;"&amp;$O295)+1-1)/COUNTIF($B$2:$B$492,$B295))&gt;=0.85,"Top",IF((1-(COUNTIFS($B$2:$B$492,$B295,$O$2:$O$492,"&gt;"&amp;$O295)+1-1)/COUNTIF($B$2:$B$492,$B295))&gt;=0.6,"Buono",IF((1-(COUNTIFS($B$2:$B$492,$B295,$O$2:$O$492,"&gt;"&amp;$O295)+1-1)/COUNTIF($B$2:$B$492,$B295))&gt;=0.3,"Nella Media","Scommessa/Riserva")))),"")</f>
        <v>Nella Media</v>
      </c>
      <c r="Q295" s="29" t="n">
        <f aca="false">IF($D295="",COUNTIF($D$2:$D295,""),"")</f>
        <v>294</v>
      </c>
      <c r="R295" s="29" t="str">
        <f aca="false">IF($D295='Info Lega'!$B$28,COUNTIFS($D$2:$D295,'Info Lega'!$B$28),"")</f>
        <v/>
      </c>
      <c r="S295" s="30" t="str">
        <f aca="false">IFERROR(INDEX('Input Statistiche 2025_26'!$G$3:$G$665,MATCH($A295,'Input Statistiche 2025_26'!$A$3:$A$665,0)),"")</f>
        <v/>
      </c>
      <c r="T295" s="30" t="str">
        <f aca="false">IFERROR(INDEX('Input Statistiche 2025_26'!$H$3:$H$665,MATCH($A295,'Input Statistiche 2025_26'!$A$3:$A$665,0)),"")</f>
        <v/>
      </c>
      <c r="U295" s="26" t="str">
        <f aca="false">IF(OR('La Mia Rosa'!$O$12="",$D295&lt;&gt;""),"",IF($F295&lt;='La Mia Rosa'!$O$12*'Parametri Modello'!$B$24,"OK",IF($F295&lt;='La Mia Rosa'!$O$12*'Parametri Modello'!$B$25,"Attenzione","Rischio Alto")))</f>
        <v>OK</v>
      </c>
      <c r="V295" s="26" t="n">
        <f aca="false">IFERROR(COUNTIFS($B$2:$B$492,$B295,$O$2:$O$492,"&gt;"&amp;$O295)+1,"")</f>
        <v>115</v>
      </c>
      <c r="W295" s="21" t="n">
        <f aca="false">'Info Lega'!$B$4-SUMIFS($M$2:$M$492,$D$2:$D$492,'Info Lega'!$B$28)</f>
        <v>1000</v>
      </c>
      <c r="X295" s="21" t="n">
        <f aca="false">('Info Lega'!$B$5-COUNTIFS($D$2:$D$492,'Info Lega'!$B$28,$B$2:$B$492,"P"))+('Info Lega'!$B$6-COUNTIFS($D$2:$D$492,'Info Lega'!$B$28,$B$2:$B$492,"D"))+('Info Lega'!$B$7-COUNTIFS($D$2:$D$492,'Info Lega'!$B$28,$B$2:$B$492,"C"))+('Info Lega'!$B$8-COUNTIFS($D$2:$D$492,'Info Lega'!$B$28,$B$2:$B$492,"A"))</f>
        <v>25</v>
      </c>
      <c r="Y295" s="21" t="n">
        <f aca="false">X295*'Parametri Modello'!$B$30</f>
        <v>25</v>
      </c>
      <c r="Z295" s="21" t="n">
        <f aca="false">MAX(0,W295-Y295)</f>
        <v>975</v>
      </c>
      <c r="AA295" s="21" t="n">
        <f aca="false">MIN(F295,Z295)</f>
        <v>2</v>
      </c>
      <c r="AB295" s="21"/>
      <c r="AC295" s="21" t="str">
        <f aca="false">IF(AB295="","",IF(AB295&gt;AA295,"PASS",IF(AB295&lt;=AA295*0.85,"BID","ATTENZIONE")))</f>
        <v/>
      </c>
      <c r="AD295" s="31" t="str">
        <f aca="false">IF(I295="","",ROUND(100*(1-EXP(-I295/30)),0))</f>
        <v/>
      </c>
      <c r="AE295" s="7" t="str">
        <f aca="false">IFERROR(INDEX('Stato Asta'!$G$9:$G$12,MATCH($B295,'Stato Asta'!$A$9:$A$12,0)),"")</f>
        <v>🟡 Attesa rischiosa</v>
      </c>
    </row>
    <row r="296" customFormat="false" ht="14.25" hidden="false" customHeight="true" outlineLevel="0" collapsed="false">
      <c r="A296" s="21" t="n">
        <v>7341</v>
      </c>
      <c r="B296" s="21" t="s">
        <v>45</v>
      </c>
      <c r="C296" s="21" t="s">
        <v>478</v>
      </c>
      <c r="E296" s="26" t="str">
        <f aca="false">IF(COUNTIF('Info Strategia'!$D$2:$D$51,$C296)&gt;0,"SI","NO")</f>
        <v>NO</v>
      </c>
      <c r="F296" s="27" t="n">
        <f aca="false">IFERROR(ROUND(($G296+($H296-$G296)*'Info Strategia'!$B$6)*(1+IF($E296="SI",'Parametri Modello'!$B$7*'Info Strategia'!$B$6,0)),0),"")</f>
        <v>2</v>
      </c>
      <c r="G296" s="27" t="n">
        <f aca="false">IFERROR(ROUND(MAX(1,(IF($V296&lt;=INDEX('Parametri Modello'!$C$57:$C$60,MATCH($B296,'Parametri Modello'!$A$57:$A$60,0)),IF(INDEX('Parametri Modello'!$E$57:$E$60,MATCH($B296,'Parametri Modello'!$A$57:$A$60,0))=0,0,($O296/INDEX('Parametri Modello'!$E$57:$E$60,MATCH($B296,'Parametri Modello'!$A$57:$A$60,0)))*(INDEX('Parametri Modello'!$D$57:$D$60,MATCH($B296,'Parametri Modello'!$A$57:$A$60,0))*(INDEX('Parametri Modello'!$B$50:$B$53,MATCH($B296,'Parametri Modello'!$A$50:$A$53,0))*'Parametri Modello'!$B$44))),IF(INDEX('Parametri Modello'!$F$57:$F$60,MATCH($B296,'Parametri Modello'!$A$57:$A$60,0))=0,0,($O296/INDEX('Parametri Modello'!$F$57:$F$60,MATCH($B296,'Parametri Modello'!$A$57:$A$60,0)))*((1-INDEX('Parametri Modello'!$D$57:$D$60,MATCH($B296,'Parametri Modello'!$A$57:$A$60,0)))*(INDEX('Parametri Modello'!$B$50:$B$53,MATCH($B296,'Parametri Modello'!$A$50:$A$53,0))*'Parametri Modello'!$B$44))))*(1+IF(IF($B296="D",'Info Lega'!$B$25,IF($B296="C",'Info Lega'!$B$26,"No"))="Si",'Parametri Modello'!$B$5,0))*(1+MAX(-0.25,MIN(0.25,IF(OR($T296="",$I296="",$I296=0,INDEX('Parametri Modello'!$B$19:$B$22,MATCH($B296,'Parametri Modello'!$A$19:$A$22,0))="",INDEX('Parametri Modello'!$B$19:$B$22,MATCH($B296,'Parametri Modello'!$A$19:$A$22,0))=0),0,(($T296-INDEX('Parametri Modello'!$B$19:$B$22,MATCH($B296,'Parametri Modello'!$A$19:$A$22,0)))/INDEX('Parametri Modello'!$B$19:$B$22,MATCH($B296,'Parametri Modello'!$A$19:$A$22,0)))*'Parametri Modello'!$B$9))))*(1+IF('Parametri Modello'!$B$27="Si",MAX(-'Parametri Modello'!$B$28,MIN('Parametri Modello'!$B$28*1.5,IF(OR(INDEX('Parametri Modello'!$F$32:$F$35,MATCH($B296,'Parametri Modello'!$A$32:$A$35,0))="",INDEX('Parametri Modello'!$F$32:$F$35,MATCH($B296,'Parametri Modello'!$A$32:$A$35,0))=0),0,(1/INDEX('Parametri Modello'!$F$32:$F$35,MATCH($B296,'Parametri Modello'!$A$32:$A$35,0))-1)*'Parametri Modello'!$B$28))),0)))*(1-INDEX('Parametri Modello'!$B$12:$B$15,MATCH($B296,'Parametri Modello'!$A$12:$A$15,0)))),0),"")</f>
        <v>1</v>
      </c>
      <c r="H296" s="27" t="n">
        <f aca="false">IFERROR(ROUND((IF($V296&lt;=INDEX('Parametri Modello'!$C$57:$C$60,MATCH($B296,'Parametri Modello'!$A$57:$A$60,0)),IF(INDEX('Parametri Modello'!$E$57:$E$60,MATCH($B296,'Parametri Modello'!$A$57:$A$60,0))=0,0,($O296/INDEX('Parametri Modello'!$E$57:$E$60,MATCH($B296,'Parametri Modello'!$A$57:$A$60,0)))*(INDEX('Parametri Modello'!$D$57:$D$60,MATCH($B296,'Parametri Modello'!$A$57:$A$60,0))*(INDEX('Parametri Modello'!$B$50:$B$53,MATCH($B296,'Parametri Modello'!$A$50:$A$53,0))*'Parametri Modello'!$B$44))),IF(INDEX('Parametri Modello'!$F$57:$F$60,MATCH($B296,'Parametri Modello'!$A$57:$A$60,0))=0,0,($O296/INDEX('Parametri Modello'!$F$57:$F$60,MATCH($B296,'Parametri Modello'!$A$57:$A$60,0)))*((1-INDEX('Parametri Modello'!$D$57:$D$60,MATCH($B296,'Parametri Modello'!$A$57:$A$60,0)))*(INDEX('Parametri Modello'!$B$50:$B$53,MATCH($B296,'Parametri Modello'!$A$50:$A$53,0))*'Parametri Modello'!$B$44))))*(1+IF(IF($B296="D",'Info Lega'!$B$25,IF($B296="C",'Info Lega'!$B$26,"No"))="Si",'Parametri Modello'!$B$5,0))*(1+MAX(-0.25,MIN(0.25,IF(OR($T296="",$I296="",$I296=0,INDEX('Parametri Modello'!$B$19:$B$22,MATCH($B296,'Parametri Modello'!$A$19:$A$22,0))="",INDEX('Parametri Modello'!$B$19:$B$22,MATCH($B296,'Parametri Modello'!$A$19:$A$22,0))=0),0,(($T296-INDEX('Parametri Modello'!$B$19:$B$22,MATCH($B296,'Parametri Modello'!$A$19:$A$22,0)))/INDEX('Parametri Modello'!$B$19:$B$22,MATCH($B296,'Parametri Modello'!$A$19:$A$22,0)))*'Parametri Modello'!$B$9))))*(1+IF('Parametri Modello'!$B$27="Si",MAX(-'Parametri Modello'!$B$28,MIN('Parametri Modello'!$B$28*1.5,IF(OR(INDEX('Parametri Modello'!$F$32:$F$35,MATCH($B296,'Parametri Modello'!$A$32:$A$35,0))="",INDEX('Parametri Modello'!$F$32:$F$35,MATCH($B296,'Parametri Modello'!$A$32:$A$35,0))=0),0,(1/INDEX('Parametri Modello'!$F$32:$F$35,MATCH($B296,'Parametri Modello'!$A$32:$A$35,0))-1)*'Parametri Modello'!$B$28))),0)))*(1+INDEX('Parametri Modello'!$B$12:$B$15,MATCH($B296,'Parametri Modello'!$A$12:$A$15,0))),0),"")</f>
        <v>2</v>
      </c>
      <c r="I296" s="26" t="n">
        <f aca="false">IFERROR(INDEX('Input Statistiche 2025_26'!$F$3:$F$665,MATCH($A296,'Input Statistiche 2025_26'!$A$3:$A$665,0)),"")</f>
        <v>9</v>
      </c>
      <c r="J296" s="26" t="n">
        <f aca="false">IFERROR(IF($I296="","",MAX(0,38-$I296)),"")</f>
        <v>29</v>
      </c>
      <c r="K296" s="26" t="n">
        <f aca="false">IFERROR(INDEX('Input Statistiche 2025_26'!$I$3:$I$665,MATCH($A296,'Input Statistiche 2025_26'!$A$3:$A$665,0)),"")</f>
        <v>0</v>
      </c>
      <c r="L296" s="26" t="n">
        <f aca="false">IFERROR(INDEX('Input Statistiche 2025_26'!$O$3:$O$665,MATCH($A296,'Input Statistiche 2025_26'!$A$3:$A$665,0)),"")</f>
        <v>0</v>
      </c>
      <c r="M296" s="28"/>
      <c r="N296" s="27" t="n">
        <f aca="false">IFERROR(INDEX('Input Giocatori 2026_27'!$E$3:$E$493,MATCH($A296,'Input Giocatori 2026_27'!$A$3:$A$493,0)),"")</f>
        <v>4</v>
      </c>
      <c r="O296" s="27" t="n">
        <f aca="false">IFERROR(INDEX('Input Giocatori 2026_27'!$G$3:$G$493,MATCH($A296,'Input Giocatori 2026_27'!$A$3:$A$493,0)),"")</f>
        <v>11</v>
      </c>
      <c r="P296" s="26" t="str">
        <f aca="false">IFERROR(IF($O296="","",IF((1-(COUNTIFS($B$2:$B$492,$B296,$O$2:$O$492,"&gt;"&amp;$O296)+1-1)/COUNTIF($B$2:$B$492,$B296))&gt;=0.85,"Top",IF((1-(COUNTIFS($B$2:$B$492,$B296,$O$2:$O$492,"&gt;"&amp;$O296)+1-1)/COUNTIF($B$2:$B$492,$B296))&gt;=0.6,"Buono",IF((1-(COUNTIFS($B$2:$B$492,$B296,$O$2:$O$492,"&gt;"&amp;$O296)+1-1)/COUNTIF($B$2:$B$492,$B296))&gt;=0.3,"Nella Media","Scommessa/Riserva")))),"")</f>
        <v>Nella Media</v>
      </c>
      <c r="Q296" s="29" t="n">
        <f aca="false">IF($D296="",COUNTIF($D$2:$D296,""),"")</f>
        <v>295</v>
      </c>
      <c r="R296" s="29" t="str">
        <f aca="false">IF($D296='Info Lega'!$B$28,COUNTIFS($D$2:$D296,'Info Lega'!$B$28),"")</f>
        <v/>
      </c>
      <c r="S296" s="30" t="n">
        <f aca="false">IFERROR(INDEX('Input Statistiche 2025_26'!$G$3:$G$665,MATCH($A296,'Input Statistiche 2025_26'!$A$3:$A$665,0)),"")</f>
        <v>5.72</v>
      </c>
      <c r="T296" s="30" t="n">
        <f aca="false">IFERROR(INDEX('Input Statistiche 2025_26'!$H$3:$H$665,MATCH($A296,'Input Statistiche 2025_26'!$A$3:$A$665,0)),"")</f>
        <v>5.67</v>
      </c>
      <c r="U296" s="26" t="str">
        <f aca="false">IF(OR('La Mia Rosa'!$O$12="",$D296&lt;&gt;""),"",IF($F296&lt;='La Mia Rosa'!$O$12*'Parametri Modello'!$B$24,"OK",IF($F296&lt;='La Mia Rosa'!$O$12*'Parametri Modello'!$B$25,"Attenzione","Rischio Alto")))</f>
        <v>OK</v>
      </c>
      <c r="V296" s="26" t="n">
        <f aca="false">IFERROR(COUNTIFS($B$2:$B$492,$B296,$O$2:$O$492,"&gt;"&amp;$O296)+1,"")</f>
        <v>115</v>
      </c>
      <c r="W296" s="21" t="n">
        <f aca="false">'Info Lega'!$B$4-SUMIFS($M$2:$M$492,$D$2:$D$492,'Info Lega'!$B$28)</f>
        <v>1000</v>
      </c>
      <c r="X296" s="21" t="n">
        <f aca="false">('Info Lega'!$B$5-COUNTIFS($D$2:$D$492,'Info Lega'!$B$28,$B$2:$B$492,"P"))+('Info Lega'!$B$6-COUNTIFS($D$2:$D$492,'Info Lega'!$B$28,$B$2:$B$492,"D"))+('Info Lega'!$B$7-COUNTIFS($D$2:$D$492,'Info Lega'!$B$28,$B$2:$B$492,"C"))+('Info Lega'!$B$8-COUNTIFS($D$2:$D$492,'Info Lega'!$B$28,$B$2:$B$492,"A"))</f>
        <v>25</v>
      </c>
      <c r="Y296" s="21" t="n">
        <f aca="false">X296*'Parametri Modello'!$B$30</f>
        <v>25</v>
      </c>
      <c r="Z296" s="21" t="n">
        <f aca="false">MAX(0,W296-Y296)</f>
        <v>975</v>
      </c>
      <c r="AA296" s="21" t="n">
        <f aca="false">MIN(F296,Z296)</f>
        <v>2</v>
      </c>
      <c r="AB296" s="21"/>
      <c r="AC296" s="21" t="str">
        <f aca="false">IF(AB296="","",IF(AB296&gt;AA296,"PASS",IF(AB296&lt;=AA296*0.85,"BID","ATTENZIONE")))</f>
        <v/>
      </c>
      <c r="AD296" s="31" t="n">
        <f aca="false">IF(I296="","",ROUND(100*(1-EXP(-I296/30)),0))</f>
        <v>26</v>
      </c>
      <c r="AE296" s="7" t="str">
        <f aca="false">IFERROR(INDEX('Stato Asta'!$G$9:$G$12,MATCH($B296,'Stato Asta'!$A$9:$A$12,0)),"")</f>
        <v>🟡 Attesa rischiosa</v>
      </c>
    </row>
    <row r="297" customFormat="false" ht="14.25" hidden="false" customHeight="true" outlineLevel="0" collapsed="false">
      <c r="A297" s="21" t="n">
        <v>7322</v>
      </c>
      <c r="B297" s="21" t="s">
        <v>45</v>
      </c>
      <c r="C297" s="21" t="s">
        <v>482</v>
      </c>
      <c r="E297" s="26" t="str">
        <f aca="false">IF(COUNTIF('Info Strategia'!$D$2:$D$51,$C297)&gt;0,"SI","NO")</f>
        <v>NO</v>
      </c>
      <c r="F297" s="27" t="n">
        <f aca="false">IFERROR(ROUND(($G297+($H297-$G297)*'Info Strategia'!$B$6)*(1+IF($E297="SI",'Parametri Modello'!$B$7*'Info Strategia'!$B$6,0)),0),"")</f>
        <v>2</v>
      </c>
      <c r="G297" s="27" t="n">
        <f aca="false">IFERROR(ROUND(MAX(1,(IF($V297&lt;=INDEX('Parametri Modello'!$C$57:$C$60,MATCH($B297,'Parametri Modello'!$A$57:$A$60,0)),IF(INDEX('Parametri Modello'!$E$57:$E$60,MATCH($B297,'Parametri Modello'!$A$57:$A$60,0))=0,0,($O297/INDEX('Parametri Modello'!$E$57:$E$60,MATCH($B297,'Parametri Modello'!$A$57:$A$60,0)))*(INDEX('Parametri Modello'!$D$57:$D$60,MATCH($B297,'Parametri Modello'!$A$57:$A$60,0))*(INDEX('Parametri Modello'!$B$50:$B$53,MATCH($B297,'Parametri Modello'!$A$50:$A$53,0))*'Parametri Modello'!$B$44))),IF(INDEX('Parametri Modello'!$F$57:$F$60,MATCH($B297,'Parametri Modello'!$A$57:$A$60,0))=0,0,($O297/INDEX('Parametri Modello'!$F$57:$F$60,MATCH($B297,'Parametri Modello'!$A$57:$A$60,0)))*((1-INDEX('Parametri Modello'!$D$57:$D$60,MATCH($B297,'Parametri Modello'!$A$57:$A$60,0)))*(INDEX('Parametri Modello'!$B$50:$B$53,MATCH($B297,'Parametri Modello'!$A$50:$A$53,0))*'Parametri Modello'!$B$44))))*(1+IF(IF($B297="D",'Info Lega'!$B$25,IF($B297="C",'Info Lega'!$B$26,"No"))="Si",'Parametri Modello'!$B$5,0))*(1+MAX(-0.25,MIN(0.25,IF(OR($T297="",$I297="",$I297=0,INDEX('Parametri Modello'!$B$19:$B$22,MATCH($B297,'Parametri Modello'!$A$19:$A$22,0))="",INDEX('Parametri Modello'!$B$19:$B$22,MATCH($B297,'Parametri Modello'!$A$19:$A$22,0))=0),0,(($T297-INDEX('Parametri Modello'!$B$19:$B$22,MATCH($B297,'Parametri Modello'!$A$19:$A$22,0)))/INDEX('Parametri Modello'!$B$19:$B$22,MATCH($B297,'Parametri Modello'!$A$19:$A$22,0)))*'Parametri Modello'!$B$9))))*(1+IF('Parametri Modello'!$B$27="Si",MAX(-'Parametri Modello'!$B$28,MIN('Parametri Modello'!$B$28*1.5,IF(OR(INDEX('Parametri Modello'!$F$32:$F$35,MATCH($B297,'Parametri Modello'!$A$32:$A$35,0))="",INDEX('Parametri Modello'!$F$32:$F$35,MATCH($B297,'Parametri Modello'!$A$32:$A$35,0))=0),0,(1/INDEX('Parametri Modello'!$F$32:$F$35,MATCH($B297,'Parametri Modello'!$A$32:$A$35,0))-1)*'Parametri Modello'!$B$28))),0)))*(1-INDEX('Parametri Modello'!$B$12:$B$15,MATCH($B297,'Parametri Modello'!$A$12:$A$15,0)))),0),"")</f>
        <v>1</v>
      </c>
      <c r="H297" s="27" t="n">
        <f aca="false">IFERROR(ROUND((IF($V297&lt;=INDEX('Parametri Modello'!$C$57:$C$60,MATCH($B297,'Parametri Modello'!$A$57:$A$60,0)),IF(INDEX('Parametri Modello'!$E$57:$E$60,MATCH($B297,'Parametri Modello'!$A$57:$A$60,0))=0,0,($O297/INDEX('Parametri Modello'!$E$57:$E$60,MATCH($B297,'Parametri Modello'!$A$57:$A$60,0)))*(INDEX('Parametri Modello'!$D$57:$D$60,MATCH($B297,'Parametri Modello'!$A$57:$A$60,0))*(INDEX('Parametri Modello'!$B$50:$B$53,MATCH($B297,'Parametri Modello'!$A$50:$A$53,0))*'Parametri Modello'!$B$44))),IF(INDEX('Parametri Modello'!$F$57:$F$60,MATCH($B297,'Parametri Modello'!$A$57:$A$60,0))=0,0,($O297/INDEX('Parametri Modello'!$F$57:$F$60,MATCH($B297,'Parametri Modello'!$A$57:$A$60,0)))*((1-INDEX('Parametri Modello'!$D$57:$D$60,MATCH($B297,'Parametri Modello'!$A$57:$A$60,0)))*(INDEX('Parametri Modello'!$B$50:$B$53,MATCH($B297,'Parametri Modello'!$A$50:$A$53,0))*'Parametri Modello'!$B$44))))*(1+IF(IF($B297="D",'Info Lega'!$B$25,IF($B297="C",'Info Lega'!$B$26,"No"))="Si",'Parametri Modello'!$B$5,0))*(1+MAX(-0.25,MIN(0.25,IF(OR($T297="",$I297="",$I297=0,INDEX('Parametri Modello'!$B$19:$B$22,MATCH($B297,'Parametri Modello'!$A$19:$A$22,0))="",INDEX('Parametri Modello'!$B$19:$B$22,MATCH($B297,'Parametri Modello'!$A$19:$A$22,0))=0),0,(($T297-INDEX('Parametri Modello'!$B$19:$B$22,MATCH($B297,'Parametri Modello'!$A$19:$A$22,0)))/INDEX('Parametri Modello'!$B$19:$B$22,MATCH($B297,'Parametri Modello'!$A$19:$A$22,0)))*'Parametri Modello'!$B$9))))*(1+IF('Parametri Modello'!$B$27="Si",MAX(-'Parametri Modello'!$B$28,MIN('Parametri Modello'!$B$28*1.5,IF(OR(INDEX('Parametri Modello'!$F$32:$F$35,MATCH($B297,'Parametri Modello'!$A$32:$A$35,0))="",INDEX('Parametri Modello'!$F$32:$F$35,MATCH($B297,'Parametri Modello'!$A$32:$A$35,0))=0),0,(1/INDEX('Parametri Modello'!$F$32:$F$35,MATCH($B297,'Parametri Modello'!$A$32:$A$35,0))-1)*'Parametri Modello'!$B$28))),0)))*(1+INDEX('Parametri Modello'!$B$12:$B$15,MATCH($B297,'Parametri Modello'!$A$12:$A$15,0))),0),"")</f>
        <v>2</v>
      </c>
      <c r="I297" s="26" t="n">
        <f aca="false">IFERROR(INDEX('Input Statistiche 2025_26'!$F$3:$F$665,MATCH($A297,'Input Statistiche 2025_26'!$A$3:$A$665,0)),"")</f>
        <v>13</v>
      </c>
      <c r="J297" s="26" t="n">
        <f aca="false">IFERROR(IF($I297="","",MAX(0,38-$I297)),"")</f>
        <v>25</v>
      </c>
      <c r="K297" s="26" t="n">
        <f aca="false">IFERROR(INDEX('Input Statistiche 2025_26'!$I$3:$I$665,MATCH($A297,'Input Statistiche 2025_26'!$A$3:$A$665,0)),"")</f>
        <v>0</v>
      </c>
      <c r="L297" s="26" t="n">
        <f aca="false">IFERROR(INDEX('Input Statistiche 2025_26'!$O$3:$O$665,MATCH($A297,'Input Statistiche 2025_26'!$A$3:$A$665,0)),"")</f>
        <v>0</v>
      </c>
      <c r="M297" s="28"/>
      <c r="N297" s="27" t="n">
        <f aca="false">IFERROR(INDEX('Input Giocatori 2026_27'!$E$3:$E$493,MATCH($A297,'Input Giocatori 2026_27'!$A$3:$A$493,0)),"")</f>
        <v>4</v>
      </c>
      <c r="O297" s="27" t="n">
        <f aca="false">IFERROR(INDEX('Input Giocatori 2026_27'!$G$3:$G$493,MATCH($A297,'Input Giocatori 2026_27'!$A$3:$A$493,0)),"")</f>
        <v>11</v>
      </c>
      <c r="P297" s="26" t="str">
        <f aca="false">IFERROR(IF($O297="","",IF((1-(COUNTIFS($B$2:$B$492,$B297,$O$2:$O$492,"&gt;"&amp;$O297)+1-1)/COUNTIF($B$2:$B$492,$B297))&gt;=0.85,"Top",IF((1-(COUNTIFS($B$2:$B$492,$B297,$O$2:$O$492,"&gt;"&amp;$O297)+1-1)/COUNTIF($B$2:$B$492,$B297))&gt;=0.6,"Buono",IF((1-(COUNTIFS($B$2:$B$492,$B297,$O$2:$O$492,"&gt;"&amp;$O297)+1-1)/COUNTIF($B$2:$B$492,$B297))&gt;=0.3,"Nella Media","Scommessa/Riserva")))),"")</f>
        <v>Nella Media</v>
      </c>
      <c r="Q297" s="29" t="n">
        <f aca="false">IF($D297="",COUNTIF($D$2:$D297,""),"")</f>
        <v>296</v>
      </c>
      <c r="R297" s="29" t="str">
        <f aca="false">IF($D297='Info Lega'!$B$28,COUNTIFS($D$2:$D297,'Info Lega'!$B$28),"")</f>
        <v/>
      </c>
      <c r="S297" s="30" t="n">
        <f aca="false">IFERROR(INDEX('Input Statistiche 2025_26'!$G$3:$G$665,MATCH($A297,'Input Statistiche 2025_26'!$A$3:$A$665,0)),"")</f>
        <v>5.69</v>
      </c>
      <c r="T297" s="30" t="n">
        <f aca="false">IFERROR(INDEX('Input Statistiche 2025_26'!$H$3:$H$665,MATCH($A297,'Input Statistiche 2025_26'!$A$3:$A$665,0)),"")</f>
        <v>5.65</v>
      </c>
      <c r="U297" s="26" t="str">
        <f aca="false">IF(OR('La Mia Rosa'!$O$12="",$D297&lt;&gt;""),"",IF($F297&lt;='La Mia Rosa'!$O$12*'Parametri Modello'!$B$24,"OK",IF($F297&lt;='La Mia Rosa'!$O$12*'Parametri Modello'!$B$25,"Attenzione","Rischio Alto")))</f>
        <v>OK</v>
      </c>
      <c r="V297" s="26" t="n">
        <f aca="false">IFERROR(COUNTIFS($B$2:$B$492,$B297,$O$2:$O$492,"&gt;"&amp;$O297)+1,"")</f>
        <v>115</v>
      </c>
      <c r="W297" s="21" t="n">
        <f aca="false">'Info Lega'!$B$4-SUMIFS($M$2:$M$492,$D$2:$D$492,'Info Lega'!$B$28)</f>
        <v>1000</v>
      </c>
      <c r="X297" s="21" t="n">
        <f aca="false">('Info Lega'!$B$5-COUNTIFS($D$2:$D$492,'Info Lega'!$B$28,$B$2:$B$492,"P"))+('Info Lega'!$B$6-COUNTIFS($D$2:$D$492,'Info Lega'!$B$28,$B$2:$B$492,"D"))+('Info Lega'!$B$7-COUNTIFS($D$2:$D$492,'Info Lega'!$B$28,$B$2:$B$492,"C"))+('Info Lega'!$B$8-COUNTIFS($D$2:$D$492,'Info Lega'!$B$28,$B$2:$B$492,"A"))</f>
        <v>25</v>
      </c>
      <c r="Y297" s="21" t="n">
        <f aca="false">X297*'Parametri Modello'!$B$30</f>
        <v>25</v>
      </c>
      <c r="Z297" s="21" t="n">
        <f aca="false">MAX(0,W297-Y297)</f>
        <v>975</v>
      </c>
      <c r="AA297" s="21" t="n">
        <f aca="false">MIN(F297,Z297)</f>
        <v>2</v>
      </c>
      <c r="AB297" s="21"/>
      <c r="AC297" s="21" t="str">
        <f aca="false">IF(AB297="","",IF(AB297&gt;AA297,"PASS",IF(AB297&lt;=AA297*0.85,"BID","ATTENZIONE")))</f>
        <v/>
      </c>
      <c r="AD297" s="31" t="n">
        <f aca="false">IF(I297="","",ROUND(100*(1-EXP(-I297/30)),0))</f>
        <v>35</v>
      </c>
      <c r="AE297" s="7" t="str">
        <f aca="false">IFERROR(INDEX('Stato Asta'!$G$9:$G$12,MATCH($B297,'Stato Asta'!$A$9:$A$12,0)),"")</f>
        <v>🟡 Attesa rischiosa</v>
      </c>
    </row>
    <row r="298" customFormat="false" ht="14.25" hidden="false" customHeight="true" outlineLevel="0" collapsed="false">
      <c r="A298" s="21" t="n">
        <v>5453</v>
      </c>
      <c r="B298" s="21" t="s">
        <v>45</v>
      </c>
      <c r="C298" s="21" t="s">
        <v>483</v>
      </c>
      <c r="E298" s="26" t="str">
        <f aca="false">IF(COUNTIF('Info Strategia'!$D$2:$D$51,$C298)&gt;0,"SI","NO")</f>
        <v>NO</v>
      </c>
      <c r="F298" s="27" t="n">
        <f aca="false">IFERROR(ROUND(($G298+($H298-$G298)*'Info Strategia'!$B$6)*(1+IF($E298="SI",'Parametri Modello'!$B$7*'Info Strategia'!$B$6,0)),0),"")</f>
        <v>2</v>
      </c>
      <c r="G298" s="27" t="n">
        <f aca="false">IFERROR(ROUND(MAX(1,(IF($V298&lt;=INDEX('Parametri Modello'!$C$57:$C$60,MATCH($B298,'Parametri Modello'!$A$57:$A$60,0)),IF(INDEX('Parametri Modello'!$E$57:$E$60,MATCH($B298,'Parametri Modello'!$A$57:$A$60,0))=0,0,($O298/INDEX('Parametri Modello'!$E$57:$E$60,MATCH($B298,'Parametri Modello'!$A$57:$A$60,0)))*(INDEX('Parametri Modello'!$D$57:$D$60,MATCH($B298,'Parametri Modello'!$A$57:$A$60,0))*(INDEX('Parametri Modello'!$B$50:$B$53,MATCH($B298,'Parametri Modello'!$A$50:$A$53,0))*'Parametri Modello'!$B$44))),IF(INDEX('Parametri Modello'!$F$57:$F$60,MATCH($B298,'Parametri Modello'!$A$57:$A$60,0))=0,0,($O298/INDEX('Parametri Modello'!$F$57:$F$60,MATCH($B298,'Parametri Modello'!$A$57:$A$60,0)))*((1-INDEX('Parametri Modello'!$D$57:$D$60,MATCH($B298,'Parametri Modello'!$A$57:$A$60,0)))*(INDEX('Parametri Modello'!$B$50:$B$53,MATCH($B298,'Parametri Modello'!$A$50:$A$53,0))*'Parametri Modello'!$B$44))))*(1+IF(IF($B298="D",'Info Lega'!$B$25,IF($B298="C",'Info Lega'!$B$26,"No"))="Si",'Parametri Modello'!$B$5,0))*(1+MAX(-0.25,MIN(0.25,IF(OR($T298="",$I298="",$I298=0,INDEX('Parametri Modello'!$B$19:$B$22,MATCH($B298,'Parametri Modello'!$A$19:$A$22,0))="",INDEX('Parametri Modello'!$B$19:$B$22,MATCH($B298,'Parametri Modello'!$A$19:$A$22,0))=0),0,(($T298-INDEX('Parametri Modello'!$B$19:$B$22,MATCH($B298,'Parametri Modello'!$A$19:$A$22,0)))/INDEX('Parametri Modello'!$B$19:$B$22,MATCH($B298,'Parametri Modello'!$A$19:$A$22,0)))*'Parametri Modello'!$B$9))))*(1+IF('Parametri Modello'!$B$27="Si",MAX(-'Parametri Modello'!$B$28,MIN('Parametri Modello'!$B$28*1.5,IF(OR(INDEX('Parametri Modello'!$F$32:$F$35,MATCH($B298,'Parametri Modello'!$A$32:$A$35,0))="",INDEX('Parametri Modello'!$F$32:$F$35,MATCH($B298,'Parametri Modello'!$A$32:$A$35,0))=0),0,(1/INDEX('Parametri Modello'!$F$32:$F$35,MATCH($B298,'Parametri Modello'!$A$32:$A$35,0))-1)*'Parametri Modello'!$B$28))),0)))*(1-INDEX('Parametri Modello'!$B$12:$B$15,MATCH($B298,'Parametri Modello'!$A$12:$A$15,0)))),0),"")</f>
        <v>1</v>
      </c>
      <c r="H298" s="27" t="n">
        <f aca="false">IFERROR(ROUND((IF($V298&lt;=INDEX('Parametri Modello'!$C$57:$C$60,MATCH($B298,'Parametri Modello'!$A$57:$A$60,0)),IF(INDEX('Parametri Modello'!$E$57:$E$60,MATCH($B298,'Parametri Modello'!$A$57:$A$60,0))=0,0,($O298/INDEX('Parametri Modello'!$E$57:$E$60,MATCH($B298,'Parametri Modello'!$A$57:$A$60,0)))*(INDEX('Parametri Modello'!$D$57:$D$60,MATCH($B298,'Parametri Modello'!$A$57:$A$60,0))*(INDEX('Parametri Modello'!$B$50:$B$53,MATCH($B298,'Parametri Modello'!$A$50:$A$53,0))*'Parametri Modello'!$B$44))),IF(INDEX('Parametri Modello'!$F$57:$F$60,MATCH($B298,'Parametri Modello'!$A$57:$A$60,0))=0,0,($O298/INDEX('Parametri Modello'!$F$57:$F$60,MATCH($B298,'Parametri Modello'!$A$57:$A$60,0)))*((1-INDEX('Parametri Modello'!$D$57:$D$60,MATCH($B298,'Parametri Modello'!$A$57:$A$60,0)))*(INDEX('Parametri Modello'!$B$50:$B$53,MATCH($B298,'Parametri Modello'!$A$50:$A$53,0))*'Parametri Modello'!$B$44))))*(1+IF(IF($B298="D",'Info Lega'!$B$25,IF($B298="C",'Info Lega'!$B$26,"No"))="Si",'Parametri Modello'!$B$5,0))*(1+MAX(-0.25,MIN(0.25,IF(OR($T298="",$I298="",$I298=0,INDEX('Parametri Modello'!$B$19:$B$22,MATCH($B298,'Parametri Modello'!$A$19:$A$22,0))="",INDEX('Parametri Modello'!$B$19:$B$22,MATCH($B298,'Parametri Modello'!$A$19:$A$22,0))=0),0,(($T298-INDEX('Parametri Modello'!$B$19:$B$22,MATCH($B298,'Parametri Modello'!$A$19:$A$22,0)))/INDEX('Parametri Modello'!$B$19:$B$22,MATCH($B298,'Parametri Modello'!$A$19:$A$22,0)))*'Parametri Modello'!$B$9))))*(1+IF('Parametri Modello'!$B$27="Si",MAX(-'Parametri Modello'!$B$28,MIN('Parametri Modello'!$B$28*1.5,IF(OR(INDEX('Parametri Modello'!$F$32:$F$35,MATCH($B298,'Parametri Modello'!$A$32:$A$35,0))="",INDEX('Parametri Modello'!$F$32:$F$35,MATCH($B298,'Parametri Modello'!$A$32:$A$35,0))=0),0,(1/INDEX('Parametri Modello'!$F$32:$F$35,MATCH($B298,'Parametri Modello'!$A$32:$A$35,0))-1)*'Parametri Modello'!$B$28))),0)))*(1+INDEX('Parametri Modello'!$B$12:$B$15,MATCH($B298,'Parametri Modello'!$A$12:$A$15,0))),0),"")</f>
        <v>2</v>
      </c>
      <c r="I298" s="26" t="n">
        <f aca="false">IFERROR(INDEX('Input Statistiche 2025_26'!$F$3:$F$665,MATCH($A298,'Input Statistiche 2025_26'!$A$3:$A$665,0)),"")</f>
        <v>28</v>
      </c>
      <c r="J298" s="26" t="n">
        <f aca="false">IFERROR(IF($I298="","",MAX(0,38-$I298)),"")</f>
        <v>10</v>
      </c>
      <c r="K298" s="26" t="n">
        <f aca="false">IFERROR(INDEX('Input Statistiche 2025_26'!$I$3:$I$665,MATCH($A298,'Input Statistiche 2025_26'!$A$3:$A$665,0)),"")</f>
        <v>1</v>
      </c>
      <c r="L298" s="26" t="n">
        <f aca="false">IFERROR(INDEX('Input Statistiche 2025_26'!$O$3:$O$665,MATCH($A298,'Input Statistiche 2025_26'!$A$3:$A$665,0)),"")</f>
        <v>3</v>
      </c>
      <c r="M298" s="28"/>
      <c r="N298" s="27" t="n">
        <f aca="false">IFERROR(INDEX('Input Giocatori 2026_27'!$E$3:$E$493,MATCH($A298,'Input Giocatori 2026_27'!$A$3:$A$493,0)),"")</f>
        <v>4</v>
      </c>
      <c r="O298" s="27" t="n">
        <f aca="false">IFERROR(INDEX('Input Giocatori 2026_27'!$G$3:$G$493,MATCH($A298,'Input Giocatori 2026_27'!$A$3:$A$493,0)),"")</f>
        <v>11</v>
      </c>
      <c r="P298" s="26" t="str">
        <f aca="false">IFERROR(IF($O298="","",IF((1-(COUNTIFS($B$2:$B$492,$B298,$O$2:$O$492,"&gt;"&amp;$O298)+1-1)/COUNTIF($B$2:$B$492,$B298))&gt;=0.85,"Top",IF((1-(COUNTIFS($B$2:$B$492,$B298,$O$2:$O$492,"&gt;"&amp;$O298)+1-1)/COUNTIF($B$2:$B$492,$B298))&gt;=0.6,"Buono",IF((1-(COUNTIFS($B$2:$B$492,$B298,$O$2:$O$492,"&gt;"&amp;$O298)+1-1)/COUNTIF($B$2:$B$492,$B298))&gt;=0.3,"Nella Media","Scommessa/Riserva")))),"")</f>
        <v>Nella Media</v>
      </c>
      <c r="Q298" s="29" t="n">
        <f aca="false">IF($D298="",COUNTIF($D$2:$D298,""),"")</f>
        <v>297</v>
      </c>
      <c r="R298" s="29" t="str">
        <f aca="false">IF($D298='Info Lega'!$B$28,COUNTIFS($D$2:$D298,'Info Lega'!$B$28),"")</f>
        <v/>
      </c>
      <c r="S298" s="30" t="n">
        <f aca="false">IFERROR(INDEX('Input Statistiche 2025_26'!$G$3:$G$665,MATCH($A298,'Input Statistiche 2025_26'!$A$3:$A$665,0)),"")</f>
        <v>6</v>
      </c>
      <c r="T298" s="30" t="n">
        <f aca="false">IFERROR(INDEX('Input Statistiche 2025_26'!$H$3:$H$665,MATCH($A298,'Input Statistiche 2025_26'!$A$3:$A$665,0)),"")</f>
        <v>6.18</v>
      </c>
      <c r="U298" s="26" t="str">
        <f aca="false">IF(OR('La Mia Rosa'!$O$12="",$D298&lt;&gt;""),"",IF($F298&lt;='La Mia Rosa'!$O$12*'Parametri Modello'!$B$24,"OK",IF($F298&lt;='La Mia Rosa'!$O$12*'Parametri Modello'!$B$25,"Attenzione","Rischio Alto")))</f>
        <v>OK</v>
      </c>
      <c r="V298" s="26" t="n">
        <f aca="false">IFERROR(COUNTIFS($B$2:$B$492,$B298,$O$2:$O$492,"&gt;"&amp;$O298)+1,"")</f>
        <v>115</v>
      </c>
      <c r="W298" s="21" t="n">
        <f aca="false">'Info Lega'!$B$4-SUMIFS($M$2:$M$492,$D$2:$D$492,'Info Lega'!$B$28)</f>
        <v>1000</v>
      </c>
      <c r="X298" s="21" t="n">
        <f aca="false">('Info Lega'!$B$5-COUNTIFS($D$2:$D$492,'Info Lega'!$B$28,$B$2:$B$492,"P"))+('Info Lega'!$B$6-COUNTIFS($D$2:$D$492,'Info Lega'!$B$28,$B$2:$B$492,"D"))+('Info Lega'!$B$7-COUNTIFS($D$2:$D$492,'Info Lega'!$B$28,$B$2:$B$492,"C"))+('Info Lega'!$B$8-COUNTIFS($D$2:$D$492,'Info Lega'!$B$28,$B$2:$B$492,"A"))</f>
        <v>25</v>
      </c>
      <c r="Y298" s="21" t="n">
        <f aca="false">X298*'Parametri Modello'!$B$30</f>
        <v>25</v>
      </c>
      <c r="Z298" s="21" t="n">
        <f aca="false">MAX(0,W298-Y298)</f>
        <v>975</v>
      </c>
      <c r="AA298" s="21" t="n">
        <f aca="false">MIN(F298,Z298)</f>
        <v>2</v>
      </c>
      <c r="AB298" s="21"/>
      <c r="AC298" s="21" t="str">
        <f aca="false">IF(AB298="","",IF(AB298&gt;AA298,"PASS",IF(AB298&lt;=AA298*0.85,"BID","ATTENZIONE")))</f>
        <v/>
      </c>
      <c r="AD298" s="31" t="n">
        <f aca="false">IF(I298="","",ROUND(100*(1-EXP(-I298/30)),0))</f>
        <v>61</v>
      </c>
      <c r="AE298" s="7" t="str">
        <f aca="false">IFERROR(INDEX('Stato Asta'!$G$9:$G$12,MATCH($B298,'Stato Asta'!$A$9:$A$12,0)),"")</f>
        <v>🟡 Attesa rischiosa</v>
      </c>
    </row>
    <row r="299" customFormat="false" ht="14.25" hidden="false" customHeight="true" outlineLevel="0" collapsed="false">
      <c r="A299" s="21" t="n">
        <v>7203</v>
      </c>
      <c r="B299" s="21" t="s">
        <v>45</v>
      </c>
      <c r="C299" s="21" t="s">
        <v>484</v>
      </c>
      <c r="E299" s="26" t="str">
        <f aca="false">IF(COUNTIF('Info Strategia'!$D$2:$D$51,$C299)&gt;0,"SI","NO")</f>
        <v>NO</v>
      </c>
      <c r="F299" s="27" t="n">
        <f aca="false">IFERROR(ROUND(($G299+($H299-$G299)*'Info Strategia'!$B$6)*(1+IF($E299="SI",'Parametri Modello'!$B$7*'Info Strategia'!$B$6,0)),0),"")</f>
        <v>2</v>
      </c>
      <c r="G299" s="27" t="n">
        <f aca="false">IFERROR(ROUND(MAX(1,(IF($V299&lt;=INDEX('Parametri Modello'!$C$57:$C$60,MATCH($B299,'Parametri Modello'!$A$57:$A$60,0)),IF(INDEX('Parametri Modello'!$E$57:$E$60,MATCH($B299,'Parametri Modello'!$A$57:$A$60,0))=0,0,($O299/INDEX('Parametri Modello'!$E$57:$E$60,MATCH($B299,'Parametri Modello'!$A$57:$A$60,0)))*(INDEX('Parametri Modello'!$D$57:$D$60,MATCH($B299,'Parametri Modello'!$A$57:$A$60,0))*(INDEX('Parametri Modello'!$B$50:$B$53,MATCH($B299,'Parametri Modello'!$A$50:$A$53,0))*'Parametri Modello'!$B$44))),IF(INDEX('Parametri Modello'!$F$57:$F$60,MATCH($B299,'Parametri Modello'!$A$57:$A$60,0))=0,0,($O299/INDEX('Parametri Modello'!$F$57:$F$60,MATCH($B299,'Parametri Modello'!$A$57:$A$60,0)))*((1-INDEX('Parametri Modello'!$D$57:$D$60,MATCH($B299,'Parametri Modello'!$A$57:$A$60,0)))*(INDEX('Parametri Modello'!$B$50:$B$53,MATCH($B299,'Parametri Modello'!$A$50:$A$53,0))*'Parametri Modello'!$B$44))))*(1+IF(IF($B299="D",'Info Lega'!$B$25,IF($B299="C",'Info Lega'!$B$26,"No"))="Si",'Parametri Modello'!$B$5,0))*(1+MAX(-0.25,MIN(0.25,IF(OR($T299="",$I299="",$I299=0,INDEX('Parametri Modello'!$B$19:$B$22,MATCH($B299,'Parametri Modello'!$A$19:$A$22,0))="",INDEX('Parametri Modello'!$B$19:$B$22,MATCH($B299,'Parametri Modello'!$A$19:$A$22,0))=0),0,(($T299-INDEX('Parametri Modello'!$B$19:$B$22,MATCH($B299,'Parametri Modello'!$A$19:$A$22,0)))/INDEX('Parametri Modello'!$B$19:$B$22,MATCH($B299,'Parametri Modello'!$A$19:$A$22,0)))*'Parametri Modello'!$B$9))))*(1+IF('Parametri Modello'!$B$27="Si",MAX(-'Parametri Modello'!$B$28,MIN('Parametri Modello'!$B$28*1.5,IF(OR(INDEX('Parametri Modello'!$F$32:$F$35,MATCH($B299,'Parametri Modello'!$A$32:$A$35,0))="",INDEX('Parametri Modello'!$F$32:$F$35,MATCH($B299,'Parametri Modello'!$A$32:$A$35,0))=0),0,(1/INDEX('Parametri Modello'!$F$32:$F$35,MATCH($B299,'Parametri Modello'!$A$32:$A$35,0))-1)*'Parametri Modello'!$B$28))),0)))*(1-INDEX('Parametri Modello'!$B$12:$B$15,MATCH($B299,'Parametri Modello'!$A$12:$A$15,0)))),0),"")</f>
        <v>1</v>
      </c>
      <c r="H299" s="27" t="n">
        <f aca="false">IFERROR(ROUND((IF($V299&lt;=INDEX('Parametri Modello'!$C$57:$C$60,MATCH($B299,'Parametri Modello'!$A$57:$A$60,0)),IF(INDEX('Parametri Modello'!$E$57:$E$60,MATCH($B299,'Parametri Modello'!$A$57:$A$60,0))=0,0,($O299/INDEX('Parametri Modello'!$E$57:$E$60,MATCH($B299,'Parametri Modello'!$A$57:$A$60,0)))*(INDEX('Parametri Modello'!$D$57:$D$60,MATCH($B299,'Parametri Modello'!$A$57:$A$60,0))*(INDEX('Parametri Modello'!$B$50:$B$53,MATCH($B299,'Parametri Modello'!$A$50:$A$53,0))*'Parametri Modello'!$B$44))),IF(INDEX('Parametri Modello'!$F$57:$F$60,MATCH($B299,'Parametri Modello'!$A$57:$A$60,0))=0,0,($O299/INDEX('Parametri Modello'!$F$57:$F$60,MATCH($B299,'Parametri Modello'!$A$57:$A$60,0)))*((1-INDEX('Parametri Modello'!$D$57:$D$60,MATCH($B299,'Parametri Modello'!$A$57:$A$60,0)))*(INDEX('Parametri Modello'!$B$50:$B$53,MATCH($B299,'Parametri Modello'!$A$50:$A$53,0))*'Parametri Modello'!$B$44))))*(1+IF(IF($B299="D",'Info Lega'!$B$25,IF($B299="C",'Info Lega'!$B$26,"No"))="Si",'Parametri Modello'!$B$5,0))*(1+MAX(-0.25,MIN(0.25,IF(OR($T299="",$I299="",$I299=0,INDEX('Parametri Modello'!$B$19:$B$22,MATCH($B299,'Parametri Modello'!$A$19:$A$22,0))="",INDEX('Parametri Modello'!$B$19:$B$22,MATCH($B299,'Parametri Modello'!$A$19:$A$22,0))=0),0,(($T299-INDEX('Parametri Modello'!$B$19:$B$22,MATCH($B299,'Parametri Modello'!$A$19:$A$22,0)))/INDEX('Parametri Modello'!$B$19:$B$22,MATCH($B299,'Parametri Modello'!$A$19:$A$22,0)))*'Parametri Modello'!$B$9))))*(1+IF('Parametri Modello'!$B$27="Si",MAX(-'Parametri Modello'!$B$28,MIN('Parametri Modello'!$B$28*1.5,IF(OR(INDEX('Parametri Modello'!$F$32:$F$35,MATCH($B299,'Parametri Modello'!$A$32:$A$35,0))="",INDEX('Parametri Modello'!$F$32:$F$35,MATCH($B299,'Parametri Modello'!$A$32:$A$35,0))=0),0,(1/INDEX('Parametri Modello'!$F$32:$F$35,MATCH($B299,'Parametri Modello'!$A$32:$A$35,0))-1)*'Parametri Modello'!$B$28))),0)))*(1+INDEX('Parametri Modello'!$B$12:$B$15,MATCH($B299,'Parametri Modello'!$A$12:$A$15,0))),0),"")</f>
        <v>2</v>
      </c>
      <c r="I299" s="26" t="n">
        <f aca="false">IFERROR(INDEX('Input Statistiche 2025_26'!$F$3:$F$665,MATCH($A299,'Input Statistiche 2025_26'!$A$3:$A$665,0)),"")</f>
        <v>12</v>
      </c>
      <c r="J299" s="26" t="n">
        <f aca="false">IFERROR(IF($I299="","",MAX(0,38-$I299)),"")</f>
        <v>26</v>
      </c>
      <c r="K299" s="26" t="n">
        <f aca="false">IFERROR(INDEX('Input Statistiche 2025_26'!$I$3:$I$665,MATCH($A299,'Input Statistiche 2025_26'!$A$3:$A$665,0)),"")</f>
        <v>0</v>
      </c>
      <c r="L299" s="26" t="n">
        <f aca="false">IFERROR(INDEX('Input Statistiche 2025_26'!$O$3:$O$665,MATCH($A299,'Input Statistiche 2025_26'!$A$3:$A$665,0)),"")</f>
        <v>1</v>
      </c>
      <c r="M299" s="28"/>
      <c r="N299" s="27" t="n">
        <f aca="false">IFERROR(INDEX('Input Giocatori 2026_27'!$E$3:$E$493,MATCH($A299,'Input Giocatori 2026_27'!$A$3:$A$493,0)),"")</f>
        <v>4</v>
      </c>
      <c r="O299" s="27" t="n">
        <f aca="false">IFERROR(INDEX('Input Giocatori 2026_27'!$G$3:$G$493,MATCH($A299,'Input Giocatori 2026_27'!$A$3:$A$493,0)),"")</f>
        <v>11</v>
      </c>
      <c r="P299" s="26" t="str">
        <f aca="false">IFERROR(IF($O299="","",IF((1-(COUNTIFS($B$2:$B$492,$B299,$O$2:$O$492,"&gt;"&amp;$O299)+1-1)/COUNTIF($B$2:$B$492,$B299))&gt;=0.85,"Top",IF((1-(COUNTIFS($B$2:$B$492,$B299,$O$2:$O$492,"&gt;"&amp;$O299)+1-1)/COUNTIF($B$2:$B$492,$B299))&gt;=0.6,"Buono",IF((1-(COUNTIFS($B$2:$B$492,$B299,$O$2:$O$492,"&gt;"&amp;$O299)+1-1)/COUNTIF($B$2:$B$492,$B299))&gt;=0.3,"Nella Media","Scommessa/Riserva")))),"")</f>
        <v>Nella Media</v>
      </c>
      <c r="Q299" s="29" t="n">
        <f aca="false">IF($D299="",COUNTIF($D$2:$D299,""),"")</f>
        <v>298</v>
      </c>
      <c r="R299" s="29" t="str">
        <f aca="false">IF($D299='Info Lega'!$B$28,COUNTIFS($D$2:$D299,'Info Lega'!$B$28),"")</f>
        <v/>
      </c>
      <c r="S299" s="30" t="n">
        <f aca="false">IFERROR(INDEX('Input Statistiche 2025_26'!$G$3:$G$665,MATCH($A299,'Input Statistiche 2025_26'!$A$3:$A$665,0)),"")</f>
        <v>5.71</v>
      </c>
      <c r="T299" s="30" t="n">
        <f aca="false">IFERROR(INDEX('Input Statistiche 2025_26'!$H$3:$H$665,MATCH($A299,'Input Statistiche 2025_26'!$A$3:$A$665,0)),"")</f>
        <v>5.79</v>
      </c>
      <c r="U299" s="26" t="str">
        <f aca="false">IF(OR('La Mia Rosa'!$O$12="",$D299&lt;&gt;""),"",IF($F299&lt;='La Mia Rosa'!$O$12*'Parametri Modello'!$B$24,"OK",IF($F299&lt;='La Mia Rosa'!$O$12*'Parametri Modello'!$B$25,"Attenzione","Rischio Alto")))</f>
        <v>OK</v>
      </c>
      <c r="V299" s="26" t="n">
        <f aca="false">IFERROR(COUNTIFS($B$2:$B$492,$B299,$O$2:$O$492,"&gt;"&amp;$O299)+1,"")</f>
        <v>115</v>
      </c>
      <c r="W299" s="21" t="n">
        <f aca="false">'Info Lega'!$B$4-SUMIFS($M$2:$M$492,$D$2:$D$492,'Info Lega'!$B$28)</f>
        <v>1000</v>
      </c>
      <c r="X299" s="21" t="n">
        <f aca="false">('Info Lega'!$B$5-COUNTIFS($D$2:$D$492,'Info Lega'!$B$28,$B$2:$B$492,"P"))+('Info Lega'!$B$6-COUNTIFS($D$2:$D$492,'Info Lega'!$B$28,$B$2:$B$492,"D"))+('Info Lega'!$B$7-COUNTIFS($D$2:$D$492,'Info Lega'!$B$28,$B$2:$B$492,"C"))+('Info Lega'!$B$8-COUNTIFS($D$2:$D$492,'Info Lega'!$B$28,$B$2:$B$492,"A"))</f>
        <v>25</v>
      </c>
      <c r="Y299" s="21" t="n">
        <f aca="false">X299*'Parametri Modello'!$B$30</f>
        <v>25</v>
      </c>
      <c r="Z299" s="21" t="n">
        <f aca="false">MAX(0,W299-Y299)</f>
        <v>975</v>
      </c>
      <c r="AA299" s="21" t="n">
        <f aca="false">MIN(F299,Z299)</f>
        <v>2</v>
      </c>
      <c r="AB299" s="21"/>
      <c r="AC299" s="21" t="str">
        <f aca="false">IF(AB299="","",IF(AB299&gt;AA299,"PASS",IF(AB299&lt;=AA299*0.85,"BID","ATTENZIONE")))</f>
        <v/>
      </c>
      <c r="AD299" s="31" t="n">
        <f aca="false">IF(I299="","",ROUND(100*(1-EXP(-I299/30)),0))</f>
        <v>33</v>
      </c>
      <c r="AE299" s="7" t="str">
        <f aca="false">IFERROR(INDEX('Stato Asta'!$G$9:$G$12,MATCH($B299,'Stato Asta'!$A$9:$A$12,0)),"")</f>
        <v>🟡 Attesa rischiosa</v>
      </c>
    </row>
    <row r="300" customFormat="false" ht="14.25" hidden="false" customHeight="true" outlineLevel="0" collapsed="false">
      <c r="A300" s="21" t="n">
        <v>4199</v>
      </c>
      <c r="B300" s="21" t="s">
        <v>45</v>
      </c>
      <c r="C300" s="21" t="s">
        <v>485</v>
      </c>
      <c r="E300" s="26" t="str">
        <f aca="false">IF(COUNTIF('Info Strategia'!$D$2:$D$51,$C300)&gt;0,"SI","NO")</f>
        <v>NO</v>
      </c>
      <c r="F300" s="27" t="n">
        <f aca="false">IFERROR(ROUND(($G300+($H300-$G300)*'Info Strategia'!$B$6)*(1+IF($E300="SI",'Parametri Modello'!$B$7*'Info Strategia'!$B$6,0)),0),"")</f>
        <v>2</v>
      </c>
      <c r="G300" s="27" t="n">
        <f aca="false">IFERROR(ROUND(MAX(1,(IF($V300&lt;=INDEX('Parametri Modello'!$C$57:$C$60,MATCH($B300,'Parametri Modello'!$A$57:$A$60,0)),IF(INDEX('Parametri Modello'!$E$57:$E$60,MATCH($B300,'Parametri Modello'!$A$57:$A$60,0))=0,0,($O300/INDEX('Parametri Modello'!$E$57:$E$60,MATCH($B300,'Parametri Modello'!$A$57:$A$60,0)))*(INDEX('Parametri Modello'!$D$57:$D$60,MATCH($B300,'Parametri Modello'!$A$57:$A$60,0))*(INDEX('Parametri Modello'!$B$50:$B$53,MATCH($B300,'Parametri Modello'!$A$50:$A$53,0))*'Parametri Modello'!$B$44))),IF(INDEX('Parametri Modello'!$F$57:$F$60,MATCH($B300,'Parametri Modello'!$A$57:$A$60,0))=0,0,($O300/INDEX('Parametri Modello'!$F$57:$F$60,MATCH($B300,'Parametri Modello'!$A$57:$A$60,0)))*((1-INDEX('Parametri Modello'!$D$57:$D$60,MATCH($B300,'Parametri Modello'!$A$57:$A$60,0)))*(INDEX('Parametri Modello'!$B$50:$B$53,MATCH($B300,'Parametri Modello'!$A$50:$A$53,0))*'Parametri Modello'!$B$44))))*(1+IF(IF($B300="D",'Info Lega'!$B$25,IF($B300="C",'Info Lega'!$B$26,"No"))="Si",'Parametri Modello'!$B$5,0))*(1+MAX(-0.25,MIN(0.25,IF(OR($T300="",$I300="",$I300=0,INDEX('Parametri Modello'!$B$19:$B$22,MATCH($B300,'Parametri Modello'!$A$19:$A$22,0))="",INDEX('Parametri Modello'!$B$19:$B$22,MATCH($B300,'Parametri Modello'!$A$19:$A$22,0))=0),0,(($T300-INDEX('Parametri Modello'!$B$19:$B$22,MATCH($B300,'Parametri Modello'!$A$19:$A$22,0)))/INDEX('Parametri Modello'!$B$19:$B$22,MATCH($B300,'Parametri Modello'!$A$19:$A$22,0)))*'Parametri Modello'!$B$9))))*(1+IF('Parametri Modello'!$B$27="Si",MAX(-'Parametri Modello'!$B$28,MIN('Parametri Modello'!$B$28*1.5,IF(OR(INDEX('Parametri Modello'!$F$32:$F$35,MATCH($B300,'Parametri Modello'!$A$32:$A$35,0))="",INDEX('Parametri Modello'!$F$32:$F$35,MATCH($B300,'Parametri Modello'!$A$32:$A$35,0))=0),0,(1/INDEX('Parametri Modello'!$F$32:$F$35,MATCH($B300,'Parametri Modello'!$A$32:$A$35,0))-1)*'Parametri Modello'!$B$28))),0)))*(1-INDEX('Parametri Modello'!$B$12:$B$15,MATCH($B300,'Parametri Modello'!$A$12:$A$15,0)))),0),"")</f>
        <v>1</v>
      </c>
      <c r="H300" s="27" t="n">
        <f aca="false">IFERROR(ROUND((IF($V300&lt;=INDEX('Parametri Modello'!$C$57:$C$60,MATCH($B300,'Parametri Modello'!$A$57:$A$60,0)),IF(INDEX('Parametri Modello'!$E$57:$E$60,MATCH($B300,'Parametri Modello'!$A$57:$A$60,0))=0,0,($O300/INDEX('Parametri Modello'!$E$57:$E$60,MATCH($B300,'Parametri Modello'!$A$57:$A$60,0)))*(INDEX('Parametri Modello'!$D$57:$D$60,MATCH($B300,'Parametri Modello'!$A$57:$A$60,0))*(INDEX('Parametri Modello'!$B$50:$B$53,MATCH($B300,'Parametri Modello'!$A$50:$A$53,0))*'Parametri Modello'!$B$44))),IF(INDEX('Parametri Modello'!$F$57:$F$60,MATCH($B300,'Parametri Modello'!$A$57:$A$60,0))=0,0,($O300/INDEX('Parametri Modello'!$F$57:$F$60,MATCH($B300,'Parametri Modello'!$A$57:$A$60,0)))*((1-INDEX('Parametri Modello'!$D$57:$D$60,MATCH($B300,'Parametri Modello'!$A$57:$A$60,0)))*(INDEX('Parametri Modello'!$B$50:$B$53,MATCH($B300,'Parametri Modello'!$A$50:$A$53,0))*'Parametri Modello'!$B$44))))*(1+IF(IF($B300="D",'Info Lega'!$B$25,IF($B300="C",'Info Lega'!$B$26,"No"))="Si",'Parametri Modello'!$B$5,0))*(1+MAX(-0.25,MIN(0.25,IF(OR($T300="",$I300="",$I300=0,INDEX('Parametri Modello'!$B$19:$B$22,MATCH($B300,'Parametri Modello'!$A$19:$A$22,0))="",INDEX('Parametri Modello'!$B$19:$B$22,MATCH($B300,'Parametri Modello'!$A$19:$A$22,0))=0),0,(($T300-INDEX('Parametri Modello'!$B$19:$B$22,MATCH($B300,'Parametri Modello'!$A$19:$A$22,0)))/INDEX('Parametri Modello'!$B$19:$B$22,MATCH($B300,'Parametri Modello'!$A$19:$A$22,0)))*'Parametri Modello'!$B$9))))*(1+IF('Parametri Modello'!$B$27="Si",MAX(-'Parametri Modello'!$B$28,MIN('Parametri Modello'!$B$28*1.5,IF(OR(INDEX('Parametri Modello'!$F$32:$F$35,MATCH($B300,'Parametri Modello'!$A$32:$A$35,0))="",INDEX('Parametri Modello'!$F$32:$F$35,MATCH($B300,'Parametri Modello'!$A$32:$A$35,0))=0),0,(1/INDEX('Parametri Modello'!$F$32:$F$35,MATCH($B300,'Parametri Modello'!$A$32:$A$35,0))-1)*'Parametri Modello'!$B$28))),0)))*(1+INDEX('Parametri Modello'!$B$12:$B$15,MATCH($B300,'Parametri Modello'!$A$12:$A$15,0))),0),"")</f>
        <v>2</v>
      </c>
      <c r="I300" s="26" t="n">
        <f aca="false">IFERROR(INDEX('Input Statistiche 2025_26'!$F$3:$F$665,MATCH($A300,'Input Statistiche 2025_26'!$A$3:$A$665,0)),"")</f>
        <v>21</v>
      </c>
      <c r="J300" s="26" t="n">
        <f aca="false">IFERROR(IF($I300="","",MAX(0,38-$I300)),"")</f>
        <v>17</v>
      </c>
      <c r="K300" s="26" t="n">
        <f aca="false">IFERROR(INDEX('Input Statistiche 2025_26'!$I$3:$I$665,MATCH($A300,'Input Statistiche 2025_26'!$A$3:$A$665,0)),"")</f>
        <v>3</v>
      </c>
      <c r="L300" s="26" t="n">
        <f aca="false">IFERROR(INDEX('Input Statistiche 2025_26'!$O$3:$O$665,MATCH($A300,'Input Statistiche 2025_26'!$A$3:$A$665,0)),"")</f>
        <v>1</v>
      </c>
      <c r="M300" s="28"/>
      <c r="N300" s="27" t="n">
        <f aca="false">IFERROR(INDEX('Input Giocatori 2026_27'!$E$3:$E$493,MATCH($A300,'Input Giocatori 2026_27'!$A$3:$A$493,0)),"")</f>
        <v>4</v>
      </c>
      <c r="O300" s="27" t="n">
        <f aca="false">IFERROR(INDEX('Input Giocatori 2026_27'!$G$3:$G$493,MATCH($A300,'Input Giocatori 2026_27'!$A$3:$A$493,0)),"")</f>
        <v>11</v>
      </c>
      <c r="P300" s="26" t="str">
        <f aca="false">IFERROR(IF($O300="","",IF((1-(COUNTIFS($B$2:$B$492,$B300,$O$2:$O$492,"&gt;"&amp;$O300)+1-1)/COUNTIF($B$2:$B$492,$B300))&gt;=0.85,"Top",IF((1-(COUNTIFS($B$2:$B$492,$B300,$O$2:$O$492,"&gt;"&amp;$O300)+1-1)/COUNTIF($B$2:$B$492,$B300))&gt;=0.6,"Buono",IF((1-(COUNTIFS($B$2:$B$492,$B300,$O$2:$O$492,"&gt;"&amp;$O300)+1-1)/COUNTIF($B$2:$B$492,$B300))&gt;=0.3,"Nella Media","Scommessa/Riserva")))),"")</f>
        <v>Nella Media</v>
      </c>
      <c r="Q300" s="29" t="n">
        <f aca="false">IF($D300="",COUNTIF($D$2:$D300,""),"")</f>
        <v>299</v>
      </c>
      <c r="R300" s="29" t="str">
        <f aca="false">IF($D300='Info Lega'!$B$28,COUNTIFS($D$2:$D300,'Info Lega'!$B$28),"")</f>
        <v/>
      </c>
      <c r="S300" s="30" t="n">
        <f aca="false">IFERROR(INDEX('Input Statistiche 2025_26'!$G$3:$G$665,MATCH($A300,'Input Statistiche 2025_26'!$A$3:$A$665,0)),"")</f>
        <v>6.1</v>
      </c>
      <c r="T300" s="30" t="n">
        <f aca="false">IFERROR(INDEX('Input Statistiche 2025_26'!$H$3:$H$665,MATCH($A300,'Input Statistiche 2025_26'!$A$3:$A$665,0)),"")</f>
        <v>6.52</v>
      </c>
      <c r="U300" s="26" t="str">
        <f aca="false">IF(OR('La Mia Rosa'!$O$12="",$D300&lt;&gt;""),"",IF($F300&lt;='La Mia Rosa'!$O$12*'Parametri Modello'!$B$24,"OK",IF($F300&lt;='La Mia Rosa'!$O$12*'Parametri Modello'!$B$25,"Attenzione","Rischio Alto")))</f>
        <v>OK</v>
      </c>
      <c r="V300" s="26" t="n">
        <f aca="false">IFERROR(COUNTIFS($B$2:$B$492,$B300,$O$2:$O$492,"&gt;"&amp;$O300)+1,"")</f>
        <v>115</v>
      </c>
      <c r="W300" s="21" t="n">
        <f aca="false">'Info Lega'!$B$4-SUMIFS($M$2:$M$492,$D$2:$D$492,'Info Lega'!$B$28)</f>
        <v>1000</v>
      </c>
      <c r="X300" s="21" t="n">
        <f aca="false">('Info Lega'!$B$5-COUNTIFS($D$2:$D$492,'Info Lega'!$B$28,$B$2:$B$492,"P"))+('Info Lega'!$B$6-COUNTIFS($D$2:$D$492,'Info Lega'!$B$28,$B$2:$B$492,"D"))+('Info Lega'!$B$7-COUNTIFS($D$2:$D$492,'Info Lega'!$B$28,$B$2:$B$492,"C"))+('Info Lega'!$B$8-COUNTIFS($D$2:$D$492,'Info Lega'!$B$28,$B$2:$B$492,"A"))</f>
        <v>25</v>
      </c>
      <c r="Y300" s="21" t="n">
        <f aca="false">X300*'Parametri Modello'!$B$30</f>
        <v>25</v>
      </c>
      <c r="Z300" s="21" t="n">
        <f aca="false">MAX(0,W300-Y300)</f>
        <v>975</v>
      </c>
      <c r="AA300" s="21" t="n">
        <f aca="false">MIN(F300,Z300)</f>
        <v>2</v>
      </c>
      <c r="AB300" s="21"/>
      <c r="AC300" s="21" t="str">
        <f aca="false">IF(AB300="","",IF(AB300&gt;AA300,"PASS",IF(AB300&lt;=AA300*0.85,"BID","ATTENZIONE")))</f>
        <v/>
      </c>
      <c r="AD300" s="31" t="n">
        <f aca="false">IF(I300="","",ROUND(100*(1-EXP(-I300/30)),0))</f>
        <v>50</v>
      </c>
      <c r="AE300" s="7" t="str">
        <f aca="false">IFERROR(INDEX('Stato Asta'!$G$9:$G$12,MATCH($B300,'Stato Asta'!$A$9:$A$12,0)),"")</f>
        <v>🟡 Attesa rischiosa</v>
      </c>
    </row>
    <row r="301" customFormat="false" ht="14.25" hidden="false" customHeight="true" outlineLevel="0" collapsed="false">
      <c r="A301" s="21" t="n">
        <v>5813</v>
      </c>
      <c r="B301" s="21" t="s">
        <v>45</v>
      </c>
      <c r="C301" s="21" t="s">
        <v>500</v>
      </c>
      <c r="E301" s="26" t="str">
        <f aca="false">IF(COUNTIF('Info Strategia'!$D$2:$D$51,$C301)&gt;0,"SI","NO")</f>
        <v>NO</v>
      </c>
      <c r="F301" s="27" t="n">
        <f aca="false">IFERROR(ROUND(($G301+($H301-$G301)*'Info Strategia'!$B$6)*(1+IF($E301="SI",'Parametri Modello'!$B$7*'Info Strategia'!$B$6,0)),0),"")</f>
        <v>2</v>
      </c>
      <c r="G301" s="27" t="n">
        <f aca="false">IFERROR(ROUND(MAX(1,(IF($V301&lt;=INDEX('Parametri Modello'!$C$57:$C$60,MATCH($B301,'Parametri Modello'!$A$57:$A$60,0)),IF(INDEX('Parametri Modello'!$E$57:$E$60,MATCH($B301,'Parametri Modello'!$A$57:$A$60,0))=0,0,($O301/INDEX('Parametri Modello'!$E$57:$E$60,MATCH($B301,'Parametri Modello'!$A$57:$A$60,0)))*(INDEX('Parametri Modello'!$D$57:$D$60,MATCH($B301,'Parametri Modello'!$A$57:$A$60,0))*(INDEX('Parametri Modello'!$B$50:$B$53,MATCH($B301,'Parametri Modello'!$A$50:$A$53,0))*'Parametri Modello'!$B$44))),IF(INDEX('Parametri Modello'!$F$57:$F$60,MATCH($B301,'Parametri Modello'!$A$57:$A$60,0))=0,0,($O301/INDEX('Parametri Modello'!$F$57:$F$60,MATCH($B301,'Parametri Modello'!$A$57:$A$60,0)))*((1-INDEX('Parametri Modello'!$D$57:$D$60,MATCH($B301,'Parametri Modello'!$A$57:$A$60,0)))*(INDEX('Parametri Modello'!$B$50:$B$53,MATCH($B301,'Parametri Modello'!$A$50:$A$53,0))*'Parametri Modello'!$B$44))))*(1+IF(IF($B301="D",'Info Lega'!$B$25,IF($B301="C",'Info Lega'!$B$26,"No"))="Si",'Parametri Modello'!$B$5,0))*(1+MAX(-0.25,MIN(0.25,IF(OR($T301="",$I301="",$I301=0,INDEX('Parametri Modello'!$B$19:$B$22,MATCH($B301,'Parametri Modello'!$A$19:$A$22,0))="",INDEX('Parametri Modello'!$B$19:$B$22,MATCH($B301,'Parametri Modello'!$A$19:$A$22,0))=0),0,(($T301-INDEX('Parametri Modello'!$B$19:$B$22,MATCH($B301,'Parametri Modello'!$A$19:$A$22,0)))/INDEX('Parametri Modello'!$B$19:$B$22,MATCH($B301,'Parametri Modello'!$A$19:$A$22,0)))*'Parametri Modello'!$B$9))))*(1+IF('Parametri Modello'!$B$27="Si",MAX(-'Parametri Modello'!$B$28,MIN('Parametri Modello'!$B$28*1.5,IF(OR(INDEX('Parametri Modello'!$F$32:$F$35,MATCH($B301,'Parametri Modello'!$A$32:$A$35,0))="",INDEX('Parametri Modello'!$F$32:$F$35,MATCH($B301,'Parametri Modello'!$A$32:$A$35,0))=0),0,(1/INDEX('Parametri Modello'!$F$32:$F$35,MATCH($B301,'Parametri Modello'!$A$32:$A$35,0))-1)*'Parametri Modello'!$B$28))),0)))*(1-INDEX('Parametri Modello'!$B$12:$B$15,MATCH($B301,'Parametri Modello'!$A$12:$A$15,0)))),0),"")</f>
        <v>1</v>
      </c>
      <c r="H301" s="27" t="n">
        <f aca="false">IFERROR(ROUND((IF($V301&lt;=INDEX('Parametri Modello'!$C$57:$C$60,MATCH($B301,'Parametri Modello'!$A$57:$A$60,0)),IF(INDEX('Parametri Modello'!$E$57:$E$60,MATCH($B301,'Parametri Modello'!$A$57:$A$60,0))=0,0,($O301/INDEX('Parametri Modello'!$E$57:$E$60,MATCH($B301,'Parametri Modello'!$A$57:$A$60,0)))*(INDEX('Parametri Modello'!$D$57:$D$60,MATCH($B301,'Parametri Modello'!$A$57:$A$60,0))*(INDEX('Parametri Modello'!$B$50:$B$53,MATCH($B301,'Parametri Modello'!$A$50:$A$53,0))*'Parametri Modello'!$B$44))),IF(INDEX('Parametri Modello'!$F$57:$F$60,MATCH($B301,'Parametri Modello'!$A$57:$A$60,0))=0,0,($O301/INDEX('Parametri Modello'!$F$57:$F$60,MATCH($B301,'Parametri Modello'!$A$57:$A$60,0)))*((1-INDEX('Parametri Modello'!$D$57:$D$60,MATCH($B301,'Parametri Modello'!$A$57:$A$60,0)))*(INDEX('Parametri Modello'!$B$50:$B$53,MATCH($B301,'Parametri Modello'!$A$50:$A$53,0))*'Parametri Modello'!$B$44))))*(1+IF(IF($B301="D",'Info Lega'!$B$25,IF($B301="C",'Info Lega'!$B$26,"No"))="Si",'Parametri Modello'!$B$5,0))*(1+MAX(-0.25,MIN(0.25,IF(OR($T301="",$I301="",$I301=0,INDEX('Parametri Modello'!$B$19:$B$22,MATCH($B301,'Parametri Modello'!$A$19:$A$22,0))="",INDEX('Parametri Modello'!$B$19:$B$22,MATCH($B301,'Parametri Modello'!$A$19:$A$22,0))=0),0,(($T301-INDEX('Parametri Modello'!$B$19:$B$22,MATCH($B301,'Parametri Modello'!$A$19:$A$22,0)))/INDEX('Parametri Modello'!$B$19:$B$22,MATCH($B301,'Parametri Modello'!$A$19:$A$22,0)))*'Parametri Modello'!$B$9))))*(1+IF('Parametri Modello'!$B$27="Si",MAX(-'Parametri Modello'!$B$28,MIN('Parametri Modello'!$B$28*1.5,IF(OR(INDEX('Parametri Modello'!$F$32:$F$35,MATCH($B301,'Parametri Modello'!$A$32:$A$35,0))="",INDEX('Parametri Modello'!$F$32:$F$35,MATCH($B301,'Parametri Modello'!$A$32:$A$35,0))=0),0,(1/INDEX('Parametri Modello'!$F$32:$F$35,MATCH($B301,'Parametri Modello'!$A$32:$A$35,0))-1)*'Parametri Modello'!$B$28))),0)))*(1+INDEX('Parametri Modello'!$B$12:$B$15,MATCH($B301,'Parametri Modello'!$A$12:$A$15,0))),0),"")</f>
        <v>2</v>
      </c>
      <c r="I301" s="26" t="n">
        <f aca="false">IFERROR(INDEX('Input Statistiche 2025_26'!$F$3:$F$665,MATCH($A301,'Input Statistiche 2025_26'!$A$3:$A$665,0)),"")</f>
        <v>15</v>
      </c>
      <c r="J301" s="26" t="n">
        <f aca="false">IFERROR(IF($I301="","",MAX(0,38-$I301)),"")</f>
        <v>23</v>
      </c>
      <c r="K301" s="26" t="n">
        <f aca="false">IFERROR(INDEX('Input Statistiche 2025_26'!$I$3:$I$665,MATCH($A301,'Input Statistiche 2025_26'!$A$3:$A$665,0)),"")</f>
        <v>1</v>
      </c>
      <c r="L301" s="26" t="n">
        <f aca="false">IFERROR(INDEX('Input Statistiche 2025_26'!$O$3:$O$665,MATCH($A301,'Input Statistiche 2025_26'!$A$3:$A$665,0)),"")</f>
        <v>1</v>
      </c>
      <c r="M301" s="28"/>
      <c r="N301" s="27" t="n">
        <f aca="false">IFERROR(INDEX('Input Giocatori 2026_27'!$E$3:$E$493,MATCH($A301,'Input Giocatori 2026_27'!$A$3:$A$493,0)),"")</f>
        <v>3</v>
      </c>
      <c r="O301" s="27" t="n">
        <f aca="false">IFERROR(INDEX('Input Giocatori 2026_27'!$G$3:$G$493,MATCH($A301,'Input Giocatori 2026_27'!$A$3:$A$493,0)),"")</f>
        <v>11</v>
      </c>
      <c r="P301" s="26" t="str">
        <f aca="false">IFERROR(IF($O301="","",IF((1-(COUNTIFS($B$2:$B$492,$B301,$O$2:$O$492,"&gt;"&amp;$O301)+1-1)/COUNTIF($B$2:$B$492,$B301))&gt;=0.85,"Top",IF((1-(COUNTIFS($B$2:$B$492,$B301,$O$2:$O$492,"&gt;"&amp;$O301)+1-1)/COUNTIF($B$2:$B$492,$B301))&gt;=0.6,"Buono",IF((1-(COUNTIFS($B$2:$B$492,$B301,$O$2:$O$492,"&gt;"&amp;$O301)+1-1)/COUNTIF($B$2:$B$492,$B301))&gt;=0.3,"Nella Media","Scommessa/Riserva")))),"")</f>
        <v>Nella Media</v>
      </c>
      <c r="Q301" s="29" t="n">
        <f aca="false">IF($D301="",COUNTIF($D$2:$D301,""),"")</f>
        <v>300</v>
      </c>
      <c r="R301" s="29" t="str">
        <f aca="false">IF($D301='Info Lega'!$B$28,COUNTIFS($D$2:$D301,'Info Lega'!$B$28),"")</f>
        <v/>
      </c>
      <c r="S301" s="30" t="n">
        <f aca="false">IFERROR(INDEX('Input Statistiche 2025_26'!$G$3:$G$665,MATCH($A301,'Input Statistiche 2025_26'!$A$3:$A$665,0)),"")</f>
        <v>5.97</v>
      </c>
      <c r="T301" s="30" t="n">
        <f aca="false">IFERROR(INDEX('Input Statistiche 2025_26'!$H$3:$H$665,MATCH($A301,'Input Statistiche 2025_26'!$A$3:$A$665,0)),"")</f>
        <v>6.2</v>
      </c>
      <c r="U301" s="26" t="str">
        <f aca="false">IF(OR('La Mia Rosa'!$O$12="",$D301&lt;&gt;""),"",IF($F301&lt;='La Mia Rosa'!$O$12*'Parametri Modello'!$B$24,"OK",IF($F301&lt;='La Mia Rosa'!$O$12*'Parametri Modello'!$B$25,"Attenzione","Rischio Alto")))</f>
        <v>OK</v>
      </c>
      <c r="V301" s="26" t="n">
        <f aca="false">IFERROR(COUNTIFS($B$2:$B$492,$B301,$O$2:$O$492,"&gt;"&amp;$O301)+1,"")</f>
        <v>115</v>
      </c>
      <c r="W301" s="21" t="n">
        <f aca="false">'Info Lega'!$B$4-SUMIFS($M$2:$M$492,$D$2:$D$492,'Info Lega'!$B$28)</f>
        <v>1000</v>
      </c>
      <c r="X301" s="21" t="n">
        <f aca="false">('Info Lega'!$B$5-COUNTIFS($D$2:$D$492,'Info Lega'!$B$28,$B$2:$B$492,"P"))+('Info Lega'!$B$6-COUNTIFS($D$2:$D$492,'Info Lega'!$B$28,$B$2:$B$492,"D"))+('Info Lega'!$B$7-COUNTIFS($D$2:$D$492,'Info Lega'!$B$28,$B$2:$B$492,"C"))+('Info Lega'!$B$8-COUNTIFS($D$2:$D$492,'Info Lega'!$B$28,$B$2:$B$492,"A"))</f>
        <v>25</v>
      </c>
      <c r="Y301" s="21" t="n">
        <f aca="false">X301*'Parametri Modello'!$B$30</f>
        <v>25</v>
      </c>
      <c r="Z301" s="21" t="n">
        <f aca="false">MAX(0,W301-Y301)</f>
        <v>975</v>
      </c>
      <c r="AA301" s="21" t="n">
        <f aca="false">MIN(F301,Z301)</f>
        <v>2</v>
      </c>
      <c r="AB301" s="21"/>
      <c r="AC301" s="21" t="str">
        <f aca="false">IF(AB301="","",IF(AB301&gt;AA301,"PASS",IF(AB301&lt;=AA301*0.85,"BID","ATTENZIONE")))</f>
        <v/>
      </c>
      <c r="AD301" s="31" t="n">
        <f aca="false">IF(I301="","",ROUND(100*(1-EXP(-I301/30)),0))</f>
        <v>39</v>
      </c>
      <c r="AE301" s="7" t="str">
        <f aca="false">IFERROR(INDEX('Stato Asta'!$G$9:$G$12,MATCH($B301,'Stato Asta'!$A$9:$A$12,0)),"")</f>
        <v>🟡 Attesa rischiosa</v>
      </c>
    </row>
    <row r="302" customFormat="false" ht="14.25" hidden="false" customHeight="true" outlineLevel="0" collapsed="false">
      <c r="A302" s="21" t="n">
        <v>7342</v>
      </c>
      <c r="B302" s="21" t="s">
        <v>46</v>
      </c>
      <c r="C302" s="21" t="s">
        <v>612</v>
      </c>
      <c r="E302" s="26" t="str">
        <f aca="false">IF(COUNTIF('Info Strategia'!$D$2:$D$51,$C302)&gt;0,"SI","NO")</f>
        <v>NO</v>
      </c>
      <c r="F302" s="27" t="n">
        <f aca="false">IFERROR(ROUND(($G302+($H302-$G302)*'Info Strategia'!$B$6)*(1+IF($E302="SI",'Parametri Modello'!$B$7*'Info Strategia'!$B$6,0)),0),"")</f>
        <v>3</v>
      </c>
      <c r="G302" s="27" t="n">
        <f aca="false">IFERROR(ROUND(MAX(1,(IF($V302&lt;=INDEX('Parametri Modello'!$C$57:$C$60,MATCH($B302,'Parametri Modello'!$A$57:$A$60,0)),IF(INDEX('Parametri Modello'!$E$57:$E$60,MATCH($B302,'Parametri Modello'!$A$57:$A$60,0))=0,0,($O302/INDEX('Parametri Modello'!$E$57:$E$60,MATCH($B302,'Parametri Modello'!$A$57:$A$60,0)))*(INDEX('Parametri Modello'!$D$57:$D$60,MATCH($B302,'Parametri Modello'!$A$57:$A$60,0))*(INDEX('Parametri Modello'!$B$50:$B$53,MATCH($B302,'Parametri Modello'!$A$50:$A$53,0))*'Parametri Modello'!$B$44))),IF(INDEX('Parametri Modello'!$F$57:$F$60,MATCH($B302,'Parametri Modello'!$A$57:$A$60,0))=0,0,($O302/INDEX('Parametri Modello'!$F$57:$F$60,MATCH($B302,'Parametri Modello'!$A$57:$A$60,0)))*((1-INDEX('Parametri Modello'!$D$57:$D$60,MATCH($B302,'Parametri Modello'!$A$57:$A$60,0)))*(INDEX('Parametri Modello'!$B$50:$B$53,MATCH($B302,'Parametri Modello'!$A$50:$A$53,0))*'Parametri Modello'!$B$44))))*(1+IF(IF($B302="D",'Info Lega'!$B$25,IF($B302="C",'Info Lega'!$B$26,"No"))="Si",'Parametri Modello'!$B$5,0))*(1+MAX(-0.25,MIN(0.25,IF(OR($T302="",$I302="",$I302=0,INDEX('Parametri Modello'!$B$19:$B$22,MATCH($B302,'Parametri Modello'!$A$19:$A$22,0))="",INDEX('Parametri Modello'!$B$19:$B$22,MATCH($B302,'Parametri Modello'!$A$19:$A$22,0))=0),0,(($T302-INDEX('Parametri Modello'!$B$19:$B$22,MATCH($B302,'Parametri Modello'!$A$19:$A$22,0)))/INDEX('Parametri Modello'!$B$19:$B$22,MATCH($B302,'Parametri Modello'!$A$19:$A$22,0)))*'Parametri Modello'!$B$9))))*(1+IF('Parametri Modello'!$B$27="Si",MAX(-'Parametri Modello'!$B$28,MIN('Parametri Modello'!$B$28*1.5,IF(OR(INDEX('Parametri Modello'!$F$32:$F$35,MATCH($B302,'Parametri Modello'!$A$32:$A$35,0))="",INDEX('Parametri Modello'!$F$32:$F$35,MATCH($B302,'Parametri Modello'!$A$32:$A$35,0))=0),0,(1/INDEX('Parametri Modello'!$F$32:$F$35,MATCH($B302,'Parametri Modello'!$A$32:$A$35,0))-1)*'Parametri Modello'!$B$28))),0)))*(1-INDEX('Parametri Modello'!$B$12:$B$15,MATCH($B302,'Parametri Modello'!$A$12:$A$15,0)))),0),"")</f>
        <v>2</v>
      </c>
      <c r="H302" s="27" t="n">
        <f aca="false">IFERROR(ROUND((IF($V302&lt;=INDEX('Parametri Modello'!$C$57:$C$60,MATCH($B302,'Parametri Modello'!$A$57:$A$60,0)),IF(INDEX('Parametri Modello'!$E$57:$E$60,MATCH($B302,'Parametri Modello'!$A$57:$A$60,0))=0,0,($O302/INDEX('Parametri Modello'!$E$57:$E$60,MATCH($B302,'Parametri Modello'!$A$57:$A$60,0)))*(INDEX('Parametri Modello'!$D$57:$D$60,MATCH($B302,'Parametri Modello'!$A$57:$A$60,0))*(INDEX('Parametri Modello'!$B$50:$B$53,MATCH($B302,'Parametri Modello'!$A$50:$A$53,0))*'Parametri Modello'!$B$44))),IF(INDEX('Parametri Modello'!$F$57:$F$60,MATCH($B302,'Parametri Modello'!$A$57:$A$60,0))=0,0,($O302/INDEX('Parametri Modello'!$F$57:$F$60,MATCH($B302,'Parametri Modello'!$A$57:$A$60,0)))*((1-INDEX('Parametri Modello'!$D$57:$D$60,MATCH($B302,'Parametri Modello'!$A$57:$A$60,0)))*(INDEX('Parametri Modello'!$B$50:$B$53,MATCH($B302,'Parametri Modello'!$A$50:$A$53,0))*'Parametri Modello'!$B$44))))*(1+IF(IF($B302="D",'Info Lega'!$B$25,IF($B302="C",'Info Lega'!$B$26,"No"))="Si",'Parametri Modello'!$B$5,0))*(1+MAX(-0.25,MIN(0.25,IF(OR($T302="",$I302="",$I302=0,INDEX('Parametri Modello'!$B$19:$B$22,MATCH($B302,'Parametri Modello'!$A$19:$A$22,0))="",INDEX('Parametri Modello'!$B$19:$B$22,MATCH($B302,'Parametri Modello'!$A$19:$A$22,0))=0),0,(($T302-INDEX('Parametri Modello'!$B$19:$B$22,MATCH($B302,'Parametri Modello'!$A$19:$A$22,0)))/INDEX('Parametri Modello'!$B$19:$B$22,MATCH($B302,'Parametri Modello'!$A$19:$A$22,0)))*'Parametri Modello'!$B$9))))*(1+IF('Parametri Modello'!$B$27="Si",MAX(-'Parametri Modello'!$B$28,MIN('Parametri Modello'!$B$28*1.5,IF(OR(INDEX('Parametri Modello'!$F$32:$F$35,MATCH($B302,'Parametri Modello'!$A$32:$A$35,0))="",INDEX('Parametri Modello'!$F$32:$F$35,MATCH($B302,'Parametri Modello'!$A$32:$A$35,0))=0),0,(1/INDEX('Parametri Modello'!$F$32:$F$35,MATCH($B302,'Parametri Modello'!$A$32:$A$35,0))-1)*'Parametri Modello'!$B$28))),0)))*(1+INDEX('Parametri Modello'!$B$12:$B$15,MATCH($B302,'Parametri Modello'!$A$12:$A$15,0))),0),"")</f>
        <v>4</v>
      </c>
      <c r="I302" s="26" t="n">
        <f aca="false">IFERROR(INDEX('Input Statistiche 2025_26'!$F$3:$F$665,MATCH($A302,'Input Statistiche 2025_26'!$A$3:$A$665,0)),"")</f>
        <v>8</v>
      </c>
      <c r="J302" s="26" t="n">
        <f aca="false">IFERROR(IF($I302="","",MAX(0,38-$I302)),"")</f>
        <v>30</v>
      </c>
      <c r="K302" s="26" t="n">
        <f aca="false">IFERROR(INDEX('Input Statistiche 2025_26'!$I$3:$I$665,MATCH($A302,'Input Statistiche 2025_26'!$A$3:$A$665,0)),"")</f>
        <v>2</v>
      </c>
      <c r="L302" s="26" t="n">
        <f aca="false">IFERROR(INDEX('Input Statistiche 2025_26'!$O$3:$O$665,MATCH($A302,'Input Statistiche 2025_26'!$A$3:$A$665,0)),"")</f>
        <v>1</v>
      </c>
      <c r="M302" s="28"/>
      <c r="N302" s="27" t="n">
        <f aca="false">IFERROR(INDEX('Input Giocatori 2026_27'!$E$3:$E$493,MATCH($A302,'Input Giocatori 2026_27'!$A$3:$A$493,0)),"")</f>
        <v>3</v>
      </c>
      <c r="O302" s="27" t="n">
        <f aca="false">IFERROR(INDEX('Input Giocatori 2026_27'!$G$3:$G$493,MATCH($A302,'Input Giocatori 2026_27'!$A$3:$A$493,0)),"")</f>
        <v>11</v>
      </c>
      <c r="P302" s="26" t="str">
        <f aca="false">IFERROR(IF($O302="","",IF((1-(COUNTIFS($B$2:$B$492,$B302,$O$2:$O$492,"&gt;"&amp;$O302)+1-1)/COUNTIF($B$2:$B$492,$B302))&gt;=0.85,"Top",IF((1-(COUNTIFS($B$2:$B$492,$B302,$O$2:$O$492,"&gt;"&amp;$O302)+1-1)/COUNTIF($B$2:$B$492,$B302))&gt;=0.6,"Buono",IF((1-(COUNTIFS($B$2:$B$492,$B302,$O$2:$O$492,"&gt;"&amp;$O302)+1-1)/COUNTIF($B$2:$B$492,$B302))&gt;=0.3,"Nella Media","Scommessa/Riserva")))),"")</f>
        <v>Scommessa/Riserva</v>
      </c>
      <c r="Q302" s="29" t="n">
        <f aca="false">IF($D302="",COUNTIF($D$2:$D302,""),"")</f>
        <v>301</v>
      </c>
      <c r="R302" s="29" t="str">
        <f aca="false">IF($D302='Info Lega'!$B$28,COUNTIFS($D$2:$D302,'Info Lega'!$B$28),"")</f>
        <v/>
      </c>
      <c r="S302" s="30" t="n">
        <f aca="false">IFERROR(INDEX('Input Statistiche 2025_26'!$G$3:$G$665,MATCH($A302,'Input Statistiche 2025_26'!$A$3:$A$665,0)),"")</f>
        <v>6</v>
      </c>
      <c r="T302" s="30" t="n">
        <f aca="false">IFERROR(INDEX('Input Statistiche 2025_26'!$H$3:$H$665,MATCH($A302,'Input Statistiche 2025_26'!$A$3:$A$665,0)),"")</f>
        <v>6.88</v>
      </c>
      <c r="U302" s="26" t="str">
        <f aca="false">IF(OR('La Mia Rosa'!$O$12="",$D302&lt;&gt;""),"",IF($F302&lt;='La Mia Rosa'!$O$12*'Parametri Modello'!$B$24,"OK",IF($F302&lt;='La Mia Rosa'!$O$12*'Parametri Modello'!$B$25,"Attenzione","Rischio Alto")))</f>
        <v>OK</v>
      </c>
      <c r="V302" s="26" t="n">
        <f aca="false">IFERROR(COUNTIFS($B$2:$B$492,$B302,$O$2:$O$492,"&gt;"&amp;$O302)+1,"")</f>
        <v>62</v>
      </c>
      <c r="W302" s="21" t="n">
        <f aca="false">'Info Lega'!$B$4-SUMIFS($M$2:$M$492,$D$2:$D$492,'Info Lega'!$B$28)</f>
        <v>1000</v>
      </c>
      <c r="X302" s="21" t="n">
        <f aca="false">('Info Lega'!$B$5-COUNTIFS($D$2:$D$492,'Info Lega'!$B$28,$B$2:$B$492,"P"))+('Info Lega'!$B$6-COUNTIFS($D$2:$D$492,'Info Lega'!$B$28,$B$2:$B$492,"D"))+('Info Lega'!$B$7-COUNTIFS($D$2:$D$492,'Info Lega'!$B$28,$B$2:$B$492,"C"))+('Info Lega'!$B$8-COUNTIFS($D$2:$D$492,'Info Lega'!$B$28,$B$2:$B$492,"A"))</f>
        <v>25</v>
      </c>
      <c r="Y302" s="21" t="n">
        <f aca="false">X302*'Parametri Modello'!$B$30</f>
        <v>25</v>
      </c>
      <c r="Z302" s="21" t="n">
        <f aca="false">MAX(0,W302-Y302)</f>
        <v>975</v>
      </c>
      <c r="AA302" s="21" t="n">
        <f aca="false">MIN(F302,Z302)</f>
        <v>3</v>
      </c>
      <c r="AB302" s="21"/>
      <c r="AC302" s="21" t="str">
        <f aca="false">IF(AB302="","",IF(AB302&gt;AA302,"PASS",IF(AB302&lt;=AA302*0.85,"BID","ATTENZIONE")))</f>
        <v/>
      </c>
      <c r="AD302" s="31" t="n">
        <f aca="false">IF(I302="","",ROUND(100*(1-EXP(-I302/30)),0))</f>
        <v>23</v>
      </c>
      <c r="AE302" s="7" t="str">
        <f aca="false">IFERROR(INDEX('Stato Asta'!$G$9:$G$12,MATCH($B302,'Stato Asta'!$A$9:$A$12,0)),"")</f>
        <v>🔴 Non aspettare</v>
      </c>
    </row>
    <row r="303" customFormat="false" ht="14.25" hidden="false" customHeight="true" outlineLevel="0" collapsed="false">
      <c r="A303" s="21" t="n">
        <v>218</v>
      </c>
      <c r="B303" s="21" t="s">
        <v>43</v>
      </c>
      <c r="C303" s="21" t="s">
        <v>145</v>
      </c>
      <c r="E303" s="26" t="str">
        <f aca="false">IF(COUNTIF('Info Strategia'!$D$2:$D$51,$C303)&gt;0,"SI","NO")</f>
        <v>NO</v>
      </c>
      <c r="F303" s="27" t="n">
        <f aca="false">IFERROR(ROUND(($G303+($H303-$G303)*'Info Strategia'!$B$6)*(1+IF($E303="SI",'Parametri Modello'!$B$7*'Info Strategia'!$B$6,0)),0),"")</f>
        <v>4</v>
      </c>
      <c r="G303" s="27" t="n">
        <f aca="false">IFERROR(ROUND(MAX(1,(IF($V303&lt;=INDEX('Parametri Modello'!$C$57:$C$60,MATCH($B303,'Parametri Modello'!$A$57:$A$60,0)),IF(INDEX('Parametri Modello'!$E$57:$E$60,MATCH($B303,'Parametri Modello'!$A$57:$A$60,0))=0,0,($O303/INDEX('Parametri Modello'!$E$57:$E$60,MATCH($B303,'Parametri Modello'!$A$57:$A$60,0)))*(INDEX('Parametri Modello'!$D$57:$D$60,MATCH($B303,'Parametri Modello'!$A$57:$A$60,0))*(INDEX('Parametri Modello'!$B$50:$B$53,MATCH($B303,'Parametri Modello'!$A$50:$A$53,0))*'Parametri Modello'!$B$44))),IF(INDEX('Parametri Modello'!$F$57:$F$60,MATCH($B303,'Parametri Modello'!$A$57:$A$60,0))=0,0,($O303/INDEX('Parametri Modello'!$F$57:$F$60,MATCH($B303,'Parametri Modello'!$A$57:$A$60,0)))*((1-INDEX('Parametri Modello'!$D$57:$D$60,MATCH($B303,'Parametri Modello'!$A$57:$A$60,0)))*(INDEX('Parametri Modello'!$B$50:$B$53,MATCH($B303,'Parametri Modello'!$A$50:$A$53,0))*'Parametri Modello'!$B$44))))*(1+IF(IF($B303="D",'Info Lega'!$B$25,IF($B303="C",'Info Lega'!$B$26,"No"))="Si",'Parametri Modello'!$B$5,0))*(1+MAX(-0.25,MIN(0.25,IF(OR($T303="",$I303="",$I303=0,INDEX('Parametri Modello'!$B$19:$B$22,MATCH($B303,'Parametri Modello'!$A$19:$A$22,0))="",INDEX('Parametri Modello'!$B$19:$B$22,MATCH($B303,'Parametri Modello'!$A$19:$A$22,0))=0),0,(($T303-INDEX('Parametri Modello'!$B$19:$B$22,MATCH($B303,'Parametri Modello'!$A$19:$A$22,0)))/INDEX('Parametri Modello'!$B$19:$B$22,MATCH($B303,'Parametri Modello'!$A$19:$A$22,0)))*'Parametri Modello'!$B$9))))*(1+IF('Parametri Modello'!$B$27="Si",MAX(-'Parametri Modello'!$B$28,MIN('Parametri Modello'!$B$28*1.5,IF(OR(INDEX('Parametri Modello'!$F$32:$F$35,MATCH($B303,'Parametri Modello'!$A$32:$A$35,0))="",INDEX('Parametri Modello'!$F$32:$F$35,MATCH($B303,'Parametri Modello'!$A$32:$A$35,0))=0),0,(1/INDEX('Parametri Modello'!$F$32:$F$35,MATCH($B303,'Parametri Modello'!$A$32:$A$35,0))-1)*'Parametri Modello'!$B$28))),0)))*(1-INDEX('Parametri Modello'!$B$12:$B$15,MATCH($B303,'Parametri Modello'!$A$12:$A$15,0)))),0),"")</f>
        <v>3</v>
      </c>
      <c r="H303" s="27" t="n">
        <f aca="false">IFERROR(ROUND((IF($V303&lt;=INDEX('Parametri Modello'!$C$57:$C$60,MATCH($B303,'Parametri Modello'!$A$57:$A$60,0)),IF(INDEX('Parametri Modello'!$E$57:$E$60,MATCH($B303,'Parametri Modello'!$A$57:$A$60,0))=0,0,($O303/INDEX('Parametri Modello'!$E$57:$E$60,MATCH($B303,'Parametri Modello'!$A$57:$A$60,0)))*(INDEX('Parametri Modello'!$D$57:$D$60,MATCH($B303,'Parametri Modello'!$A$57:$A$60,0))*(INDEX('Parametri Modello'!$B$50:$B$53,MATCH($B303,'Parametri Modello'!$A$50:$A$53,0))*'Parametri Modello'!$B$44))),IF(INDEX('Parametri Modello'!$F$57:$F$60,MATCH($B303,'Parametri Modello'!$A$57:$A$60,0))=0,0,($O303/INDEX('Parametri Modello'!$F$57:$F$60,MATCH($B303,'Parametri Modello'!$A$57:$A$60,0)))*((1-INDEX('Parametri Modello'!$D$57:$D$60,MATCH($B303,'Parametri Modello'!$A$57:$A$60,0)))*(INDEX('Parametri Modello'!$B$50:$B$53,MATCH($B303,'Parametri Modello'!$A$50:$A$53,0))*'Parametri Modello'!$B$44))))*(1+IF(IF($B303="D",'Info Lega'!$B$25,IF($B303="C",'Info Lega'!$B$26,"No"))="Si",'Parametri Modello'!$B$5,0))*(1+MAX(-0.25,MIN(0.25,IF(OR($T303="",$I303="",$I303=0,INDEX('Parametri Modello'!$B$19:$B$22,MATCH($B303,'Parametri Modello'!$A$19:$A$22,0))="",INDEX('Parametri Modello'!$B$19:$B$22,MATCH($B303,'Parametri Modello'!$A$19:$A$22,0))=0),0,(($T303-INDEX('Parametri Modello'!$B$19:$B$22,MATCH($B303,'Parametri Modello'!$A$19:$A$22,0)))/INDEX('Parametri Modello'!$B$19:$B$22,MATCH($B303,'Parametri Modello'!$A$19:$A$22,0)))*'Parametri Modello'!$B$9))))*(1+IF('Parametri Modello'!$B$27="Si",MAX(-'Parametri Modello'!$B$28,MIN('Parametri Modello'!$B$28*1.5,IF(OR(INDEX('Parametri Modello'!$F$32:$F$35,MATCH($B303,'Parametri Modello'!$A$32:$A$35,0))="",INDEX('Parametri Modello'!$F$32:$F$35,MATCH($B303,'Parametri Modello'!$A$32:$A$35,0))=0),0,(1/INDEX('Parametri Modello'!$F$32:$F$35,MATCH($B303,'Parametri Modello'!$A$32:$A$35,0))-1)*'Parametri Modello'!$B$28))),0)))*(1+INDEX('Parametri Modello'!$B$12:$B$15,MATCH($B303,'Parametri Modello'!$A$12:$A$15,0))),0),"")</f>
        <v>4</v>
      </c>
      <c r="I303" s="26" t="n">
        <f aca="false">IFERROR(INDEX('Input Statistiche 2025_26'!$F$3:$F$665,MATCH($A303,'Input Statistiche 2025_26'!$A$3:$A$665,0)),"")</f>
        <v>9</v>
      </c>
      <c r="J303" s="26" t="n">
        <f aca="false">IFERROR(IF($I303="","",MAX(0,38-$I303)),"")</f>
        <v>29</v>
      </c>
      <c r="K303" s="26" t="n">
        <f aca="false">IFERROR(INDEX('Input Statistiche 2025_26'!$I$3:$I$665,MATCH($A303,'Input Statistiche 2025_26'!$A$3:$A$665,0)),"")</f>
        <v>0</v>
      </c>
      <c r="L303" s="26" t="n">
        <f aca="false">IFERROR(INDEX('Input Statistiche 2025_26'!$O$3:$O$665,MATCH($A303,'Input Statistiche 2025_26'!$A$3:$A$665,0)),"")</f>
        <v>0</v>
      </c>
      <c r="M303" s="28"/>
      <c r="N303" s="27" t="n">
        <f aca="false">IFERROR(INDEX('Input Giocatori 2026_27'!$E$3:$E$493,MATCH($A303,'Input Giocatori 2026_27'!$A$3:$A$493,0)),"")</f>
        <v>6</v>
      </c>
      <c r="O303" s="27" t="n">
        <f aca="false">IFERROR(INDEX('Input Giocatori 2026_27'!$G$3:$G$493,MATCH($A303,'Input Giocatori 2026_27'!$A$3:$A$493,0)),"")</f>
        <v>10</v>
      </c>
      <c r="P303" s="26" t="str">
        <f aca="false">IFERROR(IF($O303="","",IF((1-(COUNTIFS($B$2:$B$492,$B303,$O$2:$O$492,"&gt;"&amp;$O303)+1-1)/COUNTIF($B$2:$B$492,$B303))&gt;=0.85,"Top",IF((1-(COUNTIFS($B$2:$B$492,$B303,$O$2:$O$492,"&gt;"&amp;$O303)+1-1)/COUNTIF($B$2:$B$492,$B303))&gt;=0.6,"Buono",IF((1-(COUNTIFS($B$2:$B$492,$B303,$O$2:$O$492,"&gt;"&amp;$O303)+1-1)/COUNTIF($B$2:$B$492,$B303))&gt;=0.3,"Nella Media","Scommessa/Riserva")))),"")</f>
        <v>Buono</v>
      </c>
      <c r="Q303" s="29" t="n">
        <f aca="false">IF($D303="",COUNTIF($D$2:$D303,""),"")</f>
        <v>302</v>
      </c>
      <c r="R303" s="29" t="str">
        <f aca="false">IF($D303='Info Lega'!$B$28,COUNTIFS($D$2:$D303,'Info Lega'!$B$28),"")</f>
        <v/>
      </c>
      <c r="S303" s="30" t="n">
        <f aca="false">IFERROR(INDEX('Input Statistiche 2025_26'!$G$3:$G$665,MATCH($A303,'Input Statistiche 2025_26'!$A$3:$A$665,0)),"")</f>
        <v>6.11</v>
      </c>
      <c r="T303" s="30" t="n">
        <f aca="false">IFERROR(INDEX('Input Statistiche 2025_26'!$H$3:$H$665,MATCH($A303,'Input Statistiche 2025_26'!$A$3:$A$665,0)),"")</f>
        <v>5.11</v>
      </c>
      <c r="U303" s="26" t="str">
        <f aca="false">IF(OR('La Mia Rosa'!$O$12="",$D303&lt;&gt;""),"",IF($F303&lt;='La Mia Rosa'!$O$12*'Parametri Modello'!$B$24,"OK",IF($F303&lt;='La Mia Rosa'!$O$12*'Parametri Modello'!$B$25,"Attenzione","Rischio Alto")))</f>
        <v>OK</v>
      </c>
      <c r="V303" s="26" t="n">
        <f aca="false">IFERROR(COUNTIFS($B$2:$B$492,$B303,$O$2:$O$492,"&gt;"&amp;$O303)+1,"")</f>
        <v>19</v>
      </c>
      <c r="W303" s="21" t="n">
        <f aca="false">'Info Lega'!$B$4-SUMIFS($M$2:$M$492,$D$2:$D$492,'Info Lega'!$B$28)</f>
        <v>1000</v>
      </c>
      <c r="X303" s="21" t="n">
        <f aca="false">('Info Lega'!$B$5-COUNTIFS($D$2:$D$492,'Info Lega'!$B$28,$B$2:$B$492,"P"))+('Info Lega'!$B$6-COUNTIFS($D$2:$D$492,'Info Lega'!$B$28,$B$2:$B$492,"D"))+('Info Lega'!$B$7-COUNTIFS($D$2:$D$492,'Info Lega'!$B$28,$B$2:$B$492,"C"))+('Info Lega'!$B$8-COUNTIFS($D$2:$D$492,'Info Lega'!$B$28,$B$2:$B$492,"A"))</f>
        <v>25</v>
      </c>
      <c r="Y303" s="21" t="n">
        <f aca="false">X303*'Parametri Modello'!$B$30</f>
        <v>25</v>
      </c>
      <c r="Z303" s="21" t="n">
        <f aca="false">MAX(0,W303-Y303)</f>
        <v>975</v>
      </c>
      <c r="AA303" s="21" t="n">
        <f aca="false">MIN(F303,Z303)</f>
        <v>4</v>
      </c>
      <c r="AB303" s="21"/>
      <c r="AC303" s="21" t="str">
        <f aca="false">IF(AB303="","",IF(AB303&gt;AA303,"PASS",IF(AB303&lt;=AA303*0.85,"BID","ATTENZIONE")))</f>
        <v/>
      </c>
      <c r="AD303" s="31" t="n">
        <f aca="false">IF(I303="","",ROUND(100*(1-EXP(-I303/30)),0))</f>
        <v>26</v>
      </c>
      <c r="AE303" s="7" t="str">
        <f aca="false">IFERROR(INDEX('Stato Asta'!$G$9:$G$12,MATCH($B303,'Stato Asta'!$A$9:$A$12,0)),"")</f>
        <v>🟡 Attesa rischiosa</v>
      </c>
    </row>
    <row r="304" customFormat="false" ht="14.25" hidden="false" customHeight="true" outlineLevel="0" collapsed="false">
      <c r="A304" s="21" t="n">
        <v>2170</v>
      </c>
      <c r="B304" s="21" t="s">
        <v>43</v>
      </c>
      <c r="C304" s="21" t="s">
        <v>150</v>
      </c>
      <c r="E304" s="26" t="str">
        <f aca="false">IF(COUNTIF('Info Strategia'!$D$2:$D$51,$C304)&gt;0,"SI","NO")</f>
        <v>NO</v>
      </c>
      <c r="F304" s="27" t="n">
        <f aca="false">IFERROR(ROUND(($G304+($H304-$G304)*'Info Strategia'!$B$6)*(1+IF($E304="SI",'Parametri Modello'!$B$7*'Info Strategia'!$B$6,0)),0),"")</f>
        <v>4</v>
      </c>
      <c r="G304" s="27" t="n">
        <f aca="false">IFERROR(ROUND(MAX(1,(IF($V304&lt;=INDEX('Parametri Modello'!$C$57:$C$60,MATCH($B304,'Parametri Modello'!$A$57:$A$60,0)),IF(INDEX('Parametri Modello'!$E$57:$E$60,MATCH($B304,'Parametri Modello'!$A$57:$A$60,0))=0,0,($O304/INDEX('Parametri Modello'!$E$57:$E$60,MATCH($B304,'Parametri Modello'!$A$57:$A$60,0)))*(INDEX('Parametri Modello'!$D$57:$D$60,MATCH($B304,'Parametri Modello'!$A$57:$A$60,0))*(INDEX('Parametri Modello'!$B$50:$B$53,MATCH($B304,'Parametri Modello'!$A$50:$A$53,0))*'Parametri Modello'!$B$44))),IF(INDEX('Parametri Modello'!$F$57:$F$60,MATCH($B304,'Parametri Modello'!$A$57:$A$60,0))=0,0,($O304/INDEX('Parametri Modello'!$F$57:$F$60,MATCH($B304,'Parametri Modello'!$A$57:$A$60,0)))*((1-INDEX('Parametri Modello'!$D$57:$D$60,MATCH($B304,'Parametri Modello'!$A$57:$A$60,0)))*(INDEX('Parametri Modello'!$B$50:$B$53,MATCH($B304,'Parametri Modello'!$A$50:$A$53,0))*'Parametri Modello'!$B$44))))*(1+IF(IF($B304="D",'Info Lega'!$B$25,IF($B304="C",'Info Lega'!$B$26,"No"))="Si",'Parametri Modello'!$B$5,0))*(1+MAX(-0.25,MIN(0.25,IF(OR($T304="",$I304="",$I304=0,INDEX('Parametri Modello'!$B$19:$B$22,MATCH($B304,'Parametri Modello'!$A$19:$A$22,0))="",INDEX('Parametri Modello'!$B$19:$B$22,MATCH($B304,'Parametri Modello'!$A$19:$A$22,0))=0),0,(($T304-INDEX('Parametri Modello'!$B$19:$B$22,MATCH($B304,'Parametri Modello'!$A$19:$A$22,0)))/INDEX('Parametri Modello'!$B$19:$B$22,MATCH($B304,'Parametri Modello'!$A$19:$A$22,0)))*'Parametri Modello'!$B$9))))*(1+IF('Parametri Modello'!$B$27="Si",MAX(-'Parametri Modello'!$B$28,MIN('Parametri Modello'!$B$28*1.5,IF(OR(INDEX('Parametri Modello'!$F$32:$F$35,MATCH($B304,'Parametri Modello'!$A$32:$A$35,0))="",INDEX('Parametri Modello'!$F$32:$F$35,MATCH($B304,'Parametri Modello'!$A$32:$A$35,0))=0),0,(1/INDEX('Parametri Modello'!$F$32:$F$35,MATCH($B304,'Parametri Modello'!$A$32:$A$35,0))-1)*'Parametri Modello'!$B$28))),0)))*(1-INDEX('Parametri Modello'!$B$12:$B$15,MATCH($B304,'Parametri Modello'!$A$12:$A$15,0)))),0),"")</f>
        <v>3</v>
      </c>
      <c r="H304" s="27" t="n">
        <f aca="false">IFERROR(ROUND((IF($V304&lt;=INDEX('Parametri Modello'!$C$57:$C$60,MATCH($B304,'Parametri Modello'!$A$57:$A$60,0)),IF(INDEX('Parametri Modello'!$E$57:$E$60,MATCH($B304,'Parametri Modello'!$A$57:$A$60,0))=0,0,($O304/INDEX('Parametri Modello'!$E$57:$E$60,MATCH($B304,'Parametri Modello'!$A$57:$A$60,0)))*(INDEX('Parametri Modello'!$D$57:$D$60,MATCH($B304,'Parametri Modello'!$A$57:$A$60,0))*(INDEX('Parametri Modello'!$B$50:$B$53,MATCH($B304,'Parametri Modello'!$A$50:$A$53,0))*'Parametri Modello'!$B$44))),IF(INDEX('Parametri Modello'!$F$57:$F$60,MATCH($B304,'Parametri Modello'!$A$57:$A$60,0))=0,0,($O304/INDEX('Parametri Modello'!$F$57:$F$60,MATCH($B304,'Parametri Modello'!$A$57:$A$60,0)))*((1-INDEX('Parametri Modello'!$D$57:$D$60,MATCH($B304,'Parametri Modello'!$A$57:$A$60,0)))*(INDEX('Parametri Modello'!$B$50:$B$53,MATCH($B304,'Parametri Modello'!$A$50:$A$53,0))*'Parametri Modello'!$B$44))))*(1+IF(IF($B304="D",'Info Lega'!$B$25,IF($B304="C",'Info Lega'!$B$26,"No"))="Si",'Parametri Modello'!$B$5,0))*(1+MAX(-0.25,MIN(0.25,IF(OR($T304="",$I304="",$I304=0,INDEX('Parametri Modello'!$B$19:$B$22,MATCH($B304,'Parametri Modello'!$A$19:$A$22,0))="",INDEX('Parametri Modello'!$B$19:$B$22,MATCH($B304,'Parametri Modello'!$A$19:$A$22,0))=0),0,(($T304-INDEX('Parametri Modello'!$B$19:$B$22,MATCH($B304,'Parametri Modello'!$A$19:$A$22,0)))/INDEX('Parametri Modello'!$B$19:$B$22,MATCH($B304,'Parametri Modello'!$A$19:$A$22,0)))*'Parametri Modello'!$B$9))))*(1+IF('Parametri Modello'!$B$27="Si",MAX(-'Parametri Modello'!$B$28,MIN('Parametri Modello'!$B$28*1.5,IF(OR(INDEX('Parametri Modello'!$F$32:$F$35,MATCH($B304,'Parametri Modello'!$A$32:$A$35,0))="",INDEX('Parametri Modello'!$F$32:$F$35,MATCH($B304,'Parametri Modello'!$A$32:$A$35,0))=0),0,(1/INDEX('Parametri Modello'!$F$32:$F$35,MATCH($B304,'Parametri Modello'!$A$32:$A$35,0))-1)*'Parametri Modello'!$B$28))),0)))*(1+INDEX('Parametri Modello'!$B$12:$B$15,MATCH($B304,'Parametri Modello'!$A$12:$A$15,0))),0),"")</f>
        <v>4</v>
      </c>
      <c r="I304" s="26" t="n">
        <f aca="false">IFERROR(INDEX('Input Statistiche 2025_26'!$F$3:$F$665,MATCH($A304,'Input Statistiche 2025_26'!$A$3:$A$665,0)),"")</f>
        <v>27</v>
      </c>
      <c r="J304" s="26" t="n">
        <f aca="false">IFERROR(IF($I304="","",MAX(0,38-$I304)),"")</f>
        <v>11</v>
      </c>
      <c r="K304" s="26" t="n">
        <f aca="false">IFERROR(INDEX('Input Statistiche 2025_26'!$I$3:$I$665,MATCH($A304,'Input Statistiche 2025_26'!$A$3:$A$665,0)),"")</f>
        <v>0</v>
      </c>
      <c r="L304" s="26" t="n">
        <f aca="false">IFERROR(INDEX('Input Statistiche 2025_26'!$O$3:$O$665,MATCH($A304,'Input Statistiche 2025_26'!$A$3:$A$665,0)),"")</f>
        <v>0</v>
      </c>
      <c r="M304" s="28"/>
      <c r="N304" s="27" t="n">
        <f aca="false">IFERROR(INDEX('Input Giocatori 2026_27'!$E$3:$E$493,MATCH($A304,'Input Giocatori 2026_27'!$A$3:$A$493,0)),"")</f>
        <v>5</v>
      </c>
      <c r="O304" s="27" t="n">
        <f aca="false">IFERROR(INDEX('Input Giocatori 2026_27'!$G$3:$G$493,MATCH($A304,'Input Giocatori 2026_27'!$A$3:$A$493,0)),"")</f>
        <v>10</v>
      </c>
      <c r="P304" s="26" t="str">
        <f aca="false">IFERROR(IF($O304="","",IF((1-(COUNTIFS($B$2:$B$492,$B304,$O$2:$O$492,"&gt;"&amp;$O304)+1-1)/COUNTIF($B$2:$B$492,$B304))&gt;=0.85,"Top",IF((1-(COUNTIFS($B$2:$B$492,$B304,$O$2:$O$492,"&gt;"&amp;$O304)+1-1)/COUNTIF($B$2:$B$492,$B304))&gt;=0.6,"Buono",IF((1-(COUNTIFS($B$2:$B$492,$B304,$O$2:$O$492,"&gt;"&amp;$O304)+1-1)/COUNTIF($B$2:$B$492,$B304))&gt;=0.3,"Nella Media","Scommessa/Riserva")))),"")</f>
        <v>Buono</v>
      </c>
      <c r="Q304" s="29" t="n">
        <f aca="false">IF($D304="",COUNTIF($D$2:$D304,""),"")</f>
        <v>303</v>
      </c>
      <c r="R304" s="29" t="str">
        <f aca="false">IF($D304='Info Lega'!$B$28,COUNTIFS($D$2:$D304,'Info Lega'!$B$28),"")</f>
        <v/>
      </c>
      <c r="S304" s="30" t="n">
        <f aca="false">IFERROR(INDEX('Input Statistiche 2025_26'!$G$3:$G$665,MATCH($A304,'Input Statistiche 2025_26'!$A$3:$A$665,0)),"")</f>
        <v>6.2</v>
      </c>
      <c r="T304" s="30" t="n">
        <f aca="false">IFERROR(INDEX('Input Statistiche 2025_26'!$H$3:$H$665,MATCH($A304,'Input Statistiche 2025_26'!$A$3:$A$665,0)),"")</f>
        <v>5.65</v>
      </c>
      <c r="U304" s="26" t="str">
        <f aca="false">IF(OR('La Mia Rosa'!$O$12="",$D304&lt;&gt;""),"",IF($F304&lt;='La Mia Rosa'!$O$12*'Parametri Modello'!$B$24,"OK",IF($F304&lt;='La Mia Rosa'!$O$12*'Parametri Modello'!$B$25,"Attenzione","Rischio Alto")))</f>
        <v>OK</v>
      </c>
      <c r="V304" s="26" t="n">
        <f aca="false">IFERROR(COUNTIFS($B$2:$B$492,$B304,$O$2:$O$492,"&gt;"&amp;$O304)+1,"")</f>
        <v>19</v>
      </c>
      <c r="W304" s="21" t="n">
        <f aca="false">'Info Lega'!$B$4-SUMIFS($M$2:$M$492,$D$2:$D$492,'Info Lega'!$B$28)</f>
        <v>1000</v>
      </c>
      <c r="X304" s="21" t="n">
        <f aca="false">('Info Lega'!$B$5-COUNTIFS($D$2:$D$492,'Info Lega'!$B$28,$B$2:$B$492,"P"))+('Info Lega'!$B$6-COUNTIFS($D$2:$D$492,'Info Lega'!$B$28,$B$2:$B$492,"D"))+('Info Lega'!$B$7-COUNTIFS($D$2:$D$492,'Info Lega'!$B$28,$B$2:$B$492,"C"))+('Info Lega'!$B$8-COUNTIFS($D$2:$D$492,'Info Lega'!$B$28,$B$2:$B$492,"A"))</f>
        <v>25</v>
      </c>
      <c r="Y304" s="21" t="n">
        <f aca="false">X304*'Parametri Modello'!$B$30</f>
        <v>25</v>
      </c>
      <c r="Z304" s="21" t="n">
        <f aca="false">MAX(0,W304-Y304)</f>
        <v>975</v>
      </c>
      <c r="AA304" s="21" t="n">
        <f aca="false">MIN(F304,Z304)</f>
        <v>4</v>
      </c>
      <c r="AB304" s="21"/>
      <c r="AC304" s="21" t="str">
        <f aca="false">IF(AB304="","",IF(AB304&gt;AA304,"PASS",IF(AB304&lt;=AA304*0.85,"BID","ATTENZIONE")))</f>
        <v/>
      </c>
      <c r="AD304" s="31" t="n">
        <f aca="false">IF(I304="","",ROUND(100*(1-EXP(-I304/30)),0))</f>
        <v>59</v>
      </c>
      <c r="AE304" s="7" t="str">
        <f aca="false">IFERROR(INDEX('Stato Asta'!$G$9:$G$12,MATCH($B304,'Stato Asta'!$A$9:$A$12,0)),"")</f>
        <v>🟡 Attesa rischiosa</v>
      </c>
    </row>
    <row r="305" customFormat="false" ht="14.25" hidden="false" customHeight="true" outlineLevel="0" collapsed="false">
      <c r="A305" s="21" t="n">
        <v>7014</v>
      </c>
      <c r="B305" s="21" t="s">
        <v>44</v>
      </c>
      <c r="C305" s="21" t="s">
        <v>282</v>
      </c>
      <c r="E305" s="26" t="str">
        <f aca="false">IF(COUNTIF('Info Strategia'!$D$2:$D$51,$C305)&gt;0,"SI","NO")</f>
        <v>NO</v>
      </c>
      <c r="F305" s="27" t="n">
        <f aca="false">IFERROR(ROUND(($G305+($H305-$G305)*'Info Strategia'!$B$6)*(1+IF($E305="SI",'Parametri Modello'!$B$7*'Info Strategia'!$B$6,0)),0),"")</f>
        <v>2</v>
      </c>
      <c r="G305" s="27" t="n">
        <f aca="false">IFERROR(ROUND(MAX(1,(IF($V305&lt;=INDEX('Parametri Modello'!$C$57:$C$60,MATCH($B305,'Parametri Modello'!$A$57:$A$60,0)),IF(INDEX('Parametri Modello'!$E$57:$E$60,MATCH($B305,'Parametri Modello'!$A$57:$A$60,0))=0,0,($O305/INDEX('Parametri Modello'!$E$57:$E$60,MATCH($B305,'Parametri Modello'!$A$57:$A$60,0)))*(INDEX('Parametri Modello'!$D$57:$D$60,MATCH($B305,'Parametri Modello'!$A$57:$A$60,0))*(INDEX('Parametri Modello'!$B$50:$B$53,MATCH($B305,'Parametri Modello'!$A$50:$A$53,0))*'Parametri Modello'!$B$44))),IF(INDEX('Parametri Modello'!$F$57:$F$60,MATCH($B305,'Parametri Modello'!$A$57:$A$60,0))=0,0,($O305/INDEX('Parametri Modello'!$F$57:$F$60,MATCH($B305,'Parametri Modello'!$A$57:$A$60,0)))*((1-INDEX('Parametri Modello'!$D$57:$D$60,MATCH($B305,'Parametri Modello'!$A$57:$A$60,0)))*(INDEX('Parametri Modello'!$B$50:$B$53,MATCH($B305,'Parametri Modello'!$A$50:$A$53,0))*'Parametri Modello'!$B$44))))*(1+IF(IF($B305="D",'Info Lega'!$B$25,IF($B305="C",'Info Lega'!$B$26,"No"))="Si",'Parametri Modello'!$B$5,0))*(1+MAX(-0.25,MIN(0.25,IF(OR($T305="",$I305="",$I305=0,INDEX('Parametri Modello'!$B$19:$B$22,MATCH($B305,'Parametri Modello'!$A$19:$A$22,0))="",INDEX('Parametri Modello'!$B$19:$B$22,MATCH($B305,'Parametri Modello'!$A$19:$A$22,0))=0),0,(($T305-INDEX('Parametri Modello'!$B$19:$B$22,MATCH($B305,'Parametri Modello'!$A$19:$A$22,0)))/INDEX('Parametri Modello'!$B$19:$B$22,MATCH($B305,'Parametri Modello'!$A$19:$A$22,0)))*'Parametri Modello'!$B$9))))*(1+IF('Parametri Modello'!$B$27="Si",MAX(-'Parametri Modello'!$B$28,MIN('Parametri Modello'!$B$28*1.5,IF(OR(INDEX('Parametri Modello'!$F$32:$F$35,MATCH($B305,'Parametri Modello'!$A$32:$A$35,0))="",INDEX('Parametri Modello'!$F$32:$F$35,MATCH($B305,'Parametri Modello'!$A$32:$A$35,0))=0),0,(1/INDEX('Parametri Modello'!$F$32:$F$35,MATCH($B305,'Parametri Modello'!$A$32:$A$35,0))-1)*'Parametri Modello'!$B$28))),0)))*(1-INDEX('Parametri Modello'!$B$12:$B$15,MATCH($B305,'Parametri Modello'!$A$12:$A$15,0)))),0),"")</f>
        <v>1</v>
      </c>
      <c r="H305" s="27" t="n">
        <f aca="false">IFERROR(ROUND((IF($V305&lt;=INDEX('Parametri Modello'!$C$57:$C$60,MATCH($B305,'Parametri Modello'!$A$57:$A$60,0)),IF(INDEX('Parametri Modello'!$E$57:$E$60,MATCH($B305,'Parametri Modello'!$A$57:$A$60,0))=0,0,($O305/INDEX('Parametri Modello'!$E$57:$E$60,MATCH($B305,'Parametri Modello'!$A$57:$A$60,0)))*(INDEX('Parametri Modello'!$D$57:$D$60,MATCH($B305,'Parametri Modello'!$A$57:$A$60,0))*(INDEX('Parametri Modello'!$B$50:$B$53,MATCH($B305,'Parametri Modello'!$A$50:$A$53,0))*'Parametri Modello'!$B$44))),IF(INDEX('Parametri Modello'!$F$57:$F$60,MATCH($B305,'Parametri Modello'!$A$57:$A$60,0))=0,0,($O305/INDEX('Parametri Modello'!$F$57:$F$60,MATCH($B305,'Parametri Modello'!$A$57:$A$60,0)))*((1-INDEX('Parametri Modello'!$D$57:$D$60,MATCH($B305,'Parametri Modello'!$A$57:$A$60,0)))*(INDEX('Parametri Modello'!$B$50:$B$53,MATCH($B305,'Parametri Modello'!$A$50:$A$53,0))*'Parametri Modello'!$B$44))))*(1+IF(IF($B305="D",'Info Lega'!$B$25,IF($B305="C",'Info Lega'!$B$26,"No"))="Si",'Parametri Modello'!$B$5,0))*(1+MAX(-0.25,MIN(0.25,IF(OR($T305="",$I305="",$I305=0,INDEX('Parametri Modello'!$B$19:$B$22,MATCH($B305,'Parametri Modello'!$A$19:$A$22,0))="",INDEX('Parametri Modello'!$B$19:$B$22,MATCH($B305,'Parametri Modello'!$A$19:$A$22,0))=0),0,(($T305-INDEX('Parametri Modello'!$B$19:$B$22,MATCH($B305,'Parametri Modello'!$A$19:$A$22,0)))/INDEX('Parametri Modello'!$B$19:$B$22,MATCH($B305,'Parametri Modello'!$A$19:$A$22,0)))*'Parametri Modello'!$B$9))))*(1+IF('Parametri Modello'!$B$27="Si",MAX(-'Parametri Modello'!$B$28,MIN('Parametri Modello'!$B$28*1.5,IF(OR(INDEX('Parametri Modello'!$F$32:$F$35,MATCH($B305,'Parametri Modello'!$A$32:$A$35,0))="",INDEX('Parametri Modello'!$F$32:$F$35,MATCH($B305,'Parametri Modello'!$A$32:$A$35,0))=0),0,(1/INDEX('Parametri Modello'!$F$32:$F$35,MATCH($B305,'Parametri Modello'!$A$32:$A$35,0))-1)*'Parametri Modello'!$B$28))),0)))*(1+INDEX('Parametri Modello'!$B$12:$B$15,MATCH($B305,'Parametri Modello'!$A$12:$A$15,0))),0),"")</f>
        <v>2</v>
      </c>
      <c r="I305" s="26" t="n">
        <f aca="false">IFERROR(INDEX('Input Statistiche 2025_26'!$F$3:$F$665,MATCH($A305,'Input Statistiche 2025_26'!$A$3:$A$665,0)),"")</f>
        <v>25</v>
      </c>
      <c r="J305" s="26" t="n">
        <f aca="false">IFERROR(IF($I305="","",MAX(0,38-$I305)),"")</f>
        <v>13</v>
      </c>
      <c r="K305" s="26" t="n">
        <f aca="false">IFERROR(INDEX('Input Statistiche 2025_26'!$I$3:$I$665,MATCH($A305,'Input Statistiche 2025_26'!$A$3:$A$665,0)),"")</f>
        <v>0</v>
      </c>
      <c r="L305" s="26" t="n">
        <f aca="false">IFERROR(INDEX('Input Statistiche 2025_26'!$O$3:$O$665,MATCH($A305,'Input Statistiche 2025_26'!$A$3:$A$665,0)),"")</f>
        <v>1</v>
      </c>
      <c r="M305" s="28"/>
      <c r="N305" s="27" t="n">
        <f aca="false">IFERROR(INDEX('Input Giocatori 2026_27'!$E$3:$E$493,MATCH($A305,'Input Giocatori 2026_27'!$A$3:$A$493,0)),"")</f>
        <v>4</v>
      </c>
      <c r="O305" s="27" t="n">
        <f aca="false">IFERROR(INDEX('Input Giocatori 2026_27'!$G$3:$G$493,MATCH($A305,'Input Giocatori 2026_27'!$A$3:$A$493,0)),"")</f>
        <v>10</v>
      </c>
      <c r="P305" s="26" t="str">
        <f aca="false">IFERROR(IF($O305="","",IF((1-(COUNTIFS($B$2:$B$492,$B305,$O$2:$O$492,"&gt;"&amp;$O305)+1-1)/COUNTIF($B$2:$B$492,$B305))&gt;=0.85,"Top",IF((1-(COUNTIFS($B$2:$B$492,$B305,$O$2:$O$492,"&gt;"&amp;$O305)+1-1)/COUNTIF($B$2:$B$492,$B305))&gt;=0.6,"Buono",IF((1-(COUNTIFS($B$2:$B$492,$B305,$O$2:$O$492,"&gt;"&amp;$O305)+1-1)/COUNTIF($B$2:$B$492,$B305))&gt;=0.3,"Nella Media","Scommessa/Riserva")))),"")</f>
        <v>Nella Media</v>
      </c>
      <c r="Q305" s="29" t="n">
        <f aca="false">IF($D305="",COUNTIF($D$2:$D305,""),"")</f>
        <v>304</v>
      </c>
      <c r="R305" s="29" t="str">
        <f aca="false">IF($D305='Info Lega'!$B$28,COUNTIFS($D$2:$D305,'Info Lega'!$B$28),"")</f>
        <v/>
      </c>
      <c r="S305" s="30" t="n">
        <f aca="false">IFERROR(INDEX('Input Statistiche 2025_26'!$G$3:$G$665,MATCH($A305,'Input Statistiche 2025_26'!$A$3:$A$665,0)),"")</f>
        <v>5.96</v>
      </c>
      <c r="T305" s="30" t="n">
        <f aca="false">IFERROR(INDEX('Input Statistiche 2025_26'!$H$3:$H$665,MATCH($A305,'Input Statistiche 2025_26'!$A$3:$A$665,0)),"")</f>
        <v>5.84</v>
      </c>
      <c r="U305" s="26" t="str">
        <f aca="false">IF(OR('La Mia Rosa'!$O$12="",$D305&lt;&gt;""),"",IF($F305&lt;='La Mia Rosa'!$O$12*'Parametri Modello'!$B$24,"OK",IF($F305&lt;='La Mia Rosa'!$O$12*'Parametri Modello'!$B$25,"Attenzione","Rischio Alto")))</f>
        <v>OK</v>
      </c>
      <c r="V305" s="26" t="n">
        <f aca="false">IFERROR(COUNTIFS($B$2:$B$492,$B305,$O$2:$O$492,"&gt;"&amp;$O305)+1,"")</f>
        <v>99</v>
      </c>
      <c r="W305" s="21" t="n">
        <f aca="false">'Info Lega'!$B$4-SUMIFS($M$2:$M$492,$D$2:$D$492,'Info Lega'!$B$28)</f>
        <v>1000</v>
      </c>
      <c r="X305" s="21" t="n">
        <f aca="false">('Info Lega'!$B$5-COUNTIFS($D$2:$D$492,'Info Lega'!$B$28,$B$2:$B$492,"P"))+('Info Lega'!$B$6-COUNTIFS($D$2:$D$492,'Info Lega'!$B$28,$B$2:$B$492,"D"))+('Info Lega'!$B$7-COUNTIFS($D$2:$D$492,'Info Lega'!$B$28,$B$2:$B$492,"C"))+('Info Lega'!$B$8-COUNTIFS($D$2:$D$492,'Info Lega'!$B$28,$B$2:$B$492,"A"))</f>
        <v>25</v>
      </c>
      <c r="Y305" s="21" t="n">
        <f aca="false">X305*'Parametri Modello'!$B$30</f>
        <v>25</v>
      </c>
      <c r="Z305" s="21" t="n">
        <f aca="false">MAX(0,W305-Y305)</f>
        <v>975</v>
      </c>
      <c r="AA305" s="21" t="n">
        <f aca="false">MIN(F305,Z305)</f>
        <v>2</v>
      </c>
      <c r="AB305" s="21"/>
      <c r="AC305" s="21" t="str">
        <f aca="false">IF(AB305="","",IF(AB305&gt;AA305,"PASS",IF(AB305&lt;=AA305*0.85,"BID","ATTENZIONE")))</f>
        <v/>
      </c>
      <c r="AD305" s="31" t="n">
        <f aca="false">IF(I305="","",ROUND(100*(1-EXP(-I305/30)),0))</f>
        <v>57</v>
      </c>
      <c r="AE305" s="7" t="str">
        <f aca="false">IFERROR(INDEX('Stato Asta'!$G$9:$G$12,MATCH($B305,'Stato Asta'!$A$9:$A$12,0)),"")</f>
        <v>🟡 Attesa rischiosa</v>
      </c>
    </row>
    <row r="306" customFormat="false" ht="14.25" hidden="false" customHeight="true" outlineLevel="0" collapsed="false">
      <c r="A306" s="21" t="n">
        <v>7467</v>
      </c>
      <c r="B306" s="21" t="s">
        <v>44</v>
      </c>
      <c r="C306" s="21" t="s">
        <v>284</v>
      </c>
      <c r="E306" s="26" t="str">
        <f aca="false">IF(COUNTIF('Info Strategia'!$D$2:$D$51,$C306)&gt;0,"SI","NO")</f>
        <v>NO</v>
      </c>
      <c r="F306" s="27" t="n">
        <f aca="false">IFERROR(ROUND(($G306+($H306-$G306)*'Info Strategia'!$B$6)*(1+IF($E306="SI",'Parametri Modello'!$B$7*'Info Strategia'!$B$6,0)),0),"")</f>
        <v>2</v>
      </c>
      <c r="G306" s="27" t="n">
        <f aca="false">IFERROR(ROUND(MAX(1,(IF($V306&lt;=INDEX('Parametri Modello'!$C$57:$C$60,MATCH($B306,'Parametri Modello'!$A$57:$A$60,0)),IF(INDEX('Parametri Modello'!$E$57:$E$60,MATCH($B306,'Parametri Modello'!$A$57:$A$60,0))=0,0,($O306/INDEX('Parametri Modello'!$E$57:$E$60,MATCH($B306,'Parametri Modello'!$A$57:$A$60,0)))*(INDEX('Parametri Modello'!$D$57:$D$60,MATCH($B306,'Parametri Modello'!$A$57:$A$60,0))*(INDEX('Parametri Modello'!$B$50:$B$53,MATCH($B306,'Parametri Modello'!$A$50:$A$53,0))*'Parametri Modello'!$B$44))),IF(INDEX('Parametri Modello'!$F$57:$F$60,MATCH($B306,'Parametri Modello'!$A$57:$A$60,0))=0,0,($O306/INDEX('Parametri Modello'!$F$57:$F$60,MATCH($B306,'Parametri Modello'!$A$57:$A$60,0)))*((1-INDEX('Parametri Modello'!$D$57:$D$60,MATCH($B306,'Parametri Modello'!$A$57:$A$60,0)))*(INDEX('Parametri Modello'!$B$50:$B$53,MATCH($B306,'Parametri Modello'!$A$50:$A$53,0))*'Parametri Modello'!$B$44))))*(1+IF(IF($B306="D",'Info Lega'!$B$25,IF($B306="C",'Info Lega'!$B$26,"No"))="Si",'Parametri Modello'!$B$5,0))*(1+MAX(-0.25,MIN(0.25,IF(OR($T306="",$I306="",$I306=0,INDEX('Parametri Modello'!$B$19:$B$22,MATCH($B306,'Parametri Modello'!$A$19:$A$22,0))="",INDEX('Parametri Modello'!$B$19:$B$22,MATCH($B306,'Parametri Modello'!$A$19:$A$22,0))=0),0,(($T306-INDEX('Parametri Modello'!$B$19:$B$22,MATCH($B306,'Parametri Modello'!$A$19:$A$22,0)))/INDEX('Parametri Modello'!$B$19:$B$22,MATCH($B306,'Parametri Modello'!$A$19:$A$22,0)))*'Parametri Modello'!$B$9))))*(1+IF('Parametri Modello'!$B$27="Si",MAX(-'Parametri Modello'!$B$28,MIN('Parametri Modello'!$B$28*1.5,IF(OR(INDEX('Parametri Modello'!$F$32:$F$35,MATCH($B306,'Parametri Modello'!$A$32:$A$35,0))="",INDEX('Parametri Modello'!$F$32:$F$35,MATCH($B306,'Parametri Modello'!$A$32:$A$35,0))=0),0,(1/INDEX('Parametri Modello'!$F$32:$F$35,MATCH($B306,'Parametri Modello'!$A$32:$A$35,0))-1)*'Parametri Modello'!$B$28))),0)))*(1-INDEX('Parametri Modello'!$B$12:$B$15,MATCH($B306,'Parametri Modello'!$A$12:$A$15,0)))),0),"")</f>
        <v>1</v>
      </c>
      <c r="H306" s="27" t="n">
        <f aca="false">IFERROR(ROUND((IF($V306&lt;=INDEX('Parametri Modello'!$C$57:$C$60,MATCH($B306,'Parametri Modello'!$A$57:$A$60,0)),IF(INDEX('Parametri Modello'!$E$57:$E$60,MATCH($B306,'Parametri Modello'!$A$57:$A$60,0))=0,0,($O306/INDEX('Parametri Modello'!$E$57:$E$60,MATCH($B306,'Parametri Modello'!$A$57:$A$60,0)))*(INDEX('Parametri Modello'!$D$57:$D$60,MATCH($B306,'Parametri Modello'!$A$57:$A$60,0))*(INDEX('Parametri Modello'!$B$50:$B$53,MATCH($B306,'Parametri Modello'!$A$50:$A$53,0))*'Parametri Modello'!$B$44))),IF(INDEX('Parametri Modello'!$F$57:$F$60,MATCH($B306,'Parametri Modello'!$A$57:$A$60,0))=0,0,($O306/INDEX('Parametri Modello'!$F$57:$F$60,MATCH($B306,'Parametri Modello'!$A$57:$A$60,0)))*((1-INDEX('Parametri Modello'!$D$57:$D$60,MATCH($B306,'Parametri Modello'!$A$57:$A$60,0)))*(INDEX('Parametri Modello'!$B$50:$B$53,MATCH($B306,'Parametri Modello'!$A$50:$A$53,0))*'Parametri Modello'!$B$44))))*(1+IF(IF($B306="D",'Info Lega'!$B$25,IF($B306="C",'Info Lega'!$B$26,"No"))="Si",'Parametri Modello'!$B$5,0))*(1+MAX(-0.25,MIN(0.25,IF(OR($T306="",$I306="",$I306=0,INDEX('Parametri Modello'!$B$19:$B$22,MATCH($B306,'Parametri Modello'!$A$19:$A$22,0))="",INDEX('Parametri Modello'!$B$19:$B$22,MATCH($B306,'Parametri Modello'!$A$19:$A$22,0))=0),0,(($T306-INDEX('Parametri Modello'!$B$19:$B$22,MATCH($B306,'Parametri Modello'!$A$19:$A$22,0)))/INDEX('Parametri Modello'!$B$19:$B$22,MATCH($B306,'Parametri Modello'!$A$19:$A$22,0)))*'Parametri Modello'!$B$9))))*(1+IF('Parametri Modello'!$B$27="Si",MAX(-'Parametri Modello'!$B$28,MIN('Parametri Modello'!$B$28*1.5,IF(OR(INDEX('Parametri Modello'!$F$32:$F$35,MATCH($B306,'Parametri Modello'!$A$32:$A$35,0))="",INDEX('Parametri Modello'!$F$32:$F$35,MATCH($B306,'Parametri Modello'!$A$32:$A$35,0))=0),0,(1/INDEX('Parametri Modello'!$F$32:$F$35,MATCH($B306,'Parametri Modello'!$A$32:$A$35,0))-1)*'Parametri Modello'!$B$28))),0)))*(1+INDEX('Parametri Modello'!$B$12:$B$15,MATCH($B306,'Parametri Modello'!$A$12:$A$15,0))),0),"")</f>
        <v>2</v>
      </c>
      <c r="I306" s="26" t="str">
        <f aca="false">IFERROR(INDEX('Input Statistiche 2025_26'!$F$3:$F$665,MATCH($A306,'Input Statistiche 2025_26'!$A$3:$A$665,0)),"")</f>
        <v/>
      </c>
      <c r="J306" s="26" t="str">
        <f aca="false">IFERROR(IF($I306="","",MAX(0,38-$I306)),"")</f>
        <v/>
      </c>
      <c r="K306" s="26" t="str">
        <f aca="false">IFERROR(INDEX('Input Statistiche 2025_26'!$I$3:$I$665,MATCH($A306,'Input Statistiche 2025_26'!$A$3:$A$665,0)),"")</f>
        <v/>
      </c>
      <c r="L306" s="26" t="str">
        <f aca="false">IFERROR(INDEX('Input Statistiche 2025_26'!$O$3:$O$665,MATCH($A306,'Input Statistiche 2025_26'!$A$3:$A$665,0)),"")</f>
        <v/>
      </c>
      <c r="M306" s="28"/>
      <c r="N306" s="27" t="n">
        <f aca="false">IFERROR(INDEX('Input Giocatori 2026_27'!$E$3:$E$493,MATCH($A306,'Input Giocatori 2026_27'!$A$3:$A$493,0)),"")</f>
        <v>4</v>
      </c>
      <c r="O306" s="27" t="n">
        <f aca="false">IFERROR(INDEX('Input Giocatori 2026_27'!$G$3:$G$493,MATCH($A306,'Input Giocatori 2026_27'!$A$3:$A$493,0)),"")</f>
        <v>10</v>
      </c>
      <c r="P306" s="26" t="str">
        <f aca="false">IFERROR(IF($O306="","",IF((1-(COUNTIFS($B$2:$B$492,$B306,$O$2:$O$492,"&gt;"&amp;$O306)+1-1)/COUNTIF($B$2:$B$492,$B306))&gt;=0.85,"Top",IF((1-(COUNTIFS($B$2:$B$492,$B306,$O$2:$O$492,"&gt;"&amp;$O306)+1-1)/COUNTIF($B$2:$B$492,$B306))&gt;=0.6,"Buono",IF((1-(COUNTIFS($B$2:$B$492,$B306,$O$2:$O$492,"&gt;"&amp;$O306)+1-1)/COUNTIF($B$2:$B$492,$B306))&gt;=0.3,"Nella Media","Scommessa/Riserva")))),"")</f>
        <v>Nella Media</v>
      </c>
      <c r="Q306" s="29" t="n">
        <f aca="false">IF($D306="",COUNTIF($D$2:$D306,""),"")</f>
        <v>305</v>
      </c>
      <c r="R306" s="29" t="str">
        <f aca="false">IF($D306='Info Lega'!$B$28,COUNTIFS($D$2:$D306,'Info Lega'!$B$28),"")</f>
        <v/>
      </c>
      <c r="S306" s="30" t="str">
        <f aca="false">IFERROR(INDEX('Input Statistiche 2025_26'!$G$3:$G$665,MATCH($A306,'Input Statistiche 2025_26'!$A$3:$A$665,0)),"")</f>
        <v/>
      </c>
      <c r="T306" s="30" t="str">
        <f aca="false">IFERROR(INDEX('Input Statistiche 2025_26'!$H$3:$H$665,MATCH($A306,'Input Statistiche 2025_26'!$A$3:$A$665,0)),"")</f>
        <v/>
      </c>
      <c r="U306" s="26" t="str">
        <f aca="false">IF(OR('La Mia Rosa'!$O$12="",$D306&lt;&gt;""),"",IF($F306&lt;='La Mia Rosa'!$O$12*'Parametri Modello'!$B$24,"OK",IF($F306&lt;='La Mia Rosa'!$O$12*'Parametri Modello'!$B$25,"Attenzione","Rischio Alto")))</f>
        <v>OK</v>
      </c>
      <c r="V306" s="26" t="n">
        <f aca="false">IFERROR(COUNTIFS($B$2:$B$492,$B306,$O$2:$O$492,"&gt;"&amp;$O306)+1,"")</f>
        <v>99</v>
      </c>
      <c r="W306" s="21" t="n">
        <f aca="false">'Info Lega'!$B$4-SUMIFS($M$2:$M$492,$D$2:$D$492,'Info Lega'!$B$28)</f>
        <v>1000</v>
      </c>
      <c r="X306" s="21" t="n">
        <f aca="false">('Info Lega'!$B$5-COUNTIFS($D$2:$D$492,'Info Lega'!$B$28,$B$2:$B$492,"P"))+('Info Lega'!$B$6-COUNTIFS($D$2:$D$492,'Info Lega'!$B$28,$B$2:$B$492,"D"))+('Info Lega'!$B$7-COUNTIFS($D$2:$D$492,'Info Lega'!$B$28,$B$2:$B$492,"C"))+('Info Lega'!$B$8-COUNTIFS($D$2:$D$492,'Info Lega'!$B$28,$B$2:$B$492,"A"))</f>
        <v>25</v>
      </c>
      <c r="Y306" s="21" t="n">
        <f aca="false">X306*'Parametri Modello'!$B$30</f>
        <v>25</v>
      </c>
      <c r="Z306" s="21" t="n">
        <f aca="false">MAX(0,W306-Y306)</f>
        <v>975</v>
      </c>
      <c r="AA306" s="21" t="n">
        <f aca="false">MIN(F306,Z306)</f>
        <v>2</v>
      </c>
      <c r="AB306" s="21"/>
      <c r="AC306" s="21" t="str">
        <f aca="false">IF(AB306="","",IF(AB306&gt;AA306,"PASS",IF(AB306&lt;=AA306*0.85,"BID","ATTENZIONE")))</f>
        <v/>
      </c>
      <c r="AD306" s="31" t="str">
        <f aca="false">IF(I306="","",ROUND(100*(1-EXP(-I306/30)),0))</f>
        <v/>
      </c>
      <c r="AE306" s="7" t="str">
        <f aca="false">IFERROR(INDEX('Stato Asta'!$G$9:$G$12,MATCH($B306,'Stato Asta'!$A$9:$A$12,0)),"")</f>
        <v>🟡 Attesa rischiosa</v>
      </c>
    </row>
    <row r="307" customFormat="false" ht="14.25" hidden="false" customHeight="true" outlineLevel="0" collapsed="false">
      <c r="A307" s="21" t="n">
        <v>5831</v>
      </c>
      <c r="B307" s="21" t="s">
        <v>44</v>
      </c>
      <c r="C307" s="21" t="s">
        <v>286</v>
      </c>
      <c r="E307" s="26" t="str">
        <f aca="false">IF(COUNTIF('Info Strategia'!$D$2:$D$51,$C307)&gt;0,"SI","NO")</f>
        <v>NO</v>
      </c>
      <c r="F307" s="27" t="n">
        <f aca="false">IFERROR(ROUND(($G307+($H307-$G307)*'Info Strategia'!$B$6)*(1+IF($E307="SI",'Parametri Modello'!$B$7*'Info Strategia'!$B$6,0)),0),"")</f>
        <v>2</v>
      </c>
      <c r="G307" s="27" t="n">
        <f aca="false">IFERROR(ROUND(MAX(1,(IF($V307&lt;=INDEX('Parametri Modello'!$C$57:$C$60,MATCH($B307,'Parametri Modello'!$A$57:$A$60,0)),IF(INDEX('Parametri Modello'!$E$57:$E$60,MATCH($B307,'Parametri Modello'!$A$57:$A$60,0))=0,0,($O307/INDEX('Parametri Modello'!$E$57:$E$60,MATCH($B307,'Parametri Modello'!$A$57:$A$60,0)))*(INDEX('Parametri Modello'!$D$57:$D$60,MATCH($B307,'Parametri Modello'!$A$57:$A$60,0))*(INDEX('Parametri Modello'!$B$50:$B$53,MATCH($B307,'Parametri Modello'!$A$50:$A$53,0))*'Parametri Modello'!$B$44))),IF(INDEX('Parametri Modello'!$F$57:$F$60,MATCH($B307,'Parametri Modello'!$A$57:$A$60,0))=0,0,($O307/INDEX('Parametri Modello'!$F$57:$F$60,MATCH($B307,'Parametri Modello'!$A$57:$A$60,0)))*((1-INDEX('Parametri Modello'!$D$57:$D$60,MATCH($B307,'Parametri Modello'!$A$57:$A$60,0)))*(INDEX('Parametri Modello'!$B$50:$B$53,MATCH($B307,'Parametri Modello'!$A$50:$A$53,0))*'Parametri Modello'!$B$44))))*(1+IF(IF($B307="D",'Info Lega'!$B$25,IF($B307="C",'Info Lega'!$B$26,"No"))="Si",'Parametri Modello'!$B$5,0))*(1+MAX(-0.25,MIN(0.25,IF(OR($T307="",$I307="",$I307=0,INDEX('Parametri Modello'!$B$19:$B$22,MATCH($B307,'Parametri Modello'!$A$19:$A$22,0))="",INDEX('Parametri Modello'!$B$19:$B$22,MATCH($B307,'Parametri Modello'!$A$19:$A$22,0))=0),0,(($T307-INDEX('Parametri Modello'!$B$19:$B$22,MATCH($B307,'Parametri Modello'!$A$19:$A$22,0)))/INDEX('Parametri Modello'!$B$19:$B$22,MATCH($B307,'Parametri Modello'!$A$19:$A$22,0)))*'Parametri Modello'!$B$9))))*(1+IF('Parametri Modello'!$B$27="Si",MAX(-'Parametri Modello'!$B$28,MIN('Parametri Modello'!$B$28*1.5,IF(OR(INDEX('Parametri Modello'!$F$32:$F$35,MATCH($B307,'Parametri Modello'!$A$32:$A$35,0))="",INDEX('Parametri Modello'!$F$32:$F$35,MATCH($B307,'Parametri Modello'!$A$32:$A$35,0))=0),0,(1/INDEX('Parametri Modello'!$F$32:$F$35,MATCH($B307,'Parametri Modello'!$A$32:$A$35,0))-1)*'Parametri Modello'!$B$28))),0)))*(1-INDEX('Parametri Modello'!$B$12:$B$15,MATCH($B307,'Parametri Modello'!$A$12:$A$15,0)))),0),"")</f>
        <v>1</v>
      </c>
      <c r="H307" s="27" t="n">
        <f aca="false">IFERROR(ROUND((IF($V307&lt;=INDEX('Parametri Modello'!$C$57:$C$60,MATCH($B307,'Parametri Modello'!$A$57:$A$60,0)),IF(INDEX('Parametri Modello'!$E$57:$E$60,MATCH($B307,'Parametri Modello'!$A$57:$A$60,0))=0,0,($O307/INDEX('Parametri Modello'!$E$57:$E$60,MATCH($B307,'Parametri Modello'!$A$57:$A$60,0)))*(INDEX('Parametri Modello'!$D$57:$D$60,MATCH($B307,'Parametri Modello'!$A$57:$A$60,0))*(INDEX('Parametri Modello'!$B$50:$B$53,MATCH($B307,'Parametri Modello'!$A$50:$A$53,0))*'Parametri Modello'!$B$44))),IF(INDEX('Parametri Modello'!$F$57:$F$60,MATCH($B307,'Parametri Modello'!$A$57:$A$60,0))=0,0,($O307/INDEX('Parametri Modello'!$F$57:$F$60,MATCH($B307,'Parametri Modello'!$A$57:$A$60,0)))*((1-INDEX('Parametri Modello'!$D$57:$D$60,MATCH($B307,'Parametri Modello'!$A$57:$A$60,0)))*(INDEX('Parametri Modello'!$B$50:$B$53,MATCH($B307,'Parametri Modello'!$A$50:$A$53,0))*'Parametri Modello'!$B$44))))*(1+IF(IF($B307="D",'Info Lega'!$B$25,IF($B307="C",'Info Lega'!$B$26,"No"))="Si",'Parametri Modello'!$B$5,0))*(1+MAX(-0.25,MIN(0.25,IF(OR($T307="",$I307="",$I307=0,INDEX('Parametri Modello'!$B$19:$B$22,MATCH($B307,'Parametri Modello'!$A$19:$A$22,0))="",INDEX('Parametri Modello'!$B$19:$B$22,MATCH($B307,'Parametri Modello'!$A$19:$A$22,0))=0),0,(($T307-INDEX('Parametri Modello'!$B$19:$B$22,MATCH($B307,'Parametri Modello'!$A$19:$A$22,0)))/INDEX('Parametri Modello'!$B$19:$B$22,MATCH($B307,'Parametri Modello'!$A$19:$A$22,0)))*'Parametri Modello'!$B$9))))*(1+IF('Parametri Modello'!$B$27="Si",MAX(-'Parametri Modello'!$B$28,MIN('Parametri Modello'!$B$28*1.5,IF(OR(INDEX('Parametri Modello'!$F$32:$F$35,MATCH($B307,'Parametri Modello'!$A$32:$A$35,0))="",INDEX('Parametri Modello'!$F$32:$F$35,MATCH($B307,'Parametri Modello'!$A$32:$A$35,0))=0),0,(1/INDEX('Parametri Modello'!$F$32:$F$35,MATCH($B307,'Parametri Modello'!$A$32:$A$35,0))-1)*'Parametri Modello'!$B$28))),0)))*(1+INDEX('Parametri Modello'!$B$12:$B$15,MATCH($B307,'Parametri Modello'!$A$12:$A$15,0))),0),"")</f>
        <v>2</v>
      </c>
      <c r="I307" s="26" t="n">
        <f aca="false">IFERROR(INDEX('Input Statistiche 2025_26'!$F$3:$F$665,MATCH($A307,'Input Statistiche 2025_26'!$A$3:$A$665,0)),"")</f>
        <v>16</v>
      </c>
      <c r="J307" s="26" t="n">
        <f aca="false">IFERROR(IF($I307="","",MAX(0,38-$I307)),"")</f>
        <v>22</v>
      </c>
      <c r="K307" s="26" t="n">
        <f aca="false">IFERROR(INDEX('Input Statistiche 2025_26'!$I$3:$I$665,MATCH($A307,'Input Statistiche 2025_26'!$A$3:$A$665,0)),"")</f>
        <v>2</v>
      </c>
      <c r="L307" s="26" t="n">
        <f aca="false">IFERROR(INDEX('Input Statistiche 2025_26'!$O$3:$O$665,MATCH($A307,'Input Statistiche 2025_26'!$A$3:$A$665,0)),"")</f>
        <v>0</v>
      </c>
      <c r="M307" s="28"/>
      <c r="N307" s="27" t="n">
        <f aca="false">IFERROR(INDEX('Input Giocatori 2026_27'!$E$3:$E$493,MATCH($A307,'Input Giocatori 2026_27'!$A$3:$A$493,0)),"")</f>
        <v>4</v>
      </c>
      <c r="O307" s="27" t="n">
        <f aca="false">IFERROR(INDEX('Input Giocatori 2026_27'!$G$3:$G$493,MATCH($A307,'Input Giocatori 2026_27'!$A$3:$A$493,0)),"")</f>
        <v>10</v>
      </c>
      <c r="P307" s="26" t="str">
        <f aca="false">IFERROR(IF($O307="","",IF((1-(COUNTIFS($B$2:$B$492,$B307,$O$2:$O$492,"&gt;"&amp;$O307)+1-1)/COUNTIF($B$2:$B$492,$B307))&gt;=0.85,"Top",IF((1-(COUNTIFS($B$2:$B$492,$B307,$O$2:$O$492,"&gt;"&amp;$O307)+1-1)/COUNTIF($B$2:$B$492,$B307))&gt;=0.6,"Buono",IF((1-(COUNTIFS($B$2:$B$492,$B307,$O$2:$O$492,"&gt;"&amp;$O307)+1-1)/COUNTIF($B$2:$B$492,$B307))&gt;=0.3,"Nella Media","Scommessa/Riserva")))),"")</f>
        <v>Nella Media</v>
      </c>
      <c r="Q307" s="29" t="n">
        <f aca="false">IF($D307="",COUNTIF($D$2:$D307,""),"")</f>
        <v>306</v>
      </c>
      <c r="R307" s="29" t="str">
        <f aca="false">IF($D307='Info Lega'!$B$28,COUNTIFS($D$2:$D307,'Info Lega'!$B$28),"")</f>
        <v/>
      </c>
      <c r="S307" s="30" t="n">
        <f aca="false">IFERROR(INDEX('Input Statistiche 2025_26'!$G$3:$G$665,MATCH($A307,'Input Statistiche 2025_26'!$A$3:$A$665,0)),"")</f>
        <v>5.94</v>
      </c>
      <c r="T307" s="30" t="n">
        <f aca="false">IFERROR(INDEX('Input Statistiche 2025_26'!$H$3:$H$665,MATCH($A307,'Input Statistiche 2025_26'!$A$3:$A$665,0)),"")</f>
        <v>6.22</v>
      </c>
      <c r="U307" s="26" t="str">
        <f aca="false">IF(OR('La Mia Rosa'!$O$12="",$D307&lt;&gt;""),"",IF($F307&lt;='La Mia Rosa'!$O$12*'Parametri Modello'!$B$24,"OK",IF($F307&lt;='La Mia Rosa'!$O$12*'Parametri Modello'!$B$25,"Attenzione","Rischio Alto")))</f>
        <v>OK</v>
      </c>
      <c r="V307" s="26" t="n">
        <f aca="false">IFERROR(COUNTIFS($B$2:$B$492,$B307,$O$2:$O$492,"&gt;"&amp;$O307)+1,"")</f>
        <v>99</v>
      </c>
      <c r="W307" s="21" t="n">
        <f aca="false">'Info Lega'!$B$4-SUMIFS($M$2:$M$492,$D$2:$D$492,'Info Lega'!$B$28)</f>
        <v>1000</v>
      </c>
      <c r="X307" s="21" t="n">
        <f aca="false">('Info Lega'!$B$5-COUNTIFS($D$2:$D$492,'Info Lega'!$B$28,$B$2:$B$492,"P"))+('Info Lega'!$B$6-COUNTIFS($D$2:$D$492,'Info Lega'!$B$28,$B$2:$B$492,"D"))+('Info Lega'!$B$7-COUNTIFS($D$2:$D$492,'Info Lega'!$B$28,$B$2:$B$492,"C"))+('Info Lega'!$B$8-COUNTIFS($D$2:$D$492,'Info Lega'!$B$28,$B$2:$B$492,"A"))</f>
        <v>25</v>
      </c>
      <c r="Y307" s="21" t="n">
        <f aca="false">X307*'Parametri Modello'!$B$30</f>
        <v>25</v>
      </c>
      <c r="Z307" s="21" t="n">
        <f aca="false">MAX(0,W307-Y307)</f>
        <v>975</v>
      </c>
      <c r="AA307" s="21" t="n">
        <f aca="false">MIN(F307,Z307)</f>
        <v>2</v>
      </c>
      <c r="AB307" s="21"/>
      <c r="AC307" s="21" t="str">
        <f aca="false">IF(AB307="","",IF(AB307&gt;AA307,"PASS",IF(AB307&lt;=AA307*0.85,"BID","ATTENZIONE")))</f>
        <v/>
      </c>
      <c r="AD307" s="31" t="n">
        <f aca="false">IF(I307="","",ROUND(100*(1-EXP(-I307/30)),0))</f>
        <v>41</v>
      </c>
      <c r="AE307" s="7" t="str">
        <f aca="false">IFERROR(INDEX('Stato Asta'!$G$9:$G$12,MATCH($B307,'Stato Asta'!$A$9:$A$12,0)),"")</f>
        <v>🟡 Attesa rischiosa</v>
      </c>
    </row>
    <row r="308" customFormat="false" ht="14.25" hidden="false" customHeight="true" outlineLevel="0" collapsed="false">
      <c r="A308" s="21" t="n">
        <v>5307</v>
      </c>
      <c r="B308" s="21" t="s">
        <v>44</v>
      </c>
      <c r="C308" s="21" t="s">
        <v>291</v>
      </c>
      <c r="E308" s="26" t="str">
        <f aca="false">IF(COUNTIF('Info Strategia'!$D$2:$D$51,$C308)&gt;0,"SI","NO")</f>
        <v>NO</v>
      </c>
      <c r="F308" s="27" t="n">
        <f aca="false">IFERROR(ROUND(($G308+($H308-$G308)*'Info Strategia'!$B$6)*(1+IF($E308="SI",'Parametri Modello'!$B$7*'Info Strategia'!$B$6,0)),0),"")</f>
        <v>2</v>
      </c>
      <c r="G308" s="27" t="n">
        <f aca="false">IFERROR(ROUND(MAX(1,(IF($V308&lt;=INDEX('Parametri Modello'!$C$57:$C$60,MATCH($B308,'Parametri Modello'!$A$57:$A$60,0)),IF(INDEX('Parametri Modello'!$E$57:$E$60,MATCH($B308,'Parametri Modello'!$A$57:$A$60,0))=0,0,($O308/INDEX('Parametri Modello'!$E$57:$E$60,MATCH($B308,'Parametri Modello'!$A$57:$A$60,0)))*(INDEX('Parametri Modello'!$D$57:$D$60,MATCH($B308,'Parametri Modello'!$A$57:$A$60,0))*(INDEX('Parametri Modello'!$B$50:$B$53,MATCH($B308,'Parametri Modello'!$A$50:$A$53,0))*'Parametri Modello'!$B$44))),IF(INDEX('Parametri Modello'!$F$57:$F$60,MATCH($B308,'Parametri Modello'!$A$57:$A$60,0))=0,0,($O308/INDEX('Parametri Modello'!$F$57:$F$60,MATCH($B308,'Parametri Modello'!$A$57:$A$60,0)))*((1-INDEX('Parametri Modello'!$D$57:$D$60,MATCH($B308,'Parametri Modello'!$A$57:$A$60,0)))*(INDEX('Parametri Modello'!$B$50:$B$53,MATCH($B308,'Parametri Modello'!$A$50:$A$53,0))*'Parametri Modello'!$B$44))))*(1+IF(IF($B308="D",'Info Lega'!$B$25,IF($B308="C",'Info Lega'!$B$26,"No"))="Si",'Parametri Modello'!$B$5,0))*(1+MAX(-0.25,MIN(0.25,IF(OR($T308="",$I308="",$I308=0,INDEX('Parametri Modello'!$B$19:$B$22,MATCH($B308,'Parametri Modello'!$A$19:$A$22,0))="",INDEX('Parametri Modello'!$B$19:$B$22,MATCH($B308,'Parametri Modello'!$A$19:$A$22,0))=0),0,(($T308-INDEX('Parametri Modello'!$B$19:$B$22,MATCH($B308,'Parametri Modello'!$A$19:$A$22,0)))/INDEX('Parametri Modello'!$B$19:$B$22,MATCH($B308,'Parametri Modello'!$A$19:$A$22,0)))*'Parametri Modello'!$B$9))))*(1+IF('Parametri Modello'!$B$27="Si",MAX(-'Parametri Modello'!$B$28,MIN('Parametri Modello'!$B$28*1.5,IF(OR(INDEX('Parametri Modello'!$F$32:$F$35,MATCH($B308,'Parametri Modello'!$A$32:$A$35,0))="",INDEX('Parametri Modello'!$F$32:$F$35,MATCH($B308,'Parametri Modello'!$A$32:$A$35,0))=0),0,(1/INDEX('Parametri Modello'!$F$32:$F$35,MATCH($B308,'Parametri Modello'!$A$32:$A$35,0))-1)*'Parametri Modello'!$B$28))),0)))*(1-INDEX('Parametri Modello'!$B$12:$B$15,MATCH($B308,'Parametri Modello'!$A$12:$A$15,0)))),0),"")</f>
        <v>1</v>
      </c>
      <c r="H308" s="27" t="n">
        <f aca="false">IFERROR(ROUND((IF($V308&lt;=INDEX('Parametri Modello'!$C$57:$C$60,MATCH($B308,'Parametri Modello'!$A$57:$A$60,0)),IF(INDEX('Parametri Modello'!$E$57:$E$60,MATCH($B308,'Parametri Modello'!$A$57:$A$60,0))=0,0,($O308/INDEX('Parametri Modello'!$E$57:$E$60,MATCH($B308,'Parametri Modello'!$A$57:$A$60,0)))*(INDEX('Parametri Modello'!$D$57:$D$60,MATCH($B308,'Parametri Modello'!$A$57:$A$60,0))*(INDEX('Parametri Modello'!$B$50:$B$53,MATCH($B308,'Parametri Modello'!$A$50:$A$53,0))*'Parametri Modello'!$B$44))),IF(INDEX('Parametri Modello'!$F$57:$F$60,MATCH($B308,'Parametri Modello'!$A$57:$A$60,0))=0,0,($O308/INDEX('Parametri Modello'!$F$57:$F$60,MATCH($B308,'Parametri Modello'!$A$57:$A$60,0)))*((1-INDEX('Parametri Modello'!$D$57:$D$60,MATCH($B308,'Parametri Modello'!$A$57:$A$60,0)))*(INDEX('Parametri Modello'!$B$50:$B$53,MATCH($B308,'Parametri Modello'!$A$50:$A$53,0))*'Parametri Modello'!$B$44))))*(1+IF(IF($B308="D",'Info Lega'!$B$25,IF($B308="C",'Info Lega'!$B$26,"No"))="Si",'Parametri Modello'!$B$5,0))*(1+MAX(-0.25,MIN(0.25,IF(OR($T308="",$I308="",$I308=0,INDEX('Parametri Modello'!$B$19:$B$22,MATCH($B308,'Parametri Modello'!$A$19:$A$22,0))="",INDEX('Parametri Modello'!$B$19:$B$22,MATCH($B308,'Parametri Modello'!$A$19:$A$22,0))=0),0,(($T308-INDEX('Parametri Modello'!$B$19:$B$22,MATCH($B308,'Parametri Modello'!$A$19:$A$22,0)))/INDEX('Parametri Modello'!$B$19:$B$22,MATCH($B308,'Parametri Modello'!$A$19:$A$22,0)))*'Parametri Modello'!$B$9))))*(1+IF('Parametri Modello'!$B$27="Si",MAX(-'Parametri Modello'!$B$28,MIN('Parametri Modello'!$B$28*1.5,IF(OR(INDEX('Parametri Modello'!$F$32:$F$35,MATCH($B308,'Parametri Modello'!$A$32:$A$35,0))="",INDEX('Parametri Modello'!$F$32:$F$35,MATCH($B308,'Parametri Modello'!$A$32:$A$35,0))=0),0,(1/INDEX('Parametri Modello'!$F$32:$F$35,MATCH($B308,'Parametri Modello'!$A$32:$A$35,0))-1)*'Parametri Modello'!$B$28))),0)))*(1+INDEX('Parametri Modello'!$B$12:$B$15,MATCH($B308,'Parametri Modello'!$A$12:$A$15,0))),0),"")</f>
        <v>2</v>
      </c>
      <c r="I308" s="26" t="n">
        <f aca="false">IFERROR(INDEX('Input Statistiche 2025_26'!$F$3:$F$665,MATCH($A308,'Input Statistiche 2025_26'!$A$3:$A$665,0)),"")</f>
        <v>27</v>
      </c>
      <c r="J308" s="26" t="n">
        <f aca="false">IFERROR(IF($I308="","",MAX(0,38-$I308)),"")</f>
        <v>11</v>
      </c>
      <c r="K308" s="26" t="n">
        <f aca="false">IFERROR(INDEX('Input Statistiche 2025_26'!$I$3:$I$665,MATCH($A308,'Input Statistiche 2025_26'!$A$3:$A$665,0)),"")</f>
        <v>0</v>
      </c>
      <c r="L308" s="26" t="n">
        <f aca="false">IFERROR(INDEX('Input Statistiche 2025_26'!$O$3:$O$665,MATCH($A308,'Input Statistiche 2025_26'!$A$3:$A$665,0)),"")</f>
        <v>0</v>
      </c>
      <c r="M308" s="28"/>
      <c r="N308" s="27" t="n">
        <f aca="false">IFERROR(INDEX('Input Giocatori 2026_27'!$E$3:$E$493,MATCH($A308,'Input Giocatori 2026_27'!$A$3:$A$493,0)),"")</f>
        <v>4</v>
      </c>
      <c r="O308" s="27" t="n">
        <f aca="false">IFERROR(INDEX('Input Giocatori 2026_27'!$G$3:$G$493,MATCH($A308,'Input Giocatori 2026_27'!$A$3:$A$493,0)),"")</f>
        <v>10</v>
      </c>
      <c r="P308" s="26" t="str">
        <f aca="false">IFERROR(IF($O308="","",IF((1-(COUNTIFS($B$2:$B$492,$B308,$O$2:$O$492,"&gt;"&amp;$O308)+1-1)/COUNTIF($B$2:$B$492,$B308))&gt;=0.85,"Top",IF((1-(COUNTIFS($B$2:$B$492,$B308,$O$2:$O$492,"&gt;"&amp;$O308)+1-1)/COUNTIF($B$2:$B$492,$B308))&gt;=0.6,"Buono",IF((1-(COUNTIFS($B$2:$B$492,$B308,$O$2:$O$492,"&gt;"&amp;$O308)+1-1)/COUNTIF($B$2:$B$492,$B308))&gt;=0.3,"Nella Media","Scommessa/Riserva")))),"")</f>
        <v>Nella Media</v>
      </c>
      <c r="Q308" s="29" t="n">
        <f aca="false">IF($D308="",COUNTIF($D$2:$D308,""),"")</f>
        <v>307</v>
      </c>
      <c r="R308" s="29" t="str">
        <f aca="false">IF($D308='Info Lega'!$B$28,COUNTIFS($D$2:$D308,'Info Lega'!$B$28),"")</f>
        <v/>
      </c>
      <c r="S308" s="30" t="n">
        <f aca="false">IFERROR(INDEX('Input Statistiche 2025_26'!$G$3:$G$665,MATCH($A308,'Input Statistiche 2025_26'!$A$3:$A$665,0)),"")</f>
        <v>5.96</v>
      </c>
      <c r="T308" s="30" t="n">
        <f aca="false">IFERROR(INDEX('Input Statistiche 2025_26'!$H$3:$H$665,MATCH($A308,'Input Statistiche 2025_26'!$A$3:$A$665,0)),"")</f>
        <v>5.83</v>
      </c>
      <c r="U308" s="26" t="str">
        <f aca="false">IF(OR('La Mia Rosa'!$O$12="",$D308&lt;&gt;""),"",IF($F308&lt;='La Mia Rosa'!$O$12*'Parametri Modello'!$B$24,"OK",IF($F308&lt;='La Mia Rosa'!$O$12*'Parametri Modello'!$B$25,"Attenzione","Rischio Alto")))</f>
        <v>OK</v>
      </c>
      <c r="V308" s="26" t="n">
        <f aca="false">IFERROR(COUNTIFS($B$2:$B$492,$B308,$O$2:$O$492,"&gt;"&amp;$O308)+1,"")</f>
        <v>99</v>
      </c>
      <c r="W308" s="21" t="n">
        <f aca="false">'Info Lega'!$B$4-SUMIFS($M$2:$M$492,$D$2:$D$492,'Info Lega'!$B$28)</f>
        <v>1000</v>
      </c>
      <c r="X308" s="21" t="n">
        <f aca="false">('Info Lega'!$B$5-COUNTIFS($D$2:$D$492,'Info Lega'!$B$28,$B$2:$B$492,"P"))+('Info Lega'!$B$6-COUNTIFS($D$2:$D$492,'Info Lega'!$B$28,$B$2:$B$492,"D"))+('Info Lega'!$B$7-COUNTIFS($D$2:$D$492,'Info Lega'!$B$28,$B$2:$B$492,"C"))+('Info Lega'!$B$8-COUNTIFS($D$2:$D$492,'Info Lega'!$B$28,$B$2:$B$492,"A"))</f>
        <v>25</v>
      </c>
      <c r="Y308" s="21" t="n">
        <f aca="false">X308*'Parametri Modello'!$B$30</f>
        <v>25</v>
      </c>
      <c r="Z308" s="21" t="n">
        <f aca="false">MAX(0,W308-Y308)</f>
        <v>975</v>
      </c>
      <c r="AA308" s="21" t="n">
        <f aca="false">MIN(F308,Z308)</f>
        <v>2</v>
      </c>
      <c r="AB308" s="21"/>
      <c r="AC308" s="21" t="str">
        <f aca="false">IF(AB308="","",IF(AB308&gt;AA308,"PASS",IF(AB308&lt;=AA308*0.85,"BID","ATTENZIONE")))</f>
        <v/>
      </c>
      <c r="AD308" s="31" t="n">
        <f aca="false">IF(I308="","",ROUND(100*(1-EXP(-I308/30)),0))</f>
        <v>59</v>
      </c>
      <c r="AE308" s="7" t="str">
        <f aca="false">IFERROR(INDEX('Stato Asta'!$G$9:$G$12,MATCH($B308,'Stato Asta'!$A$9:$A$12,0)),"")</f>
        <v>🟡 Attesa rischiosa</v>
      </c>
    </row>
    <row r="309" customFormat="false" ht="14.25" hidden="false" customHeight="true" outlineLevel="0" collapsed="false">
      <c r="A309" s="21" t="n">
        <v>6631</v>
      </c>
      <c r="B309" s="21" t="s">
        <v>44</v>
      </c>
      <c r="C309" s="21" t="s">
        <v>292</v>
      </c>
      <c r="E309" s="26" t="str">
        <f aca="false">IF(COUNTIF('Info Strategia'!$D$2:$D$51,$C309)&gt;0,"SI","NO")</f>
        <v>NO</v>
      </c>
      <c r="F309" s="27" t="n">
        <f aca="false">IFERROR(ROUND(($G309+($H309-$G309)*'Info Strategia'!$B$6)*(1+IF($E309="SI",'Parametri Modello'!$B$7*'Info Strategia'!$B$6,0)),0),"")</f>
        <v>2</v>
      </c>
      <c r="G309" s="27" t="n">
        <f aca="false">IFERROR(ROUND(MAX(1,(IF($V309&lt;=INDEX('Parametri Modello'!$C$57:$C$60,MATCH($B309,'Parametri Modello'!$A$57:$A$60,0)),IF(INDEX('Parametri Modello'!$E$57:$E$60,MATCH($B309,'Parametri Modello'!$A$57:$A$60,0))=0,0,($O309/INDEX('Parametri Modello'!$E$57:$E$60,MATCH($B309,'Parametri Modello'!$A$57:$A$60,0)))*(INDEX('Parametri Modello'!$D$57:$D$60,MATCH($B309,'Parametri Modello'!$A$57:$A$60,0))*(INDEX('Parametri Modello'!$B$50:$B$53,MATCH($B309,'Parametri Modello'!$A$50:$A$53,0))*'Parametri Modello'!$B$44))),IF(INDEX('Parametri Modello'!$F$57:$F$60,MATCH($B309,'Parametri Modello'!$A$57:$A$60,0))=0,0,($O309/INDEX('Parametri Modello'!$F$57:$F$60,MATCH($B309,'Parametri Modello'!$A$57:$A$60,0)))*((1-INDEX('Parametri Modello'!$D$57:$D$60,MATCH($B309,'Parametri Modello'!$A$57:$A$60,0)))*(INDEX('Parametri Modello'!$B$50:$B$53,MATCH($B309,'Parametri Modello'!$A$50:$A$53,0))*'Parametri Modello'!$B$44))))*(1+IF(IF($B309="D",'Info Lega'!$B$25,IF($B309="C",'Info Lega'!$B$26,"No"))="Si",'Parametri Modello'!$B$5,0))*(1+MAX(-0.25,MIN(0.25,IF(OR($T309="",$I309="",$I309=0,INDEX('Parametri Modello'!$B$19:$B$22,MATCH($B309,'Parametri Modello'!$A$19:$A$22,0))="",INDEX('Parametri Modello'!$B$19:$B$22,MATCH($B309,'Parametri Modello'!$A$19:$A$22,0))=0),0,(($T309-INDEX('Parametri Modello'!$B$19:$B$22,MATCH($B309,'Parametri Modello'!$A$19:$A$22,0)))/INDEX('Parametri Modello'!$B$19:$B$22,MATCH($B309,'Parametri Modello'!$A$19:$A$22,0)))*'Parametri Modello'!$B$9))))*(1+IF('Parametri Modello'!$B$27="Si",MAX(-'Parametri Modello'!$B$28,MIN('Parametri Modello'!$B$28*1.5,IF(OR(INDEX('Parametri Modello'!$F$32:$F$35,MATCH($B309,'Parametri Modello'!$A$32:$A$35,0))="",INDEX('Parametri Modello'!$F$32:$F$35,MATCH($B309,'Parametri Modello'!$A$32:$A$35,0))=0),0,(1/INDEX('Parametri Modello'!$F$32:$F$35,MATCH($B309,'Parametri Modello'!$A$32:$A$35,0))-1)*'Parametri Modello'!$B$28))),0)))*(1-INDEX('Parametri Modello'!$B$12:$B$15,MATCH($B309,'Parametri Modello'!$A$12:$A$15,0)))),0),"")</f>
        <v>1</v>
      </c>
      <c r="H309" s="27" t="n">
        <f aca="false">IFERROR(ROUND((IF($V309&lt;=INDEX('Parametri Modello'!$C$57:$C$60,MATCH($B309,'Parametri Modello'!$A$57:$A$60,0)),IF(INDEX('Parametri Modello'!$E$57:$E$60,MATCH($B309,'Parametri Modello'!$A$57:$A$60,0))=0,0,($O309/INDEX('Parametri Modello'!$E$57:$E$60,MATCH($B309,'Parametri Modello'!$A$57:$A$60,0)))*(INDEX('Parametri Modello'!$D$57:$D$60,MATCH($B309,'Parametri Modello'!$A$57:$A$60,0))*(INDEX('Parametri Modello'!$B$50:$B$53,MATCH($B309,'Parametri Modello'!$A$50:$A$53,0))*'Parametri Modello'!$B$44))),IF(INDEX('Parametri Modello'!$F$57:$F$60,MATCH($B309,'Parametri Modello'!$A$57:$A$60,0))=0,0,($O309/INDEX('Parametri Modello'!$F$57:$F$60,MATCH($B309,'Parametri Modello'!$A$57:$A$60,0)))*((1-INDEX('Parametri Modello'!$D$57:$D$60,MATCH($B309,'Parametri Modello'!$A$57:$A$60,0)))*(INDEX('Parametri Modello'!$B$50:$B$53,MATCH($B309,'Parametri Modello'!$A$50:$A$53,0))*'Parametri Modello'!$B$44))))*(1+IF(IF($B309="D",'Info Lega'!$B$25,IF($B309="C",'Info Lega'!$B$26,"No"))="Si",'Parametri Modello'!$B$5,0))*(1+MAX(-0.25,MIN(0.25,IF(OR($T309="",$I309="",$I309=0,INDEX('Parametri Modello'!$B$19:$B$22,MATCH($B309,'Parametri Modello'!$A$19:$A$22,0))="",INDEX('Parametri Modello'!$B$19:$B$22,MATCH($B309,'Parametri Modello'!$A$19:$A$22,0))=0),0,(($T309-INDEX('Parametri Modello'!$B$19:$B$22,MATCH($B309,'Parametri Modello'!$A$19:$A$22,0)))/INDEX('Parametri Modello'!$B$19:$B$22,MATCH($B309,'Parametri Modello'!$A$19:$A$22,0)))*'Parametri Modello'!$B$9))))*(1+IF('Parametri Modello'!$B$27="Si",MAX(-'Parametri Modello'!$B$28,MIN('Parametri Modello'!$B$28*1.5,IF(OR(INDEX('Parametri Modello'!$F$32:$F$35,MATCH($B309,'Parametri Modello'!$A$32:$A$35,0))="",INDEX('Parametri Modello'!$F$32:$F$35,MATCH($B309,'Parametri Modello'!$A$32:$A$35,0))=0),0,(1/INDEX('Parametri Modello'!$F$32:$F$35,MATCH($B309,'Parametri Modello'!$A$32:$A$35,0))-1)*'Parametri Modello'!$B$28))),0)))*(1+INDEX('Parametri Modello'!$B$12:$B$15,MATCH($B309,'Parametri Modello'!$A$12:$A$15,0))),0),"")</f>
        <v>2</v>
      </c>
      <c r="I309" s="26" t="n">
        <f aca="false">IFERROR(INDEX('Input Statistiche 2025_26'!$F$3:$F$665,MATCH($A309,'Input Statistiche 2025_26'!$A$3:$A$665,0)),"")</f>
        <v>21</v>
      </c>
      <c r="J309" s="26" t="n">
        <f aca="false">IFERROR(IF($I309="","",MAX(0,38-$I309)),"")</f>
        <v>17</v>
      </c>
      <c r="K309" s="26" t="n">
        <f aca="false">IFERROR(INDEX('Input Statistiche 2025_26'!$I$3:$I$665,MATCH($A309,'Input Statistiche 2025_26'!$A$3:$A$665,0)),"")</f>
        <v>0</v>
      </c>
      <c r="L309" s="26" t="n">
        <f aca="false">IFERROR(INDEX('Input Statistiche 2025_26'!$O$3:$O$665,MATCH($A309,'Input Statistiche 2025_26'!$A$3:$A$665,0)),"")</f>
        <v>0</v>
      </c>
      <c r="M309" s="28"/>
      <c r="N309" s="27" t="n">
        <f aca="false">IFERROR(INDEX('Input Giocatori 2026_27'!$E$3:$E$493,MATCH($A309,'Input Giocatori 2026_27'!$A$3:$A$493,0)),"")</f>
        <v>4</v>
      </c>
      <c r="O309" s="27" t="n">
        <f aca="false">IFERROR(INDEX('Input Giocatori 2026_27'!$G$3:$G$493,MATCH($A309,'Input Giocatori 2026_27'!$A$3:$A$493,0)),"")</f>
        <v>10</v>
      </c>
      <c r="P309" s="26" t="str">
        <f aca="false">IFERROR(IF($O309="","",IF((1-(COUNTIFS($B$2:$B$492,$B309,$O$2:$O$492,"&gt;"&amp;$O309)+1-1)/COUNTIF($B$2:$B$492,$B309))&gt;=0.85,"Top",IF((1-(COUNTIFS($B$2:$B$492,$B309,$O$2:$O$492,"&gt;"&amp;$O309)+1-1)/COUNTIF($B$2:$B$492,$B309))&gt;=0.6,"Buono",IF((1-(COUNTIFS($B$2:$B$492,$B309,$O$2:$O$492,"&gt;"&amp;$O309)+1-1)/COUNTIF($B$2:$B$492,$B309))&gt;=0.3,"Nella Media","Scommessa/Riserva")))),"")</f>
        <v>Nella Media</v>
      </c>
      <c r="Q309" s="29" t="n">
        <f aca="false">IF($D309="",COUNTIF($D$2:$D309,""),"")</f>
        <v>308</v>
      </c>
      <c r="R309" s="29" t="str">
        <f aca="false">IF($D309='Info Lega'!$B$28,COUNTIFS($D$2:$D309,'Info Lega'!$B$28),"")</f>
        <v/>
      </c>
      <c r="S309" s="30" t="n">
        <f aca="false">IFERROR(INDEX('Input Statistiche 2025_26'!$G$3:$G$665,MATCH($A309,'Input Statistiche 2025_26'!$A$3:$A$665,0)),"")</f>
        <v>5.98</v>
      </c>
      <c r="T309" s="30" t="n">
        <f aca="false">IFERROR(INDEX('Input Statistiche 2025_26'!$H$3:$H$665,MATCH($A309,'Input Statistiche 2025_26'!$A$3:$A$665,0)),"")</f>
        <v>5.95</v>
      </c>
      <c r="U309" s="26" t="str">
        <f aca="false">IF(OR('La Mia Rosa'!$O$12="",$D309&lt;&gt;""),"",IF($F309&lt;='La Mia Rosa'!$O$12*'Parametri Modello'!$B$24,"OK",IF($F309&lt;='La Mia Rosa'!$O$12*'Parametri Modello'!$B$25,"Attenzione","Rischio Alto")))</f>
        <v>OK</v>
      </c>
      <c r="V309" s="26" t="n">
        <f aca="false">IFERROR(COUNTIFS($B$2:$B$492,$B309,$O$2:$O$492,"&gt;"&amp;$O309)+1,"")</f>
        <v>99</v>
      </c>
      <c r="W309" s="21" t="n">
        <f aca="false">'Info Lega'!$B$4-SUMIFS($M$2:$M$492,$D$2:$D$492,'Info Lega'!$B$28)</f>
        <v>1000</v>
      </c>
      <c r="X309" s="21" t="n">
        <f aca="false">('Info Lega'!$B$5-COUNTIFS($D$2:$D$492,'Info Lega'!$B$28,$B$2:$B$492,"P"))+('Info Lega'!$B$6-COUNTIFS($D$2:$D$492,'Info Lega'!$B$28,$B$2:$B$492,"D"))+('Info Lega'!$B$7-COUNTIFS($D$2:$D$492,'Info Lega'!$B$28,$B$2:$B$492,"C"))+('Info Lega'!$B$8-COUNTIFS($D$2:$D$492,'Info Lega'!$B$28,$B$2:$B$492,"A"))</f>
        <v>25</v>
      </c>
      <c r="Y309" s="21" t="n">
        <f aca="false">X309*'Parametri Modello'!$B$30</f>
        <v>25</v>
      </c>
      <c r="Z309" s="21" t="n">
        <f aca="false">MAX(0,W309-Y309)</f>
        <v>975</v>
      </c>
      <c r="AA309" s="21" t="n">
        <f aca="false">MIN(F309,Z309)</f>
        <v>2</v>
      </c>
      <c r="AB309" s="21"/>
      <c r="AC309" s="21" t="str">
        <f aca="false">IF(AB309="","",IF(AB309&gt;AA309,"PASS",IF(AB309&lt;=AA309*0.85,"BID","ATTENZIONE")))</f>
        <v/>
      </c>
      <c r="AD309" s="31" t="n">
        <f aca="false">IF(I309="","",ROUND(100*(1-EXP(-I309/30)),0))</f>
        <v>50</v>
      </c>
      <c r="AE309" s="7" t="str">
        <f aca="false">IFERROR(INDEX('Stato Asta'!$G$9:$G$12,MATCH($B309,'Stato Asta'!$A$9:$A$12,0)),"")</f>
        <v>🟡 Attesa rischiosa</v>
      </c>
    </row>
    <row r="310" customFormat="false" ht="14.25" hidden="false" customHeight="true" outlineLevel="0" collapsed="false">
      <c r="A310" s="21" t="n">
        <v>4374</v>
      </c>
      <c r="B310" s="21" t="s">
        <v>44</v>
      </c>
      <c r="C310" s="21" t="s">
        <v>293</v>
      </c>
      <c r="E310" s="26" t="str">
        <f aca="false">IF(COUNTIF('Info Strategia'!$D$2:$D$51,$C310)&gt;0,"SI","NO")</f>
        <v>NO</v>
      </c>
      <c r="F310" s="27" t="n">
        <f aca="false">IFERROR(ROUND(($G310+($H310-$G310)*'Info Strategia'!$B$6)*(1+IF($E310="SI",'Parametri Modello'!$B$7*'Info Strategia'!$B$6,0)),0),"")</f>
        <v>2</v>
      </c>
      <c r="G310" s="27" t="n">
        <f aca="false">IFERROR(ROUND(MAX(1,(IF($V310&lt;=INDEX('Parametri Modello'!$C$57:$C$60,MATCH($B310,'Parametri Modello'!$A$57:$A$60,0)),IF(INDEX('Parametri Modello'!$E$57:$E$60,MATCH($B310,'Parametri Modello'!$A$57:$A$60,0))=0,0,($O310/INDEX('Parametri Modello'!$E$57:$E$60,MATCH($B310,'Parametri Modello'!$A$57:$A$60,0)))*(INDEX('Parametri Modello'!$D$57:$D$60,MATCH($B310,'Parametri Modello'!$A$57:$A$60,0))*(INDEX('Parametri Modello'!$B$50:$B$53,MATCH($B310,'Parametri Modello'!$A$50:$A$53,0))*'Parametri Modello'!$B$44))),IF(INDEX('Parametri Modello'!$F$57:$F$60,MATCH($B310,'Parametri Modello'!$A$57:$A$60,0))=0,0,($O310/INDEX('Parametri Modello'!$F$57:$F$60,MATCH($B310,'Parametri Modello'!$A$57:$A$60,0)))*((1-INDEX('Parametri Modello'!$D$57:$D$60,MATCH($B310,'Parametri Modello'!$A$57:$A$60,0)))*(INDEX('Parametri Modello'!$B$50:$B$53,MATCH($B310,'Parametri Modello'!$A$50:$A$53,0))*'Parametri Modello'!$B$44))))*(1+IF(IF($B310="D",'Info Lega'!$B$25,IF($B310="C",'Info Lega'!$B$26,"No"))="Si",'Parametri Modello'!$B$5,0))*(1+MAX(-0.25,MIN(0.25,IF(OR($T310="",$I310="",$I310=0,INDEX('Parametri Modello'!$B$19:$B$22,MATCH($B310,'Parametri Modello'!$A$19:$A$22,0))="",INDEX('Parametri Modello'!$B$19:$B$22,MATCH($B310,'Parametri Modello'!$A$19:$A$22,0))=0),0,(($T310-INDEX('Parametri Modello'!$B$19:$B$22,MATCH($B310,'Parametri Modello'!$A$19:$A$22,0)))/INDEX('Parametri Modello'!$B$19:$B$22,MATCH($B310,'Parametri Modello'!$A$19:$A$22,0)))*'Parametri Modello'!$B$9))))*(1+IF('Parametri Modello'!$B$27="Si",MAX(-'Parametri Modello'!$B$28,MIN('Parametri Modello'!$B$28*1.5,IF(OR(INDEX('Parametri Modello'!$F$32:$F$35,MATCH($B310,'Parametri Modello'!$A$32:$A$35,0))="",INDEX('Parametri Modello'!$F$32:$F$35,MATCH($B310,'Parametri Modello'!$A$32:$A$35,0))=0),0,(1/INDEX('Parametri Modello'!$F$32:$F$35,MATCH($B310,'Parametri Modello'!$A$32:$A$35,0))-1)*'Parametri Modello'!$B$28))),0)))*(1-INDEX('Parametri Modello'!$B$12:$B$15,MATCH($B310,'Parametri Modello'!$A$12:$A$15,0)))),0),"")</f>
        <v>1</v>
      </c>
      <c r="H310" s="27" t="n">
        <f aca="false">IFERROR(ROUND((IF($V310&lt;=INDEX('Parametri Modello'!$C$57:$C$60,MATCH($B310,'Parametri Modello'!$A$57:$A$60,0)),IF(INDEX('Parametri Modello'!$E$57:$E$60,MATCH($B310,'Parametri Modello'!$A$57:$A$60,0))=0,0,($O310/INDEX('Parametri Modello'!$E$57:$E$60,MATCH($B310,'Parametri Modello'!$A$57:$A$60,0)))*(INDEX('Parametri Modello'!$D$57:$D$60,MATCH($B310,'Parametri Modello'!$A$57:$A$60,0))*(INDEX('Parametri Modello'!$B$50:$B$53,MATCH($B310,'Parametri Modello'!$A$50:$A$53,0))*'Parametri Modello'!$B$44))),IF(INDEX('Parametri Modello'!$F$57:$F$60,MATCH($B310,'Parametri Modello'!$A$57:$A$60,0))=0,0,($O310/INDEX('Parametri Modello'!$F$57:$F$60,MATCH($B310,'Parametri Modello'!$A$57:$A$60,0)))*((1-INDEX('Parametri Modello'!$D$57:$D$60,MATCH($B310,'Parametri Modello'!$A$57:$A$60,0)))*(INDEX('Parametri Modello'!$B$50:$B$53,MATCH($B310,'Parametri Modello'!$A$50:$A$53,0))*'Parametri Modello'!$B$44))))*(1+IF(IF($B310="D",'Info Lega'!$B$25,IF($B310="C",'Info Lega'!$B$26,"No"))="Si",'Parametri Modello'!$B$5,0))*(1+MAX(-0.25,MIN(0.25,IF(OR($T310="",$I310="",$I310=0,INDEX('Parametri Modello'!$B$19:$B$22,MATCH($B310,'Parametri Modello'!$A$19:$A$22,0))="",INDEX('Parametri Modello'!$B$19:$B$22,MATCH($B310,'Parametri Modello'!$A$19:$A$22,0))=0),0,(($T310-INDEX('Parametri Modello'!$B$19:$B$22,MATCH($B310,'Parametri Modello'!$A$19:$A$22,0)))/INDEX('Parametri Modello'!$B$19:$B$22,MATCH($B310,'Parametri Modello'!$A$19:$A$22,0)))*'Parametri Modello'!$B$9))))*(1+IF('Parametri Modello'!$B$27="Si",MAX(-'Parametri Modello'!$B$28,MIN('Parametri Modello'!$B$28*1.5,IF(OR(INDEX('Parametri Modello'!$F$32:$F$35,MATCH($B310,'Parametri Modello'!$A$32:$A$35,0))="",INDEX('Parametri Modello'!$F$32:$F$35,MATCH($B310,'Parametri Modello'!$A$32:$A$35,0))=0),0,(1/INDEX('Parametri Modello'!$F$32:$F$35,MATCH($B310,'Parametri Modello'!$A$32:$A$35,0))-1)*'Parametri Modello'!$B$28))),0)))*(1+INDEX('Parametri Modello'!$B$12:$B$15,MATCH($B310,'Parametri Modello'!$A$12:$A$15,0))),0),"")</f>
        <v>2</v>
      </c>
      <c r="I310" s="26" t="n">
        <f aca="false">IFERROR(INDEX('Input Statistiche 2025_26'!$F$3:$F$665,MATCH($A310,'Input Statistiche 2025_26'!$A$3:$A$665,0)),"")</f>
        <v>34</v>
      </c>
      <c r="J310" s="26" t="n">
        <f aca="false">IFERROR(IF($I310="","",MAX(0,38-$I310)),"")</f>
        <v>4</v>
      </c>
      <c r="K310" s="26" t="n">
        <f aca="false">IFERROR(INDEX('Input Statistiche 2025_26'!$I$3:$I$665,MATCH($A310,'Input Statistiche 2025_26'!$A$3:$A$665,0)),"")</f>
        <v>0</v>
      </c>
      <c r="L310" s="26" t="n">
        <f aca="false">IFERROR(INDEX('Input Statistiche 2025_26'!$O$3:$O$665,MATCH($A310,'Input Statistiche 2025_26'!$A$3:$A$665,0)),"")</f>
        <v>1</v>
      </c>
      <c r="M310" s="28"/>
      <c r="N310" s="27" t="n">
        <f aca="false">IFERROR(INDEX('Input Giocatori 2026_27'!$E$3:$E$493,MATCH($A310,'Input Giocatori 2026_27'!$A$3:$A$493,0)),"")</f>
        <v>4</v>
      </c>
      <c r="O310" s="27" t="n">
        <f aca="false">IFERROR(INDEX('Input Giocatori 2026_27'!$G$3:$G$493,MATCH($A310,'Input Giocatori 2026_27'!$A$3:$A$493,0)),"")</f>
        <v>10</v>
      </c>
      <c r="P310" s="26" t="str">
        <f aca="false">IFERROR(IF($O310="","",IF((1-(COUNTIFS($B$2:$B$492,$B310,$O$2:$O$492,"&gt;"&amp;$O310)+1-1)/COUNTIF($B$2:$B$492,$B310))&gt;=0.85,"Top",IF((1-(COUNTIFS($B$2:$B$492,$B310,$O$2:$O$492,"&gt;"&amp;$O310)+1-1)/COUNTIF($B$2:$B$492,$B310))&gt;=0.6,"Buono",IF((1-(COUNTIFS($B$2:$B$492,$B310,$O$2:$O$492,"&gt;"&amp;$O310)+1-1)/COUNTIF($B$2:$B$492,$B310))&gt;=0.3,"Nella Media","Scommessa/Riserva")))),"")</f>
        <v>Nella Media</v>
      </c>
      <c r="Q310" s="29" t="n">
        <f aca="false">IF($D310="",COUNTIF($D$2:$D310,""),"")</f>
        <v>309</v>
      </c>
      <c r="R310" s="29" t="str">
        <f aca="false">IF($D310='Info Lega'!$B$28,COUNTIFS($D$2:$D310,'Info Lega'!$B$28),"")</f>
        <v/>
      </c>
      <c r="S310" s="30" t="n">
        <f aca="false">IFERROR(INDEX('Input Statistiche 2025_26'!$G$3:$G$665,MATCH($A310,'Input Statistiche 2025_26'!$A$3:$A$665,0)),"")</f>
        <v>5.81</v>
      </c>
      <c r="T310" s="30" t="n">
        <f aca="false">IFERROR(INDEX('Input Statistiche 2025_26'!$H$3:$H$665,MATCH($A310,'Input Statistiche 2025_26'!$A$3:$A$665,0)),"")</f>
        <v>5.74</v>
      </c>
      <c r="U310" s="26" t="str">
        <f aca="false">IF(OR('La Mia Rosa'!$O$12="",$D310&lt;&gt;""),"",IF($F310&lt;='La Mia Rosa'!$O$12*'Parametri Modello'!$B$24,"OK",IF($F310&lt;='La Mia Rosa'!$O$12*'Parametri Modello'!$B$25,"Attenzione","Rischio Alto")))</f>
        <v>OK</v>
      </c>
      <c r="V310" s="26" t="n">
        <f aca="false">IFERROR(COUNTIFS($B$2:$B$492,$B310,$O$2:$O$492,"&gt;"&amp;$O310)+1,"")</f>
        <v>99</v>
      </c>
      <c r="W310" s="21" t="n">
        <f aca="false">'Info Lega'!$B$4-SUMIFS($M$2:$M$492,$D$2:$D$492,'Info Lega'!$B$28)</f>
        <v>1000</v>
      </c>
      <c r="X310" s="21" t="n">
        <f aca="false">('Info Lega'!$B$5-COUNTIFS($D$2:$D$492,'Info Lega'!$B$28,$B$2:$B$492,"P"))+('Info Lega'!$B$6-COUNTIFS($D$2:$D$492,'Info Lega'!$B$28,$B$2:$B$492,"D"))+('Info Lega'!$B$7-COUNTIFS($D$2:$D$492,'Info Lega'!$B$28,$B$2:$B$492,"C"))+('Info Lega'!$B$8-COUNTIFS($D$2:$D$492,'Info Lega'!$B$28,$B$2:$B$492,"A"))</f>
        <v>25</v>
      </c>
      <c r="Y310" s="21" t="n">
        <f aca="false">X310*'Parametri Modello'!$B$30</f>
        <v>25</v>
      </c>
      <c r="Z310" s="21" t="n">
        <f aca="false">MAX(0,W310-Y310)</f>
        <v>975</v>
      </c>
      <c r="AA310" s="21" t="n">
        <f aca="false">MIN(F310,Z310)</f>
        <v>2</v>
      </c>
      <c r="AB310" s="21"/>
      <c r="AC310" s="21" t="str">
        <f aca="false">IF(AB310="","",IF(AB310&gt;AA310,"PASS",IF(AB310&lt;=AA310*0.85,"BID","ATTENZIONE")))</f>
        <v/>
      </c>
      <c r="AD310" s="31" t="n">
        <f aca="false">IF(I310="","",ROUND(100*(1-EXP(-I310/30)),0))</f>
        <v>68</v>
      </c>
      <c r="AE310" s="7" t="str">
        <f aca="false">IFERROR(INDEX('Stato Asta'!$G$9:$G$12,MATCH($B310,'Stato Asta'!$A$9:$A$12,0)),"")</f>
        <v>🟡 Attesa rischiosa</v>
      </c>
    </row>
    <row r="311" customFormat="false" ht="14.25" hidden="false" customHeight="true" outlineLevel="0" collapsed="false">
      <c r="A311" s="21" t="n">
        <v>7526</v>
      </c>
      <c r="B311" s="21" t="s">
        <v>44</v>
      </c>
      <c r="C311" s="21" t="s">
        <v>295</v>
      </c>
      <c r="E311" s="26" t="str">
        <f aca="false">IF(COUNTIF('Info Strategia'!$D$2:$D$51,$C311)&gt;0,"SI","NO")</f>
        <v>NO</v>
      </c>
      <c r="F311" s="27" t="n">
        <f aca="false">IFERROR(ROUND(($G311+($H311-$G311)*'Info Strategia'!$B$6)*(1+IF($E311="SI",'Parametri Modello'!$B$7*'Info Strategia'!$B$6,0)),0),"")</f>
        <v>2</v>
      </c>
      <c r="G311" s="27" t="n">
        <f aca="false">IFERROR(ROUND(MAX(1,(IF($V311&lt;=INDEX('Parametri Modello'!$C$57:$C$60,MATCH($B311,'Parametri Modello'!$A$57:$A$60,0)),IF(INDEX('Parametri Modello'!$E$57:$E$60,MATCH($B311,'Parametri Modello'!$A$57:$A$60,0))=0,0,($O311/INDEX('Parametri Modello'!$E$57:$E$60,MATCH($B311,'Parametri Modello'!$A$57:$A$60,0)))*(INDEX('Parametri Modello'!$D$57:$D$60,MATCH($B311,'Parametri Modello'!$A$57:$A$60,0))*(INDEX('Parametri Modello'!$B$50:$B$53,MATCH($B311,'Parametri Modello'!$A$50:$A$53,0))*'Parametri Modello'!$B$44))),IF(INDEX('Parametri Modello'!$F$57:$F$60,MATCH($B311,'Parametri Modello'!$A$57:$A$60,0))=0,0,($O311/INDEX('Parametri Modello'!$F$57:$F$60,MATCH($B311,'Parametri Modello'!$A$57:$A$60,0)))*((1-INDEX('Parametri Modello'!$D$57:$D$60,MATCH($B311,'Parametri Modello'!$A$57:$A$60,0)))*(INDEX('Parametri Modello'!$B$50:$B$53,MATCH($B311,'Parametri Modello'!$A$50:$A$53,0))*'Parametri Modello'!$B$44))))*(1+IF(IF($B311="D",'Info Lega'!$B$25,IF($B311="C",'Info Lega'!$B$26,"No"))="Si",'Parametri Modello'!$B$5,0))*(1+MAX(-0.25,MIN(0.25,IF(OR($T311="",$I311="",$I311=0,INDEX('Parametri Modello'!$B$19:$B$22,MATCH($B311,'Parametri Modello'!$A$19:$A$22,0))="",INDEX('Parametri Modello'!$B$19:$B$22,MATCH($B311,'Parametri Modello'!$A$19:$A$22,0))=0),0,(($T311-INDEX('Parametri Modello'!$B$19:$B$22,MATCH($B311,'Parametri Modello'!$A$19:$A$22,0)))/INDEX('Parametri Modello'!$B$19:$B$22,MATCH($B311,'Parametri Modello'!$A$19:$A$22,0)))*'Parametri Modello'!$B$9))))*(1+IF('Parametri Modello'!$B$27="Si",MAX(-'Parametri Modello'!$B$28,MIN('Parametri Modello'!$B$28*1.5,IF(OR(INDEX('Parametri Modello'!$F$32:$F$35,MATCH($B311,'Parametri Modello'!$A$32:$A$35,0))="",INDEX('Parametri Modello'!$F$32:$F$35,MATCH($B311,'Parametri Modello'!$A$32:$A$35,0))=0),0,(1/INDEX('Parametri Modello'!$F$32:$F$35,MATCH($B311,'Parametri Modello'!$A$32:$A$35,0))-1)*'Parametri Modello'!$B$28))),0)))*(1-INDEX('Parametri Modello'!$B$12:$B$15,MATCH($B311,'Parametri Modello'!$A$12:$A$15,0)))),0),"")</f>
        <v>1</v>
      </c>
      <c r="H311" s="27" t="n">
        <f aca="false">IFERROR(ROUND((IF($V311&lt;=INDEX('Parametri Modello'!$C$57:$C$60,MATCH($B311,'Parametri Modello'!$A$57:$A$60,0)),IF(INDEX('Parametri Modello'!$E$57:$E$60,MATCH($B311,'Parametri Modello'!$A$57:$A$60,0))=0,0,($O311/INDEX('Parametri Modello'!$E$57:$E$60,MATCH($B311,'Parametri Modello'!$A$57:$A$60,0)))*(INDEX('Parametri Modello'!$D$57:$D$60,MATCH($B311,'Parametri Modello'!$A$57:$A$60,0))*(INDEX('Parametri Modello'!$B$50:$B$53,MATCH($B311,'Parametri Modello'!$A$50:$A$53,0))*'Parametri Modello'!$B$44))),IF(INDEX('Parametri Modello'!$F$57:$F$60,MATCH($B311,'Parametri Modello'!$A$57:$A$60,0))=0,0,($O311/INDEX('Parametri Modello'!$F$57:$F$60,MATCH($B311,'Parametri Modello'!$A$57:$A$60,0)))*((1-INDEX('Parametri Modello'!$D$57:$D$60,MATCH($B311,'Parametri Modello'!$A$57:$A$60,0)))*(INDEX('Parametri Modello'!$B$50:$B$53,MATCH($B311,'Parametri Modello'!$A$50:$A$53,0))*'Parametri Modello'!$B$44))))*(1+IF(IF($B311="D",'Info Lega'!$B$25,IF($B311="C",'Info Lega'!$B$26,"No"))="Si",'Parametri Modello'!$B$5,0))*(1+MAX(-0.25,MIN(0.25,IF(OR($T311="",$I311="",$I311=0,INDEX('Parametri Modello'!$B$19:$B$22,MATCH($B311,'Parametri Modello'!$A$19:$A$22,0))="",INDEX('Parametri Modello'!$B$19:$B$22,MATCH($B311,'Parametri Modello'!$A$19:$A$22,0))=0),0,(($T311-INDEX('Parametri Modello'!$B$19:$B$22,MATCH($B311,'Parametri Modello'!$A$19:$A$22,0)))/INDEX('Parametri Modello'!$B$19:$B$22,MATCH($B311,'Parametri Modello'!$A$19:$A$22,0)))*'Parametri Modello'!$B$9))))*(1+IF('Parametri Modello'!$B$27="Si",MAX(-'Parametri Modello'!$B$28,MIN('Parametri Modello'!$B$28*1.5,IF(OR(INDEX('Parametri Modello'!$F$32:$F$35,MATCH($B311,'Parametri Modello'!$A$32:$A$35,0))="",INDEX('Parametri Modello'!$F$32:$F$35,MATCH($B311,'Parametri Modello'!$A$32:$A$35,0))=0),0,(1/INDEX('Parametri Modello'!$F$32:$F$35,MATCH($B311,'Parametri Modello'!$A$32:$A$35,0))-1)*'Parametri Modello'!$B$28))),0)))*(1+INDEX('Parametri Modello'!$B$12:$B$15,MATCH($B311,'Parametri Modello'!$A$12:$A$15,0))),0),"")</f>
        <v>2</v>
      </c>
      <c r="I311" s="26" t="str">
        <f aca="false">IFERROR(INDEX('Input Statistiche 2025_26'!$F$3:$F$665,MATCH($A311,'Input Statistiche 2025_26'!$A$3:$A$665,0)),"")</f>
        <v/>
      </c>
      <c r="J311" s="26" t="str">
        <f aca="false">IFERROR(IF($I311="","",MAX(0,38-$I311)),"")</f>
        <v/>
      </c>
      <c r="K311" s="26" t="str">
        <f aca="false">IFERROR(INDEX('Input Statistiche 2025_26'!$I$3:$I$665,MATCH($A311,'Input Statistiche 2025_26'!$A$3:$A$665,0)),"")</f>
        <v/>
      </c>
      <c r="L311" s="26" t="str">
        <f aca="false">IFERROR(INDEX('Input Statistiche 2025_26'!$O$3:$O$665,MATCH($A311,'Input Statistiche 2025_26'!$A$3:$A$665,0)),"")</f>
        <v/>
      </c>
      <c r="M311" s="28"/>
      <c r="N311" s="27" t="n">
        <f aca="false">IFERROR(INDEX('Input Giocatori 2026_27'!$E$3:$E$493,MATCH($A311,'Input Giocatori 2026_27'!$A$3:$A$493,0)),"")</f>
        <v>4</v>
      </c>
      <c r="O311" s="27" t="n">
        <f aca="false">IFERROR(INDEX('Input Giocatori 2026_27'!$G$3:$G$493,MATCH($A311,'Input Giocatori 2026_27'!$A$3:$A$493,0)),"")</f>
        <v>10</v>
      </c>
      <c r="P311" s="26" t="str">
        <f aca="false">IFERROR(IF($O311="","",IF((1-(COUNTIFS($B$2:$B$492,$B311,$O$2:$O$492,"&gt;"&amp;$O311)+1-1)/COUNTIF($B$2:$B$492,$B311))&gt;=0.85,"Top",IF((1-(COUNTIFS($B$2:$B$492,$B311,$O$2:$O$492,"&gt;"&amp;$O311)+1-1)/COUNTIF($B$2:$B$492,$B311))&gt;=0.6,"Buono",IF((1-(COUNTIFS($B$2:$B$492,$B311,$O$2:$O$492,"&gt;"&amp;$O311)+1-1)/COUNTIF($B$2:$B$492,$B311))&gt;=0.3,"Nella Media","Scommessa/Riserva")))),"")</f>
        <v>Nella Media</v>
      </c>
      <c r="Q311" s="29" t="n">
        <f aca="false">IF($D311="",COUNTIF($D$2:$D311,""),"")</f>
        <v>310</v>
      </c>
      <c r="R311" s="29" t="str">
        <f aca="false">IF($D311='Info Lega'!$B$28,COUNTIFS($D$2:$D311,'Info Lega'!$B$28),"")</f>
        <v/>
      </c>
      <c r="S311" s="30" t="str">
        <f aca="false">IFERROR(INDEX('Input Statistiche 2025_26'!$G$3:$G$665,MATCH($A311,'Input Statistiche 2025_26'!$A$3:$A$665,0)),"")</f>
        <v/>
      </c>
      <c r="T311" s="30" t="str">
        <f aca="false">IFERROR(INDEX('Input Statistiche 2025_26'!$H$3:$H$665,MATCH($A311,'Input Statistiche 2025_26'!$A$3:$A$665,0)),"")</f>
        <v/>
      </c>
      <c r="U311" s="26" t="str">
        <f aca="false">IF(OR('La Mia Rosa'!$O$12="",$D311&lt;&gt;""),"",IF($F311&lt;='La Mia Rosa'!$O$12*'Parametri Modello'!$B$24,"OK",IF($F311&lt;='La Mia Rosa'!$O$12*'Parametri Modello'!$B$25,"Attenzione","Rischio Alto")))</f>
        <v>OK</v>
      </c>
      <c r="V311" s="26" t="n">
        <f aca="false">IFERROR(COUNTIFS($B$2:$B$492,$B311,$O$2:$O$492,"&gt;"&amp;$O311)+1,"")</f>
        <v>99</v>
      </c>
      <c r="W311" s="21" t="n">
        <f aca="false">'Info Lega'!$B$4-SUMIFS($M$2:$M$492,$D$2:$D$492,'Info Lega'!$B$28)</f>
        <v>1000</v>
      </c>
      <c r="X311" s="21" t="n">
        <f aca="false">('Info Lega'!$B$5-COUNTIFS($D$2:$D$492,'Info Lega'!$B$28,$B$2:$B$492,"P"))+('Info Lega'!$B$6-COUNTIFS($D$2:$D$492,'Info Lega'!$B$28,$B$2:$B$492,"D"))+('Info Lega'!$B$7-COUNTIFS($D$2:$D$492,'Info Lega'!$B$28,$B$2:$B$492,"C"))+('Info Lega'!$B$8-COUNTIFS($D$2:$D$492,'Info Lega'!$B$28,$B$2:$B$492,"A"))</f>
        <v>25</v>
      </c>
      <c r="Y311" s="21" t="n">
        <f aca="false">X311*'Parametri Modello'!$B$30</f>
        <v>25</v>
      </c>
      <c r="Z311" s="21" t="n">
        <f aca="false">MAX(0,W311-Y311)</f>
        <v>975</v>
      </c>
      <c r="AA311" s="21" t="n">
        <f aca="false">MIN(F311,Z311)</f>
        <v>2</v>
      </c>
      <c r="AB311" s="21"/>
      <c r="AC311" s="21" t="str">
        <f aca="false">IF(AB311="","",IF(AB311&gt;AA311,"PASS",IF(AB311&lt;=AA311*0.85,"BID","ATTENZIONE")))</f>
        <v/>
      </c>
      <c r="AD311" s="31" t="str">
        <f aca="false">IF(I311="","",ROUND(100*(1-EXP(-I311/30)),0))</f>
        <v/>
      </c>
      <c r="AE311" s="7" t="str">
        <f aca="false">IFERROR(INDEX('Stato Asta'!$G$9:$G$12,MATCH($B311,'Stato Asta'!$A$9:$A$12,0)),"")</f>
        <v>🟡 Attesa rischiosa</v>
      </c>
    </row>
    <row r="312" customFormat="false" ht="14.25" hidden="false" customHeight="true" outlineLevel="0" collapsed="false">
      <c r="A312" s="21" t="n">
        <v>5820</v>
      </c>
      <c r="B312" s="21" t="s">
        <v>44</v>
      </c>
      <c r="C312" s="21" t="s">
        <v>297</v>
      </c>
      <c r="E312" s="26" t="str">
        <f aca="false">IF(COUNTIF('Info Strategia'!$D$2:$D$51,$C312)&gt;0,"SI","NO")</f>
        <v>NO</v>
      </c>
      <c r="F312" s="27" t="n">
        <f aca="false">IFERROR(ROUND(($G312+($H312-$G312)*'Info Strategia'!$B$6)*(1+IF($E312="SI",'Parametri Modello'!$B$7*'Info Strategia'!$B$6,0)),0),"")</f>
        <v>2</v>
      </c>
      <c r="G312" s="27" t="n">
        <f aca="false">IFERROR(ROUND(MAX(1,(IF($V312&lt;=INDEX('Parametri Modello'!$C$57:$C$60,MATCH($B312,'Parametri Modello'!$A$57:$A$60,0)),IF(INDEX('Parametri Modello'!$E$57:$E$60,MATCH($B312,'Parametri Modello'!$A$57:$A$60,0))=0,0,($O312/INDEX('Parametri Modello'!$E$57:$E$60,MATCH($B312,'Parametri Modello'!$A$57:$A$60,0)))*(INDEX('Parametri Modello'!$D$57:$D$60,MATCH($B312,'Parametri Modello'!$A$57:$A$60,0))*(INDEX('Parametri Modello'!$B$50:$B$53,MATCH($B312,'Parametri Modello'!$A$50:$A$53,0))*'Parametri Modello'!$B$44))),IF(INDEX('Parametri Modello'!$F$57:$F$60,MATCH($B312,'Parametri Modello'!$A$57:$A$60,0))=0,0,($O312/INDEX('Parametri Modello'!$F$57:$F$60,MATCH($B312,'Parametri Modello'!$A$57:$A$60,0)))*((1-INDEX('Parametri Modello'!$D$57:$D$60,MATCH($B312,'Parametri Modello'!$A$57:$A$60,0)))*(INDEX('Parametri Modello'!$B$50:$B$53,MATCH($B312,'Parametri Modello'!$A$50:$A$53,0))*'Parametri Modello'!$B$44))))*(1+IF(IF($B312="D",'Info Lega'!$B$25,IF($B312="C",'Info Lega'!$B$26,"No"))="Si",'Parametri Modello'!$B$5,0))*(1+MAX(-0.25,MIN(0.25,IF(OR($T312="",$I312="",$I312=0,INDEX('Parametri Modello'!$B$19:$B$22,MATCH($B312,'Parametri Modello'!$A$19:$A$22,0))="",INDEX('Parametri Modello'!$B$19:$B$22,MATCH($B312,'Parametri Modello'!$A$19:$A$22,0))=0),0,(($T312-INDEX('Parametri Modello'!$B$19:$B$22,MATCH($B312,'Parametri Modello'!$A$19:$A$22,0)))/INDEX('Parametri Modello'!$B$19:$B$22,MATCH($B312,'Parametri Modello'!$A$19:$A$22,0)))*'Parametri Modello'!$B$9))))*(1+IF('Parametri Modello'!$B$27="Si",MAX(-'Parametri Modello'!$B$28,MIN('Parametri Modello'!$B$28*1.5,IF(OR(INDEX('Parametri Modello'!$F$32:$F$35,MATCH($B312,'Parametri Modello'!$A$32:$A$35,0))="",INDEX('Parametri Modello'!$F$32:$F$35,MATCH($B312,'Parametri Modello'!$A$32:$A$35,0))=0),0,(1/INDEX('Parametri Modello'!$F$32:$F$35,MATCH($B312,'Parametri Modello'!$A$32:$A$35,0))-1)*'Parametri Modello'!$B$28))),0)))*(1-INDEX('Parametri Modello'!$B$12:$B$15,MATCH($B312,'Parametri Modello'!$A$12:$A$15,0)))),0),"")</f>
        <v>1</v>
      </c>
      <c r="H312" s="27" t="n">
        <f aca="false">IFERROR(ROUND((IF($V312&lt;=INDEX('Parametri Modello'!$C$57:$C$60,MATCH($B312,'Parametri Modello'!$A$57:$A$60,0)),IF(INDEX('Parametri Modello'!$E$57:$E$60,MATCH($B312,'Parametri Modello'!$A$57:$A$60,0))=0,0,($O312/INDEX('Parametri Modello'!$E$57:$E$60,MATCH($B312,'Parametri Modello'!$A$57:$A$60,0)))*(INDEX('Parametri Modello'!$D$57:$D$60,MATCH($B312,'Parametri Modello'!$A$57:$A$60,0))*(INDEX('Parametri Modello'!$B$50:$B$53,MATCH($B312,'Parametri Modello'!$A$50:$A$53,0))*'Parametri Modello'!$B$44))),IF(INDEX('Parametri Modello'!$F$57:$F$60,MATCH($B312,'Parametri Modello'!$A$57:$A$60,0))=0,0,($O312/INDEX('Parametri Modello'!$F$57:$F$60,MATCH($B312,'Parametri Modello'!$A$57:$A$60,0)))*((1-INDEX('Parametri Modello'!$D$57:$D$60,MATCH($B312,'Parametri Modello'!$A$57:$A$60,0)))*(INDEX('Parametri Modello'!$B$50:$B$53,MATCH($B312,'Parametri Modello'!$A$50:$A$53,0))*'Parametri Modello'!$B$44))))*(1+IF(IF($B312="D",'Info Lega'!$B$25,IF($B312="C",'Info Lega'!$B$26,"No"))="Si",'Parametri Modello'!$B$5,0))*(1+MAX(-0.25,MIN(0.25,IF(OR($T312="",$I312="",$I312=0,INDEX('Parametri Modello'!$B$19:$B$22,MATCH($B312,'Parametri Modello'!$A$19:$A$22,0))="",INDEX('Parametri Modello'!$B$19:$B$22,MATCH($B312,'Parametri Modello'!$A$19:$A$22,0))=0),0,(($T312-INDEX('Parametri Modello'!$B$19:$B$22,MATCH($B312,'Parametri Modello'!$A$19:$A$22,0)))/INDEX('Parametri Modello'!$B$19:$B$22,MATCH($B312,'Parametri Modello'!$A$19:$A$22,0)))*'Parametri Modello'!$B$9))))*(1+IF('Parametri Modello'!$B$27="Si",MAX(-'Parametri Modello'!$B$28,MIN('Parametri Modello'!$B$28*1.5,IF(OR(INDEX('Parametri Modello'!$F$32:$F$35,MATCH($B312,'Parametri Modello'!$A$32:$A$35,0))="",INDEX('Parametri Modello'!$F$32:$F$35,MATCH($B312,'Parametri Modello'!$A$32:$A$35,0))=0),0,(1/INDEX('Parametri Modello'!$F$32:$F$35,MATCH($B312,'Parametri Modello'!$A$32:$A$35,0))-1)*'Parametri Modello'!$B$28))),0)))*(1+INDEX('Parametri Modello'!$B$12:$B$15,MATCH($B312,'Parametri Modello'!$A$12:$A$15,0))),0),"")</f>
        <v>2</v>
      </c>
      <c r="I312" s="26" t="n">
        <f aca="false">IFERROR(INDEX('Input Statistiche 2025_26'!$F$3:$F$665,MATCH($A312,'Input Statistiche 2025_26'!$A$3:$A$665,0)),"")</f>
        <v>25</v>
      </c>
      <c r="J312" s="26" t="n">
        <f aca="false">IFERROR(IF($I312="","",MAX(0,38-$I312)),"")</f>
        <v>13</v>
      </c>
      <c r="K312" s="26" t="n">
        <f aca="false">IFERROR(INDEX('Input Statistiche 2025_26'!$I$3:$I$665,MATCH($A312,'Input Statistiche 2025_26'!$A$3:$A$665,0)),"")</f>
        <v>0</v>
      </c>
      <c r="L312" s="26" t="n">
        <f aca="false">IFERROR(INDEX('Input Statistiche 2025_26'!$O$3:$O$665,MATCH($A312,'Input Statistiche 2025_26'!$A$3:$A$665,0)),"")</f>
        <v>1</v>
      </c>
      <c r="M312" s="28"/>
      <c r="N312" s="27" t="n">
        <f aca="false">IFERROR(INDEX('Input Giocatori 2026_27'!$E$3:$E$493,MATCH($A312,'Input Giocatori 2026_27'!$A$3:$A$493,0)),"")</f>
        <v>4</v>
      </c>
      <c r="O312" s="27" t="n">
        <f aca="false">IFERROR(INDEX('Input Giocatori 2026_27'!$G$3:$G$493,MATCH($A312,'Input Giocatori 2026_27'!$A$3:$A$493,0)),"")</f>
        <v>10</v>
      </c>
      <c r="P312" s="26" t="str">
        <f aca="false">IFERROR(IF($O312="","",IF((1-(COUNTIFS($B$2:$B$492,$B312,$O$2:$O$492,"&gt;"&amp;$O312)+1-1)/COUNTIF($B$2:$B$492,$B312))&gt;=0.85,"Top",IF((1-(COUNTIFS($B$2:$B$492,$B312,$O$2:$O$492,"&gt;"&amp;$O312)+1-1)/COUNTIF($B$2:$B$492,$B312))&gt;=0.6,"Buono",IF((1-(COUNTIFS($B$2:$B$492,$B312,$O$2:$O$492,"&gt;"&amp;$O312)+1-1)/COUNTIF($B$2:$B$492,$B312))&gt;=0.3,"Nella Media","Scommessa/Riserva")))),"")</f>
        <v>Nella Media</v>
      </c>
      <c r="Q312" s="29" t="n">
        <f aca="false">IF($D312="",COUNTIF($D$2:$D312,""),"")</f>
        <v>311</v>
      </c>
      <c r="R312" s="29" t="str">
        <f aca="false">IF($D312='Info Lega'!$B$28,COUNTIFS($D$2:$D312,'Info Lega'!$B$28),"")</f>
        <v/>
      </c>
      <c r="S312" s="30" t="n">
        <f aca="false">IFERROR(INDEX('Input Statistiche 2025_26'!$G$3:$G$665,MATCH($A312,'Input Statistiche 2025_26'!$A$3:$A$665,0)),"")</f>
        <v>5.86</v>
      </c>
      <c r="T312" s="30" t="n">
        <f aca="false">IFERROR(INDEX('Input Statistiche 2025_26'!$H$3:$H$665,MATCH($A312,'Input Statistiche 2025_26'!$A$3:$A$665,0)),"")</f>
        <v>5.84</v>
      </c>
      <c r="U312" s="26" t="str">
        <f aca="false">IF(OR('La Mia Rosa'!$O$12="",$D312&lt;&gt;""),"",IF($F312&lt;='La Mia Rosa'!$O$12*'Parametri Modello'!$B$24,"OK",IF($F312&lt;='La Mia Rosa'!$O$12*'Parametri Modello'!$B$25,"Attenzione","Rischio Alto")))</f>
        <v>OK</v>
      </c>
      <c r="V312" s="26" t="n">
        <f aca="false">IFERROR(COUNTIFS($B$2:$B$492,$B312,$O$2:$O$492,"&gt;"&amp;$O312)+1,"")</f>
        <v>99</v>
      </c>
      <c r="W312" s="21" t="n">
        <f aca="false">'Info Lega'!$B$4-SUMIFS($M$2:$M$492,$D$2:$D$492,'Info Lega'!$B$28)</f>
        <v>1000</v>
      </c>
      <c r="X312" s="21" t="n">
        <f aca="false">('Info Lega'!$B$5-COUNTIFS($D$2:$D$492,'Info Lega'!$B$28,$B$2:$B$492,"P"))+('Info Lega'!$B$6-COUNTIFS($D$2:$D$492,'Info Lega'!$B$28,$B$2:$B$492,"D"))+('Info Lega'!$B$7-COUNTIFS($D$2:$D$492,'Info Lega'!$B$28,$B$2:$B$492,"C"))+('Info Lega'!$B$8-COUNTIFS($D$2:$D$492,'Info Lega'!$B$28,$B$2:$B$492,"A"))</f>
        <v>25</v>
      </c>
      <c r="Y312" s="21" t="n">
        <f aca="false">X312*'Parametri Modello'!$B$30</f>
        <v>25</v>
      </c>
      <c r="Z312" s="21" t="n">
        <f aca="false">MAX(0,W312-Y312)</f>
        <v>975</v>
      </c>
      <c r="AA312" s="21" t="n">
        <f aca="false">MIN(F312,Z312)</f>
        <v>2</v>
      </c>
      <c r="AB312" s="21"/>
      <c r="AC312" s="21" t="str">
        <f aca="false">IF(AB312="","",IF(AB312&gt;AA312,"PASS",IF(AB312&lt;=AA312*0.85,"BID","ATTENZIONE")))</f>
        <v/>
      </c>
      <c r="AD312" s="31" t="n">
        <f aca="false">IF(I312="","",ROUND(100*(1-EXP(-I312/30)),0))</f>
        <v>57</v>
      </c>
      <c r="AE312" s="7" t="str">
        <f aca="false">IFERROR(INDEX('Stato Asta'!$G$9:$G$12,MATCH($B312,'Stato Asta'!$A$9:$A$12,0)),"")</f>
        <v>🟡 Attesa rischiosa</v>
      </c>
    </row>
    <row r="313" customFormat="false" ht="14.25" hidden="false" customHeight="true" outlineLevel="0" collapsed="false">
      <c r="A313" s="21" t="n">
        <v>5527</v>
      </c>
      <c r="B313" s="21" t="s">
        <v>44</v>
      </c>
      <c r="C313" s="21" t="s">
        <v>298</v>
      </c>
      <c r="E313" s="26" t="str">
        <f aca="false">IF(COUNTIF('Info Strategia'!$D$2:$D$51,$C313)&gt;0,"SI","NO")</f>
        <v>NO</v>
      </c>
      <c r="F313" s="27" t="n">
        <f aca="false">IFERROR(ROUND(($G313+($H313-$G313)*'Info Strategia'!$B$6)*(1+IF($E313="SI",'Parametri Modello'!$B$7*'Info Strategia'!$B$6,0)),0),"")</f>
        <v>2</v>
      </c>
      <c r="G313" s="27" t="n">
        <f aca="false">IFERROR(ROUND(MAX(1,(IF($V313&lt;=INDEX('Parametri Modello'!$C$57:$C$60,MATCH($B313,'Parametri Modello'!$A$57:$A$60,0)),IF(INDEX('Parametri Modello'!$E$57:$E$60,MATCH($B313,'Parametri Modello'!$A$57:$A$60,0))=0,0,($O313/INDEX('Parametri Modello'!$E$57:$E$60,MATCH($B313,'Parametri Modello'!$A$57:$A$60,0)))*(INDEX('Parametri Modello'!$D$57:$D$60,MATCH($B313,'Parametri Modello'!$A$57:$A$60,0))*(INDEX('Parametri Modello'!$B$50:$B$53,MATCH($B313,'Parametri Modello'!$A$50:$A$53,0))*'Parametri Modello'!$B$44))),IF(INDEX('Parametri Modello'!$F$57:$F$60,MATCH($B313,'Parametri Modello'!$A$57:$A$60,0))=0,0,($O313/INDEX('Parametri Modello'!$F$57:$F$60,MATCH($B313,'Parametri Modello'!$A$57:$A$60,0)))*((1-INDEX('Parametri Modello'!$D$57:$D$60,MATCH($B313,'Parametri Modello'!$A$57:$A$60,0)))*(INDEX('Parametri Modello'!$B$50:$B$53,MATCH($B313,'Parametri Modello'!$A$50:$A$53,0))*'Parametri Modello'!$B$44))))*(1+IF(IF($B313="D",'Info Lega'!$B$25,IF($B313="C",'Info Lega'!$B$26,"No"))="Si",'Parametri Modello'!$B$5,0))*(1+MAX(-0.25,MIN(0.25,IF(OR($T313="",$I313="",$I313=0,INDEX('Parametri Modello'!$B$19:$B$22,MATCH($B313,'Parametri Modello'!$A$19:$A$22,0))="",INDEX('Parametri Modello'!$B$19:$B$22,MATCH($B313,'Parametri Modello'!$A$19:$A$22,0))=0),0,(($T313-INDEX('Parametri Modello'!$B$19:$B$22,MATCH($B313,'Parametri Modello'!$A$19:$A$22,0)))/INDEX('Parametri Modello'!$B$19:$B$22,MATCH($B313,'Parametri Modello'!$A$19:$A$22,0)))*'Parametri Modello'!$B$9))))*(1+IF('Parametri Modello'!$B$27="Si",MAX(-'Parametri Modello'!$B$28,MIN('Parametri Modello'!$B$28*1.5,IF(OR(INDEX('Parametri Modello'!$F$32:$F$35,MATCH($B313,'Parametri Modello'!$A$32:$A$35,0))="",INDEX('Parametri Modello'!$F$32:$F$35,MATCH($B313,'Parametri Modello'!$A$32:$A$35,0))=0),0,(1/INDEX('Parametri Modello'!$F$32:$F$35,MATCH($B313,'Parametri Modello'!$A$32:$A$35,0))-1)*'Parametri Modello'!$B$28))),0)))*(1-INDEX('Parametri Modello'!$B$12:$B$15,MATCH($B313,'Parametri Modello'!$A$12:$A$15,0)))),0),"")</f>
        <v>1</v>
      </c>
      <c r="H313" s="27" t="n">
        <f aca="false">IFERROR(ROUND((IF($V313&lt;=INDEX('Parametri Modello'!$C$57:$C$60,MATCH($B313,'Parametri Modello'!$A$57:$A$60,0)),IF(INDEX('Parametri Modello'!$E$57:$E$60,MATCH($B313,'Parametri Modello'!$A$57:$A$60,0))=0,0,($O313/INDEX('Parametri Modello'!$E$57:$E$60,MATCH($B313,'Parametri Modello'!$A$57:$A$60,0)))*(INDEX('Parametri Modello'!$D$57:$D$60,MATCH($B313,'Parametri Modello'!$A$57:$A$60,0))*(INDEX('Parametri Modello'!$B$50:$B$53,MATCH($B313,'Parametri Modello'!$A$50:$A$53,0))*'Parametri Modello'!$B$44))),IF(INDEX('Parametri Modello'!$F$57:$F$60,MATCH($B313,'Parametri Modello'!$A$57:$A$60,0))=0,0,($O313/INDEX('Parametri Modello'!$F$57:$F$60,MATCH($B313,'Parametri Modello'!$A$57:$A$60,0)))*((1-INDEX('Parametri Modello'!$D$57:$D$60,MATCH($B313,'Parametri Modello'!$A$57:$A$60,0)))*(INDEX('Parametri Modello'!$B$50:$B$53,MATCH($B313,'Parametri Modello'!$A$50:$A$53,0))*'Parametri Modello'!$B$44))))*(1+IF(IF($B313="D",'Info Lega'!$B$25,IF($B313="C",'Info Lega'!$B$26,"No"))="Si",'Parametri Modello'!$B$5,0))*(1+MAX(-0.25,MIN(0.25,IF(OR($T313="",$I313="",$I313=0,INDEX('Parametri Modello'!$B$19:$B$22,MATCH($B313,'Parametri Modello'!$A$19:$A$22,0))="",INDEX('Parametri Modello'!$B$19:$B$22,MATCH($B313,'Parametri Modello'!$A$19:$A$22,0))=0),0,(($T313-INDEX('Parametri Modello'!$B$19:$B$22,MATCH($B313,'Parametri Modello'!$A$19:$A$22,0)))/INDEX('Parametri Modello'!$B$19:$B$22,MATCH($B313,'Parametri Modello'!$A$19:$A$22,0)))*'Parametri Modello'!$B$9))))*(1+IF('Parametri Modello'!$B$27="Si",MAX(-'Parametri Modello'!$B$28,MIN('Parametri Modello'!$B$28*1.5,IF(OR(INDEX('Parametri Modello'!$F$32:$F$35,MATCH($B313,'Parametri Modello'!$A$32:$A$35,0))="",INDEX('Parametri Modello'!$F$32:$F$35,MATCH($B313,'Parametri Modello'!$A$32:$A$35,0))=0),0,(1/INDEX('Parametri Modello'!$F$32:$F$35,MATCH($B313,'Parametri Modello'!$A$32:$A$35,0))-1)*'Parametri Modello'!$B$28))),0)))*(1+INDEX('Parametri Modello'!$B$12:$B$15,MATCH($B313,'Parametri Modello'!$A$12:$A$15,0))),0),"")</f>
        <v>2</v>
      </c>
      <c r="I313" s="26" t="n">
        <f aca="false">IFERROR(INDEX('Input Statistiche 2025_26'!$F$3:$F$665,MATCH($A313,'Input Statistiche 2025_26'!$A$3:$A$665,0)),"")</f>
        <v>19</v>
      </c>
      <c r="J313" s="26" t="n">
        <f aca="false">IFERROR(IF($I313="","",MAX(0,38-$I313)),"")</f>
        <v>19</v>
      </c>
      <c r="K313" s="26" t="n">
        <f aca="false">IFERROR(INDEX('Input Statistiche 2025_26'!$I$3:$I$665,MATCH($A313,'Input Statistiche 2025_26'!$A$3:$A$665,0)),"")</f>
        <v>1</v>
      </c>
      <c r="L313" s="26" t="n">
        <f aca="false">IFERROR(INDEX('Input Statistiche 2025_26'!$O$3:$O$665,MATCH($A313,'Input Statistiche 2025_26'!$A$3:$A$665,0)),"")</f>
        <v>2</v>
      </c>
      <c r="M313" s="28"/>
      <c r="N313" s="27" t="n">
        <f aca="false">IFERROR(INDEX('Input Giocatori 2026_27'!$E$3:$E$493,MATCH($A313,'Input Giocatori 2026_27'!$A$3:$A$493,0)),"")</f>
        <v>4</v>
      </c>
      <c r="O313" s="27" t="n">
        <f aca="false">IFERROR(INDEX('Input Giocatori 2026_27'!$G$3:$G$493,MATCH($A313,'Input Giocatori 2026_27'!$A$3:$A$493,0)),"")</f>
        <v>10</v>
      </c>
      <c r="P313" s="26" t="str">
        <f aca="false">IFERROR(IF($O313="","",IF((1-(COUNTIFS($B$2:$B$492,$B313,$O$2:$O$492,"&gt;"&amp;$O313)+1-1)/COUNTIF($B$2:$B$492,$B313))&gt;=0.85,"Top",IF((1-(COUNTIFS($B$2:$B$492,$B313,$O$2:$O$492,"&gt;"&amp;$O313)+1-1)/COUNTIF($B$2:$B$492,$B313))&gt;=0.6,"Buono",IF((1-(COUNTIFS($B$2:$B$492,$B313,$O$2:$O$492,"&gt;"&amp;$O313)+1-1)/COUNTIF($B$2:$B$492,$B313))&gt;=0.3,"Nella Media","Scommessa/Riserva")))),"")</f>
        <v>Nella Media</v>
      </c>
      <c r="Q313" s="29" t="n">
        <f aca="false">IF($D313="",COUNTIF($D$2:$D313,""),"")</f>
        <v>312</v>
      </c>
      <c r="R313" s="29" t="str">
        <f aca="false">IF($D313='Info Lega'!$B$28,COUNTIFS($D$2:$D313,'Info Lega'!$B$28),"")</f>
        <v/>
      </c>
      <c r="S313" s="30" t="n">
        <f aca="false">IFERROR(INDEX('Input Statistiche 2025_26'!$G$3:$G$665,MATCH($A313,'Input Statistiche 2025_26'!$A$3:$A$665,0)),"")</f>
        <v>6.05</v>
      </c>
      <c r="T313" s="30" t="n">
        <f aca="false">IFERROR(INDEX('Input Statistiche 2025_26'!$H$3:$H$665,MATCH($A313,'Input Statistiche 2025_26'!$A$3:$A$665,0)),"")</f>
        <v>6.29</v>
      </c>
      <c r="U313" s="26" t="str">
        <f aca="false">IF(OR('La Mia Rosa'!$O$12="",$D313&lt;&gt;""),"",IF($F313&lt;='La Mia Rosa'!$O$12*'Parametri Modello'!$B$24,"OK",IF($F313&lt;='La Mia Rosa'!$O$12*'Parametri Modello'!$B$25,"Attenzione","Rischio Alto")))</f>
        <v>OK</v>
      </c>
      <c r="V313" s="26" t="n">
        <f aca="false">IFERROR(COUNTIFS($B$2:$B$492,$B313,$O$2:$O$492,"&gt;"&amp;$O313)+1,"")</f>
        <v>99</v>
      </c>
      <c r="W313" s="21" t="n">
        <f aca="false">'Info Lega'!$B$4-SUMIFS($M$2:$M$492,$D$2:$D$492,'Info Lega'!$B$28)</f>
        <v>1000</v>
      </c>
      <c r="X313" s="21" t="n">
        <f aca="false">('Info Lega'!$B$5-COUNTIFS($D$2:$D$492,'Info Lega'!$B$28,$B$2:$B$492,"P"))+('Info Lega'!$B$6-COUNTIFS($D$2:$D$492,'Info Lega'!$B$28,$B$2:$B$492,"D"))+('Info Lega'!$B$7-COUNTIFS($D$2:$D$492,'Info Lega'!$B$28,$B$2:$B$492,"C"))+('Info Lega'!$B$8-COUNTIFS($D$2:$D$492,'Info Lega'!$B$28,$B$2:$B$492,"A"))</f>
        <v>25</v>
      </c>
      <c r="Y313" s="21" t="n">
        <f aca="false">X313*'Parametri Modello'!$B$30</f>
        <v>25</v>
      </c>
      <c r="Z313" s="21" t="n">
        <f aca="false">MAX(0,W313-Y313)</f>
        <v>975</v>
      </c>
      <c r="AA313" s="21" t="n">
        <f aca="false">MIN(F313,Z313)</f>
        <v>2</v>
      </c>
      <c r="AB313" s="21"/>
      <c r="AC313" s="21" t="str">
        <f aca="false">IF(AB313="","",IF(AB313&gt;AA313,"PASS",IF(AB313&lt;=AA313*0.85,"BID","ATTENZIONE")))</f>
        <v/>
      </c>
      <c r="AD313" s="31" t="n">
        <f aca="false">IF(I313="","",ROUND(100*(1-EXP(-I313/30)),0))</f>
        <v>47</v>
      </c>
      <c r="AE313" s="7" t="str">
        <f aca="false">IFERROR(INDEX('Stato Asta'!$G$9:$G$12,MATCH($B313,'Stato Asta'!$A$9:$A$12,0)),"")</f>
        <v>🟡 Attesa rischiosa</v>
      </c>
    </row>
    <row r="314" customFormat="false" ht="14.25" hidden="false" customHeight="true" outlineLevel="0" collapsed="false">
      <c r="A314" s="21" t="n">
        <v>7538</v>
      </c>
      <c r="B314" s="21" t="s">
        <v>44</v>
      </c>
      <c r="C314" s="21" t="s">
        <v>300</v>
      </c>
      <c r="E314" s="26" t="str">
        <f aca="false">IF(COUNTIF('Info Strategia'!$D$2:$D$51,$C314)&gt;0,"SI","NO")</f>
        <v>NO</v>
      </c>
      <c r="F314" s="27" t="n">
        <f aca="false">IFERROR(ROUND(($G314+($H314-$G314)*'Info Strategia'!$B$6)*(1+IF($E314="SI",'Parametri Modello'!$B$7*'Info Strategia'!$B$6,0)),0),"")</f>
        <v>2</v>
      </c>
      <c r="G314" s="27" t="n">
        <f aca="false">IFERROR(ROUND(MAX(1,(IF($V314&lt;=INDEX('Parametri Modello'!$C$57:$C$60,MATCH($B314,'Parametri Modello'!$A$57:$A$60,0)),IF(INDEX('Parametri Modello'!$E$57:$E$60,MATCH($B314,'Parametri Modello'!$A$57:$A$60,0))=0,0,($O314/INDEX('Parametri Modello'!$E$57:$E$60,MATCH($B314,'Parametri Modello'!$A$57:$A$60,0)))*(INDEX('Parametri Modello'!$D$57:$D$60,MATCH($B314,'Parametri Modello'!$A$57:$A$60,0))*(INDEX('Parametri Modello'!$B$50:$B$53,MATCH($B314,'Parametri Modello'!$A$50:$A$53,0))*'Parametri Modello'!$B$44))),IF(INDEX('Parametri Modello'!$F$57:$F$60,MATCH($B314,'Parametri Modello'!$A$57:$A$60,0))=0,0,($O314/INDEX('Parametri Modello'!$F$57:$F$60,MATCH($B314,'Parametri Modello'!$A$57:$A$60,0)))*((1-INDEX('Parametri Modello'!$D$57:$D$60,MATCH($B314,'Parametri Modello'!$A$57:$A$60,0)))*(INDEX('Parametri Modello'!$B$50:$B$53,MATCH($B314,'Parametri Modello'!$A$50:$A$53,0))*'Parametri Modello'!$B$44))))*(1+IF(IF($B314="D",'Info Lega'!$B$25,IF($B314="C",'Info Lega'!$B$26,"No"))="Si",'Parametri Modello'!$B$5,0))*(1+MAX(-0.25,MIN(0.25,IF(OR($T314="",$I314="",$I314=0,INDEX('Parametri Modello'!$B$19:$B$22,MATCH($B314,'Parametri Modello'!$A$19:$A$22,0))="",INDEX('Parametri Modello'!$B$19:$B$22,MATCH($B314,'Parametri Modello'!$A$19:$A$22,0))=0),0,(($T314-INDEX('Parametri Modello'!$B$19:$B$22,MATCH($B314,'Parametri Modello'!$A$19:$A$22,0)))/INDEX('Parametri Modello'!$B$19:$B$22,MATCH($B314,'Parametri Modello'!$A$19:$A$22,0)))*'Parametri Modello'!$B$9))))*(1+IF('Parametri Modello'!$B$27="Si",MAX(-'Parametri Modello'!$B$28,MIN('Parametri Modello'!$B$28*1.5,IF(OR(INDEX('Parametri Modello'!$F$32:$F$35,MATCH($B314,'Parametri Modello'!$A$32:$A$35,0))="",INDEX('Parametri Modello'!$F$32:$F$35,MATCH($B314,'Parametri Modello'!$A$32:$A$35,0))=0),0,(1/INDEX('Parametri Modello'!$F$32:$F$35,MATCH($B314,'Parametri Modello'!$A$32:$A$35,0))-1)*'Parametri Modello'!$B$28))),0)))*(1-INDEX('Parametri Modello'!$B$12:$B$15,MATCH($B314,'Parametri Modello'!$A$12:$A$15,0)))),0),"")</f>
        <v>1</v>
      </c>
      <c r="H314" s="27" t="n">
        <f aca="false">IFERROR(ROUND((IF($V314&lt;=INDEX('Parametri Modello'!$C$57:$C$60,MATCH($B314,'Parametri Modello'!$A$57:$A$60,0)),IF(INDEX('Parametri Modello'!$E$57:$E$60,MATCH($B314,'Parametri Modello'!$A$57:$A$60,0))=0,0,($O314/INDEX('Parametri Modello'!$E$57:$E$60,MATCH($B314,'Parametri Modello'!$A$57:$A$60,0)))*(INDEX('Parametri Modello'!$D$57:$D$60,MATCH($B314,'Parametri Modello'!$A$57:$A$60,0))*(INDEX('Parametri Modello'!$B$50:$B$53,MATCH($B314,'Parametri Modello'!$A$50:$A$53,0))*'Parametri Modello'!$B$44))),IF(INDEX('Parametri Modello'!$F$57:$F$60,MATCH($B314,'Parametri Modello'!$A$57:$A$60,0))=0,0,($O314/INDEX('Parametri Modello'!$F$57:$F$60,MATCH($B314,'Parametri Modello'!$A$57:$A$60,0)))*((1-INDEX('Parametri Modello'!$D$57:$D$60,MATCH($B314,'Parametri Modello'!$A$57:$A$60,0)))*(INDEX('Parametri Modello'!$B$50:$B$53,MATCH($B314,'Parametri Modello'!$A$50:$A$53,0))*'Parametri Modello'!$B$44))))*(1+IF(IF($B314="D",'Info Lega'!$B$25,IF($B314="C",'Info Lega'!$B$26,"No"))="Si",'Parametri Modello'!$B$5,0))*(1+MAX(-0.25,MIN(0.25,IF(OR($T314="",$I314="",$I314=0,INDEX('Parametri Modello'!$B$19:$B$22,MATCH($B314,'Parametri Modello'!$A$19:$A$22,0))="",INDEX('Parametri Modello'!$B$19:$B$22,MATCH($B314,'Parametri Modello'!$A$19:$A$22,0))=0),0,(($T314-INDEX('Parametri Modello'!$B$19:$B$22,MATCH($B314,'Parametri Modello'!$A$19:$A$22,0)))/INDEX('Parametri Modello'!$B$19:$B$22,MATCH($B314,'Parametri Modello'!$A$19:$A$22,0)))*'Parametri Modello'!$B$9))))*(1+IF('Parametri Modello'!$B$27="Si",MAX(-'Parametri Modello'!$B$28,MIN('Parametri Modello'!$B$28*1.5,IF(OR(INDEX('Parametri Modello'!$F$32:$F$35,MATCH($B314,'Parametri Modello'!$A$32:$A$35,0))="",INDEX('Parametri Modello'!$F$32:$F$35,MATCH($B314,'Parametri Modello'!$A$32:$A$35,0))=0),0,(1/INDEX('Parametri Modello'!$F$32:$F$35,MATCH($B314,'Parametri Modello'!$A$32:$A$35,0))-1)*'Parametri Modello'!$B$28))),0)))*(1+INDEX('Parametri Modello'!$B$12:$B$15,MATCH($B314,'Parametri Modello'!$A$12:$A$15,0))),0),"")</f>
        <v>2</v>
      </c>
      <c r="I314" s="26" t="str">
        <f aca="false">IFERROR(INDEX('Input Statistiche 2025_26'!$F$3:$F$665,MATCH($A314,'Input Statistiche 2025_26'!$A$3:$A$665,0)),"")</f>
        <v/>
      </c>
      <c r="J314" s="26" t="str">
        <f aca="false">IFERROR(IF($I314="","",MAX(0,38-$I314)),"")</f>
        <v/>
      </c>
      <c r="K314" s="26" t="str">
        <f aca="false">IFERROR(INDEX('Input Statistiche 2025_26'!$I$3:$I$665,MATCH($A314,'Input Statistiche 2025_26'!$A$3:$A$665,0)),"")</f>
        <v/>
      </c>
      <c r="L314" s="26" t="str">
        <f aca="false">IFERROR(INDEX('Input Statistiche 2025_26'!$O$3:$O$665,MATCH($A314,'Input Statistiche 2025_26'!$A$3:$A$665,0)),"")</f>
        <v/>
      </c>
      <c r="M314" s="28"/>
      <c r="N314" s="27" t="n">
        <f aca="false">IFERROR(INDEX('Input Giocatori 2026_27'!$E$3:$E$493,MATCH($A314,'Input Giocatori 2026_27'!$A$3:$A$493,0)),"")</f>
        <v>4</v>
      </c>
      <c r="O314" s="27" t="n">
        <f aca="false">IFERROR(INDEX('Input Giocatori 2026_27'!$G$3:$G$493,MATCH($A314,'Input Giocatori 2026_27'!$A$3:$A$493,0)),"")</f>
        <v>10</v>
      </c>
      <c r="P314" s="26" t="str">
        <f aca="false">IFERROR(IF($O314="","",IF((1-(COUNTIFS($B$2:$B$492,$B314,$O$2:$O$492,"&gt;"&amp;$O314)+1-1)/COUNTIF($B$2:$B$492,$B314))&gt;=0.85,"Top",IF((1-(COUNTIFS($B$2:$B$492,$B314,$O$2:$O$492,"&gt;"&amp;$O314)+1-1)/COUNTIF($B$2:$B$492,$B314))&gt;=0.6,"Buono",IF((1-(COUNTIFS($B$2:$B$492,$B314,$O$2:$O$492,"&gt;"&amp;$O314)+1-1)/COUNTIF($B$2:$B$492,$B314))&gt;=0.3,"Nella Media","Scommessa/Riserva")))),"")</f>
        <v>Nella Media</v>
      </c>
      <c r="Q314" s="29" t="n">
        <f aca="false">IF($D314="",COUNTIF($D$2:$D314,""),"")</f>
        <v>313</v>
      </c>
      <c r="R314" s="29" t="str">
        <f aca="false">IF($D314='Info Lega'!$B$28,COUNTIFS($D$2:$D314,'Info Lega'!$B$28),"")</f>
        <v/>
      </c>
      <c r="S314" s="30" t="str">
        <f aca="false">IFERROR(INDEX('Input Statistiche 2025_26'!$G$3:$G$665,MATCH($A314,'Input Statistiche 2025_26'!$A$3:$A$665,0)),"")</f>
        <v/>
      </c>
      <c r="T314" s="30" t="str">
        <f aca="false">IFERROR(INDEX('Input Statistiche 2025_26'!$H$3:$H$665,MATCH($A314,'Input Statistiche 2025_26'!$A$3:$A$665,0)),"")</f>
        <v/>
      </c>
      <c r="U314" s="26" t="str">
        <f aca="false">IF(OR('La Mia Rosa'!$O$12="",$D314&lt;&gt;""),"",IF($F314&lt;='La Mia Rosa'!$O$12*'Parametri Modello'!$B$24,"OK",IF($F314&lt;='La Mia Rosa'!$O$12*'Parametri Modello'!$B$25,"Attenzione","Rischio Alto")))</f>
        <v>OK</v>
      </c>
      <c r="V314" s="26" t="n">
        <f aca="false">IFERROR(COUNTIFS($B$2:$B$492,$B314,$O$2:$O$492,"&gt;"&amp;$O314)+1,"")</f>
        <v>99</v>
      </c>
      <c r="W314" s="21" t="n">
        <f aca="false">'Info Lega'!$B$4-SUMIFS($M$2:$M$492,$D$2:$D$492,'Info Lega'!$B$28)</f>
        <v>1000</v>
      </c>
      <c r="X314" s="21" t="n">
        <f aca="false">('Info Lega'!$B$5-COUNTIFS($D$2:$D$492,'Info Lega'!$B$28,$B$2:$B$492,"P"))+('Info Lega'!$B$6-COUNTIFS($D$2:$D$492,'Info Lega'!$B$28,$B$2:$B$492,"D"))+('Info Lega'!$B$7-COUNTIFS($D$2:$D$492,'Info Lega'!$B$28,$B$2:$B$492,"C"))+('Info Lega'!$B$8-COUNTIFS($D$2:$D$492,'Info Lega'!$B$28,$B$2:$B$492,"A"))</f>
        <v>25</v>
      </c>
      <c r="Y314" s="21" t="n">
        <f aca="false">X314*'Parametri Modello'!$B$30</f>
        <v>25</v>
      </c>
      <c r="Z314" s="21" t="n">
        <f aca="false">MAX(0,W314-Y314)</f>
        <v>975</v>
      </c>
      <c r="AA314" s="21" t="n">
        <f aca="false">MIN(F314,Z314)</f>
        <v>2</v>
      </c>
      <c r="AB314" s="21"/>
      <c r="AC314" s="21" t="str">
        <f aca="false">IF(AB314="","",IF(AB314&gt;AA314,"PASS",IF(AB314&lt;=AA314*0.85,"BID","ATTENZIONE")))</f>
        <v/>
      </c>
      <c r="AD314" s="31" t="str">
        <f aca="false">IF(I314="","",ROUND(100*(1-EXP(-I314/30)),0))</f>
        <v/>
      </c>
      <c r="AE314" s="7" t="str">
        <f aca="false">IFERROR(INDEX('Stato Asta'!$G$9:$G$12,MATCH($B314,'Stato Asta'!$A$9:$A$12,0)),"")</f>
        <v>🟡 Attesa rischiosa</v>
      </c>
    </row>
    <row r="315" customFormat="false" ht="14.25" hidden="false" customHeight="true" outlineLevel="0" collapsed="false">
      <c r="A315" s="21" t="n">
        <v>7268</v>
      </c>
      <c r="B315" s="21" t="s">
        <v>44</v>
      </c>
      <c r="C315" s="21" t="s">
        <v>304</v>
      </c>
      <c r="E315" s="26" t="str">
        <f aca="false">IF(COUNTIF('Info Strategia'!$D$2:$D$51,$C315)&gt;0,"SI","NO")</f>
        <v>NO</v>
      </c>
      <c r="F315" s="27" t="n">
        <f aca="false">IFERROR(ROUND(($G315+($H315-$G315)*'Info Strategia'!$B$6)*(1+IF($E315="SI",'Parametri Modello'!$B$7*'Info Strategia'!$B$6,0)),0),"")</f>
        <v>2</v>
      </c>
      <c r="G315" s="27" t="n">
        <f aca="false">IFERROR(ROUND(MAX(1,(IF($V315&lt;=INDEX('Parametri Modello'!$C$57:$C$60,MATCH($B315,'Parametri Modello'!$A$57:$A$60,0)),IF(INDEX('Parametri Modello'!$E$57:$E$60,MATCH($B315,'Parametri Modello'!$A$57:$A$60,0))=0,0,($O315/INDEX('Parametri Modello'!$E$57:$E$60,MATCH($B315,'Parametri Modello'!$A$57:$A$60,0)))*(INDEX('Parametri Modello'!$D$57:$D$60,MATCH($B315,'Parametri Modello'!$A$57:$A$60,0))*(INDEX('Parametri Modello'!$B$50:$B$53,MATCH($B315,'Parametri Modello'!$A$50:$A$53,0))*'Parametri Modello'!$B$44))),IF(INDEX('Parametri Modello'!$F$57:$F$60,MATCH($B315,'Parametri Modello'!$A$57:$A$60,0))=0,0,($O315/INDEX('Parametri Modello'!$F$57:$F$60,MATCH($B315,'Parametri Modello'!$A$57:$A$60,0)))*((1-INDEX('Parametri Modello'!$D$57:$D$60,MATCH($B315,'Parametri Modello'!$A$57:$A$60,0)))*(INDEX('Parametri Modello'!$B$50:$B$53,MATCH($B315,'Parametri Modello'!$A$50:$A$53,0))*'Parametri Modello'!$B$44))))*(1+IF(IF($B315="D",'Info Lega'!$B$25,IF($B315="C",'Info Lega'!$B$26,"No"))="Si",'Parametri Modello'!$B$5,0))*(1+MAX(-0.25,MIN(0.25,IF(OR($T315="",$I315="",$I315=0,INDEX('Parametri Modello'!$B$19:$B$22,MATCH($B315,'Parametri Modello'!$A$19:$A$22,0))="",INDEX('Parametri Modello'!$B$19:$B$22,MATCH($B315,'Parametri Modello'!$A$19:$A$22,0))=0),0,(($T315-INDEX('Parametri Modello'!$B$19:$B$22,MATCH($B315,'Parametri Modello'!$A$19:$A$22,0)))/INDEX('Parametri Modello'!$B$19:$B$22,MATCH($B315,'Parametri Modello'!$A$19:$A$22,0)))*'Parametri Modello'!$B$9))))*(1+IF('Parametri Modello'!$B$27="Si",MAX(-'Parametri Modello'!$B$28,MIN('Parametri Modello'!$B$28*1.5,IF(OR(INDEX('Parametri Modello'!$F$32:$F$35,MATCH($B315,'Parametri Modello'!$A$32:$A$35,0))="",INDEX('Parametri Modello'!$F$32:$F$35,MATCH($B315,'Parametri Modello'!$A$32:$A$35,0))=0),0,(1/INDEX('Parametri Modello'!$F$32:$F$35,MATCH($B315,'Parametri Modello'!$A$32:$A$35,0))-1)*'Parametri Modello'!$B$28))),0)))*(1-INDEX('Parametri Modello'!$B$12:$B$15,MATCH($B315,'Parametri Modello'!$A$12:$A$15,0)))),0),"")</f>
        <v>1</v>
      </c>
      <c r="H315" s="27" t="n">
        <f aca="false">IFERROR(ROUND((IF($V315&lt;=INDEX('Parametri Modello'!$C$57:$C$60,MATCH($B315,'Parametri Modello'!$A$57:$A$60,0)),IF(INDEX('Parametri Modello'!$E$57:$E$60,MATCH($B315,'Parametri Modello'!$A$57:$A$60,0))=0,0,($O315/INDEX('Parametri Modello'!$E$57:$E$60,MATCH($B315,'Parametri Modello'!$A$57:$A$60,0)))*(INDEX('Parametri Modello'!$D$57:$D$60,MATCH($B315,'Parametri Modello'!$A$57:$A$60,0))*(INDEX('Parametri Modello'!$B$50:$B$53,MATCH($B315,'Parametri Modello'!$A$50:$A$53,0))*'Parametri Modello'!$B$44))),IF(INDEX('Parametri Modello'!$F$57:$F$60,MATCH($B315,'Parametri Modello'!$A$57:$A$60,0))=0,0,($O315/INDEX('Parametri Modello'!$F$57:$F$60,MATCH($B315,'Parametri Modello'!$A$57:$A$60,0)))*((1-INDEX('Parametri Modello'!$D$57:$D$60,MATCH($B315,'Parametri Modello'!$A$57:$A$60,0)))*(INDEX('Parametri Modello'!$B$50:$B$53,MATCH($B315,'Parametri Modello'!$A$50:$A$53,0))*'Parametri Modello'!$B$44))))*(1+IF(IF($B315="D",'Info Lega'!$B$25,IF($B315="C",'Info Lega'!$B$26,"No"))="Si",'Parametri Modello'!$B$5,0))*(1+MAX(-0.25,MIN(0.25,IF(OR($T315="",$I315="",$I315=0,INDEX('Parametri Modello'!$B$19:$B$22,MATCH($B315,'Parametri Modello'!$A$19:$A$22,0))="",INDEX('Parametri Modello'!$B$19:$B$22,MATCH($B315,'Parametri Modello'!$A$19:$A$22,0))=0),0,(($T315-INDEX('Parametri Modello'!$B$19:$B$22,MATCH($B315,'Parametri Modello'!$A$19:$A$22,0)))/INDEX('Parametri Modello'!$B$19:$B$22,MATCH($B315,'Parametri Modello'!$A$19:$A$22,0)))*'Parametri Modello'!$B$9))))*(1+IF('Parametri Modello'!$B$27="Si",MAX(-'Parametri Modello'!$B$28,MIN('Parametri Modello'!$B$28*1.5,IF(OR(INDEX('Parametri Modello'!$F$32:$F$35,MATCH($B315,'Parametri Modello'!$A$32:$A$35,0))="",INDEX('Parametri Modello'!$F$32:$F$35,MATCH($B315,'Parametri Modello'!$A$32:$A$35,0))=0),0,(1/INDEX('Parametri Modello'!$F$32:$F$35,MATCH($B315,'Parametri Modello'!$A$32:$A$35,0))-1)*'Parametri Modello'!$B$28))),0)))*(1+INDEX('Parametri Modello'!$B$12:$B$15,MATCH($B315,'Parametri Modello'!$A$12:$A$15,0))),0),"")</f>
        <v>2</v>
      </c>
      <c r="I315" s="26" t="n">
        <f aca="false">IFERROR(INDEX('Input Statistiche 2025_26'!$F$3:$F$665,MATCH($A315,'Input Statistiche 2025_26'!$A$3:$A$665,0)),"")</f>
        <v>16</v>
      </c>
      <c r="J315" s="26" t="n">
        <f aca="false">IFERROR(IF($I315="","",MAX(0,38-$I315)),"")</f>
        <v>22</v>
      </c>
      <c r="K315" s="26" t="n">
        <f aca="false">IFERROR(INDEX('Input Statistiche 2025_26'!$I$3:$I$665,MATCH($A315,'Input Statistiche 2025_26'!$A$3:$A$665,0)),"")</f>
        <v>1</v>
      </c>
      <c r="L315" s="26" t="n">
        <f aca="false">IFERROR(INDEX('Input Statistiche 2025_26'!$O$3:$O$665,MATCH($A315,'Input Statistiche 2025_26'!$A$3:$A$665,0)),"")</f>
        <v>0</v>
      </c>
      <c r="M315" s="28"/>
      <c r="N315" s="27" t="n">
        <f aca="false">IFERROR(INDEX('Input Giocatori 2026_27'!$E$3:$E$493,MATCH($A315,'Input Giocatori 2026_27'!$A$3:$A$493,0)),"")</f>
        <v>3</v>
      </c>
      <c r="O315" s="27" t="n">
        <f aca="false">IFERROR(INDEX('Input Giocatori 2026_27'!$G$3:$G$493,MATCH($A315,'Input Giocatori 2026_27'!$A$3:$A$493,0)),"")</f>
        <v>10</v>
      </c>
      <c r="P315" s="26" t="str">
        <f aca="false">IFERROR(IF($O315="","",IF((1-(COUNTIFS($B$2:$B$492,$B315,$O$2:$O$492,"&gt;"&amp;$O315)+1-1)/COUNTIF($B$2:$B$492,$B315))&gt;=0.85,"Top",IF((1-(COUNTIFS($B$2:$B$492,$B315,$O$2:$O$492,"&gt;"&amp;$O315)+1-1)/COUNTIF($B$2:$B$492,$B315))&gt;=0.6,"Buono",IF((1-(COUNTIFS($B$2:$B$492,$B315,$O$2:$O$492,"&gt;"&amp;$O315)+1-1)/COUNTIF($B$2:$B$492,$B315))&gt;=0.3,"Nella Media","Scommessa/Riserva")))),"")</f>
        <v>Nella Media</v>
      </c>
      <c r="Q315" s="29" t="n">
        <f aca="false">IF($D315="",COUNTIF($D$2:$D315,""),"")</f>
        <v>314</v>
      </c>
      <c r="R315" s="29" t="str">
        <f aca="false">IF($D315='Info Lega'!$B$28,COUNTIFS($D$2:$D315,'Info Lega'!$B$28),"")</f>
        <v/>
      </c>
      <c r="S315" s="30" t="n">
        <f aca="false">IFERROR(INDEX('Input Statistiche 2025_26'!$G$3:$G$665,MATCH($A315,'Input Statistiche 2025_26'!$A$3:$A$665,0)),"")</f>
        <v>5.62</v>
      </c>
      <c r="T315" s="30" t="n">
        <f aca="false">IFERROR(INDEX('Input Statistiche 2025_26'!$H$3:$H$665,MATCH($A315,'Input Statistiche 2025_26'!$A$3:$A$665,0)),"")</f>
        <v>5.72</v>
      </c>
      <c r="U315" s="26" t="str">
        <f aca="false">IF(OR('La Mia Rosa'!$O$12="",$D315&lt;&gt;""),"",IF($F315&lt;='La Mia Rosa'!$O$12*'Parametri Modello'!$B$24,"OK",IF($F315&lt;='La Mia Rosa'!$O$12*'Parametri Modello'!$B$25,"Attenzione","Rischio Alto")))</f>
        <v>OK</v>
      </c>
      <c r="V315" s="26" t="n">
        <f aca="false">IFERROR(COUNTIFS($B$2:$B$492,$B315,$O$2:$O$492,"&gt;"&amp;$O315)+1,"")</f>
        <v>99</v>
      </c>
      <c r="W315" s="21" t="n">
        <f aca="false">'Info Lega'!$B$4-SUMIFS($M$2:$M$492,$D$2:$D$492,'Info Lega'!$B$28)</f>
        <v>1000</v>
      </c>
      <c r="X315" s="21" t="n">
        <f aca="false">('Info Lega'!$B$5-COUNTIFS($D$2:$D$492,'Info Lega'!$B$28,$B$2:$B$492,"P"))+('Info Lega'!$B$6-COUNTIFS($D$2:$D$492,'Info Lega'!$B$28,$B$2:$B$492,"D"))+('Info Lega'!$B$7-COUNTIFS($D$2:$D$492,'Info Lega'!$B$28,$B$2:$B$492,"C"))+('Info Lega'!$B$8-COUNTIFS($D$2:$D$492,'Info Lega'!$B$28,$B$2:$B$492,"A"))</f>
        <v>25</v>
      </c>
      <c r="Y315" s="21" t="n">
        <f aca="false">X315*'Parametri Modello'!$B$30</f>
        <v>25</v>
      </c>
      <c r="Z315" s="21" t="n">
        <f aca="false">MAX(0,W315-Y315)</f>
        <v>975</v>
      </c>
      <c r="AA315" s="21" t="n">
        <f aca="false">MIN(F315,Z315)</f>
        <v>2</v>
      </c>
      <c r="AB315" s="21"/>
      <c r="AC315" s="21" t="str">
        <f aca="false">IF(AB315="","",IF(AB315&gt;AA315,"PASS",IF(AB315&lt;=AA315*0.85,"BID","ATTENZIONE")))</f>
        <v/>
      </c>
      <c r="AD315" s="31" t="n">
        <f aca="false">IF(I315="","",ROUND(100*(1-EXP(-I315/30)),0))</f>
        <v>41</v>
      </c>
      <c r="AE315" s="7" t="str">
        <f aca="false">IFERROR(INDEX('Stato Asta'!$G$9:$G$12,MATCH($B315,'Stato Asta'!$A$9:$A$12,0)),"")</f>
        <v>🟡 Attesa rischiosa</v>
      </c>
    </row>
    <row r="316" customFormat="false" ht="14.25" hidden="false" customHeight="true" outlineLevel="0" collapsed="false">
      <c r="A316" s="21" t="n">
        <v>7012</v>
      </c>
      <c r="B316" s="21" t="s">
        <v>44</v>
      </c>
      <c r="C316" s="21" t="s">
        <v>310</v>
      </c>
      <c r="E316" s="26" t="str">
        <f aca="false">IF(COUNTIF('Info Strategia'!$D$2:$D$51,$C316)&gt;0,"SI","NO")</f>
        <v>NO</v>
      </c>
      <c r="F316" s="27" t="n">
        <f aca="false">IFERROR(ROUND(($G316+($H316-$G316)*'Info Strategia'!$B$6)*(1+IF($E316="SI",'Parametri Modello'!$B$7*'Info Strategia'!$B$6,0)),0),"")</f>
        <v>2</v>
      </c>
      <c r="G316" s="27" t="n">
        <f aca="false">IFERROR(ROUND(MAX(1,(IF($V316&lt;=INDEX('Parametri Modello'!$C$57:$C$60,MATCH($B316,'Parametri Modello'!$A$57:$A$60,0)),IF(INDEX('Parametri Modello'!$E$57:$E$60,MATCH($B316,'Parametri Modello'!$A$57:$A$60,0))=0,0,($O316/INDEX('Parametri Modello'!$E$57:$E$60,MATCH($B316,'Parametri Modello'!$A$57:$A$60,0)))*(INDEX('Parametri Modello'!$D$57:$D$60,MATCH($B316,'Parametri Modello'!$A$57:$A$60,0))*(INDEX('Parametri Modello'!$B$50:$B$53,MATCH($B316,'Parametri Modello'!$A$50:$A$53,0))*'Parametri Modello'!$B$44))),IF(INDEX('Parametri Modello'!$F$57:$F$60,MATCH($B316,'Parametri Modello'!$A$57:$A$60,0))=0,0,($O316/INDEX('Parametri Modello'!$F$57:$F$60,MATCH($B316,'Parametri Modello'!$A$57:$A$60,0)))*((1-INDEX('Parametri Modello'!$D$57:$D$60,MATCH($B316,'Parametri Modello'!$A$57:$A$60,0)))*(INDEX('Parametri Modello'!$B$50:$B$53,MATCH($B316,'Parametri Modello'!$A$50:$A$53,0))*'Parametri Modello'!$B$44))))*(1+IF(IF($B316="D",'Info Lega'!$B$25,IF($B316="C",'Info Lega'!$B$26,"No"))="Si",'Parametri Modello'!$B$5,0))*(1+MAX(-0.25,MIN(0.25,IF(OR($T316="",$I316="",$I316=0,INDEX('Parametri Modello'!$B$19:$B$22,MATCH($B316,'Parametri Modello'!$A$19:$A$22,0))="",INDEX('Parametri Modello'!$B$19:$B$22,MATCH($B316,'Parametri Modello'!$A$19:$A$22,0))=0),0,(($T316-INDEX('Parametri Modello'!$B$19:$B$22,MATCH($B316,'Parametri Modello'!$A$19:$A$22,0)))/INDEX('Parametri Modello'!$B$19:$B$22,MATCH($B316,'Parametri Modello'!$A$19:$A$22,0)))*'Parametri Modello'!$B$9))))*(1+IF('Parametri Modello'!$B$27="Si",MAX(-'Parametri Modello'!$B$28,MIN('Parametri Modello'!$B$28*1.5,IF(OR(INDEX('Parametri Modello'!$F$32:$F$35,MATCH($B316,'Parametri Modello'!$A$32:$A$35,0))="",INDEX('Parametri Modello'!$F$32:$F$35,MATCH($B316,'Parametri Modello'!$A$32:$A$35,0))=0),0,(1/INDEX('Parametri Modello'!$F$32:$F$35,MATCH($B316,'Parametri Modello'!$A$32:$A$35,0))-1)*'Parametri Modello'!$B$28))),0)))*(1-INDEX('Parametri Modello'!$B$12:$B$15,MATCH($B316,'Parametri Modello'!$A$12:$A$15,0)))),0),"")</f>
        <v>1</v>
      </c>
      <c r="H316" s="27" t="n">
        <f aca="false">IFERROR(ROUND((IF($V316&lt;=INDEX('Parametri Modello'!$C$57:$C$60,MATCH($B316,'Parametri Modello'!$A$57:$A$60,0)),IF(INDEX('Parametri Modello'!$E$57:$E$60,MATCH($B316,'Parametri Modello'!$A$57:$A$60,0))=0,0,($O316/INDEX('Parametri Modello'!$E$57:$E$60,MATCH($B316,'Parametri Modello'!$A$57:$A$60,0)))*(INDEX('Parametri Modello'!$D$57:$D$60,MATCH($B316,'Parametri Modello'!$A$57:$A$60,0))*(INDEX('Parametri Modello'!$B$50:$B$53,MATCH($B316,'Parametri Modello'!$A$50:$A$53,0))*'Parametri Modello'!$B$44))),IF(INDEX('Parametri Modello'!$F$57:$F$60,MATCH($B316,'Parametri Modello'!$A$57:$A$60,0))=0,0,($O316/INDEX('Parametri Modello'!$F$57:$F$60,MATCH($B316,'Parametri Modello'!$A$57:$A$60,0)))*((1-INDEX('Parametri Modello'!$D$57:$D$60,MATCH($B316,'Parametri Modello'!$A$57:$A$60,0)))*(INDEX('Parametri Modello'!$B$50:$B$53,MATCH($B316,'Parametri Modello'!$A$50:$A$53,0))*'Parametri Modello'!$B$44))))*(1+IF(IF($B316="D",'Info Lega'!$B$25,IF($B316="C",'Info Lega'!$B$26,"No"))="Si",'Parametri Modello'!$B$5,0))*(1+MAX(-0.25,MIN(0.25,IF(OR($T316="",$I316="",$I316=0,INDEX('Parametri Modello'!$B$19:$B$22,MATCH($B316,'Parametri Modello'!$A$19:$A$22,0))="",INDEX('Parametri Modello'!$B$19:$B$22,MATCH($B316,'Parametri Modello'!$A$19:$A$22,0))=0),0,(($T316-INDEX('Parametri Modello'!$B$19:$B$22,MATCH($B316,'Parametri Modello'!$A$19:$A$22,0)))/INDEX('Parametri Modello'!$B$19:$B$22,MATCH($B316,'Parametri Modello'!$A$19:$A$22,0)))*'Parametri Modello'!$B$9))))*(1+IF('Parametri Modello'!$B$27="Si",MAX(-'Parametri Modello'!$B$28,MIN('Parametri Modello'!$B$28*1.5,IF(OR(INDEX('Parametri Modello'!$F$32:$F$35,MATCH($B316,'Parametri Modello'!$A$32:$A$35,0))="",INDEX('Parametri Modello'!$F$32:$F$35,MATCH($B316,'Parametri Modello'!$A$32:$A$35,0))=0),0,(1/INDEX('Parametri Modello'!$F$32:$F$35,MATCH($B316,'Parametri Modello'!$A$32:$A$35,0))-1)*'Parametri Modello'!$B$28))),0)))*(1+INDEX('Parametri Modello'!$B$12:$B$15,MATCH($B316,'Parametri Modello'!$A$12:$A$15,0))),0),"")</f>
        <v>2</v>
      </c>
      <c r="I316" s="26" t="n">
        <f aca="false">IFERROR(INDEX('Input Statistiche 2025_26'!$F$3:$F$665,MATCH($A316,'Input Statistiche 2025_26'!$A$3:$A$665,0)),"")</f>
        <v>23</v>
      </c>
      <c r="J316" s="26" t="n">
        <f aca="false">IFERROR(IF($I316="","",MAX(0,38-$I316)),"")</f>
        <v>15</v>
      </c>
      <c r="K316" s="26" t="n">
        <f aca="false">IFERROR(INDEX('Input Statistiche 2025_26'!$I$3:$I$665,MATCH($A316,'Input Statistiche 2025_26'!$A$3:$A$665,0)),"")</f>
        <v>0</v>
      </c>
      <c r="L316" s="26" t="n">
        <f aca="false">IFERROR(INDEX('Input Statistiche 2025_26'!$O$3:$O$665,MATCH($A316,'Input Statistiche 2025_26'!$A$3:$A$665,0)),"")</f>
        <v>0</v>
      </c>
      <c r="M316" s="28"/>
      <c r="N316" s="27" t="n">
        <f aca="false">IFERROR(INDEX('Input Giocatori 2026_27'!$E$3:$E$493,MATCH($A316,'Input Giocatori 2026_27'!$A$3:$A$493,0)),"")</f>
        <v>3</v>
      </c>
      <c r="O316" s="27" t="n">
        <f aca="false">IFERROR(INDEX('Input Giocatori 2026_27'!$G$3:$G$493,MATCH($A316,'Input Giocatori 2026_27'!$A$3:$A$493,0)),"")</f>
        <v>10</v>
      </c>
      <c r="P316" s="26" t="str">
        <f aca="false">IFERROR(IF($O316="","",IF((1-(COUNTIFS($B$2:$B$492,$B316,$O$2:$O$492,"&gt;"&amp;$O316)+1-1)/COUNTIF($B$2:$B$492,$B316))&gt;=0.85,"Top",IF((1-(COUNTIFS($B$2:$B$492,$B316,$O$2:$O$492,"&gt;"&amp;$O316)+1-1)/COUNTIF($B$2:$B$492,$B316))&gt;=0.6,"Buono",IF((1-(COUNTIFS($B$2:$B$492,$B316,$O$2:$O$492,"&gt;"&amp;$O316)+1-1)/COUNTIF($B$2:$B$492,$B316))&gt;=0.3,"Nella Media","Scommessa/Riserva")))),"")</f>
        <v>Nella Media</v>
      </c>
      <c r="Q316" s="29" t="n">
        <f aca="false">IF($D316="",COUNTIF($D$2:$D316,""),"")</f>
        <v>315</v>
      </c>
      <c r="R316" s="29" t="str">
        <f aca="false">IF($D316='Info Lega'!$B$28,COUNTIFS($D$2:$D316,'Info Lega'!$B$28),"")</f>
        <v/>
      </c>
      <c r="S316" s="30" t="n">
        <f aca="false">IFERROR(INDEX('Input Statistiche 2025_26'!$G$3:$G$665,MATCH($A316,'Input Statistiche 2025_26'!$A$3:$A$665,0)),"")</f>
        <v>5.91</v>
      </c>
      <c r="T316" s="30" t="n">
        <f aca="false">IFERROR(INDEX('Input Statistiche 2025_26'!$H$3:$H$665,MATCH($A316,'Input Statistiche 2025_26'!$A$3:$A$665,0)),"")</f>
        <v>5.85</v>
      </c>
      <c r="U316" s="26" t="str">
        <f aca="false">IF(OR('La Mia Rosa'!$O$12="",$D316&lt;&gt;""),"",IF($F316&lt;='La Mia Rosa'!$O$12*'Parametri Modello'!$B$24,"OK",IF($F316&lt;='La Mia Rosa'!$O$12*'Parametri Modello'!$B$25,"Attenzione","Rischio Alto")))</f>
        <v>OK</v>
      </c>
      <c r="V316" s="26" t="n">
        <f aca="false">IFERROR(COUNTIFS($B$2:$B$492,$B316,$O$2:$O$492,"&gt;"&amp;$O316)+1,"")</f>
        <v>99</v>
      </c>
      <c r="W316" s="21" t="n">
        <f aca="false">'Info Lega'!$B$4-SUMIFS($M$2:$M$492,$D$2:$D$492,'Info Lega'!$B$28)</f>
        <v>1000</v>
      </c>
      <c r="X316" s="21" t="n">
        <f aca="false">('Info Lega'!$B$5-COUNTIFS($D$2:$D$492,'Info Lega'!$B$28,$B$2:$B$492,"P"))+('Info Lega'!$B$6-COUNTIFS($D$2:$D$492,'Info Lega'!$B$28,$B$2:$B$492,"D"))+('Info Lega'!$B$7-COUNTIFS($D$2:$D$492,'Info Lega'!$B$28,$B$2:$B$492,"C"))+('Info Lega'!$B$8-COUNTIFS($D$2:$D$492,'Info Lega'!$B$28,$B$2:$B$492,"A"))</f>
        <v>25</v>
      </c>
      <c r="Y316" s="21" t="n">
        <f aca="false">X316*'Parametri Modello'!$B$30</f>
        <v>25</v>
      </c>
      <c r="Z316" s="21" t="n">
        <f aca="false">MAX(0,W316-Y316)</f>
        <v>975</v>
      </c>
      <c r="AA316" s="21" t="n">
        <f aca="false">MIN(F316,Z316)</f>
        <v>2</v>
      </c>
      <c r="AB316" s="21"/>
      <c r="AC316" s="21" t="str">
        <f aca="false">IF(AB316="","",IF(AB316&gt;AA316,"PASS",IF(AB316&lt;=AA316*0.85,"BID","ATTENZIONE")))</f>
        <v/>
      </c>
      <c r="AD316" s="31" t="n">
        <f aca="false">IF(I316="","",ROUND(100*(1-EXP(-I316/30)),0))</f>
        <v>54</v>
      </c>
      <c r="AE316" s="7" t="str">
        <f aca="false">IFERROR(INDEX('Stato Asta'!$G$9:$G$12,MATCH($B316,'Stato Asta'!$A$9:$A$12,0)),"")</f>
        <v>🟡 Attesa rischiosa</v>
      </c>
    </row>
    <row r="317" customFormat="false" ht="14.25" hidden="false" customHeight="true" outlineLevel="0" collapsed="false">
      <c r="A317" s="21" t="n">
        <v>7255</v>
      </c>
      <c r="B317" s="21" t="s">
        <v>44</v>
      </c>
      <c r="C317" s="21" t="s">
        <v>318</v>
      </c>
      <c r="E317" s="26" t="str">
        <f aca="false">IF(COUNTIF('Info Strategia'!$D$2:$D$51,$C317)&gt;0,"SI","NO")</f>
        <v>NO</v>
      </c>
      <c r="F317" s="27" t="n">
        <f aca="false">IFERROR(ROUND(($G317+($H317-$G317)*'Info Strategia'!$B$6)*(1+IF($E317="SI",'Parametri Modello'!$B$7*'Info Strategia'!$B$6,0)),0),"")</f>
        <v>2</v>
      </c>
      <c r="G317" s="27" t="n">
        <f aca="false">IFERROR(ROUND(MAX(1,(IF($V317&lt;=INDEX('Parametri Modello'!$C$57:$C$60,MATCH($B317,'Parametri Modello'!$A$57:$A$60,0)),IF(INDEX('Parametri Modello'!$E$57:$E$60,MATCH($B317,'Parametri Modello'!$A$57:$A$60,0))=0,0,($O317/INDEX('Parametri Modello'!$E$57:$E$60,MATCH($B317,'Parametri Modello'!$A$57:$A$60,0)))*(INDEX('Parametri Modello'!$D$57:$D$60,MATCH($B317,'Parametri Modello'!$A$57:$A$60,0))*(INDEX('Parametri Modello'!$B$50:$B$53,MATCH($B317,'Parametri Modello'!$A$50:$A$53,0))*'Parametri Modello'!$B$44))),IF(INDEX('Parametri Modello'!$F$57:$F$60,MATCH($B317,'Parametri Modello'!$A$57:$A$60,0))=0,0,($O317/INDEX('Parametri Modello'!$F$57:$F$60,MATCH($B317,'Parametri Modello'!$A$57:$A$60,0)))*((1-INDEX('Parametri Modello'!$D$57:$D$60,MATCH($B317,'Parametri Modello'!$A$57:$A$60,0)))*(INDEX('Parametri Modello'!$B$50:$B$53,MATCH($B317,'Parametri Modello'!$A$50:$A$53,0))*'Parametri Modello'!$B$44))))*(1+IF(IF($B317="D",'Info Lega'!$B$25,IF($B317="C",'Info Lega'!$B$26,"No"))="Si",'Parametri Modello'!$B$5,0))*(1+MAX(-0.25,MIN(0.25,IF(OR($T317="",$I317="",$I317=0,INDEX('Parametri Modello'!$B$19:$B$22,MATCH($B317,'Parametri Modello'!$A$19:$A$22,0))="",INDEX('Parametri Modello'!$B$19:$B$22,MATCH($B317,'Parametri Modello'!$A$19:$A$22,0))=0),0,(($T317-INDEX('Parametri Modello'!$B$19:$B$22,MATCH($B317,'Parametri Modello'!$A$19:$A$22,0)))/INDEX('Parametri Modello'!$B$19:$B$22,MATCH($B317,'Parametri Modello'!$A$19:$A$22,0)))*'Parametri Modello'!$B$9))))*(1+IF('Parametri Modello'!$B$27="Si",MAX(-'Parametri Modello'!$B$28,MIN('Parametri Modello'!$B$28*1.5,IF(OR(INDEX('Parametri Modello'!$F$32:$F$35,MATCH($B317,'Parametri Modello'!$A$32:$A$35,0))="",INDEX('Parametri Modello'!$F$32:$F$35,MATCH($B317,'Parametri Modello'!$A$32:$A$35,0))=0),0,(1/INDEX('Parametri Modello'!$F$32:$F$35,MATCH($B317,'Parametri Modello'!$A$32:$A$35,0))-1)*'Parametri Modello'!$B$28))),0)))*(1-INDEX('Parametri Modello'!$B$12:$B$15,MATCH($B317,'Parametri Modello'!$A$12:$A$15,0)))),0),"")</f>
        <v>1</v>
      </c>
      <c r="H317" s="27" t="n">
        <f aca="false">IFERROR(ROUND((IF($V317&lt;=INDEX('Parametri Modello'!$C$57:$C$60,MATCH($B317,'Parametri Modello'!$A$57:$A$60,0)),IF(INDEX('Parametri Modello'!$E$57:$E$60,MATCH($B317,'Parametri Modello'!$A$57:$A$60,0))=0,0,($O317/INDEX('Parametri Modello'!$E$57:$E$60,MATCH($B317,'Parametri Modello'!$A$57:$A$60,0)))*(INDEX('Parametri Modello'!$D$57:$D$60,MATCH($B317,'Parametri Modello'!$A$57:$A$60,0))*(INDEX('Parametri Modello'!$B$50:$B$53,MATCH($B317,'Parametri Modello'!$A$50:$A$53,0))*'Parametri Modello'!$B$44))),IF(INDEX('Parametri Modello'!$F$57:$F$60,MATCH($B317,'Parametri Modello'!$A$57:$A$60,0))=0,0,($O317/INDEX('Parametri Modello'!$F$57:$F$60,MATCH($B317,'Parametri Modello'!$A$57:$A$60,0)))*((1-INDEX('Parametri Modello'!$D$57:$D$60,MATCH($B317,'Parametri Modello'!$A$57:$A$60,0)))*(INDEX('Parametri Modello'!$B$50:$B$53,MATCH($B317,'Parametri Modello'!$A$50:$A$53,0))*'Parametri Modello'!$B$44))))*(1+IF(IF($B317="D",'Info Lega'!$B$25,IF($B317="C",'Info Lega'!$B$26,"No"))="Si",'Parametri Modello'!$B$5,0))*(1+MAX(-0.25,MIN(0.25,IF(OR($T317="",$I317="",$I317=0,INDEX('Parametri Modello'!$B$19:$B$22,MATCH($B317,'Parametri Modello'!$A$19:$A$22,0))="",INDEX('Parametri Modello'!$B$19:$B$22,MATCH($B317,'Parametri Modello'!$A$19:$A$22,0))=0),0,(($T317-INDEX('Parametri Modello'!$B$19:$B$22,MATCH($B317,'Parametri Modello'!$A$19:$A$22,0)))/INDEX('Parametri Modello'!$B$19:$B$22,MATCH($B317,'Parametri Modello'!$A$19:$A$22,0)))*'Parametri Modello'!$B$9))))*(1+IF('Parametri Modello'!$B$27="Si",MAX(-'Parametri Modello'!$B$28,MIN('Parametri Modello'!$B$28*1.5,IF(OR(INDEX('Parametri Modello'!$F$32:$F$35,MATCH($B317,'Parametri Modello'!$A$32:$A$35,0))="",INDEX('Parametri Modello'!$F$32:$F$35,MATCH($B317,'Parametri Modello'!$A$32:$A$35,0))=0),0,(1/INDEX('Parametri Modello'!$F$32:$F$35,MATCH($B317,'Parametri Modello'!$A$32:$A$35,0))-1)*'Parametri Modello'!$B$28))),0)))*(1+INDEX('Parametri Modello'!$B$12:$B$15,MATCH($B317,'Parametri Modello'!$A$12:$A$15,0))),0),"")</f>
        <v>2</v>
      </c>
      <c r="I317" s="26" t="n">
        <f aca="false">IFERROR(INDEX('Input Statistiche 2025_26'!$F$3:$F$665,MATCH($A317,'Input Statistiche 2025_26'!$A$3:$A$665,0)),"")</f>
        <v>28</v>
      </c>
      <c r="J317" s="26" t="n">
        <f aca="false">IFERROR(IF($I317="","",MAX(0,38-$I317)),"")</f>
        <v>10</v>
      </c>
      <c r="K317" s="26" t="n">
        <f aca="false">IFERROR(INDEX('Input Statistiche 2025_26'!$I$3:$I$665,MATCH($A317,'Input Statistiche 2025_26'!$A$3:$A$665,0)),"")</f>
        <v>0</v>
      </c>
      <c r="L317" s="26" t="n">
        <f aca="false">IFERROR(INDEX('Input Statistiche 2025_26'!$O$3:$O$665,MATCH($A317,'Input Statistiche 2025_26'!$A$3:$A$665,0)),"")</f>
        <v>2</v>
      </c>
      <c r="M317" s="28"/>
      <c r="N317" s="27" t="n">
        <f aca="false">IFERROR(INDEX('Input Giocatori 2026_27'!$E$3:$E$493,MATCH($A317,'Input Giocatori 2026_27'!$A$3:$A$493,0)),"")</f>
        <v>3</v>
      </c>
      <c r="O317" s="27" t="n">
        <f aca="false">IFERROR(INDEX('Input Giocatori 2026_27'!$G$3:$G$493,MATCH($A317,'Input Giocatori 2026_27'!$A$3:$A$493,0)),"")</f>
        <v>10</v>
      </c>
      <c r="P317" s="26" t="str">
        <f aca="false">IFERROR(IF($O317="","",IF((1-(COUNTIFS($B$2:$B$492,$B317,$O$2:$O$492,"&gt;"&amp;$O317)+1-1)/COUNTIF($B$2:$B$492,$B317))&gt;=0.85,"Top",IF((1-(COUNTIFS($B$2:$B$492,$B317,$O$2:$O$492,"&gt;"&amp;$O317)+1-1)/COUNTIF($B$2:$B$492,$B317))&gt;=0.6,"Buono",IF((1-(COUNTIFS($B$2:$B$492,$B317,$O$2:$O$492,"&gt;"&amp;$O317)+1-1)/COUNTIF($B$2:$B$492,$B317))&gt;=0.3,"Nella Media","Scommessa/Riserva")))),"")</f>
        <v>Nella Media</v>
      </c>
      <c r="Q317" s="29" t="n">
        <f aca="false">IF($D317="",COUNTIF($D$2:$D317,""),"")</f>
        <v>316</v>
      </c>
      <c r="R317" s="29" t="str">
        <f aca="false">IF($D317='Info Lega'!$B$28,COUNTIFS($D$2:$D317,'Info Lega'!$B$28),"")</f>
        <v/>
      </c>
      <c r="S317" s="30" t="n">
        <f aca="false">IFERROR(INDEX('Input Statistiche 2025_26'!$G$3:$G$665,MATCH($A317,'Input Statistiche 2025_26'!$A$3:$A$665,0)),"")</f>
        <v>5.75</v>
      </c>
      <c r="T317" s="30" t="n">
        <f aca="false">IFERROR(INDEX('Input Statistiche 2025_26'!$H$3:$H$665,MATCH($A317,'Input Statistiche 2025_26'!$A$3:$A$665,0)),"")</f>
        <v>5.7</v>
      </c>
      <c r="U317" s="26" t="str">
        <f aca="false">IF(OR('La Mia Rosa'!$O$12="",$D317&lt;&gt;""),"",IF($F317&lt;='La Mia Rosa'!$O$12*'Parametri Modello'!$B$24,"OK",IF($F317&lt;='La Mia Rosa'!$O$12*'Parametri Modello'!$B$25,"Attenzione","Rischio Alto")))</f>
        <v>OK</v>
      </c>
      <c r="V317" s="26" t="n">
        <f aca="false">IFERROR(COUNTIFS($B$2:$B$492,$B317,$O$2:$O$492,"&gt;"&amp;$O317)+1,"")</f>
        <v>99</v>
      </c>
      <c r="W317" s="21" t="n">
        <f aca="false">'Info Lega'!$B$4-SUMIFS($M$2:$M$492,$D$2:$D$492,'Info Lega'!$B$28)</f>
        <v>1000</v>
      </c>
      <c r="X317" s="21" t="n">
        <f aca="false">('Info Lega'!$B$5-COUNTIFS($D$2:$D$492,'Info Lega'!$B$28,$B$2:$B$492,"P"))+('Info Lega'!$B$6-COUNTIFS($D$2:$D$492,'Info Lega'!$B$28,$B$2:$B$492,"D"))+('Info Lega'!$B$7-COUNTIFS($D$2:$D$492,'Info Lega'!$B$28,$B$2:$B$492,"C"))+('Info Lega'!$B$8-COUNTIFS($D$2:$D$492,'Info Lega'!$B$28,$B$2:$B$492,"A"))</f>
        <v>25</v>
      </c>
      <c r="Y317" s="21" t="n">
        <f aca="false">X317*'Parametri Modello'!$B$30</f>
        <v>25</v>
      </c>
      <c r="Z317" s="21" t="n">
        <f aca="false">MAX(0,W317-Y317)</f>
        <v>975</v>
      </c>
      <c r="AA317" s="21" t="n">
        <f aca="false">MIN(F317,Z317)</f>
        <v>2</v>
      </c>
      <c r="AB317" s="21"/>
      <c r="AC317" s="21" t="str">
        <f aca="false">IF(AB317="","",IF(AB317&gt;AA317,"PASS",IF(AB317&lt;=AA317*0.85,"BID","ATTENZIONE")))</f>
        <v/>
      </c>
      <c r="AD317" s="31" t="n">
        <f aca="false">IF(I317="","",ROUND(100*(1-EXP(-I317/30)),0))</f>
        <v>61</v>
      </c>
      <c r="AE317" s="7" t="str">
        <f aca="false">IFERROR(INDEX('Stato Asta'!$G$9:$G$12,MATCH($B317,'Stato Asta'!$A$9:$A$12,0)),"")</f>
        <v>🟡 Attesa rischiosa</v>
      </c>
    </row>
    <row r="318" customFormat="false" ht="14.25" hidden="false" customHeight="true" outlineLevel="0" collapsed="false">
      <c r="A318" s="21" t="n">
        <v>6640</v>
      </c>
      <c r="B318" s="21" t="s">
        <v>45</v>
      </c>
      <c r="C318" s="21" t="s">
        <v>448</v>
      </c>
      <c r="E318" s="26" t="str">
        <f aca="false">IF(COUNTIF('Info Strategia'!$D$2:$D$51,$C318)&gt;0,"SI","NO")</f>
        <v>NO</v>
      </c>
      <c r="F318" s="27" t="n">
        <f aca="false">IFERROR(ROUND(($G318+($H318-$G318)*'Info Strategia'!$B$6)*(1+IF($E318="SI",'Parametri Modello'!$B$7*'Info Strategia'!$B$6,0)),0),"")</f>
        <v>1</v>
      </c>
      <c r="G318" s="27" t="n">
        <f aca="false">IFERROR(ROUND(MAX(1,(IF($V318&lt;=INDEX('Parametri Modello'!$C$57:$C$60,MATCH($B318,'Parametri Modello'!$A$57:$A$60,0)),IF(INDEX('Parametri Modello'!$E$57:$E$60,MATCH($B318,'Parametri Modello'!$A$57:$A$60,0))=0,0,($O318/INDEX('Parametri Modello'!$E$57:$E$60,MATCH($B318,'Parametri Modello'!$A$57:$A$60,0)))*(INDEX('Parametri Modello'!$D$57:$D$60,MATCH($B318,'Parametri Modello'!$A$57:$A$60,0))*(INDEX('Parametri Modello'!$B$50:$B$53,MATCH($B318,'Parametri Modello'!$A$50:$A$53,0))*'Parametri Modello'!$B$44))),IF(INDEX('Parametri Modello'!$F$57:$F$60,MATCH($B318,'Parametri Modello'!$A$57:$A$60,0))=0,0,($O318/INDEX('Parametri Modello'!$F$57:$F$60,MATCH($B318,'Parametri Modello'!$A$57:$A$60,0)))*((1-INDEX('Parametri Modello'!$D$57:$D$60,MATCH($B318,'Parametri Modello'!$A$57:$A$60,0)))*(INDEX('Parametri Modello'!$B$50:$B$53,MATCH($B318,'Parametri Modello'!$A$50:$A$53,0))*'Parametri Modello'!$B$44))))*(1+IF(IF($B318="D",'Info Lega'!$B$25,IF($B318="C",'Info Lega'!$B$26,"No"))="Si",'Parametri Modello'!$B$5,0))*(1+MAX(-0.25,MIN(0.25,IF(OR($T318="",$I318="",$I318=0,INDEX('Parametri Modello'!$B$19:$B$22,MATCH($B318,'Parametri Modello'!$A$19:$A$22,0))="",INDEX('Parametri Modello'!$B$19:$B$22,MATCH($B318,'Parametri Modello'!$A$19:$A$22,0))=0),0,(($T318-INDEX('Parametri Modello'!$B$19:$B$22,MATCH($B318,'Parametri Modello'!$A$19:$A$22,0)))/INDEX('Parametri Modello'!$B$19:$B$22,MATCH($B318,'Parametri Modello'!$A$19:$A$22,0)))*'Parametri Modello'!$B$9))))*(1+IF('Parametri Modello'!$B$27="Si",MAX(-'Parametri Modello'!$B$28,MIN('Parametri Modello'!$B$28*1.5,IF(OR(INDEX('Parametri Modello'!$F$32:$F$35,MATCH($B318,'Parametri Modello'!$A$32:$A$35,0))="",INDEX('Parametri Modello'!$F$32:$F$35,MATCH($B318,'Parametri Modello'!$A$32:$A$35,0))=0),0,(1/INDEX('Parametri Modello'!$F$32:$F$35,MATCH($B318,'Parametri Modello'!$A$32:$A$35,0))-1)*'Parametri Modello'!$B$28))),0)))*(1-INDEX('Parametri Modello'!$B$12:$B$15,MATCH($B318,'Parametri Modello'!$A$12:$A$15,0)))),0),"")</f>
        <v>1</v>
      </c>
      <c r="H318" s="27" t="n">
        <f aca="false">IFERROR(ROUND((IF($V318&lt;=INDEX('Parametri Modello'!$C$57:$C$60,MATCH($B318,'Parametri Modello'!$A$57:$A$60,0)),IF(INDEX('Parametri Modello'!$E$57:$E$60,MATCH($B318,'Parametri Modello'!$A$57:$A$60,0))=0,0,($O318/INDEX('Parametri Modello'!$E$57:$E$60,MATCH($B318,'Parametri Modello'!$A$57:$A$60,0)))*(INDEX('Parametri Modello'!$D$57:$D$60,MATCH($B318,'Parametri Modello'!$A$57:$A$60,0))*(INDEX('Parametri Modello'!$B$50:$B$53,MATCH($B318,'Parametri Modello'!$A$50:$A$53,0))*'Parametri Modello'!$B$44))),IF(INDEX('Parametri Modello'!$F$57:$F$60,MATCH($B318,'Parametri Modello'!$A$57:$A$60,0))=0,0,($O318/INDEX('Parametri Modello'!$F$57:$F$60,MATCH($B318,'Parametri Modello'!$A$57:$A$60,0)))*((1-INDEX('Parametri Modello'!$D$57:$D$60,MATCH($B318,'Parametri Modello'!$A$57:$A$60,0)))*(INDEX('Parametri Modello'!$B$50:$B$53,MATCH($B318,'Parametri Modello'!$A$50:$A$53,0))*'Parametri Modello'!$B$44))))*(1+IF(IF($B318="D",'Info Lega'!$B$25,IF($B318="C",'Info Lega'!$B$26,"No"))="Si",'Parametri Modello'!$B$5,0))*(1+MAX(-0.25,MIN(0.25,IF(OR($T318="",$I318="",$I318=0,INDEX('Parametri Modello'!$B$19:$B$22,MATCH($B318,'Parametri Modello'!$A$19:$A$22,0))="",INDEX('Parametri Modello'!$B$19:$B$22,MATCH($B318,'Parametri Modello'!$A$19:$A$22,0))=0),0,(($T318-INDEX('Parametri Modello'!$B$19:$B$22,MATCH($B318,'Parametri Modello'!$A$19:$A$22,0)))/INDEX('Parametri Modello'!$B$19:$B$22,MATCH($B318,'Parametri Modello'!$A$19:$A$22,0)))*'Parametri Modello'!$B$9))))*(1+IF('Parametri Modello'!$B$27="Si",MAX(-'Parametri Modello'!$B$28,MIN('Parametri Modello'!$B$28*1.5,IF(OR(INDEX('Parametri Modello'!$F$32:$F$35,MATCH($B318,'Parametri Modello'!$A$32:$A$35,0))="",INDEX('Parametri Modello'!$F$32:$F$35,MATCH($B318,'Parametri Modello'!$A$32:$A$35,0))=0),0,(1/INDEX('Parametri Modello'!$F$32:$F$35,MATCH($B318,'Parametri Modello'!$A$32:$A$35,0))-1)*'Parametri Modello'!$B$28))),0)))*(1+INDEX('Parametri Modello'!$B$12:$B$15,MATCH($B318,'Parametri Modello'!$A$12:$A$15,0))),0),"")</f>
        <v>1</v>
      </c>
      <c r="I318" s="26" t="n">
        <f aca="false">IFERROR(INDEX('Input Statistiche 2025_26'!$F$3:$F$665,MATCH($A318,'Input Statistiche 2025_26'!$A$3:$A$665,0)),"")</f>
        <v>11</v>
      </c>
      <c r="J318" s="26" t="n">
        <f aca="false">IFERROR(IF($I318="","",MAX(0,38-$I318)),"")</f>
        <v>27</v>
      </c>
      <c r="K318" s="26" t="n">
        <f aca="false">IFERROR(INDEX('Input Statistiche 2025_26'!$I$3:$I$665,MATCH($A318,'Input Statistiche 2025_26'!$A$3:$A$665,0)),"")</f>
        <v>2</v>
      </c>
      <c r="L318" s="26" t="n">
        <f aca="false">IFERROR(INDEX('Input Statistiche 2025_26'!$O$3:$O$665,MATCH($A318,'Input Statistiche 2025_26'!$A$3:$A$665,0)),"")</f>
        <v>1</v>
      </c>
      <c r="M318" s="28"/>
      <c r="N318" s="27" t="n">
        <f aca="false">IFERROR(INDEX('Input Giocatori 2026_27'!$E$3:$E$493,MATCH($A318,'Input Giocatori 2026_27'!$A$3:$A$493,0)),"")</f>
        <v>5</v>
      </c>
      <c r="O318" s="27" t="n">
        <f aca="false">IFERROR(INDEX('Input Giocatori 2026_27'!$G$3:$G$493,MATCH($A318,'Input Giocatori 2026_27'!$A$3:$A$493,0)),"")</f>
        <v>10</v>
      </c>
      <c r="P318" s="26" t="str">
        <f aca="false">IFERROR(IF($O318="","",IF((1-(COUNTIFS($B$2:$B$492,$B318,$O$2:$O$492,"&gt;"&amp;$O318)+1-1)/COUNTIF($B$2:$B$492,$B318))&gt;=0.85,"Top",IF((1-(COUNTIFS($B$2:$B$492,$B318,$O$2:$O$492,"&gt;"&amp;$O318)+1-1)/COUNTIF($B$2:$B$492,$B318))&gt;=0.6,"Buono",IF((1-(COUNTIFS($B$2:$B$492,$B318,$O$2:$O$492,"&gt;"&amp;$O318)+1-1)/COUNTIF($B$2:$B$492,$B318))&gt;=0.3,"Nella Media","Scommessa/Riserva")))),"")</f>
        <v>Scommessa/Riserva</v>
      </c>
      <c r="Q318" s="29" t="n">
        <f aca="false">IF($D318="",COUNTIF($D$2:$D318,""),"")</f>
        <v>317</v>
      </c>
      <c r="R318" s="29" t="str">
        <f aca="false">IF($D318='Info Lega'!$B$28,COUNTIFS($D$2:$D318,'Info Lega'!$B$28),"")</f>
        <v/>
      </c>
      <c r="S318" s="30" t="n">
        <f aca="false">IFERROR(INDEX('Input Statistiche 2025_26'!$G$3:$G$665,MATCH($A318,'Input Statistiche 2025_26'!$A$3:$A$665,0)),"")</f>
        <v>6.05</v>
      </c>
      <c r="T318" s="30" t="n">
        <f aca="false">IFERROR(INDEX('Input Statistiche 2025_26'!$H$3:$H$665,MATCH($A318,'Input Statistiche 2025_26'!$A$3:$A$665,0)),"")</f>
        <v>6.55</v>
      </c>
      <c r="U318" s="26" t="str">
        <f aca="false">IF(OR('La Mia Rosa'!$O$12="",$D318&lt;&gt;""),"",IF($F318&lt;='La Mia Rosa'!$O$12*'Parametri Modello'!$B$24,"OK",IF($F318&lt;='La Mia Rosa'!$O$12*'Parametri Modello'!$B$25,"Attenzione","Rischio Alto")))</f>
        <v>OK</v>
      </c>
      <c r="V318" s="26" t="n">
        <f aca="false">IFERROR(COUNTIFS($B$2:$B$492,$B318,$O$2:$O$492,"&gt;"&amp;$O318)+1,"")</f>
        <v>124</v>
      </c>
      <c r="W318" s="21" t="n">
        <f aca="false">'Info Lega'!$B$4-SUMIFS($M$2:$M$492,$D$2:$D$492,'Info Lega'!$B$28)</f>
        <v>1000</v>
      </c>
      <c r="X318" s="21" t="n">
        <f aca="false">('Info Lega'!$B$5-COUNTIFS($D$2:$D$492,'Info Lega'!$B$28,$B$2:$B$492,"P"))+('Info Lega'!$B$6-COUNTIFS($D$2:$D$492,'Info Lega'!$B$28,$B$2:$B$492,"D"))+('Info Lega'!$B$7-COUNTIFS($D$2:$D$492,'Info Lega'!$B$28,$B$2:$B$492,"C"))+('Info Lega'!$B$8-COUNTIFS($D$2:$D$492,'Info Lega'!$B$28,$B$2:$B$492,"A"))</f>
        <v>25</v>
      </c>
      <c r="Y318" s="21" t="n">
        <f aca="false">X318*'Parametri Modello'!$B$30</f>
        <v>25</v>
      </c>
      <c r="Z318" s="21" t="n">
        <f aca="false">MAX(0,W318-Y318)</f>
        <v>975</v>
      </c>
      <c r="AA318" s="21" t="n">
        <f aca="false">MIN(F318,Z318)</f>
        <v>1</v>
      </c>
      <c r="AB318" s="21"/>
      <c r="AC318" s="21" t="str">
        <f aca="false">IF(AB318="","",IF(AB318&gt;AA318,"PASS",IF(AB318&lt;=AA318*0.85,"BID","ATTENZIONE")))</f>
        <v/>
      </c>
      <c r="AD318" s="31" t="n">
        <f aca="false">IF(I318="","",ROUND(100*(1-EXP(-I318/30)),0))</f>
        <v>31</v>
      </c>
      <c r="AE318" s="7" t="str">
        <f aca="false">IFERROR(INDEX('Stato Asta'!$G$9:$G$12,MATCH($B318,'Stato Asta'!$A$9:$A$12,0)),"")</f>
        <v>🟡 Attesa rischiosa</v>
      </c>
    </row>
    <row r="319" customFormat="false" ht="14.25" hidden="false" customHeight="true" outlineLevel="0" collapsed="false">
      <c r="A319" s="21" t="n">
        <v>7127</v>
      </c>
      <c r="B319" s="21" t="s">
        <v>45</v>
      </c>
      <c r="C319" s="21" t="s">
        <v>450</v>
      </c>
      <c r="E319" s="26" t="str">
        <f aca="false">IF(COUNTIF('Info Strategia'!$D$2:$D$51,$C319)&gt;0,"SI","NO")</f>
        <v>NO</v>
      </c>
      <c r="F319" s="27" t="n">
        <f aca="false">IFERROR(ROUND(($G319+($H319-$G319)*'Info Strategia'!$B$6)*(1+IF($E319="SI",'Parametri Modello'!$B$7*'Info Strategia'!$B$6,0)),0),"")</f>
        <v>1</v>
      </c>
      <c r="G319" s="27" t="n">
        <f aca="false">IFERROR(ROUND(MAX(1,(IF($V319&lt;=INDEX('Parametri Modello'!$C$57:$C$60,MATCH($B319,'Parametri Modello'!$A$57:$A$60,0)),IF(INDEX('Parametri Modello'!$E$57:$E$60,MATCH($B319,'Parametri Modello'!$A$57:$A$60,0))=0,0,($O319/INDEX('Parametri Modello'!$E$57:$E$60,MATCH($B319,'Parametri Modello'!$A$57:$A$60,0)))*(INDEX('Parametri Modello'!$D$57:$D$60,MATCH($B319,'Parametri Modello'!$A$57:$A$60,0))*(INDEX('Parametri Modello'!$B$50:$B$53,MATCH($B319,'Parametri Modello'!$A$50:$A$53,0))*'Parametri Modello'!$B$44))),IF(INDEX('Parametri Modello'!$F$57:$F$60,MATCH($B319,'Parametri Modello'!$A$57:$A$60,0))=0,0,($O319/INDEX('Parametri Modello'!$F$57:$F$60,MATCH($B319,'Parametri Modello'!$A$57:$A$60,0)))*((1-INDEX('Parametri Modello'!$D$57:$D$60,MATCH($B319,'Parametri Modello'!$A$57:$A$60,0)))*(INDEX('Parametri Modello'!$B$50:$B$53,MATCH($B319,'Parametri Modello'!$A$50:$A$53,0))*'Parametri Modello'!$B$44))))*(1+IF(IF($B319="D",'Info Lega'!$B$25,IF($B319="C",'Info Lega'!$B$26,"No"))="Si",'Parametri Modello'!$B$5,0))*(1+MAX(-0.25,MIN(0.25,IF(OR($T319="",$I319="",$I319=0,INDEX('Parametri Modello'!$B$19:$B$22,MATCH($B319,'Parametri Modello'!$A$19:$A$22,0))="",INDEX('Parametri Modello'!$B$19:$B$22,MATCH($B319,'Parametri Modello'!$A$19:$A$22,0))=0),0,(($T319-INDEX('Parametri Modello'!$B$19:$B$22,MATCH($B319,'Parametri Modello'!$A$19:$A$22,0)))/INDEX('Parametri Modello'!$B$19:$B$22,MATCH($B319,'Parametri Modello'!$A$19:$A$22,0)))*'Parametri Modello'!$B$9))))*(1+IF('Parametri Modello'!$B$27="Si",MAX(-'Parametri Modello'!$B$28,MIN('Parametri Modello'!$B$28*1.5,IF(OR(INDEX('Parametri Modello'!$F$32:$F$35,MATCH($B319,'Parametri Modello'!$A$32:$A$35,0))="",INDEX('Parametri Modello'!$F$32:$F$35,MATCH($B319,'Parametri Modello'!$A$32:$A$35,0))=0),0,(1/INDEX('Parametri Modello'!$F$32:$F$35,MATCH($B319,'Parametri Modello'!$A$32:$A$35,0))-1)*'Parametri Modello'!$B$28))),0)))*(1-INDEX('Parametri Modello'!$B$12:$B$15,MATCH($B319,'Parametri Modello'!$A$12:$A$15,0)))),0),"")</f>
        <v>1</v>
      </c>
      <c r="H319" s="27" t="n">
        <f aca="false">IFERROR(ROUND((IF($V319&lt;=INDEX('Parametri Modello'!$C$57:$C$60,MATCH($B319,'Parametri Modello'!$A$57:$A$60,0)),IF(INDEX('Parametri Modello'!$E$57:$E$60,MATCH($B319,'Parametri Modello'!$A$57:$A$60,0))=0,0,($O319/INDEX('Parametri Modello'!$E$57:$E$60,MATCH($B319,'Parametri Modello'!$A$57:$A$60,0)))*(INDEX('Parametri Modello'!$D$57:$D$60,MATCH($B319,'Parametri Modello'!$A$57:$A$60,0))*(INDEX('Parametri Modello'!$B$50:$B$53,MATCH($B319,'Parametri Modello'!$A$50:$A$53,0))*'Parametri Modello'!$B$44))),IF(INDEX('Parametri Modello'!$F$57:$F$60,MATCH($B319,'Parametri Modello'!$A$57:$A$60,0))=0,0,($O319/INDEX('Parametri Modello'!$F$57:$F$60,MATCH($B319,'Parametri Modello'!$A$57:$A$60,0)))*((1-INDEX('Parametri Modello'!$D$57:$D$60,MATCH($B319,'Parametri Modello'!$A$57:$A$60,0)))*(INDEX('Parametri Modello'!$B$50:$B$53,MATCH($B319,'Parametri Modello'!$A$50:$A$53,0))*'Parametri Modello'!$B$44))))*(1+IF(IF($B319="D",'Info Lega'!$B$25,IF($B319="C",'Info Lega'!$B$26,"No"))="Si",'Parametri Modello'!$B$5,0))*(1+MAX(-0.25,MIN(0.25,IF(OR($T319="",$I319="",$I319=0,INDEX('Parametri Modello'!$B$19:$B$22,MATCH($B319,'Parametri Modello'!$A$19:$A$22,0))="",INDEX('Parametri Modello'!$B$19:$B$22,MATCH($B319,'Parametri Modello'!$A$19:$A$22,0))=0),0,(($T319-INDEX('Parametri Modello'!$B$19:$B$22,MATCH($B319,'Parametri Modello'!$A$19:$A$22,0)))/INDEX('Parametri Modello'!$B$19:$B$22,MATCH($B319,'Parametri Modello'!$A$19:$A$22,0)))*'Parametri Modello'!$B$9))))*(1+IF('Parametri Modello'!$B$27="Si",MAX(-'Parametri Modello'!$B$28,MIN('Parametri Modello'!$B$28*1.5,IF(OR(INDEX('Parametri Modello'!$F$32:$F$35,MATCH($B319,'Parametri Modello'!$A$32:$A$35,0))="",INDEX('Parametri Modello'!$F$32:$F$35,MATCH($B319,'Parametri Modello'!$A$32:$A$35,0))=0),0,(1/INDEX('Parametri Modello'!$F$32:$F$35,MATCH($B319,'Parametri Modello'!$A$32:$A$35,0))-1)*'Parametri Modello'!$B$28))),0)))*(1+INDEX('Parametri Modello'!$B$12:$B$15,MATCH($B319,'Parametri Modello'!$A$12:$A$15,0))),0),"")</f>
        <v>1</v>
      </c>
      <c r="I319" s="26" t="n">
        <f aca="false">IFERROR(INDEX('Input Statistiche 2025_26'!$F$3:$F$665,MATCH($A319,'Input Statistiche 2025_26'!$A$3:$A$665,0)),"")</f>
        <v>12</v>
      </c>
      <c r="J319" s="26" t="n">
        <f aca="false">IFERROR(IF($I319="","",MAX(0,38-$I319)),"")</f>
        <v>26</v>
      </c>
      <c r="K319" s="26" t="n">
        <f aca="false">IFERROR(INDEX('Input Statistiche 2025_26'!$I$3:$I$665,MATCH($A319,'Input Statistiche 2025_26'!$A$3:$A$665,0)),"")</f>
        <v>3</v>
      </c>
      <c r="L319" s="26" t="n">
        <f aca="false">IFERROR(INDEX('Input Statistiche 2025_26'!$O$3:$O$665,MATCH($A319,'Input Statistiche 2025_26'!$A$3:$A$665,0)),"")</f>
        <v>0</v>
      </c>
      <c r="M319" s="28"/>
      <c r="N319" s="27" t="n">
        <f aca="false">IFERROR(INDEX('Input Giocatori 2026_27'!$E$3:$E$493,MATCH($A319,'Input Giocatori 2026_27'!$A$3:$A$493,0)),"")</f>
        <v>5</v>
      </c>
      <c r="O319" s="27" t="n">
        <f aca="false">IFERROR(INDEX('Input Giocatori 2026_27'!$G$3:$G$493,MATCH($A319,'Input Giocatori 2026_27'!$A$3:$A$493,0)),"")</f>
        <v>10</v>
      </c>
      <c r="P319" s="26" t="str">
        <f aca="false">IFERROR(IF($O319="","",IF((1-(COUNTIFS($B$2:$B$492,$B319,$O$2:$O$492,"&gt;"&amp;$O319)+1-1)/COUNTIF($B$2:$B$492,$B319))&gt;=0.85,"Top",IF((1-(COUNTIFS($B$2:$B$492,$B319,$O$2:$O$492,"&gt;"&amp;$O319)+1-1)/COUNTIF($B$2:$B$492,$B319))&gt;=0.6,"Buono",IF((1-(COUNTIFS($B$2:$B$492,$B319,$O$2:$O$492,"&gt;"&amp;$O319)+1-1)/COUNTIF($B$2:$B$492,$B319))&gt;=0.3,"Nella Media","Scommessa/Riserva")))),"")</f>
        <v>Scommessa/Riserva</v>
      </c>
      <c r="Q319" s="29" t="n">
        <f aca="false">IF($D319="",COUNTIF($D$2:$D319,""),"")</f>
        <v>318</v>
      </c>
      <c r="R319" s="29" t="str">
        <f aca="false">IF($D319='Info Lega'!$B$28,COUNTIFS($D$2:$D319,'Info Lega'!$B$28),"")</f>
        <v/>
      </c>
      <c r="S319" s="30" t="n">
        <f aca="false">IFERROR(INDEX('Input Statistiche 2025_26'!$G$3:$G$665,MATCH($A319,'Input Statistiche 2025_26'!$A$3:$A$665,0)),"")</f>
        <v>5.96</v>
      </c>
      <c r="T319" s="30" t="n">
        <f aca="false">IFERROR(INDEX('Input Statistiche 2025_26'!$H$3:$H$665,MATCH($A319,'Input Statistiche 2025_26'!$A$3:$A$665,0)),"")</f>
        <v>6.54</v>
      </c>
      <c r="U319" s="26" t="str">
        <f aca="false">IF(OR('La Mia Rosa'!$O$12="",$D319&lt;&gt;""),"",IF($F319&lt;='La Mia Rosa'!$O$12*'Parametri Modello'!$B$24,"OK",IF($F319&lt;='La Mia Rosa'!$O$12*'Parametri Modello'!$B$25,"Attenzione","Rischio Alto")))</f>
        <v>OK</v>
      </c>
      <c r="V319" s="26" t="n">
        <f aca="false">IFERROR(COUNTIFS($B$2:$B$492,$B319,$O$2:$O$492,"&gt;"&amp;$O319)+1,"")</f>
        <v>124</v>
      </c>
      <c r="W319" s="21" t="n">
        <f aca="false">'Info Lega'!$B$4-SUMIFS($M$2:$M$492,$D$2:$D$492,'Info Lega'!$B$28)</f>
        <v>1000</v>
      </c>
      <c r="X319" s="21" t="n">
        <f aca="false">('Info Lega'!$B$5-COUNTIFS($D$2:$D$492,'Info Lega'!$B$28,$B$2:$B$492,"P"))+('Info Lega'!$B$6-COUNTIFS($D$2:$D$492,'Info Lega'!$B$28,$B$2:$B$492,"D"))+('Info Lega'!$B$7-COUNTIFS($D$2:$D$492,'Info Lega'!$B$28,$B$2:$B$492,"C"))+('Info Lega'!$B$8-COUNTIFS($D$2:$D$492,'Info Lega'!$B$28,$B$2:$B$492,"A"))</f>
        <v>25</v>
      </c>
      <c r="Y319" s="21" t="n">
        <f aca="false">X319*'Parametri Modello'!$B$30</f>
        <v>25</v>
      </c>
      <c r="Z319" s="21" t="n">
        <f aca="false">MAX(0,W319-Y319)</f>
        <v>975</v>
      </c>
      <c r="AA319" s="21" t="n">
        <f aca="false">MIN(F319,Z319)</f>
        <v>1</v>
      </c>
      <c r="AB319" s="21"/>
      <c r="AC319" s="21" t="str">
        <f aca="false">IF(AB319="","",IF(AB319&gt;AA319,"PASS",IF(AB319&lt;=AA319*0.85,"BID","ATTENZIONE")))</f>
        <v/>
      </c>
      <c r="AD319" s="31" t="n">
        <f aca="false">IF(I319="","",ROUND(100*(1-EXP(-I319/30)),0))</f>
        <v>33</v>
      </c>
      <c r="AE319" s="7" t="str">
        <f aca="false">IFERROR(INDEX('Stato Asta'!$G$9:$G$12,MATCH($B319,'Stato Asta'!$A$9:$A$12,0)),"")</f>
        <v>🟡 Attesa rischiosa</v>
      </c>
    </row>
    <row r="320" customFormat="false" ht="14.25" hidden="false" customHeight="true" outlineLevel="0" collapsed="false">
      <c r="A320" s="21" t="n">
        <v>6054</v>
      </c>
      <c r="B320" s="21" t="s">
        <v>45</v>
      </c>
      <c r="C320" s="21" t="s">
        <v>473</v>
      </c>
      <c r="E320" s="26" t="str">
        <f aca="false">IF(COUNTIF('Info Strategia'!$D$2:$D$51,$C320)&gt;0,"SI","NO")</f>
        <v>NO</v>
      </c>
      <c r="F320" s="27" t="n">
        <f aca="false">IFERROR(ROUND(($G320+($H320-$G320)*'Info Strategia'!$B$6)*(1+IF($E320="SI",'Parametri Modello'!$B$7*'Info Strategia'!$B$6,0)),0),"")</f>
        <v>1</v>
      </c>
      <c r="G320" s="27" t="n">
        <f aca="false">IFERROR(ROUND(MAX(1,(IF($V320&lt;=INDEX('Parametri Modello'!$C$57:$C$60,MATCH($B320,'Parametri Modello'!$A$57:$A$60,0)),IF(INDEX('Parametri Modello'!$E$57:$E$60,MATCH($B320,'Parametri Modello'!$A$57:$A$60,0))=0,0,($O320/INDEX('Parametri Modello'!$E$57:$E$60,MATCH($B320,'Parametri Modello'!$A$57:$A$60,0)))*(INDEX('Parametri Modello'!$D$57:$D$60,MATCH($B320,'Parametri Modello'!$A$57:$A$60,0))*(INDEX('Parametri Modello'!$B$50:$B$53,MATCH($B320,'Parametri Modello'!$A$50:$A$53,0))*'Parametri Modello'!$B$44))),IF(INDEX('Parametri Modello'!$F$57:$F$60,MATCH($B320,'Parametri Modello'!$A$57:$A$60,0))=0,0,($O320/INDEX('Parametri Modello'!$F$57:$F$60,MATCH($B320,'Parametri Modello'!$A$57:$A$60,0)))*((1-INDEX('Parametri Modello'!$D$57:$D$60,MATCH($B320,'Parametri Modello'!$A$57:$A$60,0)))*(INDEX('Parametri Modello'!$B$50:$B$53,MATCH($B320,'Parametri Modello'!$A$50:$A$53,0))*'Parametri Modello'!$B$44))))*(1+IF(IF($B320="D",'Info Lega'!$B$25,IF($B320="C",'Info Lega'!$B$26,"No"))="Si",'Parametri Modello'!$B$5,0))*(1+MAX(-0.25,MIN(0.25,IF(OR($T320="",$I320="",$I320=0,INDEX('Parametri Modello'!$B$19:$B$22,MATCH($B320,'Parametri Modello'!$A$19:$A$22,0))="",INDEX('Parametri Modello'!$B$19:$B$22,MATCH($B320,'Parametri Modello'!$A$19:$A$22,0))=0),0,(($T320-INDEX('Parametri Modello'!$B$19:$B$22,MATCH($B320,'Parametri Modello'!$A$19:$A$22,0)))/INDEX('Parametri Modello'!$B$19:$B$22,MATCH($B320,'Parametri Modello'!$A$19:$A$22,0)))*'Parametri Modello'!$B$9))))*(1+IF('Parametri Modello'!$B$27="Si",MAX(-'Parametri Modello'!$B$28,MIN('Parametri Modello'!$B$28*1.5,IF(OR(INDEX('Parametri Modello'!$F$32:$F$35,MATCH($B320,'Parametri Modello'!$A$32:$A$35,0))="",INDEX('Parametri Modello'!$F$32:$F$35,MATCH($B320,'Parametri Modello'!$A$32:$A$35,0))=0),0,(1/INDEX('Parametri Modello'!$F$32:$F$35,MATCH($B320,'Parametri Modello'!$A$32:$A$35,0))-1)*'Parametri Modello'!$B$28))),0)))*(1-INDEX('Parametri Modello'!$B$12:$B$15,MATCH($B320,'Parametri Modello'!$A$12:$A$15,0)))),0),"")</f>
        <v>1</v>
      </c>
      <c r="H320" s="27" t="n">
        <f aca="false">IFERROR(ROUND((IF($V320&lt;=INDEX('Parametri Modello'!$C$57:$C$60,MATCH($B320,'Parametri Modello'!$A$57:$A$60,0)),IF(INDEX('Parametri Modello'!$E$57:$E$60,MATCH($B320,'Parametri Modello'!$A$57:$A$60,0))=0,0,($O320/INDEX('Parametri Modello'!$E$57:$E$60,MATCH($B320,'Parametri Modello'!$A$57:$A$60,0)))*(INDEX('Parametri Modello'!$D$57:$D$60,MATCH($B320,'Parametri Modello'!$A$57:$A$60,0))*(INDEX('Parametri Modello'!$B$50:$B$53,MATCH($B320,'Parametri Modello'!$A$50:$A$53,0))*'Parametri Modello'!$B$44))),IF(INDEX('Parametri Modello'!$F$57:$F$60,MATCH($B320,'Parametri Modello'!$A$57:$A$60,0))=0,0,($O320/INDEX('Parametri Modello'!$F$57:$F$60,MATCH($B320,'Parametri Modello'!$A$57:$A$60,0)))*((1-INDEX('Parametri Modello'!$D$57:$D$60,MATCH($B320,'Parametri Modello'!$A$57:$A$60,0)))*(INDEX('Parametri Modello'!$B$50:$B$53,MATCH($B320,'Parametri Modello'!$A$50:$A$53,0))*'Parametri Modello'!$B$44))))*(1+IF(IF($B320="D",'Info Lega'!$B$25,IF($B320="C",'Info Lega'!$B$26,"No"))="Si",'Parametri Modello'!$B$5,0))*(1+MAX(-0.25,MIN(0.25,IF(OR($T320="",$I320="",$I320=0,INDEX('Parametri Modello'!$B$19:$B$22,MATCH($B320,'Parametri Modello'!$A$19:$A$22,0))="",INDEX('Parametri Modello'!$B$19:$B$22,MATCH($B320,'Parametri Modello'!$A$19:$A$22,0))=0),0,(($T320-INDEX('Parametri Modello'!$B$19:$B$22,MATCH($B320,'Parametri Modello'!$A$19:$A$22,0)))/INDEX('Parametri Modello'!$B$19:$B$22,MATCH($B320,'Parametri Modello'!$A$19:$A$22,0)))*'Parametri Modello'!$B$9))))*(1+IF('Parametri Modello'!$B$27="Si",MAX(-'Parametri Modello'!$B$28,MIN('Parametri Modello'!$B$28*1.5,IF(OR(INDEX('Parametri Modello'!$F$32:$F$35,MATCH($B320,'Parametri Modello'!$A$32:$A$35,0))="",INDEX('Parametri Modello'!$F$32:$F$35,MATCH($B320,'Parametri Modello'!$A$32:$A$35,0))=0),0,(1/INDEX('Parametri Modello'!$F$32:$F$35,MATCH($B320,'Parametri Modello'!$A$32:$A$35,0))-1)*'Parametri Modello'!$B$28))),0)))*(1+INDEX('Parametri Modello'!$B$12:$B$15,MATCH($B320,'Parametri Modello'!$A$12:$A$15,0))),0),"")</f>
        <v>1</v>
      </c>
      <c r="I320" s="26" t="n">
        <f aca="false">IFERROR(INDEX('Input Statistiche 2025_26'!$F$3:$F$665,MATCH($A320,'Input Statistiche 2025_26'!$A$3:$A$665,0)),"")</f>
        <v>28</v>
      </c>
      <c r="J320" s="26" t="n">
        <f aca="false">IFERROR(IF($I320="","",MAX(0,38-$I320)),"")</f>
        <v>10</v>
      </c>
      <c r="K320" s="26" t="n">
        <f aca="false">IFERROR(INDEX('Input Statistiche 2025_26'!$I$3:$I$665,MATCH($A320,'Input Statistiche 2025_26'!$A$3:$A$665,0)),"")</f>
        <v>2</v>
      </c>
      <c r="L320" s="26" t="n">
        <f aca="false">IFERROR(INDEX('Input Statistiche 2025_26'!$O$3:$O$665,MATCH($A320,'Input Statistiche 2025_26'!$A$3:$A$665,0)),"")</f>
        <v>0</v>
      </c>
      <c r="M320" s="28"/>
      <c r="N320" s="27" t="n">
        <f aca="false">IFERROR(INDEX('Input Giocatori 2026_27'!$E$3:$E$493,MATCH($A320,'Input Giocatori 2026_27'!$A$3:$A$493,0)),"")</f>
        <v>4</v>
      </c>
      <c r="O320" s="27" t="n">
        <f aca="false">IFERROR(INDEX('Input Giocatori 2026_27'!$G$3:$G$493,MATCH($A320,'Input Giocatori 2026_27'!$A$3:$A$493,0)),"")</f>
        <v>10</v>
      </c>
      <c r="P320" s="26" t="str">
        <f aca="false">IFERROR(IF($O320="","",IF((1-(COUNTIFS($B$2:$B$492,$B320,$O$2:$O$492,"&gt;"&amp;$O320)+1-1)/COUNTIF($B$2:$B$492,$B320))&gt;=0.85,"Top",IF((1-(COUNTIFS($B$2:$B$492,$B320,$O$2:$O$492,"&gt;"&amp;$O320)+1-1)/COUNTIF($B$2:$B$492,$B320))&gt;=0.6,"Buono",IF((1-(COUNTIFS($B$2:$B$492,$B320,$O$2:$O$492,"&gt;"&amp;$O320)+1-1)/COUNTIF($B$2:$B$492,$B320))&gt;=0.3,"Nella Media","Scommessa/Riserva")))),"")</f>
        <v>Scommessa/Riserva</v>
      </c>
      <c r="Q320" s="29" t="n">
        <f aca="false">IF($D320="",COUNTIF($D$2:$D320,""),"")</f>
        <v>319</v>
      </c>
      <c r="R320" s="29" t="str">
        <f aca="false">IF($D320='Info Lega'!$B$28,COUNTIFS($D$2:$D320,'Info Lega'!$B$28),"")</f>
        <v/>
      </c>
      <c r="S320" s="30" t="n">
        <f aca="false">IFERROR(INDEX('Input Statistiche 2025_26'!$G$3:$G$665,MATCH($A320,'Input Statistiche 2025_26'!$A$3:$A$665,0)),"")</f>
        <v>5.93</v>
      </c>
      <c r="T320" s="30" t="n">
        <f aca="false">IFERROR(INDEX('Input Statistiche 2025_26'!$H$3:$H$665,MATCH($A320,'Input Statistiche 2025_26'!$A$3:$A$665,0)),"")</f>
        <v>6.12</v>
      </c>
      <c r="U320" s="26" t="str">
        <f aca="false">IF(OR('La Mia Rosa'!$O$12="",$D320&lt;&gt;""),"",IF($F320&lt;='La Mia Rosa'!$O$12*'Parametri Modello'!$B$24,"OK",IF($F320&lt;='La Mia Rosa'!$O$12*'Parametri Modello'!$B$25,"Attenzione","Rischio Alto")))</f>
        <v>OK</v>
      </c>
      <c r="V320" s="26" t="n">
        <f aca="false">IFERROR(COUNTIFS($B$2:$B$492,$B320,$O$2:$O$492,"&gt;"&amp;$O320)+1,"")</f>
        <v>124</v>
      </c>
      <c r="W320" s="21" t="n">
        <f aca="false">'Info Lega'!$B$4-SUMIFS($M$2:$M$492,$D$2:$D$492,'Info Lega'!$B$28)</f>
        <v>1000</v>
      </c>
      <c r="X320" s="21" t="n">
        <f aca="false">('Info Lega'!$B$5-COUNTIFS($D$2:$D$492,'Info Lega'!$B$28,$B$2:$B$492,"P"))+('Info Lega'!$B$6-COUNTIFS($D$2:$D$492,'Info Lega'!$B$28,$B$2:$B$492,"D"))+('Info Lega'!$B$7-COUNTIFS($D$2:$D$492,'Info Lega'!$B$28,$B$2:$B$492,"C"))+('Info Lega'!$B$8-COUNTIFS($D$2:$D$492,'Info Lega'!$B$28,$B$2:$B$492,"A"))</f>
        <v>25</v>
      </c>
      <c r="Y320" s="21" t="n">
        <f aca="false">X320*'Parametri Modello'!$B$30</f>
        <v>25</v>
      </c>
      <c r="Z320" s="21" t="n">
        <f aca="false">MAX(0,W320-Y320)</f>
        <v>975</v>
      </c>
      <c r="AA320" s="21" t="n">
        <f aca="false">MIN(F320,Z320)</f>
        <v>1</v>
      </c>
      <c r="AB320" s="21"/>
      <c r="AC320" s="21" t="str">
        <f aca="false">IF(AB320="","",IF(AB320&gt;AA320,"PASS",IF(AB320&lt;=AA320*0.85,"BID","ATTENZIONE")))</f>
        <v/>
      </c>
      <c r="AD320" s="31" t="n">
        <f aca="false">IF(I320="","",ROUND(100*(1-EXP(-I320/30)),0))</f>
        <v>61</v>
      </c>
      <c r="AE320" s="7" t="str">
        <f aca="false">IFERROR(INDEX('Stato Asta'!$G$9:$G$12,MATCH($B320,'Stato Asta'!$A$9:$A$12,0)),"")</f>
        <v>🟡 Attesa rischiosa</v>
      </c>
    </row>
    <row r="321" customFormat="false" ht="14.25" hidden="false" customHeight="true" outlineLevel="0" collapsed="false">
      <c r="A321" s="21" t="n">
        <v>6252</v>
      </c>
      <c r="B321" s="21" t="s">
        <v>45</v>
      </c>
      <c r="C321" s="21" t="s">
        <v>486</v>
      </c>
      <c r="E321" s="26" t="str">
        <f aca="false">IF(COUNTIF('Info Strategia'!$D$2:$D$51,$C321)&gt;0,"SI","NO")</f>
        <v>NO</v>
      </c>
      <c r="F321" s="27" t="n">
        <f aca="false">IFERROR(ROUND(($G321+($H321-$G321)*'Info Strategia'!$B$6)*(1+IF($E321="SI",'Parametri Modello'!$B$7*'Info Strategia'!$B$6,0)),0),"")</f>
        <v>1</v>
      </c>
      <c r="G321" s="27" t="n">
        <f aca="false">IFERROR(ROUND(MAX(1,(IF($V321&lt;=INDEX('Parametri Modello'!$C$57:$C$60,MATCH($B321,'Parametri Modello'!$A$57:$A$60,0)),IF(INDEX('Parametri Modello'!$E$57:$E$60,MATCH($B321,'Parametri Modello'!$A$57:$A$60,0))=0,0,($O321/INDEX('Parametri Modello'!$E$57:$E$60,MATCH($B321,'Parametri Modello'!$A$57:$A$60,0)))*(INDEX('Parametri Modello'!$D$57:$D$60,MATCH($B321,'Parametri Modello'!$A$57:$A$60,0))*(INDEX('Parametri Modello'!$B$50:$B$53,MATCH($B321,'Parametri Modello'!$A$50:$A$53,0))*'Parametri Modello'!$B$44))),IF(INDEX('Parametri Modello'!$F$57:$F$60,MATCH($B321,'Parametri Modello'!$A$57:$A$60,0))=0,0,($O321/INDEX('Parametri Modello'!$F$57:$F$60,MATCH($B321,'Parametri Modello'!$A$57:$A$60,0)))*((1-INDEX('Parametri Modello'!$D$57:$D$60,MATCH($B321,'Parametri Modello'!$A$57:$A$60,0)))*(INDEX('Parametri Modello'!$B$50:$B$53,MATCH($B321,'Parametri Modello'!$A$50:$A$53,0))*'Parametri Modello'!$B$44))))*(1+IF(IF($B321="D",'Info Lega'!$B$25,IF($B321="C",'Info Lega'!$B$26,"No"))="Si",'Parametri Modello'!$B$5,0))*(1+MAX(-0.25,MIN(0.25,IF(OR($T321="",$I321="",$I321=0,INDEX('Parametri Modello'!$B$19:$B$22,MATCH($B321,'Parametri Modello'!$A$19:$A$22,0))="",INDEX('Parametri Modello'!$B$19:$B$22,MATCH($B321,'Parametri Modello'!$A$19:$A$22,0))=0),0,(($T321-INDEX('Parametri Modello'!$B$19:$B$22,MATCH($B321,'Parametri Modello'!$A$19:$A$22,0)))/INDEX('Parametri Modello'!$B$19:$B$22,MATCH($B321,'Parametri Modello'!$A$19:$A$22,0)))*'Parametri Modello'!$B$9))))*(1+IF('Parametri Modello'!$B$27="Si",MAX(-'Parametri Modello'!$B$28,MIN('Parametri Modello'!$B$28*1.5,IF(OR(INDEX('Parametri Modello'!$F$32:$F$35,MATCH($B321,'Parametri Modello'!$A$32:$A$35,0))="",INDEX('Parametri Modello'!$F$32:$F$35,MATCH($B321,'Parametri Modello'!$A$32:$A$35,0))=0),0,(1/INDEX('Parametri Modello'!$F$32:$F$35,MATCH($B321,'Parametri Modello'!$A$32:$A$35,0))-1)*'Parametri Modello'!$B$28))),0)))*(1-INDEX('Parametri Modello'!$B$12:$B$15,MATCH($B321,'Parametri Modello'!$A$12:$A$15,0)))),0),"")</f>
        <v>1</v>
      </c>
      <c r="H321" s="27" t="n">
        <f aca="false">IFERROR(ROUND((IF($V321&lt;=INDEX('Parametri Modello'!$C$57:$C$60,MATCH($B321,'Parametri Modello'!$A$57:$A$60,0)),IF(INDEX('Parametri Modello'!$E$57:$E$60,MATCH($B321,'Parametri Modello'!$A$57:$A$60,0))=0,0,($O321/INDEX('Parametri Modello'!$E$57:$E$60,MATCH($B321,'Parametri Modello'!$A$57:$A$60,0)))*(INDEX('Parametri Modello'!$D$57:$D$60,MATCH($B321,'Parametri Modello'!$A$57:$A$60,0))*(INDEX('Parametri Modello'!$B$50:$B$53,MATCH($B321,'Parametri Modello'!$A$50:$A$53,0))*'Parametri Modello'!$B$44))),IF(INDEX('Parametri Modello'!$F$57:$F$60,MATCH($B321,'Parametri Modello'!$A$57:$A$60,0))=0,0,($O321/INDEX('Parametri Modello'!$F$57:$F$60,MATCH($B321,'Parametri Modello'!$A$57:$A$60,0)))*((1-INDEX('Parametri Modello'!$D$57:$D$60,MATCH($B321,'Parametri Modello'!$A$57:$A$60,0)))*(INDEX('Parametri Modello'!$B$50:$B$53,MATCH($B321,'Parametri Modello'!$A$50:$A$53,0))*'Parametri Modello'!$B$44))))*(1+IF(IF($B321="D",'Info Lega'!$B$25,IF($B321="C",'Info Lega'!$B$26,"No"))="Si",'Parametri Modello'!$B$5,0))*(1+MAX(-0.25,MIN(0.25,IF(OR($T321="",$I321="",$I321=0,INDEX('Parametri Modello'!$B$19:$B$22,MATCH($B321,'Parametri Modello'!$A$19:$A$22,0))="",INDEX('Parametri Modello'!$B$19:$B$22,MATCH($B321,'Parametri Modello'!$A$19:$A$22,0))=0),0,(($T321-INDEX('Parametri Modello'!$B$19:$B$22,MATCH($B321,'Parametri Modello'!$A$19:$A$22,0)))/INDEX('Parametri Modello'!$B$19:$B$22,MATCH($B321,'Parametri Modello'!$A$19:$A$22,0)))*'Parametri Modello'!$B$9))))*(1+IF('Parametri Modello'!$B$27="Si",MAX(-'Parametri Modello'!$B$28,MIN('Parametri Modello'!$B$28*1.5,IF(OR(INDEX('Parametri Modello'!$F$32:$F$35,MATCH($B321,'Parametri Modello'!$A$32:$A$35,0))="",INDEX('Parametri Modello'!$F$32:$F$35,MATCH($B321,'Parametri Modello'!$A$32:$A$35,0))=0),0,(1/INDEX('Parametri Modello'!$F$32:$F$35,MATCH($B321,'Parametri Modello'!$A$32:$A$35,0))-1)*'Parametri Modello'!$B$28))),0)))*(1+INDEX('Parametri Modello'!$B$12:$B$15,MATCH($B321,'Parametri Modello'!$A$12:$A$15,0))),0),"")</f>
        <v>1</v>
      </c>
      <c r="I321" s="26" t="n">
        <f aca="false">IFERROR(INDEX('Input Statistiche 2025_26'!$F$3:$F$665,MATCH($A321,'Input Statistiche 2025_26'!$A$3:$A$665,0)),"")</f>
        <v>26</v>
      </c>
      <c r="J321" s="26" t="n">
        <f aca="false">IFERROR(IF($I321="","",MAX(0,38-$I321)),"")</f>
        <v>12</v>
      </c>
      <c r="K321" s="26" t="n">
        <f aca="false">IFERROR(INDEX('Input Statistiche 2025_26'!$I$3:$I$665,MATCH($A321,'Input Statistiche 2025_26'!$A$3:$A$665,0)),"")</f>
        <v>2</v>
      </c>
      <c r="L321" s="26" t="n">
        <f aca="false">IFERROR(INDEX('Input Statistiche 2025_26'!$O$3:$O$665,MATCH($A321,'Input Statistiche 2025_26'!$A$3:$A$665,0)),"")</f>
        <v>0</v>
      </c>
      <c r="M321" s="28"/>
      <c r="N321" s="27" t="n">
        <f aca="false">IFERROR(INDEX('Input Giocatori 2026_27'!$E$3:$E$493,MATCH($A321,'Input Giocatori 2026_27'!$A$3:$A$493,0)),"")</f>
        <v>4</v>
      </c>
      <c r="O321" s="27" t="n">
        <f aca="false">IFERROR(INDEX('Input Giocatori 2026_27'!$G$3:$G$493,MATCH($A321,'Input Giocatori 2026_27'!$A$3:$A$493,0)),"")</f>
        <v>10</v>
      </c>
      <c r="P321" s="26" t="str">
        <f aca="false">IFERROR(IF($O321="","",IF((1-(COUNTIFS($B$2:$B$492,$B321,$O$2:$O$492,"&gt;"&amp;$O321)+1-1)/COUNTIF($B$2:$B$492,$B321))&gt;=0.85,"Top",IF((1-(COUNTIFS($B$2:$B$492,$B321,$O$2:$O$492,"&gt;"&amp;$O321)+1-1)/COUNTIF($B$2:$B$492,$B321))&gt;=0.6,"Buono",IF((1-(COUNTIFS($B$2:$B$492,$B321,$O$2:$O$492,"&gt;"&amp;$O321)+1-1)/COUNTIF($B$2:$B$492,$B321))&gt;=0.3,"Nella Media","Scommessa/Riserva")))),"")</f>
        <v>Scommessa/Riserva</v>
      </c>
      <c r="Q321" s="29" t="n">
        <f aca="false">IF($D321="",COUNTIF($D$2:$D321,""),"")</f>
        <v>320</v>
      </c>
      <c r="R321" s="29" t="str">
        <f aca="false">IF($D321='Info Lega'!$B$28,COUNTIFS($D$2:$D321,'Info Lega'!$B$28),"")</f>
        <v/>
      </c>
      <c r="S321" s="30" t="n">
        <f aca="false">IFERROR(INDEX('Input Statistiche 2025_26'!$G$3:$G$665,MATCH($A321,'Input Statistiche 2025_26'!$A$3:$A$665,0)),"")</f>
        <v>6.04</v>
      </c>
      <c r="T321" s="30" t="n">
        <f aca="false">IFERROR(INDEX('Input Statistiche 2025_26'!$H$3:$H$665,MATCH($A321,'Input Statistiche 2025_26'!$A$3:$A$665,0)),"")</f>
        <v>6.21</v>
      </c>
      <c r="U321" s="26" t="str">
        <f aca="false">IF(OR('La Mia Rosa'!$O$12="",$D321&lt;&gt;""),"",IF($F321&lt;='La Mia Rosa'!$O$12*'Parametri Modello'!$B$24,"OK",IF($F321&lt;='La Mia Rosa'!$O$12*'Parametri Modello'!$B$25,"Attenzione","Rischio Alto")))</f>
        <v>OK</v>
      </c>
      <c r="V321" s="26" t="n">
        <f aca="false">IFERROR(COUNTIFS($B$2:$B$492,$B321,$O$2:$O$492,"&gt;"&amp;$O321)+1,"")</f>
        <v>124</v>
      </c>
      <c r="W321" s="21" t="n">
        <f aca="false">'Info Lega'!$B$4-SUMIFS($M$2:$M$492,$D$2:$D$492,'Info Lega'!$B$28)</f>
        <v>1000</v>
      </c>
      <c r="X321" s="21" t="n">
        <f aca="false">('Info Lega'!$B$5-COUNTIFS($D$2:$D$492,'Info Lega'!$B$28,$B$2:$B$492,"P"))+('Info Lega'!$B$6-COUNTIFS($D$2:$D$492,'Info Lega'!$B$28,$B$2:$B$492,"D"))+('Info Lega'!$B$7-COUNTIFS($D$2:$D$492,'Info Lega'!$B$28,$B$2:$B$492,"C"))+('Info Lega'!$B$8-COUNTIFS($D$2:$D$492,'Info Lega'!$B$28,$B$2:$B$492,"A"))</f>
        <v>25</v>
      </c>
      <c r="Y321" s="21" t="n">
        <f aca="false">X321*'Parametri Modello'!$B$30</f>
        <v>25</v>
      </c>
      <c r="Z321" s="21" t="n">
        <f aca="false">MAX(0,W321-Y321)</f>
        <v>975</v>
      </c>
      <c r="AA321" s="21" t="n">
        <f aca="false">MIN(F321,Z321)</f>
        <v>1</v>
      </c>
      <c r="AB321" s="21"/>
      <c r="AC321" s="21" t="str">
        <f aca="false">IF(AB321="","",IF(AB321&gt;AA321,"PASS",IF(AB321&lt;=AA321*0.85,"BID","ATTENZIONE")))</f>
        <v/>
      </c>
      <c r="AD321" s="31" t="n">
        <f aca="false">IF(I321="","",ROUND(100*(1-EXP(-I321/30)),0))</f>
        <v>58</v>
      </c>
      <c r="AE321" s="7" t="str">
        <f aca="false">IFERROR(INDEX('Stato Asta'!$G$9:$G$12,MATCH($B321,'Stato Asta'!$A$9:$A$12,0)),"")</f>
        <v>🟡 Attesa rischiosa</v>
      </c>
    </row>
    <row r="322" customFormat="false" ht="14.25" hidden="false" customHeight="true" outlineLevel="0" collapsed="false">
      <c r="A322" s="21" t="n">
        <v>6005</v>
      </c>
      <c r="B322" s="21" t="s">
        <v>45</v>
      </c>
      <c r="C322" s="21" t="s">
        <v>490</v>
      </c>
      <c r="E322" s="26" t="str">
        <f aca="false">IF(COUNTIF('Info Strategia'!$D$2:$D$51,$C322)&gt;0,"SI","NO")</f>
        <v>NO</v>
      </c>
      <c r="F322" s="27" t="n">
        <f aca="false">IFERROR(ROUND(($G322+($H322-$G322)*'Info Strategia'!$B$6)*(1+IF($E322="SI",'Parametri Modello'!$B$7*'Info Strategia'!$B$6,0)),0),"")</f>
        <v>1</v>
      </c>
      <c r="G322" s="27" t="n">
        <f aca="false">IFERROR(ROUND(MAX(1,(IF($V322&lt;=INDEX('Parametri Modello'!$C$57:$C$60,MATCH($B322,'Parametri Modello'!$A$57:$A$60,0)),IF(INDEX('Parametri Modello'!$E$57:$E$60,MATCH($B322,'Parametri Modello'!$A$57:$A$60,0))=0,0,($O322/INDEX('Parametri Modello'!$E$57:$E$60,MATCH($B322,'Parametri Modello'!$A$57:$A$60,0)))*(INDEX('Parametri Modello'!$D$57:$D$60,MATCH($B322,'Parametri Modello'!$A$57:$A$60,0))*(INDEX('Parametri Modello'!$B$50:$B$53,MATCH($B322,'Parametri Modello'!$A$50:$A$53,0))*'Parametri Modello'!$B$44))),IF(INDEX('Parametri Modello'!$F$57:$F$60,MATCH($B322,'Parametri Modello'!$A$57:$A$60,0))=0,0,($O322/INDEX('Parametri Modello'!$F$57:$F$60,MATCH($B322,'Parametri Modello'!$A$57:$A$60,0)))*((1-INDEX('Parametri Modello'!$D$57:$D$60,MATCH($B322,'Parametri Modello'!$A$57:$A$60,0)))*(INDEX('Parametri Modello'!$B$50:$B$53,MATCH($B322,'Parametri Modello'!$A$50:$A$53,0))*'Parametri Modello'!$B$44))))*(1+IF(IF($B322="D",'Info Lega'!$B$25,IF($B322="C",'Info Lega'!$B$26,"No"))="Si",'Parametri Modello'!$B$5,0))*(1+MAX(-0.25,MIN(0.25,IF(OR($T322="",$I322="",$I322=0,INDEX('Parametri Modello'!$B$19:$B$22,MATCH($B322,'Parametri Modello'!$A$19:$A$22,0))="",INDEX('Parametri Modello'!$B$19:$B$22,MATCH($B322,'Parametri Modello'!$A$19:$A$22,0))=0),0,(($T322-INDEX('Parametri Modello'!$B$19:$B$22,MATCH($B322,'Parametri Modello'!$A$19:$A$22,0)))/INDEX('Parametri Modello'!$B$19:$B$22,MATCH($B322,'Parametri Modello'!$A$19:$A$22,0)))*'Parametri Modello'!$B$9))))*(1+IF('Parametri Modello'!$B$27="Si",MAX(-'Parametri Modello'!$B$28,MIN('Parametri Modello'!$B$28*1.5,IF(OR(INDEX('Parametri Modello'!$F$32:$F$35,MATCH($B322,'Parametri Modello'!$A$32:$A$35,0))="",INDEX('Parametri Modello'!$F$32:$F$35,MATCH($B322,'Parametri Modello'!$A$32:$A$35,0))=0),0,(1/INDEX('Parametri Modello'!$F$32:$F$35,MATCH($B322,'Parametri Modello'!$A$32:$A$35,0))-1)*'Parametri Modello'!$B$28))),0)))*(1-INDEX('Parametri Modello'!$B$12:$B$15,MATCH($B322,'Parametri Modello'!$A$12:$A$15,0)))),0),"")</f>
        <v>1</v>
      </c>
      <c r="H322" s="27" t="n">
        <f aca="false">IFERROR(ROUND((IF($V322&lt;=INDEX('Parametri Modello'!$C$57:$C$60,MATCH($B322,'Parametri Modello'!$A$57:$A$60,0)),IF(INDEX('Parametri Modello'!$E$57:$E$60,MATCH($B322,'Parametri Modello'!$A$57:$A$60,0))=0,0,($O322/INDEX('Parametri Modello'!$E$57:$E$60,MATCH($B322,'Parametri Modello'!$A$57:$A$60,0)))*(INDEX('Parametri Modello'!$D$57:$D$60,MATCH($B322,'Parametri Modello'!$A$57:$A$60,0))*(INDEX('Parametri Modello'!$B$50:$B$53,MATCH($B322,'Parametri Modello'!$A$50:$A$53,0))*'Parametri Modello'!$B$44))),IF(INDEX('Parametri Modello'!$F$57:$F$60,MATCH($B322,'Parametri Modello'!$A$57:$A$60,0))=0,0,($O322/INDEX('Parametri Modello'!$F$57:$F$60,MATCH($B322,'Parametri Modello'!$A$57:$A$60,0)))*((1-INDEX('Parametri Modello'!$D$57:$D$60,MATCH($B322,'Parametri Modello'!$A$57:$A$60,0)))*(INDEX('Parametri Modello'!$B$50:$B$53,MATCH($B322,'Parametri Modello'!$A$50:$A$53,0))*'Parametri Modello'!$B$44))))*(1+IF(IF($B322="D",'Info Lega'!$B$25,IF($B322="C",'Info Lega'!$B$26,"No"))="Si",'Parametri Modello'!$B$5,0))*(1+MAX(-0.25,MIN(0.25,IF(OR($T322="",$I322="",$I322=0,INDEX('Parametri Modello'!$B$19:$B$22,MATCH($B322,'Parametri Modello'!$A$19:$A$22,0))="",INDEX('Parametri Modello'!$B$19:$B$22,MATCH($B322,'Parametri Modello'!$A$19:$A$22,0))=0),0,(($T322-INDEX('Parametri Modello'!$B$19:$B$22,MATCH($B322,'Parametri Modello'!$A$19:$A$22,0)))/INDEX('Parametri Modello'!$B$19:$B$22,MATCH($B322,'Parametri Modello'!$A$19:$A$22,0)))*'Parametri Modello'!$B$9))))*(1+IF('Parametri Modello'!$B$27="Si",MAX(-'Parametri Modello'!$B$28,MIN('Parametri Modello'!$B$28*1.5,IF(OR(INDEX('Parametri Modello'!$F$32:$F$35,MATCH($B322,'Parametri Modello'!$A$32:$A$35,0))="",INDEX('Parametri Modello'!$F$32:$F$35,MATCH($B322,'Parametri Modello'!$A$32:$A$35,0))=0),0,(1/INDEX('Parametri Modello'!$F$32:$F$35,MATCH($B322,'Parametri Modello'!$A$32:$A$35,0))-1)*'Parametri Modello'!$B$28))),0)))*(1+INDEX('Parametri Modello'!$B$12:$B$15,MATCH($B322,'Parametri Modello'!$A$12:$A$15,0))),0),"")</f>
        <v>1</v>
      </c>
      <c r="I322" s="26" t="n">
        <f aca="false">IFERROR(INDEX('Input Statistiche 2025_26'!$F$3:$F$665,MATCH($A322,'Input Statistiche 2025_26'!$A$3:$A$665,0)),"")</f>
        <v>17</v>
      </c>
      <c r="J322" s="26" t="n">
        <f aca="false">IFERROR(IF($I322="","",MAX(0,38-$I322)),"")</f>
        <v>21</v>
      </c>
      <c r="K322" s="26" t="n">
        <f aca="false">IFERROR(INDEX('Input Statistiche 2025_26'!$I$3:$I$665,MATCH($A322,'Input Statistiche 2025_26'!$A$3:$A$665,0)),"")</f>
        <v>1</v>
      </c>
      <c r="L322" s="26" t="n">
        <f aca="false">IFERROR(INDEX('Input Statistiche 2025_26'!$O$3:$O$665,MATCH($A322,'Input Statistiche 2025_26'!$A$3:$A$665,0)),"")</f>
        <v>2</v>
      </c>
      <c r="M322" s="28"/>
      <c r="N322" s="27" t="n">
        <f aca="false">IFERROR(INDEX('Input Giocatori 2026_27'!$E$3:$E$493,MATCH($A322,'Input Giocatori 2026_27'!$A$3:$A$493,0)),"")</f>
        <v>4</v>
      </c>
      <c r="O322" s="27" t="n">
        <f aca="false">IFERROR(INDEX('Input Giocatori 2026_27'!$G$3:$G$493,MATCH($A322,'Input Giocatori 2026_27'!$A$3:$A$493,0)),"")</f>
        <v>10</v>
      </c>
      <c r="P322" s="26" t="str">
        <f aca="false">IFERROR(IF($O322="","",IF((1-(COUNTIFS($B$2:$B$492,$B322,$O$2:$O$492,"&gt;"&amp;$O322)+1-1)/COUNTIF($B$2:$B$492,$B322))&gt;=0.85,"Top",IF((1-(COUNTIFS($B$2:$B$492,$B322,$O$2:$O$492,"&gt;"&amp;$O322)+1-1)/COUNTIF($B$2:$B$492,$B322))&gt;=0.6,"Buono",IF((1-(COUNTIFS($B$2:$B$492,$B322,$O$2:$O$492,"&gt;"&amp;$O322)+1-1)/COUNTIF($B$2:$B$492,$B322))&gt;=0.3,"Nella Media","Scommessa/Riserva")))),"")</f>
        <v>Scommessa/Riserva</v>
      </c>
      <c r="Q322" s="29" t="n">
        <f aca="false">IF($D322="",COUNTIF($D$2:$D322,""),"")</f>
        <v>321</v>
      </c>
      <c r="R322" s="29" t="str">
        <f aca="false">IF($D322='Info Lega'!$B$28,COUNTIFS($D$2:$D322,'Info Lega'!$B$28),"")</f>
        <v/>
      </c>
      <c r="S322" s="30" t="n">
        <f aca="false">IFERROR(INDEX('Input Statistiche 2025_26'!$G$3:$G$665,MATCH($A322,'Input Statistiche 2025_26'!$A$3:$A$665,0)),"")</f>
        <v>5.82</v>
      </c>
      <c r="T322" s="30" t="n">
        <f aca="false">IFERROR(INDEX('Input Statistiche 2025_26'!$H$3:$H$665,MATCH($A322,'Input Statistiche 2025_26'!$A$3:$A$665,0)),"")</f>
        <v>6</v>
      </c>
      <c r="U322" s="26" t="str">
        <f aca="false">IF(OR('La Mia Rosa'!$O$12="",$D322&lt;&gt;""),"",IF($F322&lt;='La Mia Rosa'!$O$12*'Parametri Modello'!$B$24,"OK",IF($F322&lt;='La Mia Rosa'!$O$12*'Parametri Modello'!$B$25,"Attenzione","Rischio Alto")))</f>
        <v>OK</v>
      </c>
      <c r="V322" s="26" t="n">
        <f aca="false">IFERROR(COUNTIFS($B$2:$B$492,$B322,$O$2:$O$492,"&gt;"&amp;$O322)+1,"")</f>
        <v>124</v>
      </c>
      <c r="W322" s="21" t="n">
        <f aca="false">'Info Lega'!$B$4-SUMIFS($M$2:$M$492,$D$2:$D$492,'Info Lega'!$B$28)</f>
        <v>1000</v>
      </c>
      <c r="X322" s="21" t="n">
        <f aca="false">('Info Lega'!$B$5-COUNTIFS($D$2:$D$492,'Info Lega'!$B$28,$B$2:$B$492,"P"))+('Info Lega'!$B$6-COUNTIFS($D$2:$D$492,'Info Lega'!$B$28,$B$2:$B$492,"D"))+('Info Lega'!$B$7-COUNTIFS($D$2:$D$492,'Info Lega'!$B$28,$B$2:$B$492,"C"))+('Info Lega'!$B$8-COUNTIFS($D$2:$D$492,'Info Lega'!$B$28,$B$2:$B$492,"A"))</f>
        <v>25</v>
      </c>
      <c r="Y322" s="21" t="n">
        <f aca="false">X322*'Parametri Modello'!$B$30</f>
        <v>25</v>
      </c>
      <c r="Z322" s="21" t="n">
        <f aca="false">MAX(0,W322-Y322)</f>
        <v>975</v>
      </c>
      <c r="AA322" s="21" t="n">
        <f aca="false">MIN(F322,Z322)</f>
        <v>1</v>
      </c>
      <c r="AB322" s="21"/>
      <c r="AC322" s="21" t="str">
        <f aca="false">IF(AB322="","",IF(AB322&gt;AA322,"PASS",IF(AB322&lt;=AA322*0.85,"BID","ATTENZIONE")))</f>
        <v/>
      </c>
      <c r="AD322" s="31" t="n">
        <f aca="false">IF(I322="","",ROUND(100*(1-EXP(-I322/30)),0))</f>
        <v>43</v>
      </c>
      <c r="AE322" s="7" t="str">
        <f aca="false">IFERROR(INDEX('Stato Asta'!$G$9:$G$12,MATCH($B322,'Stato Asta'!$A$9:$A$12,0)),"")</f>
        <v>🟡 Attesa rischiosa</v>
      </c>
    </row>
    <row r="323" customFormat="false" ht="14.25" hidden="false" customHeight="true" outlineLevel="0" collapsed="false">
      <c r="A323" s="21" t="n">
        <v>6503</v>
      </c>
      <c r="B323" s="21" t="s">
        <v>45</v>
      </c>
      <c r="C323" s="21" t="s">
        <v>499</v>
      </c>
      <c r="E323" s="26" t="str">
        <f aca="false">IF(COUNTIF('Info Strategia'!$D$2:$D$51,$C323)&gt;0,"SI","NO")</f>
        <v>NO</v>
      </c>
      <c r="F323" s="27" t="n">
        <f aca="false">IFERROR(ROUND(($G323+($H323-$G323)*'Info Strategia'!$B$6)*(1+IF($E323="SI",'Parametri Modello'!$B$7*'Info Strategia'!$B$6,0)),0),"")</f>
        <v>1</v>
      </c>
      <c r="G323" s="27" t="n">
        <f aca="false">IFERROR(ROUND(MAX(1,(IF($V323&lt;=INDEX('Parametri Modello'!$C$57:$C$60,MATCH($B323,'Parametri Modello'!$A$57:$A$60,0)),IF(INDEX('Parametri Modello'!$E$57:$E$60,MATCH($B323,'Parametri Modello'!$A$57:$A$60,0))=0,0,($O323/INDEX('Parametri Modello'!$E$57:$E$60,MATCH($B323,'Parametri Modello'!$A$57:$A$60,0)))*(INDEX('Parametri Modello'!$D$57:$D$60,MATCH($B323,'Parametri Modello'!$A$57:$A$60,0))*(INDEX('Parametri Modello'!$B$50:$B$53,MATCH($B323,'Parametri Modello'!$A$50:$A$53,0))*'Parametri Modello'!$B$44))),IF(INDEX('Parametri Modello'!$F$57:$F$60,MATCH($B323,'Parametri Modello'!$A$57:$A$60,0))=0,0,($O323/INDEX('Parametri Modello'!$F$57:$F$60,MATCH($B323,'Parametri Modello'!$A$57:$A$60,0)))*((1-INDEX('Parametri Modello'!$D$57:$D$60,MATCH($B323,'Parametri Modello'!$A$57:$A$60,0)))*(INDEX('Parametri Modello'!$B$50:$B$53,MATCH($B323,'Parametri Modello'!$A$50:$A$53,0))*'Parametri Modello'!$B$44))))*(1+IF(IF($B323="D",'Info Lega'!$B$25,IF($B323="C",'Info Lega'!$B$26,"No"))="Si",'Parametri Modello'!$B$5,0))*(1+MAX(-0.25,MIN(0.25,IF(OR($T323="",$I323="",$I323=0,INDEX('Parametri Modello'!$B$19:$B$22,MATCH($B323,'Parametri Modello'!$A$19:$A$22,0))="",INDEX('Parametri Modello'!$B$19:$B$22,MATCH($B323,'Parametri Modello'!$A$19:$A$22,0))=0),0,(($T323-INDEX('Parametri Modello'!$B$19:$B$22,MATCH($B323,'Parametri Modello'!$A$19:$A$22,0)))/INDEX('Parametri Modello'!$B$19:$B$22,MATCH($B323,'Parametri Modello'!$A$19:$A$22,0)))*'Parametri Modello'!$B$9))))*(1+IF('Parametri Modello'!$B$27="Si",MAX(-'Parametri Modello'!$B$28,MIN('Parametri Modello'!$B$28*1.5,IF(OR(INDEX('Parametri Modello'!$F$32:$F$35,MATCH($B323,'Parametri Modello'!$A$32:$A$35,0))="",INDEX('Parametri Modello'!$F$32:$F$35,MATCH($B323,'Parametri Modello'!$A$32:$A$35,0))=0),0,(1/INDEX('Parametri Modello'!$F$32:$F$35,MATCH($B323,'Parametri Modello'!$A$32:$A$35,0))-1)*'Parametri Modello'!$B$28))),0)))*(1-INDEX('Parametri Modello'!$B$12:$B$15,MATCH($B323,'Parametri Modello'!$A$12:$A$15,0)))),0),"")</f>
        <v>1</v>
      </c>
      <c r="H323" s="27" t="n">
        <f aca="false">IFERROR(ROUND((IF($V323&lt;=INDEX('Parametri Modello'!$C$57:$C$60,MATCH($B323,'Parametri Modello'!$A$57:$A$60,0)),IF(INDEX('Parametri Modello'!$E$57:$E$60,MATCH($B323,'Parametri Modello'!$A$57:$A$60,0))=0,0,($O323/INDEX('Parametri Modello'!$E$57:$E$60,MATCH($B323,'Parametri Modello'!$A$57:$A$60,0)))*(INDEX('Parametri Modello'!$D$57:$D$60,MATCH($B323,'Parametri Modello'!$A$57:$A$60,0))*(INDEX('Parametri Modello'!$B$50:$B$53,MATCH($B323,'Parametri Modello'!$A$50:$A$53,0))*'Parametri Modello'!$B$44))),IF(INDEX('Parametri Modello'!$F$57:$F$60,MATCH($B323,'Parametri Modello'!$A$57:$A$60,0))=0,0,($O323/INDEX('Parametri Modello'!$F$57:$F$60,MATCH($B323,'Parametri Modello'!$A$57:$A$60,0)))*((1-INDEX('Parametri Modello'!$D$57:$D$60,MATCH($B323,'Parametri Modello'!$A$57:$A$60,0)))*(INDEX('Parametri Modello'!$B$50:$B$53,MATCH($B323,'Parametri Modello'!$A$50:$A$53,0))*'Parametri Modello'!$B$44))))*(1+IF(IF($B323="D",'Info Lega'!$B$25,IF($B323="C",'Info Lega'!$B$26,"No"))="Si",'Parametri Modello'!$B$5,0))*(1+MAX(-0.25,MIN(0.25,IF(OR($T323="",$I323="",$I323=0,INDEX('Parametri Modello'!$B$19:$B$22,MATCH($B323,'Parametri Modello'!$A$19:$A$22,0))="",INDEX('Parametri Modello'!$B$19:$B$22,MATCH($B323,'Parametri Modello'!$A$19:$A$22,0))=0),0,(($T323-INDEX('Parametri Modello'!$B$19:$B$22,MATCH($B323,'Parametri Modello'!$A$19:$A$22,0)))/INDEX('Parametri Modello'!$B$19:$B$22,MATCH($B323,'Parametri Modello'!$A$19:$A$22,0)))*'Parametri Modello'!$B$9))))*(1+IF('Parametri Modello'!$B$27="Si",MAX(-'Parametri Modello'!$B$28,MIN('Parametri Modello'!$B$28*1.5,IF(OR(INDEX('Parametri Modello'!$F$32:$F$35,MATCH($B323,'Parametri Modello'!$A$32:$A$35,0))="",INDEX('Parametri Modello'!$F$32:$F$35,MATCH($B323,'Parametri Modello'!$A$32:$A$35,0))=0),0,(1/INDEX('Parametri Modello'!$F$32:$F$35,MATCH($B323,'Parametri Modello'!$A$32:$A$35,0))-1)*'Parametri Modello'!$B$28))),0)))*(1+INDEX('Parametri Modello'!$B$12:$B$15,MATCH($B323,'Parametri Modello'!$A$12:$A$15,0))),0),"")</f>
        <v>1</v>
      </c>
      <c r="I323" s="26" t="str">
        <f aca="false">IFERROR(INDEX('Input Statistiche 2025_26'!$F$3:$F$665,MATCH($A323,'Input Statistiche 2025_26'!$A$3:$A$665,0)),"")</f>
        <v/>
      </c>
      <c r="J323" s="26" t="str">
        <f aca="false">IFERROR(IF($I323="","",MAX(0,38-$I323)),"")</f>
        <v/>
      </c>
      <c r="K323" s="26" t="str">
        <f aca="false">IFERROR(INDEX('Input Statistiche 2025_26'!$I$3:$I$665,MATCH($A323,'Input Statistiche 2025_26'!$A$3:$A$665,0)),"")</f>
        <v/>
      </c>
      <c r="L323" s="26" t="str">
        <f aca="false">IFERROR(INDEX('Input Statistiche 2025_26'!$O$3:$O$665,MATCH($A323,'Input Statistiche 2025_26'!$A$3:$A$665,0)),"")</f>
        <v/>
      </c>
      <c r="M323" s="28"/>
      <c r="N323" s="27" t="n">
        <f aca="false">IFERROR(INDEX('Input Giocatori 2026_27'!$E$3:$E$493,MATCH($A323,'Input Giocatori 2026_27'!$A$3:$A$493,0)),"")</f>
        <v>3</v>
      </c>
      <c r="O323" s="27" t="n">
        <f aca="false">IFERROR(INDEX('Input Giocatori 2026_27'!$G$3:$G$493,MATCH($A323,'Input Giocatori 2026_27'!$A$3:$A$493,0)),"")</f>
        <v>10</v>
      </c>
      <c r="P323" s="26" t="str">
        <f aca="false">IFERROR(IF($O323="","",IF((1-(COUNTIFS($B$2:$B$492,$B323,$O$2:$O$492,"&gt;"&amp;$O323)+1-1)/COUNTIF($B$2:$B$492,$B323))&gt;=0.85,"Top",IF((1-(COUNTIFS($B$2:$B$492,$B323,$O$2:$O$492,"&gt;"&amp;$O323)+1-1)/COUNTIF($B$2:$B$492,$B323))&gt;=0.6,"Buono",IF((1-(COUNTIFS($B$2:$B$492,$B323,$O$2:$O$492,"&gt;"&amp;$O323)+1-1)/COUNTIF($B$2:$B$492,$B323))&gt;=0.3,"Nella Media","Scommessa/Riserva")))),"")</f>
        <v>Scommessa/Riserva</v>
      </c>
      <c r="Q323" s="29" t="n">
        <f aca="false">IF($D323="",COUNTIF($D$2:$D323,""),"")</f>
        <v>322</v>
      </c>
      <c r="R323" s="29" t="str">
        <f aca="false">IF($D323='Info Lega'!$B$28,COUNTIFS($D$2:$D323,'Info Lega'!$B$28),"")</f>
        <v/>
      </c>
      <c r="S323" s="30" t="str">
        <f aca="false">IFERROR(INDEX('Input Statistiche 2025_26'!$G$3:$G$665,MATCH($A323,'Input Statistiche 2025_26'!$A$3:$A$665,0)),"")</f>
        <v/>
      </c>
      <c r="T323" s="30" t="str">
        <f aca="false">IFERROR(INDEX('Input Statistiche 2025_26'!$H$3:$H$665,MATCH($A323,'Input Statistiche 2025_26'!$A$3:$A$665,0)),"")</f>
        <v/>
      </c>
      <c r="U323" s="26" t="str">
        <f aca="false">IF(OR('La Mia Rosa'!$O$12="",$D323&lt;&gt;""),"",IF($F323&lt;='La Mia Rosa'!$O$12*'Parametri Modello'!$B$24,"OK",IF($F323&lt;='La Mia Rosa'!$O$12*'Parametri Modello'!$B$25,"Attenzione","Rischio Alto")))</f>
        <v>OK</v>
      </c>
      <c r="V323" s="26" t="n">
        <f aca="false">IFERROR(COUNTIFS($B$2:$B$492,$B323,$O$2:$O$492,"&gt;"&amp;$O323)+1,"")</f>
        <v>124</v>
      </c>
      <c r="W323" s="21" t="n">
        <f aca="false">'Info Lega'!$B$4-SUMIFS($M$2:$M$492,$D$2:$D$492,'Info Lega'!$B$28)</f>
        <v>1000</v>
      </c>
      <c r="X323" s="21" t="n">
        <f aca="false">('Info Lega'!$B$5-COUNTIFS($D$2:$D$492,'Info Lega'!$B$28,$B$2:$B$492,"P"))+('Info Lega'!$B$6-COUNTIFS($D$2:$D$492,'Info Lega'!$B$28,$B$2:$B$492,"D"))+('Info Lega'!$B$7-COUNTIFS($D$2:$D$492,'Info Lega'!$B$28,$B$2:$B$492,"C"))+('Info Lega'!$B$8-COUNTIFS($D$2:$D$492,'Info Lega'!$B$28,$B$2:$B$492,"A"))</f>
        <v>25</v>
      </c>
      <c r="Y323" s="21" t="n">
        <f aca="false">X323*'Parametri Modello'!$B$30</f>
        <v>25</v>
      </c>
      <c r="Z323" s="21" t="n">
        <f aca="false">MAX(0,W323-Y323)</f>
        <v>975</v>
      </c>
      <c r="AA323" s="21" t="n">
        <f aca="false">MIN(F323,Z323)</f>
        <v>1</v>
      </c>
      <c r="AB323" s="21"/>
      <c r="AC323" s="21" t="str">
        <f aca="false">IF(AB323="","",IF(AB323&gt;AA323,"PASS",IF(AB323&lt;=AA323*0.85,"BID","ATTENZIONE")))</f>
        <v/>
      </c>
      <c r="AD323" s="31" t="str">
        <f aca="false">IF(I323="","",ROUND(100*(1-EXP(-I323/30)),0))</f>
        <v/>
      </c>
      <c r="AE323" s="7" t="str">
        <f aca="false">IFERROR(INDEX('Stato Asta'!$G$9:$G$12,MATCH($B323,'Stato Asta'!$A$9:$A$12,0)),"")</f>
        <v>🟡 Attesa rischiosa</v>
      </c>
    </row>
    <row r="324" customFormat="false" ht="14.25" hidden="false" customHeight="true" outlineLevel="0" collapsed="false">
      <c r="A324" s="21" t="n">
        <v>313</v>
      </c>
      <c r="B324" s="21" t="s">
        <v>46</v>
      </c>
      <c r="C324" s="21" t="s">
        <v>600</v>
      </c>
      <c r="E324" s="26" t="str">
        <f aca="false">IF(COUNTIF('Info Strategia'!$D$2:$D$51,$C324)&gt;0,"SI","NO")</f>
        <v>NO</v>
      </c>
      <c r="F324" s="27" t="n">
        <f aca="false">IFERROR(ROUND(($G324+($H324-$G324)*'Info Strategia'!$B$6)*(1+IF($E324="SI",'Parametri Modello'!$B$7*'Info Strategia'!$B$6,0)),0),"")</f>
        <v>3</v>
      </c>
      <c r="G324" s="27" t="n">
        <f aca="false">IFERROR(ROUND(MAX(1,(IF($V324&lt;=INDEX('Parametri Modello'!$C$57:$C$60,MATCH($B324,'Parametri Modello'!$A$57:$A$60,0)),IF(INDEX('Parametri Modello'!$E$57:$E$60,MATCH($B324,'Parametri Modello'!$A$57:$A$60,0))=0,0,($O324/INDEX('Parametri Modello'!$E$57:$E$60,MATCH($B324,'Parametri Modello'!$A$57:$A$60,0)))*(INDEX('Parametri Modello'!$D$57:$D$60,MATCH($B324,'Parametri Modello'!$A$57:$A$60,0))*(INDEX('Parametri Modello'!$B$50:$B$53,MATCH($B324,'Parametri Modello'!$A$50:$A$53,0))*'Parametri Modello'!$B$44))),IF(INDEX('Parametri Modello'!$F$57:$F$60,MATCH($B324,'Parametri Modello'!$A$57:$A$60,0))=0,0,($O324/INDEX('Parametri Modello'!$F$57:$F$60,MATCH($B324,'Parametri Modello'!$A$57:$A$60,0)))*((1-INDEX('Parametri Modello'!$D$57:$D$60,MATCH($B324,'Parametri Modello'!$A$57:$A$60,0)))*(INDEX('Parametri Modello'!$B$50:$B$53,MATCH($B324,'Parametri Modello'!$A$50:$A$53,0))*'Parametri Modello'!$B$44))))*(1+IF(IF($B324="D",'Info Lega'!$B$25,IF($B324="C",'Info Lega'!$B$26,"No"))="Si",'Parametri Modello'!$B$5,0))*(1+MAX(-0.25,MIN(0.25,IF(OR($T324="",$I324="",$I324=0,INDEX('Parametri Modello'!$B$19:$B$22,MATCH($B324,'Parametri Modello'!$A$19:$A$22,0))="",INDEX('Parametri Modello'!$B$19:$B$22,MATCH($B324,'Parametri Modello'!$A$19:$A$22,0))=0),0,(($T324-INDEX('Parametri Modello'!$B$19:$B$22,MATCH($B324,'Parametri Modello'!$A$19:$A$22,0)))/INDEX('Parametri Modello'!$B$19:$B$22,MATCH($B324,'Parametri Modello'!$A$19:$A$22,0)))*'Parametri Modello'!$B$9))))*(1+IF('Parametri Modello'!$B$27="Si",MAX(-'Parametri Modello'!$B$28,MIN('Parametri Modello'!$B$28*1.5,IF(OR(INDEX('Parametri Modello'!$F$32:$F$35,MATCH($B324,'Parametri Modello'!$A$32:$A$35,0))="",INDEX('Parametri Modello'!$F$32:$F$35,MATCH($B324,'Parametri Modello'!$A$32:$A$35,0))=0),0,(1/INDEX('Parametri Modello'!$F$32:$F$35,MATCH($B324,'Parametri Modello'!$A$32:$A$35,0))-1)*'Parametri Modello'!$B$28))),0)))*(1-INDEX('Parametri Modello'!$B$12:$B$15,MATCH($B324,'Parametri Modello'!$A$12:$A$15,0)))),0),"")</f>
        <v>2</v>
      </c>
      <c r="H324" s="27" t="n">
        <f aca="false">IFERROR(ROUND((IF($V324&lt;=INDEX('Parametri Modello'!$C$57:$C$60,MATCH($B324,'Parametri Modello'!$A$57:$A$60,0)),IF(INDEX('Parametri Modello'!$E$57:$E$60,MATCH($B324,'Parametri Modello'!$A$57:$A$60,0))=0,0,($O324/INDEX('Parametri Modello'!$E$57:$E$60,MATCH($B324,'Parametri Modello'!$A$57:$A$60,0)))*(INDEX('Parametri Modello'!$D$57:$D$60,MATCH($B324,'Parametri Modello'!$A$57:$A$60,0))*(INDEX('Parametri Modello'!$B$50:$B$53,MATCH($B324,'Parametri Modello'!$A$50:$A$53,0))*'Parametri Modello'!$B$44))),IF(INDEX('Parametri Modello'!$F$57:$F$60,MATCH($B324,'Parametri Modello'!$A$57:$A$60,0))=0,0,($O324/INDEX('Parametri Modello'!$F$57:$F$60,MATCH($B324,'Parametri Modello'!$A$57:$A$60,0)))*((1-INDEX('Parametri Modello'!$D$57:$D$60,MATCH($B324,'Parametri Modello'!$A$57:$A$60,0)))*(INDEX('Parametri Modello'!$B$50:$B$53,MATCH($B324,'Parametri Modello'!$A$50:$A$53,0))*'Parametri Modello'!$B$44))))*(1+IF(IF($B324="D",'Info Lega'!$B$25,IF($B324="C",'Info Lega'!$B$26,"No"))="Si",'Parametri Modello'!$B$5,0))*(1+MAX(-0.25,MIN(0.25,IF(OR($T324="",$I324="",$I324=0,INDEX('Parametri Modello'!$B$19:$B$22,MATCH($B324,'Parametri Modello'!$A$19:$A$22,0))="",INDEX('Parametri Modello'!$B$19:$B$22,MATCH($B324,'Parametri Modello'!$A$19:$A$22,0))=0),0,(($T324-INDEX('Parametri Modello'!$B$19:$B$22,MATCH($B324,'Parametri Modello'!$A$19:$A$22,0)))/INDEX('Parametri Modello'!$B$19:$B$22,MATCH($B324,'Parametri Modello'!$A$19:$A$22,0)))*'Parametri Modello'!$B$9))))*(1+IF('Parametri Modello'!$B$27="Si",MAX(-'Parametri Modello'!$B$28,MIN('Parametri Modello'!$B$28*1.5,IF(OR(INDEX('Parametri Modello'!$F$32:$F$35,MATCH($B324,'Parametri Modello'!$A$32:$A$35,0))="",INDEX('Parametri Modello'!$F$32:$F$35,MATCH($B324,'Parametri Modello'!$A$32:$A$35,0))=0),0,(1/INDEX('Parametri Modello'!$F$32:$F$35,MATCH($B324,'Parametri Modello'!$A$32:$A$35,0))-1)*'Parametri Modello'!$B$28))),0)))*(1+INDEX('Parametri Modello'!$B$12:$B$15,MATCH($B324,'Parametri Modello'!$A$12:$A$15,0))),0),"")</f>
        <v>4</v>
      </c>
      <c r="I324" s="26" t="n">
        <f aca="false">IFERROR(INDEX('Input Statistiche 2025_26'!$F$3:$F$665,MATCH($A324,'Input Statistiche 2025_26'!$A$3:$A$665,0)),"")</f>
        <v>17</v>
      </c>
      <c r="J324" s="26" t="n">
        <f aca="false">IFERROR(IF($I324="","",MAX(0,38-$I324)),"")</f>
        <v>21</v>
      </c>
      <c r="K324" s="26" t="n">
        <f aca="false">IFERROR(INDEX('Input Statistiche 2025_26'!$I$3:$I$665,MATCH($A324,'Input Statistiche 2025_26'!$A$3:$A$665,0)),"")</f>
        <v>0</v>
      </c>
      <c r="L324" s="26" t="n">
        <f aca="false">IFERROR(INDEX('Input Statistiche 2025_26'!$O$3:$O$665,MATCH($A324,'Input Statistiche 2025_26'!$A$3:$A$665,0)),"")</f>
        <v>0</v>
      </c>
      <c r="M324" s="28"/>
      <c r="N324" s="27" t="n">
        <f aca="false">IFERROR(INDEX('Input Giocatori 2026_27'!$E$3:$E$493,MATCH($A324,'Input Giocatori 2026_27'!$A$3:$A$493,0)),"")</f>
        <v>4</v>
      </c>
      <c r="O324" s="27" t="n">
        <f aca="false">IFERROR(INDEX('Input Giocatori 2026_27'!$G$3:$G$493,MATCH($A324,'Input Giocatori 2026_27'!$A$3:$A$493,0)),"")</f>
        <v>10</v>
      </c>
      <c r="P324" s="26" t="str">
        <f aca="false">IFERROR(IF($O324="","",IF((1-(COUNTIFS($B$2:$B$492,$B324,$O$2:$O$492,"&gt;"&amp;$O324)+1-1)/COUNTIF($B$2:$B$492,$B324))&gt;=0.85,"Top",IF((1-(COUNTIFS($B$2:$B$492,$B324,$O$2:$O$492,"&gt;"&amp;$O324)+1-1)/COUNTIF($B$2:$B$492,$B324))&gt;=0.6,"Buono",IF((1-(COUNTIFS($B$2:$B$492,$B324,$O$2:$O$492,"&gt;"&amp;$O324)+1-1)/COUNTIF($B$2:$B$492,$B324))&gt;=0.3,"Nella Media","Scommessa/Riserva")))),"")</f>
        <v>Scommessa/Riserva</v>
      </c>
      <c r="Q324" s="29" t="n">
        <f aca="false">IF($D324="",COUNTIF($D$2:$D324,""),"")</f>
        <v>323</v>
      </c>
      <c r="R324" s="29" t="str">
        <f aca="false">IF($D324='Info Lega'!$B$28,COUNTIFS($D$2:$D324,'Info Lega'!$B$28),"")</f>
        <v/>
      </c>
      <c r="S324" s="30" t="n">
        <f aca="false">IFERROR(INDEX('Input Statistiche 2025_26'!$G$3:$G$665,MATCH($A324,'Input Statistiche 2025_26'!$A$3:$A$665,0)),"")</f>
        <v>5.5</v>
      </c>
      <c r="T324" s="30" t="n">
        <f aca="false">IFERROR(INDEX('Input Statistiche 2025_26'!$H$3:$H$665,MATCH($A324,'Input Statistiche 2025_26'!$A$3:$A$665,0)),"")</f>
        <v>5.21</v>
      </c>
      <c r="U324" s="26" t="str">
        <f aca="false">IF(OR('La Mia Rosa'!$O$12="",$D324&lt;&gt;""),"",IF($F324&lt;='La Mia Rosa'!$O$12*'Parametri Modello'!$B$24,"OK",IF($F324&lt;='La Mia Rosa'!$O$12*'Parametri Modello'!$B$25,"Attenzione","Rischio Alto")))</f>
        <v>OK</v>
      </c>
      <c r="V324" s="26" t="n">
        <f aca="false">IFERROR(COUNTIFS($B$2:$B$492,$B324,$O$2:$O$492,"&gt;"&amp;$O324)+1,"")</f>
        <v>63</v>
      </c>
      <c r="W324" s="21" t="n">
        <f aca="false">'Info Lega'!$B$4-SUMIFS($M$2:$M$492,$D$2:$D$492,'Info Lega'!$B$28)</f>
        <v>1000</v>
      </c>
      <c r="X324" s="21" t="n">
        <f aca="false">('Info Lega'!$B$5-COUNTIFS($D$2:$D$492,'Info Lega'!$B$28,$B$2:$B$492,"P"))+('Info Lega'!$B$6-COUNTIFS($D$2:$D$492,'Info Lega'!$B$28,$B$2:$B$492,"D"))+('Info Lega'!$B$7-COUNTIFS($D$2:$D$492,'Info Lega'!$B$28,$B$2:$B$492,"C"))+('Info Lega'!$B$8-COUNTIFS($D$2:$D$492,'Info Lega'!$B$28,$B$2:$B$492,"A"))</f>
        <v>25</v>
      </c>
      <c r="Y324" s="21" t="n">
        <f aca="false">X324*'Parametri Modello'!$B$30</f>
        <v>25</v>
      </c>
      <c r="Z324" s="21" t="n">
        <f aca="false">MAX(0,W324-Y324)</f>
        <v>975</v>
      </c>
      <c r="AA324" s="21" t="n">
        <f aca="false">MIN(F324,Z324)</f>
        <v>3</v>
      </c>
      <c r="AB324" s="21"/>
      <c r="AC324" s="21" t="str">
        <f aca="false">IF(AB324="","",IF(AB324&gt;AA324,"PASS",IF(AB324&lt;=AA324*0.85,"BID","ATTENZIONE")))</f>
        <v/>
      </c>
      <c r="AD324" s="31" t="n">
        <f aca="false">IF(I324="","",ROUND(100*(1-EXP(-I324/30)),0))</f>
        <v>43</v>
      </c>
      <c r="AE324" s="7" t="str">
        <f aca="false">IFERROR(INDEX('Stato Asta'!$G$9:$G$12,MATCH($B324,'Stato Asta'!$A$9:$A$12,0)),"")</f>
        <v>🔴 Non aspettare</v>
      </c>
    </row>
    <row r="325" customFormat="false" ht="14.25" hidden="false" customHeight="true" outlineLevel="0" collapsed="false">
      <c r="A325" s="21" t="n">
        <v>7162</v>
      </c>
      <c r="B325" s="21" t="s">
        <v>46</v>
      </c>
      <c r="C325" s="21" t="s">
        <v>603</v>
      </c>
      <c r="E325" s="26" t="str">
        <f aca="false">IF(COUNTIF('Info Strategia'!$D$2:$D$51,$C325)&gt;0,"SI","NO")</f>
        <v>NO</v>
      </c>
      <c r="F325" s="27" t="n">
        <f aca="false">IFERROR(ROUND(($G325+($H325-$G325)*'Info Strategia'!$B$6)*(1+IF($E325="SI",'Parametri Modello'!$B$7*'Info Strategia'!$B$6,0)),0),"")</f>
        <v>3</v>
      </c>
      <c r="G325" s="27" t="n">
        <f aca="false">IFERROR(ROUND(MAX(1,(IF($V325&lt;=INDEX('Parametri Modello'!$C$57:$C$60,MATCH($B325,'Parametri Modello'!$A$57:$A$60,0)),IF(INDEX('Parametri Modello'!$E$57:$E$60,MATCH($B325,'Parametri Modello'!$A$57:$A$60,0))=0,0,($O325/INDEX('Parametri Modello'!$E$57:$E$60,MATCH($B325,'Parametri Modello'!$A$57:$A$60,0)))*(INDEX('Parametri Modello'!$D$57:$D$60,MATCH($B325,'Parametri Modello'!$A$57:$A$60,0))*(INDEX('Parametri Modello'!$B$50:$B$53,MATCH($B325,'Parametri Modello'!$A$50:$A$53,0))*'Parametri Modello'!$B$44))),IF(INDEX('Parametri Modello'!$F$57:$F$60,MATCH($B325,'Parametri Modello'!$A$57:$A$60,0))=0,0,($O325/INDEX('Parametri Modello'!$F$57:$F$60,MATCH($B325,'Parametri Modello'!$A$57:$A$60,0)))*((1-INDEX('Parametri Modello'!$D$57:$D$60,MATCH($B325,'Parametri Modello'!$A$57:$A$60,0)))*(INDEX('Parametri Modello'!$B$50:$B$53,MATCH($B325,'Parametri Modello'!$A$50:$A$53,0))*'Parametri Modello'!$B$44))))*(1+IF(IF($B325="D",'Info Lega'!$B$25,IF($B325="C",'Info Lega'!$B$26,"No"))="Si",'Parametri Modello'!$B$5,0))*(1+MAX(-0.25,MIN(0.25,IF(OR($T325="",$I325="",$I325=0,INDEX('Parametri Modello'!$B$19:$B$22,MATCH($B325,'Parametri Modello'!$A$19:$A$22,0))="",INDEX('Parametri Modello'!$B$19:$B$22,MATCH($B325,'Parametri Modello'!$A$19:$A$22,0))=0),0,(($T325-INDEX('Parametri Modello'!$B$19:$B$22,MATCH($B325,'Parametri Modello'!$A$19:$A$22,0)))/INDEX('Parametri Modello'!$B$19:$B$22,MATCH($B325,'Parametri Modello'!$A$19:$A$22,0)))*'Parametri Modello'!$B$9))))*(1+IF('Parametri Modello'!$B$27="Si",MAX(-'Parametri Modello'!$B$28,MIN('Parametri Modello'!$B$28*1.5,IF(OR(INDEX('Parametri Modello'!$F$32:$F$35,MATCH($B325,'Parametri Modello'!$A$32:$A$35,0))="",INDEX('Parametri Modello'!$F$32:$F$35,MATCH($B325,'Parametri Modello'!$A$32:$A$35,0))=0),0,(1/INDEX('Parametri Modello'!$F$32:$F$35,MATCH($B325,'Parametri Modello'!$A$32:$A$35,0))-1)*'Parametri Modello'!$B$28))),0)))*(1-INDEX('Parametri Modello'!$B$12:$B$15,MATCH($B325,'Parametri Modello'!$A$12:$A$15,0)))),0),"")</f>
        <v>2</v>
      </c>
      <c r="H325" s="27" t="n">
        <f aca="false">IFERROR(ROUND((IF($V325&lt;=INDEX('Parametri Modello'!$C$57:$C$60,MATCH($B325,'Parametri Modello'!$A$57:$A$60,0)),IF(INDEX('Parametri Modello'!$E$57:$E$60,MATCH($B325,'Parametri Modello'!$A$57:$A$60,0))=0,0,($O325/INDEX('Parametri Modello'!$E$57:$E$60,MATCH($B325,'Parametri Modello'!$A$57:$A$60,0)))*(INDEX('Parametri Modello'!$D$57:$D$60,MATCH($B325,'Parametri Modello'!$A$57:$A$60,0))*(INDEX('Parametri Modello'!$B$50:$B$53,MATCH($B325,'Parametri Modello'!$A$50:$A$53,0))*'Parametri Modello'!$B$44))),IF(INDEX('Parametri Modello'!$F$57:$F$60,MATCH($B325,'Parametri Modello'!$A$57:$A$60,0))=0,0,($O325/INDEX('Parametri Modello'!$F$57:$F$60,MATCH($B325,'Parametri Modello'!$A$57:$A$60,0)))*((1-INDEX('Parametri Modello'!$D$57:$D$60,MATCH($B325,'Parametri Modello'!$A$57:$A$60,0)))*(INDEX('Parametri Modello'!$B$50:$B$53,MATCH($B325,'Parametri Modello'!$A$50:$A$53,0))*'Parametri Modello'!$B$44))))*(1+IF(IF($B325="D",'Info Lega'!$B$25,IF($B325="C",'Info Lega'!$B$26,"No"))="Si",'Parametri Modello'!$B$5,0))*(1+MAX(-0.25,MIN(0.25,IF(OR($T325="",$I325="",$I325=0,INDEX('Parametri Modello'!$B$19:$B$22,MATCH($B325,'Parametri Modello'!$A$19:$A$22,0))="",INDEX('Parametri Modello'!$B$19:$B$22,MATCH($B325,'Parametri Modello'!$A$19:$A$22,0))=0),0,(($T325-INDEX('Parametri Modello'!$B$19:$B$22,MATCH($B325,'Parametri Modello'!$A$19:$A$22,0)))/INDEX('Parametri Modello'!$B$19:$B$22,MATCH($B325,'Parametri Modello'!$A$19:$A$22,0)))*'Parametri Modello'!$B$9))))*(1+IF('Parametri Modello'!$B$27="Si",MAX(-'Parametri Modello'!$B$28,MIN('Parametri Modello'!$B$28*1.5,IF(OR(INDEX('Parametri Modello'!$F$32:$F$35,MATCH($B325,'Parametri Modello'!$A$32:$A$35,0))="",INDEX('Parametri Modello'!$F$32:$F$35,MATCH($B325,'Parametri Modello'!$A$32:$A$35,0))=0),0,(1/INDEX('Parametri Modello'!$F$32:$F$35,MATCH($B325,'Parametri Modello'!$A$32:$A$35,0))-1)*'Parametri Modello'!$B$28))),0)))*(1+INDEX('Parametri Modello'!$B$12:$B$15,MATCH($B325,'Parametri Modello'!$A$12:$A$15,0))),0),"")</f>
        <v>4</v>
      </c>
      <c r="I325" s="26" t="n">
        <f aca="false">IFERROR(INDEX('Input Statistiche 2025_26'!$F$3:$F$665,MATCH($A325,'Input Statistiche 2025_26'!$A$3:$A$665,0)),"")</f>
        <v>31</v>
      </c>
      <c r="J325" s="26" t="n">
        <f aca="false">IFERROR(IF($I325="","",MAX(0,38-$I325)),"")</f>
        <v>7</v>
      </c>
      <c r="K325" s="26" t="n">
        <f aca="false">IFERROR(INDEX('Input Statistiche 2025_26'!$I$3:$I$665,MATCH($A325,'Input Statistiche 2025_26'!$A$3:$A$665,0)),"")</f>
        <v>3</v>
      </c>
      <c r="L325" s="26" t="n">
        <f aca="false">IFERROR(INDEX('Input Statistiche 2025_26'!$O$3:$O$665,MATCH($A325,'Input Statistiche 2025_26'!$A$3:$A$665,0)),"")</f>
        <v>6</v>
      </c>
      <c r="M325" s="28"/>
      <c r="N325" s="27" t="n">
        <f aca="false">IFERROR(INDEX('Input Giocatori 2026_27'!$E$3:$E$493,MATCH($A325,'Input Giocatori 2026_27'!$A$3:$A$493,0)),"")</f>
        <v>4</v>
      </c>
      <c r="O325" s="27" t="n">
        <f aca="false">IFERROR(INDEX('Input Giocatori 2026_27'!$G$3:$G$493,MATCH($A325,'Input Giocatori 2026_27'!$A$3:$A$493,0)),"")</f>
        <v>10</v>
      </c>
      <c r="P325" s="26" t="str">
        <f aca="false">IFERROR(IF($O325="","",IF((1-(COUNTIFS($B$2:$B$492,$B325,$O$2:$O$492,"&gt;"&amp;$O325)+1-1)/COUNTIF($B$2:$B$492,$B325))&gt;=0.85,"Top",IF((1-(COUNTIFS($B$2:$B$492,$B325,$O$2:$O$492,"&gt;"&amp;$O325)+1-1)/COUNTIF($B$2:$B$492,$B325))&gt;=0.6,"Buono",IF((1-(COUNTIFS($B$2:$B$492,$B325,$O$2:$O$492,"&gt;"&amp;$O325)+1-1)/COUNTIF($B$2:$B$492,$B325))&gt;=0.3,"Nella Media","Scommessa/Riserva")))),"")</f>
        <v>Scommessa/Riserva</v>
      </c>
      <c r="Q325" s="29" t="n">
        <f aca="false">IF($D325="",COUNTIF($D$2:$D325,""),"")</f>
        <v>324</v>
      </c>
      <c r="R325" s="29" t="str">
        <f aca="false">IF($D325='Info Lega'!$B$28,COUNTIFS($D$2:$D325,'Info Lega'!$B$28),"")</f>
        <v/>
      </c>
      <c r="S325" s="30" t="n">
        <f aca="false">IFERROR(INDEX('Input Statistiche 2025_26'!$G$3:$G$665,MATCH($A325,'Input Statistiche 2025_26'!$A$3:$A$665,0)),"")</f>
        <v>6</v>
      </c>
      <c r="T325" s="30" t="n">
        <f aca="false">IFERROR(INDEX('Input Statistiche 2025_26'!$H$3:$H$665,MATCH($A325,'Input Statistiche 2025_26'!$A$3:$A$665,0)),"")</f>
        <v>6.45</v>
      </c>
      <c r="U325" s="26" t="str">
        <f aca="false">IF(OR('La Mia Rosa'!$O$12="",$D325&lt;&gt;""),"",IF($F325&lt;='La Mia Rosa'!$O$12*'Parametri Modello'!$B$24,"OK",IF($F325&lt;='La Mia Rosa'!$O$12*'Parametri Modello'!$B$25,"Attenzione","Rischio Alto")))</f>
        <v>OK</v>
      </c>
      <c r="V325" s="26" t="n">
        <f aca="false">IFERROR(COUNTIFS($B$2:$B$492,$B325,$O$2:$O$492,"&gt;"&amp;$O325)+1,"")</f>
        <v>63</v>
      </c>
      <c r="W325" s="21" t="n">
        <f aca="false">'Info Lega'!$B$4-SUMIFS($M$2:$M$492,$D$2:$D$492,'Info Lega'!$B$28)</f>
        <v>1000</v>
      </c>
      <c r="X325" s="21" t="n">
        <f aca="false">('Info Lega'!$B$5-COUNTIFS($D$2:$D$492,'Info Lega'!$B$28,$B$2:$B$492,"P"))+('Info Lega'!$B$6-COUNTIFS($D$2:$D$492,'Info Lega'!$B$28,$B$2:$B$492,"D"))+('Info Lega'!$B$7-COUNTIFS($D$2:$D$492,'Info Lega'!$B$28,$B$2:$B$492,"C"))+('Info Lega'!$B$8-COUNTIFS($D$2:$D$492,'Info Lega'!$B$28,$B$2:$B$492,"A"))</f>
        <v>25</v>
      </c>
      <c r="Y325" s="21" t="n">
        <f aca="false">X325*'Parametri Modello'!$B$30</f>
        <v>25</v>
      </c>
      <c r="Z325" s="21" t="n">
        <f aca="false">MAX(0,W325-Y325)</f>
        <v>975</v>
      </c>
      <c r="AA325" s="21" t="n">
        <f aca="false">MIN(F325,Z325)</f>
        <v>3</v>
      </c>
      <c r="AB325" s="21"/>
      <c r="AC325" s="21" t="str">
        <f aca="false">IF(AB325="","",IF(AB325&gt;AA325,"PASS",IF(AB325&lt;=AA325*0.85,"BID","ATTENZIONE")))</f>
        <v/>
      </c>
      <c r="AD325" s="31" t="n">
        <f aca="false">IF(I325="","",ROUND(100*(1-EXP(-I325/30)),0))</f>
        <v>64</v>
      </c>
      <c r="AE325" s="7" t="str">
        <f aca="false">IFERROR(INDEX('Stato Asta'!$G$9:$G$12,MATCH($B325,'Stato Asta'!$A$9:$A$12,0)),"")</f>
        <v>🔴 Non aspettare</v>
      </c>
    </row>
    <row r="326" customFormat="false" ht="14.25" hidden="false" customHeight="true" outlineLevel="0" collapsed="false">
      <c r="A326" s="21" t="n">
        <v>6822</v>
      </c>
      <c r="B326" s="21" t="s">
        <v>46</v>
      </c>
      <c r="C326" s="21" t="s">
        <v>607</v>
      </c>
      <c r="E326" s="26" t="str">
        <f aca="false">IF(COUNTIF('Info Strategia'!$D$2:$D$51,$C326)&gt;0,"SI","NO")</f>
        <v>NO</v>
      </c>
      <c r="F326" s="27" t="n">
        <f aca="false">IFERROR(ROUND(($G326+($H326-$G326)*'Info Strategia'!$B$6)*(1+IF($E326="SI",'Parametri Modello'!$B$7*'Info Strategia'!$B$6,0)),0),"")</f>
        <v>3</v>
      </c>
      <c r="G326" s="27" t="n">
        <f aca="false">IFERROR(ROUND(MAX(1,(IF($V326&lt;=INDEX('Parametri Modello'!$C$57:$C$60,MATCH($B326,'Parametri Modello'!$A$57:$A$60,0)),IF(INDEX('Parametri Modello'!$E$57:$E$60,MATCH($B326,'Parametri Modello'!$A$57:$A$60,0))=0,0,($O326/INDEX('Parametri Modello'!$E$57:$E$60,MATCH($B326,'Parametri Modello'!$A$57:$A$60,0)))*(INDEX('Parametri Modello'!$D$57:$D$60,MATCH($B326,'Parametri Modello'!$A$57:$A$60,0))*(INDEX('Parametri Modello'!$B$50:$B$53,MATCH($B326,'Parametri Modello'!$A$50:$A$53,0))*'Parametri Modello'!$B$44))),IF(INDEX('Parametri Modello'!$F$57:$F$60,MATCH($B326,'Parametri Modello'!$A$57:$A$60,0))=0,0,($O326/INDEX('Parametri Modello'!$F$57:$F$60,MATCH($B326,'Parametri Modello'!$A$57:$A$60,0)))*((1-INDEX('Parametri Modello'!$D$57:$D$60,MATCH($B326,'Parametri Modello'!$A$57:$A$60,0)))*(INDEX('Parametri Modello'!$B$50:$B$53,MATCH($B326,'Parametri Modello'!$A$50:$A$53,0))*'Parametri Modello'!$B$44))))*(1+IF(IF($B326="D",'Info Lega'!$B$25,IF($B326="C",'Info Lega'!$B$26,"No"))="Si",'Parametri Modello'!$B$5,0))*(1+MAX(-0.25,MIN(0.25,IF(OR($T326="",$I326="",$I326=0,INDEX('Parametri Modello'!$B$19:$B$22,MATCH($B326,'Parametri Modello'!$A$19:$A$22,0))="",INDEX('Parametri Modello'!$B$19:$B$22,MATCH($B326,'Parametri Modello'!$A$19:$A$22,0))=0),0,(($T326-INDEX('Parametri Modello'!$B$19:$B$22,MATCH($B326,'Parametri Modello'!$A$19:$A$22,0)))/INDEX('Parametri Modello'!$B$19:$B$22,MATCH($B326,'Parametri Modello'!$A$19:$A$22,0)))*'Parametri Modello'!$B$9))))*(1+IF('Parametri Modello'!$B$27="Si",MAX(-'Parametri Modello'!$B$28,MIN('Parametri Modello'!$B$28*1.5,IF(OR(INDEX('Parametri Modello'!$F$32:$F$35,MATCH($B326,'Parametri Modello'!$A$32:$A$35,0))="",INDEX('Parametri Modello'!$F$32:$F$35,MATCH($B326,'Parametri Modello'!$A$32:$A$35,0))=0),0,(1/INDEX('Parametri Modello'!$F$32:$F$35,MATCH($B326,'Parametri Modello'!$A$32:$A$35,0))-1)*'Parametri Modello'!$B$28))),0)))*(1-INDEX('Parametri Modello'!$B$12:$B$15,MATCH($B326,'Parametri Modello'!$A$12:$A$15,0)))),0),"")</f>
        <v>2</v>
      </c>
      <c r="H326" s="27" t="n">
        <f aca="false">IFERROR(ROUND((IF($V326&lt;=INDEX('Parametri Modello'!$C$57:$C$60,MATCH($B326,'Parametri Modello'!$A$57:$A$60,0)),IF(INDEX('Parametri Modello'!$E$57:$E$60,MATCH($B326,'Parametri Modello'!$A$57:$A$60,0))=0,0,($O326/INDEX('Parametri Modello'!$E$57:$E$60,MATCH($B326,'Parametri Modello'!$A$57:$A$60,0)))*(INDEX('Parametri Modello'!$D$57:$D$60,MATCH($B326,'Parametri Modello'!$A$57:$A$60,0))*(INDEX('Parametri Modello'!$B$50:$B$53,MATCH($B326,'Parametri Modello'!$A$50:$A$53,0))*'Parametri Modello'!$B$44))),IF(INDEX('Parametri Modello'!$F$57:$F$60,MATCH($B326,'Parametri Modello'!$A$57:$A$60,0))=0,0,($O326/INDEX('Parametri Modello'!$F$57:$F$60,MATCH($B326,'Parametri Modello'!$A$57:$A$60,0)))*((1-INDEX('Parametri Modello'!$D$57:$D$60,MATCH($B326,'Parametri Modello'!$A$57:$A$60,0)))*(INDEX('Parametri Modello'!$B$50:$B$53,MATCH($B326,'Parametri Modello'!$A$50:$A$53,0))*'Parametri Modello'!$B$44))))*(1+IF(IF($B326="D",'Info Lega'!$B$25,IF($B326="C",'Info Lega'!$B$26,"No"))="Si",'Parametri Modello'!$B$5,0))*(1+MAX(-0.25,MIN(0.25,IF(OR($T326="",$I326="",$I326=0,INDEX('Parametri Modello'!$B$19:$B$22,MATCH($B326,'Parametri Modello'!$A$19:$A$22,0))="",INDEX('Parametri Modello'!$B$19:$B$22,MATCH($B326,'Parametri Modello'!$A$19:$A$22,0))=0),0,(($T326-INDEX('Parametri Modello'!$B$19:$B$22,MATCH($B326,'Parametri Modello'!$A$19:$A$22,0)))/INDEX('Parametri Modello'!$B$19:$B$22,MATCH($B326,'Parametri Modello'!$A$19:$A$22,0)))*'Parametri Modello'!$B$9))))*(1+IF('Parametri Modello'!$B$27="Si",MAX(-'Parametri Modello'!$B$28,MIN('Parametri Modello'!$B$28*1.5,IF(OR(INDEX('Parametri Modello'!$F$32:$F$35,MATCH($B326,'Parametri Modello'!$A$32:$A$35,0))="",INDEX('Parametri Modello'!$F$32:$F$35,MATCH($B326,'Parametri Modello'!$A$32:$A$35,0))=0),0,(1/INDEX('Parametri Modello'!$F$32:$F$35,MATCH($B326,'Parametri Modello'!$A$32:$A$35,0))-1)*'Parametri Modello'!$B$28))),0)))*(1+INDEX('Parametri Modello'!$B$12:$B$15,MATCH($B326,'Parametri Modello'!$A$12:$A$15,0))),0),"")</f>
        <v>4</v>
      </c>
      <c r="I326" s="26" t="n">
        <f aca="false">IFERROR(INDEX('Input Statistiche 2025_26'!$F$3:$F$665,MATCH($A326,'Input Statistiche 2025_26'!$A$3:$A$665,0)),"")</f>
        <v>25</v>
      </c>
      <c r="J326" s="26" t="n">
        <f aca="false">IFERROR(IF($I326="","",MAX(0,38-$I326)),"")</f>
        <v>13</v>
      </c>
      <c r="K326" s="26" t="n">
        <f aca="false">IFERROR(INDEX('Input Statistiche 2025_26'!$I$3:$I$665,MATCH($A326,'Input Statistiche 2025_26'!$A$3:$A$665,0)),"")</f>
        <v>3</v>
      </c>
      <c r="L326" s="26" t="n">
        <f aca="false">IFERROR(INDEX('Input Statistiche 2025_26'!$O$3:$O$665,MATCH($A326,'Input Statistiche 2025_26'!$A$3:$A$665,0)),"")</f>
        <v>0</v>
      </c>
      <c r="M326" s="28"/>
      <c r="N326" s="27" t="n">
        <f aca="false">IFERROR(INDEX('Input Giocatori 2026_27'!$E$3:$E$493,MATCH($A326,'Input Giocatori 2026_27'!$A$3:$A$493,0)),"")</f>
        <v>3</v>
      </c>
      <c r="O326" s="27" t="n">
        <f aca="false">IFERROR(INDEX('Input Giocatori 2026_27'!$G$3:$G$493,MATCH($A326,'Input Giocatori 2026_27'!$A$3:$A$493,0)),"")</f>
        <v>10</v>
      </c>
      <c r="P326" s="26" t="str">
        <f aca="false">IFERROR(IF($O326="","",IF((1-(COUNTIFS($B$2:$B$492,$B326,$O$2:$O$492,"&gt;"&amp;$O326)+1-1)/COUNTIF($B$2:$B$492,$B326))&gt;=0.85,"Top",IF((1-(COUNTIFS($B$2:$B$492,$B326,$O$2:$O$492,"&gt;"&amp;$O326)+1-1)/COUNTIF($B$2:$B$492,$B326))&gt;=0.6,"Buono",IF((1-(COUNTIFS($B$2:$B$492,$B326,$O$2:$O$492,"&gt;"&amp;$O326)+1-1)/COUNTIF($B$2:$B$492,$B326))&gt;=0.3,"Nella Media","Scommessa/Riserva")))),"")</f>
        <v>Scommessa/Riserva</v>
      </c>
      <c r="Q326" s="29" t="n">
        <f aca="false">IF($D326="",COUNTIF($D$2:$D326,""),"")</f>
        <v>325</v>
      </c>
      <c r="R326" s="29" t="str">
        <f aca="false">IF($D326='Info Lega'!$B$28,COUNTIFS($D$2:$D326,'Info Lega'!$B$28),"")</f>
        <v/>
      </c>
      <c r="S326" s="30" t="n">
        <f aca="false">IFERROR(INDEX('Input Statistiche 2025_26'!$G$3:$G$665,MATCH($A326,'Input Statistiche 2025_26'!$A$3:$A$665,0)),"")</f>
        <v>5.96</v>
      </c>
      <c r="T326" s="30" t="n">
        <f aca="false">IFERROR(INDEX('Input Statistiche 2025_26'!$H$3:$H$665,MATCH($A326,'Input Statistiche 2025_26'!$A$3:$A$665,0)),"")</f>
        <v>6.28</v>
      </c>
      <c r="U326" s="26" t="str">
        <f aca="false">IF(OR('La Mia Rosa'!$O$12="",$D326&lt;&gt;""),"",IF($F326&lt;='La Mia Rosa'!$O$12*'Parametri Modello'!$B$24,"OK",IF($F326&lt;='La Mia Rosa'!$O$12*'Parametri Modello'!$B$25,"Attenzione","Rischio Alto")))</f>
        <v>OK</v>
      </c>
      <c r="V326" s="26" t="n">
        <f aca="false">IFERROR(COUNTIFS($B$2:$B$492,$B326,$O$2:$O$492,"&gt;"&amp;$O326)+1,"")</f>
        <v>63</v>
      </c>
      <c r="W326" s="21" t="n">
        <f aca="false">'Info Lega'!$B$4-SUMIFS($M$2:$M$492,$D$2:$D$492,'Info Lega'!$B$28)</f>
        <v>1000</v>
      </c>
      <c r="X326" s="21" t="n">
        <f aca="false">('Info Lega'!$B$5-COUNTIFS($D$2:$D$492,'Info Lega'!$B$28,$B$2:$B$492,"P"))+('Info Lega'!$B$6-COUNTIFS($D$2:$D$492,'Info Lega'!$B$28,$B$2:$B$492,"D"))+('Info Lega'!$B$7-COUNTIFS($D$2:$D$492,'Info Lega'!$B$28,$B$2:$B$492,"C"))+('Info Lega'!$B$8-COUNTIFS($D$2:$D$492,'Info Lega'!$B$28,$B$2:$B$492,"A"))</f>
        <v>25</v>
      </c>
      <c r="Y326" s="21" t="n">
        <f aca="false">X326*'Parametri Modello'!$B$30</f>
        <v>25</v>
      </c>
      <c r="Z326" s="21" t="n">
        <f aca="false">MAX(0,W326-Y326)</f>
        <v>975</v>
      </c>
      <c r="AA326" s="21" t="n">
        <f aca="false">MIN(F326,Z326)</f>
        <v>3</v>
      </c>
      <c r="AB326" s="21"/>
      <c r="AC326" s="21" t="str">
        <f aca="false">IF(AB326="","",IF(AB326&gt;AA326,"PASS",IF(AB326&lt;=AA326*0.85,"BID","ATTENZIONE")))</f>
        <v/>
      </c>
      <c r="AD326" s="31" t="n">
        <f aca="false">IF(I326="","",ROUND(100*(1-EXP(-I326/30)),0))</f>
        <v>57</v>
      </c>
      <c r="AE326" s="7" t="str">
        <f aca="false">IFERROR(INDEX('Stato Asta'!$G$9:$G$12,MATCH($B326,'Stato Asta'!$A$9:$A$12,0)),"")</f>
        <v>🔴 Non aspettare</v>
      </c>
    </row>
    <row r="327" customFormat="false" ht="14.25" hidden="false" customHeight="true" outlineLevel="0" collapsed="false">
      <c r="A327" s="21" t="n">
        <v>7120</v>
      </c>
      <c r="B327" s="21" t="s">
        <v>46</v>
      </c>
      <c r="C327" s="21" t="s">
        <v>610</v>
      </c>
      <c r="E327" s="26" t="str">
        <f aca="false">IF(COUNTIF('Info Strategia'!$D$2:$D$51,$C327)&gt;0,"SI","NO")</f>
        <v>NO</v>
      </c>
      <c r="F327" s="27" t="n">
        <f aca="false">IFERROR(ROUND(($G327+($H327-$G327)*'Info Strategia'!$B$6)*(1+IF($E327="SI",'Parametri Modello'!$B$7*'Info Strategia'!$B$6,0)),0),"")</f>
        <v>3</v>
      </c>
      <c r="G327" s="27" t="n">
        <f aca="false">IFERROR(ROUND(MAX(1,(IF($V327&lt;=INDEX('Parametri Modello'!$C$57:$C$60,MATCH($B327,'Parametri Modello'!$A$57:$A$60,0)),IF(INDEX('Parametri Modello'!$E$57:$E$60,MATCH($B327,'Parametri Modello'!$A$57:$A$60,0))=0,0,($O327/INDEX('Parametri Modello'!$E$57:$E$60,MATCH($B327,'Parametri Modello'!$A$57:$A$60,0)))*(INDEX('Parametri Modello'!$D$57:$D$60,MATCH($B327,'Parametri Modello'!$A$57:$A$60,0))*(INDEX('Parametri Modello'!$B$50:$B$53,MATCH($B327,'Parametri Modello'!$A$50:$A$53,0))*'Parametri Modello'!$B$44))),IF(INDEX('Parametri Modello'!$F$57:$F$60,MATCH($B327,'Parametri Modello'!$A$57:$A$60,0))=0,0,($O327/INDEX('Parametri Modello'!$F$57:$F$60,MATCH($B327,'Parametri Modello'!$A$57:$A$60,0)))*((1-INDEX('Parametri Modello'!$D$57:$D$60,MATCH($B327,'Parametri Modello'!$A$57:$A$60,0)))*(INDEX('Parametri Modello'!$B$50:$B$53,MATCH($B327,'Parametri Modello'!$A$50:$A$53,0))*'Parametri Modello'!$B$44))))*(1+IF(IF($B327="D",'Info Lega'!$B$25,IF($B327="C",'Info Lega'!$B$26,"No"))="Si",'Parametri Modello'!$B$5,0))*(1+MAX(-0.25,MIN(0.25,IF(OR($T327="",$I327="",$I327=0,INDEX('Parametri Modello'!$B$19:$B$22,MATCH($B327,'Parametri Modello'!$A$19:$A$22,0))="",INDEX('Parametri Modello'!$B$19:$B$22,MATCH($B327,'Parametri Modello'!$A$19:$A$22,0))=0),0,(($T327-INDEX('Parametri Modello'!$B$19:$B$22,MATCH($B327,'Parametri Modello'!$A$19:$A$22,0)))/INDEX('Parametri Modello'!$B$19:$B$22,MATCH($B327,'Parametri Modello'!$A$19:$A$22,0)))*'Parametri Modello'!$B$9))))*(1+IF('Parametri Modello'!$B$27="Si",MAX(-'Parametri Modello'!$B$28,MIN('Parametri Modello'!$B$28*1.5,IF(OR(INDEX('Parametri Modello'!$F$32:$F$35,MATCH($B327,'Parametri Modello'!$A$32:$A$35,0))="",INDEX('Parametri Modello'!$F$32:$F$35,MATCH($B327,'Parametri Modello'!$A$32:$A$35,0))=0),0,(1/INDEX('Parametri Modello'!$F$32:$F$35,MATCH($B327,'Parametri Modello'!$A$32:$A$35,0))-1)*'Parametri Modello'!$B$28))),0)))*(1-INDEX('Parametri Modello'!$B$12:$B$15,MATCH($B327,'Parametri Modello'!$A$12:$A$15,0)))),0),"")</f>
        <v>2</v>
      </c>
      <c r="H327" s="27" t="n">
        <f aca="false">IFERROR(ROUND((IF($V327&lt;=INDEX('Parametri Modello'!$C$57:$C$60,MATCH($B327,'Parametri Modello'!$A$57:$A$60,0)),IF(INDEX('Parametri Modello'!$E$57:$E$60,MATCH($B327,'Parametri Modello'!$A$57:$A$60,0))=0,0,($O327/INDEX('Parametri Modello'!$E$57:$E$60,MATCH($B327,'Parametri Modello'!$A$57:$A$60,0)))*(INDEX('Parametri Modello'!$D$57:$D$60,MATCH($B327,'Parametri Modello'!$A$57:$A$60,0))*(INDEX('Parametri Modello'!$B$50:$B$53,MATCH($B327,'Parametri Modello'!$A$50:$A$53,0))*'Parametri Modello'!$B$44))),IF(INDEX('Parametri Modello'!$F$57:$F$60,MATCH($B327,'Parametri Modello'!$A$57:$A$60,0))=0,0,($O327/INDEX('Parametri Modello'!$F$57:$F$60,MATCH($B327,'Parametri Modello'!$A$57:$A$60,0)))*((1-INDEX('Parametri Modello'!$D$57:$D$60,MATCH($B327,'Parametri Modello'!$A$57:$A$60,0)))*(INDEX('Parametri Modello'!$B$50:$B$53,MATCH($B327,'Parametri Modello'!$A$50:$A$53,0))*'Parametri Modello'!$B$44))))*(1+IF(IF($B327="D",'Info Lega'!$B$25,IF($B327="C",'Info Lega'!$B$26,"No"))="Si",'Parametri Modello'!$B$5,0))*(1+MAX(-0.25,MIN(0.25,IF(OR($T327="",$I327="",$I327=0,INDEX('Parametri Modello'!$B$19:$B$22,MATCH($B327,'Parametri Modello'!$A$19:$A$22,0))="",INDEX('Parametri Modello'!$B$19:$B$22,MATCH($B327,'Parametri Modello'!$A$19:$A$22,0))=0),0,(($T327-INDEX('Parametri Modello'!$B$19:$B$22,MATCH($B327,'Parametri Modello'!$A$19:$A$22,0)))/INDEX('Parametri Modello'!$B$19:$B$22,MATCH($B327,'Parametri Modello'!$A$19:$A$22,0)))*'Parametri Modello'!$B$9))))*(1+IF('Parametri Modello'!$B$27="Si",MAX(-'Parametri Modello'!$B$28,MIN('Parametri Modello'!$B$28*1.5,IF(OR(INDEX('Parametri Modello'!$F$32:$F$35,MATCH($B327,'Parametri Modello'!$A$32:$A$35,0))="",INDEX('Parametri Modello'!$F$32:$F$35,MATCH($B327,'Parametri Modello'!$A$32:$A$35,0))=0),0,(1/INDEX('Parametri Modello'!$F$32:$F$35,MATCH($B327,'Parametri Modello'!$A$32:$A$35,0))-1)*'Parametri Modello'!$B$28))),0)))*(1+INDEX('Parametri Modello'!$B$12:$B$15,MATCH($B327,'Parametri Modello'!$A$12:$A$15,0))),0),"")</f>
        <v>4</v>
      </c>
      <c r="I327" s="26" t="n">
        <f aca="false">IFERROR(INDEX('Input Statistiche 2025_26'!$F$3:$F$665,MATCH($A327,'Input Statistiche 2025_26'!$A$3:$A$665,0)),"")</f>
        <v>14</v>
      </c>
      <c r="J327" s="26" t="n">
        <f aca="false">IFERROR(IF($I327="","",MAX(0,38-$I327)),"")</f>
        <v>24</v>
      </c>
      <c r="K327" s="26" t="n">
        <f aca="false">IFERROR(INDEX('Input Statistiche 2025_26'!$I$3:$I$665,MATCH($A327,'Input Statistiche 2025_26'!$A$3:$A$665,0)),"")</f>
        <v>1</v>
      </c>
      <c r="L327" s="26" t="n">
        <f aca="false">IFERROR(INDEX('Input Statistiche 2025_26'!$O$3:$O$665,MATCH($A327,'Input Statistiche 2025_26'!$A$3:$A$665,0)),"")</f>
        <v>2</v>
      </c>
      <c r="M327" s="28"/>
      <c r="N327" s="27" t="n">
        <f aca="false">IFERROR(INDEX('Input Giocatori 2026_27'!$E$3:$E$493,MATCH($A327,'Input Giocatori 2026_27'!$A$3:$A$493,0)),"")</f>
        <v>3</v>
      </c>
      <c r="O327" s="27" t="n">
        <f aca="false">IFERROR(INDEX('Input Giocatori 2026_27'!$G$3:$G$493,MATCH($A327,'Input Giocatori 2026_27'!$A$3:$A$493,0)),"")</f>
        <v>10</v>
      </c>
      <c r="P327" s="26" t="str">
        <f aca="false">IFERROR(IF($O327="","",IF((1-(COUNTIFS($B$2:$B$492,$B327,$O$2:$O$492,"&gt;"&amp;$O327)+1-1)/COUNTIF($B$2:$B$492,$B327))&gt;=0.85,"Top",IF((1-(COUNTIFS($B$2:$B$492,$B327,$O$2:$O$492,"&gt;"&amp;$O327)+1-1)/COUNTIF($B$2:$B$492,$B327))&gt;=0.6,"Buono",IF((1-(COUNTIFS($B$2:$B$492,$B327,$O$2:$O$492,"&gt;"&amp;$O327)+1-1)/COUNTIF($B$2:$B$492,$B327))&gt;=0.3,"Nella Media","Scommessa/Riserva")))),"")</f>
        <v>Scommessa/Riserva</v>
      </c>
      <c r="Q327" s="29" t="n">
        <f aca="false">IF($D327="",COUNTIF($D$2:$D327,""),"")</f>
        <v>326</v>
      </c>
      <c r="R327" s="29" t="str">
        <f aca="false">IF($D327='Info Lega'!$B$28,COUNTIFS($D$2:$D327,'Info Lega'!$B$28),"")</f>
        <v/>
      </c>
      <c r="S327" s="30" t="n">
        <f aca="false">IFERROR(INDEX('Input Statistiche 2025_26'!$G$3:$G$665,MATCH($A327,'Input Statistiche 2025_26'!$A$3:$A$665,0)),"")</f>
        <v>6.04</v>
      </c>
      <c r="T327" s="30" t="n">
        <f aca="false">IFERROR(INDEX('Input Statistiche 2025_26'!$H$3:$H$665,MATCH($A327,'Input Statistiche 2025_26'!$A$3:$A$665,0)),"")</f>
        <v>6.32</v>
      </c>
      <c r="U327" s="26" t="str">
        <f aca="false">IF(OR('La Mia Rosa'!$O$12="",$D327&lt;&gt;""),"",IF($F327&lt;='La Mia Rosa'!$O$12*'Parametri Modello'!$B$24,"OK",IF($F327&lt;='La Mia Rosa'!$O$12*'Parametri Modello'!$B$25,"Attenzione","Rischio Alto")))</f>
        <v>OK</v>
      </c>
      <c r="V327" s="26" t="n">
        <f aca="false">IFERROR(COUNTIFS($B$2:$B$492,$B327,$O$2:$O$492,"&gt;"&amp;$O327)+1,"")</f>
        <v>63</v>
      </c>
      <c r="W327" s="21" t="n">
        <f aca="false">'Info Lega'!$B$4-SUMIFS($M$2:$M$492,$D$2:$D$492,'Info Lega'!$B$28)</f>
        <v>1000</v>
      </c>
      <c r="X327" s="21" t="n">
        <f aca="false">('Info Lega'!$B$5-COUNTIFS($D$2:$D$492,'Info Lega'!$B$28,$B$2:$B$492,"P"))+('Info Lega'!$B$6-COUNTIFS($D$2:$D$492,'Info Lega'!$B$28,$B$2:$B$492,"D"))+('Info Lega'!$B$7-COUNTIFS($D$2:$D$492,'Info Lega'!$B$28,$B$2:$B$492,"C"))+('Info Lega'!$B$8-COUNTIFS($D$2:$D$492,'Info Lega'!$B$28,$B$2:$B$492,"A"))</f>
        <v>25</v>
      </c>
      <c r="Y327" s="21" t="n">
        <f aca="false">X327*'Parametri Modello'!$B$30</f>
        <v>25</v>
      </c>
      <c r="Z327" s="21" t="n">
        <f aca="false">MAX(0,W327-Y327)</f>
        <v>975</v>
      </c>
      <c r="AA327" s="21" t="n">
        <f aca="false">MIN(F327,Z327)</f>
        <v>3</v>
      </c>
      <c r="AB327" s="21"/>
      <c r="AC327" s="21" t="str">
        <f aca="false">IF(AB327="","",IF(AB327&gt;AA327,"PASS",IF(AB327&lt;=AA327*0.85,"BID","ATTENZIONE")))</f>
        <v/>
      </c>
      <c r="AD327" s="31" t="n">
        <f aca="false">IF(I327="","",ROUND(100*(1-EXP(-I327/30)),0))</f>
        <v>37</v>
      </c>
      <c r="AE327" s="7" t="str">
        <f aca="false">IFERROR(INDEX('Stato Asta'!$G$9:$G$12,MATCH($B327,'Stato Asta'!$A$9:$A$12,0)),"")</f>
        <v>🔴 Non aspettare</v>
      </c>
    </row>
    <row r="328" customFormat="false" ht="14.25" hidden="false" customHeight="true" outlineLevel="0" collapsed="false">
      <c r="A328" s="21" t="n">
        <v>6215</v>
      </c>
      <c r="B328" s="21" t="s">
        <v>46</v>
      </c>
      <c r="C328" s="21" t="s">
        <v>611</v>
      </c>
      <c r="E328" s="26" t="str">
        <f aca="false">IF(COUNTIF('Info Strategia'!$D$2:$D$51,$C328)&gt;0,"SI","NO")</f>
        <v>NO</v>
      </c>
      <c r="F328" s="27" t="n">
        <f aca="false">IFERROR(ROUND(($G328+($H328-$G328)*'Info Strategia'!$B$6)*(1+IF($E328="SI",'Parametri Modello'!$B$7*'Info Strategia'!$B$6,0)),0),"")</f>
        <v>3</v>
      </c>
      <c r="G328" s="27" t="n">
        <f aca="false">IFERROR(ROUND(MAX(1,(IF($V328&lt;=INDEX('Parametri Modello'!$C$57:$C$60,MATCH($B328,'Parametri Modello'!$A$57:$A$60,0)),IF(INDEX('Parametri Modello'!$E$57:$E$60,MATCH($B328,'Parametri Modello'!$A$57:$A$60,0))=0,0,($O328/INDEX('Parametri Modello'!$E$57:$E$60,MATCH($B328,'Parametri Modello'!$A$57:$A$60,0)))*(INDEX('Parametri Modello'!$D$57:$D$60,MATCH($B328,'Parametri Modello'!$A$57:$A$60,0))*(INDEX('Parametri Modello'!$B$50:$B$53,MATCH($B328,'Parametri Modello'!$A$50:$A$53,0))*'Parametri Modello'!$B$44))),IF(INDEX('Parametri Modello'!$F$57:$F$60,MATCH($B328,'Parametri Modello'!$A$57:$A$60,0))=0,0,($O328/INDEX('Parametri Modello'!$F$57:$F$60,MATCH($B328,'Parametri Modello'!$A$57:$A$60,0)))*((1-INDEX('Parametri Modello'!$D$57:$D$60,MATCH($B328,'Parametri Modello'!$A$57:$A$60,0)))*(INDEX('Parametri Modello'!$B$50:$B$53,MATCH($B328,'Parametri Modello'!$A$50:$A$53,0))*'Parametri Modello'!$B$44))))*(1+IF(IF($B328="D",'Info Lega'!$B$25,IF($B328="C",'Info Lega'!$B$26,"No"))="Si",'Parametri Modello'!$B$5,0))*(1+MAX(-0.25,MIN(0.25,IF(OR($T328="",$I328="",$I328=0,INDEX('Parametri Modello'!$B$19:$B$22,MATCH($B328,'Parametri Modello'!$A$19:$A$22,0))="",INDEX('Parametri Modello'!$B$19:$B$22,MATCH($B328,'Parametri Modello'!$A$19:$A$22,0))=0),0,(($T328-INDEX('Parametri Modello'!$B$19:$B$22,MATCH($B328,'Parametri Modello'!$A$19:$A$22,0)))/INDEX('Parametri Modello'!$B$19:$B$22,MATCH($B328,'Parametri Modello'!$A$19:$A$22,0)))*'Parametri Modello'!$B$9))))*(1+IF('Parametri Modello'!$B$27="Si",MAX(-'Parametri Modello'!$B$28,MIN('Parametri Modello'!$B$28*1.5,IF(OR(INDEX('Parametri Modello'!$F$32:$F$35,MATCH($B328,'Parametri Modello'!$A$32:$A$35,0))="",INDEX('Parametri Modello'!$F$32:$F$35,MATCH($B328,'Parametri Modello'!$A$32:$A$35,0))=0),0,(1/INDEX('Parametri Modello'!$F$32:$F$35,MATCH($B328,'Parametri Modello'!$A$32:$A$35,0))-1)*'Parametri Modello'!$B$28))),0)))*(1-INDEX('Parametri Modello'!$B$12:$B$15,MATCH($B328,'Parametri Modello'!$A$12:$A$15,0)))),0),"")</f>
        <v>2</v>
      </c>
      <c r="H328" s="27" t="n">
        <f aca="false">IFERROR(ROUND((IF($V328&lt;=INDEX('Parametri Modello'!$C$57:$C$60,MATCH($B328,'Parametri Modello'!$A$57:$A$60,0)),IF(INDEX('Parametri Modello'!$E$57:$E$60,MATCH($B328,'Parametri Modello'!$A$57:$A$60,0))=0,0,($O328/INDEX('Parametri Modello'!$E$57:$E$60,MATCH($B328,'Parametri Modello'!$A$57:$A$60,0)))*(INDEX('Parametri Modello'!$D$57:$D$60,MATCH($B328,'Parametri Modello'!$A$57:$A$60,0))*(INDEX('Parametri Modello'!$B$50:$B$53,MATCH($B328,'Parametri Modello'!$A$50:$A$53,0))*'Parametri Modello'!$B$44))),IF(INDEX('Parametri Modello'!$F$57:$F$60,MATCH($B328,'Parametri Modello'!$A$57:$A$60,0))=0,0,($O328/INDEX('Parametri Modello'!$F$57:$F$60,MATCH($B328,'Parametri Modello'!$A$57:$A$60,0)))*((1-INDEX('Parametri Modello'!$D$57:$D$60,MATCH($B328,'Parametri Modello'!$A$57:$A$60,0)))*(INDEX('Parametri Modello'!$B$50:$B$53,MATCH($B328,'Parametri Modello'!$A$50:$A$53,0))*'Parametri Modello'!$B$44))))*(1+IF(IF($B328="D",'Info Lega'!$B$25,IF($B328="C",'Info Lega'!$B$26,"No"))="Si",'Parametri Modello'!$B$5,0))*(1+MAX(-0.25,MIN(0.25,IF(OR($T328="",$I328="",$I328=0,INDEX('Parametri Modello'!$B$19:$B$22,MATCH($B328,'Parametri Modello'!$A$19:$A$22,0))="",INDEX('Parametri Modello'!$B$19:$B$22,MATCH($B328,'Parametri Modello'!$A$19:$A$22,0))=0),0,(($T328-INDEX('Parametri Modello'!$B$19:$B$22,MATCH($B328,'Parametri Modello'!$A$19:$A$22,0)))/INDEX('Parametri Modello'!$B$19:$B$22,MATCH($B328,'Parametri Modello'!$A$19:$A$22,0)))*'Parametri Modello'!$B$9))))*(1+IF('Parametri Modello'!$B$27="Si",MAX(-'Parametri Modello'!$B$28,MIN('Parametri Modello'!$B$28*1.5,IF(OR(INDEX('Parametri Modello'!$F$32:$F$35,MATCH($B328,'Parametri Modello'!$A$32:$A$35,0))="",INDEX('Parametri Modello'!$F$32:$F$35,MATCH($B328,'Parametri Modello'!$A$32:$A$35,0))=0),0,(1/INDEX('Parametri Modello'!$F$32:$F$35,MATCH($B328,'Parametri Modello'!$A$32:$A$35,0))-1)*'Parametri Modello'!$B$28))),0)))*(1+INDEX('Parametri Modello'!$B$12:$B$15,MATCH($B328,'Parametri Modello'!$A$12:$A$15,0))),0),"")</f>
        <v>4</v>
      </c>
      <c r="I328" s="26" t="n">
        <f aca="false">IFERROR(INDEX('Input Statistiche 2025_26'!$F$3:$F$665,MATCH($A328,'Input Statistiche 2025_26'!$A$3:$A$665,0)),"")</f>
        <v>9</v>
      </c>
      <c r="J328" s="26" t="n">
        <f aca="false">IFERROR(IF($I328="","",MAX(0,38-$I328)),"")</f>
        <v>29</v>
      </c>
      <c r="K328" s="26" t="n">
        <f aca="false">IFERROR(INDEX('Input Statistiche 2025_26'!$I$3:$I$665,MATCH($A328,'Input Statistiche 2025_26'!$A$3:$A$665,0)),"")</f>
        <v>1</v>
      </c>
      <c r="L328" s="26" t="n">
        <f aca="false">IFERROR(INDEX('Input Statistiche 2025_26'!$O$3:$O$665,MATCH($A328,'Input Statistiche 2025_26'!$A$3:$A$665,0)),"")</f>
        <v>0</v>
      </c>
      <c r="M328" s="28"/>
      <c r="N328" s="27" t="n">
        <f aca="false">IFERROR(INDEX('Input Giocatori 2026_27'!$E$3:$E$493,MATCH($A328,'Input Giocatori 2026_27'!$A$3:$A$493,0)),"")</f>
        <v>3</v>
      </c>
      <c r="O328" s="27" t="n">
        <f aca="false">IFERROR(INDEX('Input Giocatori 2026_27'!$G$3:$G$493,MATCH($A328,'Input Giocatori 2026_27'!$A$3:$A$493,0)),"")</f>
        <v>10</v>
      </c>
      <c r="P328" s="26" t="str">
        <f aca="false">IFERROR(IF($O328="","",IF((1-(COUNTIFS($B$2:$B$492,$B328,$O$2:$O$492,"&gt;"&amp;$O328)+1-1)/COUNTIF($B$2:$B$492,$B328))&gt;=0.85,"Top",IF((1-(COUNTIFS($B$2:$B$492,$B328,$O$2:$O$492,"&gt;"&amp;$O328)+1-1)/COUNTIF($B$2:$B$492,$B328))&gt;=0.6,"Buono",IF((1-(COUNTIFS($B$2:$B$492,$B328,$O$2:$O$492,"&gt;"&amp;$O328)+1-1)/COUNTIF($B$2:$B$492,$B328))&gt;=0.3,"Nella Media","Scommessa/Riserva")))),"")</f>
        <v>Scommessa/Riserva</v>
      </c>
      <c r="Q328" s="29" t="n">
        <f aca="false">IF($D328="",COUNTIF($D$2:$D328,""),"")</f>
        <v>327</v>
      </c>
      <c r="R328" s="29" t="str">
        <f aca="false">IF($D328='Info Lega'!$B$28,COUNTIFS($D$2:$D328,'Info Lega'!$B$28),"")</f>
        <v/>
      </c>
      <c r="S328" s="30" t="n">
        <f aca="false">IFERROR(INDEX('Input Statistiche 2025_26'!$G$3:$G$665,MATCH($A328,'Input Statistiche 2025_26'!$A$3:$A$665,0)),"")</f>
        <v>5.72</v>
      </c>
      <c r="T328" s="30" t="n">
        <f aca="false">IFERROR(INDEX('Input Statistiche 2025_26'!$H$3:$H$665,MATCH($A328,'Input Statistiche 2025_26'!$A$3:$A$665,0)),"")</f>
        <v>6</v>
      </c>
      <c r="U328" s="26" t="str">
        <f aca="false">IF(OR('La Mia Rosa'!$O$12="",$D328&lt;&gt;""),"",IF($F328&lt;='La Mia Rosa'!$O$12*'Parametri Modello'!$B$24,"OK",IF($F328&lt;='La Mia Rosa'!$O$12*'Parametri Modello'!$B$25,"Attenzione","Rischio Alto")))</f>
        <v>OK</v>
      </c>
      <c r="V328" s="26" t="n">
        <f aca="false">IFERROR(COUNTIFS($B$2:$B$492,$B328,$O$2:$O$492,"&gt;"&amp;$O328)+1,"")</f>
        <v>63</v>
      </c>
      <c r="W328" s="21" t="n">
        <f aca="false">'Info Lega'!$B$4-SUMIFS($M$2:$M$492,$D$2:$D$492,'Info Lega'!$B$28)</f>
        <v>1000</v>
      </c>
      <c r="X328" s="21" t="n">
        <f aca="false">('Info Lega'!$B$5-COUNTIFS($D$2:$D$492,'Info Lega'!$B$28,$B$2:$B$492,"P"))+('Info Lega'!$B$6-COUNTIFS($D$2:$D$492,'Info Lega'!$B$28,$B$2:$B$492,"D"))+('Info Lega'!$B$7-COUNTIFS($D$2:$D$492,'Info Lega'!$B$28,$B$2:$B$492,"C"))+('Info Lega'!$B$8-COUNTIFS($D$2:$D$492,'Info Lega'!$B$28,$B$2:$B$492,"A"))</f>
        <v>25</v>
      </c>
      <c r="Y328" s="21" t="n">
        <f aca="false">X328*'Parametri Modello'!$B$30</f>
        <v>25</v>
      </c>
      <c r="Z328" s="21" t="n">
        <f aca="false">MAX(0,W328-Y328)</f>
        <v>975</v>
      </c>
      <c r="AA328" s="21" t="n">
        <f aca="false">MIN(F328,Z328)</f>
        <v>3</v>
      </c>
      <c r="AB328" s="21"/>
      <c r="AC328" s="21" t="str">
        <f aca="false">IF(AB328="","",IF(AB328&gt;AA328,"PASS",IF(AB328&lt;=AA328*0.85,"BID","ATTENZIONE")))</f>
        <v/>
      </c>
      <c r="AD328" s="31" t="n">
        <f aca="false">IF(I328="","",ROUND(100*(1-EXP(-I328/30)),0))</f>
        <v>26</v>
      </c>
      <c r="AE328" s="7" t="str">
        <f aca="false">IFERROR(INDEX('Stato Asta'!$G$9:$G$12,MATCH($B328,'Stato Asta'!$A$9:$A$12,0)),"")</f>
        <v>🔴 Non aspettare</v>
      </c>
    </row>
    <row r="329" customFormat="false" ht="14.25" hidden="false" customHeight="true" outlineLevel="0" collapsed="false">
      <c r="A329" s="21" t="n">
        <v>4461</v>
      </c>
      <c r="B329" s="21" t="s">
        <v>44</v>
      </c>
      <c r="C329" s="21" t="s">
        <v>281</v>
      </c>
      <c r="E329" s="26" t="str">
        <f aca="false">IF(COUNTIF('Info Strategia'!$D$2:$D$51,$C329)&gt;0,"SI","NO")</f>
        <v>NO</v>
      </c>
      <c r="F329" s="27" t="n">
        <f aca="false">IFERROR(ROUND(($G329+($H329-$G329)*'Info Strategia'!$B$6)*(1+IF($E329="SI",'Parametri Modello'!$B$7*'Info Strategia'!$B$6,0)),0),"")</f>
        <v>2</v>
      </c>
      <c r="G329" s="27" t="n">
        <f aca="false">IFERROR(ROUND(MAX(1,(IF($V329&lt;=INDEX('Parametri Modello'!$C$57:$C$60,MATCH($B329,'Parametri Modello'!$A$57:$A$60,0)),IF(INDEX('Parametri Modello'!$E$57:$E$60,MATCH($B329,'Parametri Modello'!$A$57:$A$60,0))=0,0,($O329/INDEX('Parametri Modello'!$E$57:$E$60,MATCH($B329,'Parametri Modello'!$A$57:$A$60,0)))*(INDEX('Parametri Modello'!$D$57:$D$60,MATCH($B329,'Parametri Modello'!$A$57:$A$60,0))*(INDEX('Parametri Modello'!$B$50:$B$53,MATCH($B329,'Parametri Modello'!$A$50:$A$53,0))*'Parametri Modello'!$B$44))),IF(INDEX('Parametri Modello'!$F$57:$F$60,MATCH($B329,'Parametri Modello'!$A$57:$A$60,0))=0,0,($O329/INDEX('Parametri Modello'!$F$57:$F$60,MATCH($B329,'Parametri Modello'!$A$57:$A$60,0)))*((1-INDEX('Parametri Modello'!$D$57:$D$60,MATCH($B329,'Parametri Modello'!$A$57:$A$60,0)))*(INDEX('Parametri Modello'!$B$50:$B$53,MATCH($B329,'Parametri Modello'!$A$50:$A$53,0))*'Parametri Modello'!$B$44))))*(1+IF(IF($B329="D",'Info Lega'!$B$25,IF($B329="C",'Info Lega'!$B$26,"No"))="Si",'Parametri Modello'!$B$5,0))*(1+MAX(-0.25,MIN(0.25,IF(OR($T329="",$I329="",$I329=0,INDEX('Parametri Modello'!$B$19:$B$22,MATCH($B329,'Parametri Modello'!$A$19:$A$22,0))="",INDEX('Parametri Modello'!$B$19:$B$22,MATCH($B329,'Parametri Modello'!$A$19:$A$22,0))=0),0,(($T329-INDEX('Parametri Modello'!$B$19:$B$22,MATCH($B329,'Parametri Modello'!$A$19:$A$22,0)))/INDEX('Parametri Modello'!$B$19:$B$22,MATCH($B329,'Parametri Modello'!$A$19:$A$22,0)))*'Parametri Modello'!$B$9))))*(1+IF('Parametri Modello'!$B$27="Si",MAX(-'Parametri Modello'!$B$28,MIN('Parametri Modello'!$B$28*1.5,IF(OR(INDEX('Parametri Modello'!$F$32:$F$35,MATCH($B329,'Parametri Modello'!$A$32:$A$35,0))="",INDEX('Parametri Modello'!$F$32:$F$35,MATCH($B329,'Parametri Modello'!$A$32:$A$35,0))=0),0,(1/INDEX('Parametri Modello'!$F$32:$F$35,MATCH($B329,'Parametri Modello'!$A$32:$A$35,0))-1)*'Parametri Modello'!$B$28))),0)))*(1-INDEX('Parametri Modello'!$B$12:$B$15,MATCH($B329,'Parametri Modello'!$A$12:$A$15,0)))),0),"")</f>
        <v>1</v>
      </c>
      <c r="H329" s="27" t="n">
        <f aca="false">IFERROR(ROUND((IF($V329&lt;=INDEX('Parametri Modello'!$C$57:$C$60,MATCH($B329,'Parametri Modello'!$A$57:$A$60,0)),IF(INDEX('Parametri Modello'!$E$57:$E$60,MATCH($B329,'Parametri Modello'!$A$57:$A$60,0))=0,0,($O329/INDEX('Parametri Modello'!$E$57:$E$60,MATCH($B329,'Parametri Modello'!$A$57:$A$60,0)))*(INDEX('Parametri Modello'!$D$57:$D$60,MATCH($B329,'Parametri Modello'!$A$57:$A$60,0))*(INDEX('Parametri Modello'!$B$50:$B$53,MATCH($B329,'Parametri Modello'!$A$50:$A$53,0))*'Parametri Modello'!$B$44))),IF(INDEX('Parametri Modello'!$F$57:$F$60,MATCH($B329,'Parametri Modello'!$A$57:$A$60,0))=0,0,($O329/INDEX('Parametri Modello'!$F$57:$F$60,MATCH($B329,'Parametri Modello'!$A$57:$A$60,0)))*((1-INDEX('Parametri Modello'!$D$57:$D$60,MATCH($B329,'Parametri Modello'!$A$57:$A$60,0)))*(INDEX('Parametri Modello'!$B$50:$B$53,MATCH($B329,'Parametri Modello'!$A$50:$A$53,0))*'Parametri Modello'!$B$44))))*(1+IF(IF($B329="D",'Info Lega'!$B$25,IF($B329="C",'Info Lega'!$B$26,"No"))="Si",'Parametri Modello'!$B$5,0))*(1+MAX(-0.25,MIN(0.25,IF(OR($T329="",$I329="",$I329=0,INDEX('Parametri Modello'!$B$19:$B$22,MATCH($B329,'Parametri Modello'!$A$19:$A$22,0))="",INDEX('Parametri Modello'!$B$19:$B$22,MATCH($B329,'Parametri Modello'!$A$19:$A$22,0))=0),0,(($T329-INDEX('Parametri Modello'!$B$19:$B$22,MATCH($B329,'Parametri Modello'!$A$19:$A$22,0)))/INDEX('Parametri Modello'!$B$19:$B$22,MATCH($B329,'Parametri Modello'!$A$19:$A$22,0)))*'Parametri Modello'!$B$9))))*(1+IF('Parametri Modello'!$B$27="Si",MAX(-'Parametri Modello'!$B$28,MIN('Parametri Modello'!$B$28*1.5,IF(OR(INDEX('Parametri Modello'!$F$32:$F$35,MATCH($B329,'Parametri Modello'!$A$32:$A$35,0))="",INDEX('Parametri Modello'!$F$32:$F$35,MATCH($B329,'Parametri Modello'!$A$32:$A$35,0))=0),0,(1/INDEX('Parametri Modello'!$F$32:$F$35,MATCH($B329,'Parametri Modello'!$A$32:$A$35,0))-1)*'Parametri Modello'!$B$28))),0)))*(1+INDEX('Parametri Modello'!$B$12:$B$15,MATCH($B329,'Parametri Modello'!$A$12:$A$15,0))),0),"")</f>
        <v>2</v>
      </c>
      <c r="I329" s="26" t="n">
        <f aca="false">IFERROR(INDEX('Input Statistiche 2025_26'!$F$3:$F$665,MATCH($A329,'Input Statistiche 2025_26'!$A$3:$A$665,0)),"")</f>
        <v>25</v>
      </c>
      <c r="J329" s="26" t="n">
        <f aca="false">IFERROR(IF($I329="","",MAX(0,38-$I329)),"")</f>
        <v>13</v>
      </c>
      <c r="K329" s="26" t="n">
        <f aca="false">IFERROR(INDEX('Input Statistiche 2025_26'!$I$3:$I$665,MATCH($A329,'Input Statistiche 2025_26'!$A$3:$A$665,0)),"")</f>
        <v>0</v>
      </c>
      <c r="L329" s="26" t="n">
        <f aca="false">IFERROR(INDEX('Input Statistiche 2025_26'!$O$3:$O$665,MATCH($A329,'Input Statistiche 2025_26'!$A$3:$A$665,0)),"")</f>
        <v>3</v>
      </c>
      <c r="M329" s="28"/>
      <c r="N329" s="27" t="n">
        <f aca="false">IFERROR(INDEX('Input Giocatori 2026_27'!$E$3:$E$493,MATCH($A329,'Input Giocatori 2026_27'!$A$3:$A$493,0)),"")</f>
        <v>4</v>
      </c>
      <c r="O329" s="27" t="n">
        <f aca="false">IFERROR(INDEX('Input Giocatori 2026_27'!$G$3:$G$493,MATCH($A329,'Input Giocatori 2026_27'!$A$3:$A$493,0)),"")</f>
        <v>9</v>
      </c>
      <c r="P329" s="26" t="str">
        <f aca="false">IFERROR(IF($O329="","",IF((1-(COUNTIFS($B$2:$B$492,$B329,$O$2:$O$492,"&gt;"&amp;$O329)+1-1)/COUNTIF($B$2:$B$492,$B329))&gt;=0.85,"Top",IF((1-(COUNTIFS($B$2:$B$492,$B329,$O$2:$O$492,"&gt;"&amp;$O329)+1-1)/COUNTIF($B$2:$B$492,$B329))&gt;=0.6,"Buono",IF((1-(COUNTIFS($B$2:$B$492,$B329,$O$2:$O$492,"&gt;"&amp;$O329)+1-1)/COUNTIF($B$2:$B$492,$B329))&gt;=0.3,"Nella Media","Scommessa/Riserva")))),"")</f>
        <v>Nella Media</v>
      </c>
      <c r="Q329" s="29" t="n">
        <f aca="false">IF($D329="",COUNTIF($D$2:$D329,""),"")</f>
        <v>328</v>
      </c>
      <c r="R329" s="29" t="str">
        <f aca="false">IF($D329='Info Lega'!$B$28,COUNTIFS($D$2:$D329,'Info Lega'!$B$28),"")</f>
        <v/>
      </c>
      <c r="S329" s="30" t="n">
        <f aca="false">IFERROR(INDEX('Input Statistiche 2025_26'!$G$3:$G$665,MATCH($A329,'Input Statistiche 2025_26'!$A$3:$A$665,0)),"")</f>
        <v>5.9</v>
      </c>
      <c r="T329" s="30" t="n">
        <f aca="false">IFERROR(INDEX('Input Statistiche 2025_26'!$H$3:$H$665,MATCH($A329,'Input Statistiche 2025_26'!$A$3:$A$665,0)),"")</f>
        <v>5.98</v>
      </c>
      <c r="U329" s="26" t="str">
        <f aca="false">IF(OR('La Mia Rosa'!$O$12="",$D329&lt;&gt;""),"",IF($F329&lt;='La Mia Rosa'!$O$12*'Parametri Modello'!$B$24,"OK",IF($F329&lt;='La Mia Rosa'!$O$12*'Parametri Modello'!$B$25,"Attenzione","Rischio Alto")))</f>
        <v>OK</v>
      </c>
      <c r="V329" s="26" t="n">
        <f aca="false">IFERROR(COUNTIFS($B$2:$B$492,$B329,$O$2:$O$492,"&gt;"&amp;$O329)+1,"")</f>
        <v>112</v>
      </c>
      <c r="W329" s="21" t="n">
        <f aca="false">'Info Lega'!$B$4-SUMIFS($M$2:$M$492,$D$2:$D$492,'Info Lega'!$B$28)</f>
        <v>1000</v>
      </c>
      <c r="X329" s="21" t="n">
        <f aca="false">('Info Lega'!$B$5-COUNTIFS($D$2:$D$492,'Info Lega'!$B$28,$B$2:$B$492,"P"))+('Info Lega'!$B$6-COUNTIFS($D$2:$D$492,'Info Lega'!$B$28,$B$2:$B$492,"D"))+('Info Lega'!$B$7-COUNTIFS($D$2:$D$492,'Info Lega'!$B$28,$B$2:$B$492,"C"))+('Info Lega'!$B$8-COUNTIFS($D$2:$D$492,'Info Lega'!$B$28,$B$2:$B$492,"A"))</f>
        <v>25</v>
      </c>
      <c r="Y329" s="21" t="n">
        <f aca="false">X329*'Parametri Modello'!$B$30</f>
        <v>25</v>
      </c>
      <c r="Z329" s="21" t="n">
        <f aca="false">MAX(0,W329-Y329)</f>
        <v>975</v>
      </c>
      <c r="AA329" s="21" t="n">
        <f aca="false">MIN(F329,Z329)</f>
        <v>2</v>
      </c>
      <c r="AB329" s="21"/>
      <c r="AC329" s="21" t="str">
        <f aca="false">IF(AB329="","",IF(AB329&gt;AA329,"PASS",IF(AB329&lt;=AA329*0.85,"BID","ATTENZIONE")))</f>
        <v/>
      </c>
      <c r="AD329" s="31" t="n">
        <f aca="false">IF(I329="","",ROUND(100*(1-EXP(-I329/30)),0))</f>
        <v>57</v>
      </c>
      <c r="AE329" s="7" t="str">
        <f aca="false">IFERROR(INDEX('Stato Asta'!$G$9:$G$12,MATCH($B329,'Stato Asta'!$A$9:$A$12,0)),"")</f>
        <v>🟡 Attesa rischiosa</v>
      </c>
    </row>
    <row r="330" customFormat="false" ht="14.25" hidden="false" customHeight="true" outlineLevel="0" collapsed="false">
      <c r="A330" s="21" t="n">
        <v>7537</v>
      </c>
      <c r="B330" s="21" t="s">
        <v>44</v>
      </c>
      <c r="C330" s="21" t="s">
        <v>285</v>
      </c>
      <c r="E330" s="26" t="str">
        <f aca="false">IF(COUNTIF('Info Strategia'!$D$2:$D$51,$C330)&gt;0,"SI","NO")</f>
        <v>NO</v>
      </c>
      <c r="F330" s="27" t="n">
        <f aca="false">IFERROR(ROUND(($G330+($H330-$G330)*'Info Strategia'!$B$6)*(1+IF($E330="SI",'Parametri Modello'!$B$7*'Info Strategia'!$B$6,0)),0),"")</f>
        <v>2</v>
      </c>
      <c r="G330" s="27" t="n">
        <f aca="false">IFERROR(ROUND(MAX(1,(IF($V330&lt;=INDEX('Parametri Modello'!$C$57:$C$60,MATCH($B330,'Parametri Modello'!$A$57:$A$60,0)),IF(INDEX('Parametri Modello'!$E$57:$E$60,MATCH($B330,'Parametri Modello'!$A$57:$A$60,0))=0,0,($O330/INDEX('Parametri Modello'!$E$57:$E$60,MATCH($B330,'Parametri Modello'!$A$57:$A$60,0)))*(INDEX('Parametri Modello'!$D$57:$D$60,MATCH($B330,'Parametri Modello'!$A$57:$A$60,0))*(INDEX('Parametri Modello'!$B$50:$B$53,MATCH($B330,'Parametri Modello'!$A$50:$A$53,0))*'Parametri Modello'!$B$44))),IF(INDEX('Parametri Modello'!$F$57:$F$60,MATCH($B330,'Parametri Modello'!$A$57:$A$60,0))=0,0,($O330/INDEX('Parametri Modello'!$F$57:$F$60,MATCH($B330,'Parametri Modello'!$A$57:$A$60,0)))*((1-INDEX('Parametri Modello'!$D$57:$D$60,MATCH($B330,'Parametri Modello'!$A$57:$A$60,0)))*(INDEX('Parametri Modello'!$B$50:$B$53,MATCH($B330,'Parametri Modello'!$A$50:$A$53,0))*'Parametri Modello'!$B$44))))*(1+IF(IF($B330="D",'Info Lega'!$B$25,IF($B330="C",'Info Lega'!$B$26,"No"))="Si",'Parametri Modello'!$B$5,0))*(1+MAX(-0.25,MIN(0.25,IF(OR($T330="",$I330="",$I330=0,INDEX('Parametri Modello'!$B$19:$B$22,MATCH($B330,'Parametri Modello'!$A$19:$A$22,0))="",INDEX('Parametri Modello'!$B$19:$B$22,MATCH($B330,'Parametri Modello'!$A$19:$A$22,0))=0),0,(($T330-INDEX('Parametri Modello'!$B$19:$B$22,MATCH($B330,'Parametri Modello'!$A$19:$A$22,0)))/INDEX('Parametri Modello'!$B$19:$B$22,MATCH($B330,'Parametri Modello'!$A$19:$A$22,0)))*'Parametri Modello'!$B$9))))*(1+IF('Parametri Modello'!$B$27="Si",MAX(-'Parametri Modello'!$B$28,MIN('Parametri Modello'!$B$28*1.5,IF(OR(INDEX('Parametri Modello'!$F$32:$F$35,MATCH($B330,'Parametri Modello'!$A$32:$A$35,0))="",INDEX('Parametri Modello'!$F$32:$F$35,MATCH($B330,'Parametri Modello'!$A$32:$A$35,0))=0),0,(1/INDEX('Parametri Modello'!$F$32:$F$35,MATCH($B330,'Parametri Modello'!$A$32:$A$35,0))-1)*'Parametri Modello'!$B$28))),0)))*(1-INDEX('Parametri Modello'!$B$12:$B$15,MATCH($B330,'Parametri Modello'!$A$12:$A$15,0)))),0),"")</f>
        <v>1</v>
      </c>
      <c r="H330" s="27" t="n">
        <f aca="false">IFERROR(ROUND((IF($V330&lt;=INDEX('Parametri Modello'!$C$57:$C$60,MATCH($B330,'Parametri Modello'!$A$57:$A$60,0)),IF(INDEX('Parametri Modello'!$E$57:$E$60,MATCH($B330,'Parametri Modello'!$A$57:$A$60,0))=0,0,($O330/INDEX('Parametri Modello'!$E$57:$E$60,MATCH($B330,'Parametri Modello'!$A$57:$A$60,0)))*(INDEX('Parametri Modello'!$D$57:$D$60,MATCH($B330,'Parametri Modello'!$A$57:$A$60,0))*(INDEX('Parametri Modello'!$B$50:$B$53,MATCH($B330,'Parametri Modello'!$A$50:$A$53,0))*'Parametri Modello'!$B$44))),IF(INDEX('Parametri Modello'!$F$57:$F$60,MATCH($B330,'Parametri Modello'!$A$57:$A$60,0))=0,0,($O330/INDEX('Parametri Modello'!$F$57:$F$60,MATCH($B330,'Parametri Modello'!$A$57:$A$60,0)))*((1-INDEX('Parametri Modello'!$D$57:$D$60,MATCH($B330,'Parametri Modello'!$A$57:$A$60,0)))*(INDEX('Parametri Modello'!$B$50:$B$53,MATCH($B330,'Parametri Modello'!$A$50:$A$53,0))*'Parametri Modello'!$B$44))))*(1+IF(IF($B330="D",'Info Lega'!$B$25,IF($B330="C",'Info Lega'!$B$26,"No"))="Si",'Parametri Modello'!$B$5,0))*(1+MAX(-0.25,MIN(0.25,IF(OR($T330="",$I330="",$I330=0,INDEX('Parametri Modello'!$B$19:$B$22,MATCH($B330,'Parametri Modello'!$A$19:$A$22,0))="",INDEX('Parametri Modello'!$B$19:$B$22,MATCH($B330,'Parametri Modello'!$A$19:$A$22,0))=0),0,(($T330-INDEX('Parametri Modello'!$B$19:$B$22,MATCH($B330,'Parametri Modello'!$A$19:$A$22,0)))/INDEX('Parametri Modello'!$B$19:$B$22,MATCH($B330,'Parametri Modello'!$A$19:$A$22,0)))*'Parametri Modello'!$B$9))))*(1+IF('Parametri Modello'!$B$27="Si",MAX(-'Parametri Modello'!$B$28,MIN('Parametri Modello'!$B$28*1.5,IF(OR(INDEX('Parametri Modello'!$F$32:$F$35,MATCH($B330,'Parametri Modello'!$A$32:$A$35,0))="",INDEX('Parametri Modello'!$F$32:$F$35,MATCH($B330,'Parametri Modello'!$A$32:$A$35,0))=0),0,(1/INDEX('Parametri Modello'!$F$32:$F$35,MATCH($B330,'Parametri Modello'!$A$32:$A$35,0))-1)*'Parametri Modello'!$B$28))),0)))*(1+INDEX('Parametri Modello'!$B$12:$B$15,MATCH($B330,'Parametri Modello'!$A$12:$A$15,0))),0),"")</f>
        <v>2</v>
      </c>
      <c r="I330" s="26" t="str">
        <f aca="false">IFERROR(INDEX('Input Statistiche 2025_26'!$F$3:$F$665,MATCH($A330,'Input Statistiche 2025_26'!$A$3:$A$665,0)),"")</f>
        <v/>
      </c>
      <c r="J330" s="26" t="str">
        <f aca="false">IFERROR(IF($I330="","",MAX(0,38-$I330)),"")</f>
        <v/>
      </c>
      <c r="K330" s="26" t="str">
        <f aca="false">IFERROR(INDEX('Input Statistiche 2025_26'!$I$3:$I$665,MATCH($A330,'Input Statistiche 2025_26'!$A$3:$A$665,0)),"")</f>
        <v/>
      </c>
      <c r="L330" s="26" t="str">
        <f aca="false">IFERROR(INDEX('Input Statistiche 2025_26'!$O$3:$O$665,MATCH($A330,'Input Statistiche 2025_26'!$A$3:$A$665,0)),"")</f>
        <v/>
      </c>
      <c r="M330" s="28"/>
      <c r="N330" s="27" t="n">
        <f aca="false">IFERROR(INDEX('Input Giocatori 2026_27'!$E$3:$E$493,MATCH($A330,'Input Giocatori 2026_27'!$A$3:$A$493,0)),"")</f>
        <v>4</v>
      </c>
      <c r="O330" s="27" t="n">
        <f aca="false">IFERROR(INDEX('Input Giocatori 2026_27'!$G$3:$G$493,MATCH($A330,'Input Giocatori 2026_27'!$A$3:$A$493,0)),"")</f>
        <v>9</v>
      </c>
      <c r="P330" s="26" t="str">
        <f aca="false">IFERROR(IF($O330="","",IF((1-(COUNTIFS($B$2:$B$492,$B330,$O$2:$O$492,"&gt;"&amp;$O330)+1-1)/COUNTIF($B$2:$B$492,$B330))&gt;=0.85,"Top",IF((1-(COUNTIFS($B$2:$B$492,$B330,$O$2:$O$492,"&gt;"&amp;$O330)+1-1)/COUNTIF($B$2:$B$492,$B330))&gt;=0.6,"Buono",IF((1-(COUNTIFS($B$2:$B$492,$B330,$O$2:$O$492,"&gt;"&amp;$O330)+1-1)/COUNTIF($B$2:$B$492,$B330))&gt;=0.3,"Nella Media","Scommessa/Riserva")))),"")</f>
        <v>Nella Media</v>
      </c>
      <c r="Q330" s="29" t="n">
        <f aca="false">IF($D330="",COUNTIF($D$2:$D330,""),"")</f>
        <v>329</v>
      </c>
      <c r="R330" s="29" t="str">
        <f aca="false">IF($D330='Info Lega'!$B$28,COUNTIFS($D$2:$D330,'Info Lega'!$B$28),"")</f>
        <v/>
      </c>
      <c r="S330" s="30" t="str">
        <f aca="false">IFERROR(INDEX('Input Statistiche 2025_26'!$G$3:$G$665,MATCH($A330,'Input Statistiche 2025_26'!$A$3:$A$665,0)),"")</f>
        <v/>
      </c>
      <c r="T330" s="30" t="str">
        <f aca="false">IFERROR(INDEX('Input Statistiche 2025_26'!$H$3:$H$665,MATCH($A330,'Input Statistiche 2025_26'!$A$3:$A$665,0)),"")</f>
        <v/>
      </c>
      <c r="U330" s="26" t="str">
        <f aca="false">IF(OR('La Mia Rosa'!$O$12="",$D330&lt;&gt;""),"",IF($F330&lt;='La Mia Rosa'!$O$12*'Parametri Modello'!$B$24,"OK",IF($F330&lt;='La Mia Rosa'!$O$12*'Parametri Modello'!$B$25,"Attenzione","Rischio Alto")))</f>
        <v>OK</v>
      </c>
      <c r="V330" s="26" t="n">
        <f aca="false">IFERROR(COUNTIFS($B$2:$B$492,$B330,$O$2:$O$492,"&gt;"&amp;$O330)+1,"")</f>
        <v>112</v>
      </c>
      <c r="W330" s="21" t="n">
        <f aca="false">'Info Lega'!$B$4-SUMIFS($M$2:$M$492,$D$2:$D$492,'Info Lega'!$B$28)</f>
        <v>1000</v>
      </c>
      <c r="X330" s="21" t="n">
        <f aca="false">('Info Lega'!$B$5-COUNTIFS($D$2:$D$492,'Info Lega'!$B$28,$B$2:$B$492,"P"))+('Info Lega'!$B$6-COUNTIFS($D$2:$D$492,'Info Lega'!$B$28,$B$2:$B$492,"D"))+('Info Lega'!$B$7-COUNTIFS($D$2:$D$492,'Info Lega'!$B$28,$B$2:$B$492,"C"))+('Info Lega'!$B$8-COUNTIFS($D$2:$D$492,'Info Lega'!$B$28,$B$2:$B$492,"A"))</f>
        <v>25</v>
      </c>
      <c r="Y330" s="21" t="n">
        <f aca="false">X330*'Parametri Modello'!$B$30</f>
        <v>25</v>
      </c>
      <c r="Z330" s="21" t="n">
        <f aca="false">MAX(0,W330-Y330)</f>
        <v>975</v>
      </c>
      <c r="AA330" s="21" t="n">
        <f aca="false">MIN(F330,Z330)</f>
        <v>2</v>
      </c>
      <c r="AB330" s="21"/>
      <c r="AC330" s="21" t="str">
        <f aca="false">IF(AB330="","",IF(AB330&gt;AA330,"PASS",IF(AB330&lt;=AA330*0.85,"BID","ATTENZIONE")))</f>
        <v/>
      </c>
      <c r="AD330" s="31" t="str">
        <f aca="false">IF(I330="","",ROUND(100*(1-EXP(-I330/30)),0))</f>
        <v/>
      </c>
      <c r="AE330" s="7" t="str">
        <f aca="false">IFERROR(INDEX('Stato Asta'!$G$9:$G$12,MATCH($B330,'Stato Asta'!$A$9:$A$12,0)),"")</f>
        <v>🟡 Attesa rischiosa</v>
      </c>
    </row>
    <row r="331" customFormat="false" ht="14.25" hidden="false" customHeight="true" outlineLevel="0" collapsed="false">
      <c r="A331" s="21" t="n">
        <v>4263</v>
      </c>
      <c r="B331" s="21" t="s">
        <v>44</v>
      </c>
      <c r="C331" s="21" t="s">
        <v>296</v>
      </c>
      <c r="E331" s="26" t="str">
        <f aca="false">IF(COUNTIF('Info Strategia'!$D$2:$D$51,$C331)&gt;0,"SI","NO")</f>
        <v>NO</v>
      </c>
      <c r="F331" s="27" t="n">
        <f aca="false">IFERROR(ROUND(($G331+($H331-$G331)*'Info Strategia'!$B$6)*(1+IF($E331="SI",'Parametri Modello'!$B$7*'Info Strategia'!$B$6,0)),0),"")</f>
        <v>2</v>
      </c>
      <c r="G331" s="27" t="n">
        <f aca="false">IFERROR(ROUND(MAX(1,(IF($V331&lt;=INDEX('Parametri Modello'!$C$57:$C$60,MATCH($B331,'Parametri Modello'!$A$57:$A$60,0)),IF(INDEX('Parametri Modello'!$E$57:$E$60,MATCH($B331,'Parametri Modello'!$A$57:$A$60,0))=0,0,($O331/INDEX('Parametri Modello'!$E$57:$E$60,MATCH($B331,'Parametri Modello'!$A$57:$A$60,0)))*(INDEX('Parametri Modello'!$D$57:$D$60,MATCH($B331,'Parametri Modello'!$A$57:$A$60,0))*(INDEX('Parametri Modello'!$B$50:$B$53,MATCH($B331,'Parametri Modello'!$A$50:$A$53,0))*'Parametri Modello'!$B$44))),IF(INDEX('Parametri Modello'!$F$57:$F$60,MATCH($B331,'Parametri Modello'!$A$57:$A$60,0))=0,0,($O331/INDEX('Parametri Modello'!$F$57:$F$60,MATCH($B331,'Parametri Modello'!$A$57:$A$60,0)))*((1-INDEX('Parametri Modello'!$D$57:$D$60,MATCH($B331,'Parametri Modello'!$A$57:$A$60,0)))*(INDEX('Parametri Modello'!$B$50:$B$53,MATCH($B331,'Parametri Modello'!$A$50:$A$53,0))*'Parametri Modello'!$B$44))))*(1+IF(IF($B331="D",'Info Lega'!$B$25,IF($B331="C",'Info Lega'!$B$26,"No"))="Si",'Parametri Modello'!$B$5,0))*(1+MAX(-0.25,MIN(0.25,IF(OR($T331="",$I331="",$I331=0,INDEX('Parametri Modello'!$B$19:$B$22,MATCH($B331,'Parametri Modello'!$A$19:$A$22,0))="",INDEX('Parametri Modello'!$B$19:$B$22,MATCH($B331,'Parametri Modello'!$A$19:$A$22,0))=0),0,(($T331-INDEX('Parametri Modello'!$B$19:$B$22,MATCH($B331,'Parametri Modello'!$A$19:$A$22,0)))/INDEX('Parametri Modello'!$B$19:$B$22,MATCH($B331,'Parametri Modello'!$A$19:$A$22,0)))*'Parametri Modello'!$B$9))))*(1+IF('Parametri Modello'!$B$27="Si",MAX(-'Parametri Modello'!$B$28,MIN('Parametri Modello'!$B$28*1.5,IF(OR(INDEX('Parametri Modello'!$F$32:$F$35,MATCH($B331,'Parametri Modello'!$A$32:$A$35,0))="",INDEX('Parametri Modello'!$F$32:$F$35,MATCH($B331,'Parametri Modello'!$A$32:$A$35,0))=0),0,(1/INDEX('Parametri Modello'!$F$32:$F$35,MATCH($B331,'Parametri Modello'!$A$32:$A$35,0))-1)*'Parametri Modello'!$B$28))),0)))*(1-INDEX('Parametri Modello'!$B$12:$B$15,MATCH($B331,'Parametri Modello'!$A$12:$A$15,0)))),0),"")</f>
        <v>1</v>
      </c>
      <c r="H331" s="27" t="n">
        <f aca="false">IFERROR(ROUND((IF($V331&lt;=INDEX('Parametri Modello'!$C$57:$C$60,MATCH($B331,'Parametri Modello'!$A$57:$A$60,0)),IF(INDEX('Parametri Modello'!$E$57:$E$60,MATCH($B331,'Parametri Modello'!$A$57:$A$60,0))=0,0,($O331/INDEX('Parametri Modello'!$E$57:$E$60,MATCH($B331,'Parametri Modello'!$A$57:$A$60,0)))*(INDEX('Parametri Modello'!$D$57:$D$60,MATCH($B331,'Parametri Modello'!$A$57:$A$60,0))*(INDEX('Parametri Modello'!$B$50:$B$53,MATCH($B331,'Parametri Modello'!$A$50:$A$53,0))*'Parametri Modello'!$B$44))),IF(INDEX('Parametri Modello'!$F$57:$F$60,MATCH($B331,'Parametri Modello'!$A$57:$A$60,0))=0,0,($O331/INDEX('Parametri Modello'!$F$57:$F$60,MATCH($B331,'Parametri Modello'!$A$57:$A$60,0)))*((1-INDEX('Parametri Modello'!$D$57:$D$60,MATCH($B331,'Parametri Modello'!$A$57:$A$60,0)))*(INDEX('Parametri Modello'!$B$50:$B$53,MATCH($B331,'Parametri Modello'!$A$50:$A$53,0))*'Parametri Modello'!$B$44))))*(1+IF(IF($B331="D",'Info Lega'!$B$25,IF($B331="C",'Info Lega'!$B$26,"No"))="Si",'Parametri Modello'!$B$5,0))*(1+MAX(-0.25,MIN(0.25,IF(OR($T331="",$I331="",$I331=0,INDEX('Parametri Modello'!$B$19:$B$22,MATCH($B331,'Parametri Modello'!$A$19:$A$22,0))="",INDEX('Parametri Modello'!$B$19:$B$22,MATCH($B331,'Parametri Modello'!$A$19:$A$22,0))=0),0,(($T331-INDEX('Parametri Modello'!$B$19:$B$22,MATCH($B331,'Parametri Modello'!$A$19:$A$22,0)))/INDEX('Parametri Modello'!$B$19:$B$22,MATCH($B331,'Parametri Modello'!$A$19:$A$22,0)))*'Parametri Modello'!$B$9))))*(1+IF('Parametri Modello'!$B$27="Si",MAX(-'Parametri Modello'!$B$28,MIN('Parametri Modello'!$B$28*1.5,IF(OR(INDEX('Parametri Modello'!$F$32:$F$35,MATCH($B331,'Parametri Modello'!$A$32:$A$35,0))="",INDEX('Parametri Modello'!$F$32:$F$35,MATCH($B331,'Parametri Modello'!$A$32:$A$35,0))=0),0,(1/INDEX('Parametri Modello'!$F$32:$F$35,MATCH($B331,'Parametri Modello'!$A$32:$A$35,0))-1)*'Parametri Modello'!$B$28))),0)))*(1+INDEX('Parametri Modello'!$B$12:$B$15,MATCH($B331,'Parametri Modello'!$A$12:$A$15,0))),0),"")</f>
        <v>2</v>
      </c>
      <c r="I331" s="26" t="n">
        <f aca="false">IFERROR(INDEX('Input Statistiche 2025_26'!$F$3:$F$665,MATCH($A331,'Input Statistiche 2025_26'!$A$3:$A$665,0)),"")</f>
        <v>28</v>
      </c>
      <c r="J331" s="26" t="n">
        <f aca="false">IFERROR(IF($I331="","",MAX(0,38-$I331)),"")</f>
        <v>10</v>
      </c>
      <c r="K331" s="26" t="n">
        <f aca="false">IFERROR(INDEX('Input Statistiche 2025_26'!$I$3:$I$665,MATCH($A331,'Input Statistiche 2025_26'!$A$3:$A$665,0)),"")</f>
        <v>3</v>
      </c>
      <c r="L331" s="26" t="n">
        <f aca="false">IFERROR(INDEX('Input Statistiche 2025_26'!$O$3:$O$665,MATCH($A331,'Input Statistiche 2025_26'!$A$3:$A$665,0)),"")</f>
        <v>0</v>
      </c>
      <c r="M331" s="28"/>
      <c r="N331" s="27" t="n">
        <f aca="false">IFERROR(INDEX('Input Giocatori 2026_27'!$E$3:$E$493,MATCH($A331,'Input Giocatori 2026_27'!$A$3:$A$493,0)),"")</f>
        <v>4</v>
      </c>
      <c r="O331" s="27" t="n">
        <f aca="false">IFERROR(INDEX('Input Giocatori 2026_27'!$G$3:$G$493,MATCH($A331,'Input Giocatori 2026_27'!$A$3:$A$493,0)),"")</f>
        <v>9</v>
      </c>
      <c r="P331" s="26" t="str">
        <f aca="false">IFERROR(IF($O331="","",IF((1-(COUNTIFS($B$2:$B$492,$B331,$O$2:$O$492,"&gt;"&amp;$O331)+1-1)/COUNTIF($B$2:$B$492,$B331))&gt;=0.85,"Top",IF((1-(COUNTIFS($B$2:$B$492,$B331,$O$2:$O$492,"&gt;"&amp;$O331)+1-1)/COUNTIF($B$2:$B$492,$B331))&gt;=0.6,"Buono",IF((1-(COUNTIFS($B$2:$B$492,$B331,$O$2:$O$492,"&gt;"&amp;$O331)+1-1)/COUNTIF($B$2:$B$492,$B331))&gt;=0.3,"Nella Media","Scommessa/Riserva")))),"")</f>
        <v>Nella Media</v>
      </c>
      <c r="Q331" s="29" t="n">
        <f aca="false">IF($D331="",COUNTIF($D$2:$D331,""),"")</f>
        <v>330</v>
      </c>
      <c r="R331" s="29" t="str">
        <f aca="false">IF($D331='Info Lega'!$B$28,COUNTIFS($D$2:$D331,'Info Lega'!$B$28),"")</f>
        <v/>
      </c>
      <c r="S331" s="30" t="n">
        <f aca="false">IFERROR(INDEX('Input Statistiche 2025_26'!$G$3:$G$665,MATCH($A331,'Input Statistiche 2025_26'!$A$3:$A$665,0)),"")</f>
        <v>5.98</v>
      </c>
      <c r="T331" s="30" t="n">
        <f aca="false">IFERROR(INDEX('Input Statistiche 2025_26'!$H$3:$H$665,MATCH($A331,'Input Statistiche 2025_26'!$A$3:$A$665,0)),"")</f>
        <v>6.18</v>
      </c>
      <c r="U331" s="26" t="str">
        <f aca="false">IF(OR('La Mia Rosa'!$O$12="",$D331&lt;&gt;""),"",IF($F331&lt;='La Mia Rosa'!$O$12*'Parametri Modello'!$B$24,"OK",IF($F331&lt;='La Mia Rosa'!$O$12*'Parametri Modello'!$B$25,"Attenzione","Rischio Alto")))</f>
        <v>OK</v>
      </c>
      <c r="V331" s="26" t="n">
        <f aca="false">IFERROR(COUNTIFS($B$2:$B$492,$B331,$O$2:$O$492,"&gt;"&amp;$O331)+1,"")</f>
        <v>112</v>
      </c>
      <c r="W331" s="21" t="n">
        <f aca="false">'Info Lega'!$B$4-SUMIFS($M$2:$M$492,$D$2:$D$492,'Info Lega'!$B$28)</f>
        <v>1000</v>
      </c>
      <c r="X331" s="21" t="n">
        <f aca="false">('Info Lega'!$B$5-COUNTIFS($D$2:$D$492,'Info Lega'!$B$28,$B$2:$B$492,"P"))+('Info Lega'!$B$6-COUNTIFS($D$2:$D$492,'Info Lega'!$B$28,$B$2:$B$492,"D"))+('Info Lega'!$B$7-COUNTIFS($D$2:$D$492,'Info Lega'!$B$28,$B$2:$B$492,"C"))+('Info Lega'!$B$8-COUNTIFS($D$2:$D$492,'Info Lega'!$B$28,$B$2:$B$492,"A"))</f>
        <v>25</v>
      </c>
      <c r="Y331" s="21" t="n">
        <f aca="false">X331*'Parametri Modello'!$B$30</f>
        <v>25</v>
      </c>
      <c r="Z331" s="21" t="n">
        <f aca="false">MAX(0,W331-Y331)</f>
        <v>975</v>
      </c>
      <c r="AA331" s="21" t="n">
        <f aca="false">MIN(F331,Z331)</f>
        <v>2</v>
      </c>
      <c r="AB331" s="21"/>
      <c r="AC331" s="21" t="str">
        <f aca="false">IF(AB331="","",IF(AB331&gt;AA331,"PASS",IF(AB331&lt;=AA331*0.85,"BID","ATTENZIONE")))</f>
        <v/>
      </c>
      <c r="AD331" s="31" t="n">
        <f aca="false">IF(I331="","",ROUND(100*(1-EXP(-I331/30)),0))</f>
        <v>61</v>
      </c>
      <c r="AE331" s="7" t="str">
        <f aca="false">IFERROR(INDEX('Stato Asta'!$G$9:$G$12,MATCH($B331,'Stato Asta'!$A$9:$A$12,0)),"")</f>
        <v>🟡 Attesa rischiosa</v>
      </c>
    </row>
    <row r="332" customFormat="false" ht="14.25" hidden="false" customHeight="true" outlineLevel="0" collapsed="false">
      <c r="A332" s="21" t="n">
        <v>5273</v>
      </c>
      <c r="B332" s="21" t="s">
        <v>44</v>
      </c>
      <c r="C332" s="21" t="s">
        <v>314</v>
      </c>
      <c r="E332" s="26" t="str">
        <f aca="false">IF(COUNTIF('Info Strategia'!$D$2:$D$51,$C332)&gt;0,"SI","NO")</f>
        <v>NO</v>
      </c>
      <c r="F332" s="27" t="n">
        <f aca="false">IFERROR(ROUND(($G332+($H332-$G332)*'Info Strategia'!$B$6)*(1+IF($E332="SI",'Parametri Modello'!$B$7*'Info Strategia'!$B$6,0)),0),"")</f>
        <v>2</v>
      </c>
      <c r="G332" s="27" t="n">
        <f aca="false">IFERROR(ROUND(MAX(1,(IF($V332&lt;=INDEX('Parametri Modello'!$C$57:$C$60,MATCH($B332,'Parametri Modello'!$A$57:$A$60,0)),IF(INDEX('Parametri Modello'!$E$57:$E$60,MATCH($B332,'Parametri Modello'!$A$57:$A$60,0))=0,0,($O332/INDEX('Parametri Modello'!$E$57:$E$60,MATCH($B332,'Parametri Modello'!$A$57:$A$60,0)))*(INDEX('Parametri Modello'!$D$57:$D$60,MATCH($B332,'Parametri Modello'!$A$57:$A$60,0))*(INDEX('Parametri Modello'!$B$50:$B$53,MATCH($B332,'Parametri Modello'!$A$50:$A$53,0))*'Parametri Modello'!$B$44))),IF(INDEX('Parametri Modello'!$F$57:$F$60,MATCH($B332,'Parametri Modello'!$A$57:$A$60,0))=0,0,($O332/INDEX('Parametri Modello'!$F$57:$F$60,MATCH($B332,'Parametri Modello'!$A$57:$A$60,0)))*((1-INDEX('Parametri Modello'!$D$57:$D$60,MATCH($B332,'Parametri Modello'!$A$57:$A$60,0)))*(INDEX('Parametri Modello'!$B$50:$B$53,MATCH($B332,'Parametri Modello'!$A$50:$A$53,0))*'Parametri Modello'!$B$44))))*(1+IF(IF($B332="D",'Info Lega'!$B$25,IF($B332="C",'Info Lega'!$B$26,"No"))="Si",'Parametri Modello'!$B$5,0))*(1+MAX(-0.25,MIN(0.25,IF(OR($T332="",$I332="",$I332=0,INDEX('Parametri Modello'!$B$19:$B$22,MATCH($B332,'Parametri Modello'!$A$19:$A$22,0))="",INDEX('Parametri Modello'!$B$19:$B$22,MATCH($B332,'Parametri Modello'!$A$19:$A$22,0))=0),0,(($T332-INDEX('Parametri Modello'!$B$19:$B$22,MATCH($B332,'Parametri Modello'!$A$19:$A$22,0)))/INDEX('Parametri Modello'!$B$19:$B$22,MATCH($B332,'Parametri Modello'!$A$19:$A$22,0)))*'Parametri Modello'!$B$9))))*(1+IF('Parametri Modello'!$B$27="Si",MAX(-'Parametri Modello'!$B$28,MIN('Parametri Modello'!$B$28*1.5,IF(OR(INDEX('Parametri Modello'!$F$32:$F$35,MATCH($B332,'Parametri Modello'!$A$32:$A$35,0))="",INDEX('Parametri Modello'!$F$32:$F$35,MATCH($B332,'Parametri Modello'!$A$32:$A$35,0))=0),0,(1/INDEX('Parametri Modello'!$F$32:$F$35,MATCH($B332,'Parametri Modello'!$A$32:$A$35,0))-1)*'Parametri Modello'!$B$28))),0)))*(1-INDEX('Parametri Modello'!$B$12:$B$15,MATCH($B332,'Parametri Modello'!$A$12:$A$15,0)))),0),"")</f>
        <v>1</v>
      </c>
      <c r="H332" s="27" t="n">
        <f aca="false">IFERROR(ROUND((IF($V332&lt;=INDEX('Parametri Modello'!$C$57:$C$60,MATCH($B332,'Parametri Modello'!$A$57:$A$60,0)),IF(INDEX('Parametri Modello'!$E$57:$E$60,MATCH($B332,'Parametri Modello'!$A$57:$A$60,0))=0,0,($O332/INDEX('Parametri Modello'!$E$57:$E$60,MATCH($B332,'Parametri Modello'!$A$57:$A$60,0)))*(INDEX('Parametri Modello'!$D$57:$D$60,MATCH($B332,'Parametri Modello'!$A$57:$A$60,0))*(INDEX('Parametri Modello'!$B$50:$B$53,MATCH($B332,'Parametri Modello'!$A$50:$A$53,0))*'Parametri Modello'!$B$44))),IF(INDEX('Parametri Modello'!$F$57:$F$60,MATCH($B332,'Parametri Modello'!$A$57:$A$60,0))=0,0,($O332/INDEX('Parametri Modello'!$F$57:$F$60,MATCH($B332,'Parametri Modello'!$A$57:$A$60,0)))*((1-INDEX('Parametri Modello'!$D$57:$D$60,MATCH($B332,'Parametri Modello'!$A$57:$A$60,0)))*(INDEX('Parametri Modello'!$B$50:$B$53,MATCH($B332,'Parametri Modello'!$A$50:$A$53,0))*'Parametri Modello'!$B$44))))*(1+IF(IF($B332="D",'Info Lega'!$B$25,IF($B332="C",'Info Lega'!$B$26,"No"))="Si",'Parametri Modello'!$B$5,0))*(1+MAX(-0.25,MIN(0.25,IF(OR($T332="",$I332="",$I332=0,INDEX('Parametri Modello'!$B$19:$B$22,MATCH($B332,'Parametri Modello'!$A$19:$A$22,0))="",INDEX('Parametri Modello'!$B$19:$B$22,MATCH($B332,'Parametri Modello'!$A$19:$A$22,0))=0),0,(($T332-INDEX('Parametri Modello'!$B$19:$B$22,MATCH($B332,'Parametri Modello'!$A$19:$A$22,0)))/INDEX('Parametri Modello'!$B$19:$B$22,MATCH($B332,'Parametri Modello'!$A$19:$A$22,0)))*'Parametri Modello'!$B$9))))*(1+IF('Parametri Modello'!$B$27="Si",MAX(-'Parametri Modello'!$B$28,MIN('Parametri Modello'!$B$28*1.5,IF(OR(INDEX('Parametri Modello'!$F$32:$F$35,MATCH($B332,'Parametri Modello'!$A$32:$A$35,0))="",INDEX('Parametri Modello'!$F$32:$F$35,MATCH($B332,'Parametri Modello'!$A$32:$A$35,0))=0),0,(1/INDEX('Parametri Modello'!$F$32:$F$35,MATCH($B332,'Parametri Modello'!$A$32:$A$35,0))-1)*'Parametri Modello'!$B$28))),0)))*(1+INDEX('Parametri Modello'!$B$12:$B$15,MATCH($B332,'Parametri Modello'!$A$12:$A$15,0))),0),"")</f>
        <v>2</v>
      </c>
      <c r="I332" s="26" t="n">
        <f aca="false">IFERROR(INDEX('Input Statistiche 2025_26'!$F$3:$F$665,MATCH($A332,'Input Statistiche 2025_26'!$A$3:$A$665,0)),"")</f>
        <v>14</v>
      </c>
      <c r="J332" s="26" t="n">
        <f aca="false">IFERROR(IF($I332="","",MAX(0,38-$I332)),"")</f>
        <v>24</v>
      </c>
      <c r="K332" s="26" t="n">
        <f aca="false">IFERROR(INDEX('Input Statistiche 2025_26'!$I$3:$I$665,MATCH($A332,'Input Statistiche 2025_26'!$A$3:$A$665,0)),"")</f>
        <v>1</v>
      </c>
      <c r="L332" s="26" t="n">
        <f aca="false">IFERROR(INDEX('Input Statistiche 2025_26'!$O$3:$O$665,MATCH($A332,'Input Statistiche 2025_26'!$A$3:$A$665,0)),"")</f>
        <v>1</v>
      </c>
      <c r="M332" s="28"/>
      <c r="N332" s="27" t="n">
        <f aca="false">IFERROR(INDEX('Input Giocatori 2026_27'!$E$3:$E$493,MATCH($A332,'Input Giocatori 2026_27'!$A$3:$A$493,0)),"")</f>
        <v>3</v>
      </c>
      <c r="O332" s="27" t="n">
        <f aca="false">IFERROR(INDEX('Input Giocatori 2026_27'!$G$3:$G$493,MATCH($A332,'Input Giocatori 2026_27'!$A$3:$A$493,0)),"")</f>
        <v>9</v>
      </c>
      <c r="P332" s="26" t="str">
        <f aca="false">IFERROR(IF($O332="","",IF((1-(COUNTIFS($B$2:$B$492,$B332,$O$2:$O$492,"&gt;"&amp;$O332)+1-1)/COUNTIF($B$2:$B$492,$B332))&gt;=0.85,"Top",IF((1-(COUNTIFS($B$2:$B$492,$B332,$O$2:$O$492,"&gt;"&amp;$O332)+1-1)/COUNTIF($B$2:$B$492,$B332))&gt;=0.6,"Buono",IF((1-(COUNTIFS($B$2:$B$492,$B332,$O$2:$O$492,"&gt;"&amp;$O332)+1-1)/COUNTIF($B$2:$B$492,$B332))&gt;=0.3,"Nella Media","Scommessa/Riserva")))),"")</f>
        <v>Nella Media</v>
      </c>
      <c r="Q332" s="29" t="n">
        <f aca="false">IF($D332="",COUNTIF($D$2:$D332,""),"")</f>
        <v>331</v>
      </c>
      <c r="R332" s="29" t="str">
        <f aca="false">IF($D332='Info Lega'!$B$28,COUNTIFS($D$2:$D332,'Info Lega'!$B$28),"")</f>
        <v/>
      </c>
      <c r="S332" s="30" t="n">
        <f aca="false">IFERROR(INDEX('Input Statistiche 2025_26'!$G$3:$G$665,MATCH($A332,'Input Statistiche 2025_26'!$A$3:$A$665,0)),"")</f>
        <v>5.64</v>
      </c>
      <c r="T332" s="30" t="n">
        <f aca="false">IFERROR(INDEX('Input Statistiche 2025_26'!$H$3:$H$665,MATCH($A332,'Input Statistiche 2025_26'!$A$3:$A$665,0)),"")</f>
        <v>5.71</v>
      </c>
      <c r="U332" s="26" t="str">
        <f aca="false">IF(OR('La Mia Rosa'!$O$12="",$D332&lt;&gt;""),"",IF($F332&lt;='La Mia Rosa'!$O$12*'Parametri Modello'!$B$24,"OK",IF($F332&lt;='La Mia Rosa'!$O$12*'Parametri Modello'!$B$25,"Attenzione","Rischio Alto")))</f>
        <v>OK</v>
      </c>
      <c r="V332" s="26" t="n">
        <f aca="false">IFERROR(COUNTIFS($B$2:$B$492,$B332,$O$2:$O$492,"&gt;"&amp;$O332)+1,"")</f>
        <v>112</v>
      </c>
      <c r="W332" s="21" t="n">
        <f aca="false">'Info Lega'!$B$4-SUMIFS($M$2:$M$492,$D$2:$D$492,'Info Lega'!$B$28)</f>
        <v>1000</v>
      </c>
      <c r="X332" s="21" t="n">
        <f aca="false">('Info Lega'!$B$5-COUNTIFS($D$2:$D$492,'Info Lega'!$B$28,$B$2:$B$492,"P"))+('Info Lega'!$B$6-COUNTIFS($D$2:$D$492,'Info Lega'!$B$28,$B$2:$B$492,"D"))+('Info Lega'!$B$7-COUNTIFS($D$2:$D$492,'Info Lega'!$B$28,$B$2:$B$492,"C"))+('Info Lega'!$B$8-COUNTIFS($D$2:$D$492,'Info Lega'!$B$28,$B$2:$B$492,"A"))</f>
        <v>25</v>
      </c>
      <c r="Y332" s="21" t="n">
        <f aca="false">X332*'Parametri Modello'!$B$30</f>
        <v>25</v>
      </c>
      <c r="Z332" s="21" t="n">
        <f aca="false">MAX(0,W332-Y332)</f>
        <v>975</v>
      </c>
      <c r="AA332" s="21" t="n">
        <f aca="false">MIN(F332,Z332)</f>
        <v>2</v>
      </c>
      <c r="AB332" s="21"/>
      <c r="AC332" s="21" t="str">
        <f aca="false">IF(AB332="","",IF(AB332&gt;AA332,"PASS",IF(AB332&lt;=AA332*0.85,"BID","ATTENZIONE")))</f>
        <v/>
      </c>
      <c r="AD332" s="31" t="n">
        <f aca="false">IF(I332="","",ROUND(100*(1-EXP(-I332/30)),0))</f>
        <v>37</v>
      </c>
      <c r="AE332" s="7" t="str">
        <f aca="false">IFERROR(INDEX('Stato Asta'!$G$9:$G$12,MATCH($B332,'Stato Asta'!$A$9:$A$12,0)),"")</f>
        <v>🟡 Attesa rischiosa</v>
      </c>
    </row>
    <row r="333" customFormat="false" ht="14.25" hidden="false" customHeight="true" outlineLevel="0" collapsed="false">
      <c r="A333" s="21" t="n">
        <v>7238</v>
      </c>
      <c r="B333" s="21" t="s">
        <v>44</v>
      </c>
      <c r="C333" s="21" t="s">
        <v>315</v>
      </c>
      <c r="E333" s="26" t="str">
        <f aca="false">IF(COUNTIF('Info Strategia'!$D$2:$D$51,$C333)&gt;0,"SI","NO")</f>
        <v>NO</v>
      </c>
      <c r="F333" s="27" t="n">
        <f aca="false">IFERROR(ROUND(($G333+($H333-$G333)*'Info Strategia'!$B$6)*(1+IF($E333="SI",'Parametri Modello'!$B$7*'Info Strategia'!$B$6,0)),0),"")</f>
        <v>2</v>
      </c>
      <c r="G333" s="27" t="n">
        <f aca="false">IFERROR(ROUND(MAX(1,(IF($V333&lt;=INDEX('Parametri Modello'!$C$57:$C$60,MATCH($B333,'Parametri Modello'!$A$57:$A$60,0)),IF(INDEX('Parametri Modello'!$E$57:$E$60,MATCH($B333,'Parametri Modello'!$A$57:$A$60,0))=0,0,($O333/INDEX('Parametri Modello'!$E$57:$E$60,MATCH($B333,'Parametri Modello'!$A$57:$A$60,0)))*(INDEX('Parametri Modello'!$D$57:$D$60,MATCH($B333,'Parametri Modello'!$A$57:$A$60,0))*(INDEX('Parametri Modello'!$B$50:$B$53,MATCH($B333,'Parametri Modello'!$A$50:$A$53,0))*'Parametri Modello'!$B$44))),IF(INDEX('Parametri Modello'!$F$57:$F$60,MATCH($B333,'Parametri Modello'!$A$57:$A$60,0))=0,0,($O333/INDEX('Parametri Modello'!$F$57:$F$60,MATCH($B333,'Parametri Modello'!$A$57:$A$60,0)))*((1-INDEX('Parametri Modello'!$D$57:$D$60,MATCH($B333,'Parametri Modello'!$A$57:$A$60,0)))*(INDEX('Parametri Modello'!$B$50:$B$53,MATCH($B333,'Parametri Modello'!$A$50:$A$53,0))*'Parametri Modello'!$B$44))))*(1+IF(IF($B333="D",'Info Lega'!$B$25,IF($B333="C",'Info Lega'!$B$26,"No"))="Si",'Parametri Modello'!$B$5,0))*(1+MAX(-0.25,MIN(0.25,IF(OR($T333="",$I333="",$I333=0,INDEX('Parametri Modello'!$B$19:$B$22,MATCH($B333,'Parametri Modello'!$A$19:$A$22,0))="",INDEX('Parametri Modello'!$B$19:$B$22,MATCH($B333,'Parametri Modello'!$A$19:$A$22,0))=0),0,(($T333-INDEX('Parametri Modello'!$B$19:$B$22,MATCH($B333,'Parametri Modello'!$A$19:$A$22,0)))/INDEX('Parametri Modello'!$B$19:$B$22,MATCH($B333,'Parametri Modello'!$A$19:$A$22,0)))*'Parametri Modello'!$B$9))))*(1+IF('Parametri Modello'!$B$27="Si",MAX(-'Parametri Modello'!$B$28,MIN('Parametri Modello'!$B$28*1.5,IF(OR(INDEX('Parametri Modello'!$F$32:$F$35,MATCH($B333,'Parametri Modello'!$A$32:$A$35,0))="",INDEX('Parametri Modello'!$F$32:$F$35,MATCH($B333,'Parametri Modello'!$A$32:$A$35,0))=0),0,(1/INDEX('Parametri Modello'!$F$32:$F$35,MATCH($B333,'Parametri Modello'!$A$32:$A$35,0))-1)*'Parametri Modello'!$B$28))),0)))*(1-INDEX('Parametri Modello'!$B$12:$B$15,MATCH($B333,'Parametri Modello'!$A$12:$A$15,0)))),0),"")</f>
        <v>1</v>
      </c>
      <c r="H333" s="27" t="n">
        <f aca="false">IFERROR(ROUND((IF($V333&lt;=INDEX('Parametri Modello'!$C$57:$C$60,MATCH($B333,'Parametri Modello'!$A$57:$A$60,0)),IF(INDEX('Parametri Modello'!$E$57:$E$60,MATCH($B333,'Parametri Modello'!$A$57:$A$60,0))=0,0,($O333/INDEX('Parametri Modello'!$E$57:$E$60,MATCH($B333,'Parametri Modello'!$A$57:$A$60,0)))*(INDEX('Parametri Modello'!$D$57:$D$60,MATCH($B333,'Parametri Modello'!$A$57:$A$60,0))*(INDEX('Parametri Modello'!$B$50:$B$53,MATCH($B333,'Parametri Modello'!$A$50:$A$53,0))*'Parametri Modello'!$B$44))),IF(INDEX('Parametri Modello'!$F$57:$F$60,MATCH($B333,'Parametri Modello'!$A$57:$A$60,0))=0,0,($O333/INDEX('Parametri Modello'!$F$57:$F$60,MATCH($B333,'Parametri Modello'!$A$57:$A$60,0)))*((1-INDEX('Parametri Modello'!$D$57:$D$60,MATCH($B333,'Parametri Modello'!$A$57:$A$60,0)))*(INDEX('Parametri Modello'!$B$50:$B$53,MATCH($B333,'Parametri Modello'!$A$50:$A$53,0))*'Parametri Modello'!$B$44))))*(1+IF(IF($B333="D",'Info Lega'!$B$25,IF($B333="C",'Info Lega'!$B$26,"No"))="Si",'Parametri Modello'!$B$5,0))*(1+MAX(-0.25,MIN(0.25,IF(OR($T333="",$I333="",$I333=0,INDEX('Parametri Modello'!$B$19:$B$22,MATCH($B333,'Parametri Modello'!$A$19:$A$22,0))="",INDEX('Parametri Modello'!$B$19:$B$22,MATCH($B333,'Parametri Modello'!$A$19:$A$22,0))=0),0,(($T333-INDEX('Parametri Modello'!$B$19:$B$22,MATCH($B333,'Parametri Modello'!$A$19:$A$22,0)))/INDEX('Parametri Modello'!$B$19:$B$22,MATCH($B333,'Parametri Modello'!$A$19:$A$22,0)))*'Parametri Modello'!$B$9))))*(1+IF('Parametri Modello'!$B$27="Si",MAX(-'Parametri Modello'!$B$28,MIN('Parametri Modello'!$B$28*1.5,IF(OR(INDEX('Parametri Modello'!$F$32:$F$35,MATCH($B333,'Parametri Modello'!$A$32:$A$35,0))="",INDEX('Parametri Modello'!$F$32:$F$35,MATCH($B333,'Parametri Modello'!$A$32:$A$35,0))=0),0,(1/INDEX('Parametri Modello'!$F$32:$F$35,MATCH($B333,'Parametri Modello'!$A$32:$A$35,0))-1)*'Parametri Modello'!$B$28))),0)))*(1+INDEX('Parametri Modello'!$B$12:$B$15,MATCH($B333,'Parametri Modello'!$A$12:$A$15,0))),0),"")</f>
        <v>2</v>
      </c>
      <c r="I333" s="26" t="n">
        <f aca="false">IFERROR(INDEX('Input Statistiche 2025_26'!$F$3:$F$665,MATCH($A333,'Input Statistiche 2025_26'!$A$3:$A$665,0)),"")</f>
        <v>1</v>
      </c>
      <c r="J333" s="26" t="n">
        <f aca="false">IFERROR(IF($I333="","",MAX(0,38-$I333)),"")</f>
        <v>37</v>
      </c>
      <c r="K333" s="26" t="n">
        <f aca="false">IFERROR(INDEX('Input Statistiche 2025_26'!$I$3:$I$665,MATCH($A333,'Input Statistiche 2025_26'!$A$3:$A$665,0)),"")</f>
        <v>0</v>
      </c>
      <c r="L333" s="26" t="n">
        <f aca="false">IFERROR(INDEX('Input Statistiche 2025_26'!$O$3:$O$665,MATCH($A333,'Input Statistiche 2025_26'!$A$3:$A$665,0)),"")</f>
        <v>0</v>
      </c>
      <c r="M333" s="28"/>
      <c r="N333" s="27" t="n">
        <f aca="false">IFERROR(INDEX('Input Giocatori 2026_27'!$E$3:$E$493,MATCH($A333,'Input Giocatori 2026_27'!$A$3:$A$493,0)),"")</f>
        <v>3</v>
      </c>
      <c r="O333" s="27" t="n">
        <f aca="false">IFERROR(INDEX('Input Giocatori 2026_27'!$G$3:$G$493,MATCH($A333,'Input Giocatori 2026_27'!$A$3:$A$493,0)),"")</f>
        <v>9</v>
      </c>
      <c r="P333" s="26" t="str">
        <f aca="false">IFERROR(IF($O333="","",IF((1-(COUNTIFS($B$2:$B$492,$B333,$O$2:$O$492,"&gt;"&amp;$O333)+1-1)/COUNTIF($B$2:$B$492,$B333))&gt;=0.85,"Top",IF((1-(COUNTIFS($B$2:$B$492,$B333,$O$2:$O$492,"&gt;"&amp;$O333)+1-1)/COUNTIF($B$2:$B$492,$B333))&gt;=0.6,"Buono",IF((1-(COUNTIFS($B$2:$B$492,$B333,$O$2:$O$492,"&gt;"&amp;$O333)+1-1)/COUNTIF($B$2:$B$492,$B333))&gt;=0.3,"Nella Media","Scommessa/Riserva")))),"")</f>
        <v>Nella Media</v>
      </c>
      <c r="Q333" s="29" t="n">
        <f aca="false">IF($D333="",COUNTIF($D$2:$D333,""),"")</f>
        <v>332</v>
      </c>
      <c r="R333" s="29" t="str">
        <f aca="false">IF($D333='Info Lega'!$B$28,COUNTIFS($D$2:$D333,'Info Lega'!$B$28),"")</f>
        <v/>
      </c>
      <c r="S333" s="30" t="n">
        <f aca="false">IFERROR(INDEX('Input Statistiche 2025_26'!$G$3:$G$665,MATCH($A333,'Input Statistiche 2025_26'!$A$3:$A$665,0)),"")</f>
        <v>6</v>
      </c>
      <c r="T333" s="30" t="n">
        <f aca="false">IFERROR(INDEX('Input Statistiche 2025_26'!$H$3:$H$665,MATCH($A333,'Input Statistiche 2025_26'!$A$3:$A$665,0)),"")</f>
        <v>6</v>
      </c>
      <c r="U333" s="26" t="str">
        <f aca="false">IF(OR('La Mia Rosa'!$O$12="",$D333&lt;&gt;""),"",IF($F333&lt;='La Mia Rosa'!$O$12*'Parametri Modello'!$B$24,"OK",IF($F333&lt;='La Mia Rosa'!$O$12*'Parametri Modello'!$B$25,"Attenzione","Rischio Alto")))</f>
        <v>OK</v>
      </c>
      <c r="V333" s="26" t="n">
        <f aca="false">IFERROR(COUNTIFS($B$2:$B$492,$B333,$O$2:$O$492,"&gt;"&amp;$O333)+1,"")</f>
        <v>112</v>
      </c>
      <c r="W333" s="21" t="n">
        <f aca="false">'Info Lega'!$B$4-SUMIFS($M$2:$M$492,$D$2:$D$492,'Info Lega'!$B$28)</f>
        <v>1000</v>
      </c>
      <c r="X333" s="21" t="n">
        <f aca="false">('Info Lega'!$B$5-COUNTIFS($D$2:$D$492,'Info Lega'!$B$28,$B$2:$B$492,"P"))+('Info Lega'!$B$6-COUNTIFS($D$2:$D$492,'Info Lega'!$B$28,$B$2:$B$492,"D"))+('Info Lega'!$B$7-COUNTIFS($D$2:$D$492,'Info Lega'!$B$28,$B$2:$B$492,"C"))+('Info Lega'!$B$8-COUNTIFS($D$2:$D$492,'Info Lega'!$B$28,$B$2:$B$492,"A"))</f>
        <v>25</v>
      </c>
      <c r="Y333" s="21" t="n">
        <f aca="false">X333*'Parametri Modello'!$B$30</f>
        <v>25</v>
      </c>
      <c r="Z333" s="21" t="n">
        <f aca="false">MAX(0,W333-Y333)</f>
        <v>975</v>
      </c>
      <c r="AA333" s="21" t="n">
        <f aca="false">MIN(F333,Z333)</f>
        <v>2</v>
      </c>
      <c r="AB333" s="21"/>
      <c r="AC333" s="21" t="str">
        <f aca="false">IF(AB333="","",IF(AB333&gt;AA333,"PASS",IF(AB333&lt;=AA333*0.85,"BID","ATTENZIONE")))</f>
        <v/>
      </c>
      <c r="AD333" s="31" t="n">
        <f aca="false">IF(I333="","",ROUND(100*(1-EXP(-I333/30)),0))</f>
        <v>3</v>
      </c>
      <c r="AE333" s="7" t="str">
        <f aca="false">IFERROR(INDEX('Stato Asta'!$G$9:$G$12,MATCH($B333,'Stato Asta'!$A$9:$A$12,0)),"")</f>
        <v>🟡 Attesa rischiosa</v>
      </c>
    </row>
    <row r="334" customFormat="false" ht="14.25" hidden="false" customHeight="true" outlineLevel="0" collapsed="false">
      <c r="A334" s="21" t="n">
        <v>4925</v>
      </c>
      <c r="B334" s="21" t="s">
        <v>44</v>
      </c>
      <c r="C334" s="21" t="s">
        <v>316</v>
      </c>
      <c r="E334" s="26" t="str">
        <f aca="false">IF(COUNTIF('Info Strategia'!$D$2:$D$51,$C334)&gt;0,"SI","NO")</f>
        <v>NO</v>
      </c>
      <c r="F334" s="27" t="n">
        <f aca="false">IFERROR(ROUND(($G334+($H334-$G334)*'Info Strategia'!$B$6)*(1+IF($E334="SI",'Parametri Modello'!$B$7*'Info Strategia'!$B$6,0)),0),"")</f>
        <v>2</v>
      </c>
      <c r="G334" s="27" t="n">
        <f aca="false">IFERROR(ROUND(MAX(1,(IF($V334&lt;=INDEX('Parametri Modello'!$C$57:$C$60,MATCH($B334,'Parametri Modello'!$A$57:$A$60,0)),IF(INDEX('Parametri Modello'!$E$57:$E$60,MATCH($B334,'Parametri Modello'!$A$57:$A$60,0))=0,0,($O334/INDEX('Parametri Modello'!$E$57:$E$60,MATCH($B334,'Parametri Modello'!$A$57:$A$60,0)))*(INDEX('Parametri Modello'!$D$57:$D$60,MATCH($B334,'Parametri Modello'!$A$57:$A$60,0))*(INDEX('Parametri Modello'!$B$50:$B$53,MATCH($B334,'Parametri Modello'!$A$50:$A$53,0))*'Parametri Modello'!$B$44))),IF(INDEX('Parametri Modello'!$F$57:$F$60,MATCH($B334,'Parametri Modello'!$A$57:$A$60,0))=0,0,($O334/INDEX('Parametri Modello'!$F$57:$F$60,MATCH($B334,'Parametri Modello'!$A$57:$A$60,0)))*((1-INDEX('Parametri Modello'!$D$57:$D$60,MATCH($B334,'Parametri Modello'!$A$57:$A$60,0)))*(INDEX('Parametri Modello'!$B$50:$B$53,MATCH($B334,'Parametri Modello'!$A$50:$A$53,0))*'Parametri Modello'!$B$44))))*(1+IF(IF($B334="D",'Info Lega'!$B$25,IF($B334="C",'Info Lega'!$B$26,"No"))="Si",'Parametri Modello'!$B$5,0))*(1+MAX(-0.25,MIN(0.25,IF(OR($T334="",$I334="",$I334=0,INDEX('Parametri Modello'!$B$19:$B$22,MATCH($B334,'Parametri Modello'!$A$19:$A$22,0))="",INDEX('Parametri Modello'!$B$19:$B$22,MATCH($B334,'Parametri Modello'!$A$19:$A$22,0))=0),0,(($T334-INDEX('Parametri Modello'!$B$19:$B$22,MATCH($B334,'Parametri Modello'!$A$19:$A$22,0)))/INDEX('Parametri Modello'!$B$19:$B$22,MATCH($B334,'Parametri Modello'!$A$19:$A$22,0)))*'Parametri Modello'!$B$9))))*(1+IF('Parametri Modello'!$B$27="Si",MAX(-'Parametri Modello'!$B$28,MIN('Parametri Modello'!$B$28*1.5,IF(OR(INDEX('Parametri Modello'!$F$32:$F$35,MATCH($B334,'Parametri Modello'!$A$32:$A$35,0))="",INDEX('Parametri Modello'!$F$32:$F$35,MATCH($B334,'Parametri Modello'!$A$32:$A$35,0))=0),0,(1/INDEX('Parametri Modello'!$F$32:$F$35,MATCH($B334,'Parametri Modello'!$A$32:$A$35,0))-1)*'Parametri Modello'!$B$28))),0)))*(1-INDEX('Parametri Modello'!$B$12:$B$15,MATCH($B334,'Parametri Modello'!$A$12:$A$15,0)))),0),"")</f>
        <v>1</v>
      </c>
      <c r="H334" s="27" t="n">
        <f aca="false">IFERROR(ROUND((IF($V334&lt;=INDEX('Parametri Modello'!$C$57:$C$60,MATCH($B334,'Parametri Modello'!$A$57:$A$60,0)),IF(INDEX('Parametri Modello'!$E$57:$E$60,MATCH($B334,'Parametri Modello'!$A$57:$A$60,0))=0,0,($O334/INDEX('Parametri Modello'!$E$57:$E$60,MATCH($B334,'Parametri Modello'!$A$57:$A$60,0)))*(INDEX('Parametri Modello'!$D$57:$D$60,MATCH($B334,'Parametri Modello'!$A$57:$A$60,0))*(INDEX('Parametri Modello'!$B$50:$B$53,MATCH($B334,'Parametri Modello'!$A$50:$A$53,0))*'Parametri Modello'!$B$44))),IF(INDEX('Parametri Modello'!$F$57:$F$60,MATCH($B334,'Parametri Modello'!$A$57:$A$60,0))=0,0,($O334/INDEX('Parametri Modello'!$F$57:$F$60,MATCH($B334,'Parametri Modello'!$A$57:$A$60,0)))*((1-INDEX('Parametri Modello'!$D$57:$D$60,MATCH($B334,'Parametri Modello'!$A$57:$A$60,0)))*(INDEX('Parametri Modello'!$B$50:$B$53,MATCH($B334,'Parametri Modello'!$A$50:$A$53,0))*'Parametri Modello'!$B$44))))*(1+IF(IF($B334="D",'Info Lega'!$B$25,IF($B334="C",'Info Lega'!$B$26,"No"))="Si",'Parametri Modello'!$B$5,0))*(1+MAX(-0.25,MIN(0.25,IF(OR($T334="",$I334="",$I334=0,INDEX('Parametri Modello'!$B$19:$B$22,MATCH($B334,'Parametri Modello'!$A$19:$A$22,0))="",INDEX('Parametri Modello'!$B$19:$B$22,MATCH($B334,'Parametri Modello'!$A$19:$A$22,0))=0),0,(($T334-INDEX('Parametri Modello'!$B$19:$B$22,MATCH($B334,'Parametri Modello'!$A$19:$A$22,0)))/INDEX('Parametri Modello'!$B$19:$B$22,MATCH($B334,'Parametri Modello'!$A$19:$A$22,0)))*'Parametri Modello'!$B$9))))*(1+IF('Parametri Modello'!$B$27="Si",MAX(-'Parametri Modello'!$B$28,MIN('Parametri Modello'!$B$28*1.5,IF(OR(INDEX('Parametri Modello'!$F$32:$F$35,MATCH($B334,'Parametri Modello'!$A$32:$A$35,0))="",INDEX('Parametri Modello'!$F$32:$F$35,MATCH($B334,'Parametri Modello'!$A$32:$A$35,0))=0),0,(1/INDEX('Parametri Modello'!$F$32:$F$35,MATCH($B334,'Parametri Modello'!$A$32:$A$35,0))-1)*'Parametri Modello'!$B$28))),0)))*(1+INDEX('Parametri Modello'!$B$12:$B$15,MATCH($B334,'Parametri Modello'!$A$12:$A$15,0))),0),"")</f>
        <v>2</v>
      </c>
      <c r="I334" s="26" t="str">
        <f aca="false">IFERROR(INDEX('Input Statistiche 2025_26'!$F$3:$F$665,MATCH($A334,'Input Statistiche 2025_26'!$A$3:$A$665,0)),"")</f>
        <v/>
      </c>
      <c r="J334" s="26" t="str">
        <f aca="false">IFERROR(IF($I334="","",MAX(0,38-$I334)),"")</f>
        <v/>
      </c>
      <c r="K334" s="26" t="str">
        <f aca="false">IFERROR(INDEX('Input Statistiche 2025_26'!$I$3:$I$665,MATCH($A334,'Input Statistiche 2025_26'!$A$3:$A$665,0)),"")</f>
        <v/>
      </c>
      <c r="L334" s="26" t="str">
        <f aca="false">IFERROR(INDEX('Input Statistiche 2025_26'!$O$3:$O$665,MATCH($A334,'Input Statistiche 2025_26'!$A$3:$A$665,0)),"")</f>
        <v/>
      </c>
      <c r="M334" s="28"/>
      <c r="N334" s="27" t="n">
        <f aca="false">IFERROR(INDEX('Input Giocatori 2026_27'!$E$3:$E$493,MATCH($A334,'Input Giocatori 2026_27'!$A$3:$A$493,0)),"")</f>
        <v>3</v>
      </c>
      <c r="O334" s="27" t="n">
        <f aca="false">IFERROR(INDEX('Input Giocatori 2026_27'!$G$3:$G$493,MATCH($A334,'Input Giocatori 2026_27'!$A$3:$A$493,0)),"")</f>
        <v>9</v>
      </c>
      <c r="P334" s="26" t="str">
        <f aca="false">IFERROR(IF($O334="","",IF((1-(COUNTIFS($B$2:$B$492,$B334,$O$2:$O$492,"&gt;"&amp;$O334)+1-1)/COUNTIF($B$2:$B$492,$B334))&gt;=0.85,"Top",IF((1-(COUNTIFS($B$2:$B$492,$B334,$O$2:$O$492,"&gt;"&amp;$O334)+1-1)/COUNTIF($B$2:$B$492,$B334))&gt;=0.6,"Buono",IF((1-(COUNTIFS($B$2:$B$492,$B334,$O$2:$O$492,"&gt;"&amp;$O334)+1-1)/COUNTIF($B$2:$B$492,$B334))&gt;=0.3,"Nella Media","Scommessa/Riserva")))),"")</f>
        <v>Nella Media</v>
      </c>
      <c r="Q334" s="29" t="n">
        <f aca="false">IF($D334="",COUNTIF($D$2:$D334,""),"")</f>
        <v>333</v>
      </c>
      <c r="R334" s="29" t="str">
        <f aca="false">IF($D334='Info Lega'!$B$28,COUNTIFS($D$2:$D334,'Info Lega'!$B$28),"")</f>
        <v/>
      </c>
      <c r="S334" s="30" t="str">
        <f aca="false">IFERROR(INDEX('Input Statistiche 2025_26'!$G$3:$G$665,MATCH($A334,'Input Statistiche 2025_26'!$A$3:$A$665,0)),"")</f>
        <v/>
      </c>
      <c r="T334" s="30" t="str">
        <f aca="false">IFERROR(INDEX('Input Statistiche 2025_26'!$H$3:$H$665,MATCH($A334,'Input Statistiche 2025_26'!$A$3:$A$665,0)),"")</f>
        <v/>
      </c>
      <c r="U334" s="26" t="str">
        <f aca="false">IF(OR('La Mia Rosa'!$O$12="",$D334&lt;&gt;""),"",IF($F334&lt;='La Mia Rosa'!$O$12*'Parametri Modello'!$B$24,"OK",IF($F334&lt;='La Mia Rosa'!$O$12*'Parametri Modello'!$B$25,"Attenzione","Rischio Alto")))</f>
        <v>OK</v>
      </c>
      <c r="V334" s="26" t="n">
        <f aca="false">IFERROR(COUNTIFS($B$2:$B$492,$B334,$O$2:$O$492,"&gt;"&amp;$O334)+1,"")</f>
        <v>112</v>
      </c>
      <c r="W334" s="21" t="n">
        <f aca="false">'Info Lega'!$B$4-SUMIFS($M$2:$M$492,$D$2:$D$492,'Info Lega'!$B$28)</f>
        <v>1000</v>
      </c>
      <c r="X334" s="21" t="n">
        <f aca="false">('Info Lega'!$B$5-COUNTIFS($D$2:$D$492,'Info Lega'!$B$28,$B$2:$B$492,"P"))+('Info Lega'!$B$6-COUNTIFS($D$2:$D$492,'Info Lega'!$B$28,$B$2:$B$492,"D"))+('Info Lega'!$B$7-COUNTIFS($D$2:$D$492,'Info Lega'!$B$28,$B$2:$B$492,"C"))+('Info Lega'!$B$8-COUNTIFS($D$2:$D$492,'Info Lega'!$B$28,$B$2:$B$492,"A"))</f>
        <v>25</v>
      </c>
      <c r="Y334" s="21" t="n">
        <f aca="false">X334*'Parametri Modello'!$B$30</f>
        <v>25</v>
      </c>
      <c r="Z334" s="21" t="n">
        <f aca="false">MAX(0,W334-Y334)</f>
        <v>975</v>
      </c>
      <c r="AA334" s="21" t="n">
        <f aca="false">MIN(F334,Z334)</f>
        <v>2</v>
      </c>
      <c r="AB334" s="21"/>
      <c r="AC334" s="21" t="str">
        <f aca="false">IF(AB334="","",IF(AB334&gt;AA334,"PASS",IF(AB334&lt;=AA334*0.85,"BID","ATTENZIONE")))</f>
        <v/>
      </c>
      <c r="AD334" s="31" t="str">
        <f aca="false">IF(I334="","",ROUND(100*(1-EXP(-I334/30)),0))</f>
        <v/>
      </c>
      <c r="AE334" s="7" t="str">
        <f aca="false">IFERROR(INDEX('Stato Asta'!$G$9:$G$12,MATCH($B334,'Stato Asta'!$A$9:$A$12,0)),"")</f>
        <v>🟡 Attesa rischiosa</v>
      </c>
    </row>
    <row r="335" customFormat="false" ht="14.25" hidden="false" customHeight="true" outlineLevel="0" collapsed="false">
      <c r="A335" s="21" t="n">
        <v>6506</v>
      </c>
      <c r="B335" s="21" t="s">
        <v>45</v>
      </c>
      <c r="C335" s="21" t="s">
        <v>497</v>
      </c>
      <c r="E335" s="26" t="str">
        <f aca="false">IF(COUNTIF('Info Strategia'!$D$2:$D$51,$C335)&gt;0,"SI","NO")</f>
        <v>NO</v>
      </c>
      <c r="F335" s="27" t="n">
        <f aca="false">IFERROR(ROUND(($G335+($H335-$G335)*'Info Strategia'!$B$6)*(1+IF($E335="SI",'Parametri Modello'!$B$7*'Info Strategia'!$B$6,0)),0),"")</f>
        <v>1</v>
      </c>
      <c r="G335" s="27" t="n">
        <f aca="false">IFERROR(ROUND(MAX(1,(IF($V335&lt;=INDEX('Parametri Modello'!$C$57:$C$60,MATCH($B335,'Parametri Modello'!$A$57:$A$60,0)),IF(INDEX('Parametri Modello'!$E$57:$E$60,MATCH($B335,'Parametri Modello'!$A$57:$A$60,0))=0,0,($O335/INDEX('Parametri Modello'!$E$57:$E$60,MATCH($B335,'Parametri Modello'!$A$57:$A$60,0)))*(INDEX('Parametri Modello'!$D$57:$D$60,MATCH($B335,'Parametri Modello'!$A$57:$A$60,0))*(INDEX('Parametri Modello'!$B$50:$B$53,MATCH($B335,'Parametri Modello'!$A$50:$A$53,0))*'Parametri Modello'!$B$44))),IF(INDEX('Parametri Modello'!$F$57:$F$60,MATCH($B335,'Parametri Modello'!$A$57:$A$60,0))=0,0,($O335/INDEX('Parametri Modello'!$F$57:$F$60,MATCH($B335,'Parametri Modello'!$A$57:$A$60,0)))*((1-INDEX('Parametri Modello'!$D$57:$D$60,MATCH($B335,'Parametri Modello'!$A$57:$A$60,0)))*(INDEX('Parametri Modello'!$B$50:$B$53,MATCH($B335,'Parametri Modello'!$A$50:$A$53,0))*'Parametri Modello'!$B$44))))*(1+IF(IF($B335="D",'Info Lega'!$B$25,IF($B335="C",'Info Lega'!$B$26,"No"))="Si",'Parametri Modello'!$B$5,0))*(1+MAX(-0.25,MIN(0.25,IF(OR($T335="",$I335="",$I335=0,INDEX('Parametri Modello'!$B$19:$B$22,MATCH($B335,'Parametri Modello'!$A$19:$A$22,0))="",INDEX('Parametri Modello'!$B$19:$B$22,MATCH($B335,'Parametri Modello'!$A$19:$A$22,0))=0),0,(($T335-INDEX('Parametri Modello'!$B$19:$B$22,MATCH($B335,'Parametri Modello'!$A$19:$A$22,0)))/INDEX('Parametri Modello'!$B$19:$B$22,MATCH($B335,'Parametri Modello'!$A$19:$A$22,0)))*'Parametri Modello'!$B$9))))*(1+IF('Parametri Modello'!$B$27="Si",MAX(-'Parametri Modello'!$B$28,MIN('Parametri Modello'!$B$28*1.5,IF(OR(INDEX('Parametri Modello'!$F$32:$F$35,MATCH($B335,'Parametri Modello'!$A$32:$A$35,0))="",INDEX('Parametri Modello'!$F$32:$F$35,MATCH($B335,'Parametri Modello'!$A$32:$A$35,0))=0),0,(1/INDEX('Parametri Modello'!$F$32:$F$35,MATCH($B335,'Parametri Modello'!$A$32:$A$35,0))-1)*'Parametri Modello'!$B$28))),0)))*(1-INDEX('Parametri Modello'!$B$12:$B$15,MATCH($B335,'Parametri Modello'!$A$12:$A$15,0)))),0),"")</f>
        <v>1</v>
      </c>
      <c r="H335" s="27" t="n">
        <f aca="false">IFERROR(ROUND((IF($V335&lt;=INDEX('Parametri Modello'!$C$57:$C$60,MATCH($B335,'Parametri Modello'!$A$57:$A$60,0)),IF(INDEX('Parametri Modello'!$E$57:$E$60,MATCH($B335,'Parametri Modello'!$A$57:$A$60,0))=0,0,($O335/INDEX('Parametri Modello'!$E$57:$E$60,MATCH($B335,'Parametri Modello'!$A$57:$A$60,0)))*(INDEX('Parametri Modello'!$D$57:$D$60,MATCH($B335,'Parametri Modello'!$A$57:$A$60,0))*(INDEX('Parametri Modello'!$B$50:$B$53,MATCH($B335,'Parametri Modello'!$A$50:$A$53,0))*'Parametri Modello'!$B$44))),IF(INDEX('Parametri Modello'!$F$57:$F$60,MATCH($B335,'Parametri Modello'!$A$57:$A$60,0))=0,0,($O335/INDEX('Parametri Modello'!$F$57:$F$60,MATCH($B335,'Parametri Modello'!$A$57:$A$60,0)))*((1-INDEX('Parametri Modello'!$D$57:$D$60,MATCH($B335,'Parametri Modello'!$A$57:$A$60,0)))*(INDEX('Parametri Modello'!$B$50:$B$53,MATCH($B335,'Parametri Modello'!$A$50:$A$53,0))*'Parametri Modello'!$B$44))))*(1+IF(IF($B335="D",'Info Lega'!$B$25,IF($B335="C",'Info Lega'!$B$26,"No"))="Si",'Parametri Modello'!$B$5,0))*(1+MAX(-0.25,MIN(0.25,IF(OR($T335="",$I335="",$I335=0,INDEX('Parametri Modello'!$B$19:$B$22,MATCH($B335,'Parametri Modello'!$A$19:$A$22,0))="",INDEX('Parametri Modello'!$B$19:$B$22,MATCH($B335,'Parametri Modello'!$A$19:$A$22,0))=0),0,(($T335-INDEX('Parametri Modello'!$B$19:$B$22,MATCH($B335,'Parametri Modello'!$A$19:$A$22,0)))/INDEX('Parametri Modello'!$B$19:$B$22,MATCH($B335,'Parametri Modello'!$A$19:$A$22,0)))*'Parametri Modello'!$B$9))))*(1+IF('Parametri Modello'!$B$27="Si",MAX(-'Parametri Modello'!$B$28,MIN('Parametri Modello'!$B$28*1.5,IF(OR(INDEX('Parametri Modello'!$F$32:$F$35,MATCH($B335,'Parametri Modello'!$A$32:$A$35,0))="",INDEX('Parametri Modello'!$F$32:$F$35,MATCH($B335,'Parametri Modello'!$A$32:$A$35,0))=0),0,(1/INDEX('Parametri Modello'!$F$32:$F$35,MATCH($B335,'Parametri Modello'!$A$32:$A$35,0))-1)*'Parametri Modello'!$B$28))),0)))*(1+INDEX('Parametri Modello'!$B$12:$B$15,MATCH($B335,'Parametri Modello'!$A$12:$A$15,0))),0),"")</f>
        <v>1</v>
      </c>
      <c r="I335" s="26" t="n">
        <f aca="false">IFERROR(INDEX('Input Statistiche 2025_26'!$F$3:$F$665,MATCH($A335,'Input Statistiche 2025_26'!$A$3:$A$665,0)),"")</f>
        <v>1</v>
      </c>
      <c r="J335" s="26" t="n">
        <f aca="false">IFERROR(IF($I335="","",MAX(0,38-$I335)),"")</f>
        <v>37</v>
      </c>
      <c r="K335" s="26" t="n">
        <f aca="false">IFERROR(INDEX('Input Statistiche 2025_26'!$I$3:$I$665,MATCH($A335,'Input Statistiche 2025_26'!$A$3:$A$665,0)),"")</f>
        <v>0</v>
      </c>
      <c r="L335" s="26" t="n">
        <f aca="false">IFERROR(INDEX('Input Statistiche 2025_26'!$O$3:$O$665,MATCH($A335,'Input Statistiche 2025_26'!$A$3:$A$665,0)),"")</f>
        <v>0</v>
      </c>
      <c r="M335" s="28"/>
      <c r="N335" s="27" t="n">
        <f aca="false">IFERROR(INDEX('Input Giocatori 2026_27'!$E$3:$E$493,MATCH($A335,'Input Giocatori 2026_27'!$A$3:$A$493,0)),"")</f>
        <v>3</v>
      </c>
      <c r="O335" s="27" t="n">
        <f aca="false">IFERROR(INDEX('Input Giocatori 2026_27'!$G$3:$G$493,MATCH($A335,'Input Giocatori 2026_27'!$A$3:$A$493,0)),"")</f>
        <v>9</v>
      </c>
      <c r="P335" s="26" t="str">
        <f aca="false">IFERROR(IF($O335="","",IF((1-(COUNTIFS($B$2:$B$492,$B335,$O$2:$O$492,"&gt;"&amp;$O335)+1-1)/COUNTIF($B$2:$B$492,$B335))&gt;=0.85,"Top",IF((1-(COUNTIFS($B$2:$B$492,$B335,$O$2:$O$492,"&gt;"&amp;$O335)+1-1)/COUNTIF($B$2:$B$492,$B335))&gt;=0.6,"Buono",IF((1-(COUNTIFS($B$2:$B$492,$B335,$O$2:$O$492,"&gt;"&amp;$O335)+1-1)/COUNTIF($B$2:$B$492,$B335))&gt;=0.3,"Nella Media","Scommessa/Riserva")))),"")</f>
        <v>Scommessa/Riserva</v>
      </c>
      <c r="Q335" s="29" t="n">
        <f aca="false">IF($D335="",COUNTIF($D$2:$D335,""),"")</f>
        <v>334</v>
      </c>
      <c r="R335" s="29" t="str">
        <f aca="false">IF($D335='Info Lega'!$B$28,COUNTIFS($D$2:$D335,'Info Lega'!$B$28),"")</f>
        <v/>
      </c>
      <c r="S335" s="30" t="n">
        <f aca="false">IFERROR(INDEX('Input Statistiche 2025_26'!$G$3:$G$665,MATCH($A335,'Input Statistiche 2025_26'!$A$3:$A$665,0)),"")</f>
        <v>5.5</v>
      </c>
      <c r="T335" s="30" t="n">
        <f aca="false">IFERROR(INDEX('Input Statistiche 2025_26'!$H$3:$H$665,MATCH($A335,'Input Statistiche 2025_26'!$A$3:$A$665,0)),"")</f>
        <v>5.5</v>
      </c>
      <c r="U335" s="26" t="str">
        <f aca="false">IF(OR('La Mia Rosa'!$O$12="",$D335&lt;&gt;""),"",IF($F335&lt;='La Mia Rosa'!$O$12*'Parametri Modello'!$B$24,"OK",IF($F335&lt;='La Mia Rosa'!$O$12*'Parametri Modello'!$B$25,"Attenzione","Rischio Alto")))</f>
        <v>OK</v>
      </c>
      <c r="V335" s="26" t="n">
        <f aca="false">IFERROR(COUNTIFS($B$2:$B$492,$B335,$O$2:$O$492,"&gt;"&amp;$O335)+1,"")</f>
        <v>130</v>
      </c>
      <c r="W335" s="21" t="n">
        <f aca="false">'Info Lega'!$B$4-SUMIFS($M$2:$M$492,$D$2:$D$492,'Info Lega'!$B$28)</f>
        <v>1000</v>
      </c>
      <c r="X335" s="21" t="n">
        <f aca="false">('Info Lega'!$B$5-COUNTIFS($D$2:$D$492,'Info Lega'!$B$28,$B$2:$B$492,"P"))+('Info Lega'!$B$6-COUNTIFS($D$2:$D$492,'Info Lega'!$B$28,$B$2:$B$492,"D"))+('Info Lega'!$B$7-COUNTIFS($D$2:$D$492,'Info Lega'!$B$28,$B$2:$B$492,"C"))+('Info Lega'!$B$8-COUNTIFS($D$2:$D$492,'Info Lega'!$B$28,$B$2:$B$492,"A"))</f>
        <v>25</v>
      </c>
      <c r="Y335" s="21" t="n">
        <f aca="false">X335*'Parametri Modello'!$B$30</f>
        <v>25</v>
      </c>
      <c r="Z335" s="21" t="n">
        <f aca="false">MAX(0,W335-Y335)</f>
        <v>975</v>
      </c>
      <c r="AA335" s="21" t="n">
        <f aca="false">MIN(F335,Z335)</f>
        <v>1</v>
      </c>
      <c r="AB335" s="21"/>
      <c r="AC335" s="21" t="str">
        <f aca="false">IF(AB335="","",IF(AB335&gt;AA335,"PASS",IF(AB335&lt;=AA335*0.85,"BID","ATTENZIONE")))</f>
        <v/>
      </c>
      <c r="AD335" s="31" t="n">
        <f aca="false">IF(I335="","",ROUND(100*(1-EXP(-I335/30)),0))</f>
        <v>3</v>
      </c>
      <c r="AE335" s="7" t="str">
        <f aca="false">IFERROR(INDEX('Stato Asta'!$G$9:$G$12,MATCH($B335,'Stato Asta'!$A$9:$A$12,0)),"")</f>
        <v>🟡 Attesa rischiosa</v>
      </c>
    </row>
    <row r="336" customFormat="false" ht="14.25" hidden="false" customHeight="true" outlineLevel="0" collapsed="false">
      <c r="A336" s="21" t="n">
        <v>5131</v>
      </c>
      <c r="B336" s="21" t="s">
        <v>45</v>
      </c>
      <c r="C336" s="21" t="s">
        <v>502</v>
      </c>
      <c r="E336" s="26" t="str">
        <f aca="false">IF(COUNTIF('Info Strategia'!$D$2:$D$51,$C336)&gt;0,"SI","NO")</f>
        <v>NO</v>
      </c>
      <c r="F336" s="27" t="n">
        <f aca="false">IFERROR(ROUND(($G336+($H336-$G336)*'Info Strategia'!$B$6)*(1+IF($E336="SI",'Parametri Modello'!$B$7*'Info Strategia'!$B$6,0)),0),"")</f>
        <v>1</v>
      </c>
      <c r="G336" s="27" t="n">
        <f aca="false">IFERROR(ROUND(MAX(1,(IF($V336&lt;=INDEX('Parametri Modello'!$C$57:$C$60,MATCH($B336,'Parametri Modello'!$A$57:$A$60,0)),IF(INDEX('Parametri Modello'!$E$57:$E$60,MATCH($B336,'Parametri Modello'!$A$57:$A$60,0))=0,0,($O336/INDEX('Parametri Modello'!$E$57:$E$60,MATCH($B336,'Parametri Modello'!$A$57:$A$60,0)))*(INDEX('Parametri Modello'!$D$57:$D$60,MATCH($B336,'Parametri Modello'!$A$57:$A$60,0))*(INDEX('Parametri Modello'!$B$50:$B$53,MATCH($B336,'Parametri Modello'!$A$50:$A$53,0))*'Parametri Modello'!$B$44))),IF(INDEX('Parametri Modello'!$F$57:$F$60,MATCH($B336,'Parametri Modello'!$A$57:$A$60,0))=0,0,($O336/INDEX('Parametri Modello'!$F$57:$F$60,MATCH($B336,'Parametri Modello'!$A$57:$A$60,0)))*((1-INDEX('Parametri Modello'!$D$57:$D$60,MATCH($B336,'Parametri Modello'!$A$57:$A$60,0)))*(INDEX('Parametri Modello'!$B$50:$B$53,MATCH($B336,'Parametri Modello'!$A$50:$A$53,0))*'Parametri Modello'!$B$44))))*(1+IF(IF($B336="D",'Info Lega'!$B$25,IF($B336="C",'Info Lega'!$B$26,"No"))="Si",'Parametri Modello'!$B$5,0))*(1+MAX(-0.25,MIN(0.25,IF(OR($T336="",$I336="",$I336=0,INDEX('Parametri Modello'!$B$19:$B$22,MATCH($B336,'Parametri Modello'!$A$19:$A$22,0))="",INDEX('Parametri Modello'!$B$19:$B$22,MATCH($B336,'Parametri Modello'!$A$19:$A$22,0))=0),0,(($T336-INDEX('Parametri Modello'!$B$19:$B$22,MATCH($B336,'Parametri Modello'!$A$19:$A$22,0)))/INDEX('Parametri Modello'!$B$19:$B$22,MATCH($B336,'Parametri Modello'!$A$19:$A$22,0)))*'Parametri Modello'!$B$9))))*(1+IF('Parametri Modello'!$B$27="Si",MAX(-'Parametri Modello'!$B$28,MIN('Parametri Modello'!$B$28*1.5,IF(OR(INDEX('Parametri Modello'!$F$32:$F$35,MATCH($B336,'Parametri Modello'!$A$32:$A$35,0))="",INDEX('Parametri Modello'!$F$32:$F$35,MATCH($B336,'Parametri Modello'!$A$32:$A$35,0))=0),0,(1/INDEX('Parametri Modello'!$F$32:$F$35,MATCH($B336,'Parametri Modello'!$A$32:$A$35,0))-1)*'Parametri Modello'!$B$28))),0)))*(1-INDEX('Parametri Modello'!$B$12:$B$15,MATCH($B336,'Parametri Modello'!$A$12:$A$15,0)))),0),"")</f>
        <v>1</v>
      </c>
      <c r="H336" s="27" t="n">
        <f aca="false">IFERROR(ROUND((IF($V336&lt;=INDEX('Parametri Modello'!$C$57:$C$60,MATCH($B336,'Parametri Modello'!$A$57:$A$60,0)),IF(INDEX('Parametri Modello'!$E$57:$E$60,MATCH($B336,'Parametri Modello'!$A$57:$A$60,0))=0,0,($O336/INDEX('Parametri Modello'!$E$57:$E$60,MATCH($B336,'Parametri Modello'!$A$57:$A$60,0)))*(INDEX('Parametri Modello'!$D$57:$D$60,MATCH($B336,'Parametri Modello'!$A$57:$A$60,0))*(INDEX('Parametri Modello'!$B$50:$B$53,MATCH($B336,'Parametri Modello'!$A$50:$A$53,0))*'Parametri Modello'!$B$44))),IF(INDEX('Parametri Modello'!$F$57:$F$60,MATCH($B336,'Parametri Modello'!$A$57:$A$60,0))=0,0,($O336/INDEX('Parametri Modello'!$F$57:$F$60,MATCH($B336,'Parametri Modello'!$A$57:$A$60,0)))*((1-INDEX('Parametri Modello'!$D$57:$D$60,MATCH($B336,'Parametri Modello'!$A$57:$A$60,0)))*(INDEX('Parametri Modello'!$B$50:$B$53,MATCH($B336,'Parametri Modello'!$A$50:$A$53,0))*'Parametri Modello'!$B$44))))*(1+IF(IF($B336="D",'Info Lega'!$B$25,IF($B336="C",'Info Lega'!$B$26,"No"))="Si",'Parametri Modello'!$B$5,0))*(1+MAX(-0.25,MIN(0.25,IF(OR($T336="",$I336="",$I336=0,INDEX('Parametri Modello'!$B$19:$B$22,MATCH($B336,'Parametri Modello'!$A$19:$A$22,0))="",INDEX('Parametri Modello'!$B$19:$B$22,MATCH($B336,'Parametri Modello'!$A$19:$A$22,0))=0),0,(($T336-INDEX('Parametri Modello'!$B$19:$B$22,MATCH($B336,'Parametri Modello'!$A$19:$A$22,0)))/INDEX('Parametri Modello'!$B$19:$B$22,MATCH($B336,'Parametri Modello'!$A$19:$A$22,0)))*'Parametri Modello'!$B$9))))*(1+IF('Parametri Modello'!$B$27="Si",MAX(-'Parametri Modello'!$B$28,MIN('Parametri Modello'!$B$28*1.5,IF(OR(INDEX('Parametri Modello'!$F$32:$F$35,MATCH($B336,'Parametri Modello'!$A$32:$A$35,0))="",INDEX('Parametri Modello'!$F$32:$F$35,MATCH($B336,'Parametri Modello'!$A$32:$A$35,0))=0),0,(1/INDEX('Parametri Modello'!$F$32:$F$35,MATCH($B336,'Parametri Modello'!$A$32:$A$35,0))-1)*'Parametri Modello'!$B$28))),0)))*(1+INDEX('Parametri Modello'!$B$12:$B$15,MATCH($B336,'Parametri Modello'!$A$12:$A$15,0))),0),"")</f>
        <v>1</v>
      </c>
      <c r="I336" s="26" t="n">
        <f aca="false">IFERROR(INDEX('Input Statistiche 2025_26'!$F$3:$F$665,MATCH($A336,'Input Statistiche 2025_26'!$A$3:$A$665,0)),"")</f>
        <v>13</v>
      </c>
      <c r="J336" s="26" t="n">
        <f aca="false">IFERROR(IF($I336="","",MAX(0,38-$I336)),"")</f>
        <v>25</v>
      </c>
      <c r="K336" s="26" t="n">
        <f aca="false">IFERROR(INDEX('Input Statistiche 2025_26'!$I$3:$I$665,MATCH($A336,'Input Statistiche 2025_26'!$A$3:$A$665,0)),"")</f>
        <v>1</v>
      </c>
      <c r="L336" s="26" t="n">
        <f aca="false">IFERROR(INDEX('Input Statistiche 2025_26'!$O$3:$O$665,MATCH($A336,'Input Statistiche 2025_26'!$A$3:$A$665,0)),"")</f>
        <v>0</v>
      </c>
      <c r="M336" s="28"/>
      <c r="N336" s="27" t="n">
        <f aca="false">IFERROR(INDEX('Input Giocatori 2026_27'!$E$3:$E$493,MATCH($A336,'Input Giocatori 2026_27'!$A$3:$A$493,0)),"")</f>
        <v>3</v>
      </c>
      <c r="O336" s="27" t="n">
        <f aca="false">IFERROR(INDEX('Input Giocatori 2026_27'!$G$3:$G$493,MATCH($A336,'Input Giocatori 2026_27'!$A$3:$A$493,0)),"")</f>
        <v>9</v>
      </c>
      <c r="P336" s="26" t="str">
        <f aca="false">IFERROR(IF($O336="","",IF((1-(COUNTIFS($B$2:$B$492,$B336,$O$2:$O$492,"&gt;"&amp;$O336)+1-1)/COUNTIF($B$2:$B$492,$B336))&gt;=0.85,"Top",IF((1-(COUNTIFS($B$2:$B$492,$B336,$O$2:$O$492,"&gt;"&amp;$O336)+1-1)/COUNTIF($B$2:$B$492,$B336))&gt;=0.6,"Buono",IF((1-(COUNTIFS($B$2:$B$492,$B336,$O$2:$O$492,"&gt;"&amp;$O336)+1-1)/COUNTIF($B$2:$B$492,$B336))&gt;=0.3,"Nella Media","Scommessa/Riserva")))),"")</f>
        <v>Scommessa/Riserva</v>
      </c>
      <c r="Q336" s="29" t="n">
        <f aca="false">IF($D336="",COUNTIF($D$2:$D336,""),"")</f>
        <v>335</v>
      </c>
      <c r="R336" s="29" t="str">
        <f aca="false">IF($D336='Info Lega'!$B$28,COUNTIFS($D$2:$D336,'Info Lega'!$B$28),"")</f>
        <v/>
      </c>
      <c r="S336" s="30" t="n">
        <f aca="false">IFERROR(INDEX('Input Statistiche 2025_26'!$G$3:$G$665,MATCH($A336,'Input Statistiche 2025_26'!$A$3:$A$665,0)),"")</f>
        <v>6.08</v>
      </c>
      <c r="T336" s="30" t="n">
        <f aca="false">IFERROR(INDEX('Input Statistiche 2025_26'!$H$3:$H$665,MATCH($A336,'Input Statistiche 2025_26'!$A$3:$A$665,0)),"")</f>
        <v>6.27</v>
      </c>
      <c r="U336" s="26" t="str">
        <f aca="false">IF(OR('La Mia Rosa'!$O$12="",$D336&lt;&gt;""),"",IF($F336&lt;='La Mia Rosa'!$O$12*'Parametri Modello'!$B$24,"OK",IF($F336&lt;='La Mia Rosa'!$O$12*'Parametri Modello'!$B$25,"Attenzione","Rischio Alto")))</f>
        <v>OK</v>
      </c>
      <c r="V336" s="26" t="n">
        <f aca="false">IFERROR(COUNTIFS($B$2:$B$492,$B336,$O$2:$O$492,"&gt;"&amp;$O336)+1,"")</f>
        <v>130</v>
      </c>
      <c r="W336" s="21" t="n">
        <f aca="false">'Info Lega'!$B$4-SUMIFS($M$2:$M$492,$D$2:$D$492,'Info Lega'!$B$28)</f>
        <v>1000</v>
      </c>
      <c r="X336" s="21" t="n">
        <f aca="false">('Info Lega'!$B$5-COUNTIFS($D$2:$D$492,'Info Lega'!$B$28,$B$2:$B$492,"P"))+('Info Lega'!$B$6-COUNTIFS($D$2:$D$492,'Info Lega'!$B$28,$B$2:$B$492,"D"))+('Info Lega'!$B$7-COUNTIFS($D$2:$D$492,'Info Lega'!$B$28,$B$2:$B$492,"C"))+('Info Lega'!$B$8-COUNTIFS($D$2:$D$492,'Info Lega'!$B$28,$B$2:$B$492,"A"))</f>
        <v>25</v>
      </c>
      <c r="Y336" s="21" t="n">
        <f aca="false">X336*'Parametri Modello'!$B$30</f>
        <v>25</v>
      </c>
      <c r="Z336" s="21" t="n">
        <f aca="false">MAX(0,W336-Y336)</f>
        <v>975</v>
      </c>
      <c r="AA336" s="21" t="n">
        <f aca="false">MIN(F336,Z336)</f>
        <v>1</v>
      </c>
      <c r="AB336" s="21"/>
      <c r="AC336" s="21" t="str">
        <f aca="false">IF(AB336="","",IF(AB336&gt;AA336,"PASS",IF(AB336&lt;=AA336*0.85,"BID","ATTENZIONE")))</f>
        <v/>
      </c>
      <c r="AD336" s="31" t="n">
        <f aca="false">IF(I336="","",ROUND(100*(1-EXP(-I336/30)),0))</f>
        <v>35</v>
      </c>
      <c r="AE336" s="7" t="str">
        <f aca="false">IFERROR(INDEX('Stato Asta'!$G$9:$G$12,MATCH($B336,'Stato Asta'!$A$9:$A$12,0)),"")</f>
        <v>🟡 Attesa rischiosa</v>
      </c>
    </row>
    <row r="337" customFormat="false" ht="14.25" hidden="false" customHeight="true" outlineLevel="0" collapsed="false">
      <c r="A337" s="21" t="n">
        <v>6243</v>
      </c>
      <c r="B337" s="21" t="s">
        <v>46</v>
      </c>
      <c r="C337" s="21" t="s">
        <v>598</v>
      </c>
      <c r="E337" s="26" t="str">
        <f aca="false">IF(COUNTIF('Info Strategia'!$D$2:$D$51,$C337)&gt;0,"SI","NO")</f>
        <v>NO</v>
      </c>
      <c r="F337" s="27" t="n">
        <f aca="false">IFERROR(ROUND(($G337+($H337-$G337)*'Info Strategia'!$B$6)*(1+IF($E337="SI",'Parametri Modello'!$B$7*'Info Strategia'!$B$6,0)),0),"")</f>
        <v>3</v>
      </c>
      <c r="G337" s="27" t="n">
        <f aca="false">IFERROR(ROUND(MAX(1,(IF($V337&lt;=INDEX('Parametri Modello'!$C$57:$C$60,MATCH($B337,'Parametri Modello'!$A$57:$A$60,0)),IF(INDEX('Parametri Modello'!$E$57:$E$60,MATCH($B337,'Parametri Modello'!$A$57:$A$60,0))=0,0,($O337/INDEX('Parametri Modello'!$E$57:$E$60,MATCH($B337,'Parametri Modello'!$A$57:$A$60,0)))*(INDEX('Parametri Modello'!$D$57:$D$60,MATCH($B337,'Parametri Modello'!$A$57:$A$60,0))*(INDEX('Parametri Modello'!$B$50:$B$53,MATCH($B337,'Parametri Modello'!$A$50:$A$53,0))*'Parametri Modello'!$B$44))),IF(INDEX('Parametri Modello'!$F$57:$F$60,MATCH($B337,'Parametri Modello'!$A$57:$A$60,0))=0,0,($O337/INDEX('Parametri Modello'!$F$57:$F$60,MATCH($B337,'Parametri Modello'!$A$57:$A$60,0)))*((1-INDEX('Parametri Modello'!$D$57:$D$60,MATCH($B337,'Parametri Modello'!$A$57:$A$60,0)))*(INDEX('Parametri Modello'!$B$50:$B$53,MATCH($B337,'Parametri Modello'!$A$50:$A$53,0))*'Parametri Modello'!$B$44))))*(1+IF(IF($B337="D",'Info Lega'!$B$25,IF($B337="C",'Info Lega'!$B$26,"No"))="Si",'Parametri Modello'!$B$5,0))*(1+MAX(-0.25,MIN(0.25,IF(OR($T337="",$I337="",$I337=0,INDEX('Parametri Modello'!$B$19:$B$22,MATCH($B337,'Parametri Modello'!$A$19:$A$22,0))="",INDEX('Parametri Modello'!$B$19:$B$22,MATCH($B337,'Parametri Modello'!$A$19:$A$22,0))=0),0,(($T337-INDEX('Parametri Modello'!$B$19:$B$22,MATCH($B337,'Parametri Modello'!$A$19:$A$22,0)))/INDEX('Parametri Modello'!$B$19:$B$22,MATCH($B337,'Parametri Modello'!$A$19:$A$22,0)))*'Parametri Modello'!$B$9))))*(1+IF('Parametri Modello'!$B$27="Si",MAX(-'Parametri Modello'!$B$28,MIN('Parametri Modello'!$B$28*1.5,IF(OR(INDEX('Parametri Modello'!$F$32:$F$35,MATCH($B337,'Parametri Modello'!$A$32:$A$35,0))="",INDEX('Parametri Modello'!$F$32:$F$35,MATCH($B337,'Parametri Modello'!$A$32:$A$35,0))=0),0,(1/INDEX('Parametri Modello'!$F$32:$F$35,MATCH($B337,'Parametri Modello'!$A$32:$A$35,0))-1)*'Parametri Modello'!$B$28))),0)))*(1-INDEX('Parametri Modello'!$B$12:$B$15,MATCH($B337,'Parametri Modello'!$A$12:$A$15,0)))),0),"")</f>
        <v>2</v>
      </c>
      <c r="H337" s="27" t="n">
        <f aca="false">IFERROR(ROUND((IF($V337&lt;=INDEX('Parametri Modello'!$C$57:$C$60,MATCH($B337,'Parametri Modello'!$A$57:$A$60,0)),IF(INDEX('Parametri Modello'!$E$57:$E$60,MATCH($B337,'Parametri Modello'!$A$57:$A$60,0))=0,0,($O337/INDEX('Parametri Modello'!$E$57:$E$60,MATCH($B337,'Parametri Modello'!$A$57:$A$60,0)))*(INDEX('Parametri Modello'!$D$57:$D$60,MATCH($B337,'Parametri Modello'!$A$57:$A$60,0))*(INDEX('Parametri Modello'!$B$50:$B$53,MATCH($B337,'Parametri Modello'!$A$50:$A$53,0))*'Parametri Modello'!$B$44))),IF(INDEX('Parametri Modello'!$F$57:$F$60,MATCH($B337,'Parametri Modello'!$A$57:$A$60,0))=0,0,($O337/INDEX('Parametri Modello'!$F$57:$F$60,MATCH($B337,'Parametri Modello'!$A$57:$A$60,0)))*((1-INDEX('Parametri Modello'!$D$57:$D$60,MATCH($B337,'Parametri Modello'!$A$57:$A$60,0)))*(INDEX('Parametri Modello'!$B$50:$B$53,MATCH($B337,'Parametri Modello'!$A$50:$A$53,0))*'Parametri Modello'!$B$44))))*(1+IF(IF($B337="D",'Info Lega'!$B$25,IF($B337="C",'Info Lega'!$B$26,"No"))="Si",'Parametri Modello'!$B$5,0))*(1+MAX(-0.25,MIN(0.25,IF(OR($T337="",$I337="",$I337=0,INDEX('Parametri Modello'!$B$19:$B$22,MATCH($B337,'Parametri Modello'!$A$19:$A$22,0))="",INDEX('Parametri Modello'!$B$19:$B$22,MATCH($B337,'Parametri Modello'!$A$19:$A$22,0))=0),0,(($T337-INDEX('Parametri Modello'!$B$19:$B$22,MATCH($B337,'Parametri Modello'!$A$19:$A$22,0)))/INDEX('Parametri Modello'!$B$19:$B$22,MATCH($B337,'Parametri Modello'!$A$19:$A$22,0)))*'Parametri Modello'!$B$9))))*(1+IF('Parametri Modello'!$B$27="Si",MAX(-'Parametri Modello'!$B$28,MIN('Parametri Modello'!$B$28*1.5,IF(OR(INDEX('Parametri Modello'!$F$32:$F$35,MATCH($B337,'Parametri Modello'!$A$32:$A$35,0))="",INDEX('Parametri Modello'!$F$32:$F$35,MATCH($B337,'Parametri Modello'!$A$32:$A$35,0))=0),0,(1/INDEX('Parametri Modello'!$F$32:$F$35,MATCH($B337,'Parametri Modello'!$A$32:$A$35,0))-1)*'Parametri Modello'!$B$28))),0)))*(1+INDEX('Parametri Modello'!$B$12:$B$15,MATCH($B337,'Parametri Modello'!$A$12:$A$15,0))),0),"")</f>
        <v>3</v>
      </c>
      <c r="I337" s="26" t="n">
        <f aca="false">IFERROR(INDEX('Input Statistiche 2025_26'!$F$3:$F$665,MATCH($A337,'Input Statistiche 2025_26'!$A$3:$A$665,0)),"")</f>
        <v>26</v>
      </c>
      <c r="J337" s="26" t="n">
        <f aca="false">IFERROR(IF($I337="","",MAX(0,38-$I337)),"")</f>
        <v>12</v>
      </c>
      <c r="K337" s="26" t="n">
        <f aca="false">IFERROR(INDEX('Input Statistiche 2025_26'!$I$3:$I$665,MATCH($A337,'Input Statistiche 2025_26'!$A$3:$A$665,0)),"")</f>
        <v>5</v>
      </c>
      <c r="L337" s="26" t="n">
        <f aca="false">IFERROR(INDEX('Input Statistiche 2025_26'!$O$3:$O$665,MATCH($A337,'Input Statistiche 2025_26'!$A$3:$A$665,0)),"")</f>
        <v>1</v>
      </c>
      <c r="M337" s="28"/>
      <c r="N337" s="27" t="n">
        <f aca="false">IFERROR(INDEX('Input Giocatori 2026_27'!$E$3:$E$493,MATCH($A337,'Input Giocatori 2026_27'!$A$3:$A$493,0)),"")</f>
        <v>4</v>
      </c>
      <c r="O337" s="27" t="n">
        <f aca="false">IFERROR(INDEX('Input Giocatori 2026_27'!$G$3:$G$493,MATCH($A337,'Input Giocatori 2026_27'!$A$3:$A$493,0)),"")</f>
        <v>9</v>
      </c>
      <c r="P337" s="26" t="str">
        <f aca="false">IFERROR(IF($O337="","",IF((1-(COUNTIFS($B$2:$B$492,$B337,$O$2:$O$492,"&gt;"&amp;$O337)+1-1)/COUNTIF($B$2:$B$492,$B337))&gt;=0.85,"Top",IF((1-(COUNTIFS($B$2:$B$492,$B337,$O$2:$O$492,"&gt;"&amp;$O337)+1-1)/COUNTIF($B$2:$B$492,$B337))&gt;=0.6,"Buono",IF((1-(COUNTIFS($B$2:$B$492,$B337,$O$2:$O$492,"&gt;"&amp;$O337)+1-1)/COUNTIF($B$2:$B$492,$B337))&gt;=0.3,"Nella Media","Scommessa/Riserva")))),"")</f>
        <v>Scommessa/Riserva</v>
      </c>
      <c r="Q337" s="29" t="n">
        <f aca="false">IF($D337="",COUNTIF($D$2:$D337,""),"")</f>
        <v>336</v>
      </c>
      <c r="R337" s="29" t="str">
        <f aca="false">IF($D337='Info Lega'!$B$28,COUNTIFS($D$2:$D337,'Info Lega'!$B$28),"")</f>
        <v/>
      </c>
      <c r="S337" s="30" t="n">
        <f aca="false">IFERROR(INDEX('Input Statistiche 2025_26'!$G$3:$G$665,MATCH($A337,'Input Statistiche 2025_26'!$A$3:$A$665,0)),"")</f>
        <v>5.92</v>
      </c>
      <c r="T337" s="30" t="n">
        <f aca="false">IFERROR(INDEX('Input Statistiche 2025_26'!$H$3:$H$665,MATCH($A337,'Input Statistiche 2025_26'!$A$3:$A$665,0)),"")</f>
        <v>6.46</v>
      </c>
      <c r="U337" s="26" t="str">
        <f aca="false">IF(OR('La Mia Rosa'!$O$12="",$D337&lt;&gt;""),"",IF($F337&lt;='La Mia Rosa'!$O$12*'Parametri Modello'!$B$24,"OK",IF($F337&lt;='La Mia Rosa'!$O$12*'Parametri Modello'!$B$25,"Attenzione","Rischio Alto")))</f>
        <v>OK</v>
      </c>
      <c r="V337" s="26" t="n">
        <f aca="false">IFERROR(COUNTIFS($B$2:$B$492,$B337,$O$2:$O$492,"&gt;"&amp;$O337)+1,"")</f>
        <v>68</v>
      </c>
      <c r="W337" s="21" t="n">
        <f aca="false">'Info Lega'!$B$4-SUMIFS($M$2:$M$492,$D$2:$D$492,'Info Lega'!$B$28)</f>
        <v>1000</v>
      </c>
      <c r="X337" s="21" t="n">
        <f aca="false">('Info Lega'!$B$5-COUNTIFS($D$2:$D$492,'Info Lega'!$B$28,$B$2:$B$492,"P"))+('Info Lega'!$B$6-COUNTIFS($D$2:$D$492,'Info Lega'!$B$28,$B$2:$B$492,"D"))+('Info Lega'!$B$7-COUNTIFS($D$2:$D$492,'Info Lega'!$B$28,$B$2:$B$492,"C"))+('Info Lega'!$B$8-COUNTIFS($D$2:$D$492,'Info Lega'!$B$28,$B$2:$B$492,"A"))</f>
        <v>25</v>
      </c>
      <c r="Y337" s="21" t="n">
        <f aca="false">X337*'Parametri Modello'!$B$30</f>
        <v>25</v>
      </c>
      <c r="Z337" s="21" t="n">
        <f aca="false">MAX(0,W337-Y337)</f>
        <v>975</v>
      </c>
      <c r="AA337" s="21" t="n">
        <f aca="false">MIN(F337,Z337)</f>
        <v>3</v>
      </c>
      <c r="AB337" s="21"/>
      <c r="AC337" s="21" t="str">
        <f aca="false">IF(AB337="","",IF(AB337&gt;AA337,"PASS",IF(AB337&lt;=AA337*0.85,"BID","ATTENZIONE")))</f>
        <v/>
      </c>
      <c r="AD337" s="31" t="n">
        <f aca="false">IF(I337="","",ROUND(100*(1-EXP(-I337/30)),0))</f>
        <v>58</v>
      </c>
      <c r="AE337" s="7" t="str">
        <f aca="false">IFERROR(INDEX('Stato Asta'!$G$9:$G$12,MATCH($B337,'Stato Asta'!$A$9:$A$12,0)),"")</f>
        <v>🔴 Non aspettare</v>
      </c>
    </row>
    <row r="338" customFormat="false" ht="14.25" hidden="false" customHeight="true" outlineLevel="0" collapsed="false">
      <c r="A338" s="21" t="n">
        <v>7374</v>
      </c>
      <c r="B338" s="21" t="s">
        <v>46</v>
      </c>
      <c r="C338" s="21" t="s">
        <v>599</v>
      </c>
      <c r="E338" s="26" t="str">
        <f aca="false">IF(COUNTIF('Info Strategia'!$D$2:$D$51,$C338)&gt;0,"SI","NO")</f>
        <v>NO</v>
      </c>
      <c r="F338" s="27" t="n">
        <f aca="false">IFERROR(ROUND(($G338+($H338-$G338)*'Info Strategia'!$B$6)*(1+IF($E338="SI",'Parametri Modello'!$B$7*'Info Strategia'!$B$6,0)),0),"")</f>
        <v>3</v>
      </c>
      <c r="G338" s="27" t="n">
        <f aca="false">IFERROR(ROUND(MAX(1,(IF($V338&lt;=INDEX('Parametri Modello'!$C$57:$C$60,MATCH($B338,'Parametri Modello'!$A$57:$A$60,0)),IF(INDEX('Parametri Modello'!$E$57:$E$60,MATCH($B338,'Parametri Modello'!$A$57:$A$60,0))=0,0,($O338/INDEX('Parametri Modello'!$E$57:$E$60,MATCH($B338,'Parametri Modello'!$A$57:$A$60,0)))*(INDEX('Parametri Modello'!$D$57:$D$60,MATCH($B338,'Parametri Modello'!$A$57:$A$60,0))*(INDEX('Parametri Modello'!$B$50:$B$53,MATCH($B338,'Parametri Modello'!$A$50:$A$53,0))*'Parametri Modello'!$B$44))),IF(INDEX('Parametri Modello'!$F$57:$F$60,MATCH($B338,'Parametri Modello'!$A$57:$A$60,0))=0,0,($O338/INDEX('Parametri Modello'!$F$57:$F$60,MATCH($B338,'Parametri Modello'!$A$57:$A$60,0)))*((1-INDEX('Parametri Modello'!$D$57:$D$60,MATCH($B338,'Parametri Modello'!$A$57:$A$60,0)))*(INDEX('Parametri Modello'!$B$50:$B$53,MATCH($B338,'Parametri Modello'!$A$50:$A$53,0))*'Parametri Modello'!$B$44))))*(1+IF(IF($B338="D",'Info Lega'!$B$25,IF($B338="C",'Info Lega'!$B$26,"No"))="Si",'Parametri Modello'!$B$5,0))*(1+MAX(-0.25,MIN(0.25,IF(OR($T338="",$I338="",$I338=0,INDEX('Parametri Modello'!$B$19:$B$22,MATCH($B338,'Parametri Modello'!$A$19:$A$22,0))="",INDEX('Parametri Modello'!$B$19:$B$22,MATCH($B338,'Parametri Modello'!$A$19:$A$22,0))=0),0,(($T338-INDEX('Parametri Modello'!$B$19:$B$22,MATCH($B338,'Parametri Modello'!$A$19:$A$22,0)))/INDEX('Parametri Modello'!$B$19:$B$22,MATCH($B338,'Parametri Modello'!$A$19:$A$22,0)))*'Parametri Modello'!$B$9))))*(1+IF('Parametri Modello'!$B$27="Si",MAX(-'Parametri Modello'!$B$28,MIN('Parametri Modello'!$B$28*1.5,IF(OR(INDEX('Parametri Modello'!$F$32:$F$35,MATCH($B338,'Parametri Modello'!$A$32:$A$35,0))="",INDEX('Parametri Modello'!$F$32:$F$35,MATCH($B338,'Parametri Modello'!$A$32:$A$35,0))=0),0,(1/INDEX('Parametri Modello'!$F$32:$F$35,MATCH($B338,'Parametri Modello'!$A$32:$A$35,0))-1)*'Parametri Modello'!$B$28))),0)))*(1-INDEX('Parametri Modello'!$B$12:$B$15,MATCH($B338,'Parametri Modello'!$A$12:$A$15,0)))),0),"")</f>
        <v>2</v>
      </c>
      <c r="H338" s="27" t="n">
        <f aca="false">IFERROR(ROUND((IF($V338&lt;=INDEX('Parametri Modello'!$C$57:$C$60,MATCH($B338,'Parametri Modello'!$A$57:$A$60,0)),IF(INDEX('Parametri Modello'!$E$57:$E$60,MATCH($B338,'Parametri Modello'!$A$57:$A$60,0))=0,0,($O338/INDEX('Parametri Modello'!$E$57:$E$60,MATCH($B338,'Parametri Modello'!$A$57:$A$60,0)))*(INDEX('Parametri Modello'!$D$57:$D$60,MATCH($B338,'Parametri Modello'!$A$57:$A$60,0))*(INDEX('Parametri Modello'!$B$50:$B$53,MATCH($B338,'Parametri Modello'!$A$50:$A$53,0))*'Parametri Modello'!$B$44))),IF(INDEX('Parametri Modello'!$F$57:$F$60,MATCH($B338,'Parametri Modello'!$A$57:$A$60,0))=0,0,($O338/INDEX('Parametri Modello'!$F$57:$F$60,MATCH($B338,'Parametri Modello'!$A$57:$A$60,0)))*((1-INDEX('Parametri Modello'!$D$57:$D$60,MATCH($B338,'Parametri Modello'!$A$57:$A$60,0)))*(INDEX('Parametri Modello'!$B$50:$B$53,MATCH($B338,'Parametri Modello'!$A$50:$A$53,0))*'Parametri Modello'!$B$44))))*(1+IF(IF($B338="D",'Info Lega'!$B$25,IF($B338="C",'Info Lega'!$B$26,"No"))="Si",'Parametri Modello'!$B$5,0))*(1+MAX(-0.25,MIN(0.25,IF(OR($T338="",$I338="",$I338=0,INDEX('Parametri Modello'!$B$19:$B$22,MATCH($B338,'Parametri Modello'!$A$19:$A$22,0))="",INDEX('Parametri Modello'!$B$19:$B$22,MATCH($B338,'Parametri Modello'!$A$19:$A$22,0))=0),0,(($T338-INDEX('Parametri Modello'!$B$19:$B$22,MATCH($B338,'Parametri Modello'!$A$19:$A$22,0)))/INDEX('Parametri Modello'!$B$19:$B$22,MATCH($B338,'Parametri Modello'!$A$19:$A$22,0)))*'Parametri Modello'!$B$9))))*(1+IF('Parametri Modello'!$B$27="Si",MAX(-'Parametri Modello'!$B$28,MIN('Parametri Modello'!$B$28*1.5,IF(OR(INDEX('Parametri Modello'!$F$32:$F$35,MATCH($B338,'Parametri Modello'!$A$32:$A$35,0))="",INDEX('Parametri Modello'!$F$32:$F$35,MATCH($B338,'Parametri Modello'!$A$32:$A$35,0))=0),0,(1/INDEX('Parametri Modello'!$F$32:$F$35,MATCH($B338,'Parametri Modello'!$A$32:$A$35,0))-1)*'Parametri Modello'!$B$28))),0)))*(1+INDEX('Parametri Modello'!$B$12:$B$15,MATCH($B338,'Parametri Modello'!$A$12:$A$15,0))),0),"")</f>
        <v>3</v>
      </c>
      <c r="I338" s="26" t="n">
        <f aca="false">IFERROR(INDEX('Input Statistiche 2025_26'!$F$3:$F$665,MATCH($A338,'Input Statistiche 2025_26'!$A$3:$A$665,0)),"")</f>
        <v>8</v>
      </c>
      <c r="J338" s="26" t="n">
        <f aca="false">IFERROR(IF($I338="","",MAX(0,38-$I338)),"")</f>
        <v>30</v>
      </c>
      <c r="K338" s="26" t="n">
        <f aca="false">IFERROR(INDEX('Input Statistiche 2025_26'!$I$3:$I$665,MATCH($A338,'Input Statistiche 2025_26'!$A$3:$A$665,0)),"")</f>
        <v>2</v>
      </c>
      <c r="L338" s="26" t="n">
        <f aca="false">IFERROR(INDEX('Input Statistiche 2025_26'!$O$3:$O$665,MATCH($A338,'Input Statistiche 2025_26'!$A$3:$A$665,0)),"")</f>
        <v>0</v>
      </c>
      <c r="M338" s="28"/>
      <c r="N338" s="27" t="n">
        <f aca="false">IFERROR(INDEX('Input Giocatori 2026_27'!$E$3:$E$493,MATCH($A338,'Input Giocatori 2026_27'!$A$3:$A$493,0)),"")</f>
        <v>4</v>
      </c>
      <c r="O338" s="27" t="n">
        <f aca="false">IFERROR(INDEX('Input Giocatori 2026_27'!$G$3:$G$493,MATCH($A338,'Input Giocatori 2026_27'!$A$3:$A$493,0)),"")</f>
        <v>9</v>
      </c>
      <c r="P338" s="26" t="str">
        <f aca="false">IFERROR(IF($O338="","",IF((1-(COUNTIFS($B$2:$B$492,$B338,$O$2:$O$492,"&gt;"&amp;$O338)+1-1)/COUNTIF($B$2:$B$492,$B338))&gt;=0.85,"Top",IF((1-(COUNTIFS($B$2:$B$492,$B338,$O$2:$O$492,"&gt;"&amp;$O338)+1-1)/COUNTIF($B$2:$B$492,$B338))&gt;=0.6,"Buono",IF((1-(COUNTIFS($B$2:$B$492,$B338,$O$2:$O$492,"&gt;"&amp;$O338)+1-1)/COUNTIF($B$2:$B$492,$B338))&gt;=0.3,"Nella Media","Scommessa/Riserva")))),"")</f>
        <v>Scommessa/Riserva</v>
      </c>
      <c r="Q338" s="29" t="n">
        <f aca="false">IF($D338="",COUNTIF($D$2:$D338,""),"")</f>
        <v>337</v>
      </c>
      <c r="R338" s="29" t="str">
        <f aca="false">IF($D338='Info Lega'!$B$28,COUNTIFS($D$2:$D338,'Info Lega'!$B$28),"")</f>
        <v/>
      </c>
      <c r="S338" s="30" t="n">
        <f aca="false">IFERROR(INDEX('Input Statistiche 2025_26'!$G$3:$G$665,MATCH($A338,'Input Statistiche 2025_26'!$A$3:$A$665,0)),"")</f>
        <v>5.94</v>
      </c>
      <c r="T338" s="30" t="n">
        <f aca="false">IFERROR(INDEX('Input Statistiche 2025_26'!$H$3:$H$665,MATCH($A338,'Input Statistiche 2025_26'!$A$3:$A$665,0)),"")</f>
        <v>6.62</v>
      </c>
      <c r="U338" s="26" t="str">
        <f aca="false">IF(OR('La Mia Rosa'!$O$12="",$D338&lt;&gt;""),"",IF($F338&lt;='La Mia Rosa'!$O$12*'Parametri Modello'!$B$24,"OK",IF($F338&lt;='La Mia Rosa'!$O$12*'Parametri Modello'!$B$25,"Attenzione","Rischio Alto")))</f>
        <v>OK</v>
      </c>
      <c r="V338" s="26" t="n">
        <f aca="false">IFERROR(COUNTIFS($B$2:$B$492,$B338,$O$2:$O$492,"&gt;"&amp;$O338)+1,"")</f>
        <v>68</v>
      </c>
      <c r="W338" s="21" t="n">
        <f aca="false">'Info Lega'!$B$4-SUMIFS($M$2:$M$492,$D$2:$D$492,'Info Lega'!$B$28)</f>
        <v>1000</v>
      </c>
      <c r="X338" s="21" t="n">
        <f aca="false">('Info Lega'!$B$5-COUNTIFS($D$2:$D$492,'Info Lega'!$B$28,$B$2:$B$492,"P"))+('Info Lega'!$B$6-COUNTIFS($D$2:$D$492,'Info Lega'!$B$28,$B$2:$B$492,"D"))+('Info Lega'!$B$7-COUNTIFS($D$2:$D$492,'Info Lega'!$B$28,$B$2:$B$492,"C"))+('Info Lega'!$B$8-COUNTIFS($D$2:$D$492,'Info Lega'!$B$28,$B$2:$B$492,"A"))</f>
        <v>25</v>
      </c>
      <c r="Y338" s="21" t="n">
        <f aca="false">X338*'Parametri Modello'!$B$30</f>
        <v>25</v>
      </c>
      <c r="Z338" s="21" t="n">
        <f aca="false">MAX(0,W338-Y338)</f>
        <v>975</v>
      </c>
      <c r="AA338" s="21" t="n">
        <f aca="false">MIN(F338,Z338)</f>
        <v>3</v>
      </c>
      <c r="AB338" s="21"/>
      <c r="AC338" s="21" t="str">
        <f aca="false">IF(AB338="","",IF(AB338&gt;AA338,"PASS",IF(AB338&lt;=AA338*0.85,"BID","ATTENZIONE")))</f>
        <v/>
      </c>
      <c r="AD338" s="31" t="n">
        <f aca="false">IF(I338="","",ROUND(100*(1-EXP(-I338/30)),0))</f>
        <v>23</v>
      </c>
      <c r="AE338" s="7" t="str">
        <f aca="false">IFERROR(INDEX('Stato Asta'!$G$9:$G$12,MATCH($B338,'Stato Asta'!$A$9:$A$12,0)),"")</f>
        <v>🔴 Non aspettare</v>
      </c>
    </row>
    <row r="339" customFormat="false" ht="14.25" hidden="false" customHeight="true" outlineLevel="0" collapsed="false">
      <c r="A339" s="21" t="n">
        <v>7453</v>
      </c>
      <c r="B339" s="21" t="s">
        <v>46</v>
      </c>
      <c r="C339" s="21" t="s">
        <v>602</v>
      </c>
      <c r="E339" s="26" t="str">
        <f aca="false">IF(COUNTIF('Info Strategia'!$D$2:$D$51,$C339)&gt;0,"SI","NO")</f>
        <v>NO</v>
      </c>
      <c r="F339" s="27" t="n">
        <f aca="false">IFERROR(ROUND(($G339+($H339-$G339)*'Info Strategia'!$B$6)*(1+IF($E339="SI",'Parametri Modello'!$B$7*'Info Strategia'!$B$6,0)),0),"")</f>
        <v>3</v>
      </c>
      <c r="G339" s="27" t="n">
        <f aca="false">IFERROR(ROUND(MAX(1,(IF($V339&lt;=INDEX('Parametri Modello'!$C$57:$C$60,MATCH($B339,'Parametri Modello'!$A$57:$A$60,0)),IF(INDEX('Parametri Modello'!$E$57:$E$60,MATCH($B339,'Parametri Modello'!$A$57:$A$60,0))=0,0,($O339/INDEX('Parametri Modello'!$E$57:$E$60,MATCH($B339,'Parametri Modello'!$A$57:$A$60,0)))*(INDEX('Parametri Modello'!$D$57:$D$60,MATCH($B339,'Parametri Modello'!$A$57:$A$60,0))*(INDEX('Parametri Modello'!$B$50:$B$53,MATCH($B339,'Parametri Modello'!$A$50:$A$53,0))*'Parametri Modello'!$B$44))),IF(INDEX('Parametri Modello'!$F$57:$F$60,MATCH($B339,'Parametri Modello'!$A$57:$A$60,0))=0,0,($O339/INDEX('Parametri Modello'!$F$57:$F$60,MATCH($B339,'Parametri Modello'!$A$57:$A$60,0)))*((1-INDEX('Parametri Modello'!$D$57:$D$60,MATCH($B339,'Parametri Modello'!$A$57:$A$60,0)))*(INDEX('Parametri Modello'!$B$50:$B$53,MATCH($B339,'Parametri Modello'!$A$50:$A$53,0))*'Parametri Modello'!$B$44))))*(1+IF(IF($B339="D",'Info Lega'!$B$25,IF($B339="C",'Info Lega'!$B$26,"No"))="Si",'Parametri Modello'!$B$5,0))*(1+MAX(-0.25,MIN(0.25,IF(OR($T339="",$I339="",$I339=0,INDEX('Parametri Modello'!$B$19:$B$22,MATCH($B339,'Parametri Modello'!$A$19:$A$22,0))="",INDEX('Parametri Modello'!$B$19:$B$22,MATCH($B339,'Parametri Modello'!$A$19:$A$22,0))=0),0,(($T339-INDEX('Parametri Modello'!$B$19:$B$22,MATCH($B339,'Parametri Modello'!$A$19:$A$22,0)))/INDEX('Parametri Modello'!$B$19:$B$22,MATCH($B339,'Parametri Modello'!$A$19:$A$22,0)))*'Parametri Modello'!$B$9))))*(1+IF('Parametri Modello'!$B$27="Si",MAX(-'Parametri Modello'!$B$28,MIN('Parametri Modello'!$B$28*1.5,IF(OR(INDEX('Parametri Modello'!$F$32:$F$35,MATCH($B339,'Parametri Modello'!$A$32:$A$35,0))="",INDEX('Parametri Modello'!$F$32:$F$35,MATCH($B339,'Parametri Modello'!$A$32:$A$35,0))=0),0,(1/INDEX('Parametri Modello'!$F$32:$F$35,MATCH($B339,'Parametri Modello'!$A$32:$A$35,0))-1)*'Parametri Modello'!$B$28))),0)))*(1-INDEX('Parametri Modello'!$B$12:$B$15,MATCH($B339,'Parametri Modello'!$A$12:$A$15,0)))),0),"")</f>
        <v>2</v>
      </c>
      <c r="H339" s="27" t="n">
        <f aca="false">IFERROR(ROUND((IF($V339&lt;=INDEX('Parametri Modello'!$C$57:$C$60,MATCH($B339,'Parametri Modello'!$A$57:$A$60,0)),IF(INDEX('Parametri Modello'!$E$57:$E$60,MATCH($B339,'Parametri Modello'!$A$57:$A$60,0))=0,0,($O339/INDEX('Parametri Modello'!$E$57:$E$60,MATCH($B339,'Parametri Modello'!$A$57:$A$60,0)))*(INDEX('Parametri Modello'!$D$57:$D$60,MATCH($B339,'Parametri Modello'!$A$57:$A$60,0))*(INDEX('Parametri Modello'!$B$50:$B$53,MATCH($B339,'Parametri Modello'!$A$50:$A$53,0))*'Parametri Modello'!$B$44))),IF(INDEX('Parametri Modello'!$F$57:$F$60,MATCH($B339,'Parametri Modello'!$A$57:$A$60,0))=0,0,($O339/INDEX('Parametri Modello'!$F$57:$F$60,MATCH($B339,'Parametri Modello'!$A$57:$A$60,0)))*((1-INDEX('Parametri Modello'!$D$57:$D$60,MATCH($B339,'Parametri Modello'!$A$57:$A$60,0)))*(INDEX('Parametri Modello'!$B$50:$B$53,MATCH($B339,'Parametri Modello'!$A$50:$A$53,0))*'Parametri Modello'!$B$44))))*(1+IF(IF($B339="D",'Info Lega'!$B$25,IF($B339="C",'Info Lega'!$B$26,"No"))="Si",'Parametri Modello'!$B$5,0))*(1+MAX(-0.25,MIN(0.25,IF(OR($T339="",$I339="",$I339=0,INDEX('Parametri Modello'!$B$19:$B$22,MATCH($B339,'Parametri Modello'!$A$19:$A$22,0))="",INDEX('Parametri Modello'!$B$19:$B$22,MATCH($B339,'Parametri Modello'!$A$19:$A$22,0))=0),0,(($T339-INDEX('Parametri Modello'!$B$19:$B$22,MATCH($B339,'Parametri Modello'!$A$19:$A$22,0)))/INDEX('Parametri Modello'!$B$19:$B$22,MATCH($B339,'Parametri Modello'!$A$19:$A$22,0)))*'Parametri Modello'!$B$9))))*(1+IF('Parametri Modello'!$B$27="Si",MAX(-'Parametri Modello'!$B$28,MIN('Parametri Modello'!$B$28*1.5,IF(OR(INDEX('Parametri Modello'!$F$32:$F$35,MATCH($B339,'Parametri Modello'!$A$32:$A$35,0))="",INDEX('Parametri Modello'!$F$32:$F$35,MATCH($B339,'Parametri Modello'!$A$32:$A$35,0))=0),0,(1/INDEX('Parametri Modello'!$F$32:$F$35,MATCH($B339,'Parametri Modello'!$A$32:$A$35,0))-1)*'Parametri Modello'!$B$28))),0)))*(1+INDEX('Parametri Modello'!$B$12:$B$15,MATCH($B339,'Parametri Modello'!$A$12:$A$15,0))),0),"")</f>
        <v>3</v>
      </c>
      <c r="I339" s="26" t="str">
        <f aca="false">IFERROR(INDEX('Input Statistiche 2025_26'!$F$3:$F$665,MATCH($A339,'Input Statistiche 2025_26'!$A$3:$A$665,0)),"")</f>
        <v/>
      </c>
      <c r="J339" s="26" t="str">
        <f aca="false">IFERROR(IF($I339="","",MAX(0,38-$I339)),"")</f>
        <v/>
      </c>
      <c r="K339" s="26" t="str">
        <f aca="false">IFERROR(INDEX('Input Statistiche 2025_26'!$I$3:$I$665,MATCH($A339,'Input Statistiche 2025_26'!$A$3:$A$665,0)),"")</f>
        <v/>
      </c>
      <c r="L339" s="26" t="str">
        <f aca="false">IFERROR(INDEX('Input Statistiche 2025_26'!$O$3:$O$665,MATCH($A339,'Input Statistiche 2025_26'!$A$3:$A$665,0)),"")</f>
        <v/>
      </c>
      <c r="M339" s="28"/>
      <c r="N339" s="27" t="n">
        <f aca="false">IFERROR(INDEX('Input Giocatori 2026_27'!$E$3:$E$493,MATCH($A339,'Input Giocatori 2026_27'!$A$3:$A$493,0)),"")</f>
        <v>4</v>
      </c>
      <c r="O339" s="27" t="n">
        <f aca="false">IFERROR(INDEX('Input Giocatori 2026_27'!$G$3:$G$493,MATCH($A339,'Input Giocatori 2026_27'!$A$3:$A$493,0)),"")</f>
        <v>9</v>
      </c>
      <c r="P339" s="26" t="str">
        <f aca="false">IFERROR(IF($O339="","",IF((1-(COUNTIFS($B$2:$B$492,$B339,$O$2:$O$492,"&gt;"&amp;$O339)+1-1)/COUNTIF($B$2:$B$492,$B339))&gt;=0.85,"Top",IF((1-(COUNTIFS($B$2:$B$492,$B339,$O$2:$O$492,"&gt;"&amp;$O339)+1-1)/COUNTIF($B$2:$B$492,$B339))&gt;=0.6,"Buono",IF((1-(COUNTIFS($B$2:$B$492,$B339,$O$2:$O$492,"&gt;"&amp;$O339)+1-1)/COUNTIF($B$2:$B$492,$B339))&gt;=0.3,"Nella Media","Scommessa/Riserva")))),"")</f>
        <v>Scommessa/Riserva</v>
      </c>
      <c r="Q339" s="29" t="n">
        <f aca="false">IF($D339="",COUNTIF($D$2:$D339,""),"")</f>
        <v>338</v>
      </c>
      <c r="R339" s="29" t="str">
        <f aca="false">IF($D339='Info Lega'!$B$28,COUNTIFS($D$2:$D339,'Info Lega'!$B$28),"")</f>
        <v/>
      </c>
      <c r="S339" s="30" t="str">
        <f aca="false">IFERROR(INDEX('Input Statistiche 2025_26'!$G$3:$G$665,MATCH($A339,'Input Statistiche 2025_26'!$A$3:$A$665,0)),"")</f>
        <v/>
      </c>
      <c r="T339" s="30" t="str">
        <f aca="false">IFERROR(INDEX('Input Statistiche 2025_26'!$H$3:$H$665,MATCH($A339,'Input Statistiche 2025_26'!$A$3:$A$665,0)),"")</f>
        <v/>
      </c>
      <c r="U339" s="26" t="str">
        <f aca="false">IF(OR('La Mia Rosa'!$O$12="",$D339&lt;&gt;""),"",IF($F339&lt;='La Mia Rosa'!$O$12*'Parametri Modello'!$B$24,"OK",IF($F339&lt;='La Mia Rosa'!$O$12*'Parametri Modello'!$B$25,"Attenzione","Rischio Alto")))</f>
        <v>OK</v>
      </c>
      <c r="V339" s="26" t="n">
        <f aca="false">IFERROR(COUNTIFS($B$2:$B$492,$B339,$O$2:$O$492,"&gt;"&amp;$O339)+1,"")</f>
        <v>68</v>
      </c>
      <c r="W339" s="21" t="n">
        <f aca="false">'Info Lega'!$B$4-SUMIFS($M$2:$M$492,$D$2:$D$492,'Info Lega'!$B$28)</f>
        <v>1000</v>
      </c>
      <c r="X339" s="21" t="n">
        <f aca="false">('Info Lega'!$B$5-COUNTIFS($D$2:$D$492,'Info Lega'!$B$28,$B$2:$B$492,"P"))+('Info Lega'!$B$6-COUNTIFS($D$2:$D$492,'Info Lega'!$B$28,$B$2:$B$492,"D"))+('Info Lega'!$B$7-COUNTIFS($D$2:$D$492,'Info Lega'!$B$28,$B$2:$B$492,"C"))+('Info Lega'!$B$8-COUNTIFS($D$2:$D$492,'Info Lega'!$B$28,$B$2:$B$492,"A"))</f>
        <v>25</v>
      </c>
      <c r="Y339" s="21" t="n">
        <f aca="false">X339*'Parametri Modello'!$B$30</f>
        <v>25</v>
      </c>
      <c r="Z339" s="21" t="n">
        <f aca="false">MAX(0,W339-Y339)</f>
        <v>975</v>
      </c>
      <c r="AA339" s="21" t="n">
        <f aca="false">MIN(F339,Z339)</f>
        <v>3</v>
      </c>
      <c r="AB339" s="21"/>
      <c r="AC339" s="21" t="str">
        <f aca="false">IF(AB339="","",IF(AB339&gt;AA339,"PASS",IF(AB339&lt;=AA339*0.85,"BID","ATTENZIONE")))</f>
        <v/>
      </c>
      <c r="AD339" s="31" t="str">
        <f aca="false">IF(I339="","",ROUND(100*(1-EXP(-I339/30)),0))</f>
        <v/>
      </c>
      <c r="AE339" s="7" t="str">
        <f aca="false">IFERROR(INDEX('Stato Asta'!$G$9:$G$12,MATCH($B339,'Stato Asta'!$A$9:$A$12,0)),"")</f>
        <v>🔴 Non aspettare</v>
      </c>
    </row>
    <row r="340" customFormat="false" ht="14.25" hidden="false" customHeight="true" outlineLevel="0" collapsed="false">
      <c r="A340" s="21" t="n">
        <v>7349</v>
      </c>
      <c r="B340" s="21" t="s">
        <v>46</v>
      </c>
      <c r="C340" s="21" t="s">
        <v>604</v>
      </c>
      <c r="E340" s="26" t="str">
        <f aca="false">IF(COUNTIF('Info Strategia'!$D$2:$D$51,$C340)&gt;0,"SI","NO")</f>
        <v>NO</v>
      </c>
      <c r="F340" s="27" t="n">
        <f aca="false">IFERROR(ROUND(($G340+($H340-$G340)*'Info Strategia'!$B$6)*(1+IF($E340="SI",'Parametri Modello'!$B$7*'Info Strategia'!$B$6,0)),0),"")</f>
        <v>3</v>
      </c>
      <c r="G340" s="27" t="n">
        <f aca="false">IFERROR(ROUND(MAX(1,(IF($V340&lt;=INDEX('Parametri Modello'!$C$57:$C$60,MATCH($B340,'Parametri Modello'!$A$57:$A$60,0)),IF(INDEX('Parametri Modello'!$E$57:$E$60,MATCH($B340,'Parametri Modello'!$A$57:$A$60,0))=0,0,($O340/INDEX('Parametri Modello'!$E$57:$E$60,MATCH($B340,'Parametri Modello'!$A$57:$A$60,0)))*(INDEX('Parametri Modello'!$D$57:$D$60,MATCH($B340,'Parametri Modello'!$A$57:$A$60,0))*(INDEX('Parametri Modello'!$B$50:$B$53,MATCH($B340,'Parametri Modello'!$A$50:$A$53,0))*'Parametri Modello'!$B$44))),IF(INDEX('Parametri Modello'!$F$57:$F$60,MATCH($B340,'Parametri Modello'!$A$57:$A$60,0))=0,0,($O340/INDEX('Parametri Modello'!$F$57:$F$60,MATCH($B340,'Parametri Modello'!$A$57:$A$60,0)))*((1-INDEX('Parametri Modello'!$D$57:$D$60,MATCH($B340,'Parametri Modello'!$A$57:$A$60,0)))*(INDEX('Parametri Modello'!$B$50:$B$53,MATCH($B340,'Parametri Modello'!$A$50:$A$53,0))*'Parametri Modello'!$B$44))))*(1+IF(IF($B340="D",'Info Lega'!$B$25,IF($B340="C",'Info Lega'!$B$26,"No"))="Si",'Parametri Modello'!$B$5,0))*(1+MAX(-0.25,MIN(0.25,IF(OR($T340="",$I340="",$I340=0,INDEX('Parametri Modello'!$B$19:$B$22,MATCH($B340,'Parametri Modello'!$A$19:$A$22,0))="",INDEX('Parametri Modello'!$B$19:$B$22,MATCH($B340,'Parametri Modello'!$A$19:$A$22,0))=0),0,(($T340-INDEX('Parametri Modello'!$B$19:$B$22,MATCH($B340,'Parametri Modello'!$A$19:$A$22,0)))/INDEX('Parametri Modello'!$B$19:$B$22,MATCH($B340,'Parametri Modello'!$A$19:$A$22,0)))*'Parametri Modello'!$B$9))))*(1+IF('Parametri Modello'!$B$27="Si",MAX(-'Parametri Modello'!$B$28,MIN('Parametri Modello'!$B$28*1.5,IF(OR(INDEX('Parametri Modello'!$F$32:$F$35,MATCH($B340,'Parametri Modello'!$A$32:$A$35,0))="",INDEX('Parametri Modello'!$F$32:$F$35,MATCH($B340,'Parametri Modello'!$A$32:$A$35,0))=0),0,(1/INDEX('Parametri Modello'!$F$32:$F$35,MATCH($B340,'Parametri Modello'!$A$32:$A$35,0))-1)*'Parametri Modello'!$B$28))),0)))*(1-INDEX('Parametri Modello'!$B$12:$B$15,MATCH($B340,'Parametri Modello'!$A$12:$A$15,0)))),0),"")</f>
        <v>2</v>
      </c>
      <c r="H340" s="27" t="n">
        <f aca="false">IFERROR(ROUND((IF($V340&lt;=INDEX('Parametri Modello'!$C$57:$C$60,MATCH($B340,'Parametri Modello'!$A$57:$A$60,0)),IF(INDEX('Parametri Modello'!$E$57:$E$60,MATCH($B340,'Parametri Modello'!$A$57:$A$60,0))=0,0,($O340/INDEX('Parametri Modello'!$E$57:$E$60,MATCH($B340,'Parametri Modello'!$A$57:$A$60,0)))*(INDEX('Parametri Modello'!$D$57:$D$60,MATCH($B340,'Parametri Modello'!$A$57:$A$60,0))*(INDEX('Parametri Modello'!$B$50:$B$53,MATCH($B340,'Parametri Modello'!$A$50:$A$53,0))*'Parametri Modello'!$B$44))),IF(INDEX('Parametri Modello'!$F$57:$F$60,MATCH($B340,'Parametri Modello'!$A$57:$A$60,0))=0,0,($O340/INDEX('Parametri Modello'!$F$57:$F$60,MATCH($B340,'Parametri Modello'!$A$57:$A$60,0)))*((1-INDEX('Parametri Modello'!$D$57:$D$60,MATCH($B340,'Parametri Modello'!$A$57:$A$60,0)))*(INDEX('Parametri Modello'!$B$50:$B$53,MATCH($B340,'Parametri Modello'!$A$50:$A$53,0))*'Parametri Modello'!$B$44))))*(1+IF(IF($B340="D",'Info Lega'!$B$25,IF($B340="C",'Info Lega'!$B$26,"No"))="Si",'Parametri Modello'!$B$5,0))*(1+MAX(-0.25,MIN(0.25,IF(OR($T340="",$I340="",$I340=0,INDEX('Parametri Modello'!$B$19:$B$22,MATCH($B340,'Parametri Modello'!$A$19:$A$22,0))="",INDEX('Parametri Modello'!$B$19:$B$22,MATCH($B340,'Parametri Modello'!$A$19:$A$22,0))=0),0,(($T340-INDEX('Parametri Modello'!$B$19:$B$22,MATCH($B340,'Parametri Modello'!$A$19:$A$22,0)))/INDEX('Parametri Modello'!$B$19:$B$22,MATCH($B340,'Parametri Modello'!$A$19:$A$22,0)))*'Parametri Modello'!$B$9))))*(1+IF('Parametri Modello'!$B$27="Si",MAX(-'Parametri Modello'!$B$28,MIN('Parametri Modello'!$B$28*1.5,IF(OR(INDEX('Parametri Modello'!$F$32:$F$35,MATCH($B340,'Parametri Modello'!$A$32:$A$35,0))="",INDEX('Parametri Modello'!$F$32:$F$35,MATCH($B340,'Parametri Modello'!$A$32:$A$35,0))=0),0,(1/INDEX('Parametri Modello'!$F$32:$F$35,MATCH($B340,'Parametri Modello'!$A$32:$A$35,0))-1)*'Parametri Modello'!$B$28))),0)))*(1+INDEX('Parametri Modello'!$B$12:$B$15,MATCH($B340,'Parametri Modello'!$A$12:$A$15,0))),0),"")</f>
        <v>3</v>
      </c>
      <c r="I340" s="26" t="n">
        <f aca="false">IFERROR(INDEX('Input Statistiche 2025_26'!$F$3:$F$665,MATCH($A340,'Input Statistiche 2025_26'!$A$3:$A$665,0)),"")</f>
        <v>7</v>
      </c>
      <c r="J340" s="26" t="n">
        <f aca="false">IFERROR(IF($I340="","",MAX(0,38-$I340)),"")</f>
        <v>31</v>
      </c>
      <c r="K340" s="26" t="n">
        <f aca="false">IFERROR(INDEX('Input Statistiche 2025_26'!$I$3:$I$665,MATCH($A340,'Input Statistiche 2025_26'!$A$3:$A$665,0)),"")</f>
        <v>0</v>
      </c>
      <c r="L340" s="26" t="n">
        <f aca="false">IFERROR(INDEX('Input Statistiche 2025_26'!$O$3:$O$665,MATCH($A340,'Input Statistiche 2025_26'!$A$3:$A$665,0)),"")</f>
        <v>1</v>
      </c>
      <c r="M340" s="28"/>
      <c r="N340" s="27" t="n">
        <f aca="false">IFERROR(INDEX('Input Giocatori 2026_27'!$E$3:$E$493,MATCH($A340,'Input Giocatori 2026_27'!$A$3:$A$493,0)),"")</f>
        <v>4</v>
      </c>
      <c r="O340" s="27" t="n">
        <f aca="false">IFERROR(INDEX('Input Giocatori 2026_27'!$G$3:$G$493,MATCH($A340,'Input Giocatori 2026_27'!$A$3:$A$493,0)),"")</f>
        <v>9</v>
      </c>
      <c r="P340" s="26" t="str">
        <f aca="false">IFERROR(IF($O340="","",IF((1-(COUNTIFS($B$2:$B$492,$B340,$O$2:$O$492,"&gt;"&amp;$O340)+1-1)/COUNTIF($B$2:$B$492,$B340))&gt;=0.85,"Top",IF((1-(COUNTIFS($B$2:$B$492,$B340,$O$2:$O$492,"&gt;"&amp;$O340)+1-1)/COUNTIF($B$2:$B$492,$B340))&gt;=0.6,"Buono",IF((1-(COUNTIFS($B$2:$B$492,$B340,$O$2:$O$492,"&gt;"&amp;$O340)+1-1)/COUNTIF($B$2:$B$492,$B340))&gt;=0.3,"Nella Media","Scommessa/Riserva")))),"")</f>
        <v>Scommessa/Riserva</v>
      </c>
      <c r="Q340" s="29" t="n">
        <f aca="false">IF($D340="",COUNTIF($D$2:$D340,""),"")</f>
        <v>339</v>
      </c>
      <c r="R340" s="29" t="str">
        <f aca="false">IF($D340='Info Lega'!$B$28,COUNTIFS($D$2:$D340,'Info Lega'!$B$28),"")</f>
        <v/>
      </c>
      <c r="S340" s="30" t="n">
        <f aca="false">IFERROR(INDEX('Input Statistiche 2025_26'!$G$3:$G$665,MATCH($A340,'Input Statistiche 2025_26'!$A$3:$A$665,0)),"")</f>
        <v>5.71</v>
      </c>
      <c r="T340" s="30" t="n">
        <f aca="false">IFERROR(INDEX('Input Statistiche 2025_26'!$H$3:$H$665,MATCH($A340,'Input Statistiche 2025_26'!$A$3:$A$665,0)),"")</f>
        <v>5.79</v>
      </c>
      <c r="U340" s="26" t="str">
        <f aca="false">IF(OR('La Mia Rosa'!$O$12="",$D340&lt;&gt;""),"",IF($F340&lt;='La Mia Rosa'!$O$12*'Parametri Modello'!$B$24,"OK",IF($F340&lt;='La Mia Rosa'!$O$12*'Parametri Modello'!$B$25,"Attenzione","Rischio Alto")))</f>
        <v>OK</v>
      </c>
      <c r="V340" s="26" t="n">
        <f aca="false">IFERROR(COUNTIFS($B$2:$B$492,$B340,$O$2:$O$492,"&gt;"&amp;$O340)+1,"")</f>
        <v>68</v>
      </c>
      <c r="W340" s="21" t="n">
        <f aca="false">'Info Lega'!$B$4-SUMIFS($M$2:$M$492,$D$2:$D$492,'Info Lega'!$B$28)</f>
        <v>1000</v>
      </c>
      <c r="X340" s="21" t="n">
        <f aca="false">('Info Lega'!$B$5-COUNTIFS($D$2:$D$492,'Info Lega'!$B$28,$B$2:$B$492,"P"))+('Info Lega'!$B$6-COUNTIFS($D$2:$D$492,'Info Lega'!$B$28,$B$2:$B$492,"D"))+('Info Lega'!$B$7-COUNTIFS($D$2:$D$492,'Info Lega'!$B$28,$B$2:$B$492,"C"))+('Info Lega'!$B$8-COUNTIFS($D$2:$D$492,'Info Lega'!$B$28,$B$2:$B$492,"A"))</f>
        <v>25</v>
      </c>
      <c r="Y340" s="21" t="n">
        <f aca="false">X340*'Parametri Modello'!$B$30</f>
        <v>25</v>
      </c>
      <c r="Z340" s="21" t="n">
        <f aca="false">MAX(0,W340-Y340)</f>
        <v>975</v>
      </c>
      <c r="AA340" s="21" t="n">
        <f aca="false">MIN(F340,Z340)</f>
        <v>3</v>
      </c>
      <c r="AB340" s="21"/>
      <c r="AC340" s="21" t="str">
        <f aca="false">IF(AB340="","",IF(AB340&gt;AA340,"PASS",IF(AB340&lt;=AA340*0.85,"BID","ATTENZIONE")))</f>
        <v/>
      </c>
      <c r="AD340" s="31" t="n">
        <f aca="false">IF(I340="","",ROUND(100*(1-EXP(-I340/30)),0))</f>
        <v>21</v>
      </c>
      <c r="AE340" s="7" t="str">
        <f aca="false">IFERROR(INDEX('Stato Asta'!$G$9:$G$12,MATCH($B340,'Stato Asta'!$A$9:$A$12,0)),"")</f>
        <v>🔴 Non aspettare</v>
      </c>
    </row>
    <row r="341" customFormat="false" ht="14.25" hidden="false" customHeight="true" outlineLevel="0" collapsed="false">
      <c r="A341" s="21" t="n">
        <v>7001</v>
      </c>
      <c r="B341" s="21" t="s">
        <v>46</v>
      </c>
      <c r="C341" s="21" t="s">
        <v>608</v>
      </c>
      <c r="E341" s="26" t="str">
        <f aca="false">IF(COUNTIF('Info Strategia'!$D$2:$D$51,$C341)&gt;0,"SI","NO")</f>
        <v>NO</v>
      </c>
      <c r="F341" s="27" t="n">
        <f aca="false">IFERROR(ROUND(($G341+($H341-$G341)*'Info Strategia'!$B$6)*(1+IF($E341="SI",'Parametri Modello'!$B$7*'Info Strategia'!$B$6,0)),0),"")</f>
        <v>3</v>
      </c>
      <c r="G341" s="27" t="n">
        <f aca="false">IFERROR(ROUND(MAX(1,(IF($V341&lt;=INDEX('Parametri Modello'!$C$57:$C$60,MATCH($B341,'Parametri Modello'!$A$57:$A$60,0)),IF(INDEX('Parametri Modello'!$E$57:$E$60,MATCH($B341,'Parametri Modello'!$A$57:$A$60,0))=0,0,($O341/INDEX('Parametri Modello'!$E$57:$E$60,MATCH($B341,'Parametri Modello'!$A$57:$A$60,0)))*(INDEX('Parametri Modello'!$D$57:$D$60,MATCH($B341,'Parametri Modello'!$A$57:$A$60,0))*(INDEX('Parametri Modello'!$B$50:$B$53,MATCH($B341,'Parametri Modello'!$A$50:$A$53,0))*'Parametri Modello'!$B$44))),IF(INDEX('Parametri Modello'!$F$57:$F$60,MATCH($B341,'Parametri Modello'!$A$57:$A$60,0))=0,0,($O341/INDEX('Parametri Modello'!$F$57:$F$60,MATCH($B341,'Parametri Modello'!$A$57:$A$60,0)))*((1-INDEX('Parametri Modello'!$D$57:$D$60,MATCH($B341,'Parametri Modello'!$A$57:$A$60,0)))*(INDEX('Parametri Modello'!$B$50:$B$53,MATCH($B341,'Parametri Modello'!$A$50:$A$53,0))*'Parametri Modello'!$B$44))))*(1+IF(IF($B341="D",'Info Lega'!$B$25,IF($B341="C",'Info Lega'!$B$26,"No"))="Si",'Parametri Modello'!$B$5,0))*(1+MAX(-0.25,MIN(0.25,IF(OR($T341="",$I341="",$I341=0,INDEX('Parametri Modello'!$B$19:$B$22,MATCH($B341,'Parametri Modello'!$A$19:$A$22,0))="",INDEX('Parametri Modello'!$B$19:$B$22,MATCH($B341,'Parametri Modello'!$A$19:$A$22,0))=0),0,(($T341-INDEX('Parametri Modello'!$B$19:$B$22,MATCH($B341,'Parametri Modello'!$A$19:$A$22,0)))/INDEX('Parametri Modello'!$B$19:$B$22,MATCH($B341,'Parametri Modello'!$A$19:$A$22,0)))*'Parametri Modello'!$B$9))))*(1+IF('Parametri Modello'!$B$27="Si",MAX(-'Parametri Modello'!$B$28,MIN('Parametri Modello'!$B$28*1.5,IF(OR(INDEX('Parametri Modello'!$F$32:$F$35,MATCH($B341,'Parametri Modello'!$A$32:$A$35,0))="",INDEX('Parametri Modello'!$F$32:$F$35,MATCH($B341,'Parametri Modello'!$A$32:$A$35,0))=0),0,(1/INDEX('Parametri Modello'!$F$32:$F$35,MATCH($B341,'Parametri Modello'!$A$32:$A$35,0))-1)*'Parametri Modello'!$B$28))),0)))*(1-INDEX('Parametri Modello'!$B$12:$B$15,MATCH($B341,'Parametri Modello'!$A$12:$A$15,0)))),0),"")</f>
        <v>2</v>
      </c>
      <c r="H341" s="27" t="n">
        <f aca="false">IFERROR(ROUND((IF($V341&lt;=INDEX('Parametri Modello'!$C$57:$C$60,MATCH($B341,'Parametri Modello'!$A$57:$A$60,0)),IF(INDEX('Parametri Modello'!$E$57:$E$60,MATCH($B341,'Parametri Modello'!$A$57:$A$60,0))=0,0,($O341/INDEX('Parametri Modello'!$E$57:$E$60,MATCH($B341,'Parametri Modello'!$A$57:$A$60,0)))*(INDEX('Parametri Modello'!$D$57:$D$60,MATCH($B341,'Parametri Modello'!$A$57:$A$60,0))*(INDEX('Parametri Modello'!$B$50:$B$53,MATCH($B341,'Parametri Modello'!$A$50:$A$53,0))*'Parametri Modello'!$B$44))),IF(INDEX('Parametri Modello'!$F$57:$F$60,MATCH($B341,'Parametri Modello'!$A$57:$A$60,0))=0,0,($O341/INDEX('Parametri Modello'!$F$57:$F$60,MATCH($B341,'Parametri Modello'!$A$57:$A$60,0)))*((1-INDEX('Parametri Modello'!$D$57:$D$60,MATCH($B341,'Parametri Modello'!$A$57:$A$60,0)))*(INDEX('Parametri Modello'!$B$50:$B$53,MATCH($B341,'Parametri Modello'!$A$50:$A$53,0))*'Parametri Modello'!$B$44))))*(1+IF(IF($B341="D",'Info Lega'!$B$25,IF($B341="C",'Info Lega'!$B$26,"No"))="Si",'Parametri Modello'!$B$5,0))*(1+MAX(-0.25,MIN(0.25,IF(OR($T341="",$I341="",$I341=0,INDEX('Parametri Modello'!$B$19:$B$22,MATCH($B341,'Parametri Modello'!$A$19:$A$22,0))="",INDEX('Parametri Modello'!$B$19:$B$22,MATCH($B341,'Parametri Modello'!$A$19:$A$22,0))=0),0,(($T341-INDEX('Parametri Modello'!$B$19:$B$22,MATCH($B341,'Parametri Modello'!$A$19:$A$22,0)))/INDEX('Parametri Modello'!$B$19:$B$22,MATCH($B341,'Parametri Modello'!$A$19:$A$22,0)))*'Parametri Modello'!$B$9))))*(1+IF('Parametri Modello'!$B$27="Si",MAX(-'Parametri Modello'!$B$28,MIN('Parametri Modello'!$B$28*1.5,IF(OR(INDEX('Parametri Modello'!$F$32:$F$35,MATCH($B341,'Parametri Modello'!$A$32:$A$35,0))="",INDEX('Parametri Modello'!$F$32:$F$35,MATCH($B341,'Parametri Modello'!$A$32:$A$35,0))=0),0,(1/INDEX('Parametri Modello'!$F$32:$F$35,MATCH($B341,'Parametri Modello'!$A$32:$A$35,0))-1)*'Parametri Modello'!$B$28))),0)))*(1+INDEX('Parametri Modello'!$B$12:$B$15,MATCH($B341,'Parametri Modello'!$A$12:$A$15,0))),0),"")</f>
        <v>3</v>
      </c>
      <c r="I341" s="26" t="n">
        <f aca="false">IFERROR(INDEX('Input Statistiche 2025_26'!$F$3:$F$665,MATCH($A341,'Input Statistiche 2025_26'!$A$3:$A$665,0)),"")</f>
        <v>17</v>
      </c>
      <c r="J341" s="26" t="n">
        <f aca="false">IFERROR(IF($I341="","",MAX(0,38-$I341)),"")</f>
        <v>21</v>
      </c>
      <c r="K341" s="26" t="n">
        <f aca="false">IFERROR(INDEX('Input Statistiche 2025_26'!$I$3:$I$665,MATCH($A341,'Input Statistiche 2025_26'!$A$3:$A$665,0)),"")</f>
        <v>2</v>
      </c>
      <c r="L341" s="26" t="n">
        <f aca="false">IFERROR(INDEX('Input Statistiche 2025_26'!$O$3:$O$665,MATCH($A341,'Input Statistiche 2025_26'!$A$3:$A$665,0)),"")</f>
        <v>0</v>
      </c>
      <c r="M341" s="28"/>
      <c r="N341" s="27" t="n">
        <f aca="false">IFERROR(INDEX('Input Giocatori 2026_27'!$E$3:$E$493,MATCH($A341,'Input Giocatori 2026_27'!$A$3:$A$493,0)),"")</f>
        <v>3</v>
      </c>
      <c r="O341" s="27" t="n">
        <f aca="false">IFERROR(INDEX('Input Giocatori 2026_27'!$G$3:$G$493,MATCH($A341,'Input Giocatori 2026_27'!$A$3:$A$493,0)),"")</f>
        <v>9</v>
      </c>
      <c r="P341" s="26" t="str">
        <f aca="false">IFERROR(IF($O341="","",IF((1-(COUNTIFS($B$2:$B$492,$B341,$O$2:$O$492,"&gt;"&amp;$O341)+1-1)/COUNTIF($B$2:$B$492,$B341))&gt;=0.85,"Top",IF((1-(COUNTIFS($B$2:$B$492,$B341,$O$2:$O$492,"&gt;"&amp;$O341)+1-1)/COUNTIF($B$2:$B$492,$B341))&gt;=0.6,"Buono",IF((1-(COUNTIFS($B$2:$B$492,$B341,$O$2:$O$492,"&gt;"&amp;$O341)+1-1)/COUNTIF($B$2:$B$492,$B341))&gt;=0.3,"Nella Media","Scommessa/Riserva")))),"")</f>
        <v>Scommessa/Riserva</v>
      </c>
      <c r="Q341" s="29" t="n">
        <f aca="false">IF($D341="",COUNTIF($D$2:$D341,""),"")</f>
        <v>340</v>
      </c>
      <c r="R341" s="29" t="str">
        <f aca="false">IF($D341='Info Lega'!$B$28,COUNTIFS($D$2:$D341,'Info Lega'!$B$28),"")</f>
        <v/>
      </c>
      <c r="S341" s="30" t="n">
        <f aca="false">IFERROR(INDEX('Input Statistiche 2025_26'!$G$3:$G$665,MATCH($A341,'Input Statistiche 2025_26'!$A$3:$A$665,0)),"")</f>
        <v>5.82</v>
      </c>
      <c r="T341" s="30" t="n">
        <f aca="false">IFERROR(INDEX('Input Statistiche 2025_26'!$H$3:$H$665,MATCH($A341,'Input Statistiche 2025_26'!$A$3:$A$665,0)),"")</f>
        <v>6.09</v>
      </c>
      <c r="U341" s="26" t="str">
        <f aca="false">IF(OR('La Mia Rosa'!$O$12="",$D341&lt;&gt;""),"",IF($F341&lt;='La Mia Rosa'!$O$12*'Parametri Modello'!$B$24,"OK",IF($F341&lt;='La Mia Rosa'!$O$12*'Parametri Modello'!$B$25,"Attenzione","Rischio Alto")))</f>
        <v>OK</v>
      </c>
      <c r="V341" s="26" t="n">
        <f aca="false">IFERROR(COUNTIFS($B$2:$B$492,$B341,$O$2:$O$492,"&gt;"&amp;$O341)+1,"")</f>
        <v>68</v>
      </c>
      <c r="W341" s="21" t="n">
        <f aca="false">'Info Lega'!$B$4-SUMIFS($M$2:$M$492,$D$2:$D$492,'Info Lega'!$B$28)</f>
        <v>1000</v>
      </c>
      <c r="X341" s="21" t="n">
        <f aca="false">('Info Lega'!$B$5-COUNTIFS($D$2:$D$492,'Info Lega'!$B$28,$B$2:$B$492,"P"))+('Info Lega'!$B$6-COUNTIFS($D$2:$D$492,'Info Lega'!$B$28,$B$2:$B$492,"D"))+('Info Lega'!$B$7-COUNTIFS($D$2:$D$492,'Info Lega'!$B$28,$B$2:$B$492,"C"))+('Info Lega'!$B$8-COUNTIFS($D$2:$D$492,'Info Lega'!$B$28,$B$2:$B$492,"A"))</f>
        <v>25</v>
      </c>
      <c r="Y341" s="21" t="n">
        <f aca="false">X341*'Parametri Modello'!$B$30</f>
        <v>25</v>
      </c>
      <c r="Z341" s="21" t="n">
        <f aca="false">MAX(0,W341-Y341)</f>
        <v>975</v>
      </c>
      <c r="AA341" s="21" t="n">
        <f aca="false">MIN(F341,Z341)</f>
        <v>3</v>
      </c>
      <c r="AB341" s="21"/>
      <c r="AC341" s="21" t="str">
        <f aca="false">IF(AB341="","",IF(AB341&gt;AA341,"PASS",IF(AB341&lt;=AA341*0.85,"BID","ATTENZIONE")))</f>
        <v/>
      </c>
      <c r="AD341" s="31" t="n">
        <f aca="false">IF(I341="","",ROUND(100*(1-EXP(-I341/30)),0))</f>
        <v>43</v>
      </c>
      <c r="AE341" s="7" t="str">
        <f aca="false">IFERROR(INDEX('Stato Asta'!$G$9:$G$12,MATCH($B341,'Stato Asta'!$A$9:$A$12,0)),"")</f>
        <v>🔴 Non aspettare</v>
      </c>
    </row>
    <row r="342" customFormat="false" ht="14.25" hidden="false" customHeight="true" outlineLevel="0" collapsed="false">
      <c r="A342" s="21" t="n">
        <v>6415</v>
      </c>
      <c r="B342" s="21" t="s">
        <v>43</v>
      </c>
      <c r="C342" s="21" t="s">
        <v>151</v>
      </c>
      <c r="E342" s="26" t="str">
        <f aca="false">IF(COUNTIF('Info Strategia'!$D$2:$D$51,$C342)&gt;0,"SI","NO")</f>
        <v>NO</v>
      </c>
      <c r="F342" s="27" t="n">
        <f aca="false">IFERROR(ROUND(($G342+($H342-$G342)*'Info Strategia'!$B$6)*(1+IF($E342="SI",'Parametri Modello'!$B$7*'Info Strategia'!$B$6,0)),0),"")</f>
        <v>3</v>
      </c>
      <c r="G342" s="27" t="n">
        <f aca="false">IFERROR(ROUND(MAX(1,(IF($V342&lt;=INDEX('Parametri Modello'!$C$57:$C$60,MATCH($B342,'Parametri Modello'!$A$57:$A$60,0)),IF(INDEX('Parametri Modello'!$E$57:$E$60,MATCH($B342,'Parametri Modello'!$A$57:$A$60,0))=0,0,($O342/INDEX('Parametri Modello'!$E$57:$E$60,MATCH($B342,'Parametri Modello'!$A$57:$A$60,0)))*(INDEX('Parametri Modello'!$D$57:$D$60,MATCH($B342,'Parametri Modello'!$A$57:$A$60,0))*(INDEX('Parametri Modello'!$B$50:$B$53,MATCH($B342,'Parametri Modello'!$A$50:$A$53,0))*'Parametri Modello'!$B$44))),IF(INDEX('Parametri Modello'!$F$57:$F$60,MATCH($B342,'Parametri Modello'!$A$57:$A$60,0))=0,0,($O342/INDEX('Parametri Modello'!$F$57:$F$60,MATCH($B342,'Parametri Modello'!$A$57:$A$60,0)))*((1-INDEX('Parametri Modello'!$D$57:$D$60,MATCH($B342,'Parametri Modello'!$A$57:$A$60,0)))*(INDEX('Parametri Modello'!$B$50:$B$53,MATCH($B342,'Parametri Modello'!$A$50:$A$53,0))*'Parametri Modello'!$B$44))))*(1+IF(IF($B342="D",'Info Lega'!$B$25,IF($B342="C",'Info Lega'!$B$26,"No"))="Si",'Parametri Modello'!$B$5,0))*(1+MAX(-0.25,MIN(0.25,IF(OR($T342="",$I342="",$I342=0,INDEX('Parametri Modello'!$B$19:$B$22,MATCH($B342,'Parametri Modello'!$A$19:$A$22,0))="",INDEX('Parametri Modello'!$B$19:$B$22,MATCH($B342,'Parametri Modello'!$A$19:$A$22,0))=0),0,(($T342-INDEX('Parametri Modello'!$B$19:$B$22,MATCH($B342,'Parametri Modello'!$A$19:$A$22,0)))/INDEX('Parametri Modello'!$B$19:$B$22,MATCH($B342,'Parametri Modello'!$A$19:$A$22,0)))*'Parametri Modello'!$B$9))))*(1+IF('Parametri Modello'!$B$27="Si",MAX(-'Parametri Modello'!$B$28,MIN('Parametri Modello'!$B$28*1.5,IF(OR(INDEX('Parametri Modello'!$F$32:$F$35,MATCH($B342,'Parametri Modello'!$A$32:$A$35,0))="",INDEX('Parametri Modello'!$F$32:$F$35,MATCH($B342,'Parametri Modello'!$A$32:$A$35,0))=0),0,(1/INDEX('Parametri Modello'!$F$32:$F$35,MATCH($B342,'Parametri Modello'!$A$32:$A$35,0))-1)*'Parametri Modello'!$B$28))),0)))*(1-INDEX('Parametri Modello'!$B$12:$B$15,MATCH($B342,'Parametri Modello'!$A$12:$A$15,0)))),0),"")</f>
        <v>2</v>
      </c>
      <c r="H342" s="27" t="n">
        <f aca="false">IFERROR(ROUND((IF($V342&lt;=INDEX('Parametri Modello'!$C$57:$C$60,MATCH($B342,'Parametri Modello'!$A$57:$A$60,0)),IF(INDEX('Parametri Modello'!$E$57:$E$60,MATCH($B342,'Parametri Modello'!$A$57:$A$60,0))=0,0,($O342/INDEX('Parametri Modello'!$E$57:$E$60,MATCH($B342,'Parametri Modello'!$A$57:$A$60,0)))*(INDEX('Parametri Modello'!$D$57:$D$60,MATCH($B342,'Parametri Modello'!$A$57:$A$60,0))*(INDEX('Parametri Modello'!$B$50:$B$53,MATCH($B342,'Parametri Modello'!$A$50:$A$53,0))*'Parametri Modello'!$B$44))),IF(INDEX('Parametri Modello'!$F$57:$F$60,MATCH($B342,'Parametri Modello'!$A$57:$A$60,0))=0,0,($O342/INDEX('Parametri Modello'!$F$57:$F$60,MATCH($B342,'Parametri Modello'!$A$57:$A$60,0)))*((1-INDEX('Parametri Modello'!$D$57:$D$60,MATCH($B342,'Parametri Modello'!$A$57:$A$60,0)))*(INDEX('Parametri Modello'!$B$50:$B$53,MATCH($B342,'Parametri Modello'!$A$50:$A$53,0))*'Parametri Modello'!$B$44))))*(1+IF(IF($B342="D",'Info Lega'!$B$25,IF($B342="C",'Info Lega'!$B$26,"No"))="Si",'Parametri Modello'!$B$5,0))*(1+MAX(-0.25,MIN(0.25,IF(OR($T342="",$I342="",$I342=0,INDEX('Parametri Modello'!$B$19:$B$22,MATCH($B342,'Parametri Modello'!$A$19:$A$22,0))="",INDEX('Parametri Modello'!$B$19:$B$22,MATCH($B342,'Parametri Modello'!$A$19:$A$22,0))=0),0,(($T342-INDEX('Parametri Modello'!$B$19:$B$22,MATCH($B342,'Parametri Modello'!$A$19:$A$22,0)))/INDEX('Parametri Modello'!$B$19:$B$22,MATCH($B342,'Parametri Modello'!$A$19:$A$22,0)))*'Parametri Modello'!$B$9))))*(1+IF('Parametri Modello'!$B$27="Si",MAX(-'Parametri Modello'!$B$28,MIN('Parametri Modello'!$B$28*1.5,IF(OR(INDEX('Parametri Modello'!$F$32:$F$35,MATCH($B342,'Parametri Modello'!$A$32:$A$35,0))="",INDEX('Parametri Modello'!$F$32:$F$35,MATCH($B342,'Parametri Modello'!$A$32:$A$35,0))=0),0,(1/INDEX('Parametri Modello'!$F$32:$F$35,MATCH($B342,'Parametri Modello'!$A$32:$A$35,0))-1)*'Parametri Modello'!$B$28))),0)))*(1+INDEX('Parametri Modello'!$B$12:$B$15,MATCH($B342,'Parametri Modello'!$A$12:$A$15,0))),0),"")</f>
        <v>3</v>
      </c>
      <c r="I342" s="26" t="str">
        <f aca="false">IFERROR(INDEX('Input Statistiche 2025_26'!$F$3:$F$665,MATCH($A342,'Input Statistiche 2025_26'!$A$3:$A$665,0)),"")</f>
        <v/>
      </c>
      <c r="J342" s="26" t="str">
        <f aca="false">IFERROR(IF($I342="","",MAX(0,38-$I342)),"")</f>
        <v/>
      </c>
      <c r="K342" s="26" t="str">
        <f aca="false">IFERROR(INDEX('Input Statistiche 2025_26'!$I$3:$I$665,MATCH($A342,'Input Statistiche 2025_26'!$A$3:$A$665,0)),"")</f>
        <v/>
      </c>
      <c r="L342" s="26" t="str">
        <f aca="false">IFERROR(INDEX('Input Statistiche 2025_26'!$O$3:$O$665,MATCH($A342,'Input Statistiche 2025_26'!$A$3:$A$665,0)),"")</f>
        <v/>
      </c>
      <c r="M342" s="28"/>
      <c r="N342" s="27" t="n">
        <f aca="false">IFERROR(INDEX('Input Giocatori 2026_27'!$E$3:$E$493,MATCH($A342,'Input Giocatori 2026_27'!$A$3:$A$493,0)),"")</f>
        <v>4</v>
      </c>
      <c r="O342" s="27" t="n">
        <f aca="false">IFERROR(INDEX('Input Giocatori 2026_27'!$G$3:$G$493,MATCH($A342,'Input Giocatori 2026_27'!$A$3:$A$493,0)),"")</f>
        <v>8</v>
      </c>
      <c r="P342" s="26" t="str">
        <f aca="false">IFERROR(IF($O342="","",IF((1-(COUNTIFS($B$2:$B$492,$B342,$O$2:$O$492,"&gt;"&amp;$O342)+1-1)/COUNTIF($B$2:$B$492,$B342))&gt;=0.85,"Top",IF((1-(COUNTIFS($B$2:$B$492,$B342,$O$2:$O$492,"&gt;"&amp;$O342)+1-1)/COUNTIF($B$2:$B$492,$B342))&gt;=0.6,"Buono",IF((1-(COUNTIFS($B$2:$B$492,$B342,$O$2:$O$492,"&gt;"&amp;$O342)+1-1)/COUNTIF($B$2:$B$492,$B342))&gt;=0.3,"Nella Media","Scommessa/Riserva")))),"")</f>
        <v>Buono</v>
      </c>
      <c r="Q342" s="29" t="n">
        <f aca="false">IF($D342="",COUNTIF($D$2:$D342,""),"")</f>
        <v>341</v>
      </c>
      <c r="R342" s="29" t="str">
        <f aca="false">IF($D342='Info Lega'!$B$28,COUNTIFS($D$2:$D342,'Info Lega'!$B$28),"")</f>
        <v/>
      </c>
      <c r="S342" s="30" t="str">
        <f aca="false">IFERROR(INDEX('Input Statistiche 2025_26'!$G$3:$G$665,MATCH($A342,'Input Statistiche 2025_26'!$A$3:$A$665,0)),"")</f>
        <v/>
      </c>
      <c r="T342" s="30" t="str">
        <f aca="false">IFERROR(INDEX('Input Statistiche 2025_26'!$H$3:$H$665,MATCH($A342,'Input Statistiche 2025_26'!$A$3:$A$665,0)),"")</f>
        <v/>
      </c>
      <c r="U342" s="26" t="str">
        <f aca="false">IF(OR('La Mia Rosa'!$O$12="",$D342&lt;&gt;""),"",IF($F342&lt;='La Mia Rosa'!$O$12*'Parametri Modello'!$B$24,"OK",IF($F342&lt;='La Mia Rosa'!$O$12*'Parametri Modello'!$B$25,"Attenzione","Rischio Alto")))</f>
        <v>OK</v>
      </c>
      <c r="V342" s="26" t="n">
        <f aca="false">IFERROR(COUNTIFS($B$2:$B$492,$B342,$O$2:$O$492,"&gt;"&amp;$O342)+1,"")</f>
        <v>21</v>
      </c>
      <c r="W342" s="21" t="n">
        <f aca="false">'Info Lega'!$B$4-SUMIFS($M$2:$M$492,$D$2:$D$492,'Info Lega'!$B$28)</f>
        <v>1000</v>
      </c>
      <c r="X342" s="21" t="n">
        <f aca="false">('Info Lega'!$B$5-COUNTIFS($D$2:$D$492,'Info Lega'!$B$28,$B$2:$B$492,"P"))+('Info Lega'!$B$6-COUNTIFS($D$2:$D$492,'Info Lega'!$B$28,$B$2:$B$492,"D"))+('Info Lega'!$B$7-COUNTIFS($D$2:$D$492,'Info Lega'!$B$28,$B$2:$B$492,"C"))+('Info Lega'!$B$8-COUNTIFS($D$2:$D$492,'Info Lega'!$B$28,$B$2:$B$492,"A"))</f>
        <v>25</v>
      </c>
      <c r="Y342" s="21" t="n">
        <f aca="false">X342*'Parametri Modello'!$B$30</f>
        <v>25</v>
      </c>
      <c r="Z342" s="21" t="n">
        <f aca="false">MAX(0,W342-Y342)</f>
        <v>975</v>
      </c>
      <c r="AA342" s="21" t="n">
        <f aca="false">MIN(F342,Z342)</f>
        <v>3</v>
      </c>
      <c r="AB342" s="21"/>
      <c r="AC342" s="21" t="str">
        <f aca="false">IF(AB342="","",IF(AB342&gt;AA342,"PASS",IF(AB342&lt;=AA342*0.85,"BID","ATTENZIONE")))</f>
        <v/>
      </c>
      <c r="AD342" s="31" t="str">
        <f aca="false">IF(I342="","",ROUND(100*(1-EXP(-I342/30)),0))</f>
        <v/>
      </c>
      <c r="AE342" s="7" t="str">
        <f aca="false">IFERROR(INDEX('Stato Asta'!$G$9:$G$12,MATCH($B342,'Stato Asta'!$A$9:$A$12,0)),"")</f>
        <v>🟡 Attesa rischiosa</v>
      </c>
    </row>
    <row r="343" customFormat="false" ht="14.25" hidden="false" customHeight="true" outlineLevel="0" collapsed="false">
      <c r="A343" s="21" t="n">
        <v>7463</v>
      </c>
      <c r="B343" s="21" t="s">
        <v>43</v>
      </c>
      <c r="C343" s="21" t="s">
        <v>153</v>
      </c>
      <c r="E343" s="26" t="str">
        <f aca="false">IF(COUNTIF('Info Strategia'!$D$2:$D$51,$C343)&gt;0,"SI","NO")</f>
        <v>NO</v>
      </c>
      <c r="F343" s="27" t="n">
        <f aca="false">IFERROR(ROUND(($G343+($H343-$G343)*'Info Strategia'!$B$6)*(1+IF($E343="SI",'Parametri Modello'!$B$7*'Info Strategia'!$B$6,0)),0),"")</f>
        <v>3</v>
      </c>
      <c r="G343" s="27" t="n">
        <f aca="false">IFERROR(ROUND(MAX(1,(IF($V343&lt;=INDEX('Parametri Modello'!$C$57:$C$60,MATCH($B343,'Parametri Modello'!$A$57:$A$60,0)),IF(INDEX('Parametri Modello'!$E$57:$E$60,MATCH($B343,'Parametri Modello'!$A$57:$A$60,0))=0,0,($O343/INDEX('Parametri Modello'!$E$57:$E$60,MATCH($B343,'Parametri Modello'!$A$57:$A$60,0)))*(INDEX('Parametri Modello'!$D$57:$D$60,MATCH($B343,'Parametri Modello'!$A$57:$A$60,0))*(INDEX('Parametri Modello'!$B$50:$B$53,MATCH($B343,'Parametri Modello'!$A$50:$A$53,0))*'Parametri Modello'!$B$44))),IF(INDEX('Parametri Modello'!$F$57:$F$60,MATCH($B343,'Parametri Modello'!$A$57:$A$60,0))=0,0,($O343/INDEX('Parametri Modello'!$F$57:$F$60,MATCH($B343,'Parametri Modello'!$A$57:$A$60,0)))*((1-INDEX('Parametri Modello'!$D$57:$D$60,MATCH($B343,'Parametri Modello'!$A$57:$A$60,0)))*(INDEX('Parametri Modello'!$B$50:$B$53,MATCH($B343,'Parametri Modello'!$A$50:$A$53,0))*'Parametri Modello'!$B$44))))*(1+IF(IF($B343="D",'Info Lega'!$B$25,IF($B343="C",'Info Lega'!$B$26,"No"))="Si",'Parametri Modello'!$B$5,0))*(1+MAX(-0.25,MIN(0.25,IF(OR($T343="",$I343="",$I343=0,INDEX('Parametri Modello'!$B$19:$B$22,MATCH($B343,'Parametri Modello'!$A$19:$A$22,0))="",INDEX('Parametri Modello'!$B$19:$B$22,MATCH($B343,'Parametri Modello'!$A$19:$A$22,0))=0),0,(($T343-INDEX('Parametri Modello'!$B$19:$B$22,MATCH($B343,'Parametri Modello'!$A$19:$A$22,0)))/INDEX('Parametri Modello'!$B$19:$B$22,MATCH($B343,'Parametri Modello'!$A$19:$A$22,0)))*'Parametri Modello'!$B$9))))*(1+IF('Parametri Modello'!$B$27="Si",MAX(-'Parametri Modello'!$B$28,MIN('Parametri Modello'!$B$28*1.5,IF(OR(INDEX('Parametri Modello'!$F$32:$F$35,MATCH($B343,'Parametri Modello'!$A$32:$A$35,0))="",INDEX('Parametri Modello'!$F$32:$F$35,MATCH($B343,'Parametri Modello'!$A$32:$A$35,0))=0),0,(1/INDEX('Parametri Modello'!$F$32:$F$35,MATCH($B343,'Parametri Modello'!$A$32:$A$35,0))-1)*'Parametri Modello'!$B$28))),0)))*(1-INDEX('Parametri Modello'!$B$12:$B$15,MATCH($B343,'Parametri Modello'!$A$12:$A$15,0)))),0),"")</f>
        <v>2</v>
      </c>
      <c r="H343" s="27" t="n">
        <f aca="false">IFERROR(ROUND((IF($V343&lt;=INDEX('Parametri Modello'!$C$57:$C$60,MATCH($B343,'Parametri Modello'!$A$57:$A$60,0)),IF(INDEX('Parametri Modello'!$E$57:$E$60,MATCH($B343,'Parametri Modello'!$A$57:$A$60,0))=0,0,($O343/INDEX('Parametri Modello'!$E$57:$E$60,MATCH($B343,'Parametri Modello'!$A$57:$A$60,0)))*(INDEX('Parametri Modello'!$D$57:$D$60,MATCH($B343,'Parametri Modello'!$A$57:$A$60,0))*(INDEX('Parametri Modello'!$B$50:$B$53,MATCH($B343,'Parametri Modello'!$A$50:$A$53,0))*'Parametri Modello'!$B$44))),IF(INDEX('Parametri Modello'!$F$57:$F$60,MATCH($B343,'Parametri Modello'!$A$57:$A$60,0))=0,0,($O343/INDEX('Parametri Modello'!$F$57:$F$60,MATCH($B343,'Parametri Modello'!$A$57:$A$60,0)))*((1-INDEX('Parametri Modello'!$D$57:$D$60,MATCH($B343,'Parametri Modello'!$A$57:$A$60,0)))*(INDEX('Parametri Modello'!$B$50:$B$53,MATCH($B343,'Parametri Modello'!$A$50:$A$53,0))*'Parametri Modello'!$B$44))))*(1+IF(IF($B343="D",'Info Lega'!$B$25,IF($B343="C",'Info Lega'!$B$26,"No"))="Si",'Parametri Modello'!$B$5,0))*(1+MAX(-0.25,MIN(0.25,IF(OR($T343="",$I343="",$I343=0,INDEX('Parametri Modello'!$B$19:$B$22,MATCH($B343,'Parametri Modello'!$A$19:$A$22,0))="",INDEX('Parametri Modello'!$B$19:$B$22,MATCH($B343,'Parametri Modello'!$A$19:$A$22,0))=0),0,(($T343-INDEX('Parametri Modello'!$B$19:$B$22,MATCH($B343,'Parametri Modello'!$A$19:$A$22,0)))/INDEX('Parametri Modello'!$B$19:$B$22,MATCH($B343,'Parametri Modello'!$A$19:$A$22,0)))*'Parametri Modello'!$B$9))))*(1+IF('Parametri Modello'!$B$27="Si",MAX(-'Parametri Modello'!$B$28,MIN('Parametri Modello'!$B$28*1.5,IF(OR(INDEX('Parametri Modello'!$F$32:$F$35,MATCH($B343,'Parametri Modello'!$A$32:$A$35,0))="",INDEX('Parametri Modello'!$F$32:$F$35,MATCH($B343,'Parametri Modello'!$A$32:$A$35,0))=0),0,(1/INDEX('Parametri Modello'!$F$32:$F$35,MATCH($B343,'Parametri Modello'!$A$32:$A$35,0))-1)*'Parametri Modello'!$B$28))),0)))*(1+INDEX('Parametri Modello'!$B$12:$B$15,MATCH($B343,'Parametri Modello'!$A$12:$A$15,0))),0),"")</f>
        <v>3</v>
      </c>
      <c r="I343" s="26" t="str">
        <f aca="false">IFERROR(INDEX('Input Statistiche 2025_26'!$F$3:$F$665,MATCH($A343,'Input Statistiche 2025_26'!$A$3:$A$665,0)),"")</f>
        <v/>
      </c>
      <c r="J343" s="26" t="str">
        <f aca="false">IFERROR(IF($I343="","",MAX(0,38-$I343)),"")</f>
        <v/>
      </c>
      <c r="K343" s="26" t="str">
        <f aca="false">IFERROR(INDEX('Input Statistiche 2025_26'!$I$3:$I$665,MATCH($A343,'Input Statistiche 2025_26'!$A$3:$A$665,0)),"")</f>
        <v/>
      </c>
      <c r="L343" s="26" t="str">
        <f aca="false">IFERROR(INDEX('Input Statistiche 2025_26'!$O$3:$O$665,MATCH($A343,'Input Statistiche 2025_26'!$A$3:$A$665,0)),"")</f>
        <v/>
      </c>
      <c r="M343" s="28"/>
      <c r="N343" s="27" t="n">
        <f aca="false">IFERROR(INDEX('Input Giocatori 2026_27'!$E$3:$E$493,MATCH($A343,'Input Giocatori 2026_27'!$A$3:$A$493,0)),"")</f>
        <v>2</v>
      </c>
      <c r="O343" s="27" t="n">
        <f aca="false">IFERROR(INDEX('Input Giocatori 2026_27'!$G$3:$G$493,MATCH($A343,'Input Giocatori 2026_27'!$A$3:$A$493,0)),"")</f>
        <v>8</v>
      </c>
      <c r="P343" s="26" t="str">
        <f aca="false">IFERROR(IF($O343="","",IF((1-(COUNTIFS($B$2:$B$492,$B343,$O$2:$O$492,"&gt;"&amp;$O343)+1-1)/COUNTIF($B$2:$B$492,$B343))&gt;=0.85,"Top",IF((1-(COUNTIFS($B$2:$B$492,$B343,$O$2:$O$492,"&gt;"&amp;$O343)+1-1)/COUNTIF($B$2:$B$492,$B343))&gt;=0.6,"Buono",IF((1-(COUNTIFS($B$2:$B$492,$B343,$O$2:$O$492,"&gt;"&amp;$O343)+1-1)/COUNTIF($B$2:$B$492,$B343))&gt;=0.3,"Nella Media","Scommessa/Riserva")))),"")</f>
        <v>Buono</v>
      </c>
      <c r="Q343" s="29" t="n">
        <f aca="false">IF($D343="",COUNTIF($D$2:$D343,""),"")</f>
        <v>342</v>
      </c>
      <c r="R343" s="29" t="str">
        <f aca="false">IF($D343='Info Lega'!$B$28,COUNTIFS($D$2:$D343,'Info Lega'!$B$28),"")</f>
        <v/>
      </c>
      <c r="S343" s="30" t="str">
        <f aca="false">IFERROR(INDEX('Input Statistiche 2025_26'!$G$3:$G$665,MATCH($A343,'Input Statistiche 2025_26'!$A$3:$A$665,0)),"")</f>
        <v/>
      </c>
      <c r="T343" s="30" t="str">
        <f aca="false">IFERROR(INDEX('Input Statistiche 2025_26'!$H$3:$H$665,MATCH($A343,'Input Statistiche 2025_26'!$A$3:$A$665,0)),"")</f>
        <v/>
      </c>
      <c r="U343" s="26" t="str">
        <f aca="false">IF(OR('La Mia Rosa'!$O$12="",$D343&lt;&gt;""),"",IF($F343&lt;='La Mia Rosa'!$O$12*'Parametri Modello'!$B$24,"OK",IF($F343&lt;='La Mia Rosa'!$O$12*'Parametri Modello'!$B$25,"Attenzione","Rischio Alto")))</f>
        <v>OK</v>
      </c>
      <c r="V343" s="26" t="n">
        <f aca="false">IFERROR(COUNTIFS($B$2:$B$492,$B343,$O$2:$O$492,"&gt;"&amp;$O343)+1,"")</f>
        <v>21</v>
      </c>
      <c r="W343" s="21" t="n">
        <f aca="false">'Info Lega'!$B$4-SUMIFS($M$2:$M$492,$D$2:$D$492,'Info Lega'!$B$28)</f>
        <v>1000</v>
      </c>
      <c r="X343" s="21" t="n">
        <f aca="false">('Info Lega'!$B$5-COUNTIFS($D$2:$D$492,'Info Lega'!$B$28,$B$2:$B$492,"P"))+('Info Lega'!$B$6-COUNTIFS($D$2:$D$492,'Info Lega'!$B$28,$B$2:$B$492,"D"))+('Info Lega'!$B$7-COUNTIFS($D$2:$D$492,'Info Lega'!$B$28,$B$2:$B$492,"C"))+('Info Lega'!$B$8-COUNTIFS($D$2:$D$492,'Info Lega'!$B$28,$B$2:$B$492,"A"))</f>
        <v>25</v>
      </c>
      <c r="Y343" s="21" t="n">
        <f aca="false">X343*'Parametri Modello'!$B$30</f>
        <v>25</v>
      </c>
      <c r="Z343" s="21" t="n">
        <f aca="false">MAX(0,W343-Y343)</f>
        <v>975</v>
      </c>
      <c r="AA343" s="21" t="n">
        <f aca="false">MIN(F343,Z343)</f>
        <v>3</v>
      </c>
      <c r="AB343" s="21"/>
      <c r="AC343" s="21" t="str">
        <f aca="false">IF(AB343="","",IF(AB343&gt;AA343,"PASS",IF(AB343&lt;=AA343*0.85,"BID","ATTENZIONE")))</f>
        <v/>
      </c>
      <c r="AD343" s="31" t="str">
        <f aca="false">IF(I343="","",ROUND(100*(1-EXP(-I343/30)),0))</f>
        <v/>
      </c>
      <c r="AE343" s="7" t="str">
        <f aca="false">IFERROR(INDEX('Stato Asta'!$G$9:$G$12,MATCH($B343,'Stato Asta'!$A$9:$A$12,0)),"")</f>
        <v>🟡 Attesa rischiosa</v>
      </c>
    </row>
    <row r="344" customFormat="false" ht="14.25" hidden="false" customHeight="true" outlineLevel="0" collapsed="false">
      <c r="A344" s="21" t="n">
        <v>5603</v>
      </c>
      <c r="B344" s="21" t="s">
        <v>44</v>
      </c>
      <c r="C344" s="21" t="s">
        <v>283</v>
      </c>
      <c r="E344" s="26" t="str">
        <f aca="false">IF(COUNTIF('Info Strategia'!$D$2:$D$51,$C344)&gt;0,"SI","NO")</f>
        <v>NO</v>
      </c>
      <c r="F344" s="27" t="n">
        <f aca="false">IFERROR(ROUND(($G344+($H344-$G344)*'Info Strategia'!$B$6)*(1+IF($E344="SI",'Parametri Modello'!$B$7*'Info Strategia'!$B$6,0)),0),"")</f>
        <v>2</v>
      </c>
      <c r="G344" s="27" t="n">
        <f aca="false">IFERROR(ROUND(MAX(1,(IF($V344&lt;=INDEX('Parametri Modello'!$C$57:$C$60,MATCH($B344,'Parametri Modello'!$A$57:$A$60,0)),IF(INDEX('Parametri Modello'!$E$57:$E$60,MATCH($B344,'Parametri Modello'!$A$57:$A$60,0))=0,0,($O344/INDEX('Parametri Modello'!$E$57:$E$60,MATCH($B344,'Parametri Modello'!$A$57:$A$60,0)))*(INDEX('Parametri Modello'!$D$57:$D$60,MATCH($B344,'Parametri Modello'!$A$57:$A$60,0))*(INDEX('Parametri Modello'!$B$50:$B$53,MATCH($B344,'Parametri Modello'!$A$50:$A$53,0))*'Parametri Modello'!$B$44))),IF(INDEX('Parametri Modello'!$F$57:$F$60,MATCH($B344,'Parametri Modello'!$A$57:$A$60,0))=0,0,($O344/INDEX('Parametri Modello'!$F$57:$F$60,MATCH($B344,'Parametri Modello'!$A$57:$A$60,0)))*((1-INDEX('Parametri Modello'!$D$57:$D$60,MATCH($B344,'Parametri Modello'!$A$57:$A$60,0)))*(INDEX('Parametri Modello'!$B$50:$B$53,MATCH($B344,'Parametri Modello'!$A$50:$A$53,0))*'Parametri Modello'!$B$44))))*(1+IF(IF($B344="D",'Info Lega'!$B$25,IF($B344="C",'Info Lega'!$B$26,"No"))="Si",'Parametri Modello'!$B$5,0))*(1+MAX(-0.25,MIN(0.25,IF(OR($T344="",$I344="",$I344=0,INDEX('Parametri Modello'!$B$19:$B$22,MATCH($B344,'Parametri Modello'!$A$19:$A$22,0))="",INDEX('Parametri Modello'!$B$19:$B$22,MATCH($B344,'Parametri Modello'!$A$19:$A$22,0))=0),0,(($T344-INDEX('Parametri Modello'!$B$19:$B$22,MATCH($B344,'Parametri Modello'!$A$19:$A$22,0)))/INDEX('Parametri Modello'!$B$19:$B$22,MATCH($B344,'Parametri Modello'!$A$19:$A$22,0)))*'Parametri Modello'!$B$9))))*(1+IF('Parametri Modello'!$B$27="Si",MAX(-'Parametri Modello'!$B$28,MIN('Parametri Modello'!$B$28*1.5,IF(OR(INDEX('Parametri Modello'!$F$32:$F$35,MATCH($B344,'Parametri Modello'!$A$32:$A$35,0))="",INDEX('Parametri Modello'!$F$32:$F$35,MATCH($B344,'Parametri Modello'!$A$32:$A$35,0))=0),0,(1/INDEX('Parametri Modello'!$F$32:$F$35,MATCH($B344,'Parametri Modello'!$A$32:$A$35,0))-1)*'Parametri Modello'!$B$28))),0)))*(1-INDEX('Parametri Modello'!$B$12:$B$15,MATCH($B344,'Parametri Modello'!$A$12:$A$15,0)))),0),"")</f>
        <v>1</v>
      </c>
      <c r="H344" s="27" t="n">
        <f aca="false">IFERROR(ROUND((IF($V344&lt;=INDEX('Parametri Modello'!$C$57:$C$60,MATCH($B344,'Parametri Modello'!$A$57:$A$60,0)),IF(INDEX('Parametri Modello'!$E$57:$E$60,MATCH($B344,'Parametri Modello'!$A$57:$A$60,0))=0,0,($O344/INDEX('Parametri Modello'!$E$57:$E$60,MATCH($B344,'Parametri Modello'!$A$57:$A$60,0)))*(INDEX('Parametri Modello'!$D$57:$D$60,MATCH($B344,'Parametri Modello'!$A$57:$A$60,0))*(INDEX('Parametri Modello'!$B$50:$B$53,MATCH($B344,'Parametri Modello'!$A$50:$A$53,0))*'Parametri Modello'!$B$44))),IF(INDEX('Parametri Modello'!$F$57:$F$60,MATCH($B344,'Parametri Modello'!$A$57:$A$60,0))=0,0,($O344/INDEX('Parametri Modello'!$F$57:$F$60,MATCH($B344,'Parametri Modello'!$A$57:$A$60,0)))*((1-INDEX('Parametri Modello'!$D$57:$D$60,MATCH($B344,'Parametri Modello'!$A$57:$A$60,0)))*(INDEX('Parametri Modello'!$B$50:$B$53,MATCH($B344,'Parametri Modello'!$A$50:$A$53,0))*'Parametri Modello'!$B$44))))*(1+IF(IF($B344="D",'Info Lega'!$B$25,IF($B344="C",'Info Lega'!$B$26,"No"))="Si",'Parametri Modello'!$B$5,0))*(1+MAX(-0.25,MIN(0.25,IF(OR($T344="",$I344="",$I344=0,INDEX('Parametri Modello'!$B$19:$B$22,MATCH($B344,'Parametri Modello'!$A$19:$A$22,0))="",INDEX('Parametri Modello'!$B$19:$B$22,MATCH($B344,'Parametri Modello'!$A$19:$A$22,0))=0),0,(($T344-INDEX('Parametri Modello'!$B$19:$B$22,MATCH($B344,'Parametri Modello'!$A$19:$A$22,0)))/INDEX('Parametri Modello'!$B$19:$B$22,MATCH($B344,'Parametri Modello'!$A$19:$A$22,0)))*'Parametri Modello'!$B$9))))*(1+IF('Parametri Modello'!$B$27="Si",MAX(-'Parametri Modello'!$B$28,MIN('Parametri Modello'!$B$28*1.5,IF(OR(INDEX('Parametri Modello'!$F$32:$F$35,MATCH($B344,'Parametri Modello'!$A$32:$A$35,0))="",INDEX('Parametri Modello'!$F$32:$F$35,MATCH($B344,'Parametri Modello'!$A$32:$A$35,0))=0),0,(1/INDEX('Parametri Modello'!$F$32:$F$35,MATCH($B344,'Parametri Modello'!$A$32:$A$35,0))-1)*'Parametri Modello'!$B$28))),0)))*(1+INDEX('Parametri Modello'!$B$12:$B$15,MATCH($B344,'Parametri Modello'!$A$12:$A$15,0))),0),"")</f>
        <v>2</v>
      </c>
      <c r="I344" s="26" t="n">
        <f aca="false">IFERROR(INDEX('Input Statistiche 2025_26'!$F$3:$F$665,MATCH($A344,'Input Statistiche 2025_26'!$A$3:$A$665,0)),"")</f>
        <v>35</v>
      </c>
      <c r="J344" s="26" t="n">
        <f aca="false">IFERROR(IF($I344="","",MAX(0,38-$I344)),"")</f>
        <v>3</v>
      </c>
      <c r="K344" s="26" t="n">
        <f aca="false">IFERROR(INDEX('Input Statistiche 2025_26'!$I$3:$I$665,MATCH($A344,'Input Statistiche 2025_26'!$A$3:$A$665,0)),"")</f>
        <v>0</v>
      </c>
      <c r="L344" s="26" t="n">
        <f aca="false">IFERROR(INDEX('Input Statistiche 2025_26'!$O$3:$O$665,MATCH($A344,'Input Statistiche 2025_26'!$A$3:$A$665,0)),"")</f>
        <v>0</v>
      </c>
      <c r="M344" s="28"/>
      <c r="N344" s="27" t="n">
        <f aca="false">IFERROR(INDEX('Input Giocatori 2026_27'!$E$3:$E$493,MATCH($A344,'Input Giocatori 2026_27'!$A$3:$A$493,0)),"")</f>
        <v>4</v>
      </c>
      <c r="O344" s="27" t="n">
        <f aca="false">IFERROR(INDEX('Input Giocatori 2026_27'!$G$3:$G$493,MATCH($A344,'Input Giocatori 2026_27'!$A$3:$A$493,0)),"")</f>
        <v>8</v>
      </c>
      <c r="P344" s="26" t="str">
        <f aca="false">IFERROR(IF($O344="","",IF((1-(COUNTIFS($B$2:$B$492,$B344,$O$2:$O$492,"&gt;"&amp;$O344)+1-1)/COUNTIF($B$2:$B$492,$B344))&gt;=0.85,"Top",IF((1-(COUNTIFS($B$2:$B$492,$B344,$O$2:$O$492,"&gt;"&amp;$O344)+1-1)/COUNTIF($B$2:$B$492,$B344))&gt;=0.6,"Buono",IF((1-(COUNTIFS($B$2:$B$492,$B344,$O$2:$O$492,"&gt;"&amp;$O344)+1-1)/COUNTIF($B$2:$B$492,$B344))&gt;=0.3,"Nella Media","Scommessa/Riserva")))),"")</f>
        <v>Nella Media</v>
      </c>
      <c r="Q344" s="29" t="n">
        <f aca="false">IF($D344="",COUNTIF($D$2:$D344,""),"")</f>
        <v>343</v>
      </c>
      <c r="R344" s="29" t="str">
        <f aca="false">IF($D344='Info Lega'!$B$28,COUNTIFS($D$2:$D344,'Info Lega'!$B$28),"")</f>
        <v/>
      </c>
      <c r="S344" s="30" t="n">
        <f aca="false">IFERROR(INDEX('Input Statistiche 2025_26'!$G$3:$G$665,MATCH($A344,'Input Statistiche 2025_26'!$A$3:$A$665,0)),"")</f>
        <v>5.84</v>
      </c>
      <c r="T344" s="30" t="n">
        <f aca="false">IFERROR(INDEX('Input Statistiche 2025_26'!$H$3:$H$665,MATCH($A344,'Input Statistiche 2025_26'!$A$3:$A$665,0)),"")</f>
        <v>5.67</v>
      </c>
      <c r="U344" s="26" t="str">
        <f aca="false">IF(OR('La Mia Rosa'!$O$12="",$D344&lt;&gt;""),"",IF($F344&lt;='La Mia Rosa'!$O$12*'Parametri Modello'!$B$24,"OK",IF($F344&lt;='La Mia Rosa'!$O$12*'Parametri Modello'!$B$25,"Attenzione","Rischio Alto")))</f>
        <v>OK</v>
      </c>
      <c r="V344" s="26" t="n">
        <f aca="false">IFERROR(COUNTIFS($B$2:$B$492,$B344,$O$2:$O$492,"&gt;"&amp;$O344)+1,"")</f>
        <v>118</v>
      </c>
      <c r="W344" s="21" t="n">
        <f aca="false">'Info Lega'!$B$4-SUMIFS($M$2:$M$492,$D$2:$D$492,'Info Lega'!$B$28)</f>
        <v>1000</v>
      </c>
      <c r="X344" s="21" t="n">
        <f aca="false">('Info Lega'!$B$5-COUNTIFS($D$2:$D$492,'Info Lega'!$B$28,$B$2:$B$492,"P"))+('Info Lega'!$B$6-COUNTIFS($D$2:$D$492,'Info Lega'!$B$28,$B$2:$B$492,"D"))+('Info Lega'!$B$7-COUNTIFS($D$2:$D$492,'Info Lega'!$B$28,$B$2:$B$492,"C"))+('Info Lega'!$B$8-COUNTIFS($D$2:$D$492,'Info Lega'!$B$28,$B$2:$B$492,"A"))</f>
        <v>25</v>
      </c>
      <c r="Y344" s="21" t="n">
        <f aca="false">X344*'Parametri Modello'!$B$30</f>
        <v>25</v>
      </c>
      <c r="Z344" s="21" t="n">
        <f aca="false">MAX(0,W344-Y344)</f>
        <v>975</v>
      </c>
      <c r="AA344" s="21" t="n">
        <f aca="false">MIN(F344,Z344)</f>
        <v>2</v>
      </c>
      <c r="AB344" s="21"/>
      <c r="AC344" s="21" t="str">
        <f aca="false">IF(AB344="","",IF(AB344&gt;AA344,"PASS",IF(AB344&lt;=AA344*0.85,"BID","ATTENZIONE")))</f>
        <v/>
      </c>
      <c r="AD344" s="31" t="n">
        <f aca="false">IF(I344="","",ROUND(100*(1-EXP(-I344/30)),0))</f>
        <v>69</v>
      </c>
      <c r="AE344" s="7" t="str">
        <f aca="false">IFERROR(INDEX('Stato Asta'!$G$9:$G$12,MATCH($B344,'Stato Asta'!$A$9:$A$12,0)),"")</f>
        <v>🟡 Attesa rischiosa</v>
      </c>
    </row>
    <row r="345" customFormat="false" ht="14.25" hidden="false" customHeight="true" outlineLevel="0" collapsed="false">
      <c r="A345" s="21" t="n">
        <v>7312</v>
      </c>
      <c r="B345" s="21" t="s">
        <v>44</v>
      </c>
      <c r="C345" s="21" t="s">
        <v>299</v>
      </c>
      <c r="E345" s="26" t="str">
        <f aca="false">IF(COUNTIF('Info Strategia'!$D$2:$D$51,$C345)&gt;0,"SI","NO")</f>
        <v>NO</v>
      </c>
      <c r="F345" s="27" t="n">
        <f aca="false">IFERROR(ROUND(($G345+($H345-$G345)*'Info Strategia'!$B$6)*(1+IF($E345="SI",'Parametri Modello'!$B$7*'Info Strategia'!$B$6,0)),0),"")</f>
        <v>2</v>
      </c>
      <c r="G345" s="27" t="n">
        <f aca="false">IFERROR(ROUND(MAX(1,(IF($V345&lt;=INDEX('Parametri Modello'!$C$57:$C$60,MATCH($B345,'Parametri Modello'!$A$57:$A$60,0)),IF(INDEX('Parametri Modello'!$E$57:$E$60,MATCH($B345,'Parametri Modello'!$A$57:$A$60,0))=0,0,($O345/INDEX('Parametri Modello'!$E$57:$E$60,MATCH($B345,'Parametri Modello'!$A$57:$A$60,0)))*(INDEX('Parametri Modello'!$D$57:$D$60,MATCH($B345,'Parametri Modello'!$A$57:$A$60,0))*(INDEX('Parametri Modello'!$B$50:$B$53,MATCH($B345,'Parametri Modello'!$A$50:$A$53,0))*'Parametri Modello'!$B$44))),IF(INDEX('Parametri Modello'!$F$57:$F$60,MATCH($B345,'Parametri Modello'!$A$57:$A$60,0))=0,0,($O345/INDEX('Parametri Modello'!$F$57:$F$60,MATCH($B345,'Parametri Modello'!$A$57:$A$60,0)))*((1-INDEX('Parametri Modello'!$D$57:$D$60,MATCH($B345,'Parametri Modello'!$A$57:$A$60,0)))*(INDEX('Parametri Modello'!$B$50:$B$53,MATCH($B345,'Parametri Modello'!$A$50:$A$53,0))*'Parametri Modello'!$B$44))))*(1+IF(IF($B345="D",'Info Lega'!$B$25,IF($B345="C",'Info Lega'!$B$26,"No"))="Si",'Parametri Modello'!$B$5,0))*(1+MAX(-0.25,MIN(0.25,IF(OR($T345="",$I345="",$I345=0,INDEX('Parametri Modello'!$B$19:$B$22,MATCH($B345,'Parametri Modello'!$A$19:$A$22,0))="",INDEX('Parametri Modello'!$B$19:$B$22,MATCH($B345,'Parametri Modello'!$A$19:$A$22,0))=0),0,(($T345-INDEX('Parametri Modello'!$B$19:$B$22,MATCH($B345,'Parametri Modello'!$A$19:$A$22,0)))/INDEX('Parametri Modello'!$B$19:$B$22,MATCH($B345,'Parametri Modello'!$A$19:$A$22,0)))*'Parametri Modello'!$B$9))))*(1+IF('Parametri Modello'!$B$27="Si",MAX(-'Parametri Modello'!$B$28,MIN('Parametri Modello'!$B$28*1.5,IF(OR(INDEX('Parametri Modello'!$F$32:$F$35,MATCH($B345,'Parametri Modello'!$A$32:$A$35,0))="",INDEX('Parametri Modello'!$F$32:$F$35,MATCH($B345,'Parametri Modello'!$A$32:$A$35,0))=0),0,(1/INDEX('Parametri Modello'!$F$32:$F$35,MATCH($B345,'Parametri Modello'!$A$32:$A$35,0))-1)*'Parametri Modello'!$B$28))),0)))*(1-INDEX('Parametri Modello'!$B$12:$B$15,MATCH($B345,'Parametri Modello'!$A$12:$A$15,0)))),0),"")</f>
        <v>1</v>
      </c>
      <c r="H345" s="27" t="n">
        <f aca="false">IFERROR(ROUND((IF($V345&lt;=INDEX('Parametri Modello'!$C$57:$C$60,MATCH($B345,'Parametri Modello'!$A$57:$A$60,0)),IF(INDEX('Parametri Modello'!$E$57:$E$60,MATCH($B345,'Parametri Modello'!$A$57:$A$60,0))=0,0,($O345/INDEX('Parametri Modello'!$E$57:$E$60,MATCH($B345,'Parametri Modello'!$A$57:$A$60,0)))*(INDEX('Parametri Modello'!$D$57:$D$60,MATCH($B345,'Parametri Modello'!$A$57:$A$60,0))*(INDEX('Parametri Modello'!$B$50:$B$53,MATCH($B345,'Parametri Modello'!$A$50:$A$53,0))*'Parametri Modello'!$B$44))),IF(INDEX('Parametri Modello'!$F$57:$F$60,MATCH($B345,'Parametri Modello'!$A$57:$A$60,0))=0,0,($O345/INDEX('Parametri Modello'!$F$57:$F$60,MATCH($B345,'Parametri Modello'!$A$57:$A$60,0)))*((1-INDEX('Parametri Modello'!$D$57:$D$60,MATCH($B345,'Parametri Modello'!$A$57:$A$60,0)))*(INDEX('Parametri Modello'!$B$50:$B$53,MATCH($B345,'Parametri Modello'!$A$50:$A$53,0))*'Parametri Modello'!$B$44))))*(1+IF(IF($B345="D",'Info Lega'!$B$25,IF($B345="C",'Info Lega'!$B$26,"No"))="Si",'Parametri Modello'!$B$5,0))*(1+MAX(-0.25,MIN(0.25,IF(OR($T345="",$I345="",$I345=0,INDEX('Parametri Modello'!$B$19:$B$22,MATCH($B345,'Parametri Modello'!$A$19:$A$22,0))="",INDEX('Parametri Modello'!$B$19:$B$22,MATCH($B345,'Parametri Modello'!$A$19:$A$22,0))=0),0,(($T345-INDEX('Parametri Modello'!$B$19:$B$22,MATCH($B345,'Parametri Modello'!$A$19:$A$22,0)))/INDEX('Parametri Modello'!$B$19:$B$22,MATCH($B345,'Parametri Modello'!$A$19:$A$22,0)))*'Parametri Modello'!$B$9))))*(1+IF('Parametri Modello'!$B$27="Si",MAX(-'Parametri Modello'!$B$28,MIN('Parametri Modello'!$B$28*1.5,IF(OR(INDEX('Parametri Modello'!$F$32:$F$35,MATCH($B345,'Parametri Modello'!$A$32:$A$35,0))="",INDEX('Parametri Modello'!$F$32:$F$35,MATCH($B345,'Parametri Modello'!$A$32:$A$35,0))=0),0,(1/INDEX('Parametri Modello'!$F$32:$F$35,MATCH($B345,'Parametri Modello'!$A$32:$A$35,0))-1)*'Parametri Modello'!$B$28))),0)))*(1+INDEX('Parametri Modello'!$B$12:$B$15,MATCH($B345,'Parametri Modello'!$A$12:$A$15,0))),0),"")</f>
        <v>2</v>
      </c>
      <c r="I345" s="26" t="n">
        <f aca="false">IFERROR(INDEX('Input Statistiche 2025_26'!$F$3:$F$665,MATCH($A345,'Input Statistiche 2025_26'!$A$3:$A$665,0)),"")</f>
        <v>5</v>
      </c>
      <c r="J345" s="26" t="n">
        <f aca="false">IFERROR(IF($I345="","",MAX(0,38-$I345)),"")</f>
        <v>33</v>
      </c>
      <c r="K345" s="26" t="n">
        <f aca="false">IFERROR(INDEX('Input Statistiche 2025_26'!$I$3:$I$665,MATCH($A345,'Input Statistiche 2025_26'!$A$3:$A$665,0)),"")</f>
        <v>0</v>
      </c>
      <c r="L345" s="26" t="n">
        <f aca="false">IFERROR(INDEX('Input Statistiche 2025_26'!$O$3:$O$665,MATCH($A345,'Input Statistiche 2025_26'!$A$3:$A$665,0)),"")</f>
        <v>0</v>
      </c>
      <c r="M345" s="28"/>
      <c r="N345" s="27" t="n">
        <f aca="false">IFERROR(INDEX('Input Giocatori 2026_27'!$E$3:$E$493,MATCH($A345,'Input Giocatori 2026_27'!$A$3:$A$493,0)),"")</f>
        <v>4</v>
      </c>
      <c r="O345" s="27" t="n">
        <f aca="false">IFERROR(INDEX('Input Giocatori 2026_27'!$G$3:$G$493,MATCH($A345,'Input Giocatori 2026_27'!$A$3:$A$493,0)),"")</f>
        <v>8</v>
      </c>
      <c r="P345" s="26" t="str">
        <f aca="false">IFERROR(IF($O345="","",IF((1-(COUNTIFS($B$2:$B$492,$B345,$O$2:$O$492,"&gt;"&amp;$O345)+1-1)/COUNTIF($B$2:$B$492,$B345))&gt;=0.85,"Top",IF((1-(COUNTIFS($B$2:$B$492,$B345,$O$2:$O$492,"&gt;"&amp;$O345)+1-1)/COUNTIF($B$2:$B$492,$B345))&gt;=0.6,"Buono",IF((1-(COUNTIFS($B$2:$B$492,$B345,$O$2:$O$492,"&gt;"&amp;$O345)+1-1)/COUNTIF($B$2:$B$492,$B345))&gt;=0.3,"Nella Media","Scommessa/Riserva")))),"")</f>
        <v>Nella Media</v>
      </c>
      <c r="Q345" s="29" t="n">
        <f aca="false">IF($D345="",COUNTIF($D$2:$D345,""),"")</f>
        <v>344</v>
      </c>
      <c r="R345" s="29" t="str">
        <f aca="false">IF($D345='Info Lega'!$B$28,COUNTIFS($D$2:$D345,'Info Lega'!$B$28),"")</f>
        <v/>
      </c>
      <c r="S345" s="30" t="n">
        <f aca="false">IFERROR(INDEX('Input Statistiche 2025_26'!$G$3:$G$665,MATCH($A345,'Input Statistiche 2025_26'!$A$3:$A$665,0)),"")</f>
        <v>5.8</v>
      </c>
      <c r="T345" s="30" t="n">
        <f aca="false">IFERROR(INDEX('Input Statistiche 2025_26'!$H$3:$H$665,MATCH($A345,'Input Statistiche 2025_26'!$A$3:$A$665,0)),"")</f>
        <v>5.8</v>
      </c>
      <c r="U345" s="26" t="str">
        <f aca="false">IF(OR('La Mia Rosa'!$O$12="",$D345&lt;&gt;""),"",IF($F345&lt;='La Mia Rosa'!$O$12*'Parametri Modello'!$B$24,"OK",IF($F345&lt;='La Mia Rosa'!$O$12*'Parametri Modello'!$B$25,"Attenzione","Rischio Alto")))</f>
        <v>OK</v>
      </c>
      <c r="V345" s="26" t="n">
        <f aca="false">IFERROR(COUNTIFS($B$2:$B$492,$B345,$O$2:$O$492,"&gt;"&amp;$O345)+1,"")</f>
        <v>118</v>
      </c>
      <c r="W345" s="21" t="n">
        <f aca="false">'Info Lega'!$B$4-SUMIFS($M$2:$M$492,$D$2:$D$492,'Info Lega'!$B$28)</f>
        <v>1000</v>
      </c>
      <c r="X345" s="21" t="n">
        <f aca="false">('Info Lega'!$B$5-COUNTIFS($D$2:$D$492,'Info Lega'!$B$28,$B$2:$B$492,"P"))+('Info Lega'!$B$6-COUNTIFS($D$2:$D$492,'Info Lega'!$B$28,$B$2:$B$492,"D"))+('Info Lega'!$B$7-COUNTIFS($D$2:$D$492,'Info Lega'!$B$28,$B$2:$B$492,"C"))+('Info Lega'!$B$8-COUNTIFS($D$2:$D$492,'Info Lega'!$B$28,$B$2:$B$492,"A"))</f>
        <v>25</v>
      </c>
      <c r="Y345" s="21" t="n">
        <f aca="false">X345*'Parametri Modello'!$B$30</f>
        <v>25</v>
      </c>
      <c r="Z345" s="21" t="n">
        <f aca="false">MAX(0,W345-Y345)</f>
        <v>975</v>
      </c>
      <c r="AA345" s="21" t="n">
        <f aca="false">MIN(F345,Z345)</f>
        <v>2</v>
      </c>
      <c r="AB345" s="21"/>
      <c r="AC345" s="21" t="str">
        <f aca="false">IF(AB345="","",IF(AB345&gt;AA345,"PASS",IF(AB345&lt;=AA345*0.85,"BID","ATTENZIONE")))</f>
        <v/>
      </c>
      <c r="AD345" s="31" t="n">
        <f aca="false">IF(I345="","",ROUND(100*(1-EXP(-I345/30)),0))</f>
        <v>15</v>
      </c>
      <c r="AE345" s="7" t="str">
        <f aca="false">IFERROR(INDEX('Stato Asta'!$G$9:$G$12,MATCH($B345,'Stato Asta'!$A$9:$A$12,0)),"")</f>
        <v>🟡 Attesa rischiosa</v>
      </c>
    </row>
    <row r="346" customFormat="false" ht="14.25" hidden="false" customHeight="true" outlineLevel="0" collapsed="false">
      <c r="A346" s="21" t="n">
        <v>5757</v>
      </c>
      <c r="B346" s="21" t="s">
        <v>44</v>
      </c>
      <c r="C346" s="21" t="s">
        <v>309</v>
      </c>
      <c r="E346" s="26" t="str">
        <f aca="false">IF(COUNTIF('Info Strategia'!$D$2:$D$51,$C346)&gt;0,"SI","NO")</f>
        <v>NO</v>
      </c>
      <c r="F346" s="27" t="n">
        <f aca="false">IFERROR(ROUND(($G346+($H346-$G346)*'Info Strategia'!$B$6)*(1+IF($E346="SI",'Parametri Modello'!$B$7*'Info Strategia'!$B$6,0)),0),"")</f>
        <v>2</v>
      </c>
      <c r="G346" s="27" t="n">
        <f aca="false">IFERROR(ROUND(MAX(1,(IF($V346&lt;=INDEX('Parametri Modello'!$C$57:$C$60,MATCH($B346,'Parametri Modello'!$A$57:$A$60,0)),IF(INDEX('Parametri Modello'!$E$57:$E$60,MATCH($B346,'Parametri Modello'!$A$57:$A$60,0))=0,0,($O346/INDEX('Parametri Modello'!$E$57:$E$60,MATCH($B346,'Parametri Modello'!$A$57:$A$60,0)))*(INDEX('Parametri Modello'!$D$57:$D$60,MATCH($B346,'Parametri Modello'!$A$57:$A$60,0))*(INDEX('Parametri Modello'!$B$50:$B$53,MATCH($B346,'Parametri Modello'!$A$50:$A$53,0))*'Parametri Modello'!$B$44))),IF(INDEX('Parametri Modello'!$F$57:$F$60,MATCH($B346,'Parametri Modello'!$A$57:$A$60,0))=0,0,($O346/INDEX('Parametri Modello'!$F$57:$F$60,MATCH($B346,'Parametri Modello'!$A$57:$A$60,0)))*((1-INDEX('Parametri Modello'!$D$57:$D$60,MATCH($B346,'Parametri Modello'!$A$57:$A$60,0)))*(INDEX('Parametri Modello'!$B$50:$B$53,MATCH($B346,'Parametri Modello'!$A$50:$A$53,0))*'Parametri Modello'!$B$44))))*(1+IF(IF($B346="D",'Info Lega'!$B$25,IF($B346="C",'Info Lega'!$B$26,"No"))="Si",'Parametri Modello'!$B$5,0))*(1+MAX(-0.25,MIN(0.25,IF(OR($T346="",$I346="",$I346=0,INDEX('Parametri Modello'!$B$19:$B$22,MATCH($B346,'Parametri Modello'!$A$19:$A$22,0))="",INDEX('Parametri Modello'!$B$19:$B$22,MATCH($B346,'Parametri Modello'!$A$19:$A$22,0))=0),0,(($T346-INDEX('Parametri Modello'!$B$19:$B$22,MATCH($B346,'Parametri Modello'!$A$19:$A$22,0)))/INDEX('Parametri Modello'!$B$19:$B$22,MATCH($B346,'Parametri Modello'!$A$19:$A$22,0)))*'Parametri Modello'!$B$9))))*(1+IF('Parametri Modello'!$B$27="Si",MAX(-'Parametri Modello'!$B$28,MIN('Parametri Modello'!$B$28*1.5,IF(OR(INDEX('Parametri Modello'!$F$32:$F$35,MATCH($B346,'Parametri Modello'!$A$32:$A$35,0))="",INDEX('Parametri Modello'!$F$32:$F$35,MATCH($B346,'Parametri Modello'!$A$32:$A$35,0))=0),0,(1/INDEX('Parametri Modello'!$F$32:$F$35,MATCH($B346,'Parametri Modello'!$A$32:$A$35,0))-1)*'Parametri Modello'!$B$28))),0)))*(1-INDEX('Parametri Modello'!$B$12:$B$15,MATCH($B346,'Parametri Modello'!$A$12:$A$15,0)))),0),"")</f>
        <v>1</v>
      </c>
      <c r="H346" s="27" t="n">
        <f aca="false">IFERROR(ROUND((IF($V346&lt;=INDEX('Parametri Modello'!$C$57:$C$60,MATCH($B346,'Parametri Modello'!$A$57:$A$60,0)),IF(INDEX('Parametri Modello'!$E$57:$E$60,MATCH($B346,'Parametri Modello'!$A$57:$A$60,0))=0,0,($O346/INDEX('Parametri Modello'!$E$57:$E$60,MATCH($B346,'Parametri Modello'!$A$57:$A$60,0)))*(INDEX('Parametri Modello'!$D$57:$D$60,MATCH($B346,'Parametri Modello'!$A$57:$A$60,0))*(INDEX('Parametri Modello'!$B$50:$B$53,MATCH($B346,'Parametri Modello'!$A$50:$A$53,0))*'Parametri Modello'!$B$44))),IF(INDEX('Parametri Modello'!$F$57:$F$60,MATCH($B346,'Parametri Modello'!$A$57:$A$60,0))=0,0,($O346/INDEX('Parametri Modello'!$F$57:$F$60,MATCH($B346,'Parametri Modello'!$A$57:$A$60,0)))*((1-INDEX('Parametri Modello'!$D$57:$D$60,MATCH($B346,'Parametri Modello'!$A$57:$A$60,0)))*(INDEX('Parametri Modello'!$B$50:$B$53,MATCH($B346,'Parametri Modello'!$A$50:$A$53,0))*'Parametri Modello'!$B$44))))*(1+IF(IF($B346="D",'Info Lega'!$B$25,IF($B346="C",'Info Lega'!$B$26,"No"))="Si",'Parametri Modello'!$B$5,0))*(1+MAX(-0.25,MIN(0.25,IF(OR($T346="",$I346="",$I346=0,INDEX('Parametri Modello'!$B$19:$B$22,MATCH($B346,'Parametri Modello'!$A$19:$A$22,0))="",INDEX('Parametri Modello'!$B$19:$B$22,MATCH($B346,'Parametri Modello'!$A$19:$A$22,0))=0),0,(($T346-INDEX('Parametri Modello'!$B$19:$B$22,MATCH($B346,'Parametri Modello'!$A$19:$A$22,0)))/INDEX('Parametri Modello'!$B$19:$B$22,MATCH($B346,'Parametri Modello'!$A$19:$A$22,0)))*'Parametri Modello'!$B$9))))*(1+IF('Parametri Modello'!$B$27="Si",MAX(-'Parametri Modello'!$B$28,MIN('Parametri Modello'!$B$28*1.5,IF(OR(INDEX('Parametri Modello'!$F$32:$F$35,MATCH($B346,'Parametri Modello'!$A$32:$A$35,0))="",INDEX('Parametri Modello'!$F$32:$F$35,MATCH($B346,'Parametri Modello'!$A$32:$A$35,0))=0),0,(1/INDEX('Parametri Modello'!$F$32:$F$35,MATCH($B346,'Parametri Modello'!$A$32:$A$35,0))-1)*'Parametri Modello'!$B$28))),0)))*(1+INDEX('Parametri Modello'!$B$12:$B$15,MATCH($B346,'Parametri Modello'!$A$12:$A$15,0))),0),"")</f>
        <v>2</v>
      </c>
      <c r="I346" s="26" t="str">
        <f aca="false">IFERROR(INDEX('Input Statistiche 2025_26'!$F$3:$F$665,MATCH($A346,'Input Statistiche 2025_26'!$A$3:$A$665,0)),"")</f>
        <v/>
      </c>
      <c r="J346" s="26" t="str">
        <f aca="false">IFERROR(IF($I346="","",MAX(0,38-$I346)),"")</f>
        <v/>
      </c>
      <c r="K346" s="26" t="str">
        <f aca="false">IFERROR(INDEX('Input Statistiche 2025_26'!$I$3:$I$665,MATCH($A346,'Input Statistiche 2025_26'!$A$3:$A$665,0)),"")</f>
        <v/>
      </c>
      <c r="L346" s="26" t="str">
        <f aca="false">IFERROR(INDEX('Input Statistiche 2025_26'!$O$3:$O$665,MATCH($A346,'Input Statistiche 2025_26'!$A$3:$A$665,0)),"")</f>
        <v/>
      </c>
      <c r="M346" s="28"/>
      <c r="N346" s="27" t="n">
        <f aca="false">IFERROR(INDEX('Input Giocatori 2026_27'!$E$3:$E$493,MATCH($A346,'Input Giocatori 2026_27'!$A$3:$A$493,0)),"")</f>
        <v>3</v>
      </c>
      <c r="O346" s="27" t="n">
        <f aca="false">IFERROR(INDEX('Input Giocatori 2026_27'!$G$3:$G$493,MATCH($A346,'Input Giocatori 2026_27'!$A$3:$A$493,0)),"")</f>
        <v>8</v>
      </c>
      <c r="P346" s="26" t="str">
        <f aca="false">IFERROR(IF($O346="","",IF((1-(COUNTIFS($B$2:$B$492,$B346,$O$2:$O$492,"&gt;"&amp;$O346)+1-1)/COUNTIF($B$2:$B$492,$B346))&gt;=0.85,"Top",IF((1-(COUNTIFS($B$2:$B$492,$B346,$O$2:$O$492,"&gt;"&amp;$O346)+1-1)/COUNTIF($B$2:$B$492,$B346))&gt;=0.6,"Buono",IF((1-(COUNTIFS($B$2:$B$492,$B346,$O$2:$O$492,"&gt;"&amp;$O346)+1-1)/COUNTIF($B$2:$B$492,$B346))&gt;=0.3,"Nella Media","Scommessa/Riserva")))),"")</f>
        <v>Nella Media</v>
      </c>
      <c r="Q346" s="29" t="n">
        <f aca="false">IF($D346="",COUNTIF($D$2:$D346,""),"")</f>
        <v>345</v>
      </c>
      <c r="R346" s="29" t="str">
        <f aca="false">IF($D346='Info Lega'!$B$28,COUNTIFS($D$2:$D346,'Info Lega'!$B$28),"")</f>
        <v/>
      </c>
      <c r="S346" s="30" t="str">
        <f aca="false">IFERROR(INDEX('Input Statistiche 2025_26'!$G$3:$G$665,MATCH($A346,'Input Statistiche 2025_26'!$A$3:$A$665,0)),"")</f>
        <v/>
      </c>
      <c r="T346" s="30" t="str">
        <f aca="false">IFERROR(INDEX('Input Statistiche 2025_26'!$H$3:$H$665,MATCH($A346,'Input Statistiche 2025_26'!$A$3:$A$665,0)),"")</f>
        <v/>
      </c>
      <c r="U346" s="26" t="str">
        <f aca="false">IF(OR('La Mia Rosa'!$O$12="",$D346&lt;&gt;""),"",IF($F346&lt;='La Mia Rosa'!$O$12*'Parametri Modello'!$B$24,"OK",IF($F346&lt;='La Mia Rosa'!$O$12*'Parametri Modello'!$B$25,"Attenzione","Rischio Alto")))</f>
        <v>OK</v>
      </c>
      <c r="V346" s="26" t="n">
        <f aca="false">IFERROR(COUNTIFS($B$2:$B$492,$B346,$O$2:$O$492,"&gt;"&amp;$O346)+1,"")</f>
        <v>118</v>
      </c>
      <c r="W346" s="21" t="n">
        <f aca="false">'Info Lega'!$B$4-SUMIFS($M$2:$M$492,$D$2:$D$492,'Info Lega'!$B$28)</f>
        <v>1000</v>
      </c>
      <c r="X346" s="21" t="n">
        <f aca="false">('Info Lega'!$B$5-COUNTIFS($D$2:$D$492,'Info Lega'!$B$28,$B$2:$B$492,"P"))+('Info Lega'!$B$6-COUNTIFS($D$2:$D$492,'Info Lega'!$B$28,$B$2:$B$492,"D"))+('Info Lega'!$B$7-COUNTIFS($D$2:$D$492,'Info Lega'!$B$28,$B$2:$B$492,"C"))+('Info Lega'!$B$8-COUNTIFS($D$2:$D$492,'Info Lega'!$B$28,$B$2:$B$492,"A"))</f>
        <v>25</v>
      </c>
      <c r="Y346" s="21" t="n">
        <f aca="false">X346*'Parametri Modello'!$B$30</f>
        <v>25</v>
      </c>
      <c r="Z346" s="21" t="n">
        <f aca="false">MAX(0,W346-Y346)</f>
        <v>975</v>
      </c>
      <c r="AA346" s="21" t="n">
        <f aca="false">MIN(F346,Z346)</f>
        <v>2</v>
      </c>
      <c r="AB346" s="21"/>
      <c r="AC346" s="21" t="str">
        <f aca="false">IF(AB346="","",IF(AB346&gt;AA346,"PASS",IF(AB346&lt;=AA346*0.85,"BID","ATTENZIONE")))</f>
        <v/>
      </c>
      <c r="AD346" s="31" t="str">
        <f aca="false">IF(I346="","",ROUND(100*(1-EXP(-I346/30)),0))</f>
        <v/>
      </c>
      <c r="AE346" s="7" t="str">
        <f aca="false">IFERROR(INDEX('Stato Asta'!$G$9:$G$12,MATCH($B346,'Stato Asta'!$A$9:$A$12,0)),"")</f>
        <v>🟡 Attesa rischiosa</v>
      </c>
    </row>
    <row r="347" customFormat="false" ht="14.25" hidden="false" customHeight="true" outlineLevel="0" collapsed="false">
      <c r="A347" s="21" t="n">
        <v>7211</v>
      </c>
      <c r="B347" s="21" t="s">
        <v>44</v>
      </c>
      <c r="C347" s="21" t="s">
        <v>313</v>
      </c>
      <c r="E347" s="26" t="str">
        <f aca="false">IF(COUNTIF('Info Strategia'!$D$2:$D$51,$C347)&gt;0,"SI","NO")</f>
        <v>NO</v>
      </c>
      <c r="F347" s="27" t="n">
        <f aca="false">IFERROR(ROUND(($G347+($H347-$G347)*'Info Strategia'!$B$6)*(1+IF($E347="SI",'Parametri Modello'!$B$7*'Info Strategia'!$B$6,0)),0),"")</f>
        <v>2</v>
      </c>
      <c r="G347" s="27" t="n">
        <f aca="false">IFERROR(ROUND(MAX(1,(IF($V347&lt;=INDEX('Parametri Modello'!$C$57:$C$60,MATCH($B347,'Parametri Modello'!$A$57:$A$60,0)),IF(INDEX('Parametri Modello'!$E$57:$E$60,MATCH($B347,'Parametri Modello'!$A$57:$A$60,0))=0,0,($O347/INDEX('Parametri Modello'!$E$57:$E$60,MATCH($B347,'Parametri Modello'!$A$57:$A$60,0)))*(INDEX('Parametri Modello'!$D$57:$D$60,MATCH($B347,'Parametri Modello'!$A$57:$A$60,0))*(INDEX('Parametri Modello'!$B$50:$B$53,MATCH($B347,'Parametri Modello'!$A$50:$A$53,0))*'Parametri Modello'!$B$44))),IF(INDEX('Parametri Modello'!$F$57:$F$60,MATCH($B347,'Parametri Modello'!$A$57:$A$60,0))=0,0,($O347/INDEX('Parametri Modello'!$F$57:$F$60,MATCH($B347,'Parametri Modello'!$A$57:$A$60,0)))*((1-INDEX('Parametri Modello'!$D$57:$D$60,MATCH($B347,'Parametri Modello'!$A$57:$A$60,0)))*(INDEX('Parametri Modello'!$B$50:$B$53,MATCH($B347,'Parametri Modello'!$A$50:$A$53,0))*'Parametri Modello'!$B$44))))*(1+IF(IF($B347="D",'Info Lega'!$B$25,IF($B347="C",'Info Lega'!$B$26,"No"))="Si",'Parametri Modello'!$B$5,0))*(1+MAX(-0.25,MIN(0.25,IF(OR($T347="",$I347="",$I347=0,INDEX('Parametri Modello'!$B$19:$B$22,MATCH($B347,'Parametri Modello'!$A$19:$A$22,0))="",INDEX('Parametri Modello'!$B$19:$B$22,MATCH($B347,'Parametri Modello'!$A$19:$A$22,0))=0),0,(($T347-INDEX('Parametri Modello'!$B$19:$B$22,MATCH($B347,'Parametri Modello'!$A$19:$A$22,0)))/INDEX('Parametri Modello'!$B$19:$B$22,MATCH($B347,'Parametri Modello'!$A$19:$A$22,0)))*'Parametri Modello'!$B$9))))*(1+IF('Parametri Modello'!$B$27="Si",MAX(-'Parametri Modello'!$B$28,MIN('Parametri Modello'!$B$28*1.5,IF(OR(INDEX('Parametri Modello'!$F$32:$F$35,MATCH($B347,'Parametri Modello'!$A$32:$A$35,0))="",INDEX('Parametri Modello'!$F$32:$F$35,MATCH($B347,'Parametri Modello'!$A$32:$A$35,0))=0),0,(1/INDEX('Parametri Modello'!$F$32:$F$35,MATCH($B347,'Parametri Modello'!$A$32:$A$35,0))-1)*'Parametri Modello'!$B$28))),0)))*(1-INDEX('Parametri Modello'!$B$12:$B$15,MATCH($B347,'Parametri Modello'!$A$12:$A$15,0)))),0),"")</f>
        <v>1</v>
      </c>
      <c r="H347" s="27" t="n">
        <f aca="false">IFERROR(ROUND((IF($V347&lt;=INDEX('Parametri Modello'!$C$57:$C$60,MATCH($B347,'Parametri Modello'!$A$57:$A$60,0)),IF(INDEX('Parametri Modello'!$E$57:$E$60,MATCH($B347,'Parametri Modello'!$A$57:$A$60,0))=0,0,($O347/INDEX('Parametri Modello'!$E$57:$E$60,MATCH($B347,'Parametri Modello'!$A$57:$A$60,0)))*(INDEX('Parametri Modello'!$D$57:$D$60,MATCH($B347,'Parametri Modello'!$A$57:$A$60,0))*(INDEX('Parametri Modello'!$B$50:$B$53,MATCH($B347,'Parametri Modello'!$A$50:$A$53,0))*'Parametri Modello'!$B$44))),IF(INDEX('Parametri Modello'!$F$57:$F$60,MATCH($B347,'Parametri Modello'!$A$57:$A$60,0))=0,0,($O347/INDEX('Parametri Modello'!$F$57:$F$60,MATCH($B347,'Parametri Modello'!$A$57:$A$60,0)))*((1-INDEX('Parametri Modello'!$D$57:$D$60,MATCH($B347,'Parametri Modello'!$A$57:$A$60,0)))*(INDEX('Parametri Modello'!$B$50:$B$53,MATCH($B347,'Parametri Modello'!$A$50:$A$53,0))*'Parametri Modello'!$B$44))))*(1+IF(IF($B347="D",'Info Lega'!$B$25,IF($B347="C",'Info Lega'!$B$26,"No"))="Si",'Parametri Modello'!$B$5,0))*(1+MAX(-0.25,MIN(0.25,IF(OR($T347="",$I347="",$I347=0,INDEX('Parametri Modello'!$B$19:$B$22,MATCH($B347,'Parametri Modello'!$A$19:$A$22,0))="",INDEX('Parametri Modello'!$B$19:$B$22,MATCH($B347,'Parametri Modello'!$A$19:$A$22,0))=0),0,(($T347-INDEX('Parametri Modello'!$B$19:$B$22,MATCH($B347,'Parametri Modello'!$A$19:$A$22,0)))/INDEX('Parametri Modello'!$B$19:$B$22,MATCH($B347,'Parametri Modello'!$A$19:$A$22,0)))*'Parametri Modello'!$B$9))))*(1+IF('Parametri Modello'!$B$27="Si",MAX(-'Parametri Modello'!$B$28,MIN('Parametri Modello'!$B$28*1.5,IF(OR(INDEX('Parametri Modello'!$F$32:$F$35,MATCH($B347,'Parametri Modello'!$A$32:$A$35,0))="",INDEX('Parametri Modello'!$F$32:$F$35,MATCH($B347,'Parametri Modello'!$A$32:$A$35,0))=0),0,(1/INDEX('Parametri Modello'!$F$32:$F$35,MATCH($B347,'Parametri Modello'!$A$32:$A$35,0))-1)*'Parametri Modello'!$B$28))),0)))*(1+INDEX('Parametri Modello'!$B$12:$B$15,MATCH($B347,'Parametri Modello'!$A$12:$A$15,0))),0),"")</f>
        <v>2</v>
      </c>
      <c r="I347" s="26" t="n">
        <f aca="false">IFERROR(INDEX('Input Statistiche 2025_26'!$F$3:$F$665,MATCH($A347,'Input Statistiche 2025_26'!$A$3:$A$665,0)),"")</f>
        <v>17</v>
      </c>
      <c r="J347" s="26" t="n">
        <f aca="false">IFERROR(IF($I347="","",MAX(0,38-$I347)),"")</f>
        <v>21</v>
      </c>
      <c r="K347" s="26" t="n">
        <f aca="false">IFERROR(INDEX('Input Statistiche 2025_26'!$I$3:$I$665,MATCH($A347,'Input Statistiche 2025_26'!$A$3:$A$665,0)),"")</f>
        <v>2</v>
      </c>
      <c r="L347" s="26" t="n">
        <f aca="false">IFERROR(INDEX('Input Statistiche 2025_26'!$O$3:$O$665,MATCH($A347,'Input Statistiche 2025_26'!$A$3:$A$665,0)),"")</f>
        <v>2</v>
      </c>
      <c r="M347" s="28"/>
      <c r="N347" s="27" t="n">
        <f aca="false">IFERROR(INDEX('Input Giocatori 2026_27'!$E$3:$E$493,MATCH($A347,'Input Giocatori 2026_27'!$A$3:$A$493,0)),"")</f>
        <v>3</v>
      </c>
      <c r="O347" s="27" t="n">
        <f aca="false">IFERROR(INDEX('Input Giocatori 2026_27'!$G$3:$G$493,MATCH($A347,'Input Giocatori 2026_27'!$A$3:$A$493,0)),"")</f>
        <v>8</v>
      </c>
      <c r="P347" s="26" t="str">
        <f aca="false">IFERROR(IF($O347="","",IF((1-(COUNTIFS($B$2:$B$492,$B347,$O$2:$O$492,"&gt;"&amp;$O347)+1-1)/COUNTIF($B$2:$B$492,$B347))&gt;=0.85,"Top",IF((1-(COUNTIFS($B$2:$B$492,$B347,$O$2:$O$492,"&gt;"&amp;$O347)+1-1)/COUNTIF($B$2:$B$492,$B347))&gt;=0.6,"Buono",IF((1-(COUNTIFS($B$2:$B$492,$B347,$O$2:$O$492,"&gt;"&amp;$O347)+1-1)/COUNTIF($B$2:$B$492,$B347))&gt;=0.3,"Nella Media","Scommessa/Riserva")))),"")</f>
        <v>Nella Media</v>
      </c>
      <c r="Q347" s="29" t="n">
        <f aca="false">IF($D347="",COUNTIF($D$2:$D347,""),"")</f>
        <v>346</v>
      </c>
      <c r="R347" s="29" t="str">
        <f aca="false">IF($D347='Info Lega'!$B$28,COUNTIFS($D$2:$D347,'Info Lega'!$B$28),"")</f>
        <v/>
      </c>
      <c r="S347" s="30" t="n">
        <f aca="false">IFERROR(INDEX('Input Statistiche 2025_26'!$G$3:$G$665,MATCH($A347,'Input Statistiche 2025_26'!$A$3:$A$665,0)),"")</f>
        <v>5.94</v>
      </c>
      <c r="T347" s="30" t="n">
        <f aca="false">IFERROR(INDEX('Input Statistiche 2025_26'!$H$3:$H$665,MATCH($A347,'Input Statistiche 2025_26'!$A$3:$A$665,0)),"")</f>
        <v>6.32</v>
      </c>
      <c r="U347" s="26" t="str">
        <f aca="false">IF(OR('La Mia Rosa'!$O$12="",$D347&lt;&gt;""),"",IF($F347&lt;='La Mia Rosa'!$O$12*'Parametri Modello'!$B$24,"OK",IF($F347&lt;='La Mia Rosa'!$O$12*'Parametri Modello'!$B$25,"Attenzione","Rischio Alto")))</f>
        <v>OK</v>
      </c>
      <c r="V347" s="26" t="n">
        <f aca="false">IFERROR(COUNTIFS($B$2:$B$492,$B347,$O$2:$O$492,"&gt;"&amp;$O347)+1,"")</f>
        <v>118</v>
      </c>
      <c r="W347" s="21" t="n">
        <f aca="false">'Info Lega'!$B$4-SUMIFS($M$2:$M$492,$D$2:$D$492,'Info Lega'!$B$28)</f>
        <v>1000</v>
      </c>
      <c r="X347" s="21" t="n">
        <f aca="false">('Info Lega'!$B$5-COUNTIFS($D$2:$D$492,'Info Lega'!$B$28,$B$2:$B$492,"P"))+('Info Lega'!$B$6-COUNTIFS($D$2:$D$492,'Info Lega'!$B$28,$B$2:$B$492,"D"))+('Info Lega'!$B$7-COUNTIFS($D$2:$D$492,'Info Lega'!$B$28,$B$2:$B$492,"C"))+('Info Lega'!$B$8-COUNTIFS($D$2:$D$492,'Info Lega'!$B$28,$B$2:$B$492,"A"))</f>
        <v>25</v>
      </c>
      <c r="Y347" s="21" t="n">
        <f aca="false">X347*'Parametri Modello'!$B$30</f>
        <v>25</v>
      </c>
      <c r="Z347" s="21" t="n">
        <f aca="false">MAX(0,W347-Y347)</f>
        <v>975</v>
      </c>
      <c r="AA347" s="21" t="n">
        <f aca="false">MIN(F347,Z347)</f>
        <v>2</v>
      </c>
      <c r="AB347" s="21"/>
      <c r="AC347" s="21" t="str">
        <f aca="false">IF(AB347="","",IF(AB347&gt;AA347,"PASS",IF(AB347&lt;=AA347*0.85,"BID","ATTENZIONE")))</f>
        <v/>
      </c>
      <c r="AD347" s="31" t="n">
        <f aca="false">IF(I347="","",ROUND(100*(1-EXP(-I347/30)),0))</f>
        <v>43</v>
      </c>
      <c r="AE347" s="7" t="str">
        <f aca="false">IFERROR(INDEX('Stato Asta'!$G$9:$G$12,MATCH($B347,'Stato Asta'!$A$9:$A$12,0)),"")</f>
        <v>🟡 Attesa rischiosa</v>
      </c>
    </row>
    <row r="348" customFormat="false" ht="14.25" hidden="false" customHeight="true" outlineLevel="0" collapsed="false">
      <c r="A348" s="21" t="n">
        <v>7235</v>
      </c>
      <c r="B348" s="21" t="s">
        <v>44</v>
      </c>
      <c r="C348" s="21" t="s">
        <v>317</v>
      </c>
      <c r="E348" s="26" t="str">
        <f aca="false">IF(COUNTIF('Info Strategia'!$D$2:$D$51,$C348)&gt;0,"SI","NO")</f>
        <v>NO</v>
      </c>
      <c r="F348" s="27" t="n">
        <f aca="false">IFERROR(ROUND(($G348+($H348-$G348)*'Info Strategia'!$B$6)*(1+IF($E348="SI",'Parametri Modello'!$B$7*'Info Strategia'!$B$6,0)),0),"")</f>
        <v>2</v>
      </c>
      <c r="G348" s="27" t="n">
        <f aca="false">IFERROR(ROUND(MAX(1,(IF($V348&lt;=INDEX('Parametri Modello'!$C$57:$C$60,MATCH($B348,'Parametri Modello'!$A$57:$A$60,0)),IF(INDEX('Parametri Modello'!$E$57:$E$60,MATCH($B348,'Parametri Modello'!$A$57:$A$60,0))=0,0,($O348/INDEX('Parametri Modello'!$E$57:$E$60,MATCH($B348,'Parametri Modello'!$A$57:$A$60,0)))*(INDEX('Parametri Modello'!$D$57:$D$60,MATCH($B348,'Parametri Modello'!$A$57:$A$60,0))*(INDEX('Parametri Modello'!$B$50:$B$53,MATCH($B348,'Parametri Modello'!$A$50:$A$53,0))*'Parametri Modello'!$B$44))),IF(INDEX('Parametri Modello'!$F$57:$F$60,MATCH($B348,'Parametri Modello'!$A$57:$A$60,0))=0,0,($O348/INDEX('Parametri Modello'!$F$57:$F$60,MATCH($B348,'Parametri Modello'!$A$57:$A$60,0)))*((1-INDEX('Parametri Modello'!$D$57:$D$60,MATCH($B348,'Parametri Modello'!$A$57:$A$60,0)))*(INDEX('Parametri Modello'!$B$50:$B$53,MATCH($B348,'Parametri Modello'!$A$50:$A$53,0))*'Parametri Modello'!$B$44))))*(1+IF(IF($B348="D",'Info Lega'!$B$25,IF($B348="C",'Info Lega'!$B$26,"No"))="Si",'Parametri Modello'!$B$5,0))*(1+MAX(-0.25,MIN(0.25,IF(OR($T348="",$I348="",$I348=0,INDEX('Parametri Modello'!$B$19:$B$22,MATCH($B348,'Parametri Modello'!$A$19:$A$22,0))="",INDEX('Parametri Modello'!$B$19:$B$22,MATCH($B348,'Parametri Modello'!$A$19:$A$22,0))=0),0,(($T348-INDEX('Parametri Modello'!$B$19:$B$22,MATCH($B348,'Parametri Modello'!$A$19:$A$22,0)))/INDEX('Parametri Modello'!$B$19:$B$22,MATCH($B348,'Parametri Modello'!$A$19:$A$22,0)))*'Parametri Modello'!$B$9))))*(1+IF('Parametri Modello'!$B$27="Si",MAX(-'Parametri Modello'!$B$28,MIN('Parametri Modello'!$B$28*1.5,IF(OR(INDEX('Parametri Modello'!$F$32:$F$35,MATCH($B348,'Parametri Modello'!$A$32:$A$35,0))="",INDEX('Parametri Modello'!$F$32:$F$35,MATCH($B348,'Parametri Modello'!$A$32:$A$35,0))=0),0,(1/INDEX('Parametri Modello'!$F$32:$F$35,MATCH($B348,'Parametri Modello'!$A$32:$A$35,0))-1)*'Parametri Modello'!$B$28))),0)))*(1-INDEX('Parametri Modello'!$B$12:$B$15,MATCH($B348,'Parametri Modello'!$A$12:$A$15,0)))),0),"")</f>
        <v>1</v>
      </c>
      <c r="H348" s="27" t="n">
        <f aca="false">IFERROR(ROUND((IF($V348&lt;=INDEX('Parametri Modello'!$C$57:$C$60,MATCH($B348,'Parametri Modello'!$A$57:$A$60,0)),IF(INDEX('Parametri Modello'!$E$57:$E$60,MATCH($B348,'Parametri Modello'!$A$57:$A$60,0))=0,0,($O348/INDEX('Parametri Modello'!$E$57:$E$60,MATCH($B348,'Parametri Modello'!$A$57:$A$60,0)))*(INDEX('Parametri Modello'!$D$57:$D$60,MATCH($B348,'Parametri Modello'!$A$57:$A$60,0))*(INDEX('Parametri Modello'!$B$50:$B$53,MATCH($B348,'Parametri Modello'!$A$50:$A$53,0))*'Parametri Modello'!$B$44))),IF(INDEX('Parametri Modello'!$F$57:$F$60,MATCH($B348,'Parametri Modello'!$A$57:$A$60,0))=0,0,($O348/INDEX('Parametri Modello'!$F$57:$F$60,MATCH($B348,'Parametri Modello'!$A$57:$A$60,0)))*((1-INDEX('Parametri Modello'!$D$57:$D$60,MATCH($B348,'Parametri Modello'!$A$57:$A$60,0)))*(INDEX('Parametri Modello'!$B$50:$B$53,MATCH($B348,'Parametri Modello'!$A$50:$A$53,0))*'Parametri Modello'!$B$44))))*(1+IF(IF($B348="D",'Info Lega'!$B$25,IF($B348="C",'Info Lega'!$B$26,"No"))="Si",'Parametri Modello'!$B$5,0))*(1+MAX(-0.25,MIN(0.25,IF(OR($T348="",$I348="",$I348=0,INDEX('Parametri Modello'!$B$19:$B$22,MATCH($B348,'Parametri Modello'!$A$19:$A$22,0))="",INDEX('Parametri Modello'!$B$19:$B$22,MATCH($B348,'Parametri Modello'!$A$19:$A$22,0))=0),0,(($T348-INDEX('Parametri Modello'!$B$19:$B$22,MATCH($B348,'Parametri Modello'!$A$19:$A$22,0)))/INDEX('Parametri Modello'!$B$19:$B$22,MATCH($B348,'Parametri Modello'!$A$19:$A$22,0)))*'Parametri Modello'!$B$9))))*(1+IF('Parametri Modello'!$B$27="Si",MAX(-'Parametri Modello'!$B$28,MIN('Parametri Modello'!$B$28*1.5,IF(OR(INDEX('Parametri Modello'!$F$32:$F$35,MATCH($B348,'Parametri Modello'!$A$32:$A$35,0))="",INDEX('Parametri Modello'!$F$32:$F$35,MATCH($B348,'Parametri Modello'!$A$32:$A$35,0))=0),0,(1/INDEX('Parametri Modello'!$F$32:$F$35,MATCH($B348,'Parametri Modello'!$A$32:$A$35,0))-1)*'Parametri Modello'!$B$28))),0)))*(1+INDEX('Parametri Modello'!$B$12:$B$15,MATCH($B348,'Parametri Modello'!$A$12:$A$15,0))),0),"")</f>
        <v>2</v>
      </c>
      <c r="I348" s="26" t="n">
        <f aca="false">IFERROR(INDEX('Input Statistiche 2025_26'!$F$3:$F$665,MATCH($A348,'Input Statistiche 2025_26'!$A$3:$A$665,0)),"")</f>
        <v>21</v>
      </c>
      <c r="J348" s="26" t="n">
        <f aca="false">IFERROR(IF($I348="","",MAX(0,38-$I348)),"")</f>
        <v>17</v>
      </c>
      <c r="K348" s="26" t="n">
        <f aca="false">IFERROR(INDEX('Input Statistiche 2025_26'!$I$3:$I$665,MATCH($A348,'Input Statistiche 2025_26'!$A$3:$A$665,0)),"")</f>
        <v>1</v>
      </c>
      <c r="L348" s="26" t="n">
        <f aca="false">IFERROR(INDEX('Input Statistiche 2025_26'!$O$3:$O$665,MATCH($A348,'Input Statistiche 2025_26'!$A$3:$A$665,0)),"")</f>
        <v>0</v>
      </c>
      <c r="M348" s="28"/>
      <c r="N348" s="27" t="n">
        <f aca="false">IFERROR(INDEX('Input Giocatori 2026_27'!$E$3:$E$493,MATCH($A348,'Input Giocatori 2026_27'!$A$3:$A$493,0)),"")</f>
        <v>3</v>
      </c>
      <c r="O348" s="27" t="n">
        <f aca="false">IFERROR(INDEX('Input Giocatori 2026_27'!$G$3:$G$493,MATCH($A348,'Input Giocatori 2026_27'!$A$3:$A$493,0)),"")</f>
        <v>8</v>
      </c>
      <c r="P348" s="26" t="str">
        <f aca="false">IFERROR(IF($O348="","",IF((1-(COUNTIFS($B$2:$B$492,$B348,$O$2:$O$492,"&gt;"&amp;$O348)+1-1)/COUNTIF($B$2:$B$492,$B348))&gt;=0.85,"Top",IF((1-(COUNTIFS($B$2:$B$492,$B348,$O$2:$O$492,"&gt;"&amp;$O348)+1-1)/COUNTIF($B$2:$B$492,$B348))&gt;=0.6,"Buono",IF((1-(COUNTIFS($B$2:$B$492,$B348,$O$2:$O$492,"&gt;"&amp;$O348)+1-1)/COUNTIF($B$2:$B$492,$B348))&gt;=0.3,"Nella Media","Scommessa/Riserva")))),"")</f>
        <v>Nella Media</v>
      </c>
      <c r="Q348" s="29" t="n">
        <f aca="false">IF($D348="",COUNTIF($D$2:$D348,""),"")</f>
        <v>347</v>
      </c>
      <c r="R348" s="29" t="str">
        <f aca="false">IF($D348='Info Lega'!$B$28,COUNTIFS($D$2:$D348,'Info Lega'!$B$28),"")</f>
        <v/>
      </c>
      <c r="S348" s="30" t="n">
        <f aca="false">IFERROR(INDEX('Input Statistiche 2025_26'!$G$3:$G$665,MATCH($A348,'Input Statistiche 2025_26'!$A$3:$A$665,0)),"")</f>
        <v>5.79</v>
      </c>
      <c r="T348" s="30" t="n">
        <f aca="false">IFERROR(INDEX('Input Statistiche 2025_26'!$H$3:$H$665,MATCH($A348,'Input Statistiche 2025_26'!$A$3:$A$665,0)),"")</f>
        <v>5.71</v>
      </c>
      <c r="U348" s="26" t="str">
        <f aca="false">IF(OR('La Mia Rosa'!$O$12="",$D348&lt;&gt;""),"",IF($F348&lt;='La Mia Rosa'!$O$12*'Parametri Modello'!$B$24,"OK",IF($F348&lt;='La Mia Rosa'!$O$12*'Parametri Modello'!$B$25,"Attenzione","Rischio Alto")))</f>
        <v>OK</v>
      </c>
      <c r="V348" s="26" t="n">
        <f aca="false">IFERROR(COUNTIFS($B$2:$B$492,$B348,$O$2:$O$492,"&gt;"&amp;$O348)+1,"")</f>
        <v>118</v>
      </c>
      <c r="W348" s="21" t="n">
        <f aca="false">'Info Lega'!$B$4-SUMIFS($M$2:$M$492,$D$2:$D$492,'Info Lega'!$B$28)</f>
        <v>1000</v>
      </c>
      <c r="X348" s="21" t="n">
        <f aca="false">('Info Lega'!$B$5-COUNTIFS($D$2:$D$492,'Info Lega'!$B$28,$B$2:$B$492,"P"))+('Info Lega'!$B$6-COUNTIFS($D$2:$D$492,'Info Lega'!$B$28,$B$2:$B$492,"D"))+('Info Lega'!$B$7-COUNTIFS($D$2:$D$492,'Info Lega'!$B$28,$B$2:$B$492,"C"))+('Info Lega'!$B$8-COUNTIFS($D$2:$D$492,'Info Lega'!$B$28,$B$2:$B$492,"A"))</f>
        <v>25</v>
      </c>
      <c r="Y348" s="21" t="n">
        <f aca="false">X348*'Parametri Modello'!$B$30</f>
        <v>25</v>
      </c>
      <c r="Z348" s="21" t="n">
        <f aca="false">MAX(0,W348-Y348)</f>
        <v>975</v>
      </c>
      <c r="AA348" s="21" t="n">
        <f aca="false">MIN(F348,Z348)</f>
        <v>2</v>
      </c>
      <c r="AB348" s="21"/>
      <c r="AC348" s="21" t="str">
        <f aca="false">IF(AB348="","",IF(AB348&gt;AA348,"PASS",IF(AB348&lt;=AA348*0.85,"BID","ATTENZIONE")))</f>
        <v/>
      </c>
      <c r="AD348" s="31" t="n">
        <f aca="false">IF(I348="","",ROUND(100*(1-EXP(-I348/30)),0))</f>
        <v>50</v>
      </c>
      <c r="AE348" s="7" t="str">
        <f aca="false">IFERROR(INDEX('Stato Asta'!$G$9:$G$12,MATCH($B348,'Stato Asta'!$A$9:$A$12,0)),"")</f>
        <v>🟡 Attesa rischiosa</v>
      </c>
    </row>
    <row r="349" customFormat="false" ht="14.25" hidden="false" customHeight="true" outlineLevel="0" collapsed="false">
      <c r="A349" s="21" t="n">
        <v>2263</v>
      </c>
      <c r="B349" s="21" t="s">
        <v>44</v>
      </c>
      <c r="C349" s="21" t="s">
        <v>329</v>
      </c>
      <c r="E349" s="26" t="str">
        <f aca="false">IF(COUNTIF('Info Strategia'!$D$2:$D$51,$C349)&gt;0,"SI","NO")</f>
        <v>NO</v>
      </c>
      <c r="F349" s="27" t="n">
        <f aca="false">IFERROR(ROUND(($G349+($H349-$G349)*'Info Strategia'!$B$6)*(1+IF($E349="SI",'Parametri Modello'!$B$7*'Info Strategia'!$B$6,0)),0),"")</f>
        <v>2</v>
      </c>
      <c r="G349" s="27" t="n">
        <f aca="false">IFERROR(ROUND(MAX(1,(IF($V349&lt;=INDEX('Parametri Modello'!$C$57:$C$60,MATCH($B349,'Parametri Modello'!$A$57:$A$60,0)),IF(INDEX('Parametri Modello'!$E$57:$E$60,MATCH($B349,'Parametri Modello'!$A$57:$A$60,0))=0,0,($O349/INDEX('Parametri Modello'!$E$57:$E$60,MATCH($B349,'Parametri Modello'!$A$57:$A$60,0)))*(INDEX('Parametri Modello'!$D$57:$D$60,MATCH($B349,'Parametri Modello'!$A$57:$A$60,0))*(INDEX('Parametri Modello'!$B$50:$B$53,MATCH($B349,'Parametri Modello'!$A$50:$A$53,0))*'Parametri Modello'!$B$44))),IF(INDEX('Parametri Modello'!$F$57:$F$60,MATCH($B349,'Parametri Modello'!$A$57:$A$60,0))=0,0,($O349/INDEX('Parametri Modello'!$F$57:$F$60,MATCH($B349,'Parametri Modello'!$A$57:$A$60,0)))*((1-INDEX('Parametri Modello'!$D$57:$D$60,MATCH($B349,'Parametri Modello'!$A$57:$A$60,0)))*(INDEX('Parametri Modello'!$B$50:$B$53,MATCH($B349,'Parametri Modello'!$A$50:$A$53,0))*'Parametri Modello'!$B$44))))*(1+IF(IF($B349="D",'Info Lega'!$B$25,IF($B349="C",'Info Lega'!$B$26,"No"))="Si",'Parametri Modello'!$B$5,0))*(1+MAX(-0.25,MIN(0.25,IF(OR($T349="",$I349="",$I349=0,INDEX('Parametri Modello'!$B$19:$B$22,MATCH($B349,'Parametri Modello'!$A$19:$A$22,0))="",INDEX('Parametri Modello'!$B$19:$B$22,MATCH($B349,'Parametri Modello'!$A$19:$A$22,0))=0),0,(($T349-INDEX('Parametri Modello'!$B$19:$B$22,MATCH($B349,'Parametri Modello'!$A$19:$A$22,0)))/INDEX('Parametri Modello'!$B$19:$B$22,MATCH($B349,'Parametri Modello'!$A$19:$A$22,0)))*'Parametri Modello'!$B$9))))*(1+IF('Parametri Modello'!$B$27="Si",MAX(-'Parametri Modello'!$B$28,MIN('Parametri Modello'!$B$28*1.5,IF(OR(INDEX('Parametri Modello'!$F$32:$F$35,MATCH($B349,'Parametri Modello'!$A$32:$A$35,0))="",INDEX('Parametri Modello'!$F$32:$F$35,MATCH($B349,'Parametri Modello'!$A$32:$A$35,0))=0),0,(1/INDEX('Parametri Modello'!$F$32:$F$35,MATCH($B349,'Parametri Modello'!$A$32:$A$35,0))-1)*'Parametri Modello'!$B$28))),0)))*(1-INDEX('Parametri Modello'!$B$12:$B$15,MATCH($B349,'Parametri Modello'!$A$12:$A$15,0)))),0),"")</f>
        <v>1</v>
      </c>
      <c r="H349" s="27" t="n">
        <f aca="false">IFERROR(ROUND((IF($V349&lt;=INDEX('Parametri Modello'!$C$57:$C$60,MATCH($B349,'Parametri Modello'!$A$57:$A$60,0)),IF(INDEX('Parametri Modello'!$E$57:$E$60,MATCH($B349,'Parametri Modello'!$A$57:$A$60,0))=0,0,($O349/INDEX('Parametri Modello'!$E$57:$E$60,MATCH($B349,'Parametri Modello'!$A$57:$A$60,0)))*(INDEX('Parametri Modello'!$D$57:$D$60,MATCH($B349,'Parametri Modello'!$A$57:$A$60,0))*(INDEX('Parametri Modello'!$B$50:$B$53,MATCH($B349,'Parametri Modello'!$A$50:$A$53,0))*'Parametri Modello'!$B$44))),IF(INDEX('Parametri Modello'!$F$57:$F$60,MATCH($B349,'Parametri Modello'!$A$57:$A$60,0))=0,0,($O349/INDEX('Parametri Modello'!$F$57:$F$60,MATCH($B349,'Parametri Modello'!$A$57:$A$60,0)))*((1-INDEX('Parametri Modello'!$D$57:$D$60,MATCH($B349,'Parametri Modello'!$A$57:$A$60,0)))*(INDEX('Parametri Modello'!$B$50:$B$53,MATCH($B349,'Parametri Modello'!$A$50:$A$53,0))*'Parametri Modello'!$B$44))))*(1+IF(IF($B349="D",'Info Lega'!$B$25,IF($B349="C",'Info Lega'!$B$26,"No"))="Si",'Parametri Modello'!$B$5,0))*(1+MAX(-0.25,MIN(0.25,IF(OR($T349="",$I349="",$I349=0,INDEX('Parametri Modello'!$B$19:$B$22,MATCH($B349,'Parametri Modello'!$A$19:$A$22,0))="",INDEX('Parametri Modello'!$B$19:$B$22,MATCH($B349,'Parametri Modello'!$A$19:$A$22,0))=0),0,(($T349-INDEX('Parametri Modello'!$B$19:$B$22,MATCH($B349,'Parametri Modello'!$A$19:$A$22,0)))/INDEX('Parametri Modello'!$B$19:$B$22,MATCH($B349,'Parametri Modello'!$A$19:$A$22,0)))*'Parametri Modello'!$B$9))))*(1+IF('Parametri Modello'!$B$27="Si",MAX(-'Parametri Modello'!$B$28,MIN('Parametri Modello'!$B$28*1.5,IF(OR(INDEX('Parametri Modello'!$F$32:$F$35,MATCH($B349,'Parametri Modello'!$A$32:$A$35,0))="",INDEX('Parametri Modello'!$F$32:$F$35,MATCH($B349,'Parametri Modello'!$A$32:$A$35,0))=0),0,(1/INDEX('Parametri Modello'!$F$32:$F$35,MATCH($B349,'Parametri Modello'!$A$32:$A$35,0))-1)*'Parametri Modello'!$B$28))),0)))*(1+INDEX('Parametri Modello'!$B$12:$B$15,MATCH($B349,'Parametri Modello'!$A$12:$A$15,0))),0),"")</f>
        <v>2</v>
      </c>
      <c r="I349" s="26" t="n">
        <f aca="false">IFERROR(INDEX('Input Statistiche 2025_26'!$F$3:$F$665,MATCH($A349,'Input Statistiche 2025_26'!$A$3:$A$665,0)),"")</f>
        <v>17</v>
      </c>
      <c r="J349" s="26" t="n">
        <f aca="false">IFERROR(IF($I349="","",MAX(0,38-$I349)),"")</f>
        <v>21</v>
      </c>
      <c r="K349" s="26" t="n">
        <f aca="false">IFERROR(INDEX('Input Statistiche 2025_26'!$I$3:$I$665,MATCH($A349,'Input Statistiche 2025_26'!$A$3:$A$665,0)),"")</f>
        <v>0</v>
      </c>
      <c r="L349" s="26" t="n">
        <f aca="false">IFERROR(INDEX('Input Statistiche 2025_26'!$O$3:$O$665,MATCH($A349,'Input Statistiche 2025_26'!$A$3:$A$665,0)),"")</f>
        <v>0</v>
      </c>
      <c r="M349" s="28"/>
      <c r="N349" s="27" t="n">
        <f aca="false">IFERROR(INDEX('Input Giocatori 2026_27'!$E$3:$E$493,MATCH($A349,'Input Giocatori 2026_27'!$A$3:$A$493,0)),"")</f>
        <v>2</v>
      </c>
      <c r="O349" s="27" t="n">
        <f aca="false">IFERROR(INDEX('Input Giocatori 2026_27'!$G$3:$G$493,MATCH($A349,'Input Giocatori 2026_27'!$A$3:$A$493,0)),"")</f>
        <v>8</v>
      </c>
      <c r="P349" s="26" t="str">
        <f aca="false">IFERROR(IF($O349="","",IF((1-(COUNTIFS($B$2:$B$492,$B349,$O$2:$O$492,"&gt;"&amp;$O349)+1-1)/COUNTIF($B$2:$B$492,$B349))&gt;=0.85,"Top",IF((1-(COUNTIFS($B$2:$B$492,$B349,$O$2:$O$492,"&gt;"&amp;$O349)+1-1)/COUNTIF($B$2:$B$492,$B349))&gt;=0.6,"Buono",IF((1-(COUNTIFS($B$2:$B$492,$B349,$O$2:$O$492,"&gt;"&amp;$O349)+1-1)/COUNTIF($B$2:$B$492,$B349))&gt;=0.3,"Nella Media","Scommessa/Riserva")))),"")</f>
        <v>Nella Media</v>
      </c>
      <c r="Q349" s="29" t="n">
        <f aca="false">IF($D349="",COUNTIF($D$2:$D349,""),"")</f>
        <v>348</v>
      </c>
      <c r="R349" s="29" t="str">
        <f aca="false">IF($D349='Info Lega'!$B$28,COUNTIFS($D$2:$D349,'Info Lega'!$B$28),"")</f>
        <v/>
      </c>
      <c r="S349" s="30" t="n">
        <f aca="false">IFERROR(INDEX('Input Statistiche 2025_26'!$G$3:$G$665,MATCH($A349,'Input Statistiche 2025_26'!$A$3:$A$665,0)),"")</f>
        <v>5.79</v>
      </c>
      <c r="T349" s="30" t="n">
        <f aca="false">IFERROR(INDEX('Input Statistiche 2025_26'!$H$3:$H$665,MATCH($A349,'Input Statistiche 2025_26'!$A$3:$A$665,0)),"")</f>
        <v>5.74</v>
      </c>
      <c r="U349" s="26" t="str">
        <f aca="false">IF(OR('La Mia Rosa'!$O$12="",$D349&lt;&gt;""),"",IF($F349&lt;='La Mia Rosa'!$O$12*'Parametri Modello'!$B$24,"OK",IF($F349&lt;='La Mia Rosa'!$O$12*'Parametri Modello'!$B$25,"Attenzione","Rischio Alto")))</f>
        <v>OK</v>
      </c>
      <c r="V349" s="26" t="n">
        <f aca="false">IFERROR(COUNTIFS($B$2:$B$492,$B349,$O$2:$O$492,"&gt;"&amp;$O349)+1,"")</f>
        <v>118</v>
      </c>
      <c r="W349" s="21" t="n">
        <f aca="false">'Info Lega'!$B$4-SUMIFS($M$2:$M$492,$D$2:$D$492,'Info Lega'!$B$28)</f>
        <v>1000</v>
      </c>
      <c r="X349" s="21" t="n">
        <f aca="false">('Info Lega'!$B$5-COUNTIFS($D$2:$D$492,'Info Lega'!$B$28,$B$2:$B$492,"P"))+('Info Lega'!$B$6-COUNTIFS($D$2:$D$492,'Info Lega'!$B$28,$B$2:$B$492,"D"))+('Info Lega'!$B$7-COUNTIFS($D$2:$D$492,'Info Lega'!$B$28,$B$2:$B$492,"C"))+('Info Lega'!$B$8-COUNTIFS($D$2:$D$492,'Info Lega'!$B$28,$B$2:$B$492,"A"))</f>
        <v>25</v>
      </c>
      <c r="Y349" s="21" t="n">
        <f aca="false">X349*'Parametri Modello'!$B$30</f>
        <v>25</v>
      </c>
      <c r="Z349" s="21" t="n">
        <f aca="false">MAX(0,W349-Y349)</f>
        <v>975</v>
      </c>
      <c r="AA349" s="21" t="n">
        <f aca="false">MIN(F349,Z349)</f>
        <v>2</v>
      </c>
      <c r="AB349" s="21"/>
      <c r="AC349" s="21" t="str">
        <f aca="false">IF(AB349="","",IF(AB349&gt;AA349,"PASS",IF(AB349&lt;=AA349*0.85,"BID","ATTENZIONE")))</f>
        <v/>
      </c>
      <c r="AD349" s="31" t="n">
        <f aca="false">IF(I349="","",ROUND(100*(1-EXP(-I349/30)),0))</f>
        <v>43</v>
      </c>
      <c r="AE349" s="7" t="str">
        <f aca="false">IFERROR(INDEX('Stato Asta'!$G$9:$G$12,MATCH($B349,'Stato Asta'!$A$9:$A$12,0)),"")</f>
        <v>🟡 Attesa rischiosa</v>
      </c>
    </row>
    <row r="350" customFormat="false" ht="14.25" hidden="false" customHeight="true" outlineLevel="0" collapsed="false">
      <c r="A350" s="21" t="n">
        <v>7407</v>
      </c>
      <c r="B350" s="21" t="s">
        <v>44</v>
      </c>
      <c r="C350" s="21" t="s">
        <v>342</v>
      </c>
      <c r="E350" s="26" t="str">
        <f aca="false">IF(COUNTIF('Info Strategia'!$D$2:$D$51,$C350)&gt;0,"SI","NO")</f>
        <v>NO</v>
      </c>
      <c r="F350" s="27" t="n">
        <f aca="false">IFERROR(ROUND(($G350+($H350-$G350)*'Info Strategia'!$B$6)*(1+IF($E350="SI",'Parametri Modello'!$B$7*'Info Strategia'!$B$6,0)),0),"")</f>
        <v>2</v>
      </c>
      <c r="G350" s="27" t="n">
        <f aca="false">IFERROR(ROUND(MAX(1,(IF($V350&lt;=INDEX('Parametri Modello'!$C$57:$C$60,MATCH($B350,'Parametri Modello'!$A$57:$A$60,0)),IF(INDEX('Parametri Modello'!$E$57:$E$60,MATCH($B350,'Parametri Modello'!$A$57:$A$60,0))=0,0,($O350/INDEX('Parametri Modello'!$E$57:$E$60,MATCH($B350,'Parametri Modello'!$A$57:$A$60,0)))*(INDEX('Parametri Modello'!$D$57:$D$60,MATCH($B350,'Parametri Modello'!$A$57:$A$60,0))*(INDEX('Parametri Modello'!$B$50:$B$53,MATCH($B350,'Parametri Modello'!$A$50:$A$53,0))*'Parametri Modello'!$B$44))),IF(INDEX('Parametri Modello'!$F$57:$F$60,MATCH($B350,'Parametri Modello'!$A$57:$A$60,0))=0,0,($O350/INDEX('Parametri Modello'!$F$57:$F$60,MATCH($B350,'Parametri Modello'!$A$57:$A$60,0)))*((1-INDEX('Parametri Modello'!$D$57:$D$60,MATCH($B350,'Parametri Modello'!$A$57:$A$60,0)))*(INDEX('Parametri Modello'!$B$50:$B$53,MATCH($B350,'Parametri Modello'!$A$50:$A$53,0))*'Parametri Modello'!$B$44))))*(1+IF(IF($B350="D",'Info Lega'!$B$25,IF($B350="C",'Info Lega'!$B$26,"No"))="Si",'Parametri Modello'!$B$5,0))*(1+MAX(-0.25,MIN(0.25,IF(OR($T350="",$I350="",$I350=0,INDEX('Parametri Modello'!$B$19:$B$22,MATCH($B350,'Parametri Modello'!$A$19:$A$22,0))="",INDEX('Parametri Modello'!$B$19:$B$22,MATCH($B350,'Parametri Modello'!$A$19:$A$22,0))=0),0,(($T350-INDEX('Parametri Modello'!$B$19:$B$22,MATCH($B350,'Parametri Modello'!$A$19:$A$22,0)))/INDEX('Parametri Modello'!$B$19:$B$22,MATCH($B350,'Parametri Modello'!$A$19:$A$22,0)))*'Parametri Modello'!$B$9))))*(1+IF('Parametri Modello'!$B$27="Si",MAX(-'Parametri Modello'!$B$28,MIN('Parametri Modello'!$B$28*1.5,IF(OR(INDEX('Parametri Modello'!$F$32:$F$35,MATCH($B350,'Parametri Modello'!$A$32:$A$35,0))="",INDEX('Parametri Modello'!$F$32:$F$35,MATCH($B350,'Parametri Modello'!$A$32:$A$35,0))=0),0,(1/INDEX('Parametri Modello'!$F$32:$F$35,MATCH($B350,'Parametri Modello'!$A$32:$A$35,0))-1)*'Parametri Modello'!$B$28))),0)))*(1-INDEX('Parametri Modello'!$B$12:$B$15,MATCH($B350,'Parametri Modello'!$A$12:$A$15,0)))),0),"")</f>
        <v>1</v>
      </c>
      <c r="H350" s="27" t="n">
        <f aca="false">IFERROR(ROUND((IF($V350&lt;=INDEX('Parametri Modello'!$C$57:$C$60,MATCH($B350,'Parametri Modello'!$A$57:$A$60,0)),IF(INDEX('Parametri Modello'!$E$57:$E$60,MATCH($B350,'Parametri Modello'!$A$57:$A$60,0))=0,0,($O350/INDEX('Parametri Modello'!$E$57:$E$60,MATCH($B350,'Parametri Modello'!$A$57:$A$60,0)))*(INDEX('Parametri Modello'!$D$57:$D$60,MATCH($B350,'Parametri Modello'!$A$57:$A$60,0))*(INDEX('Parametri Modello'!$B$50:$B$53,MATCH($B350,'Parametri Modello'!$A$50:$A$53,0))*'Parametri Modello'!$B$44))),IF(INDEX('Parametri Modello'!$F$57:$F$60,MATCH($B350,'Parametri Modello'!$A$57:$A$60,0))=0,0,($O350/INDEX('Parametri Modello'!$F$57:$F$60,MATCH($B350,'Parametri Modello'!$A$57:$A$60,0)))*((1-INDEX('Parametri Modello'!$D$57:$D$60,MATCH($B350,'Parametri Modello'!$A$57:$A$60,0)))*(INDEX('Parametri Modello'!$B$50:$B$53,MATCH($B350,'Parametri Modello'!$A$50:$A$53,0))*'Parametri Modello'!$B$44))))*(1+IF(IF($B350="D",'Info Lega'!$B$25,IF($B350="C",'Info Lega'!$B$26,"No"))="Si",'Parametri Modello'!$B$5,0))*(1+MAX(-0.25,MIN(0.25,IF(OR($T350="",$I350="",$I350=0,INDEX('Parametri Modello'!$B$19:$B$22,MATCH($B350,'Parametri Modello'!$A$19:$A$22,0))="",INDEX('Parametri Modello'!$B$19:$B$22,MATCH($B350,'Parametri Modello'!$A$19:$A$22,0))=0),0,(($T350-INDEX('Parametri Modello'!$B$19:$B$22,MATCH($B350,'Parametri Modello'!$A$19:$A$22,0)))/INDEX('Parametri Modello'!$B$19:$B$22,MATCH($B350,'Parametri Modello'!$A$19:$A$22,0)))*'Parametri Modello'!$B$9))))*(1+IF('Parametri Modello'!$B$27="Si",MAX(-'Parametri Modello'!$B$28,MIN('Parametri Modello'!$B$28*1.5,IF(OR(INDEX('Parametri Modello'!$F$32:$F$35,MATCH($B350,'Parametri Modello'!$A$32:$A$35,0))="",INDEX('Parametri Modello'!$F$32:$F$35,MATCH($B350,'Parametri Modello'!$A$32:$A$35,0))=0),0,(1/INDEX('Parametri Modello'!$F$32:$F$35,MATCH($B350,'Parametri Modello'!$A$32:$A$35,0))-1)*'Parametri Modello'!$B$28))),0)))*(1+INDEX('Parametri Modello'!$B$12:$B$15,MATCH($B350,'Parametri Modello'!$A$12:$A$15,0))),0),"")</f>
        <v>2</v>
      </c>
      <c r="I350" s="26" t="str">
        <f aca="false">IFERROR(INDEX('Input Statistiche 2025_26'!$F$3:$F$665,MATCH($A350,'Input Statistiche 2025_26'!$A$3:$A$665,0)),"")</f>
        <v/>
      </c>
      <c r="J350" s="26" t="str">
        <f aca="false">IFERROR(IF($I350="","",MAX(0,38-$I350)),"")</f>
        <v/>
      </c>
      <c r="K350" s="26" t="str">
        <f aca="false">IFERROR(INDEX('Input Statistiche 2025_26'!$I$3:$I$665,MATCH($A350,'Input Statistiche 2025_26'!$A$3:$A$665,0)),"")</f>
        <v/>
      </c>
      <c r="L350" s="26" t="str">
        <f aca="false">IFERROR(INDEX('Input Statistiche 2025_26'!$O$3:$O$665,MATCH($A350,'Input Statistiche 2025_26'!$A$3:$A$665,0)),"")</f>
        <v/>
      </c>
      <c r="M350" s="28"/>
      <c r="N350" s="27" t="n">
        <f aca="false">IFERROR(INDEX('Input Giocatori 2026_27'!$E$3:$E$493,MATCH($A350,'Input Giocatori 2026_27'!$A$3:$A$493,0)),"")</f>
        <v>1</v>
      </c>
      <c r="O350" s="27" t="n">
        <f aca="false">IFERROR(INDEX('Input Giocatori 2026_27'!$G$3:$G$493,MATCH($A350,'Input Giocatori 2026_27'!$A$3:$A$493,0)),"")</f>
        <v>8</v>
      </c>
      <c r="P350" s="26" t="str">
        <f aca="false">IFERROR(IF($O350="","",IF((1-(COUNTIFS($B$2:$B$492,$B350,$O$2:$O$492,"&gt;"&amp;$O350)+1-1)/COUNTIF($B$2:$B$492,$B350))&gt;=0.85,"Top",IF((1-(COUNTIFS($B$2:$B$492,$B350,$O$2:$O$492,"&gt;"&amp;$O350)+1-1)/COUNTIF($B$2:$B$492,$B350))&gt;=0.6,"Buono",IF((1-(COUNTIFS($B$2:$B$492,$B350,$O$2:$O$492,"&gt;"&amp;$O350)+1-1)/COUNTIF($B$2:$B$492,$B350))&gt;=0.3,"Nella Media","Scommessa/Riserva")))),"")</f>
        <v>Nella Media</v>
      </c>
      <c r="Q350" s="29" t="n">
        <f aca="false">IF($D350="",COUNTIF($D$2:$D350,""),"")</f>
        <v>349</v>
      </c>
      <c r="R350" s="29" t="str">
        <f aca="false">IF($D350='Info Lega'!$B$28,COUNTIFS($D$2:$D350,'Info Lega'!$B$28),"")</f>
        <v/>
      </c>
      <c r="S350" s="30" t="str">
        <f aca="false">IFERROR(INDEX('Input Statistiche 2025_26'!$G$3:$G$665,MATCH($A350,'Input Statistiche 2025_26'!$A$3:$A$665,0)),"")</f>
        <v/>
      </c>
      <c r="T350" s="30" t="str">
        <f aca="false">IFERROR(INDEX('Input Statistiche 2025_26'!$H$3:$H$665,MATCH($A350,'Input Statistiche 2025_26'!$A$3:$A$665,0)),"")</f>
        <v/>
      </c>
      <c r="U350" s="26" t="str">
        <f aca="false">IF(OR('La Mia Rosa'!$O$12="",$D350&lt;&gt;""),"",IF($F350&lt;='La Mia Rosa'!$O$12*'Parametri Modello'!$B$24,"OK",IF($F350&lt;='La Mia Rosa'!$O$12*'Parametri Modello'!$B$25,"Attenzione","Rischio Alto")))</f>
        <v>OK</v>
      </c>
      <c r="V350" s="26" t="n">
        <f aca="false">IFERROR(COUNTIFS($B$2:$B$492,$B350,$O$2:$O$492,"&gt;"&amp;$O350)+1,"")</f>
        <v>118</v>
      </c>
      <c r="W350" s="21" t="n">
        <f aca="false">'Info Lega'!$B$4-SUMIFS($M$2:$M$492,$D$2:$D$492,'Info Lega'!$B$28)</f>
        <v>1000</v>
      </c>
      <c r="X350" s="21" t="n">
        <f aca="false">('Info Lega'!$B$5-COUNTIFS($D$2:$D$492,'Info Lega'!$B$28,$B$2:$B$492,"P"))+('Info Lega'!$B$6-COUNTIFS($D$2:$D$492,'Info Lega'!$B$28,$B$2:$B$492,"D"))+('Info Lega'!$B$7-COUNTIFS($D$2:$D$492,'Info Lega'!$B$28,$B$2:$B$492,"C"))+('Info Lega'!$B$8-COUNTIFS($D$2:$D$492,'Info Lega'!$B$28,$B$2:$B$492,"A"))</f>
        <v>25</v>
      </c>
      <c r="Y350" s="21" t="n">
        <f aca="false">X350*'Parametri Modello'!$B$30</f>
        <v>25</v>
      </c>
      <c r="Z350" s="21" t="n">
        <f aca="false">MAX(0,W350-Y350)</f>
        <v>975</v>
      </c>
      <c r="AA350" s="21" t="n">
        <f aca="false">MIN(F350,Z350)</f>
        <v>2</v>
      </c>
      <c r="AB350" s="21"/>
      <c r="AC350" s="21" t="str">
        <f aca="false">IF(AB350="","",IF(AB350&gt;AA350,"PASS",IF(AB350&lt;=AA350*0.85,"BID","ATTENZIONE")))</f>
        <v/>
      </c>
      <c r="AD350" s="31" t="str">
        <f aca="false">IF(I350="","",ROUND(100*(1-EXP(-I350/30)),0))</f>
        <v/>
      </c>
      <c r="AE350" s="7" t="str">
        <f aca="false">IFERROR(INDEX('Stato Asta'!$G$9:$G$12,MATCH($B350,'Stato Asta'!$A$9:$A$12,0)),"")</f>
        <v>🟡 Attesa rischiosa</v>
      </c>
    </row>
    <row r="351" customFormat="false" ht="14.25" hidden="false" customHeight="true" outlineLevel="0" collapsed="false">
      <c r="A351" s="21" t="n">
        <v>6206</v>
      </c>
      <c r="B351" s="21" t="s">
        <v>45</v>
      </c>
      <c r="C351" s="21" t="s">
        <v>475</v>
      </c>
      <c r="E351" s="26" t="str">
        <f aca="false">IF(COUNTIF('Info Strategia'!$D$2:$D$51,$C351)&gt;0,"SI","NO")</f>
        <v>NO</v>
      </c>
      <c r="F351" s="27" t="n">
        <f aca="false">IFERROR(ROUND(($G351+($H351-$G351)*'Info Strategia'!$B$6)*(1+IF($E351="SI",'Parametri Modello'!$B$7*'Info Strategia'!$B$6,0)),0),"")</f>
        <v>1</v>
      </c>
      <c r="G351" s="27" t="n">
        <f aca="false">IFERROR(ROUND(MAX(1,(IF($V351&lt;=INDEX('Parametri Modello'!$C$57:$C$60,MATCH($B351,'Parametri Modello'!$A$57:$A$60,0)),IF(INDEX('Parametri Modello'!$E$57:$E$60,MATCH($B351,'Parametri Modello'!$A$57:$A$60,0))=0,0,($O351/INDEX('Parametri Modello'!$E$57:$E$60,MATCH($B351,'Parametri Modello'!$A$57:$A$60,0)))*(INDEX('Parametri Modello'!$D$57:$D$60,MATCH($B351,'Parametri Modello'!$A$57:$A$60,0))*(INDEX('Parametri Modello'!$B$50:$B$53,MATCH($B351,'Parametri Modello'!$A$50:$A$53,0))*'Parametri Modello'!$B$44))),IF(INDEX('Parametri Modello'!$F$57:$F$60,MATCH($B351,'Parametri Modello'!$A$57:$A$60,0))=0,0,($O351/INDEX('Parametri Modello'!$F$57:$F$60,MATCH($B351,'Parametri Modello'!$A$57:$A$60,0)))*((1-INDEX('Parametri Modello'!$D$57:$D$60,MATCH($B351,'Parametri Modello'!$A$57:$A$60,0)))*(INDEX('Parametri Modello'!$B$50:$B$53,MATCH($B351,'Parametri Modello'!$A$50:$A$53,0))*'Parametri Modello'!$B$44))))*(1+IF(IF($B351="D",'Info Lega'!$B$25,IF($B351="C",'Info Lega'!$B$26,"No"))="Si",'Parametri Modello'!$B$5,0))*(1+MAX(-0.25,MIN(0.25,IF(OR($T351="",$I351="",$I351=0,INDEX('Parametri Modello'!$B$19:$B$22,MATCH($B351,'Parametri Modello'!$A$19:$A$22,0))="",INDEX('Parametri Modello'!$B$19:$B$22,MATCH($B351,'Parametri Modello'!$A$19:$A$22,0))=0),0,(($T351-INDEX('Parametri Modello'!$B$19:$B$22,MATCH($B351,'Parametri Modello'!$A$19:$A$22,0)))/INDEX('Parametri Modello'!$B$19:$B$22,MATCH($B351,'Parametri Modello'!$A$19:$A$22,0)))*'Parametri Modello'!$B$9))))*(1+IF('Parametri Modello'!$B$27="Si",MAX(-'Parametri Modello'!$B$28,MIN('Parametri Modello'!$B$28*1.5,IF(OR(INDEX('Parametri Modello'!$F$32:$F$35,MATCH($B351,'Parametri Modello'!$A$32:$A$35,0))="",INDEX('Parametri Modello'!$F$32:$F$35,MATCH($B351,'Parametri Modello'!$A$32:$A$35,0))=0),0,(1/INDEX('Parametri Modello'!$F$32:$F$35,MATCH($B351,'Parametri Modello'!$A$32:$A$35,0))-1)*'Parametri Modello'!$B$28))),0)))*(1-INDEX('Parametri Modello'!$B$12:$B$15,MATCH($B351,'Parametri Modello'!$A$12:$A$15,0)))),0),"")</f>
        <v>1</v>
      </c>
      <c r="H351" s="27" t="n">
        <f aca="false">IFERROR(ROUND((IF($V351&lt;=INDEX('Parametri Modello'!$C$57:$C$60,MATCH($B351,'Parametri Modello'!$A$57:$A$60,0)),IF(INDEX('Parametri Modello'!$E$57:$E$60,MATCH($B351,'Parametri Modello'!$A$57:$A$60,0))=0,0,($O351/INDEX('Parametri Modello'!$E$57:$E$60,MATCH($B351,'Parametri Modello'!$A$57:$A$60,0)))*(INDEX('Parametri Modello'!$D$57:$D$60,MATCH($B351,'Parametri Modello'!$A$57:$A$60,0))*(INDEX('Parametri Modello'!$B$50:$B$53,MATCH($B351,'Parametri Modello'!$A$50:$A$53,0))*'Parametri Modello'!$B$44))),IF(INDEX('Parametri Modello'!$F$57:$F$60,MATCH($B351,'Parametri Modello'!$A$57:$A$60,0))=0,0,($O351/INDEX('Parametri Modello'!$F$57:$F$60,MATCH($B351,'Parametri Modello'!$A$57:$A$60,0)))*((1-INDEX('Parametri Modello'!$D$57:$D$60,MATCH($B351,'Parametri Modello'!$A$57:$A$60,0)))*(INDEX('Parametri Modello'!$B$50:$B$53,MATCH($B351,'Parametri Modello'!$A$50:$A$53,0))*'Parametri Modello'!$B$44))))*(1+IF(IF($B351="D",'Info Lega'!$B$25,IF($B351="C",'Info Lega'!$B$26,"No"))="Si",'Parametri Modello'!$B$5,0))*(1+MAX(-0.25,MIN(0.25,IF(OR($T351="",$I351="",$I351=0,INDEX('Parametri Modello'!$B$19:$B$22,MATCH($B351,'Parametri Modello'!$A$19:$A$22,0))="",INDEX('Parametri Modello'!$B$19:$B$22,MATCH($B351,'Parametri Modello'!$A$19:$A$22,0))=0),0,(($T351-INDEX('Parametri Modello'!$B$19:$B$22,MATCH($B351,'Parametri Modello'!$A$19:$A$22,0)))/INDEX('Parametri Modello'!$B$19:$B$22,MATCH($B351,'Parametri Modello'!$A$19:$A$22,0)))*'Parametri Modello'!$B$9))))*(1+IF('Parametri Modello'!$B$27="Si",MAX(-'Parametri Modello'!$B$28,MIN('Parametri Modello'!$B$28*1.5,IF(OR(INDEX('Parametri Modello'!$F$32:$F$35,MATCH($B351,'Parametri Modello'!$A$32:$A$35,0))="",INDEX('Parametri Modello'!$F$32:$F$35,MATCH($B351,'Parametri Modello'!$A$32:$A$35,0))=0),0,(1/INDEX('Parametri Modello'!$F$32:$F$35,MATCH($B351,'Parametri Modello'!$A$32:$A$35,0))-1)*'Parametri Modello'!$B$28))),0)))*(1+INDEX('Parametri Modello'!$B$12:$B$15,MATCH($B351,'Parametri Modello'!$A$12:$A$15,0))),0),"")</f>
        <v>1</v>
      </c>
      <c r="I351" s="26" t="n">
        <f aca="false">IFERROR(INDEX('Input Statistiche 2025_26'!$F$3:$F$665,MATCH($A351,'Input Statistiche 2025_26'!$A$3:$A$665,0)),"")</f>
        <v>22</v>
      </c>
      <c r="J351" s="26" t="n">
        <f aca="false">IFERROR(IF($I351="","",MAX(0,38-$I351)),"")</f>
        <v>16</v>
      </c>
      <c r="K351" s="26" t="n">
        <f aca="false">IFERROR(INDEX('Input Statistiche 2025_26'!$I$3:$I$665,MATCH($A351,'Input Statistiche 2025_26'!$A$3:$A$665,0)),"")</f>
        <v>2</v>
      </c>
      <c r="L351" s="26" t="n">
        <f aca="false">IFERROR(INDEX('Input Statistiche 2025_26'!$O$3:$O$665,MATCH($A351,'Input Statistiche 2025_26'!$A$3:$A$665,0)),"")</f>
        <v>0</v>
      </c>
      <c r="M351" s="28"/>
      <c r="N351" s="27" t="n">
        <f aca="false">IFERROR(INDEX('Input Giocatori 2026_27'!$E$3:$E$493,MATCH($A351,'Input Giocatori 2026_27'!$A$3:$A$493,0)),"")</f>
        <v>4</v>
      </c>
      <c r="O351" s="27" t="n">
        <f aca="false">IFERROR(INDEX('Input Giocatori 2026_27'!$G$3:$G$493,MATCH($A351,'Input Giocatori 2026_27'!$A$3:$A$493,0)),"")</f>
        <v>8</v>
      </c>
      <c r="P351" s="26" t="str">
        <f aca="false">IFERROR(IF($O351="","",IF((1-(COUNTIFS($B$2:$B$492,$B351,$O$2:$O$492,"&gt;"&amp;$O351)+1-1)/COUNTIF($B$2:$B$492,$B351))&gt;=0.85,"Top",IF((1-(COUNTIFS($B$2:$B$492,$B351,$O$2:$O$492,"&gt;"&amp;$O351)+1-1)/COUNTIF($B$2:$B$492,$B351))&gt;=0.6,"Buono",IF((1-(COUNTIFS($B$2:$B$492,$B351,$O$2:$O$492,"&gt;"&amp;$O351)+1-1)/COUNTIF($B$2:$B$492,$B351))&gt;=0.3,"Nella Media","Scommessa/Riserva")))),"")</f>
        <v>Scommessa/Riserva</v>
      </c>
      <c r="Q351" s="29" t="n">
        <f aca="false">IF($D351="",COUNTIF($D$2:$D351,""),"")</f>
        <v>350</v>
      </c>
      <c r="R351" s="29" t="str">
        <f aca="false">IF($D351='Info Lega'!$B$28,COUNTIFS($D$2:$D351,'Info Lega'!$B$28),"")</f>
        <v/>
      </c>
      <c r="S351" s="30" t="n">
        <f aca="false">IFERROR(INDEX('Input Statistiche 2025_26'!$G$3:$G$665,MATCH($A351,'Input Statistiche 2025_26'!$A$3:$A$665,0)),"")</f>
        <v>5.8</v>
      </c>
      <c r="T351" s="30" t="n">
        <f aca="false">IFERROR(INDEX('Input Statistiche 2025_26'!$H$3:$H$665,MATCH($A351,'Input Statistiche 2025_26'!$A$3:$A$665,0)),"")</f>
        <v>6.05</v>
      </c>
      <c r="U351" s="26" t="str">
        <f aca="false">IF(OR('La Mia Rosa'!$O$12="",$D351&lt;&gt;""),"",IF($F351&lt;='La Mia Rosa'!$O$12*'Parametri Modello'!$B$24,"OK",IF($F351&lt;='La Mia Rosa'!$O$12*'Parametri Modello'!$B$25,"Attenzione","Rischio Alto")))</f>
        <v>OK</v>
      </c>
      <c r="V351" s="26" t="n">
        <f aca="false">IFERROR(COUNTIFS($B$2:$B$492,$B351,$O$2:$O$492,"&gt;"&amp;$O351)+1,"")</f>
        <v>132</v>
      </c>
      <c r="W351" s="21" t="n">
        <f aca="false">'Info Lega'!$B$4-SUMIFS($M$2:$M$492,$D$2:$D$492,'Info Lega'!$B$28)</f>
        <v>1000</v>
      </c>
      <c r="X351" s="21" t="n">
        <f aca="false">('Info Lega'!$B$5-COUNTIFS($D$2:$D$492,'Info Lega'!$B$28,$B$2:$B$492,"P"))+('Info Lega'!$B$6-COUNTIFS($D$2:$D$492,'Info Lega'!$B$28,$B$2:$B$492,"D"))+('Info Lega'!$B$7-COUNTIFS($D$2:$D$492,'Info Lega'!$B$28,$B$2:$B$492,"C"))+('Info Lega'!$B$8-COUNTIFS($D$2:$D$492,'Info Lega'!$B$28,$B$2:$B$492,"A"))</f>
        <v>25</v>
      </c>
      <c r="Y351" s="21" t="n">
        <f aca="false">X351*'Parametri Modello'!$B$30</f>
        <v>25</v>
      </c>
      <c r="Z351" s="21" t="n">
        <f aca="false">MAX(0,W351-Y351)</f>
        <v>975</v>
      </c>
      <c r="AA351" s="21" t="n">
        <f aca="false">MIN(F351,Z351)</f>
        <v>1</v>
      </c>
      <c r="AB351" s="21"/>
      <c r="AC351" s="21" t="str">
        <f aca="false">IF(AB351="","",IF(AB351&gt;AA351,"PASS",IF(AB351&lt;=AA351*0.85,"BID","ATTENZIONE")))</f>
        <v/>
      </c>
      <c r="AD351" s="31" t="n">
        <f aca="false">IF(I351="","",ROUND(100*(1-EXP(-I351/30)),0))</f>
        <v>52</v>
      </c>
      <c r="AE351" s="7" t="str">
        <f aca="false">IFERROR(INDEX('Stato Asta'!$G$9:$G$12,MATCH($B351,'Stato Asta'!$A$9:$A$12,0)),"")</f>
        <v>🟡 Attesa rischiosa</v>
      </c>
    </row>
    <row r="352" customFormat="false" ht="14.25" hidden="false" customHeight="true" outlineLevel="0" collapsed="false">
      <c r="A352" s="21" t="n">
        <v>6895</v>
      </c>
      <c r="B352" s="21" t="s">
        <v>45</v>
      </c>
      <c r="C352" s="21" t="s">
        <v>493</v>
      </c>
      <c r="E352" s="26" t="str">
        <f aca="false">IF(COUNTIF('Info Strategia'!$D$2:$D$51,$C352)&gt;0,"SI","NO")</f>
        <v>NO</v>
      </c>
      <c r="F352" s="27" t="n">
        <f aca="false">IFERROR(ROUND(($G352+($H352-$G352)*'Info Strategia'!$B$6)*(1+IF($E352="SI",'Parametri Modello'!$B$7*'Info Strategia'!$B$6,0)),0),"")</f>
        <v>1</v>
      </c>
      <c r="G352" s="27" t="n">
        <f aca="false">IFERROR(ROUND(MAX(1,(IF($V352&lt;=INDEX('Parametri Modello'!$C$57:$C$60,MATCH($B352,'Parametri Modello'!$A$57:$A$60,0)),IF(INDEX('Parametri Modello'!$E$57:$E$60,MATCH($B352,'Parametri Modello'!$A$57:$A$60,0))=0,0,($O352/INDEX('Parametri Modello'!$E$57:$E$60,MATCH($B352,'Parametri Modello'!$A$57:$A$60,0)))*(INDEX('Parametri Modello'!$D$57:$D$60,MATCH($B352,'Parametri Modello'!$A$57:$A$60,0))*(INDEX('Parametri Modello'!$B$50:$B$53,MATCH($B352,'Parametri Modello'!$A$50:$A$53,0))*'Parametri Modello'!$B$44))),IF(INDEX('Parametri Modello'!$F$57:$F$60,MATCH($B352,'Parametri Modello'!$A$57:$A$60,0))=0,0,($O352/INDEX('Parametri Modello'!$F$57:$F$60,MATCH($B352,'Parametri Modello'!$A$57:$A$60,0)))*((1-INDEX('Parametri Modello'!$D$57:$D$60,MATCH($B352,'Parametri Modello'!$A$57:$A$60,0)))*(INDEX('Parametri Modello'!$B$50:$B$53,MATCH($B352,'Parametri Modello'!$A$50:$A$53,0))*'Parametri Modello'!$B$44))))*(1+IF(IF($B352="D",'Info Lega'!$B$25,IF($B352="C",'Info Lega'!$B$26,"No"))="Si",'Parametri Modello'!$B$5,0))*(1+MAX(-0.25,MIN(0.25,IF(OR($T352="",$I352="",$I352=0,INDEX('Parametri Modello'!$B$19:$B$22,MATCH($B352,'Parametri Modello'!$A$19:$A$22,0))="",INDEX('Parametri Modello'!$B$19:$B$22,MATCH($B352,'Parametri Modello'!$A$19:$A$22,0))=0),0,(($T352-INDEX('Parametri Modello'!$B$19:$B$22,MATCH($B352,'Parametri Modello'!$A$19:$A$22,0)))/INDEX('Parametri Modello'!$B$19:$B$22,MATCH($B352,'Parametri Modello'!$A$19:$A$22,0)))*'Parametri Modello'!$B$9))))*(1+IF('Parametri Modello'!$B$27="Si",MAX(-'Parametri Modello'!$B$28,MIN('Parametri Modello'!$B$28*1.5,IF(OR(INDEX('Parametri Modello'!$F$32:$F$35,MATCH($B352,'Parametri Modello'!$A$32:$A$35,0))="",INDEX('Parametri Modello'!$F$32:$F$35,MATCH($B352,'Parametri Modello'!$A$32:$A$35,0))=0),0,(1/INDEX('Parametri Modello'!$F$32:$F$35,MATCH($B352,'Parametri Modello'!$A$32:$A$35,0))-1)*'Parametri Modello'!$B$28))),0)))*(1-INDEX('Parametri Modello'!$B$12:$B$15,MATCH($B352,'Parametri Modello'!$A$12:$A$15,0)))),0),"")</f>
        <v>1</v>
      </c>
      <c r="H352" s="27" t="n">
        <f aca="false">IFERROR(ROUND((IF($V352&lt;=INDEX('Parametri Modello'!$C$57:$C$60,MATCH($B352,'Parametri Modello'!$A$57:$A$60,0)),IF(INDEX('Parametri Modello'!$E$57:$E$60,MATCH($B352,'Parametri Modello'!$A$57:$A$60,0))=0,0,($O352/INDEX('Parametri Modello'!$E$57:$E$60,MATCH($B352,'Parametri Modello'!$A$57:$A$60,0)))*(INDEX('Parametri Modello'!$D$57:$D$60,MATCH($B352,'Parametri Modello'!$A$57:$A$60,0))*(INDEX('Parametri Modello'!$B$50:$B$53,MATCH($B352,'Parametri Modello'!$A$50:$A$53,0))*'Parametri Modello'!$B$44))),IF(INDEX('Parametri Modello'!$F$57:$F$60,MATCH($B352,'Parametri Modello'!$A$57:$A$60,0))=0,0,($O352/INDEX('Parametri Modello'!$F$57:$F$60,MATCH($B352,'Parametri Modello'!$A$57:$A$60,0)))*((1-INDEX('Parametri Modello'!$D$57:$D$60,MATCH($B352,'Parametri Modello'!$A$57:$A$60,0)))*(INDEX('Parametri Modello'!$B$50:$B$53,MATCH($B352,'Parametri Modello'!$A$50:$A$53,0))*'Parametri Modello'!$B$44))))*(1+IF(IF($B352="D",'Info Lega'!$B$25,IF($B352="C",'Info Lega'!$B$26,"No"))="Si",'Parametri Modello'!$B$5,0))*(1+MAX(-0.25,MIN(0.25,IF(OR($T352="",$I352="",$I352=0,INDEX('Parametri Modello'!$B$19:$B$22,MATCH($B352,'Parametri Modello'!$A$19:$A$22,0))="",INDEX('Parametri Modello'!$B$19:$B$22,MATCH($B352,'Parametri Modello'!$A$19:$A$22,0))=0),0,(($T352-INDEX('Parametri Modello'!$B$19:$B$22,MATCH($B352,'Parametri Modello'!$A$19:$A$22,0)))/INDEX('Parametri Modello'!$B$19:$B$22,MATCH($B352,'Parametri Modello'!$A$19:$A$22,0)))*'Parametri Modello'!$B$9))))*(1+IF('Parametri Modello'!$B$27="Si",MAX(-'Parametri Modello'!$B$28,MIN('Parametri Modello'!$B$28*1.5,IF(OR(INDEX('Parametri Modello'!$F$32:$F$35,MATCH($B352,'Parametri Modello'!$A$32:$A$35,0))="",INDEX('Parametri Modello'!$F$32:$F$35,MATCH($B352,'Parametri Modello'!$A$32:$A$35,0))=0),0,(1/INDEX('Parametri Modello'!$F$32:$F$35,MATCH($B352,'Parametri Modello'!$A$32:$A$35,0))-1)*'Parametri Modello'!$B$28))),0)))*(1+INDEX('Parametri Modello'!$B$12:$B$15,MATCH($B352,'Parametri Modello'!$A$12:$A$15,0))),0),"")</f>
        <v>1</v>
      </c>
      <c r="I352" s="26" t="n">
        <f aca="false">IFERROR(INDEX('Input Statistiche 2025_26'!$F$3:$F$665,MATCH($A352,'Input Statistiche 2025_26'!$A$3:$A$665,0)),"")</f>
        <v>12</v>
      </c>
      <c r="J352" s="26" t="n">
        <f aca="false">IFERROR(IF($I352="","",MAX(0,38-$I352)),"")</f>
        <v>26</v>
      </c>
      <c r="K352" s="26" t="n">
        <f aca="false">IFERROR(INDEX('Input Statistiche 2025_26'!$I$3:$I$665,MATCH($A352,'Input Statistiche 2025_26'!$A$3:$A$665,0)),"")</f>
        <v>0</v>
      </c>
      <c r="L352" s="26" t="n">
        <f aca="false">IFERROR(INDEX('Input Statistiche 2025_26'!$O$3:$O$665,MATCH($A352,'Input Statistiche 2025_26'!$A$3:$A$665,0)),"")</f>
        <v>3</v>
      </c>
      <c r="M352" s="28"/>
      <c r="N352" s="27" t="n">
        <f aca="false">IFERROR(INDEX('Input Giocatori 2026_27'!$E$3:$E$493,MATCH($A352,'Input Giocatori 2026_27'!$A$3:$A$493,0)),"")</f>
        <v>3</v>
      </c>
      <c r="O352" s="27" t="n">
        <f aca="false">IFERROR(INDEX('Input Giocatori 2026_27'!$G$3:$G$493,MATCH($A352,'Input Giocatori 2026_27'!$A$3:$A$493,0)),"")</f>
        <v>8</v>
      </c>
      <c r="P352" s="26" t="str">
        <f aca="false">IFERROR(IF($O352="","",IF((1-(COUNTIFS($B$2:$B$492,$B352,$O$2:$O$492,"&gt;"&amp;$O352)+1-1)/COUNTIF($B$2:$B$492,$B352))&gt;=0.85,"Top",IF((1-(COUNTIFS($B$2:$B$492,$B352,$O$2:$O$492,"&gt;"&amp;$O352)+1-1)/COUNTIF($B$2:$B$492,$B352))&gt;=0.6,"Buono",IF((1-(COUNTIFS($B$2:$B$492,$B352,$O$2:$O$492,"&gt;"&amp;$O352)+1-1)/COUNTIF($B$2:$B$492,$B352))&gt;=0.3,"Nella Media","Scommessa/Riserva")))),"")</f>
        <v>Scommessa/Riserva</v>
      </c>
      <c r="Q352" s="29" t="n">
        <f aca="false">IF($D352="",COUNTIF($D$2:$D352,""),"")</f>
        <v>351</v>
      </c>
      <c r="R352" s="29" t="str">
        <f aca="false">IF($D352='Info Lega'!$B$28,COUNTIFS($D$2:$D352,'Info Lega'!$B$28),"")</f>
        <v/>
      </c>
      <c r="S352" s="30" t="n">
        <f aca="false">IFERROR(INDEX('Input Statistiche 2025_26'!$G$3:$G$665,MATCH($A352,'Input Statistiche 2025_26'!$A$3:$A$665,0)),"")</f>
        <v>5.83</v>
      </c>
      <c r="T352" s="30" t="n">
        <f aca="false">IFERROR(INDEX('Input Statistiche 2025_26'!$H$3:$H$665,MATCH($A352,'Input Statistiche 2025_26'!$A$3:$A$665,0)),"")</f>
        <v>6.04</v>
      </c>
      <c r="U352" s="26" t="str">
        <f aca="false">IF(OR('La Mia Rosa'!$O$12="",$D352&lt;&gt;""),"",IF($F352&lt;='La Mia Rosa'!$O$12*'Parametri Modello'!$B$24,"OK",IF($F352&lt;='La Mia Rosa'!$O$12*'Parametri Modello'!$B$25,"Attenzione","Rischio Alto")))</f>
        <v>OK</v>
      </c>
      <c r="V352" s="26" t="n">
        <f aca="false">IFERROR(COUNTIFS($B$2:$B$492,$B352,$O$2:$O$492,"&gt;"&amp;$O352)+1,"")</f>
        <v>132</v>
      </c>
      <c r="W352" s="21" t="n">
        <f aca="false">'Info Lega'!$B$4-SUMIFS($M$2:$M$492,$D$2:$D$492,'Info Lega'!$B$28)</f>
        <v>1000</v>
      </c>
      <c r="X352" s="21" t="n">
        <f aca="false">('Info Lega'!$B$5-COUNTIFS($D$2:$D$492,'Info Lega'!$B$28,$B$2:$B$492,"P"))+('Info Lega'!$B$6-COUNTIFS($D$2:$D$492,'Info Lega'!$B$28,$B$2:$B$492,"D"))+('Info Lega'!$B$7-COUNTIFS($D$2:$D$492,'Info Lega'!$B$28,$B$2:$B$492,"C"))+('Info Lega'!$B$8-COUNTIFS($D$2:$D$492,'Info Lega'!$B$28,$B$2:$B$492,"A"))</f>
        <v>25</v>
      </c>
      <c r="Y352" s="21" t="n">
        <f aca="false">X352*'Parametri Modello'!$B$30</f>
        <v>25</v>
      </c>
      <c r="Z352" s="21" t="n">
        <f aca="false">MAX(0,W352-Y352)</f>
        <v>975</v>
      </c>
      <c r="AA352" s="21" t="n">
        <f aca="false">MIN(F352,Z352)</f>
        <v>1</v>
      </c>
      <c r="AB352" s="21"/>
      <c r="AC352" s="21" t="str">
        <f aca="false">IF(AB352="","",IF(AB352&gt;AA352,"PASS",IF(AB352&lt;=AA352*0.85,"BID","ATTENZIONE")))</f>
        <v/>
      </c>
      <c r="AD352" s="31" t="n">
        <f aca="false">IF(I352="","",ROUND(100*(1-EXP(-I352/30)),0))</f>
        <v>33</v>
      </c>
      <c r="AE352" s="7" t="str">
        <f aca="false">IFERROR(INDEX('Stato Asta'!$G$9:$G$12,MATCH($B352,'Stato Asta'!$A$9:$A$12,0)),"")</f>
        <v>🟡 Attesa rischiosa</v>
      </c>
    </row>
    <row r="353" customFormat="false" ht="14.25" hidden="false" customHeight="true" outlineLevel="0" collapsed="false">
      <c r="A353" s="21" t="n">
        <v>1871</v>
      </c>
      <c r="B353" s="21" t="s">
        <v>45</v>
      </c>
      <c r="C353" s="21" t="s">
        <v>494</v>
      </c>
      <c r="E353" s="26" t="str">
        <f aca="false">IF(COUNTIF('Info Strategia'!$D$2:$D$51,$C353)&gt;0,"SI","NO")</f>
        <v>NO</v>
      </c>
      <c r="F353" s="27" t="n">
        <f aca="false">IFERROR(ROUND(($G353+($H353-$G353)*'Info Strategia'!$B$6)*(1+IF($E353="SI",'Parametri Modello'!$B$7*'Info Strategia'!$B$6,0)),0),"")</f>
        <v>1</v>
      </c>
      <c r="G353" s="27" t="n">
        <f aca="false">IFERROR(ROUND(MAX(1,(IF($V353&lt;=INDEX('Parametri Modello'!$C$57:$C$60,MATCH($B353,'Parametri Modello'!$A$57:$A$60,0)),IF(INDEX('Parametri Modello'!$E$57:$E$60,MATCH($B353,'Parametri Modello'!$A$57:$A$60,0))=0,0,($O353/INDEX('Parametri Modello'!$E$57:$E$60,MATCH($B353,'Parametri Modello'!$A$57:$A$60,0)))*(INDEX('Parametri Modello'!$D$57:$D$60,MATCH($B353,'Parametri Modello'!$A$57:$A$60,0))*(INDEX('Parametri Modello'!$B$50:$B$53,MATCH($B353,'Parametri Modello'!$A$50:$A$53,0))*'Parametri Modello'!$B$44))),IF(INDEX('Parametri Modello'!$F$57:$F$60,MATCH($B353,'Parametri Modello'!$A$57:$A$60,0))=0,0,($O353/INDEX('Parametri Modello'!$F$57:$F$60,MATCH($B353,'Parametri Modello'!$A$57:$A$60,0)))*((1-INDEX('Parametri Modello'!$D$57:$D$60,MATCH($B353,'Parametri Modello'!$A$57:$A$60,0)))*(INDEX('Parametri Modello'!$B$50:$B$53,MATCH($B353,'Parametri Modello'!$A$50:$A$53,0))*'Parametri Modello'!$B$44))))*(1+IF(IF($B353="D",'Info Lega'!$B$25,IF($B353="C",'Info Lega'!$B$26,"No"))="Si",'Parametri Modello'!$B$5,0))*(1+MAX(-0.25,MIN(0.25,IF(OR($T353="",$I353="",$I353=0,INDEX('Parametri Modello'!$B$19:$B$22,MATCH($B353,'Parametri Modello'!$A$19:$A$22,0))="",INDEX('Parametri Modello'!$B$19:$B$22,MATCH($B353,'Parametri Modello'!$A$19:$A$22,0))=0),0,(($T353-INDEX('Parametri Modello'!$B$19:$B$22,MATCH($B353,'Parametri Modello'!$A$19:$A$22,0)))/INDEX('Parametri Modello'!$B$19:$B$22,MATCH($B353,'Parametri Modello'!$A$19:$A$22,0)))*'Parametri Modello'!$B$9))))*(1+IF('Parametri Modello'!$B$27="Si",MAX(-'Parametri Modello'!$B$28,MIN('Parametri Modello'!$B$28*1.5,IF(OR(INDEX('Parametri Modello'!$F$32:$F$35,MATCH($B353,'Parametri Modello'!$A$32:$A$35,0))="",INDEX('Parametri Modello'!$F$32:$F$35,MATCH($B353,'Parametri Modello'!$A$32:$A$35,0))=0),0,(1/INDEX('Parametri Modello'!$F$32:$F$35,MATCH($B353,'Parametri Modello'!$A$32:$A$35,0))-1)*'Parametri Modello'!$B$28))),0)))*(1-INDEX('Parametri Modello'!$B$12:$B$15,MATCH($B353,'Parametri Modello'!$A$12:$A$15,0)))),0),"")</f>
        <v>1</v>
      </c>
      <c r="H353" s="27" t="n">
        <f aca="false">IFERROR(ROUND((IF($V353&lt;=INDEX('Parametri Modello'!$C$57:$C$60,MATCH($B353,'Parametri Modello'!$A$57:$A$60,0)),IF(INDEX('Parametri Modello'!$E$57:$E$60,MATCH($B353,'Parametri Modello'!$A$57:$A$60,0))=0,0,($O353/INDEX('Parametri Modello'!$E$57:$E$60,MATCH($B353,'Parametri Modello'!$A$57:$A$60,0)))*(INDEX('Parametri Modello'!$D$57:$D$60,MATCH($B353,'Parametri Modello'!$A$57:$A$60,0))*(INDEX('Parametri Modello'!$B$50:$B$53,MATCH($B353,'Parametri Modello'!$A$50:$A$53,0))*'Parametri Modello'!$B$44))),IF(INDEX('Parametri Modello'!$F$57:$F$60,MATCH($B353,'Parametri Modello'!$A$57:$A$60,0))=0,0,($O353/INDEX('Parametri Modello'!$F$57:$F$60,MATCH($B353,'Parametri Modello'!$A$57:$A$60,0)))*((1-INDEX('Parametri Modello'!$D$57:$D$60,MATCH($B353,'Parametri Modello'!$A$57:$A$60,0)))*(INDEX('Parametri Modello'!$B$50:$B$53,MATCH($B353,'Parametri Modello'!$A$50:$A$53,0))*'Parametri Modello'!$B$44))))*(1+IF(IF($B353="D",'Info Lega'!$B$25,IF($B353="C",'Info Lega'!$B$26,"No"))="Si",'Parametri Modello'!$B$5,0))*(1+MAX(-0.25,MIN(0.25,IF(OR($T353="",$I353="",$I353=0,INDEX('Parametri Modello'!$B$19:$B$22,MATCH($B353,'Parametri Modello'!$A$19:$A$22,0))="",INDEX('Parametri Modello'!$B$19:$B$22,MATCH($B353,'Parametri Modello'!$A$19:$A$22,0))=0),0,(($T353-INDEX('Parametri Modello'!$B$19:$B$22,MATCH($B353,'Parametri Modello'!$A$19:$A$22,0)))/INDEX('Parametri Modello'!$B$19:$B$22,MATCH($B353,'Parametri Modello'!$A$19:$A$22,0)))*'Parametri Modello'!$B$9))))*(1+IF('Parametri Modello'!$B$27="Si",MAX(-'Parametri Modello'!$B$28,MIN('Parametri Modello'!$B$28*1.5,IF(OR(INDEX('Parametri Modello'!$F$32:$F$35,MATCH($B353,'Parametri Modello'!$A$32:$A$35,0))="",INDEX('Parametri Modello'!$F$32:$F$35,MATCH($B353,'Parametri Modello'!$A$32:$A$35,0))=0),0,(1/INDEX('Parametri Modello'!$F$32:$F$35,MATCH($B353,'Parametri Modello'!$A$32:$A$35,0))-1)*'Parametri Modello'!$B$28))),0)))*(1+INDEX('Parametri Modello'!$B$12:$B$15,MATCH($B353,'Parametri Modello'!$A$12:$A$15,0))),0),"")</f>
        <v>1</v>
      </c>
      <c r="I353" s="26" t="n">
        <f aca="false">IFERROR(INDEX('Input Statistiche 2025_26'!$F$3:$F$665,MATCH($A353,'Input Statistiche 2025_26'!$A$3:$A$665,0)),"")</f>
        <v>20</v>
      </c>
      <c r="J353" s="26" t="n">
        <f aca="false">IFERROR(IF($I353="","",MAX(0,38-$I353)),"")</f>
        <v>18</v>
      </c>
      <c r="K353" s="26" t="n">
        <f aca="false">IFERROR(INDEX('Input Statistiche 2025_26'!$I$3:$I$665,MATCH($A353,'Input Statistiche 2025_26'!$A$3:$A$665,0)),"")</f>
        <v>0</v>
      </c>
      <c r="L353" s="26" t="n">
        <f aca="false">IFERROR(INDEX('Input Statistiche 2025_26'!$O$3:$O$665,MATCH($A353,'Input Statistiche 2025_26'!$A$3:$A$665,0)),"")</f>
        <v>1</v>
      </c>
      <c r="M353" s="28"/>
      <c r="N353" s="27" t="n">
        <f aca="false">IFERROR(INDEX('Input Giocatori 2026_27'!$E$3:$E$493,MATCH($A353,'Input Giocatori 2026_27'!$A$3:$A$493,0)),"")</f>
        <v>3</v>
      </c>
      <c r="O353" s="27" t="n">
        <f aca="false">IFERROR(INDEX('Input Giocatori 2026_27'!$G$3:$G$493,MATCH($A353,'Input Giocatori 2026_27'!$A$3:$A$493,0)),"")</f>
        <v>8</v>
      </c>
      <c r="P353" s="26" t="str">
        <f aca="false">IFERROR(IF($O353="","",IF((1-(COUNTIFS($B$2:$B$492,$B353,$O$2:$O$492,"&gt;"&amp;$O353)+1-1)/COUNTIF($B$2:$B$492,$B353))&gt;=0.85,"Top",IF((1-(COUNTIFS($B$2:$B$492,$B353,$O$2:$O$492,"&gt;"&amp;$O353)+1-1)/COUNTIF($B$2:$B$492,$B353))&gt;=0.6,"Buono",IF((1-(COUNTIFS($B$2:$B$492,$B353,$O$2:$O$492,"&gt;"&amp;$O353)+1-1)/COUNTIF($B$2:$B$492,$B353))&gt;=0.3,"Nella Media","Scommessa/Riserva")))),"")</f>
        <v>Scommessa/Riserva</v>
      </c>
      <c r="Q353" s="29" t="n">
        <f aca="false">IF($D353="",COUNTIF($D$2:$D353,""),"")</f>
        <v>352</v>
      </c>
      <c r="R353" s="29" t="str">
        <f aca="false">IF($D353='Info Lega'!$B$28,COUNTIFS($D$2:$D353,'Info Lega'!$B$28),"")</f>
        <v/>
      </c>
      <c r="S353" s="30" t="n">
        <f aca="false">IFERROR(INDEX('Input Statistiche 2025_26'!$G$3:$G$665,MATCH($A353,'Input Statistiche 2025_26'!$A$3:$A$665,0)),"")</f>
        <v>5.98</v>
      </c>
      <c r="T353" s="30" t="n">
        <f aca="false">IFERROR(INDEX('Input Statistiche 2025_26'!$H$3:$H$665,MATCH($A353,'Input Statistiche 2025_26'!$A$3:$A$665,0)),"")</f>
        <v>5.95</v>
      </c>
      <c r="U353" s="26" t="str">
        <f aca="false">IF(OR('La Mia Rosa'!$O$12="",$D353&lt;&gt;""),"",IF($F353&lt;='La Mia Rosa'!$O$12*'Parametri Modello'!$B$24,"OK",IF($F353&lt;='La Mia Rosa'!$O$12*'Parametri Modello'!$B$25,"Attenzione","Rischio Alto")))</f>
        <v>OK</v>
      </c>
      <c r="V353" s="26" t="n">
        <f aca="false">IFERROR(COUNTIFS($B$2:$B$492,$B353,$O$2:$O$492,"&gt;"&amp;$O353)+1,"")</f>
        <v>132</v>
      </c>
      <c r="W353" s="21" t="n">
        <f aca="false">'Info Lega'!$B$4-SUMIFS($M$2:$M$492,$D$2:$D$492,'Info Lega'!$B$28)</f>
        <v>1000</v>
      </c>
      <c r="X353" s="21" t="n">
        <f aca="false">('Info Lega'!$B$5-COUNTIFS($D$2:$D$492,'Info Lega'!$B$28,$B$2:$B$492,"P"))+('Info Lega'!$B$6-COUNTIFS($D$2:$D$492,'Info Lega'!$B$28,$B$2:$B$492,"D"))+('Info Lega'!$B$7-COUNTIFS($D$2:$D$492,'Info Lega'!$B$28,$B$2:$B$492,"C"))+('Info Lega'!$B$8-COUNTIFS($D$2:$D$492,'Info Lega'!$B$28,$B$2:$B$492,"A"))</f>
        <v>25</v>
      </c>
      <c r="Y353" s="21" t="n">
        <f aca="false">X353*'Parametri Modello'!$B$30</f>
        <v>25</v>
      </c>
      <c r="Z353" s="21" t="n">
        <f aca="false">MAX(0,W353-Y353)</f>
        <v>975</v>
      </c>
      <c r="AA353" s="21" t="n">
        <f aca="false">MIN(F353,Z353)</f>
        <v>1</v>
      </c>
      <c r="AB353" s="21"/>
      <c r="AC353" s="21" t="str">
        <f aca="false">IF(AB353="","",IF(AB353&gt;AA353,"PASS",IF(AB353&lt;=AA353*0.85,"BID","ATTENZIONE")))</f>
        <v/>
      </c>
      <c r="AD353" s="31" t="n">
        <f aca="false">IF(I353="","",ROUND(100*(1-EXP(-I353/30)),0))</f>
        <v>49</v>
      </c>
      <c r="AE353" s="7" t="str">
        <f aca="false">IFERROR(INDEX('Stato Asta'!$G$9:$G$12,MATCH($B353,'Stato Asta'!$A$9:$A$12,0)),"")</f>
        <v>🟡 Attesa rischiosa</v>
      </c>
    </row>
    <row r="354" customFormat="false" ht="14.25" hidden="false" customHeight="true" outlineLevel="0" collapsed="false">
      <c r="A354" s="21" t="n">
        <v>6241</v>
      </c>
      <c r="B354" s="21" t="s">
        <v>45</v>
      </c>
      <c r="C354" s="21" t="s">
        <v>496</v>
      </c>
      <c r="E354" s="26" t="str">
        <f aca="false">IF(COUNTIF('Info Strategia'!$D$2:$D$51,$C354)&gt;0,"SI","NO")</f>
        <v>NO</v>
      </c>
      <c r="F354" s="27" t="n">
        <f aca="false">IFERROR(ROUND(($G354+($H354-$G354)*'Info Strategia'!$B$6)*(1+IF($E354="SI",'Parametri Modello'!$B$7*'Info Strategia'!$B$6,0)),0),"")</f>
        <v>1</v>
      </c>
      <c r="G354" s="27" t="n">
        <f aca="false">IFERROR(ROUND(MAX(1,(IF($V354&lt;=INDEX('Parametri Modello'!$C$57:$C$60,MATCH($B354,'Parametri Modello'!$A$57:$A$60,0)),IF(INDEX('Parametri Modello'!$E$57:$E$60,MATCH($B354,'Parametri Modello'!$A$57:$A$60,0))=0,0,($O354/INDEX('Parametri Modello'!$E$57:$E$60,MATCH($B354,'Parametri Modello'!$A$57:$A$60,0)))*(INDEX('Parametri Modello'!$D$57:$D$60,MATCH($B354,'Parametri Modello'!$A$57:$A$60,0))*(INDEX('Parametri Modello'!$B$50:$B$53,MATCH($B354,'Parametri Modello'!$A$50:$A$53,0))*'Parametri Modello'!$B$44))),IF(INDEX('Parametri Modello'!$F$57:$F$60,MATCH($B354,'Parametri Modello'!$A$57:$A$60,0))=0,0,($O354/INDEX('Parametri Modello'!$F$57:$F$60,MATCH($B354,'Parametri Modello'!$A$57:$A$60,0)))*((1-INDEX('Parametri Modello'!$D$57:$D$60,MATCH($B354,'Parametri Modello'!$A$57:$A$60,0)))*(INDEX('Parametri Modello'!$B$50:$B$53,MATCH($B354,'Parametri Modello'!$A$50:$A$53,0))*'Parametri Modello'!$B$44))))*(1+IF(IF($B354="D",'Info Lega'!$B$25,IF($B354="C",'Info Lega'!$B$26,"No"))="Si",'Parametri Modello'!$B$5,0))*(1+MAX(-0.25,MIN(0.25,IF(OR($T354="",$I354="",$I354=0,INDEX('Parametri Modello'!$B$19:$B$22,MATCH($B354,'Parametri Modello'!$A$19:$A$22,0))="",INDEX('Parametri Modello'!$B$19:$B$22,MATCH($B354,'Parametri Modello'!$A$19:$A$22,0))=0),0,(($T354-INDEX('Parametri Modello'!$B$19:$B$22,MATCH($B354,'Parametri Modello'!$A$19:$A$22,0)))/INDEX('Parametri Modello'!$B$19:$B$22,MATCH($B354,'Parametri Modello'!$A$19:$A$22,0)))*'Parametri Modello'!$B$9))))*(1+IF('Parametri Modello'!$B$27="Si",MAX(-'Parametri Modello'!$B$28,MIN('Parametri Modello'!$B$28*1.5,IF(OR(INDEX('Parametri Modello'!$F$32:$F$35,MATCH($B354,'Parametri Modello'!$A$32:$A$35,0))="",INDEX('Parametri Modello'!$F$32:$F$35,MATCH($B354,'Parametri Modello'!$A$32:$A$35,0))=0),0,(1/INDEX('Parametri Modello'!$F$32:$F$35,MATCH($B354,'Parametri Modello'!$A$32:$A$35,0))-1)*'Parametri Modello'!$B$28))),0)))*(1-INDEX('Parametri Modello'!$B$12:$B$15,MATCH($B354,'Parametri Modello'!$A$12:$A$15,0)))),0),"")</f>
        <v>1</v>
      </c>
      <c r="H354" s="27" t="n">
        <f aca="false">IFERROR(ROUND((IF($V354&lt;=INDEX('Parametri Modello'!$C$57:$C$60,MATCH($B354,'Parametri Modello'!$A$57:$A$60,0)),IF(INDEX('Parametri Modello'!$E$57:$E$60,MATCH($B354,'Parametri Modello'!$A$57:$A$60,0))=0,0,($O354/INDEX('Parametri Modello'!$E$57:$E$60,MATCH($B354,'Parametri Modello'!$A$57:$A$60,0)))*(INDEX('Parametri Modello'!$D$57:$D$60,MATCH($B354,'Parametri Modello'!$A$57:$A$60,0))*(INDEX('Parametri Modello'!$B$50:$B$53,MATCH($B354,'Parametri Modello'!$A$50:$A$53,0))*'Parametri Modello'!$B$44))),IF(INDEX('Parametri Modello'!$F$57:$F$60,MATCH($B354,'Parametri Modello'!$A$57:$A$60,0))=0,0,($O354/INDEX('Parametri Modello'!$F$57:$F$60,MATCH($B354,'Parametri Modello'!$A$57:$A$60,0)))*((1-INDEX('Parametri Modello'!$D$57:$D$60,MATCH($B354,'Parametri Modello'!$A$57:$A$60,0)))*(INDEX('Parametri Modello'!$B$50:$B$53,MATCH($B354,'Parametri Modello'!$A$50:$A$53,0))*'Parametri Modello'!$B$44))))*(1+IF(IF($B354="D",'Info Lega'!$B$25,IF($B354="C",'Info Lega'!$B$26,"No"))="Si",'Parametri Modello'!$B$5,0))*(1+MAX(-0.25,MIN(0.25,IF(OR($T354="",$I354="",$I354=0,INDEX('Parametri Modello'!$B$19:$B$22,MATCH($B354,'Parametri Modello'!$A$19:$A$22,0))="",INDEX('Parametri Modello'!$B$19:$B$22,MATCH($B354,'Parametri Modello'!$A$19:$A$22,0))=0),0,(($T354-INDEX('Parametri Modello'!$B$19:$B$22,MATCH($B354,'Parametri Modello'!$A$19:$A$22,0)))/INDEX('Parametri Modello'!$B$19:$B$22,MATCH($B354,'Parametri Modello'!$A$19:$A$22,0)))*'Parametri Modello'!$B$9))))*(1+IF('Parametri Modello'!$B$27="Si",MAX(-'Parametri Modello'!$B$28,MIN('Parametri Modello'!$B$28*1.5,IF(OR(INDEX('Parametri Modello'!$F$32:$F$35,MATCH($B354,'Parametri Modello'!$A$32:$A$35,0))="",INDEX('Parametri Modello'!$F$32:$F$35,MATCH($B354,'Parametri Modello'!$A$32:$A$35,0))=0),0,(1/INDEX('Parametri Modello'!$F$32:$F$35,MATCH($B354,'Parametri Modello'!$A$32:$A$35,0))-1)*'Parametri Modello'!$B$28))),0)))*(1+INDEX('Parametri Modello'!$B$12:$B$15,MATCH($B354,'Parametri Modello'!$A$12:$A$15,0))),0),"")</f>
        <v>1</v>
      </c>
      <c r="I354" s="26" t="str">
        <f aca="false">IFERROR(INDEX('Input Statistiche 2025_26'!$F$3:$F$665,MATCH($A354,'Input Statistiche 2025_26'!$A$3:$A$665,0)),"")</f>
        <v/>
      </c>
      <c r="J354" s="26" t="str">
        <f aca="false">IFERROR(IF($I354="","",MAX(0,38-$I354)),"")</f>
        <v/>
      </c>
      <c r="K354" s="26" t="str">
        <f aca="false">IFERROR(INDEX('Input Statistiche 2025_26'!$I$3:$I$665,MATCH($A354,'Input Statistiche 2025_26'!$A$3:$A$665,0)),"")</f>
        <v/>
      </c>
      <c r="L354" s="26" t="str">
        <f aca="false">IFERROR(INDEX('Input Statistiche 2025_26'!$O$3:$O$665,MATCH($A354,'Input Statistiche 2025_26'!$A$3:$A$665,0)),"")</f>
        <v/>
      </c>
      <c r="M354" s="28"/>
      <c r="N354" s="27" t="n">
        <f aca="false">IFERROR(INDEX('Input Giocatori 2026_27'!$E$3:$E$493,MATCH($A354,'Input Giocatori 2026_27'!$A$3:$A$493,0)),"")</f>
        <v>3</v>
      </c>
      <c r="O354" s="27" t="n">
        <f aca="false">IFERROR(INDEX('Input Giocatori 2026_27'!$G$3:$G$493,MATCH($A354,'Input Giocatori 2026_27'!$A$3:$A$493,0)),"")</f>
        <v>8</v>
      </c>
      <c r="P354" s="26" t="str">
        <f aca="false">IFERROR(IF($O354="","",IF((1-(COUNTIFS($B$2:$B$492,$B354,$O$2:$O$492,"&gt;"&amp;$O354)+1-1)/COUNTIF($B$2:$B$492,$B354))&gt;=0.85,"Top",IF((1-(COUNTIFS($B$2:$B$492,$B354,$O$2:$O$492,"&gt;"&amp;$O354)+1-1)/COUNTIF($B$2:$B$492,$B354))&gt;=0.6,"Buono",IF((1-(COUNTIFS($B$2:$B$492,$B354,$O$2:$O$492,"&gt;"&amp;$O354)+1-1)/COUNTIF($B$2:$B$492,$B354))&gt;=0.3,"Nella Media","Scommessa/Riserva")))),"")</f>
        <v>Scommessa/Riserva</v>
      </c>
      <c r="Q354" s="29" t="n">
        <f aca="false">IF($D354="",COUNTIF($D$2:$D354,""),"")</f>
        <v>353</v>
      </c>
      <c r="R354" s="29" t="str">
        <f aca="false">IF($D354='Info Lega'!$B$28,COUNTIFS($D$2:$D354,'Info Lega'!$B$28),"")</f>
        <v/>
      </c>
      <c r="S354" s="30" t="str">
        <f aca="false">IFERROR(INDEX('Input Statistiche 2025_26'!$G$3:$G$665,MATCH($A354,'Input Statistiche 2025_26'!$A$3:$A$665,0)),"")</f>
        <v/>
      </c>
      <c r="T354" s="30" t="str">
        <f aca="false">IFERROR(INDEX('Input Statistiche 2025_26'!$H$3:$H$665,MATCH($A354,'Input Statistiche 2025_26'!$A$3:$A$665,0)),"")</f>
        <v/>
      </c>
      <c r="U354" s="26" t="str">
        <f aca="false">IF(OR('La Mia Rosa'!$O$12="",$D354&lt;&gt;""),"",IF($F354&lt;='La Mia Rosa'!$O$12*'Parametri Modello'!$B$24,"OK",IF($F354&lt;='La Mia Rosa'!$O$12*'Parametri Modello'!$B$25,"Attenzione","Rischio Alto")))</f>
        <v>OK</v>
      </c>
      <c r="V354" s="26" t="n">
        <f aca="false">IFERROR(COUNTIFS($B$2:$B$492,$B354,$O$2:$O$492,"&gt;"&amp;$O354)+1,"")</f>
        <v>132</v>
      </c>
      <c r="W354" s="21" t="n">
        <f aca="false">'Info Lega'!$B$4-SUMIFS($M$2:$M$492,$D$2:$D$492,'Info Lega'!$B$28)</f>
        <v>1000</v>
      </c>
      <c r="X354" s="21" t="n">
        <f aca="false">('Info Lega'!$B$5-COUNTIFS($D$2:$D$492,'Info Lega'!$B$28,$B$2:$B$492,"P"))+('Info Lega'!$B$6-COUNTIFS($D$2:$D$492,'Info Lega'!$B$28,$B$2:$B$492,"D"))+('Info Lega'!$B$7-COUNTIFS($D$2:$D$492,'Info Lega'!$B$28,$B$2:$B$492,"C"))+('Info Lega'!$B$8-COUNTIFS($D$2:$D$492,'Info Lega'!$B$28,$B$2:$B$492,"A"))</f>
        <v>25</v>
      </c>
      <c r="Y354" s="21" t="n">
        <f aca="false">X354*'Parametri Modello'!$B$30</f>
        <v>25</v>
      </c>
      <c r="Z354" s="21" t="n">
        <f aca="false">MAX(0,W354-Y354)</f>
        <v>975</v>
      </c>
      <c r="AA354" s="21" t="n">
        <f aca="false">MIN(F354,Z354)</f>
        <v>1</v>
      </c>
      <c r="AB354" s="21"/>
      <c r="AC354" s="21" t="str">
        <f aca="false">IF(AB354="","",IF(AB354&gt;AA354,"PASS",IF(AB354&lt;=AA354*0.85,"BID","ATTENZIONE")))</f>
        <v/>
      </c>
      <c r="AD354" s="31" t="str">
        <f aca="false">IF(I354="","",ROUND(100*(1-EXP(-I354/30)),0))</f>
        <v/>
      </c>
      <c r="AE354" s="7" t="str">
        <f aca="false">IFERROR(INDEX('Stato Asta'!$G$9:$G$12,MATCH($B354,'Stato Asta'!$A$9:$A$12,0)),"")</f>
        <v>🟡 Attesa rischiosa</v>
      </c>
    </row>
    <row r="355" customFormat="false" ht="14.25" hidden="false" customHeight="true" outlineLevel="0" collapsed="false">
      <c r="A355" s="21" t="n">
        <v>4970</v>
      </c>
      <c r="B355" s="21" t="s">
        <v>45</v>
      </c>
      <c r="C355" s="21" t="s">
        <v>498</v>
      </c>
      <c r="E355" s="26" t="str">
        <f aca="false">IF(COUNTIF('Info Strategia'!$D$2:$D$51,$C355)&gt;0,"SI","NO")</f>
        <v>NO</v>
      </c>
      <c r="F355" s="27" t="n">
        <f aca="false">IFERROR(ROUND(($G355+($H355-$G355)*'Info Strategia'!$B$6)*(1+IF($E355="SI",'Parametri Modello'!$B$7*'Info Strategia'!$B$6,0)),0),"")</f>
        <v>1</v>
      </c>
      <c r="G355" s="27" t="n">
        <f aca="false">IFERROR(ROUND(MAX(1,(IF($V355&lt;=INDEX('Parametri Modello'!$C$57:$C$60,MATCH($B355,'Parametri Modello'!$A$57:$A$60,0)),IF(INDEX('Parametri Modello'!$E$57:$E$60,MATCH($B355,'Parametri Modello'!$A$57:$A$60,0))=0,0,($O355/INDEX('Parametri Modello'!$E$57:$E$60,MATCH($B355,'Parametri Modello'!$A$57:$A$60,0)))*(INDEX('Parametri Modello'!$D$57:$D$60,MATCH($B355,'Parametri Modello'!$A$57:$A$60,0))*(INDEX('Parametri Modello'!$B$50:$B$53,MATCH($B355,'Parametri Modello'!$A$50:$A$53,0))*'Parametri Modello'!$B$44))),IF(INDEX('Parametri Modello'!$F$57:$F$60,MATCH($B355,'Parametri Modello'!$A$57:$A$60,0))=0,0,($O355/INDEX('Parametri Modello'!$F$57:$F$60,MATCH($B355,'Parametri Modello'!$A$57:$A$60,0)))*((1-INDEX('Parametri Modello'!$D$57:$D$60,MATCH($B355,'Parametri Modello'!$A$57:$A$60,0)))*(INDEX('Parametri Modello'!$B$50:$B$53,MATCH($B355,'Parametri Modello'!$A$50:$A$53,0))*'Parametri Modello'!$B$44))))*(1+IF(IF($B355="D",'Info Lega'!$B$25,IF($B355="C",'Info Lega'!$B$26,"No"))="Si",'Parametri Modello'!$B$5,0))*(1+MAX(-0.25,MIN(0.25,IF(OR($T355="",$I355="",$I355=0,INDEX('Parametri Modello'!$B$19:$B$22,MATCH($B355,'Parametri Modello'!$A$19:$A$22,0))="",INDEX('Parametri Modello'!$B$19:$B$22,MATCH($B355,'Parametri Modello'!$A$19:$A$22,0))=0),0,(($T355-INDEX('Parametri Modello'!$B$19:$B$22,MATCH($B355,'Parametri Modello'!$A$19:$A$22,0)))/INDEX('Parametri Modello'!$B$19:$B$22,MATCH($B355,'Parametri Modello'!$A$19:$A$22,0)))*'Parametri Modello'!$B$9))))*(1+IF('Parametri Modello'!$B$27="Si",MAX(-'Parametri Modello'!$B$28,MIN('Parametri Modello'!$B$28*1.5,IF(OR(INDEX('Parametri Modello'!$F$32:$F$35,MATCH($B355,'Parametri Modello'!$A$32:$A$35,0))="",INDEX('Parametri Modello'!$F$32:$F$35,MATCH($B355,'Parametri Modello'!$A$32:$A$35,0))=0),0,(1/INDEX('Parametri Modello'!$F$32:$F$35,MATCH($B355,'Parametri Modello'!$A$32:$A$35,0))-1)*'Parametri Modello'!$B$28))),0)))*(1-INDEX('Parametri Modello'!$B$12:$B$15,MATCH($B355,'Parametri Modello'!$A$12:$A$15,0)))),0),"")</f>
        <v>1</v>
      </c>
      <c r="H355" s="27" t="n">
        <f aca="false">IFERROR(ROUND((IF($V355&lt;=INDEX('Parametri Modello'!$C$57:$C$60,MATCH($B355,'Parametri Modello'!$A$57:$A$60,0)),IF(INDEX('Parametri Modello'!$E$57:$E$60,MATCH($B355,'Parametri Modello'!$A$57:$A$60,0))=0,0,($O355/INDEX('Parametri Modello'!$E$57:$E$60,MATCH($B355,'Parametri Modello'!$A$57:$A$60,0)))*(INDEX('Parametri Modello'!$D$57:$D$60,MATCH($B355,'Parametri Modello'!$A$57:$A$60,0))*(INDEX('Parametri Modello'!$B$50:$B$53,MATCH($B355,'Parametri Modello'!$A$50:$A$53,0))*'Parametri Modello'!$B$44))),IF(INDEX('Parametri Modello'!$F$57:$F$60,MATCH($B355,'Parametri Modello'!$A$57:$A$60,0))=0,0,($O355/INDEX('Parametri Modello'!$F$57:$F$60,MATCH($B355,'Parametri Modello'!$A$57:$A$60,0)))*((1-INDEX('Parametri Modello'!$D$57:$D$60,MATCH($B355,'Parametri Modello'!$A$57:$A$60,0)))*(INDEX('Parametri Modello'!$B$50:$B$53,MATCH($B355,'Parametri Modello'!$A$50:$A$53,0))*'Parametri Modello'!$B$44))))*(1+IF(IF($B355="D",'Info Lega'!$B$25,IF($B355="C",'Info Lega'!$B$26,"No"))="Si",'Parametri Modello'!$B$5,0))*(1+MAX(-0.25,MIN(0.25,IF(OR($T355="",$I355="",$I355=0,INDEX('Parametri Modello'!$B$19:$B$22,MATCH($B355,'Parametri Modello'!$A$19:$A$22,0))="",INDEX('Parametri Modello'!$B$19:$B$22,MATCH($B355,'Parametri Modello'!$A$19:$A$22,0))=0),0,(($T355-INDEX('Parametri Modello'!$B$19:$B$22,MATCH($B355,'Parametri Modello'!$A$19:$A$22,0)))/INDEX('Parametri Modello'!$B$19:$B$22,MATCH($B355,'Parametri Modello'!$A$19:$A$22,0)))*'Parametri Modello'!$B$9))))*(1+IF('Parametri Modello'!$B$27="Si",MAX(-'Parametri Modello'!$B$28,MIN('Parametri Modello'!$B$28*1.5,IF(OR(INDEX('Parametri Modello'!$F$32:$F$35,MATCH($B355,'Parametri Modello'!$A$32:$A$35,0))="",INDEX('Parametri Modello'!$F$32:$F$35,MATCH($B355,'Parametri Modello'!$A$32:$A$35,0))=0),0,(1/INDEX('Parametri Modello'!$F$32:$F$35,MATCH($B355,'Parametri Modello'!$A$32:$A$35,0))-1)*'Parametri Modello'!$B$28))),0)))*(1+INDEX('Parametri Modello'!$B$12:$B$15,MATCH($B355,'Parametri Modello'!$A$12:$A$15,0))),0),"")</f>
        <v>1</v>
      </c>
      <c r="I355" s="26" t="n">
        <f aca="false">IFERROR(INDEX('Input Statistiche 2025_26'!$F$3:$F$665,MATCH($A355,'Input Statistiche 2025_26'!$A$3:$A$665,0)),"")</f>
        <v>19</v>
      </c>
      <c r="J355" s="26" t="n">
        <f aca="false">IFERROR(IF($I355="","",MAX(0,38-$I355)),"")</f>
        <v>19</v>
      </c>
      <c r="K355" s="26" t="n">
        <f aca="false">IFERROR(INDEX('Input Statistiche 2025_26'!$I$3:$I$665,MATCH($A355,'Input Statistiche 2025_26'!$A$3:$A$665,0)),"")</f>
        <v>3</v>
      </c>
      <c r="L355" s="26" t="n">
        <f aca="false">IFERROR(INDEX('Input Statistiche 2025_26'!$O$3:$O$665,MATCH($A355,'Input Statistiche 2025_26'!$A$3:$A$665,0)),"")</f>
        <v>1</v>
      </c>
      <c r="M355" s="28"/>
      <c r="N355" s="27" t="n">
        <f aca="false">IFERROR(INDEX('Input Giocatori 2026_27'!$E$3:$E$493,MATCH($A355,'Input Giocatori 2026_27'!$A$3:$A$493,0)),"")</f>
        <v>3</v>
      </c>
      <c r="O355" s="27" t="n">
        <f aca="false">IFERROR(INDEX('Input Giocatori 2026_27'!$G$3:$G$493,MATCH($A355,'Input Giocatori 2026_27'!$A$3:$A$493,0)),"")</f>
        <v>8</v>
      </c>
      <c r="P355" s="26" t="str">
        <f aca="false">IFERROR(IF($O355="","",IF((1-(COUNTIFS($B$2:$B$492,$B355,$O$2:$O$492,"&gt;"&amp;$O355)+1-1)/COUNTIF($B$2:$B$492,$B355))&gt;=0.85,"Top",IF((1-(COUNTIFS($B$2:$B$492,$B355,$O$2:$O$492,"&gt;"&amp;$O355)+1-1)/COUNTIF($B$2:$B$492,$B355))&gt;=0.6,"Buono",IF((1-(COUNTIFS($B$2:$B$492,$B355,$O$2:$O$492,"&gt;"&amp;$O355)+1-1)/COUNTIF($B$2:$B$492,$B355))&gt;=0.3,"Nella Media","Scommessa/Riserva")))),"")</f>
        <v>Scommessa/Riserva</v>
      </c>
      <c r="Q355" s="29" t="n">
        <f aca="false">IF($D355="",COUNTIF($D$2:$D355,""),"")</f>
        <v>354</v>
      </c>
      <c r="R355" s="29" t="str">
        <f aca="false">IF($D355='Info Lega'!$B$28,COUNTIFS($D$2:$D355,'Info Lega'!$B$28),"")</f>
        <v/>
      </c>
      <c r="S355" s="30" t="n">
        <f aca="false">IFERROR(INDEX('Input Statistiche 2025_26'!$G$3:$G$665,MATCH($A355,'Input Statistiche 2025_26'!$A$3:$A$665,0)),"")</f>
        <v>6.18</v>
      </c>
      <c r="T355" s="30" t="n">
        <f aca="false">IFERROR(INDEX('Input Statistiche 2025_26'!$H$3:$H$665,MATCH($A355,'Input Statistiche 2025_26'!$A$3:$A$665,0)),"")</f>
        <v>6.68</v>
      </c>
      <c r="U355" s="26" t="str">
        <f aca="false">IF(OR('La Mia Rosa'!$O$12="",$D355&lt;&gt;""),"",IF($F355&lt;='La Mia Rosa'!$O$12*'Parametri Modello'!$B$24,"OK",IF($F355&lt;='La Mia Rosa'!$O$12*'Parametri Modello'!$B$25,"Attenzione","Rischio Alto")))</f>
        <v>OK</v>
      </c>
      <c r="V355" s="26" t="n">
        <f aca="false">IFERROR(COUNTIFS($B$2:$B$492,$B355,$O$2:$O$492,"&gt;"&amp;$O355)+1,"")</f>
        <v>132</v>
      </c>
      <c r="W355" s="21" t="n">
        <f aca="false">'Info Lega'!$B$4-SUMIFS($M$2:$M$492,$D$2:$D$492,'Info Lega'!$B$28)</f>
        <v>1000</v>
      </c>
      <c r="X355" s="21" t="n">
        <f aca="false">('Info Lega'!$B$5-COUNTIFS($D$2:$D$492,'Info Lega'!$B$28,$B$2:$B$492,"P"))+('Info Lega'!$B$6-COUNTIFS($D$2:$D$492,'Info Lega'!$B$28,$B$2:$B$492,"D"))+('Info Lega'!$B$7-COUNTIFS($D$2:$D$492,'Info Lega'!$B$28,$B$2:$B$492,"C"))+('Info Lega'!$B$8-COUNTIFS($D$2:$D$492,'Info Lega'!$B$28,$B$2:$B$492,"A"))</f>
        <v>25</v>
      </c>
      <c r="Y355" s="21" t="n">
        <f aca="false">X355*'Parametri Modello'!$B$30</f>
        <v>25</v>
      </c>
      <c r="Z355" s="21" t="n">
        <f aca="false">MAX(0,W355-Y355)</f>
        <v>975</v>
      </c>
      <c r="AA355" s="21" t="n">
        <f aca="false">MIN(F355,Z355)</f>
        <v>1</v>
      </c>
      <c r="AB355" s="21"/>
      <c r="AC355" s="21" t="str">
        <f aca="false">IF(AB355="","",IF(AB355&gt;AA355,"PASS",IF(AB355&lt;=AA355*0.85,"BID","ATTENZIONE")))</f>
        <v/>
      </c>
      <c r="AD355" s="31" t="n">
        <f aca="false">IF(I355="","",ROUND(100*(1-EXP(-I355/30)),0))</f>
        <v>47</v>
      </c>
      <c r="AE355" s="7" t="str">
        <f aca="false">IFERROR(INDEX('Stato Asta'!$G$9:$G$12,MATCH($B355,'Stato Asta'!$A$9:$A$12,0)),"")</f>
        <v>🟡 Attesa rischiosa</v>
      </c>
    </row>
    <row r="356" customFormat="false" ht="14.25" hidden="false" customHeight="true" outlineLevel="0" collapsed="false">
      <c r="A356" s="21" t="n">
        <v>5578</v>
      </c>
      <c r="B356" s="21" t="s">
        <v>44</v>
      </c>
      <c r="C356" s="21" t="s">
        <v>302</v>
      </c>
      <c r="E356" s="26" t="str">
        <f aca="false">IF(COUNTIF('Info Strategia'!$D$2:$D$51,$C356)&gt;0,"SI","NO")</f>
        <v>NO</v>
      </c>
      <c r="F356" s="27" t="n">
        <f aca="false">IFERROR(ROUND(($G356+($H356-$G356)*'Info Strategia'!$B$6)*(1+IF($E356="SI",'Parametri Modello'!$B$7*'Info Strategia'!$B$6,0)),0),"")</f>
        <v>1</v>
      </c>
      <c r="G356" s="27" t="n">
        <f aca="false">IFERROR(ROUND(MAX(1,(IF($V356&lt;=INDEX('Parametri Modello'!$C$57:$C$60,MATCH($B356,'Parametri Modello'!$A$57:$A$60,0)),IF(INDEX('Parametri Modello'!$E$57:$E$60,MATCH($B356,'Parametri Modello'!$A$57:$A$60,0))=0,0,($O356/INDEX('Parametri Modello'!$E$57:$E$60,MATCH($B356,'Parametri Modello'!$A$57:$A$60,0)))*(INDEX('Parametri Modello'!$D$57:$D$60,MATCH($B356,'Parametri Modello'!$A$57:$A$60,0))*(INDEX('Parametri Modello'!$B$50:$B$53,MATCH($B356,'Parametri Modello'!$A$50:$A$53,0))*'Parametri Modello'!$B$44))),IF(INDEX('Parametri Modello'!$F$57:$F$60,MATCH($B356,'Parametri Modello'!$A$57:$A$60,0))=0,0,($O356/INDEX('Parametri Modello'!$F$57:$F$60,MATCH($B356,'Parametri Modello'!$A$57:$A$60,0)))*((1-INDEX('Parametri Modello'!$D$57:$D$60,MATCH($B356,'Parametri Modello'!$A$57:$A$60,0)))*(INDEX('Parametri Modello'!$B$50:$B$53,MATCH($B356,'Parametri Modello'!$A$50:$A$53,0))*'Parametri Modello'!$B$44))))*(1+IF(IF($B356="D",'Info Lega'!$B$25,IF($B356="C",'Info Lega'!$B$26,"No"))="Si",'Parametri Modello'!$B$5,0))*(1+MAX(-0.25,MIN(0.25,IF(OR($T356="",$I356="",$I356=0,INDEX('Parametri Modello'!$B$19:$B$22,MATCH($B356,'Parametri Modello'!$A$19:$A$22,0))="",INDEX('Parametri Modello'!$B$19:$B$22,MATCH($B356,'Parametri Modello'!$A$19:$A$22,0))=0),0,(($T356-INDEX('Parametri Modello'!$B$19:$B$22,MATCH($B356,'Parametri Modello'!$A$19:$A$22,0)))/INDEX('Parametri Modello'!$B$19:$B$22,MATCH($B356,'Parametri Modello'!$A$19:$A$22,0)))*'Parametri Modello'!$B$9))))*(1+IF('Parametri Modello'!$B$27="Si",MAX(-'Parametri Modello'!$B$28,MIN('Parametri Modello'!$B$28*1.5,IF(OR(INDEX('Parametri Modello'!$F$32:$F$35,MATCH($B356,'Parametri Modello'!$A$32:$A$35,0))="",INDEX('Parametri Modello'!$F$32:$F$35,MATCH($B356,'Parametri Modello'!$A$32:$A$35,0))=0),0,(1/INDEX('Parametri Modello'!$F$32:$F$35,MATCH($B356,'Parametri Modello'!$A$32:$A$35,0))-1)*'Parametri Modello'!$B$28))),0)))*(1-INDEX('Parametri Modello'!$B$12:$B$15,MATCH($B356,'Parametri Modello'!$A$12:$A$15,0)))),0),"")</f>
        <v>1</v>
      </c>
      <c r="H356" s="27" t="n">
        <f aca="false">IFERROR(ROUND((IF($V356&lt;=INDEX('Parametri Modello'!$C$57:$C$60,MATCH($B356,'Parametri Modello'!$A$57:$A$60,0)),IF(INDEX('Parametri Modello'!$E$57:$E$60,MATCH($B356,'Parametri Modello'!$A$57:$A$60,0))=0,0,($O356/INDEX('Parametri Modello'!$E$57:$E$60,MATCH($B356,'Parametri Modello'!$A$57:$A$60,0)))*(INDEX('Parametri Modello'!$D$57:$D$60,MATCH($B356,'Parametri Modello'!$A$57:$A$60,0))*(INDEX('Parametri Modello'!$B$50:$B$53,MATCH($B356,'Parametri Modello'!$A$50:$A$53,0))*'Parametri Modello'!$B$44))),IF(INDEX('Parametri Modello'!$F$57:$F$60,MATCH($B356,'Parametri Modello'!$A$57:$A$60,0))=0,0,($O356/INDEX('Parametri Modello'!$F$57:$F$60,MATCH($B356,'Parametri Modello'!$A$57:$A$60,0)))*((1-INDEX('Parametri Modello'!$D$57:$D$60,MATCH($B356,'Parametri Modello'!$A$57:$A$60,0)))*(INDEX('Parametri Modello'!$B$50:$B$53,MATCH($B356,'Parametri Modello'!$A$50:$A$53,0))*'Parametri Modello'!$B$44))))*(1+IF(IF($B356="D",'Info Lega'!$B$25,IF($B356="C",'Info Lega'!$B$26,"No"))="Si",'Parametri Modello'!$B$5,0))*(1+MAX(-0.25,MIN(0.25,IF(OR($T356="",$I356="",$I356=0,INDEX('Parametri Modello'!$B$19:$B$22,MATCH($B356,'Parametri Modello'!$A$19:$A$22,0))="",INDEX('Parametri Modello'!$B$19:$B$22,MATCH($B356,'Parametri Modello'!$A$19:$A$22,0))=0),0,(($T356-INDEX('Parametri Modello'!$B$19:$B$22,MATCH($B356,'Parametri Modello'!$A$19:$A$22,0)))/INDEX('Parametri Modello'!$B$19:$B$22,MATCH($B356,'Parametri Modello'!$A$19:$A$22,0)))*'Parametri Modello'!$B$9))))*(1+IF('Parametri Modello'!$B$27="Si",MAX(-'Parametri Modello'!$B$28,MIN('Parametri Modello'!$B$28*1.5,IF(OR(INDEX('Parametri Modello'!$F$32:$F$35,MATCH($B356,'Parametri Modello'!$A$32:$A$35,0))="",INDEX('Parametri Modello'!$F$32:$F$35,MATCH($B356,'Parametri Modello'!$A$32:$A$35,0))=0),0,(1/INDEX('Parametri Modello'!$F$32:$F$35,MATCH($B356,'Parametri Modello'!$A$32:$A$35,0))-1)*'Parametri Modello'!$B$28))),0)))*(1+INDEX('Parametri Modello'!$B$12:$B$15,MATCH($B356,'Parametri Modello'!$A$12:$A$15,0))),0),"")</f>
        <v>1</v>
      </c>
      <c r="I356" s="26" t="n">
        <f aca="false">IFERROR(INDEX('Input Statistiche 2025_26'!$F$3:$F$665,MATCH($A356,'Input Statistiche 2025_26'!$A$3:$A$665,0)),"")</f>
        <v>16</v>
      </c>
      <c r="J356" s="26" t="n">
        <f aca="false">IFERROR(IF($I356="","",MAX(0,38-$I356)),"")</f>
        <v>22</v>
      </c>
      <c r="K356" s="26" t="n">
        <f aca="false">IFERROR(INDEX('Input Statistiche 2025_26'!$I$3:$I$665,MATCH($A356,'Input Statistiche 2025_26'!$A$3:$A$665,0)),"")</f>
        <v>1</v>
      </c>
      <c r="L356" s="26" t="n">
        <f aca="false">IFERROR(INDEX('Input Statistiche 2025_26'!$O$3:$O$665,MATCH($A356,'Input Statistiche 2025_26'!$A$3:$A$665,0)),"")</f>
        <v>0</v>
      </c>
      <c r="M356" s="28"/>
      <c r="N356" s="27" t="n">
        <f aca="false">IFERROR(INDEX('Input Giocatori 2026_27'!$E$3:$E$493,MATCH($A356,'Input Giocatori 2026_27'!$A$3:$A$493,0)),"")</f>
        <v>3</v>
      </c>
      <c r="O356" s="27" t="n">
        <f aca="false">IFERROR(INDEX('Input Giocatori 2026_27'!$G$3:$G$493,MATCH($A356,'Input Giocatori 2026_27'!$A$3:$A$493,0)),"")</f>
        <v>7</v>
      </c>
      <c r="P356" s="26" t="str">
        <f aca="false">IFERROR(IF($O356="","",IF((1-(COUNTIFS($B$2:$B$492,$B356,$O$2:$O$492,"&gt;"&amp;$O356)+1-1)/COUNTIF($B$2:$B$492,$B356))&gt;=0.85,"Top",IF((1-(COUNTIFS($B$2:$B$492,$B356,$O$2:$O$492,"&gt;"&amp;$O356)+1-1)/COUNTIF($B$2:$B$492,$B356))&gt;=0.6,"Buono",IF((1-(COUNTIFS($B$2:$B$492,$B356,$O$2:$O$492,"&gt;"&amp;$O356)+1-1)/COUNTIF($B$2:$B$492,$B356))&gt;=0.3,"Nella Media","Scommessa/Riserva")))),"")</f>
        <v>Scommessa/Riserva</v>
      </c>
      <c r="Q356" s="29" t="n">
        <f aca="false">IF($D356="",COUNTIF($D$2:$D356,""),"")</f>
        <v>355</v>
      </c>
      <c r="R356" s="29" t="str">
        <f aca="false">IF($D356='Info Lega'!$B$28,COUNTIFS($D$2:$D356,'Info Lega'!$B$28),"")</f>
        <v/>
      </c>
      <c r="S356" s="30" t="n">
        <f aca="false">IFERROR(INDEX('Input Statistiche 2025_26'!$G$3:$G$665,MATCH($A356,'Input Statistiche 2025_26'!$A$3:$A$665,0)),"")</f>
        <v>5.94</v>
      </c>
      <c r="T356" s="30" t="n">
        <f aca="false">IFERROR(INDEX('Input Statistiche 2025_26'!$H$3:$H$665,MATCH($A356,'Input Statistiche 2025_26'!$A$3:$A$665,0)),"")</f>
        <v>6.09</v>
      </c>
      <c r="U356" s="26" t="str">
        <f aca="false">IF(OR('La Mia Rosa'!$O$12="",$D356&lt;&gt;""),"",IF($F356&lt;='La Mia Rosa'!$O$12*'Parametri Modello'!$B$24,"OK",IF($F356&lt;='La Mia Rosa'!$O$12*'Parametri Modello'!$B$25,"Attenzione","Rischio Alto")))</f>
        <v>OK</v>
      </c>
      <c r="V356" s="26" t="n">
        <f aca="false">IFERROR(COUNTIFS($B$2:$B$492,$B356,$O$2:$O$492,"&gt;"&amp;$O356)+1,"")</f>
        <v>125</v>
      </c>
      <c r="W356" s="21" t="n">
        <f aca="false">'Info Lega'!$B$4-SUMIFS($M$2:$M$492,$D$2:$D$492,'Info Lega'!$B$28)</f>
        <v>1000</v>
      </c>
      <c r="X356" s="21" t="n">
        <f aca="false">('Info Lega'!$B$5-COUNTIFS($D$2:$D$492,'Info Lega'!$B$28,$B$2:$B$492,"P"))+('Info Lega'!$B$6-COUNTIFS($D$2:$D$492,'Info Lega'!$B$28,$B$2:$B$492,"D"))+('Info Lega'!$B$7-COUNTIFS($D$2:$D$492,'Info Lega'!$B$28,$B$2:$B$492,"C"))+('Info Lega'!$B$8-COUNTIFS($D$2:$D$492,'Info Lega'!$B$28,$B$2:$B$492,"A"))</f>
        <v>25</v>
      </c>
      <c r="Y356" s="21" t="n">
        <f aca="false">X356*'Parametri Modello'!$B$30</f>
        <v>25</v>
      </c>
      <c r="Z356" s="21" t="n">
        <f aca="false">MAX(0,W356-Y356)</f>
        <v>975</v>
      </c>
      <c r="AA356" s="21" t="n">
        <f aca="false">MIN(F356,Z356)</f>
        <v>1</v>
      </c>
      <c r="AB356" s="21"/>
      <c r="AC356" s="21" t="str">
        <f aca="false">IF(AB356="","",IF(AB356&gt;AA356,"PASS",IF(AB356&lt;=AA356*0.85,"BID","ATTENZIONE")))</f>
        <v/>
      </c>
      <c r="AD356" s="31" t="n">
        <f aca="false">IF(I356="","",ROUND(100*(1-EXP(-I356/30)),0))</f>
        <v>41</v>
      </c>
      <c r="AE356" s="7" t="str">
        <f aca="false">IFERROR(INDEX('Stato Asta'!$G$9:$G$12,MATCH($B356,'Stato Asta'!$A$9:$A$12,0)),"")</f>
        <v>🟡 Attesa rischiosa</v>
      </c>
    </row>
    <row r="357" customFormat="false" ht="14.25" hidden="false" customHeight="true" outlineLevel="0" collapsed="false">
      <c r="A357" s="21" t="n">
        <v>7125</v>
      </c>
      <c r="B357" s="21" t="s">
        <v>44</v>
      </c>
      <c r="C357" s="21" t="s">
        <v>305</v>
      </c>
      <c r="E357" s="26" t="str">
        <f aca="false">IF(COUNTIF('Info Strategia'!$D$2:$D$51,$C357)&gt;0,"SI","NO")</f>
        <v>NO</v>
      </c>
      <c r="F357" s="27" t="n">
        <f aca="false">IFERROR(ROUND(($G357+($H357-$G357)*'Info Strategia'!$B$6)*(1+IF($E357="SI",'Parametri Modello'!$B$7*'Info Strategia'!$B$6,0)),0),"")</f>
        <v>1</v>
      </c>
      <c r="G357" s="27" t="n">
        <f aca="false">IFERROR(ROUND(MAX(1,(IF($V357&lt;=INDEX('Parametri Modello'!$C$57:$C$60,MATCH($B357,'Parametri Modello'!$A$57:$A$60,0)),IF(INDEX('Parametri Modello'!$E$57:$E$60,MATCH($B357,'Parametri Modello'!$A$57:$A$60,0))=0,0,($O357/INDEX('Parametri Modello'!$E$57:$E$60,MATCH($B357,'Parametri Modello'!$A$57:$A$60,0)))*(INDEX('Parametri Modello'!$D$57:$D$60,MATCH($B357,'Parametri Modello'!$A$57:$A$60,0))*(INDEX('Parametri Modello'!$B$50:$B$53,MATCH($B357,'Parametri Modello'!$A$50:$A$53,0))*'Parametri Modello'!$B$44))),IF(INDEX('Parametri Modello'!$F$57:$F$60,MATCH($B357,'Parametri Modello'!$A$57:$A$60,0))=0,0,($O357/INDEX('Parametri Modello'!$F$57:$F$60,MATCH($B357,'Parametri Modello'!$A$57:$A$60,0)))*((1-INDEX('Parametri Modello'!$D$57:$D$60,MATCH($B357,'Parametri Modello'!$A$57:$A$60,0)))*(INDEX('Parametri Modello'!$B$50:$B$53,MATCH($B357,'Parametri Modello'!$A$50:$A$53,0))*'Parametri Modello'!$B$44))))*(1+IF(IF($B357="D",'Info Lega'!$B$25,IF($B357="C",'Info Lega'!$B$26,"No"))="Si",'Parametri Modello'!$B$5,0))*(1+MAX(-0.25,MIN(0.25,IF(OR($T357="",$I357="",$I357=0,INDEX('Parametri Modello'!$B$19:$B$22,MATCH($B357,'Parametri Modello'!$A$19:$A$22,0))="",INDEX('Parametri Modello'!$B$19:$B$22,MATCH($B357,'Parametri Modello'!$A$19:$A$22,0))=0),0,(($T357-INDEX('Parametri Modello'!$B$19:$B$22,MATCH($B357,'Parametri Modello'!$A$19:$A$22,0)))/INDEX('Parametri Modello'!$B$19:$B$22,MATCH($B357,'Parametri Modello'!$A$19:$A$22,0)))*'Parametri Modello'!$B$9))))*(1+IF('Parametri Modello'!$B$27="Si",MAX(-'Parametri Modello'!$B$28,MIN('Parametri Modello'!$B$28*1.5,IF(OR(INDEX('Parametri Modello'!$F$32:$F$35,MATCH($B357,'Parametri Modello'!$A$32:$A$35,0))="",INDEX('Parametri Modello'!$F$32:$F$35,MATCH($B357,'Parametri Modello'!$A$32:$A$35,0))=0),0,(1/INDEX('Parametri Modello'!$F$32:$F$35,MATCH($B357,'Parametri Modello'!$A$32:$A$35,0))-1)*'Parametri Modello'!$B$28))),0)))*(1-INDEX('Parametri Modello'!$B$12:$B$15,MATCH($B357,'Parametri Modello'!$A$12:$A$15,0)))),0),"")</f>
        <v>1</v>
      </c>
      <c r="H357" s="27" t="n">
        <f aca="false">IFERROR(ROUND((IF($V357&lt;=INDEX('Parametri Modello'!$C$57:$C$60,MATCH($B357,'Parametri Modello'!$A$57:$A$60,0)),IF(INDEX('Parametri Modello'!$E$57:$E$60,MATCH($B357,'Parametri Modello'!$A$57:$A$60,0))=0,0,($O357/INDEX('Parametri Modello'!$E$57:$E$60,MATCH($B357,'Parametri Modello'!$A$57:$A$60,0)))*(INDEX('Parametri Modello'!$D$57:$D$60,MATCH($B357,'Parametri Modello'!$A$57:$A$60,0))*(INDEX('Parametri Modello'!$B$50:$B$53,MATCH($B357,'Parametri Modello'!$A$50:$A$53,0))*'Parametri Modello'!$B$44))),IF(INDEX('Parametri Modello'!$F$57:$F$60,MATCH($B357,'Parametri Modello'!$A$57:$A$60,0))=0,0,($O357/INDEX('Parametri Modello'!$F$57:$F$60,MATCH($B357,'Parametri Modello'!$A$57:$A$60,0)))*((1-INDEX('Parametri Modello'!$D$57:$D$60,MATCH($B357,'Parametri Modello'!$A$57:$A$60,0)))*(INDEX('Parametri Modello'!$B$50:$B$53,MATCH($B357,'Parametri Modello'!$A$50:$A$53,0))*'Parametri Modello'!$B$44))))*(1+IF(IF($B357="D",'Info Lega'!$B$25,IF($B357="C",'Info Lega'!$B$26,"No"))="Si",'Parametri Modello'!$B$5,0))*(1+MAX(-0.25,MIN(0.25,IF(OR($T357="",$I357="",$I357=0,INDEX('Parametri Modello'!$B$19:$B$22,MATCH($B357,'Parametri Modello'!$A$19:$A$22,0))="",INDEX('Parametri Modello'!$B$19:$B$22,MATCH($B357,'Parametri Modello'!$A$19:$A$22,0))=0),0,(($T357-INDEX('Parametri Modello'!$B$19:$B$22,MATCH($B357,'Parametri Modello'!$A$19:$A$22,0)))/INDEX('Parametri Modello'!$B$19:$B$22,MATCH($B357,'Parametri Modello'!$A$19:$A$22,0)))*'Parametri Modello'!$B$9))))*(1+IF('Parametri Modello'!$B$27="Si",MAX(-'Parametri Modello'!$B$28,MIN('Parametri Modello'!$B$28*1.5,IF(OR(INDEX('Parametri Modello'!$F$32:$F$35,MATCH($B357,'Parametri Modello'!$A$32:$A$35,0))="",INDEX('Parametri Modello'!$F$32:$F$35,MATCH($B357,'Parametri Modello'!$A$32:$A$35,0))=0),0,(1/INDEX('Parametri Modello'!$F$32:$F$35,MATCH($B357,'Parametri Modello'!$A$32:$A$35,0))-1)*'Parametri Modello'!$B$28))),0)))*(1+INDEX('Parametri Modello'!$B$12:$B$15,MATCH($B357,'Parametri Modello'!$A$12:$A$15,0))),0),"")</f>
        <v>1</v>
      </c>
      <c r="I357" s="26" t="n">
        <f aca="false">IFERROR(INDEX('Input Statistiche 2025_26'!$F$3:$F$665,MATCH($A357,'Input Statistiche 2025_26'!$A$3:$A$665,0)),"")</f>
        <v>17</v>
      </c>
      <c r="J357" s="26" t="n">
        <f aca="false">IFERROR(IF($I357="","",MAX(0,38-$I357)),"")</f>
        <v>21</v>
      </c>
      <c r="K357" s="26" t="n">
        <f aca="false">IFERROR(INDEX('Input Statistiche 2025_26'!$I$3:$I$665,MATCH($A357,'Input Statistiche 2025_26'!$A$3:$A$665,0)),"")</f>
        <v>2</v>
      </c>
      <c r="L357" s="26" t="n">
        <f aca="false">IFERROR(INDEX('Input Statistiche 2025_26'!$O$3:$O$665,MATCH($A357,'Input Statistiche 2025_26'!$A$3:$A$665,0)),"")</f>
        <v>0</v>
      </c>
      <c r="M357" s="28"/>
      <c r="N357" s="27" t="n">
        <f aca="false">IFERROR(INDEX('Input Giocatori 2026_27'!$E$3:$E$493,MATCH($A357,'Input Giocatori 2026_27'!$A$3:$A$493,0)),"")</f>
        <v>3</v>
      </c>
      <c r="O357" s="27" t="n">
        <f aca="false">IFERROR(INDEX('Input Giocatori 2026_27'!$G$3:$G$493,MATCH($A357,'Input Giocatori 2026_27'!$A$3:$A$493,0)),"")</f>
        <v>7</v>
      </c>
      <c r="P357" s="26" t="str">
        <f aca="false">IFERROR(IF($O357="","",IF((1-(COUNTIFS($B$2:$B$492,$B357,$O$2:$O$492,"&gt;"&amp;$O357)+1-1)/COUNTIF($B$2:$B$492,$B357))&gt;=0.85,"Top",IF((1-(COUNTIFS($B$2:$B$492,$B357,$O$2:$O$492,"&gt;"&amp;$O357)+1-1)/COUNTIF($B$2:$B$492,$B357))&gt;=0.6,"Buono",IF((1-(COUNTIFS($B$2:$B$492,$B357,$O$2:$O$492,"&gt;"&amp;$O357)+1-1)/COUNTIF($B$2:$B$492,$B357))&gt;=0.3,"Nella Media","Scommessa/Riserva")))),"")</f>
        <v>Scommessa/Riserva</v>
      </c>
      <c r="Q357" s="29" t="n">
        <f aca="false">IF($D357="",COUNTIF($D$2:$D357,""),"")</f>
        <v>356</v>
      </c>
      <c r="R357" s="29" t="str">
        <f aca="false">IF($D357='Info Lega'!$B$28,COUNTIFS($D$2:$D357,'Info Lega'!$B$28),"")</f>
        <v/>
      </c>
      <c r="S357" s="30" t="n">
        <f aca="false">IFERROR(INDEX('Input Statistiche 2025_26'!$G$3:$G$665,MATCH($A357,'Input Statistiche 2025_26'!$A$3:$A$665,0)),"")</f>
        <v>5.82</v>
      </c>
      <c r="T357" s="30" t="n">
        <f aca="false">IFERROR(INDEX('Input Statistiche 2025_26'!$H$3:$H$665,MATCH($A357,'Input Statistiche 2025_26'!$A$3:$A$665,0)),"")</f>
        <v>6.09</v>
      </c>
      <c r="U357" s="26" t="str">
        <f aca="false">IF(OR('La Mia Rosa'!$O$12="",$D357&lt;&gt;""),"",IF($F357&lt;='La Mia Rosa'!$O$12*'Parametri Modello'!$B$24,"OK",IF($F357&lt;='La Mia Rosa'!$O$12*'Parametri Modello'!$B$25,"Attenzione","Rischio Alto")))</f>
        <v>OK</v>
      </c>
      <c r="V357" s="26" t="n">
        <f aca="false">IFERROR(COUNTIFS($B$2:$B$492,$B357,$O$2:$O$492,"&gt;"&amp;$O357)+1,"")</f>
        <v>125</v>
      </c>
      <c r="W357" s="21" t="n">
        <f aca="false">'Info Lega'!$B$4-SUMIFS($M$2:$M$492,$D$2:$D$492,'Info Lega'!$B$28)</f>
        <v>1000</v>
      </c>
      <c r="X357" s="21" t="n">
        <f aca="false">('Info Lega'!$B$5-COUNTIFS($D$2:$D$492,'Info Lega'!$B$28,$B$2:$B$492,"P"))+('Info Lega'!$B$6-COUNTIFS($D$2:$D$492,'Info Lega'!$B$28,$B$2:$B$492,"D"))+('Info Lega'!$B$7-COUNTIFS($D$2:$D$492,'Info Lega'!$B$28,$B$2:$B$492,"C"))+('Info Lega'!$B$8-COUNTIFS($D$2:$D$492,'Info Lega'!$B$28,$B$2:$B$492,"A"))</f>
        <v>25</v>
      </c>
      <c r="Y357" s="21" t="n">
        <f aca="false">X357*'Parametri Modello'!$B$30</f>
        <v>25</v>
      </c>
      <c r="Z357" s="21" t="n">
        <f aca="false">MAX(0,W357-Y357)</f>
        <v>975</v>
      </c>
      <c r="AA357" s="21" t="n">
        <f aca="false">MIN(F357,Z357)</f>
        <v>1</v>
      </c>
      <c r="AB357" s="21"/>
      <c r="AC357" s="21" t="str">
        <f aca="false">IF(AB357="","",IF(AB357&gt;AA357,"PASS",IF(AB357&lt;=AA357*0.85,"BID","ATTENZIONE")))</f>
        <v/>
      </c>
      <c r="AD357" s="31" t="n">
        <f aca="false">IF(I357="","",ROUND(100*(1-EXP(-I357/30)),0))</f>
        <v>43</v>
      </c>
      <c r="AE357" s="7" t="str">
        <f aca="false">IFERROR(INDEX('Stato Asta'!$G$9:$G$12,MATCH($B357,'Stato Asta'!$A$9:$A$12,0)),"")</f>
        <v>🟡 Attesa rischiosa</v>
      </c>
    </row>
    <row r="358" customFormat="false" ht="14.25" hidden="false" customHeight="true" outlineLevel="0" collapsed="false">
      <c r="A358" s="21" t="n">
        <v>4378</v>
      </c>
      <c r="B358" s="21" t="s">
        <v>44</v>
      </c>
      <c r="C358" s="21" t="s">
        <v>306</v>
      </c>
      <c r="E358" s="26" t="str">
        <f aca="false">IF(COUNTIF('Info Strategia'!$D$2:$D$51,$C358)&gt;0,"SI","NO")</f>
        <v>NO</v>
      </c>
      <c r="F358" s="27" t="n">
        <f aca="false">IFERROR(ROUND(($G358+($H358-$G358)*'Info Strategia'!$B$6)*(1+IF($E358="SI",'Parametri Modello'!$B$7*'Info Strategia'!$B$6,0)),0),"")</f>
        <v>1</v>
      </c>
      <c r="G358" s="27" t="n">
        <f aca="false">IFERROR(ROUND(MAX(1,(IF($V358&lt;=INDEX('Parametri Modello'!$C$57:$C$60,MATCH($B358,'Parametri Modello'!$A$57:$A$60,0)),IF(INDEX('Parametri Modello'!$E$57:$E$60,MATCH($B358,'Parametri Modello'!$A$57:$A$60,0))=0,0,($O358/INDEX('Parametri Modello'!$E$57:$E$60,MATCH($B358,'Parametri Modello'!$A$57:$A$60,0)))*(INDEX('Parametri Modello'!$D$57:$D$60,MATCH($B358,'Parametri Modello'!$A$57:$A$60,0))*(INDEX('Parametri Modello'!$B$50:$B$53,MATCH($B358,'Parametri Modello'!$A$50:$A$53,0))*'Parametri Modello'!$B$44))),IF(INDEX('Parametri Modello'!$F$57:$F$60,MATCH($B358,'Parametri Modello'!$A$57:$A$60,0))=0,0,($O358/INDEX('Parametri Modello'!$F$57:$F$60,MATCH($B358,'Parametri Modello'!$A$57:$A$60,0)))*((1-INDEX('Parametri Modello'!$D$57:$D$60,MATCH($B358,'Parametri Modello'!$A$57:$A$60,0)))*(INDEX('Parametri Modello'!$B$50:$B$53,MATCH($B358,'Parametri Modello'!$A$50:$A$53,0))*'Parametri Modello'!$B$44))))*(1+IF(IF($B358="D",'Info Lega'!$B$25,IF($B358="C",'Info Lega'!$B$26,"No"))="Si",'Parametri Modello'!$B$5,0))*(1+MAX(-0.25,MIN(0.25,IF(OR($T358="",$I358="",$I358=0,INDEX('Parametri Modello'!$B$19:$B$22,MATCH($B358,'Parametri Modello'!$A$19:$A$22,0))="",INDEX('Parametri Modello'!$B$19:$B$22,MATCH($B358,'Parametri Modello'!$A$19:$A$22,0))=0),0,(($T358-INDEX('Parametri Modello'!$B$19:$B$22,MATCH($B358,'Parametri Modello'!$A$19:$A$22,0)))/INDEX('Parametri Modello'!$B$19:$B$22,MATCH($B358,'Parametri Modello'!$A$19:$A$22,0)))*'Parametri Modello'!$B$9))))*(1+IF('Parametri Modello'!$B$27="Si",MAX(-'Parametri Modello'!$B$28,MIN('Parametri Modello'!$B$28*1.5,IF(OR(INDEX('Parametri Modello'!$F$32:$F$35,MATCH($B358,'Parametri Modello'!$A$32:$A$35,0))="",INDEX('Parametri Modello'!$F$32:$F$35,MATCH($B358,'Parametri Modello'!$A$32:$A$35,0))=0),0,(1/INDEX('Parametri Modello'!$F$32:$F$35,MATCH($B358,'Parametri Modello'!$A$32:$A$35,0))-1)*'Parametri Modello'!$B$28))),0)))*(1-INDEX('Parametri Modello'!$B$12:$B$15,MATCH($B358,'Parametri Modello'!$A$12:$A$15,0)))),0),"")</f>
        <v>1</v>
      </c>
      <c r="H358" s="27" t="n">
        <f aca="false">IFERROR(ROUND((IF($V358&lt;=INDEX('Parametri Modello'!$C$57:$C$60,MATCH($B358,'Parametri Modello'!$A$57:$A$60,0)),IF(INDEX('Parametri Modello'!$E$57:$E$60,MATCH($B358,'Parametri Modello'!$A$57:$A$60,0))=0,0,($O358/INDEX('Parametri Modello'!$E$57:$E$60,MATCH($B358,'Parametri Modello'!$A$57:$A$60,0)))*(INDEX('Parametri Modello'!$D$57:$D$60,MATCH($B358,'Parametri Modello'!$A$57:$A$60,0))*(INDEX('Parametri Modello'!$B$50:$B$53,MATCH($B358,'Parametri Modello'!$A$50:$A$53,0))*'Parametri Modello'!$B$44))),IF(INDEX('Parametri Modello'!$F$57:$F$60,MATCH($B358,'Parametri Modello'!$A$57:$A$60,0))=0,0,($O358/INDEX('Parametri Modello'!$F$57:$F$60,MATCH($B358,'Parametri Modello'!$A$57:$A$60,0)))*((1-INDEX('Parametri Modello'!$D$57:$D$60,MATCH($B358,'Parametri Modello'!$A$57:$A$60,0)))*(INDEX('Parametri Modello'!$B$50:$B$53,MATCH($B358,'Parametri Modello'!$A$50:$A$53,0))*'Parametri Modello'!$B$44))))*(1+IF(IF($B358="D",'Info Lega'!$B$25,IF($B358="C",'Info Lega'!$B$26,"No"))="Si",'Parametri Modello'!$B$5,0))*(1+MAX(-0.25,MIN(0.25,IF(OR($T358="",$I358="",$I358=0,INDEX('Parametri Modello'!$B$19:$B$22,MATCH($B358,'Parametri Modello'!$A$19:$A$22,0))="",INDEX('Parametri Modello'!$B$19:$B$22,MATCH($B358,'Parametri Modello'!$A$19:$A$22,0))=0),0,(($T358-INDEX('Parametri Modello'!$B$19:$B$22,MATCH($B358,'Parametri Modello'!$A$19:$A$22,0)))/INDEX('Parametri Modello'!$B$19:$B$22,MATCH($B358,'Parametri Modello'!$A$19:$A$22,0)))*'Parametri Modello'!$B$9))))*(1+IF('Parametri Modello'!$B$27="Si",MAX(-'Parametri Modello'!$B$28,MIN('Parametri Modello'!$B$28*1.5,IF(OR(INDEX('Parametri Modello'!$F$32:$F$35,MATCH($B358,'Parametri Modello'!$A$32:$A$35,0))="",INDEX('Parametri Modello'!$F$32:$F$35,MATCH($B358,'Parametri Modello'!$A$32:$A$35,0))=0),0,(1/INDEX('Parametri Modello'!$F$32:$F$35,MATCH($B358,'Parametri Modello'!$A$32:$A$35,0))-1)*'Parametri Modello'!$B$28))),0)))*(1+INDEX('Parametri Modello'!$B$12:$B$15,MATCH($B358,'Parametri Modello'!$A$12:$A$15,0))),0),"")</f>
        <v>1</v>
      </c>
      <c r="I358" s="26" t="n">
        <f aca="false">IFERROR(INDEX('Input Statistiche 2025_26'!$F$3:$F$665,MATCH($A358,'Input Statistiche 2025_26'!$A$3:$A$665,0)),"")</f>
        <v>31</v>
      </c>
      <c r="J358" s="26" t="n">
        <f aca="false">IFERROR(IF($I358="","",MAX(0,38-$I358)),"")</f>
        <v>7</v>
      </c>
      <c r="K358" s="26" t="n">
        <f aca="false">IFERROR(INDEX('Input Statistiche 2025_26'!$I$3:$I$665,MATCH($A358,'Input Statistiche 2025_26'!$A$3:$A$665,0)),"")</f>
        <v>1</v>
      </c>
      <c r="L358" s="26" t="n">
        <f aca="false">IFERROR(INDEX('Input Statistiche 2025_26'!$O$3:$O$665,MATCH($A358,'Input Statistiche 2025_26'!$A$3:$A$665,0)),"")</f>
        <v>0</v>
      </c>
      <c r="M358" s="28"/>
      <c r="N358" s="27" t="n">
        <f aca="false">IFERROR(INDEX('Input Giocatori 2026_27'!$E$3:$E$493,MATCH($A358,'Input Giocatori 2026_27'!$A$3:$A$493,0)),"")</f>
        <v>3</v>
      </c>
      <c r="O358" s="27" t="n">
        <f aca="false">IFERROR(INDEX('Input Giocatori 2026_27'!$G$3:$G$493,MATCH($A358,'Input Giocatori 2026_27'!$A$3:$A$493,0)),"")</f>
        <v>7</v>
      </c>
      <c r="P358" s="26" t="str">
        <f aca="false">IFERROR(IF($O358="","",IF((1-(COUNTIFS($B$2:$B$492,$B358,$O$2:$O$492,"&gt;"&amp;$O358)+1-1)/COUNTIF($B$2:$B$492,$B358))&gt;=0.85,"Top",IF((1-(COUNTIFS($B$2:$B$492,$B358,$O$2:$O$492,"&gt;"&amp;$O358)+1-1)/COUNTIF($B$2:$B$492,$B358))&gt;=0.6,"Buono",IF((1-(COUNTIFS($B$2:$B$492,$B358,$O$2:$O$492,"&gt;"&amp;$O358)+1-1)/COUNTIF($B$2:$B$492,$B358))&gt;=0.3,"Nella Media","Scommessa/Riserva")))),"")</f>
        <v>Scommessa/Riserva</v>
      </c>
      <c r="Q358" s="29" t="n">
        <f aca="false">IF($D358="",COUNTIF($D$2:$D358,""),"")</f>
        <v>357</v>
      </c>
      <c r="R358" s="29" t="str">
        <f aca="false">IF($D358='Info Lega'!$B$28,COUNTIFS($D$2:$D358,'Info Lega'!$B$28),"")</f>
        <v/>
      </c>
      <c r="S358" s="30" t="n">
        <f aca="false">IFERROR(INDEX('Input Statistiche 2025_26'!$G$3:$G$665,MATCH($A358,'Input Statistiche 2025_26'!$A$3:$A$665,0)),"")</f>
        <v>5.85</v>
      </c>
      <c r="T358" s="30" t="n">
        <f aca="false">IFERROR(INDEX('Input Statistiche 2025_26'!$H$3:$H$665,MATCH($A358,'Input Statistiche 2025_26'!$A$3:$A$665,0)),"")</f>
        <v>5.79</v>
      </c>
      <c r="U358" s="26" t="str">
        <f aca="false">IF(OR('La Mia Rosa'!$O$12="",$D358&lt;&gt;""),"",IF($F358&lt;='La Mia Rosa'!$O$12*'Parametri Modello'!$B$24,"OK",IF($F358&lt;='La Mia Rosa'!$O$12*'Parametri Modello'!$B$25,"Attenzione","Rischio Alto")))</f>
        <v>OK</v>
      </c>
      <c r="V358" s="26" t="n">
        <f aca="false">IFERROR(COUNTIFS($B$2:$B$492,$B358,$O$2:$O$492,"&gt;"&amp;$O358)+1,"")</f>
        <v>125</v>
      </c>
      <c r="W358" s="21" t="n">
        <f aca="false">'Info Lega'!$B$4-SUMIFS($M$2:$M$492,$D$2:$D$492,'Info Lega'!$B$28)</f>
        <v>1000</v>
      </c>
      <c r="X358" s="21" t="n">
        <f aca="false">('Info Lega'!$B$5-COUNTIFS($D$2:$D$492,'Info Lega'!$B$28,$B$2:$B$492,"P"))+('Info Lega'!$B$6-COUNTIFS($D$2:$D$492,'Info Lega'!$B$28,$B$2:$B$492,"D"))+('Info Lega'!$B$7-COUNTIFS($D$2:$D$492,'Info Lega'!$B$28,$B$2:$B$492,"C"))+('Info Lega'!$B$8-COUNTIFS($D$2:$D$492,'Info Lega'!$B$28,$B$2:$B$492,"A"))</f>
        <v>25</v>
      </c>
      <c r="Y358" s="21" t="n">
        <f aca="false">X358*'Parametri Modello'!$B$30</f>
        <v>25</v>
      </c>
      <c r="Z358" s="21" t="n">
        <f aca="false">MAX(0,W358-Y358)</f>
        <v>975</v>
      </c>
      <c r="AA358" s="21" t="n">
        <f aca="false">MIN(F358,Z358)</f>
        <v>1</v>
      </c>
      <c r="AB358" s="21"/>
      <c r="AC358" s="21" t="str">
        <f aca="false">IF(AB358="","",IF(AB358&gt;AA358,"PASS",IF(AB358&lt;=AA358*0.85,"BID","ATTENZIONE")))</f>
        <v/>
      </c>
      <c r="AD358" s="31" t="n">
        <f aca="false">IF(I358="","",ROUND(100*(1-EXP(-I358/30)),0))</f>
        <v>64</v>
      </c>
      <c r="AE358" s="7" t="str">
        <f aca="false">IFERROR(INDEX('Stato Asta'!$G$9:$G$12,MATCH($B358,'Stato Asta'!$A$9:$A$12,0)),"")</f>
        <v>🟡 Attesa rischiosa</v>
      </c>
    </row>
    <row r="359" customFormat="false" ht="14.25" hidden="false" customHeight="true" outlineLevel="0" collapsed="false">
      <c r="A359" s="21" t="n">
        <v>7175</v>
      </c>
      <c r="B359" s="21" t="s">
        <v>44</v>
      </c>
      <c r="C359" s="21" t="s">
        <v>307</v>
      </c>
      <c r="E359" s="26" t="str">
        <f aca="false">IF(COUNTIF('Info Strategia'!$D$2:$D$51,$C359)&gt;0,"SI","NO")</f>
        <v>NO</v>
      </c>
      <c r="F359" s="27" t="n">
        <f aca="false">IFERROR(ROUND(($G359+($H359-$G359)*'Info Strategia'!$B$6)*(1+IF($E359="SI",'Parametri Modello'!$B$7*'Info Strategia'!$B$6,0)),0),"")</f>
        <v>1</v>
      </c>
      <c r="G359" s="27" t="n">
        <f aca="false">IFERROR(ROUND(MAX(1,(IF($V359&lt;=INDEX('Parametri Modello'!$C$57:$C$60,MATCH($B359,'Parametri Modello'!$A$57:$A$60,0)),IF(INDEX('Parametri Modello'!$E$57:$E$60,MATCH($B359,'Parametri Modello'!$A$57:$A$60,0))=0,0,($O359/INDEX('Parametri Modello'!$E$57:$E$60,MATCH($B359,'Parametri Modello'!$A$57:$A$60,0)))*(INDEX('Parametri Modello'!$D$57:$D$60,MATCH($B359,'Parametri Modello'!$A$57:$A$60,0))*(INDEX('Parametri Modello'!$B$50:$B$53,MATCH($B359,'Parametri Modello'!$A$50:$A$53,0))*'Parametri Modello'!$B$44))),IF(INDEX('Parametri Modello'!$F$57:$F$60,MATCH($B359,'Parametri Modello'!$A$57:$A$60,0))=0,0,($O359/INDEX('Parametri Modello'!$F$57:$F$60,MATCH($B359,'Parametri Modello'!$A$57:$A$60,0)))*((1-INDEX('Parametri Modello'!$D$57:$D$60,MATCH($B359,'Parametri Modello'!$A$57:$A$60,0)))*(INDEX('Parametri Modello'!$B$50:$B$53,MATCH($B359,'Parametri Modello'!$A$50:$A$53,0))*'Parametri Modello'!$B$44))))*(1+IF(IF($B359="D",'Info Lega'!$B$25,IF($B359="C",'Info Lega'!$B$26,"No"))="Si",'Parametri Modello'!$B$5,0))*(1+MAX(-0.25,MIN(0.25,IF(OR($T359="",$I359="",$I359=0,INDEX('Parametri Modello'!$B$19:$B$22,MATCH($B359,'Parametri Modello'!$A$19:$A$22,0))="",INDEX('Parametri Modello'!$B$19:$B$22,MATCH($B359,'Parametri Modello'!$A$19:$A$22,0))=0),0,(($T359-INDEX('Parametri Modello'!$B$19:$B$22,MATCH($B359,'Parametri Modello'!$A$19:$A$22,0)))/INDEX('Parametri Modello'!$B$19:$B$22,MATCH($B359,'Parametri Modello'!$A$19:$A$22,0)))*'Parametri Modello'!$B$9))))*(1+IF('Parametri Modello'!$B$27="Si",MAX(-'Parametri Modello'!$B$28,MIN('Parametri Modello'!$B$28*1.5,IF(OR(INDEX('Parametri Modello'!$F$32:$F$35,MATCH($B359,'Parametri Modello'!$A$32:$A$35,0))="",INDEX('Parametri Modello'!$F$32:$F$35,MATCH($B359,'Parametri Modello'!$A$32:$A$35,0))=0),0,(1/INDEX('Parametri Modello'!$F$32:$F$35,MATCH($B359,'Parametri Modello'!$A$32:$A$35,0))-1)*'Parametri Modello'!$B$28))),0)))*(1-INDEX('Parametri Modello'!$B$12:$B$15,MATCH($B359,'Parametri Modello'!$A$12:$A$15,0)))),0),"")</f>
        <v>1</v>
      </c>
      <c r="H359" s="27" t="n">
        <f aca="false">IFERROR(ROUND((IF($V359&lt;=INDEX('Parametri Modello'!$C$57:$C$60,MATCH($B359,'Parametri Modello'!$A$57:$A$60,0)),IF(INDEX('Parametri Modello'!$E$57:$E$60,MATCH($B359,'Parametri Modello'!$A$57:$A$60,0))=0,0,($O359/INDEX('Parametri Modello'!$E$57:$E$60,MATCH($B359,'Parametri Modello'!$A$57:$A$60,0)))*(INDEX('Parametri Modello'!$D$57:$D$60,MATCH($B359,'Parametri Modello'!$A$57:$A$60,0))*(INDEX('Parametri Modello'!$B$50:$B$53,MATCH($B359,'Parametri Modello'!$A$50:$A$53,0))*'Parametri Modello'!$B$44))),IF(INDEX('Parametri Modello'!$F$57:$F$60,MATCH($B359,'Parametri Modello'!$A$57:$A$60,0))=0,0,($O359/INDEX('Parametri Modello'!$F$57:$F$60,MATCH($B359,'Parametri Modello'!$A$57:$A$60,0)))*((1-INDEX('Parametri Modello'!$D$57:$D$60,MATCH($B359,'Parametri Modello'!$A$57:$A$60,0)))*(INDEX('Parametri Modello'!$B$50:$B$53,MATCH($B359,'Parametri Modello'!$A$50:$A$53,0))*'Parametri Modello'!$B$44))))*(1+IF(IF($B359="D",'Info Lega'!$B$25,IF($B359="C",'Info Lega'!$B$26,"No"))="Si",'Parametri Modello'!$B$5,0))*(1+MAX(-0.25,MIN(0.25,IF(OR($T359="",$I359="",$I359=0,INDEX('Parametri Modello'!$B$19:$B$22,MATCH($B359,'Parametri Modello'!$A$19:$A$22,0))="",INDEX('Parametri Modello'!$B$19:$B$22,MATCH($B359,'Parametri Modello'!$A$19:$A$22,0))=0),0,(($T359-INDEX('Parametri Modello'!$B$19:$B$22,MATCH($B359,'Parametri Modello'!$A$19:$A$22,0)))/INDEX('Parametri Modello'!$B$19:$B$22,MATCH($B359,'Parametri Modello'!$A$19:$A$22,0)))*'Parametri Modello'!$B$9))))*(1+IF('Parametri Modello'!$B$27="Si",MAX(-'Parametri Modello'!$B$28,MIN('Parametri Modello'!$B$28*1.5,IF(OR(INDEX('Parametri Modello'!$F$32:$F$35,MATCH($B359,'Parametri Modello'!$A$32:$A$35,0))="",INDEX('Parametri Modello'!$F$32:$F$35,MATCH($B359,'Parametri Modello'!$A$32:$A$35,0))=0),0,(1/INDEX('Parametri Modello'!$F$32:$F$35,MATCH($B359,'Parametri Modello'!$A$32:$A$35,0))-1)*'Parametri Modello'!$B$28))),0)))*(1+INDEX('Parametri Modello'!$B$12:$B$15,MATCH($B359,'Parametri Modello'!$A$12:$A$15,0))),0),"")</f>
        <v>1</v>
      </c>
      <c r="I359" s="26" t="n">
        <f aca="false">IFERROR(INDEX('Input Statistiche 2025_26'!$F$3:$F$665,MATCH($A359,'Input Statistiche 2025_26'!$A$3:$A$665,0)),"")</f>
        <v>14</v>
      </c>
      <c r="J359" s="26" t="n">
        <f aca="false">IFERROR(IF($I359="","",MAX(0,38-$I359)),"")</f>
        <v>24</v>
      </c>
      <c r="K359" s="26" t="n">
        <f aca="false">IFERROR(INDEX('Input Statistiche 2025_26'!$I$3:$I$665,MATCH($A359,'Input Statistiche 2025_26'!$A$3:$A$665,0)),"")</f>
        <v>1</v>
      </c>
      <c r="L359" s="26" t="n">
        <f aca="false">IFERROR(INDEX('Input Statistiche 2025_26'!$O$3:$O$665,MATCH($A359,'Input Statistiche 2025_26'!$A$3:$A$665,0)),"")</f>
        <v>1</v>
      </c>
      <c r="M359" s="28"/>
      <c r="N359" s="27" t="n">
        <f aca="false">IFERROR(INDEX('Input Giocatori 2026_27'!$E$3:$E$493,MATCH($A359,'Input Giocatori 2026_27'!$A$3:$A$493,0)),"")</f>
        <v>3</v>
      </c>
      <c r="O359" s="27" t="n">
        <f aca="false">IFERROR(INDEX('Input Giocatori 2026_27'!$G$3:$G$493,MATCH($A359,'Input Giocatori 2026_27'!$A$3:$A$493,0)),"")</f>
        <v>7</v>
      </c>
      <c r="P359" s="26" t="str">
        <f aca="false">IFERROR(IF($O359="","",IF((1-(COUNTIFS($B$2:$B$492,$B359,$O$2:$O$492,"&gt;"&amp;$O359)+1-1)/COUNTIF($B$2:$B$492,$B359))&gt;=0.85,"Top",IF((1-(COUNTIFS($B$2:$B$492,$B359,$O$2:$O$492,"&gt;"&amp;$O359)+1-1)/COUNTIF($B$2:$B$492,$B359))&gt;=0.6,"Buono",IF((1-(COUNTIFS($B$2:$B$492,$B359,$O$2:$O$492,"&gt;"&amp;$O359)+1-1)/COUNTIF($B$2:$B$492,$B359))&gt;=0.3,"Nella Media","Scommessa/Riserva")))),"")</f>
        <v>Scommessa/Riserva</v>
      </c>
      <c r="Q359" s="29" t="n">
        <f aca="false">IF($D359="",COUNTIF($D$2:$D359,""),"")</f>
        <v>358</v>
      </c>
      <c r="R359" s="29" t="str">
        <f aca="false">IF($D359='Info Lega'!$B$28,COUNTIFS($D$2:$D359,'Info Lega'!$B$28),"")</f>
        <v/>
      </c>
      <c r="S359" s="30" t="n">
        <f aca="false">IFERROR(INDEX('Input Statistiche 2025_26'!$G$3:$G$665,MATCH($A359,'Input Statistiche 2025_26'!$A$3:$A$665,0)),"")</f>
        <v>5.79</v>
      </c>
      <c r="T359" s="30" t="n">
        <f aca="false">IFERROR(INDEX('Input Statistiche 2025_26'!$H$3:$H$665,MATCH($A359,'Input Statistiche 2025_26'!$A$3:$A$665,0)),"")</f>
        <v>6</v>
      </c>
      <c r="U359" s="26" t="str">
        <f aca="false">IF(OR('La Mia Rosa'!$O$12="",$D359&lt;&gt;""),"",IF($F359&lt;='La Mia Rosa'!$O$12*'Parametri Modello'!$B$24,"OK",IF($F359&lt;='La Mia Rosa'!$O$12*'Parametri Modello'!$B$25,"Attenzione","Rischio Alto")))</f>
        <v>OK</v>
      </c>
      <c r="V359" s="26" t="n">
        <f aca="false">IFERROR(COUNTIFS($B$2:$B$492,$B359,$O$2:$O$492,"&gt;"&amp;$O359)+1,"")</f>
        <v>125</v>
      </c>
      <c r="W359" s="21" t="n">
        <f aca="false">'Info Lega'!$B$4-SUMIFS($M$2:$M$492,$D$2:$D$492,'Info Lega'!$B$28)</f>
        <v>1000</v>
      </c>
      <c r="X359" s="21" t="n">
        <f aca="false">('Info Lega'!$B$5-COUNTIFS($D$2:$D$492,'Info Lega'!$B$28,$B$2:$B$492,"P"))+('Info Lega'!$B$6-COUNTIFS($D$2:$D$492,'Info Lega'!$B$28,$B$2:$B$492,"D"))+('Info Lega'!$B$7-COUNTIFS($D$2:$D$492,'Info Lega'!$B$28,$B$2:$B$492,"C"))+('Info Lega'!$B$8-COUNTIFS($D$2:$D$492,'Info Lega'!$B$28,$B$2:$B$492,"A"))</f>
        <v>25</v>
      </c>
      <c r="Y359" s="21" t="n">
        <f aca="false">X359*'Parametri Modello'!$B$30</f>
        <v>25</v>
      </c>
      <c r="Z359" s="21" t="n">
        <f aca="false">MAX(0,W359-Y359)</f>
        <v>975</v>
      </c>
      <c r="AA359" s="21" t="n">
        <f aca="false">MIN(F359,Z359)</f>
        <v>1</v>
      </c>
      <c r="AB359" s="21"/>
      <c r="AC359" s="21" t="str">
        <f aca="false">IF(AB359="","",IF(AB359&gt;AA359,"PASS",IF(AB359&lt;=AA359*0.85,"BID","ATTENZIONE")))</f>
        <v/>
      </c>
      <c r="AD359" s="31" t="n">
        <f aca="false">IF(I359="","",ROUND(100*(1-EXP(-I359/30)),0))</f>
        <v>37</v>
      </c>
      <c r="AE359" s="7" t="str">
        <f aca="false">IFERROR(INDEX('Stato Asta'!$G$9:$G$12,MATCH($B359,'Stato Asta'!$A$9:$A$12,0)),"")</f>
        <v>🟡 Attesa rischiosa</v>
      </c>
    </row>
    <row r="360" customFormat="false" ht="14.25" hidden="false" customHeight="true" outlineLevel="0" collapsed="false">
      <c r="A360" s="21" t="n">
        <v>7540</v>
      </c>
      <c r="B360" s="21" t="s">
        <v>44</v>
      </c>
      <c r="C360" s="21" t="s">
        <v>308</v>
      </c>
      <c r="E360" s="26" t="str">
        <f aca="false">IF(COUNTIF('Info Strategia'!$D$2:$D$51,$C360)&gt;0,"SI","NO")</f>
        <v>NO</v>
      </c>
      <c r="F360" s="27" t="n">
        <f aca="false">IFERROR(ROUND(($G360+($H360-$G360)*'Info Strategia'!$B$6)*(1+IF($E360="SI",'Parametri Modello'!$B$7*'Info Strategia'!$B$6,0)),0),"")</f>
        <v>1</v>
      </c>
      <c r="G360" s="27" t="n">
        <f aca="false">IFERROR(ROUND(MAX(1,(IF($V360&lt;=INDEX('Parametri Modello'!$C$57:$C$60,MATCH($B360,'Parametri Modello'!$A$57:$A$60,0)),IF(INDEX('Parametri Modello'!$E$57:$E$60,MATCH($B360,'Parametri Modello'!$A$57:$A$60,0))=0,0,($O360/INDEX('Parametri Modello'!$E$57:$E$60,MATCH($B360,'Parametri Modello'!$A$57:$A$60,0)))*(INDEX('Parametri Modello'!$D$57:$D$60,MATCH($B360,'Parametri Modello'!$A$57:$A$60,0))*(INDEX('Parametri Modello'!$B$50:$B$53,MATCH($B360,'Parametri Modello'!$A$50:$A$53,0))*'Parametri Modello'!$B$44))),IF(INDEX('Parametri Modello'!$F$57:$F$60,MATCH($B360,'Parametri Modello'!$A$57:$A$60,0))=0,0,($O360/INDEX('Parametri Modello'!$F$57:$F$60,MATCH($B360,'Parametri Modello'!$A$57:$A$60,0)))*((1-INDEX('Parametri Modello'!$D$57:$D$60,MATCH($B360,'Parametri Modello'!$A$57:$A$60,0)))*(INDEX('Parametri Modello'!$B$50:$B$53,MATCH($B360,'Parametri Modello'!$A$50:$A$53,0))*'Parametri Modello'!$B$44))))*(1+IF(IF($B360="D",'Info Lega'!$B$25,IF($B360="C",'Info Lega'!$B$26,"No"))="Si",'Parametri Modello'!$B$5,0))*(1+MAX(-0.25,MIN(0.25,IF(OR($T360="",$I360="",$I360=0,INDEX('Parametri Modello'!$B$19:$B$22,MATCH($B360,'Parametri Modello'!$A$19:$A$22,0))="",INDEX('Parametri Modello'!$B$19:$B$22,MATCH($B360,'Parametri Modello'!$A$19:$A$22,0))=0),0,(($T360-INDEX('Parametri Modello'!$B$19:$B$22,MATCH($B360,'Parametri Modello'!$A$19:$A$22,0)))/INDEX('Parametri Modello'!$B$19:$B$22,MATCH($B360,'Parametri Modello'!$A$19:$A$22,0)))*'Parametri Modello'!$B$9))))*(1+IF('Parametri Modello'!$B$27="Si",MAX(-'Parametri Modello'!$B$28,MIN('Parametri Modello'!$B$28*1.5,IF(OR(INDEX('Parametri Modello'!$F$32:$F$35,MATCH($B360,'Parametri Modello'!$A$32:$A$35,0))="",INDEX('Parametri Modello'!$F$32:$F$35,MATCH($B360,'Parametri Modello'!$A$32:$A$35,0))=0),0,(1/INDEX('Parametri Modello'!$F$32:$F$35,MATCH($B360,'Parametri Modello'!$A$32:$A$35,0))-1)*'Parametri Modello'!$B$28))),0)))*(1-INDEX('Parametri Modello'!$B$12:$B$15,MATCH($B360,'Parametri Modello'!$A$12:$A$15,0)))),0),"")</f>
        <v>1</v>
      </c>
      <c r="H360" s="27" t="n">
        <f aca="false">IFERROR(ROUND((IF($V360&lt;=INDEX('Parametri Modello'!$C$57:$C$60,MATCH($B360,'Parametri Modello'!$A$57:$A$60,0)),IF(INDEX('Parametri Modello'!$E$57:$E$60,MATCH($B360,'Parametri Modello'!$A$57:$A$60,0))=0,0,($O360/INDEX('Parametri Modello'!$E$57:$E$60,MATCH($B360,'Parametri Modello'!$A$57:$A$60,0)))*(INDEX('Parametri Modello'!$D$57:$D$60,MATCH($B360,'Parametri Modello'!$A$57:$A$60,0))*(INDEX('Parametri Modello'!$B$50:$B$53,MATCH($B360,'Parametri Modello'!$A$50:$A$53,0))*'Parametri Modello'!$B$44))),IF(INDEX('Parametri Modello'!$F$57:$F$60,MATCH($B360,'Parametri Modello'!$A$57:$A$60,0))=0,0,($O360/INDEX('Parametri Modello'!$F$57:$F$60,MATCH($B360,'Parametri Modello'!$A$57:$A$60,0)))*((1-INDEX('Parametri Modello'!$D$57:$D$60,MATCH($B360,'Parametri Modello'!$A$57:$A$60,0)))*(INDEX('Parametri Modello'!$B$50:$B$53,MATCH($B360,'Parametri Modello'!$A$50:$A$53,0))*'Parametri Modello'!$B$44))))*(1+IF(IF($B360="D",'Info Lega'!$B$25,IF($B360="C",'Info Lega'!$B$26,"No"))="Si",'Parametri Modello'!$B$5,0))*(1+MAX(-0.25,MIN(0.25,IF(OR($T360="",$I360="",$I360=0,INDEX('Parametri Modello'!$B$19:$B$22,MATCH($B360,'Parametri Modello'!$A$19:$A$22,0))="",INDEX('Parametri Modello'!$B$19:$B$22,MATCH($B360,'Parametri Modello'!$A$19:$A$22,0))=0),0,(($T360-INDEX('Parametri Modello'!$B$19:$B$22,MATCH($B360,'Parametri Modello'!$A$19:$A$22,0)))/INDEX('Parametri Modello'!$B$19:$B$22,MATCH($B360,'Parametri Modello'!$A$19:$A$22,0)))*'Parametri Modello'!$B$9))))*(1+IF('Parametri Modello'!$B$27="Si",MAX(-'Parametri Modello'!$B$28,MIN('Parametri Modello'!$B$28*1.5,IF(OR(INDEX('Parametri Modello'!$F$32:$F$35,MATCH($B360,'Parametri Modello'!$A$32:$A$35,0))="",INDEX('Parametri Modello'!$F$32:$F$35,MATCH($B360,'Parametri Modello'!$A$32:$A$35,0))=0),0,(1/INDEX('Parametri Modello'!$F$32:$F$35,MATCH($B360,'Parametri Modello'!$A$32:$A$35,0))-1)*'Parametri Modello'!$B$28))),0)))*(1+INDEX('Parametri Modello'!$B$12:$B$15,MATCH($B360,'Parametri Modello'!$A$12:$A$15,0))),0),"")</f>
        <v>1</v>
      </c>
      <c r="I360" s="26" t="str">
        <f aca="false">IFERROR(INDEX('Input Statistiche 2025_26'!$F$3:$F$665,MATCH($A360,'Input Statistiche 2025_26'!$A$3:$A$665,0)),"")</f>
        <v/>
      </c>
      <c r="J360" s="26" t="str">
        <f aca="false">IFERROR(IF($I360="","",MAX(0,38-$I360)),"")</f>
        <v/>
      </c>
      <c r="K360" s="26" t="str">
        <f aca="false">IFERROR(INDEX('Input Statistiche 2025_26'!$I$3:$I$665,MATCH($A360,'Input Statistiche 2025_26'!$A$3:$A$665,0)),"")</f>
        <v/>
      </c>
      <c r="L360" s="26" t="str">
        <f aca="false">IFERROR(INDEX('Input Statistiche 2025_26'!$O$3:$O$665,MATCH($A360,'Input Statistiche 2025_26'!$A$3:$A$665,0)),"")</f>
        <v/>
      </c>
      <c r="M360" s="28"/>
      <c r="N360" s="27" t="n">
        <f aca="false">IFERROR(INDEX('Input Giocatori 2026_27'!$E$3:$E$493,MATCH($A360,'Input Giocatori 2026_27'!$A$3:$A$493,0)),"")</f>
        <v>3</v>
      </c>
      <c r="O360" s="27" t="n">
        <f aca="false">IFERROR(INDEX('Input Giocatori 2026_27'!$G$3:$G$493,MATCH($A360,'Input Giocatori 2026_27'!$A$3:$A$493,0)),"")</f>
        <v>7</v>
      </c>
      <c r="P360" s="26" t="str">
        <f aca="false">IFERROR(IF($O360="","",IF((1-(COUNTIFS($B$2:$B$492,$B360,$O$2:$O$492,"&gt;"&amp;$O360)+1-1)/COUNTIF($B$2:$B$492,$B360))&gt;=0.85,"Top",IF((1-(COUNTIFS($B$2:$B$492,$B360,$O$2:$O$492,"&gt;"&amp;$O360)+1-1)/COUNTIF($B$2:$B$492,$B360))&gt;=0.6,"Buono",IF((1-(COUNTIFS($B$2:$B$492,$B360,$O$2:$O$492,"&gt;"&amp;$O360)+1-1)/COUNTIF($B$2:$B$492,$B360))&gt;=0.3,"Nella Media","Scommessa/Riserva")))),"")</f>
        <v>Scommessa/Riserva</v>
      </c>
      <c r="Q360" s="29" t="n">
        <f aca="false">IF($D360="",COUNTIF($D$2:$D360,""),"")</f>
        <v>359</v>
      </c>
      <c r="R360" s="29" t="str">
        <f aca="false">IF($D360='Info Lega'!$B$28,COUNTIFS($D$2:$D360,'Info Lega'!$B$28),"")</f>
        <v/>
      </c>
      <c r="S360" s="30" t="str">
        <f aca="false">IFERROR(INDEX('Input Statistiche 2025_26'!$G$3:$G$665,MATCH($A360,'Input Statistiche 2025_26'!$A$3:$A$665,0)),"")</f>
        <v/>
      </c>
      <c r="T360" s="30" t="str">
        <f aca="false">IFERROR(INDEX('Input Statistiche 2025_26'!$H$3:$H$665,MATCH($A360,'Input Statistiche 2025_26'!$A$3:$A$665,0)),"")</f>
        <v/>
      </c>
      <c r="U360" s="26" t="str">
        <f aca="false">IF(OR('La Mia Rosa'!$O$12="",$D360&lt;&gt;""),"",IF($F360&lt;='La Mia Rosa'!$O$12*'Parametri Modello'!$B$24,"OK",IF($F360&lt;='La Mia Rosa'!$O$12*'Parametri Modello'!$B$25,"Attenzione","Rischio Alto")))</f>
        <v>OK</v>
      </c>
      <c r="V360" s="26" t="n">
        <f aca="false">IFERROR(COUNTIFS($B$2:$B$492,$B360,$O$2:$O$492,"&gt;"&amp;$O360)+1,"")</f>
        <v>125</v>
      </c>
      <c r="W360" s="21" t="n">
        <f aca="false">'Info Lega'!$B$4-SUMIFS($M$2:$M$492,$D$2:$D$492,'Info Lega'!$B$28)</f>
        <v>1000</v>
      </c>
      <c r="X360" s="21" t="n">
        <f aca="false">('Info Lega'!$B$5-COUNTIFS($D$2:$D$492,'Info Lega'!$B$28,$B$2:$B$492,"P"))+('Info Lega'!$B$6-COUNTIFS($D$2:$D$492,'Info Lega'!$B$28,$B$2:$B$492,"D"))+('Info Lega'!$B$7-COUNTIFS($D$2:$D$492,'Info Lega'!$B$28,$B$2:$B$492,"C"))+('Info Lega'!$B$8-COUNTIFS($D$2:$D$492,'Info Lega'!$B$28,$B$2:$B$492,"A"))</f>
        <v>25</v>
      </c>
      <c r="Y360" s="21" t="n">
        <f aca="false">X360*'Parametri Modello'!$B$30</f>
        <v>25</v>
      </c>
      <c r="Z360" s="21" t="n">
        <f aca="false">MAX(0,W360-Y360)</f>
        <v>975</v>
      </c>
      <c r="AA360" s="21" t="n">
        <f aca="false">MIN(F360,Z360)</f>
        <v>1</v>
      </c>
      <c r="AB360" s="21"/>
      <c r="AC360" s="21" t="str">
        <f aca="false">IF(AB360="","",IF(AB360&gt;AA360,"PASS",IF(AB360&lt;=AA360*0.85,"BID","ATTENZIONE")))</f>
        <v/>
      </c>
      <c r="AD360" s="31" t="str">
        <f aca="false">IF(I360="","",ROUND(100*(1-EXP(-I360/30)),0))</f>
        <v/>
      </c>
      <c r="AE360" s="7" t="str">
        <f aca="false">IFERROR(INDEX('Stato Asta'!$G$9:$G$12,MATCH($B360,'Stato Asta'!$A$9:$A$12,0)),"")</f>
        <v>🟡 Attesa rischiosa</v>
      </c>
    </row>
    <row r="361" customFormat="false" ht="14.25" hidden="false" customHeight="true" outlineLevel="0" collapsed="false">
      <c r="A361" s="21" t="n">
        <v>6892</v>
      </c>
      <c r="B361" s="21" t="s">
        <v>44</v>
      </c>
      <c r="C361" s="21" t="s">
        <v>320</v>
      </c>
      <c r="E361" s="26" t="str">
        <f aca="false">IF(COUNTIF('Info Strategia'!$D$2:$D$51,$C361)&gt;0,"SI","NO")</f>
        <v>NO</v>
      </c>
      <c r="F361" s="27" t="n">
        <f aca="false">IFERROR(ROUND(($G361+($H361-$G361)*'Info Strategia'!$B$6)*(1+IF($E361="SI",'Parametri Modello'!$B$7*'Info Strategia'!$B$6,0)),0),"")</f>
        <v>1</v>
      </c>
      <c r="G361" s="27" t="n">
        <f aca="false">IFERROR(ROUND(MAX(1,(IF($V361&lt;=INDEX('Parametri Modello'!$C$57:$C$60,MATCH($B361,'Parametri Modello'!$A$57:$A$60,0)),IF(INDEX('Parametri Modello'!$E$57:$E$60,MATCH($B361,'Parametri Modello'!$A$57:$A$60,0))=0,0,($O361/INDEX('Parametri Modello'!$E$57:$E$60,MATCH($B361,'Parametri Modello'!$A$57:$A$60,0)))*(INDEX('Parametri Modello'!$D$57:$D$60,MATCH($B361,'Parametri Modello'!$A$57:$A$60,0))*(INDEX('Parametri Modello'!$B$50:$B$53,MATCH($B361,'Parametri Modello'!$A$50:$A$53,0))*'Parametri Modello'!$B$44))),IF(INDEX('Parametri Modello'!$F$57:$F$60,MATCH($B361,'Parametri Modello'!$A$57:$A$60,0))=0,0,($O361/INDEX('Parametri Modello'!$F$57:$F$60,MATCH($B361,'Parametri Modello'!$A$57:$A$60,0)))*((1-INDEX('Parametri Modello'!$D$57:$D$60,MATCH($B361,'Parametri Modello'!$A$57:$A$60,0)))*(INDEX('Parametri Modello'!$B$50:$B$53,MATCH($B361,'Parametri Modello'!$A$50:$A$53,0))*'Parametri Modello'!$B$44))))*(1+IF(IF($B361="D",'Info Lega'!$B$25,IF($B361="C",'Info Lega'!$B$26,"No"))="Si",'Parametri Modello'!$B$5,0))*(1+MAX(-0.25,MIN(0.25,IF(OR($T361="",$I361="",$I361=0,INDEX('Parametri Modello'!$B$19:$B$22,MATCH($B361,'Parametri Modello'!$A$19:$A$22,0))="",INDEX('Parametri Modello'!$B$19:$B$22,MATCH($B361,'Parametri Modello'!$A$19:$A$22,0))=0),0,(($T361-INDEX('Parametri Modello'!$B$19:$B$22,MATCH($B361,'Parametri Modello'!$A$19:$A$22,0)))/INDEX('Parametri Modello'!$B$19:$B$22,MATCH($B361,'Parametri Modello'!$A$19:$A$22,0)))*'Parametri Modello'!$B$9))))*(1+IF('Parametri Modello'!$B$27="Si",MAX(-'Parametri Modello'!$B$28,MIN('Parametri Modello'!$B$28*1.5,IF(OR(INDEX('Parametri Modello'!$F$32:$F$35,MATCH($B361,'Parametri Modello'!$A$32:$A$35,0))="",INDEX('Parametri Modello'!$F$32:$F$35,MATCH($B361,'Parametri Modello'!$A$32:$A$35,0))=0),0,(1/INDEX('Parametri Modello'!$F$32:$F$35,MATCH($B361,'Parametri Modello'!$A$32:$A$35,0))-1)*'Parametri Modello'!$B$28))),0)))*(1-INDEX('Parametri Modello'!$B$12:$B$15,MATCH($B361,'Parametri Modello'!$A$12:$A$15,0)))),0),"")</f>
        <v>1</v>
      </c>
      <c r="H361" s="27" t="n">
        <f aca="false">IFERROR(ROUND((IF($V361&lt;=INDEX('Parametri Modello'!$C$57:$C$60,MATCH($B361,'Parametri Modello'!$A$57:$A$60,0)),IF(INDEX('Parametri Modello'!$E$57:$E$60,MATCH($B361,'Parametri Modello'!$A$57:$A$60,0))=0,0,($O361/INDEX('Parametri Modello'!$E$57:$E$60,MATCH($B361,'Parametri Modello'!$A$57:$A$60,0)))*(INDEX('Parametri Modello'!$D$57:$D$60,MATCH($B361,'Parametri Modello'!$A$57:$A$60,0))*(INDEX('Parametri Modello'!$B$50:$B$53,MATCH($B361,'Parametri Modello'!$A$50:$A$53,0))*'Parametri Modello'!$B$44))),IF(INDEX('Parametri Modello'!$F$57:$F$60,MATCH($B361,'Parametri Modello'!$A$57:$A$60,0))=0,0,($O361/INDEX('Parametri Modello'!$F$57:$F$60,MATCH($B361,'Parametri Modello'!$A$57:$A$60,0)))*((1-INDEX('Parametri Modello'!$D$57:$D$60,MATCH($B361,'Parametri Modello'!$A$57:$A$60,0)))*(INDEX('Parametri Modello'!$B$50:$B$53,MATCH($B361,'Parametri Modello'!$A$50:$A$53,0))*'Parametri Modello'!$B$44))))*(1+IF(IF($B361="D",'Info Lega'!$B$25,IF($B361="C",'Info Lega'!$B$26,"No"))="Si",'Parametri Modello'!$B$5,0))*(1+MAX(-0.25,MIN(0.25,IF(OR($T361="",$I361="",$I361=0,INDEX('Parametri Modello'!$B$19:$B$22,MATCH($B361,'Parametri Modello'!$A$19:$A$22,0))="",INDEX('Parametri Modello'!$B$19:$B$22,MATCH($B361,'Parametri Modello'!$A$19:$A$22,0))=0),0,(($T361-INDEX('Parametri Modello'!$B$19:$B$22,MATCH($B361,'Parametri Modello'!$A$19:$A$22,0)))/INDEX('Parametri Modello'!$B$19:$B$22,MATCH($B361,'Parametri Modello'!$A$19:$A$22,0)))*'Parametri Modello'!$B$9))))*(1+IF('Parametri Modello'!$B$27="Si",MAX(-'Parametri Modello'!$B$28,MIN('Parametri Modello'!$B$28*1.5,IF(OR(INDEX('Parametri Modello'!$F$32:$F$35,MATCH($B361,'Parametri Modello'!$A$32:$A$35,0))="",INDEX('Parametri Modello'!$F$32:$F$35,MATCH($B361,'Parametri Modello'!$A$32:$A$35,0))=0),0,(1/INDEX('Parametri Modello'!$F$32:$F$35,MATCH($B361,'Parametri Modello'!$A$32:$A$35,0))-1)*'Parametri Modello'!$B$28))),0)))*(1+INDEX('Parametri Modello'!$B$12:$B$15,MATCH($B361,'Parametri Modello'!$A$12:$A$15,0))),0),"")</f>
        <v>1</v>
      </c>
      <c r="I361" s="26" t="str">
        <f aca="false">IFERROR(INDEX('Input Statistiche 2025_26'!$F$3:$F$665,MATCH($A361,'Input Statistiche 2025_26'!$A$3:$A$665,0)),"")</f>
        <v/>
      </c>
      <c r="J361" s="26" t="str">
        <f aca="false">IFERROR(IF($I361="","",MAX(0,38-$I361)),"")</f>
        <v/>
      </c>
      <c r="K361" s="26" t="str">
        <f aca="false">IFERROR(INDEX('Input Statistiche 2025_26'!$I$3:$I$665,MATCH($A361,'Input Statistiche 2025_26'!$A$3:$A$665,0)),"")</f>
        <v/>
      </c>
      <c r="L361" s="26" t="str">
        <f aca="false">IFERROR(INDEX('Input Statistiche 2025_26'!$O$3:$O$665,MATCH($A361,'Input Statistiche 2025_26'!$A$3:$A$665,0)),"")</f>
        <v/>
      </c>
      <c r="M361" s="28"/>
      <c r="N361" s="27" t="n">
        <f aca="false">IFERROR(INDEX('Input Giocatori 2026_27'!$E$3:$E$493,MATCH($A361,'Input Giocatori 2026_27'!$A$3:$A$493,0)),"")</f>
        <v>3</v>
      </c>
      <c r="O361" s="27" t="n">
        <f aca="false">IFERROR(INDEX('Input Giocatori 2026_27'!$G$3:$G$493,MATCH($A361,'Input Giocatori 2026_27'!$A$3:$A$493,0)),"")</f>
        <v>7</v>
      </c>
      <c r="P361" s="26" t="str">
        <f aca="false">IFERROR(IF($O361="","",IF((1-(COUNTIFS($B$2:$B$492,$B361,$O$2:$O$492,"&gt;"&amp;$O361)+1-1)/COUNTIF($B$2:$B$492,$B361))&gt;=0.85,"Top",IF((1-(COUNTIFS($B$2:$B$492,$B361,$O$2:$O$492,"&gt;"&amp;$O361)+1-1)/COUNTIF($B$2:$B$492,$B361))&gt;=0.6,"Buono",IF((1-(COUNTIFS($B$2:$B$492,$B361,$O$2:$O$492,"&gt;"&amp;$O361)+1-1)/COUNTIF($B$2:$B$492,$B361))&gt;=0.3,"Nella Media","Scommessa/Riserva")))),"")</f>
        <v>Scommessa/Riserva</v>
      </c>
      <c r="Q361" s="29" t="n">
        <f aca="false">IF($D361="",COUNTIF($D$2:$D361,""),"")</f>
        <v>360</v>
      </c>
      <c r="R361" s="29" t="str">
        <f aca="false">IF($D361='Info Lega'!$B$28,COUNTIFS($D$2:$D361,'Info Lega'!$B$28),"")</f>
        <v/>
      </c>
      <c r="S361" s="30" t="str">
        <f aca="false">IFERROR(INDEX('Input Statistiche 2025_26'!$G$3:$G$665,MATCH($A361,'Input Statistiche 2025_26'!$A$3:$A$665,0)),"")</f>
        <v/>
      </c>
      <c r="T361" s="30" t="str">
        <f aca="false">IFERROR(INDEX('Input Statistiche 2025_26'!$H$3:$H$665,MATCH($A361,'Input Statistiche 2025_26'!$A$3:$A$665,0)),"")</f>
        <v/>
      </c>
      <c r="U361" s="26" t="str">
        <f aca="false">IF(OR('La Mia Rosa'!$O$12="",$D361&lt;&gt;""),"",IF($F361&lt;='La Mia Rosa'!$O$12*'Parametri Modello'!$B$24,"OK",IF($F361&lt;='La Mia Rosa'!$O$12*'Parametri Modello'!$B$25,"Attenzione","Rischio Alto")))</f>
        <v>OK</v>
      </c>
      <c r="V361" s="26" t="n">
        <f aca="false">IFERROR(COUNTIFS($B$2:$B$492,$B361,$O$2:$O$492,"&gt;"&amp;$O361)+1,"")</f>
        <v>125</v>
      </c>
      <c r="W361" s="21" t="n">
        <f aca="false">'Info Lega'!$B$4-SUMIFS($M$2:$M$492,$D$2:$D$492,'Info Lega'!$B$28)</f>
        <v>1000</v>
      </c>
      <c r="X361" s="21" t="n">
        <f aca="false">('Info Lega'!$B$5-COUNTIFS($D$2:$D$492,'Info Lega'!$B$28,$B$2:$B$492,"P"))+('Info Lega'!$B$6-COUNTIFS($D$2:$D$492,'Info Lega'!$B$28,$B$2:$B$492,"D"))+('Info Lega'!$B$7-COUNTIFS($D$2:$D$492,'Info Lega'!$B$28,$B$2:$B$492,"C"))+('Info Lega'!$B$8-COUNTIFS($D$2:$D$492,'Info Lega'!$B$28,$B$2:$B$492,"A"))</f>
        <v>25</v>
      </c>
      <c r="Y361" s="21" t="n">
        <f aca="false">X361*'Parametri Modello'!$B$30</f>
        <v>25</v>
      </c>
      <c r="Z361" s="21" t="n">
        <f aca="false">MAX(0,W361-Y361)</f>
        <v>975</v>
      </c>
      <c r="AA361" s="21" t="n">
        <f aca="false">MIN(F361,Z361)</f>
        <v>1</v>
      </c>
      <c r="AB361" s="21"/>
      <c r="AC361" s="21" t="str">
        <f aca="false">IF(AB361="","",IF(AB361&gt;AA361,"PASS",IF(AB361&lt;=AA361*0.85,"BID","ATTENZIONE")))</f>
        <v/>
      </c>
      <c r="AD361" s="31" t="str">
        <f aca="false">IF(I361="","",ROUND(100*(1-EXP(-I361/30)),0))</f>
        <v/>
      </c>
      <c r="AE361" s="7" t="str">
        <f aca="false">IFERROR(INDEX('Stato Asta'!$G$9:$G$12,MATCH($B361,'Stato Asta'!$A$9:$A$12,0)),"")</f>
        <v>🟡 Attesa rischiosa</v>
      </c>
    </row>
    <row r="362" customFormat="false" ht="14.25" hidden="false" customHeight="true" outlineLevel="0" collapsed="false">
      <c r="A362" s="21" t="n">
        <v>6673</v>
      </c>
      <c r="B362" s="21" t="s">
        <v>44</v>
      </c>
      <c r="C362" s="21" t="s">
        <v>321</v>
      </c>
      <c r="E362" s="26" t="str">
        <f aca="false">IF(COUNTIF('Info Strategia'!$D$2:$D$51,$C362)&gt;0,"SI","NO")</f>
        <v>NO</v>
      </c>
      <c r="F362" s="27" t="n">
        <f aca="false">IFERROR(ROUND(($G362+($H362-$G362)*'Info Strategia'!$B$6)*(1+IF($E362="SI",'Parametri Modello'!$B$7*'Info Strategia'!$B$6,0)),0),"")</f>
        <v>1</v>
      </c>
      <c r="G362" s="27" t="n">
        <f aca="false">IFERROR(ROUND(MAX(1,(IF($V362&lt;=INDEX('Parametri Modello'!$C$57:$C$60,MATCH($B362,'Parametri Modello'!$A$57:$A$60,0)),IF(INDEX('Parametri Modello'!$E$57:$E$60,MATCH($B362,'Parametri Modello'!$A$57:$A$60,0))=0,0,($O362/INDEX('Parametri Modello'!$E$57:$E$60,MATCH($B362,'Parametri Modello'!$A$57:$A$60,0)))*(INDEX('Parametri Modello'!$D$57:$D$60,MATCH($B362,'Parametri Modello'!$A$57:$A$60,0))*(INDEX('Parametri Modello'!$B$50:$B$53,MATCH($B362,'Parametri Modello'!$A$50:$A$53,0))*'Parametri Modello'!$B$44))),IF(INDEX('Parametri Modello'!$F$57:$F$60,MATCH($B362,'Parametri Modello'!$A$57:$A$60,0))=0,0,($O362/INDEX('Parametri Modello'!$F$57:$F$60,MATCH($B362,'Parametri Modello'!$A$57:$A$60,0)))*((1-INDEX('Parametri Modello'!$D$57:$D$60,MATCH($B362,'Parametri Modello'!$A$57:$A$60,0)))*(INDEX('Parametri Modello'!$B$50:$B$53,MATCH($B362,'Parametri Modello'!$A$50:$A$53,0))*'Parametri Modello'!$B$44))))*(1+IF(IF($B362="D",'Info Lega'!$B$25,IF($B362="C",'Info Lega'!$B$26,"No"))="Si",'Parametri Modello'!$B$5,0))*(1+MAX(-0.25,MIN(0.25,IF(OR($T362="",$I362="",$I362=0,INDEX('Parametri Modello'!$B$19:$B$22,MATCH($B362,'Parametri Modello'!$A$19:$A$22,0))="",INDEX('Parametri Modello'!$B$19:$B$22,MATCH($B362,'Parametri Modello'!$A$19:$A$22,0))=0),0,(($T362-INDEX('Parametri Modello'!$B$19:$B$22,MATCH($B362,'Parametri Modello'!$A$19:$A$22,0)))/INDEX('Parametri Modello'!$B$19:$B$22,MATCH($B362,'Parametri Modello'!$A$19:$A$22,0)))*'Parametri Modello'!$B$9))))*(1+IF('Parametri Modello'!$B$27="Si",MAX(-'Parametri Modello'!$B$28,MIN('Parametri Modello'!$B$28*1.5,IF(OR(INDEX('Parametri Modello'!$F$32:$F$35,MATCH($B362,'Parametri Modello'!$A$32:$A$35,0))="",INDEX('Parametri Modello'!$F$32:$F$35,MATCH($B362,'Parametri Modello'!$A$32:$A$35,0))=0),0,(1/INDEX('Parametri Modello'!$F$32:$F$35,MATCH($B362,'Parametri Modello'!$A$32:$A$35,0))-1)*'Parametri Modello'!$B$28))),0)))*(1-INDEX('Parametri Modello'!$B$12:$B$15,MATCH($B362,'Parametri Modello'!$A$12:$A$15,0)))),0),"")</f>
        <v>1</v>
      </c>
      <c r="H362" s="27" t="n">
        <f aca="false">IFERROR(ROUND((IF($V362&lt;=INDEX('Parametri Modello'!$C$57:$C$60,MATCH($B362,'Parametri Modello'!$A$57:$A$60,0)),IF(INDEX('Parametri Modello'!$E$57:$E$60,MATCH($B362,'Parametri Modello'!$A$57:$A$60,0))=0,0,($O362/INDEX('Parametri Modello'!$E$57:$E$60,MATCH($B362,'Parametri Modello'!$A$57:$A$60,0)))*(INDEX('Parametri Modello'!$D$57:$D$60,MATCH($B362,'Parametri Modello'!$A$57:$A$60,0))*(INDEX('Parametri Modello'!$B$50:$B$53,MATCH($B362,'Parametri Modello'!$A$50:$A$53,0))*'Parametri Modello'!$B$44))),IF(INDEX('Parametri Modello'!$F$57:$F$60,MATCH($B362,'Parametri Modello'!$A$57:$A$60,0))=0,0,($O362/INDEX('Parametri Modello'!$F$57:$F$60,MATCH($B362,'Parametri Modello'!$A$57:$A$60,0)))*((1-INDEX('Parametri Modello'!$D$57:$D$60,MATCH($B362,'Parametri Modello'!$A$57:$A$60,0)))*(INDEX('Parametri Modello'!$B$50:$B$53,MATCH($B362,'Parametri Modello'!$A$50:$A$53,0))*'Parametri Modello'!$B$44))))*(1+IF(IF($B362="D",'Info Lega'!$B$25,IF($B362="C",'Info Lega'!$B$26,"No"))="Si",'Parametri Modello'!$B$5,0))*(1+MAX(-0.25,MIN(0.25,IF(OR($T362="",$I362="",$I362=0,INDEX('Parametri Modello'!$B$19:$B$22,MATCH($B362,'Parametri Modello'!$A$19:$A$22,0))="",INDEX('Parametri Modello'!$B$19:$B$22,MATCH($B362,'Parametri Modello'!$A$19:$A$22,0))=0),0,(($T362-INDEX('Parametri Modello'!$B$19:$B$22,MATCH($B362,'Parametri Modello'!$A$19:$A$22,0)))/INDEX('Parametri Modello'!$B$19:$B$22,MATCH($B362,'Parametri Modello'!$A$19:$A$22,0)))*'Parametri Modello'!$B$9))))*(1+IF('Parametri Modello'!$B$27="Si",MAX(-'Parametri Modello'!$B$28,MIN('Parametri Modello'!$B$28*1.5,IF(OR(INDEX('Parametri Modello'!$F$32:$F$35,MATCH($B362,'Parametri Modello'!$A$32:$A$35,0))="",INDEX('Parametri Modello'!$F$32:$F$35,MATCH($B362,'Parametri Modello'!$A$32:$A$35,0))=0),0,(1/INDEX('Parametri Modello'!$F$32:$F$35,MATCH($B362,'Parametri Modello'!$A$32:$A$35,0))-1)*'Parametri Modello'!$B$28))),0)))*(1+INDEX('Parametri Modello'!$B$12:$B$15,MATCH($B362,'Parametri Modello'!$A$12:$A$15,0))),0),"")</f>
        <v>1</v>
      </c>
      <c r="I362" s="26" t="str">
        <f aca="false">IFERROR(INDEX('Input Statistiche 2025_26'!$F$3:$F$665,MATCH($A362,'Input Statistiche 2025_26'!$A$3:$A$665,0)),"")</f>
        <v/>
      </c>
      <c r="J362" s="26" t="str">
        <f aca="false">IFERROR(IF($I362="","",MAX(0,38-$I362)),"")</f>
        <v/>
      </c>
      <c r="K362" s="26" t="str">
        <f aca="false">IFERROR(INDEX('Input Statistiche 2025_26'!$I$3:$I$665,MATCH($A362,'Input Statistiche 2025_26'!$A$3:$A$665,0)),"")</f>
        <v/>
      </c>
      <c r="L362" s="26" t="str">
        <f aca="false">IFERROR(INDEX('Input Statistiche 2025_26'!$O$3:$O$665,MATCH($A362,'Input Statistiche 2025_26'!$A$3:$A$665,0)),"")</f>
        <v/>
      </c>
      <c r="M362" s="28"/>
      <c r="N362" s="27" t="n">
        <f aca="false">IFERROR(INDEX('Input Giocatori 2026_27'!$E$3:$E$493,MATCH($A362,'Input Giocatori 2026_27'!$A$3:$A$493,0)),"")</f>
        <v>3</v>
      </c>
      <c r="O362" s="27" t="n">
        <f aca="false">IFERROR(INDEX('Input Giocatori 2026_27'!$G$3:$G$493,MATCH($A362,'Input Giocatori 2026_27'!$A$3:$A$493,0)),"")</f>
        <v>7</v>
      </c>
      <c r="P362" s="26" t="str">
        <f aca="false">IFERROR(IF($O362="","",IF((1-(COUNTIFS($B$2:$B$492,$B362,$O$2:$O$492,"&gt;"&amp;$O362)+1-1)/COUNTIF($B$2:$B$492,$B362))&gt;=0.85,"Top",IF((1-(COUNTIFS($B$2:$B$492,$B362,$O$2:$O$492,"&gt;"&amp;$O362)+1-1)/COUNTIF($B$2:$B$492,$B362))&gt;=0.6,"Buono",IF((1-(COUNTIFS($B$2:$B$492,$B362,$O$2:$O$492,"&gt;"&amp;$O362)+1-1)/COUNTIF($B$2:$B$492,$B362))&gt;=0.3,"Nella Media","Scommessa/Riserva")))),"")</f>
        <v>Scommessa/Riserva</v>
      </c>
      <c r="Q362" s="29" t="n">
        <f aca="false">IF($D362="",COUNTIF($D$2:$D362,""),"")</f>
        <v>361</v>
      </c>
      <c r="R362" s="29" t="str">
        <f aca="false">IF($D362='Info Lega'!$B$28,COUNTIFS($D$2:$D362,'Info Lega'!$B$28),"")</f>
        <v/>
      </c>
      <c r="S362" s="30" t="str">
        <f aca="false">IFERROR(INDEX('Input Statistiche 2025_26'!$G$3:$G$665,MATCH($A362,'Input Statistiche 2025_26'!$A$3:$A$665,0)),"")</f>
        <v/>
      </c>
      <c r="T362" s="30" t="str">
        <f aca="false">IFERROR(INDEX('Input Statistiche 2025_26'!$H$3:$H$665,MATCH($A362,'Input Statistiche 2025_26'!$A$3:$A$665,0)),"")</f>
        <v/>
      </c>
      <c r="U362" s="26" t="str">
        <f aca="false">IF(OR('La Mia Rosa'!$O$12="",$D362&lt;&gt;""),"",IF($F362&lt;='La Mia Rosa'!$O$12*'Parametri Modello'!$B$24,"OK",IF($F362&lt;='La Mia Rosa'!$O$12*'Parametri Modello'!$B$25,"Attenzione","Rischio Alto")))</f>
        <v>OK</v>
      </c>
      <c r="V362" s="26" t="n">
        <f aca="false">IFERROR(COUNTIFS($B$2:$B$492,$B362,$O$2:$O$492,"&gt;"&amp;$O362)+1,"")</f>
        <v>125</v>
      </c>
      <c r="W362" s="21" t="n">
        <f aca="false">'Info Lega'!$B$4-SUMIFS($M$2:$M$492,$D$2:$D$492,'Info Lega'!$B$28)</f>
        <v>1000</v>
      </c>
      <c r="X362" s="21" t="n">
        <f aca="false">('Info Lega'!$B$5-COUNTIFS($D$2:$D$492,'Info Lega'!$B$28,$B$2:$B$492,"P"))+('Info Lega'!$B$6-COUNTIFS($D$2:$D$492,'Info Lega'!$B$28,$B$2:$B$492,"D"))+('Info Lega'!$B$7-COUNTIFS($D$2:$D$492,'Info Lega'!$B$28,$B$2:$B$492,"C"))+('Info Lega'!$B$8-COUNTIFS($D$2:$D$492,'Info Lega'!$B$28,$B$2:$B$492,"A"))</f>
        <v>25</v>
      </c>
      <c r="Y362" s="21" t="n">
        <f aca="false">X362*'Parametri Modello'!$B$30</f>
        <v>25</v>
      </c>
      <c r="Z362" s="21" t="n">
        <f aca="false">MAX(0,W362-Y362)</f>
        <v>975</v>
      </c>
      <c r="AA362" s="21" t="n">
        <f aca="false">MIN(F362,Z362)</f>
        <v>1</v>
      </c>
      <c r="AB362" s="21"/>
      <c r="AC362" s="21" t="str">
        <f aca="false">IF(AB362="","",IF(AB362&gt;AA362,"PASS",IF(AB362&lt;=AA362*0.85,"BID","ATTENZIONE")))</f>
        <v/>
      </c>
      <c r="AD362" s="31" t="str">
        <f aca="false">IF(I362="","",ROUND(100*(1-EXP(-I362/30)),0))</f>
        <v/>
      </c>
      <c r="AE362" s="7" t="str">
        <f aca="false">IFERROR(INDEX('Stato Asta'!$G$9:$G$12,MATCH($B362,'Stato Asta'!$A$9:$A$12,0)),"")</f>
        <v>🟡 Attesa rischiosa</v>
      </c>
    </row>
    <row r="363" customFormat="false" ht="14.25" hidden="false" customHeight="true" outlineLevel="0" collapsed="false">
      <c r="A363" s="21" t="n">
        <v>6821</v>
      </c>
      <c r="B363" s="21" t="s">
        <v>44</v>
      </c>
      <c r="C363" s="21" t="s">
        <v>322</v>
      </c>
      <c r="E363" s="26" t="str">
        <f aca="false">IF(COUNTIF('Info Strategia'!$D$2:$D$51,$C363)&gt;0,"SI","NO")</f>
        <v>NO</v>
      </c>
      <c r="F363" s="27" t="n">
        <f aca="false">IFERROR(ROUND(($G363+($H363-$G363)*'Info Strategia'!$B$6)*(1+IF($E363="SI",'Parametri Modello'!$B$7*'Info Strategia'!$B$6,0)),0),"")</f>
        <v>1</v>
      </c>
      <c r="G363" s="27" t="n">
        <f aca="false">IFERROR(ROUND(MAX(1,(IF($V363&lt;=INDEX('Parametri Modello'!$C$57:$C$60,MATCH($B363,'Parametri Modello'!$A$57:$A$60,0)),IF(INDEX('Parametri Modello'!$E$57:$E$60,MATCH($B363,'Parametri Modello'!$A$57:$A$60,0))=0,0,($O363/INDEX('Parametri Modello'!$E$57:$E$60,MATCH($B363,'Parametri Modello'!$A$57:$A$60,0)))*(INDEX('Parametri Modello'!$D$57:$D$60,MATCH($B363,'Parametri Modello'!$A$57:$A$60,0))*(INDEX('Parametri Modello'!$B$50:$B$53,MATCH($B363,'Parametri Modello'!$A$50:$A$53,0))*'Parametri Modello'!$B$44))),IF(INDEX('Parametri Modello'!$F$57:$F$60,MATCH($B363,'Parametri Modello'!$A$57:$A$60,0))=0,0,($O363/INDEX('Parametri Modello'!$F$57:$F$60,MATCH($B363,'Parametri Modello'!$A$57:$A$60,0)))*((1-INDEX('Parametri Modello'!$D$57:$D$60,MATCH($B363,'Parametri Modello'!$A$57:$A$60,0)))*(INDEX('Parametri Modello'!$B$50:$B$53,MATCH($B363,'Parametri Modello'!$A$50:$A$53,0))*'Parametri Modello'!$B$44))))*(1+IF(IF($B363="D",'Info Lega'!$B$25,IF($B363="C",'Info Lega'!$B$26,"No"))="Si",'Parametri Modello'!$B$5,0))*(1+MAX(-0.25,MIN(0.25,IF(OR($T363="",$I363="",$I363=0,INDEX('Parametri Modello'!$B$19:$B$22,MATCH($B363,'Parametri Modello'!$A$19:$A$22,0))="",INDEX('Parametri Modello'!$B$19:$B$22,MATCH($B363,'Parametri Modello'!$A$19:$A$22,0))=0),0,(($T363-INDEX('Parametri Modello'!$B$19:$B$22,MATCH($B363,'Parametri Modello'!$A$19:$A$22,0)))/INDEX('Parametri Modello'!$B$19:$B$22,MATCH($B363,'Parametri Modello'!$A$19:$A$22,0)))*'Parametri Modello'!$B$9))))*(1+IF('Parametri Modello'!$B$27="Si",MAX(-'Parametri Modello'!$B$28,MIN('Parametri Modello'!$B$28*1.5,IF(OR(INDEX('Parametri Modello'!$F$32:$F$35,MATCH($B363,'Parametri Modello'!$A$32:$A$35,0))="",INDEX('Parametri Modello'!$F$32:$F$35,MATCH($B363,'Parametri Modello'!$A$32:$A$35,0))=0),0,(1/INDEX('Parametri Modello'!$F$32:$F$35,MATCH($B363,'Parametri Modello'!$A$32:$A$35,0))-1)*'Parametri Modello'!$B$28))),0)))*(1-INDEX('Parametri Modello'!$B$12:$B$15,MATCH($B363,'Parametri Modello'!$A$12:$A$15,0)))),0),"")</f>
        <v>1</v>
      </c>
      <c r="H363" s="27" t="n">
        <f aca="false">IFERROR(ROUND((IF($V363&lt;=INDEX('Parametri Modello'!$C$57:$C$60,MATCH($B363,'Parametri Modello'!$A$57:$A$60,0)),IF(INDEX('Parametri Modello'!$E$57:$E$60,MATCH($B363,'Parametri Modello'!$A$57:$A$60,0))=0,0,($O363/INDEX('Parametri Modello'!$E$57:$E$60,MATCH($B363,'Parametri Modello'!$A$57:$A$60,0)))*(INDEX('Parametri Modello'!$D$57:$D$60,MATCH($B363,'Parametri Modello'!$A$57:$A$60,0))*(INDEX('Parametri Modello'!$B$50:$B$53,MATCH($B363,'Parametri Modello'!$A$50:$A$53,0))*'Parametri Modello'!$B$44))),IF(INDEX('Parametri Modello'!$F$57:$F$60,MATCH($B363,'Parametri Modello'!$A$57:$A$60,0))=0,0,($O363/INDEX('Parametri Modello'!$F$57:$F$60,MATCH($B363,'Parametri Modello'!$A$57:$A$60,0)))*((1-INDEX('Parametri Modello'!$D$57:$D$60,MATCH($B363,'Parametri Modello'!$A$57:$A$60,0)))*(INDEX('Parametri Modello'!$B$50:$B$53,MATCH($B363,'Parametri Modello'!$A$50:$A$53,0))*'Parametri Modello'!$B$44))))*(1+IF(IF($B363="D",'Info Lega'!$B$25,IF($B363="C",'Info Lega'!$B$26,"No"))="Si",'Parametri Modello'!$B$5,0))*(1+MAX(-0.25,MIN(0.25,IF(OR($T363="",$I363="",$I363=0,INDEX('Parametri Modello'!$B$19:$B$22,MATCH($B363,'Parametri Modello'!$A$19:$A$22,0))="",INDEX('Parametri Modello'!$B$19:$B$22,MATCH($B363,'Parametri Modello'!$A$19:$A$22,0))=0),0,(($T363-INDEX('Parametri Modello'!$B$19:$B$22,MATCH($B363,'Parametri Modello'!$A$19:$A$22,0)))/INDEX('Parametri Modello'!$B$19:$B$22,MATCH($B363,'Parametri Modello'!$A$19:$A$22,0)))*'Parametri Modello'!$B$9))))*(1+IF('Parametri Modello'!$B$27="Si",MAX(-'Parametri Modello'!$B$28,MIN('Parametri Modello'!$B$28*1.5,IF(OR(INDEX('Parametri Modello'!$F$32:$F$35,MATCH($B363,'Parametri Modello'!$A$32:$A$35,0))="",INDEX('Parametri Modello'!$F$32:$F$35,MATCH($B363,'Parametri Modello'!$A$32:$A$35,0))=0),0,(1/INDEX('Parametri Modello'!$F$32:$F$35,MATCH($B363,'Parametri Modello'!$A$32:$A$35,0))-1)*'Parametri Modello'!$B$28))),0)))*(1+INDEX('Parametri Modello'!$B$12:$B$15,MATCH($B363,'Parametri Modello'!$A$12:$A$15,0))),0),"")</f>
        <v>1</v>
      </c>
      <c r="I363" s="26" t="n">
        <f aca="false">IFERROR(INDEX('Input Statistiche 2025_26'!$F$3:$F$665,MATCH($A363,'Input Statistiche 2025_26'!$A$3:$A$665,0)),"")</f>
        <v>0</v>
      </c>
      <c r="J363" s="26" t="n">
        <f aca="false">IFERROR(IF($I363="","",MAX(0,38-$I363)),"")</f>
        <v>38</v>
      </c>
      <c r="K363" s="26" t="n">
        <f aca="false">IFERROR(INDEX('Input Statistiche 2025_26'!$I$3:$I$665,MATCH($A363,'Input Statistiche 2025_26'!$A$3:$A$665,0)),"")</f>
        <v>0</v>
      </c>
      <c r="L363" s="26" t="n">
        <f aca="false">IFERROR(INDEX('Input Statistiche 2025_26'!$O$3:$O$665,MATCH($A363,'Input Statistiche 2025_26'!$A$3:$A$665,0)),"")</f>
        <v>0</v>
      </c>
      <c r="M363" s="28"/>
      <c r="N363" s="27" t="n">
        <f aca="false">IFERROR(INDEX('Input Giocatori 2026_27'!$E$3:$E$493,MATCH($A363,'Input Giocatori 2026_27'!$A$3:$A$493,0)),"")</f>
        <v>3</v>
      </c>
      <c r="O363" s="27" t="n">
        <f aca="false">IFERROR(INDEX('Input Giocatori 2026_27'!$G$3:$G$493,MATCH($A363,'Input Giocatori 2026_27'!$A$3:$A$493,0)),"")</f>
        <v>7</v>
      </c>
      <c r="P363" s="26" t="str">
        <f aca="false">IFERROR(IF($O363="","",IF((1-(COUNTIFS($B$2:$B$492,$B363,$O$2:$O$492,"&gt;"&amp;$O363)+1-1)/COUNTIF($B$2:$B$492,$B363))&gt;=0.85,"Top",IF((1-(COUNTIFS($B$2:$B$492,$B363,$O$2:$O$492,"&gt;"&amp;$O363)+1-1)/COUNTIF($B$2:$B$492,$B363))&gt;=0.6,"Buono",IF((1-(COUNTIFS($B$2:$B$492,$B363,$O$2:$O$492,"&gt;"&amp;$O363)+1-1)/COUNTIF($B$2:$B$492,$B363))&gt;=0.3,"Nella Media","Scommessa/Riserva")))),"")</f>
        <v>Scommessa/Riserva</v>
      </c>
      <c r="Q363" s="29" t="n">
        <f aca="false">IF($D363="",COUNTIF($D$2:$D363,""),"")</f>
        <v>362</v>
      </c>
      <c r="R363" s="29" t="str">
        <f aca="false">IF($D363='Info Lega'!$B$28,COUNTIFS($D$2:$D363,'Info Lega'!$B$28),"")</f>
        <v/>
      </c>
      <c r="S363" s="30" t="n">
        <f aca="false">IFERROR(INDEX('Input Statistiche 2025_26'!$G$3:$G$665,MATCH($A363,'Input Statistiche 2025_26'!$A$3:$A$665,0)),"")</f>
        <v>0</v>
      </c>
      <c r="T363" s="30" t="n">
        <f aca="false">IFERROR(INDEX('Input Statistiche 2025_26'!$H$3:$H$665,MATCH($A363,'Input Statistiche 2025_26'!$A$3:$A$665,0)),"")</f>
        <v>0</v>
      </c>
      <c r="U363" s="26" t="str">
        <f aca="false">IF(OR('La Mia Rosa'!$O$12="",$D363&lt;&gt;""),"",IF($F363&lt;='La Mia Rosa'!$O$12*'Parametri Modello'!$B$24,"OK",IF($F363&lt;='La Mia Rosa'!$O$12*'Parametri Modello'!$B$25,"Attenzione","Rischio Alto")))</f>
        <v>OK</v>
      </c>
      <c r="V363" s="26" t="n">
        <f aca="false">IFERROR(COUNTIFS($B$2:$B$492,$B363,$O$2:$O$492,"&gt;"&amp;$O363)+1,"")</f>
        <v>125</v>
      </c>
      <c r="W363" s="21" t="n">
        <f aca="false">'Info Lega'!$B$4-SUMIFS($M$2:$M$492,$D$2:$D$492,'Info Lega'!$B$28)</f>
        <v>1000</v>
      </c>
      <c r="X363" s="21" t="n">
        <f aca="false">('Info Lega'!$B$5-COUNTIFS($D$2:$D$492,'Info Lega'!$B$28,$B$2:$B$492,"P"))+('Info Lega'!$B$6-COUNTIFS($D$2:$D$492,'Info Lega'!$B$28,$B$2:$B$492,"D"))+('Info Lega'!$B$7-COUNTIFS($D$2:$D$492,'Info Lega'!$B$28,$B$2:$B$492,"C"))+('Info Lega'!$B$8-COUNTIFS($D$2:$D$492,'Info Lega'!$B$28,$B$2:$B$492,"A"))</f>
        <v>25</v>
      </c>
      <c r="Y363" s="21" t="n">
        <f aca="false">X363*'Parametri Modello'!$B$30</f>
        <v>25</v>
      </c>
      <c r="Z363" s="21" t="n">
        <f aca="false">MAX(0,W363-Y363)</f>
        <v>975</v>
      </c>
      <c r="AA363" s="21" t="n">
        <f aca="false">MIN(F363,Z363)</f>
        <v>1</v>
      </c>
      <c r="AB363" s="21"/>
      <c r="AC363" s="21" t="str">
        <f aca="false">IF(AB363="","",IF(AB363&gt;AA363,"PASS",IF(AB363&lt;=AA363*0.85,"BID","ATTENZIONE")))</f>
        <v/>
      </c>
      <c r="AD363" s="31" t="n">
        <f aca="false">IF(I363="","",ROUND(100*(1-EXP(-I363/30)),0))</f>
        <v>0</v>
      </c>
      <c r="AE363" s="7" t="str">
        <f aca="false">IFERROR(INDEX('Stato Asta'!$G$9:$G$12,MATCH($B363,'Stato Asta'!$A$9:$A$12,0)),"")</f>
        <v>🟡 Attesa rischiosa</v>
      </c>
    </row>
    <row r="364" customFormat="false" ht="14.25" hidden="false" customHeight="true" outlineLevel="0" collapsed="false">
      <c r="A364" s="21" t="n">
        <v>7413</v>
      </c>
      <c r="B364" s="21" t="s">
        <v>44</v>
      </c>
      <c r="C364" s="21" t="s">
        <v>327</v>
      </c>
      <c r="E364" s="26" t="str">
        <f aca="false">IF(COUNTIF('Info Strategia'!$D$2:$D$51,$C364)&gt;0,"SI","NO")</f>
        <v>NO</v>
      </c>
      <c r="F364" s="27" t="n">
        <f aca="false">IFERROR(ROUND(($G364+($H364-$G364)*'Info Strategia'!$B$6)*(1+IF($E364="SI",'Parametri Modello'!$B$7*'Info Strategia'!$B$6,0)),0),"")</f>
        <v>1</v>
      </c>
      <c r="G364" s="27" t="n">
        <f aca="false">IFERROR(ROUND(MAX(1,(IF($V364&lt;=INDEX('Parametri Modello'!$C$57:$C$60,MATCH($B364,'Parametri Modello'!$A$57:$A$60,0)),IF(INDEX('Parametri Modello'!$E$57:$E$60,MATCH($B364,'Parametri Modello'!$A$57:$A$60,0))=0,0,($O364/INDEX('Parametri Modello'!$E$57:$E$60,MATCH($B364,'Parametri Modello'!$A$57:$A$60,0)))*(INDEX('Parametri Modello'!$D$57:$D$60,MATCH($B364,'Parametri Modello'!$A$57:$A$60,0))*(INDEX('Parametri Modello'!$B$50:$B$53,MATCH($B364,'Parametri Modello'!$A$50:$A$53,0))*'Parametri Modello'!$B$44))),IF(INDEX('Parametri Modello'!$F$57:$F$60,MATCH($B364,'Parametri Modello'!$A$57:$A$60,0))=0,0,($O364/INDEX('Parametri Modello'!$F$57:$F$60,MATCH($B364,'Parametri Modello'!$A$57:$A$60,0)))*((1-INDEX('Parametri Modello'!$D$57:$D$60,MATCH($B364,'Parametri Modello'!$A$57:$A$60,0)))*(INDEX('Parametri Modello'!$B$50:$B$53,MATCH($B364,'Parametri Modello'!$A$50:$A$53,0))*'Parametri Modello'!$B$44))))*(1+IF(IF($B364="D",'Info Lega'!$B$25,IF($B364="C",'Info Lega'!$B$26,"No"))="Si",'Parametri Modello'!$B$5,0))*(1+MAX(-0.25,MIN(0.25,IF(OR($T364="",$I364="",$I364=0,INDEX('Parametri Modello'!$B$19:$B$22,MATCH($B364,'Parametri Modello'!$A$19:$A$22,0))="",INDEX('Parametri Modello'!$B$19:$B$22,MATCH($B364,'Parametri Modello'!$A$19:$A$22,0))=0),0,(($T364-INDEX('Parametri Modello'!$B$19:$B$22,MATCH($B364,'Parametri Modello'!$A$19:$A$22,0)))/INDEX('Parametri Modello'!$B$19:$B$22,MATCH($B364,'Parametri Modello'!$A$19:$A$22,0)))*'Parametri Modello'!$B$9))))*(1+IF('Parametri Modello'!$B$27="Si",MAX(-'Parametri Modello'!$B$28,MIN('Parametri Modello'!$B$28*1.5,IF(OR(INDEX('Parametri Modello'!$F$32:$F$35,MATCH($B364,'Parametri Modello'!$A$32:$A$35,0))="",INDEX('Parametri Modello'!$F$32:$F$35,MATCH($B364,'Parametri Modello'!$A$32:$A$35,0))=0),0,(1/INDEX('Parametri Modello'!$F$32:$F$35,MATCH($B364,'Parametri Modello'!$A$32:$A$35,0))-1)*'Parametri Modello'!$B$28))),0)))*(1-INDEX('Parametri Modello'!$B$12:$B$15,MATCH($B364,'Parametri Modello'!$A$12:$A$15,0)))),0),"")</f>
        <v>1</v>
      </c>
      <c r="H364" s="27" t="n">
        <f aca="false">IFERROR(ROUND((IF($V364&lt;=INDEX('Parametri Modello'!$C$57:$C$60,MATCH($B364,'Parametri Modello'!$A$57:$A$60,0)),IF(INDEX('Parametri Modello'!$E$57:$E$60,MATCH($B364,'Parametri Modello'!$A$57:$A$60,0))=0,0,($O364/INDEX('Parametri Modello'!$E$57:$E$60,MATCH($B364,'Parametri Modello'!$A$57:$A$60,0)))*(INDEX('Parametri Modello'!$D$57:$D$60,MATCH($B364,'Parametri Modello'!$A$57:$A$60,0))*(INDEX('Parametri Modello'!$B$50:$B$53,MATCH($B364,'Parametri Modello'!$A$50:$A$53,0))*'Parametri Modello'!$B$44))),IF(INDEX('Parametri Modello'!$F$57:$F$60,MATCH($B364,'Parametri Modello'!$A$57:$A$60,0))=0,0,($O364/INDEX('Parametri Modello'!$F$57:$F$60,MATCH($B364,'Parametri Modello'!$A$57:$A$60,0)))*((1-INDEX('Parametri Modello'!$D$57:$D$60,MATCH($B364,'Parametri Modello'!$A$57:$A$60,0)))*(INDEX('Parametri Modello'!$B$50:$B$53,MATCH($B364,'Parametri Modello'!$A$50:$A$53,0))*'Parametri Modello'!$B$44))))*(1+IF(IF($B364="D",'Info Lega'!$B$25,IF($B364="C",'Info Lega'!$B$26,"No"))="Si",'Parametri Modello'!$B$5,0))*(1+MAX(-0.25,MIN(0.25,IF(OR($T364="",$I364="",$I364=0,INDEX('Parametri Modello'!$B$19:$B$22,MATCH($B364,'Parametri Modello'!$A$19:$A$22,0))="",INDEX('Parametri Modello'!$B$19:$B$22,MATCH($B364,'Parametri Modello'!$A$19:$A$22,0))=0),0,(($T364-INDEX('Parametri Modello'!$B$19:$B$22,MATCH($B364,'Parametri Modello'!$A$19:$A$22,0)))/INDEX('Parametri Modello'!$B$19:$B$22,MATCH($B364,'Parametri Modello'!$A$19:$A$22,0)))*'Parametri Modello'!$B$9))))*(1+IF('Parametri Modello'!$B$27="Si",MAX(-'Parametri Modello'!$B$28,MIN('Parametri Modello'!$B$28*1.5,IF(OR(INDEX('Parametri Modello'!$F$32:$F$35,MATCH($B364,'Parametri Modello'!$A$32:$A$35,0))="",INDEX('Parametri Modello'!$F$32:$F$35,MATCH($B364,'Parametri Modello'!$A$32:$A$35,0))=0),0,(1/INDEX('Parametri Modello'!$F$32:$F$35,MATCH($B364,'Parametri Modello'!$A$32:$A$35,0))-1)*'Parametri Modello'!$B$28))),0)))*(1+INDEX('Parametri Modello'!$B$12:$B$15,MATCH($B364,'Parametri Modello'!$A$12:$A$15,0))),0),"")</f>
        <v>1</v>
      </c>
      <c r="I364" s="26" t="str">
        <f aca="false">IFERROR(INDEX('Input Statistiche 2025_26'!$F$3:$F$665,MATCH($A364,'Input Statistiche 2025_26'!$A$3:$A$665,0)),"")</f>
        <v/>
      </c>
      <c r="J364" s="26" t="str">
        <f aca="false">IFERROR(IF($I364="","",MAX(0,38-$I364)),"")</f>
        <v/>
      </c>
      <c r="K364" s="26" t="str">
        <f aca="false">IFERROR(INDEX('Input Statistiche 2025_26'!$I$3:$I$665,MATCH($A364,'Input Statistiche 2025_26'!$A$3:$A$665,0)),"")</f>
        <v/>
      </c>
      <c r="L364" s="26" t="str">
        <f aca="false">IFERROR(INDEX('Input Statistiche 2025_26'!$O$3:$O$665,MATCH($A364,'Input Statistiche 2025_26'!$A$3:$A$665,0)),"")</f>
        <v/>
      </c>
      <c r="M364" s="28"/>
      <c r="N364" s="27" t="n">
        <f aca="false">IFERROR(INDEX('Input Giocatori 2026_27'!$E$3:$E$493,MATCH($A364,'Input Giocatori 2026_27'!$A$3:$A$493,0)),"")</f>
        <v>2</v>
      </c>
      <c r="O364" s="27" t="n">
        <f aca="false">IFERROR(INDEX('Input Giocatori 2026_27'!$G$3:$G$493,MATCH($A364,'Input Giocatori 2026_27'!$A$3:$A$493,0)),"")</f>
        <v>7</v>
      </c>
      <c r="P364" s="26" t="str">
        <f aca="false">IFERROR(IF($O364="","",IF((1-(COUNTIFS($B$2:$B$492,$B364,$O$2:$O$492,"&gt;"&amp;$O364)+1-1)/COUNTIF($B$2:$B$492,$B364))&gt;=0.85,"Top",IF((1-(COUNTIFS($B$2:$B$492,$B364,$O$2:$O$492,"&gt;"&amp;$O364)+1-1)/COUNTIF($B$2:$B$492,$B364))&gt;=0.6,"Buono",IF((1-(COUNTIFS($B$2:$B$492,$B364,$O$2:$O$492,"&gt;"&amp;$O364)+1-1)/COUNTIF($B$2:$B$492,$B364))&gt;=0.3,"Nella Media","Scommessa/Riserva")))),"")</f>
        <v>Scommessa/Riserva</v>
      </c>
      <c r="Q364" s="29" t="n">
        <f aca="false">IF($D364="",COUNTIF($D$2:$D364,""),"")</f>
        <v>363</v>
      </c>
      <c r="R364" s="29" t="str">
        <f aca="false">IF($D364='Info Lega'!$B$28,COUNTIFS($D$2:$D364,'Info Lega'!$B$28),"")</f>
        <v/>
      </c>
      <c r="S364" s="30" t="str">
        <f aca="false">IFERROR(INDEX('Input Statistiche 2025_26'!$G$3:$G$665,MATCH($A364,'Input Statistiche 2025_26'!$A$3:$A$665,0)),"")</f>
        <v/>
      </c>
      <c r="T364" s="30" t="str">
        <f aca="false">IFERROR(INDEX('Input Statistiche 2025_26'!$H$3:$H$665,MATCH($A364,'Input Statistiche 2025_26'!$A$3:$A$665,0)),"")</f>
        <v/>
      </c>
      <c r="U364" s="26" t="str">
        <f aca="false">IF(OR('La Mia Rosa'!$O$12="",$D364&lt;&gt;""),"",IF($F364&lt;='La Mia Rosa'!$O$12*'Parametri Modello'!$B$24,"OK",IF($F364&lt;='La Mia Rosa'!$O$12*'Parametri Modello'!$B$25,"Attenzione","Rischio Alto")))</f>
        <v>OK</v>
      </c>
      <c r="V364" s="26" t="n">
        <f aca="false">IFERROR(COUNTIFS($B$2:$B$492,$B364,$O$2:$O$492,"&gt;"&amp;$O364)+1,"")</f>
        <v>125</v>
      </c>
      <c r="W364" s="21" t="n">
        <f aca="false">'Info Lega'!$B$4-SUMIFS($M$2:$M$492,$D$2:$D$492,'Info Lega'!$B$28)</f>
        <v>1000</v>
      </c>
      <c r="X364" s="21" t="n">
        <f aca="false">('Info Lega'!$B$5-COUNTIFS($D$2:$D$492,'Info Lega'!$B$28,$B$2:$B$492,"P"))+('Info Lega'!$B$6-COUNTIFS($D$2:$D$492,'Info Lega'!$B$28,$B$2:$B$492,"D"))+('Info Lega'!$B$7-COUNTIFS($D$2:$D$492,'Info Lega'!$B$28,$B$2:$B$492,"C"))+('Info Lega'!$B$8-COUNTIFS($D$2:$D$492,'Info Lega'!$B$28,$B$2:$B$492,"A"))</f>
        <v>25</v>
      </c>
      <c r="Y364" s="21" t="n">
        <f aca="false">X364*'Parametri Modello'!$B$30</f>
        <v>25</v>
      </c>
      <c r="Z364" s="21" t="n">
        <f aca="false">MAX(0,W364-Y364)</f>
        <v>975</v>
      </c>
      <c r="AA364" s="21" t="n">
        <f aca="false">MIN(F364,Z364)</f>
        <v>1</v>
      </c>
      <c r="AB364" s="21"/>
      <c r="AC364" s="21" t="str">
        <f aca="false">IF(AB364="","",IF(AB364&gt;AA364,"PASS",IF(AB364&lt;=AA364*0.85,"BID","ATTENZIONE")))</f>
        <v/>
      </c>
      <c r="AD364" s="31" t="str">
        <f aca="false">IF(I364="","",ROUND(100*(1-EXP(-I364/30)),0))</f>
        <v/>
      </c>
      <c r="AE364" s="7" t="str">
        <f aca="false">IFERROR(INDEX('Stato Asta'!$G$9:$G$12,MATCH($B364,'Stato Asta'!$A$9:$A$12,0)),"")</f>
        <v>🟡 Attesa rischiosa</v>
      </c>
    </row>
    <row r="365" customFormat="false" ht="14.25" hidden="false" customHeight="true" outlineLevel="0" collapsed="false">
      <c r="A365" s="21" t="n">
        <v>6424</v>
      </c>
      <c r="B365" s="21" t="s">
        <v>45</v>
      </c>
      <c r="C365" s="21" t="s">
        <v>474</v>
      </c>
      <c r="E365" s="26" t="str">
        <f aca="false">IF(COUNTIF('Info Strategia'!$D$2:$D$51,$C365)&gt;0,"SI","NO")</f>
        <v>NO</v>
      </c>
      <c r="F365" s="27" t="n">
        <f aca="false">IFERROR(ROUND(($G365+($H365-$G365)*'Info Strategia'!$B$6)*(1+IF($E365="SI",'Parametri Modello'!$B$7*'Info Strategia'!$B$6,0)),0),"")</f>
        <v>1</v>
      </c>
      <c r="G365" s="27" t="n">
        <f aca="false">IFERROR(ROUND(MAX(1,(IF($V365&lt;=INDEX('Parametri Modello'!$C$57:$C$60,MATCH($B365,'Parametri Modello'!$A$57:$A$60,0)),IF(INDEX('Parametri Modello'!$E$57:$E$60,MATCH($B365,'Parametri Modello'!$A$57:$A$60,0))=0,0,($O365/INDEX('Parametri Modello'!$E$57:$E$60,MATCH($B365,'Parametri Modello'!$A$57:$A$60,0)))*(INDEX('Parametri Modello'!$D$57:$D$60,MATCH($B365,'Parametri Modello'!$A$57:$A$60,0))*(INDEX('Parametri Modello'!$B$50:$B$53,MATCH($B365,'Parametri Modello'!$A$50:$A$53,0))*'Parametri Modello'!$B$44))),IF(INDEX('Parametri Modello'!$F$57:$F$60,MATCH($B365,'Parametri Modello'!$A$57:$A$60,0))=0,0,($O365/INDEX('Parametri Modello'!$F$57:$F$60,MATCH($B365,'Parametri Modello'!$A$57:$A$60,0)))*((1-INDEX('Parametri Modello'!$D$57:$D$60,MATCH($B365,'Parametri Modello'!$A$57:$A$60,0)))*(INDEX('Parametri Modello'!$B$50:$B$53,MATCH($B365,'Parametri Modello'!$A$50:$A$53,0))*'Parametri Modello'!$B$44))))*(1+IF(IF($B365="D",'Info Lega'!$B$25,IF($B365="C",'Info Lega'!$B$26,"No"))="Si",'Parametri Modello'!$B$5,0))*(1+MAX(-0.25,MIN(0.25,IF(OR($T365="",$I365="",$I365=0,INDEX('Parametri Modello'!$B$19:$B$22,MATCH($B365,'Parametri Modello'!$A$19:$A$22,0))="",INDEX('Parametri Modello'!$B$19:$B$22,MATCH($B365,'Parametri Modello'!$A$19:$A$22,0))=0),0,(($T365-INDEX('Parametri Modello'!$B$19:$B$22,MATCH($B365,'Parametri Modello'!$A$19:$A$22,0)))/INDEX('Parametri Modello'!$B$19:$B$22,MATCH($B365,'Parametri Modello'!$A$19:$A$22,0)))*'Parametri Modello'!$B$9))))*(1+IF('Parametri Modello'!$B$27="Si",MAX(-'Parametri Modello'!$B$28,MIN('Parametri Modello'!$B$28*1.5,IF(OR(INDEX('Parametri Modello'!$F$32:$F$35,MATCH($B365,'Parametri Modello'!$A$32:$A$35,0))="",INDEX('Parametri Modello'!$F$32:$F$35,MATCH($B365,'Parametri Modello'!$A$32:$A$35,0))=0),0,(1/INDEX('Parametri Modello'!$F$32:$F$35,MATCH($B365,'Parametri Modello'!$A$32:$A$35,0))-1)*'Parametri Modello'!$B$28))),0)))*(1-INDEX('Parametri Modello'!$B$12:$B$15,MATCH($B365,'Parametri Modello'!$A$12:$A$15,0)))),0),"")</f>
        <v>1</v>
      </c>
      <c r="H365" s="27" t="n">
        <f aca="false">IFERROR(ROUND((IF($V365&lt;=INDEX('Parametri Modello'!$C$57:$C$60,MATCH($B365,'Parametri Modello'!$A$57:$A$60,0)),IF(INDEX('Parametri Modello'!$E$57:$E$60,MATCH($B365,'Parametri Modello'!$A$57:$A$60,0))=0,0,($O365/INDEX('Parametri Modello'!$E$57:$E$60,MATCH($B365,'Parametri Modello'!$A$57:$A$60,0)))*(INDEX('Parametri Modello'!$D$57:$D$60,MATCH($B365,'Parametri Modello'!$A$57:$A$60,0))*(INDEX('Parametri Modello'!$B$50:$B$53,MATCH($B365,'Parametri Modello'!$A$50:$A$53,0))*'Parametri Modello'!$B$44))),IF(INDEX('Parametri Modello'!$F$57:$F$60,MATCH($B365,'Parametri Modello'!$A$57:$A$60,0))=0,0,($O365/INDEX('Parametri Modello'!$F$57:$F$60,MATCH($B365,'Parametri Modello'!$A$57:$A$60,0)))*((1-INDEX('Parametri Modello'!$D$57:$D$60,MATCH($B365,'Parametri Modello'!$A$57:$A$60,0)))*(INDEX('Parametri Modello'!$B$50:$B$53,MATCH($B365,'Parametri Modello'!$A$50:$A$53,0))*'Parametri Modello'!$B$44))))*(1+IF(IF($B365="D",'Info Lega'!$B$25,IF($B365="C",'Info Lega'!$B$26,"No"))="Si",'Parametri Modello'!$B$5,0))*(1+MAX(-0.25,MIN(0.25,IF(OR($T365="",$I365="",$I365=0,INDEX('Parametri Modello'!$B$19:$B$22,MATCH($B365,'Parametri Modello'!$A$19:$A$22,0))="",INDEX('Parametri Modello'!$B$19:$B$22,MATCH($B365,'Parametri Modello'!$A$19:$A$22,0))=0),0,(($T365-INDEX('Parametri Modello'!$B$19:$B$22,MATCH($B365,'Parametri Modello'!$A$19:$A$22,0)))/INDEX('Parametri Modello'!$B$19:$B$22,MATCH($B365,'Parametri Modello'!$A$19:$A$22,0)))*'Parametri Modello'!$B$9))))*(1+IF('Parametri Modello'!$B$27="Si",MAX(-'Parametri Modello'!$B$28,MIN('Parametri Modello'!$B$28*1.5,IF(OR(INDEX('Parametri Modello'!$F$32:$F$35,MATCH($B365,'Parametri Modello'!$A$32:$A$35,0))="",INDEX('Parametri Modello'!$F$32:$F$35,MATCH($B365,'Parametri Modello'!$A$32:$A$35,0))=0),0,(1/INDEX('Parametri Modello'!$F$32:$F$35,MATCH($B365,'Parametri Modello'!$A$32:$A$35,0))-1)*'Parametri Modello'!$B$28))),0)))*(1+INDEX('Parametri Modello'!$B$12:$B$15,MATCH($B365,'Parametri Modello'!$A$12:$A$15,0))),0),"")</f>
        <v>1</v>
      </c>
      <c r="I365" s="26" t="n">
        <f aca="false">IFERROR(INDEX('Input Statistiche 2025_26'!$F$3:$F$665,MATCH($A365,'Input Statistiche 2025_26'!$A$3:$A$665,0)),"")</f>
        <v>32</v>
      </c>
      <c r="J365" s="26" t="n">
        <f aca="false">IFERROR(IF($I365="","",MAX(0,38-$I365)),"")</f>
        <v>6</v>
      </c>
      <c r="K365" s="26" t="n">
        <f aca="false">IFERROR(INDEX('Input Statistiche 2025_26'!$I$3:$I$665,MATCH($A365,'Input Statistiche 2025_26'!$A$3:$A$665,0)),"")</f>
        <v>1</v>
      </c>
      <c r="L365" s="26" t="n">
        <f aca="false">IFERROR(INDEX('Input Statistiche 2025_26'!$O$3:$O$665,MATCH($A365,'Input Statistiche 2025_26'!$A$3:$A$665,0)),"")</f>
        <v>0</v>
      </c>
      <c r="M365" s="28"/>
      <c r="N365" s="27" t="n">
        <f aca="false">IFERROR(INDEX('Input Giocatori 2026_27'!$E$3:$E$493,MATCH($A365,'Input Giocatori 2026_27'!$A$3:$A$493,0)),"")</f>
        <v>4</v>
      </c>
      <c r="O365" s="27" t="n">
        <f aca="false">IFERROR(INDEX('Input Giocatori 2026_27'!$G$3:$G$493,MATCH($A365,'Input Giocatori 2026_27'!$A$3:$A$493,0)),"")</f>
        <v>7</v>
      </c>
      <c r="P365" s="26" t="str">
        <f aca="false">IFERROR(IF($O365="","",IF((1-(COUNTIFS($B$2:$B$492,$B365,$O$2:$O$492,"&gt;"&amp;$O365)+1-1)/COUNTIF($B$2:$B$492,$B365))&gt;=0.85,"Top",IF((1-(COUNTIFS($B$2:$B$492,$B365,$O$2:$O$492,"&gt;"&amp;$O365)+1-1)/COUNTIF($B$2:$B$492,$B365))&gt;=0.6,"Buono",IF((1-(COUNTIFS($B$2:$B$492,$B365,$O$2:$O$492,"&gt;"&amp;$O365)+1-1)/COUNTIF($B$2:$B$492,$B365))&gt;=0.3,"Nella Media","Scommessa/Riserva")))),"")</f>
        <v>Scommessa/Riserva</v>
      </c>
      <c r="Q365" s="29" t="n">
        <f aca="false">IF($D365="",COUNTIF($D$2:$D365,""),"")</f>
        <v>364</v>
      </c>
      <c r="R365" s="29" t="str">
        <f aca="false">IF($D365='Info Lega'!$B$28,COUNTIFS($D$2:$D365,'Info Lega'!$B$28),"")</f>
        <v/>
      </c>
      <c r="S365" s="30" t="n">
        <f aca="false">IFERROR(INDEX('Input Statistiche 2025_26'!$G$3:$G$665,MATCH($A365,'Input Statistiche 2025_26'!$A$3:$A$665,0)),"")</f>
        <v>5.88</v>
      </c>
      <c r="T365" s="30" t="n">
        <f aca="false">IFERROR(INDEX('Input Statistiche 2025_26'!$H$3:$H$665,MATCH($A365,'Input Statistiche 2025_26'!$A$3:$A$665,0)),"")</f>
        <v>5.88</v>
      </c>
      <c r="U365" s="26" t="str">
        <f aca="false">IF(OR('La Mia Rosa'!$O$12="",$D365&lt;&gt;""),"",IF($F365&lt;='La Mia Rosa'!$O$12*'Parametri Modello'!$B$24,"OK",IF($F365&lt;='La Mia Rosa'!$O$12*'Parametri Modello'!$B$25,"Attenzione","Rischio Alto")))</f>
        <v>OK</v>
      </c>
      <c r="V365" s="26" t="n">
        <f aca="false">IFERROR(COUNTIFS($B$2:$B$492,$B365,$O$2:$O$492,"&gt;"&amp;$O365)+1,"")</f>
        <v>137</v>
      </c>
      <c r="W365" s="21" t="n">
        <f aca="false">'Info Lega'!$B$4-SUMIFS($M$2:$M$492,$D$2:$D$492,'Info Lega'!$B$28)</f>
        <v>1000</v>
      </c>
      <c r="X365" s="21" t="n">
        <f aca="false">('Info Lega'!$B$5-COUNTIFS($D$2:$D$492,'Info Lega'!$B$28,$B$2:$B$492,"P"))+('Info Lega'!$B$6-COUNTIFS($D$2:$D$492,'Info Lega'!$B$28,$B$2:$B$492,"D"))+('Info Lega'!$B$7-COUNTIFS($D$2:$D$492,'Info Lega'!$B$28,$B$2:$B$492,"C"))+('Info Lega'!$B$8-COUNTIFS($D$2:$D$492,'Info Lega'!$B$28,$B$2:$B$492,"A"))</f>
        <v>25</v>
      </c>
      <c r="Y365" s="21" t="n">
        <f aca="false">X365*'Parametri Modello'!$B$30</f>
        <v>25</v>
      </c>
      <c r="Z365" s="21" t="n">
        <f aca="false">MAX(0,W365-Y365)</f>
        <v>975</v>
      </c>
      <c r="AA365" s="21" t="n">
        <f aca="false">MIN(F365,Z365)</f>
        <v>1</v>
      </c>
      <c r="AB365" s="21"/>
      <c r="AC365" s="21" t="str">
        <f aca="false">IF(AB365="","",IF(AB365&gt;AA365,"PASS",IF(AB365&lt;=AA365*0.85,"BID","ATTENZIONE")))</f>
        <v/>
      </c>
      <c r="AD365" s="31" t="n">
        <f aca="false">IF(I365="","",ROUND(100*(1-EXP(-I365/30)),0))</f>
        <v>66</v>
      </c>
      <c r="AE365" s="7" t="str">
        <f aca="false">IFERROR(INDEX('Stato Asta'!$G$9:$G$12,MATCH($B365,'Stato Asta'!$A$9:$A$12,0)),"")</f>
        <v>🟡 Attesa rischiosa</v>
      </c>
    </row>
    <row r="366" customFormat="false" ht="14.25" hidden="false" customHeight="true" outlineLevel="0" collapsed="false">
      <c r="A366" s="21" t="n">
        <v>6024</v>
      </c>
      <c r="B366" s="21" t="s">
        <v>45</v>
      </c>
      <c r="C366" s="21" t="s">
        <v>492</v>
      </c>
      <c r="E366" s="26" t="str">
        <f aca="false">IF(COUNTIF('Info Strategia'!$D$2:$D$51,$C366)&gt;0,"SI","NO")</f>
        <v>NO</v>
      </c>
      <c r="F366" s="27" t="n">
        <f aca="false">IFERROR(ROUND(($G366+($H366-$G366)*'Info Strategia'!$B$6)*(1+IF($E366="SI",'Parametri Modello'!$B$7*'Info Strategia'!$B$6,0)),0),"")</f>
        <v>1</v>
      </c>
      <c r="G366" s="27" t="n">
        <f aca="false">IFERROR(ROUND(MAX(1,(IF($V366&lt;=INDEX('Parametri Modello'!$C$57:$C$60,MATCH($B366,'Parametri Modello'!$A$57:$A$60,0)),IF(INDEX('Parametri Modello'!$E$57:$E$60,MATCH($B366,'Parametri Modello'!$A$57:$A$60,0))=0,0,($O366/INDEX('Parametri Modello'!$E$57:$E$60,MATCH($B366,'Parametri Modello'!$A$57:$A$60,0)))*(INDEX('Parametri Modello'!$D$57:$D$60,MATCH($B366,'Parametri Modello'!$A$57:$A$60,0))*(INDEX('Parametri Modello'!$B$50:$B$53,MATCH($B366,'Parametri Modello'!$A$50:$A$53,0))*'Parametri Modello'!$B$44))),IF(INDEX('Parametri Modello'!$F$57:$F$60,MATCH($B366,'Parametri Modello'!$A$57:$A$60,0))=0,0,($O366/INDEX('Parametri Modello'!$F$57:$F$60,MATCH($B366,'Parametri Modello'!$A$57:$A$60,0)))*((1-INDEX('Parametri Modello'!$D$57:$D$60,MATCH($B366,'Parametri Modello'!$A$57:$A$60,0)))*(INDEX('Parametri Modello'!$B$50:$B$53,MATCH($B366,'Parametri Modello'!$A$50:$A$53,0))*'Parametri Modello'!$B$44))))*(1+IF(IF($B366="D",'Info Lega'!$B$25,IF($B366="C",'Info Lega'!$B$26,"No"))="Si",'Parametri Modello'!$B$5,0))*(1+MAX(-0.25,MIN(0.25,IF(OR($T366="",$I366="",$I366=0,INDEX('Parametri Modello'!$B$19:$B$22,MATCH($B366,'Parametri Modello'!$A$19:$A$22,0))="",INDEX('Parametri Modello'!$B$19:$B$22,MATCH($B366,'Parametri Modello'!$A$19:$A$22,0))=0),0,(($T366-INDEX('Parametri Modello'!$B$19:$B$22,MATCH($B366,'Parametri Modello'!$A$19:$A$22,0)))/INDEX('Parametri Modello'!$B$19:$B$22,MATCH($B366,'Parametri Modello'!$A$19:$A$22,0)))*'Parametri Modello'!$B$9))))*(1+IF('Parametri Modello'!$B$27="Si",MAX(-'Parametri Modello'!$B$28,MIN('Parametri Modello'!$B$28*1.5,IF(OR(INDEX('Parametri Modello'!$F$32:$F$35,MATCH($B366,'Parametri Modello'!$A$32:$A$35,0))="",INDEX('Parametri Modello'!$F$32:$F$35,MATCH($B366,'Parametri Modello'!$A$32:$A$35,0))=0),0,(1/INDEX('Parametri Modello'!$F$32:$F$35,MATCH($B366,'Parametri Modello'!$A$32:$A$35,0))-1)*'Parametri Modello'!$B$28))),0)))*(1-INDEX('Parametri Modello'!$B$12:$B$15,MATCH($B366,'Parametri Modello'!$A$12:$A$15,0)))),0),"")</f>
        <v>1</v>
      </c>
      <c r="H366" s="27" t="n">
        <f aca="false">IFERROR(ROUND((IF($V366&lt;=INDEX('Parametri Modello'!$C$57:$C$60,MATCH($B366,'Parametri Modello'!$A$57:$A$60,0)),IF(INDEX('Parametri Modello'!$E$57:$E$60,MATCH($B366,'Parametri Modello'!$A$57:$A$60,0))=0,0,($O366/INDEX('Parametri Modello'!$E$57:$E$60,MATCH($B366,'Parametri Modello'!$A$57:$A$60,0)))*(INDEX('Parametri Modello'!$D$57:$D$60,MATCH($B366,'Parametri Modello'!$A$57:$A$60,0))*(INDEX('Parametri Modello'!$B$50:$B$53,MATCH($B366,'Parametri Modello'!$A$50:$A$53,0))*'Parametri Modello'!$B$44))),IF(INDEX('Parametri Modello'!$F$57:$F$60,MATCH($B366,'Parametri Modello'!$A$57:$A$60,0))=0,0,($O366/INDEX('Parametri Modello'!$F$57:$F$60,MATCH($B366,'Parametri Modello'!$A$57:$A$60,0)))*((1-INDEX('Parametri Modello'!$D$57:$D$60,MATCH($B366,'Parametri Modello'!$A$57:$A$60,0)))*(INDEX('Parametri Modello'!$B$50:$B$53,MATCH($B366,'Parametri Modello'!$A$50:$A$53,0))*'Parametri Modello'!$B$44))))*(1+IF(IF($B366="D",'Info Lega'!$B$25,IF($B366="C",'Info Lega'!$B$26,"No"))="Si",'Parametri Modello'!$B$5,0))*(1+MAX(-0.25,MIN(0.25,IF(OR($T366="",$I366="",$I366=0,INDEX('Parametri Modello'!$B$19:$B$22,MATCH($B366,'Parametri Modello'!$A$19:$A$22,0))="",INDEX('Parametri Modello'!$B$19:$B$22,MATCH($B366,'Parametri Modello'!$A$19:$A$22,0))=0),0,(($T366-INDEX('Parametri Modello'!$B$19:$B$22,MATCH($B366,'Parametri Modello'!$A$19:$A$22,0)))/INDEX('Parametri Modello'!$B$19:$B$22,MATCH($B366,'Parametri Modello'!$A$19:$A$22,0)))*'Parametri Modello'!$B$9))))*(1+IF('Parametri Modello'!$B$27="Si",MAX(-'Parametri Modello'!$B$28,MIN('Parametri Modello'!$B$28*1.5,IF(OR(INDEX('Parametri Modello'!$F$32:$F$35,MATCH($B366,'Parametri Modello'!$A$32:$A$35,0))="",INDEX('Parametri Modello'!$F$32:$F$35,MATCH($B366,'Parametri Modello'!$A$32:$A$35,0))=0),0,(1/INDEX('Parametri Modello'!$F$32:$F$35,MATCH($B366,'Parametri Modello'!$A$32:$A$35,0))-1)*'Parametri Modello'!$B$28))),0)))*(1+INDEX('Parametri Modello'!$B$12:$B$15,MATCH($B366,'Parametri Modello'!$A$12:$A$15,0))),0),"")</f>
        <v>1</v>
      </c>
      <c r="I366" s="26" t="n">
        <f aca="false">IFERROR(INDEX('Input Statistiche 2025_26'!$F$3:$F$665,MATCH($A366,'Input Statistiche 2025_26'!$A$3:$A$665,0)),"")</f>
        <v>18</v>
      </c>
      <c r="J366" s="26" t="n">
        <f aca="false">IFERROR(IF($I366="","",MAX(0,38-$I366)),"")</f>
        <v>20</v>
      </c>
      <c r="K366" s="26" t="n">
        <f aca="false">IFERROR(INDEX('Input Statistiche 2025_26'!$I$3:$I$665,MATCH($A366,'Input Statistiche 2025_26'!$A$3:$A$665,0)),"")</f>
        <v>1</v>
      </c>
      <c r="L366" s="26" t="n">
        <f aca="false">IFERROR(INDEX('Input Statistiche 2025_26'!$O$3:$O$665,MATCH($A366,'Input Statistiche 2025_26'!$A$3:$A$665,0)),"")</f>
        <v>0</v>
      </c>
      <c r="M366" s="28"/>
      <c r="N366" s="27" t="n">
        <f aca="false">IFERROR(INDEX('Input Giocatori 2026_27'!$E$3:$E$493,MATCH($A366,'Input Giocatori 2026_27'!$A$3:$A$493,0)),"")</f>
        <v>3</v>
      </c>
      <c r="O366" s="27" t="n">
        <f aca="false">IFERROR(INDEX('Input Giocatori 2026_27'!$G$3:$G$493,MATCH($A366,'Input Giocatori 2026_27'!$A$3:$A$493,0)),"")</f>
        <v>7</v>
      </c>
      <c r="P366" s="26" t="str">
        <f aca="false">IFERROR(IF($O366="","",IF((1-(COUNTIFS($B$2:$B$492,$B366,$O$2:$O$492,"&gt;"&amp;$O366)+1-1)/COUNTIF($B$2:$B$492,$B366))&gt;=0.85,"Top",IF((1-(COUNTIFS($B$2:$B$492,$B366,$O$2:$O$492,"&gt;"&amp;$O366)+1-1)/COUNTIF($B$2:$B$492,$B366))&gt;=0.6,"Buono",IF((1-(COUNTIFS($B$2:$B$492,$B366,$O$2:$O$492,"&gt;"&amp;$O366)+1-1)/COUNTIF($B$2:$B$492,$B366))&gt;=0.3,"Nella Media","Scommessa/Riserva")))),"")</f>
        <v>Scommessa/Riserva</v>
      </c>
      <c r="Q366" s="29" t="n">
        <f aca="false">IF($D366="",COUNTIF($D$2:$D366,""),"")</f>
        <v>365</v>
      </c>
      <c r="R366" s="29" t="str">
        <f aca="false">IF($D366='Info Lega'!$B$28,COUNTIFS($D$2:$D366,'Info Lega'!$B$28),"")</f>
        <v/>
      </c>
      <c r="S366" s="30" t="n">
        <f aca="false">IFERROR(INDEX('Input Statistiche 2025_26'!$G$3:$G$665,MATCH($A366,'Input Statistiche 2025_26'!$A$3:$A$665,0)),"")</f>
        <v>5.69</v>
      </c>
      <c r="T366" s="30" t="n">
        <f aca="false">IFERROR(INDEX('Input Statistiche 2025_26'!$H$3:$H$665,MATCH($A366,'Input Statistiche 2025_26'!$A$3:$A$665,0)),"")</f>
        <v>5.78</v>
      </c>
      <c r="U366" s="26" t="str">
        <f aca="false">IF(OR('La Mia Rosa'!$O$12="",$D366&lt;&gt;""),"",IF($F366&lt;='La Mia Rosa'!$O$12*'Parametri Modello'!$B$24,"OK",IF($F366&lt;='La Mia Rosa'!$O$12*'Parametri Modello'!$B$25,"Attenzione","Rischio Alto")))</f>
        <v>OK</v>
      </c>
      <c r="V366" s="26" t="n">
        <f aca="false">IFERROR(COUNTIFS($B$2:$B$492,$B366,$O$2:$O$492,"&gt;"&amp;$O366)+1,"")</f>
        <v>137</v>
      </c>
      <c r="W366" s="21" t="n">
        <f aca="false">'Info Lega'!$B$4-SUMIFS($M$2:$M$492,$D$2:$D$492,'Info Lega'!$B$28)</f>
        <v>1000</v>
      </c>
      <c r="X366" s="21" t="n">
        <f aca="false">('Info Lega'!$B$5-COUNTIFS($D$2:$D$492,'Info Lega'!$B$28,$B$2:$B$492,"P"))+('Info Lega'!$B$6-COUNTIFS($D$2:$D$492,'Info Lega'!$B$28,$B$2:$B$492,"D"))+('Info Lega'!$B$7-COUNTIFS($D$2:$D$492,'Info Lega'!$B$28,$B$2:$B$492,"C"))+('Info Lega'!$B$8-COUNTIFS($D$2:$D$492,'Info Lega'!$B$28,$B$2:$B$492,"A"))</f>
        <v>25</v>
      </c>
      <c r="Y366" s="21" t="n">
        <f aca="false">X366*'Parametri Modello'!$B$30</f>
        <v>25</v>
      </c>
      <c r="Z366" s="21" t="n">
        <f aca="false">MAX(0,W366-Y366)</f>
        <v>975</v>
      </c>
      <c r="AA366" s="21" t="n">
        <f aca="false">MIN(F366,Z366)</f>
        <v>1</v>
      </c>
      <c r="AB366" s="21"/>
      <c r="AC366" s="21" t="str">
        <f aca="false">IF(AB366="","",IF(AB366&gt;AA366,"PASS",IF(AB366&lt;=AA366*0.85,"BID","ATTENZIONE")))</f>
        <v/>
      </c>
      <c r="AD366" s="31" t="n">
        <f aca="false">IF(I366="","",ROUND(100*(1-EXP(-I366/30)),0))</f>
        <v>45</v>
      </c>
      <c r="AE366" s="7" t="str">
        <f aca="false">IFERROR(INDEX('Stato Asta'!$G$9:$G$12,MATCH($B366,'Stato Asta'!$A$9:$A$12,0)),"")</f>
        <v>🟡 Attesa rischiosa</v>
      </c>
    </row>
    <row r="367" customFormat="false" ht="14.25" hidden="false" customHeight="true" outlineLevel="0" collapsed="false">
      <c r="A367" s="21" t="n">
        <v>4947</v>
      </c>
      <c r="B367" s="21" t="s">
        <v>45</v>
      </c>
      <c r="C367" s="21" t="s">
        <v>495</v>
      </c>
      <c r="E367" s="26" t="str">
        <f aca="false">IF(COUNTIF('Info Strategia'!$D$2:$D$51,$C367)&gt;0,"SI","NO")</f>
        <v>NO</v>
      </c>
      <c r="F367" s="27" t="n">
        <f aca="false">IFERROR(ROUND(($G367+($H367-$G367)*'Info Strategia'!$B$6)*(1+IF($E367="SI",'Parametri Modello'!$B$7*'Info Strategia'!$B$6,0)),0),"")</f>
        <v>1</v>
      </c>
      <c r="G367" s="27" t="n">
        <f aca="false">IFERROR(ROUND(MAX(1,(IF($V367&lt;=INDEX('Parametri Modello'!$C$57:$C$60,MATCH($B367,'Parametri Modello'!$A$57:$A$60,0)),IF(INDEX('Parametri Modello'!$E$57:$E$60,MATCH($B367,'Parametri Modello'!$A$57:$A$60,0))=0,0,($O367/INDEX('Parametri Modello'!$E$57:$E$60,MATCH($B367,'Parametri Modello'!$A$57:$A$60,0)))*(INDEX('Parametri Modello'!$D$57:$D$60,MATCH($B367,'Parametri Modello'!$A$57:$A$60,0))*(INDEX('Parametri Modello'!$B$50:$B$53,MATCH($B367,'Parametri Modello'!$A$50:$A$53,0))*'Parametri Modello'!$B$44))),IF(INDEX('Parametri Modello'!$F$57:$F$60,MATCH($B367,'Parametri Modello'!$A$57:$A$60,0))=0,0,($O367/INDEX('Parametri Modello'!$F$57:$F$60,MATCH($B367,'Parametri Modello'!$A$57:$A$60,0)))*((1-INDEX('Parametri Modello'!$D$57:$D$60,MATCH($B367,'Parametri Modello'!$A$57:$A$60,0)))*(INDEX('Parametri Modello'!$B$50:$B$53,MATCH($B367,'Parametri Modello'!$A$50:$A$53,0))*'Parametri Modello'!$B$44))))*(1+IF(IF($B367="D",'Info Lega'!$B$25,IF($B367="C",'Info Lega'!$B$26,"No"))="Si",'Parametri Modello'!$B$5,0))*(1+MAX(-0.25,MIN(0.25,IF(OR($T367="",$I367="",$I367=0,INDEX('Parametri Modello'!$B$19:$B$22,MATCH($B367,'Parametri Modello'!$A$19:$A$22,0))="",INDEX('Parametri Modello'!$B$19:$B$22,MATCH($B367,'Parametri Modello'!$A$19:$A$22,0))=0),0,(($T367-INDEX('Parametri Modello'!$B$19:$B$22,MATCH($B367,'Parametri Modello'!$A$19:$A$22,0)))/INDEX('Parametri Modello'!$B$19:$B$22,MATCH($B367,'Parametri Modello'!$A$19:$A$22,0)))*'Parametri Modello'!$B$9))))*(1+IF('Parametri Modello'!$B$27="Si",MAX(-'Parametri Modello'!$B$28,MIN('Parametri Modello'!$B$28*1.5,IF(OR(INDEX('Parametri Modello'!$F$32:$F$35,MATCH($B367,'Parametri Modello'!$A$32:$A$35,0))="",INDEX('Parametri Modello'!$F$32:$F$35,MATCH($B367,'Parametri Modello'!$A$32:$A$35,0))=0),0,(1/INDEX('Parametri Modello'!$F$32:$F$35,MATCH($B367,'Parametri Modello'!$A$32:$A$35,0))-1)*'Parametri Modello'!$B$28))),0)))*(1-INDEX('Parametri Modello'!$B$12:$B$15,MATCH($B367,'Parametri Modello'!$A$12:$A$15,0)))),0),"")</f>
        <v>1</v>
      </c>
      <c r="H367" s="27" t="n">
        <f aca="false">IFERROR(ROUND((IF($V367&lt;=INDEX('Parametri Modello'!$C$57:$C$60,MATCH($B367,'Parametri Modello'!$A$57:$A$60,0)),IF(INDEX('Parametri Modello'!$E$57:$E$60,MATCH($B367,'Parametri Modello'!$A$57:$A$60,0))=0,0,($O367/INDEX('Parametri Modello'!$E$57:$E$60,MATCH($B367,'Parametri Modello'!$A$57:$A$60,0)))*(INDEX('Parametri Modello'!$D$57:$D$60,MATCH($B367,'Parametri Modello'!$A$57:$A$60,0))*(INDEX('Parametri Modello'!$B$50:$B$53,MATCH($B367,'Parametri Modello'!$A$50:$A$53,0))*'Parametri Modello'!$B$44))),IF(INDEX('Parametri Modello'!$F$57:$F$60,MATCH($B367,'Parametri Modello'!$A$57:$A$60,0))=0,0,($O367/INDEX('Parametri Modello'!$F$57:$F$60,MATCH($B367,'Parametri Modello'!$A$57:$A$60,0)))*((1-INDEX('Parametri Modello'!$D$57:$D$60,MATCH($B367,'Parametri Modello'!$A$57:$A$60,0)))*(INDEX('Parametri Modello'!$B$50:$B$53,MATCH($B367,'Parametri Modello'!$A$50:$A$53,0))*'Parametri Modello'!$B$44))))*(1+IF(IF($B367="D",'Info Lega'!$B$25,IF($B367="C",'Info Lega'!$B$26,"No"))="Si",'Parametri Modello'!$B$5,0))*(1+MAX(-0.25,MIN(0.25,IF(OR($T367="",$I367="",$I367=0,INDEX('Parametri Modello'!$B$19:$B$22,MATCH($B367,'Parametri Modello'!$A$19:$A$22,0))="",INDEX('Parametri Modello'!$B$19:$B$22,MATCH($B367,'Parametri Modello'!$A$19:$A$22,0))=0),0,(($T367-INDEX('Parametri Modello'!$B$19:$B$22,MATCH($B367,'Parametri Modello'!$A$19:$A$22,0)))/INDEX('Parametri Modello'!$B$19:$B$22,MATCH($B367,'Parametri Modello'!$A$19:$A$22,0)))*'Parametri Modello'!$B$9))))*(1+IF('Parametri Modello'!$B$27="Si",MAX(-'Parametri Modello'!$B$28,MIN('Parametri Modello'!$B$28*1.5,IF(OR(INDEX('Parametri Modello'!$F$32:$F$35,MATCH($B367,'Parametri Modello'!$A$32:$A$35,0))="",INDEX('Parametri Modello'!$F$32:$F$35,MATCH($B367,'Parametri Modello'!$A$32:$A$35,0))=0),0,(1/INDEX('Parametri Modello'!$F$32:$F$35,MATCH($B367,'Parametri Modello'!$A$32:$A$35,0))-1)*'Parametri Modello'!$B$28))),0)))*(1+INDEX('Parametri Modello'!$B$12:$B$15,MATCH($B367,'Parametri Modello'!$A$12:$A$15,0))),0),"")</f>
        <v>1</v>
      </c>
      <c r="I367" s="26" t="n">
        <f aca="false">IFERROR(INDEX('Input Statistiche 2025_26'!$F$3:$F$665,MATCH($A367,'Input Statistiche 2025_26'!$A$3:$A$665,0)),"")</f>
        <v>18</v>
      </c>
      <c r="J367" s="26" t="n">
        <f aca="false">IFERROR(IF($I367="","",MAX(0,38-$I367)),"")</f>
        <v>20</v>
      </c>
      <c r="K367" s="26" t="n">
        <f aca="false">IFERROR(INDEX('Input Statistiche 2025_26'!$I$3:$I$665,MATCH($A367,'Input Statistiche 2025_26'!$A$3:$A$665,0)),"")</f>
        <v>2</v>
      </c>
      <c r="L367" s="26" t="n">
        <f aca="false">IFERROR(INDEX('Input Statistiche 2025_26'!$O$3:$O$665,MATCH($A367,'Input Statistiche 2025_26'!$A$3:$A$665,0)),"")</f>
        <v>1</v>
      </c>
      <c r="M367" s="28"/>
      <c r="N367" s="27" t="n">
        <f aca="false">IFERROR(INDEX('Input Giocatori 2026_27'!$E$3:$E$493,MATCH($A367,'Input Giocatori 2026_27'!$A$3:$A$493,0)),"")</f>
        <v>3</v>
      </c>
      <c r="O367" s="27" t="n">
        <f aca="false">IFERROR(INDEX('Input Giocatori 2026_27'!$G$3:$G$493,MATCH($A367,'Input Giocatori 2026_27'!$A$3:$A$493,0)),"")</f>
        <v>7</v>
      </c>
      <c r="P367" s="26" t="str">
        <f aca="false">IFERROR(IF($O367="","",IF((1-(COUNTIFS($B$2:$B$492,$B367,$O$2:$O$492,"&gt;"&amp;$O367)+1-1)/COUNTIF($B$2:$B$492,$B367))&gt;=0.85,"Top",IF((1-(COUNTIFS($B$2:$B$492,$B367,$O$2:$O$492,"&gt;"&amp;$O367)+1-1)/COUNTIF($B$2:$B$492,$B367))&gt;=0.6,"Buono",IF((1-(COUNTIFS($B$2:$B$492,$B367,$O$2:$O$492,"&gt;"&amp;$O367)+1-1)/COUNTIF($B$2:$B$492,$B367))&gt;=0.3,"Nella Media","Scommessa/Riserva")))),"")</f>
        <v>Scommessa/Riserva</v>
      </c>
      <c r="Q367" s="29" t="n">
        <f aca="false">IF($D367="",COUNTIF($D$2:$D367,""),"")</f>
        <v>366</v>
      </c>
      <c r="R367" s="29" t="str">
        <f aca="false">IF($D367='Info Lega'!$B$28,COUNTIFS($D$2:$D367,'Info Lega'!$B$28),"")</f>
        <v/>
      </c>
      <c r="S367" s="30" t="n">
        <f aca="false">IFERROR(INDEX('Input Statistiche 2025_26'!$G$3:$G$665,MATCH($A367,'Input Statistiche 2025_26'!$A$3:$A$665,0)),"")</f>
        <v>5.97</v>
      </c>
      <c r="T367" s="30" t="n">
        <f aca="false">IFERROR(INDEX('Input Statistiche 2025_26'!$H$3:$H$665,MATCH($A367,'Input Statistiche 2025_26'!$A$3:$A$665,0)),"")</f>
        <v>6.31</v>
      </c>
      <c r="U367" s="26" t="str">
        <f aca="false">IF(OR('La Mia Rosa'!$O$12="",$D367&lt;&gt;""),"",IF($F367&lt;='La Mia Rosa'!$O$12*'Parametri Modello'!$B$24,"OK",IF($F367&lt;='La Mia Rosa'!$O$12*'Parametri Modello'!$B$25,"Attenzione","Rischio Alto")))</f>
        <v>OK</v>
      </c>
      <c r="V367" s="26" t="n">
        <f aca="false">IFERROR(COUNTIFS($B$2:$B$492,$B367,$O$2:$O$492,"&gt;"&amp;$O367)+1,"")</f>
        <v>137</v>
      </c>
      <c r="W367" s="21" t="n">
        <f aca="false">'Info Lega'!$B$4-SUMIFS($M$2:$M$492,$D$2:$D$492,'Info Lega'!$B$28)</f>
        <v>1000</v>
      </c>
      <c r="X367" s="21" t="n">
        <f aca="false">('Info Lega'!$B$5-COUNTIFS($D$2:$D$492,'Info Lega'!$B$28,$B$2:$B$492,"P"))+('Info Lega'!$B$6-COUNTIFS($D$2:$D$492,'Info Lega'!$B$28,$B$2:$B$492,"D"))+('Info Lega'!$B$7-COUNTIFS($D$2:$D$492,'Info Lega'!$B$28,$B$2:$B$492,"C"))+('Info Lega'!$B$8-COUNTIFS($D$2:$D$492,'Info Lega'!$B$28,$B$2:$B$492,"A"))</f>
        <v>25</v>
      </c>
      <c r="Y367" s="21" t="n">
        <f aca="false">X367*'Parametri Modello'!$B$30</f>
        <v>25</v>
      </c>
      <c r="Z367" s="21" t="n">
        <f aca="false">MAX(0,W367-Y367)</f>
        <v>975</v>
      </c>
      <c r="AA367" s="21" t="n">
        <f aca="false">MIN(F367,Z367)</f>
        <v>1</v>
      </c>
      <c r="AB367" s="21"/>
      <c r="AC367" s="21" t="str">
        <f aca="false">IF(AB367="","",IF(AB367&gt;AA367,"PASS",IF(AB367&lt;=AA367*0.85,"BID","ATTENZIONE")))</f>
        <v/>
      </c>
      <c r="AD367" s="31" t="n">
        <f aca="false">IF(I367="","",ROUND(100*(1-EXP(-I367/30)),0))</f>
        <v>45</v>
      </c>
      <c r="AE367" s="7" t="str">
        <f aca="false">IFERROR(INDEX('Stato Asta'!$G$9:$G$12,MATCH($B367,'Stato Asta'!$A$9:$A$12,0)),"")</f>
        <v>🟡 Attesa rischiosa</v>
      </c>
    </row>
    <row r="368" customFormat="false" ht="14.25" hidden="false" customHeight="true" outlineLevel="0" collapsed="false">
      <c r="A368" s="21" t="n">
        <v>7477</v>
      </c>
      <c r="B368" s="21" t="s">
        <v>45</v>
      </c>
      <c r="C368" s="21" t="s">
        <v>501</v>
      </c>
      <c r="E368" s="26" t="str">
        <f aca="false">IF(COUNTIF('Info Strategia'!$D$2:$D$51,$C368)&gt;0,"SI","NO")</f>
        <v>NO</v>
      </c>
      <c r="F368" s="27" t="n">
        <f aca="false">IFERROR(ROUND(($G368+($H368-$G368)*'Info Strategia'!$B$6)*(1+IF($E368="SI",'Parametri Modello'!$B$7*'Info Strategia'!$B$6,0)),0),"")</f>
        <v>1</v>
      </c>
      <c r="G368" s="27" t="n">
        <f aca="false">IFERROR(ROUND(MAX(1,(IF($V368&lt;=INDEX('Parametri Modello'!$C$57:$C$60,MATCH($B368,'Parametri Modello'!$A$57:$A$60,0)),IF(INDEX('Parametri Modello'!$E$57:$E$60,MATCH($B368,'Parametri Modello'!$A$57:$A$60,0))=0,0,($O368/INDEX('Parametri Modello'!$E$57:$E$60,MATCH($B368,'Parametri Modello'!$A$57:$A$60,0)))*(INDEX('Parametri Modello'!$D$57:$D$60,MATCH($B368,'Parametri Modello'!$A$57:$A$60,0))*(INDEX('Parametri Modello'!$B$50:$B$53,MATCH($B368,'Parametri Modello'!$A$50:$A$53,0))*'Parametri Modello'!$B$44))),IF(INDEX('Parametri Modello'!$F$57:$F$60,MATCH($B368,'Parametri Modello'!$A$57:$A$60,0))=0,0,($O368/INDEX('Parametri Modello'!$F$57:$F$60,MATCH($B368,'Parametri Modello'!$A$57:$A$60,0)))*((1-INDEX('Parametri Modello'!$D$57:$D$60,MATCH($B368,'Parametri Modello'!$A$57:$A$60,0)))*(INDEX('Parametri Modello'!$B$50:$B$53,MATCH($B368,'Parametri Modello'!$A$50:$A$53,0))*'Parametri Modello'!$B$44))))*(1+IF(IF($B368="D",'Info Lega'!$B$25,IF($B368="C",'Info Lega'!$B$26,"No"))="Si",'Parametri Modello'!$B$5,0))*(1+MAX(-0.25,MIN(0.25,IF(OR($T368="",$I368="",$I368=0,INDEX('Parametri Modello'!$B$19:$B$22,MATCH($B368,'Parametri Modello'!$A$19:$A$22,0))="",INDEX('Parametri Modello'!$B$19:$B$22,MATCH($B368,'Parametri Modello'!$A$19:$A$22,0))=0),0,(($T368-INDEX('Parametri Modello'!$B$19:$B$22,MATCH($B368,'Parametri Modello'!$A$19:$A$22,0)))/INDEX('Parametri Modello'!$B$19:$B$22,MATCH($B368,'Parametri Modello'!$A$19:$A$22,0)))*'Parametri Modello'!$B$9))))*(1+IF('Parametri Modello'!$B$27="Si",MAX(-'Parametri Modello'!$B$28,MIN('Parametri Modello'!$B$28*1.5,IF(OR(INDEX('Parametri Modello'!$F$32:$F$35,MATCH($B368,'Parametri Modello'!$A$32:$A$35,0))="",INDEX('Parametri Modello'!$F$32:$F$35,MATCH($B368,'Parametri Modello'!$A$32:$A$35,0))=0),0,(1/INDEX('Parametri Modello'!$F$32:$F$35,MATCH($B368,'Parametri Modello'!$A$32:$A$35,0))-1)*'Parametri Modello'!$B$28))),0)))*(1-INDEX('Parametri Modello'!$B$12:$B$15,MATCH($B368,'Parametri Modello'!$A$12:$A$15,0)))),0),"")</f>
        <v>1</v>
      </c>
      <c r="H368" s="27" t="n">
        <f aca="false">IFERROR(ROUND((IF($V368&lt;=INDEX('Parametri Modello'!$C$57:$C$60,MATCH($B368,'Parametri Modello'!$A$57:$A$60,0)),IF(INDEX('Parametri Modello'!$E$57:$E$60,MATCH($B368,'Parametri Modello'!$A$57:$A$60,0))=0,0,($O368/INDEX('Parametri Modello'!$E$57:$E$60,MATCH($B368,'Parametri Modello'!$A$57:$A$60,0)))*(INDEX('Parametri Modello'!$D$57:$D$60,MATCH($B368,'Parametri Modello'!$A$57:$A$60,0))*(INDEX('Parametri Modello'!$B$50:$B$53,MATCH($B368,'Parametri Modello'!$A$50:$A$53,0))*'Parametri Modello'!$B$44))),IF(INDEX('Parametri Modello'!$F$57:$F$60,MATCH($B368,'Parametri Modello'!$A$57:$A$60,0))=0,0,($O368/INDEX('Parametri Modello'!$F$57:$F$60,MATCH($B368,'Parametri Modello'!$A$57:$A$60,0)))*((1-INDEX('Parametri Modello'!$D$57:$D$60,MATCH($B368,'Parametri Modello'!$A$57:$A$60,0)))*(INDEX('Parametri Modello'!$B$50:$B$53,MATCH($B368,'Parametri Modello'!$A$50:$A$53,0))*'Parametri Modello'!$B$44))))*(1+IF(IF($B368="D",'Info Lega'!$B$25,IF($B368="C",'Info Lega'!$B$26,"No"))="Si",'Parametri Modello'!$B$5,0))*(1+MAX(-0.25,MIN(0.25,IF(OR($T368="",$I368="",$I368=0,INDEX('Parametri Modello'!$B$19:$B$22,MATCH($B368,'Parametri Modello'!$A$19:$A$22,0))="",INDEX('Parametri Modello'!$B$19:$B$22,MATCH($B368,'Parametri Modello'!$A$19:$A$22,0))=0),0,(($T368-INDEX('Parametri Modello'!$B$19:$B$22,MATCH($B368,'Parametri Modello'!$A$19:$A$22,0)))/INDEX('Parametri Modello'!$B$19:$B$22,MATCH($B368,'Parametri Modello'!$A$19:$A$22,0)))*'Parametri Modello'!$B$9))))*(1+IF('Parametri Modello'!$B$27="Si",MAX(-'Parametri Modello'!$B$28,MIN('Parametri Modello'!$B$28*1.5,IF(OR(INDEX('Parametri Modello'!$F$32:$F$35,MATCH($B368,'Parametri Modello'!$A$32:$A$35,0))="",INDEX('Parametri Modello'!$F$32:$F$35,MATCH($B368,'Parametri Modello'!$A$32:$A$35,0))=0),0,(1/INDEX('Parametri Modello'!$F$32:$F$35,MATCH($B368,'Parametri Modello'!$A$32:$A$35,0))-1)*'Parametri Modello'!$B$28))),0)))*(1+INDEX('Parametri Modello'!$B$12:$B$15,MATCH($B368,'Parametri Modello'!$A$12:$A$15,0))),0),"")</f>
        <v>1</v>
      </c>
      <c r="I368" s="26" t="str">
        <f aca="false">IFERROR(INDEX('Input Statistiche 2025_26'!$F$3:$F$665,MATCH($A368,'Input Statistiche 2025_26'!$A$3:$A$665,0)),"")</f>
        <v/>
      </c>
      <c r="J368" s="26" t="str">
        <f aca="false">IFERROR(IF($I368="","",MAX(0,38-$I368)),"")</f>
        <v/>
      </c>
      <c r="K368" s="26" t="str">
        <f aca="false">IFERROR(INDEX('Input Statistiche 2025_26'!$I$3:$I$665,MATCH($A368,'Input Statistiche 2025_26'!$A$3:$A$665,0)),"")</f>
        <v/>
      </c>
      <c r="L368" s="26" t="str">
        <f aca="false">IFERROR(INDEX('Input Statistiche 2025_26'!$O$3:$O$665,MATCH($A368,'Input Statistiche 2025_26'!$A$3:$A$665,0)),"")</f>
        <v/>
      </c>
      <c r="M368" s="28"/>
      <c r="N368" s="27" t="n">
        <f aca="false">IFERROR(INDEX('Input Giocatori 2026_27'!$E$3:$E$493,MATCH($A368,'Input Giocatori 2026_27'!$A$3:$A$493,0)),"")</f>
        <v>3</v>
      </c>
      <c r="O368" s="27" t="n">
        <f aca="false">IFERROR(INDEX('Input Giocatori 2026_27'!$G$3:$G$493,MATCH($A368,'Input Giocatori 2026_27'!$A$3:$A$493,0)),"")</f>
        <v>7</v>
      </c>
      <c r="P368" s="26" t="str">
        <f aca="false">IFERROR(IF($O368="","",IF((1-(COUNTIFS($B$2:$B$492,$B368,$O$2:$O$492,"&gt;"&amp;$O368)+1-1)/COUNTIF($B$2:$B$492,$B368))&gt;=0.85,"Top",IF((1-(COUNTIFS($B$2:$B$492,$B368,$O$2:$O$492,"&gt;"&amp;$O368)+1-1)/COUNTIF($B$2:$B$492,$B368))&gt;=0.6,"Buono",IF((1-(COUNTIFS($B$2:$B$492,$B368,$O$2:$O$492,"&gt;"&amp;$O368)+1-1)/COUNTIF($B$2:$B$492,$B368))&gt;=0.3,"Nella Media","Scommessa/Riserva")))),"")</f>
        <v>Scommessa/Riserva</v>
      </c>
      <c r="Q368" s="29" t="n">
        <f aca="false">IF($D368="",COUNTIF($D$2:$D368,""),"")</f>
        <v>367</v>
      </c>
      <c r="R368" s="29" t="str">
        <f aca="false">IF($D368='Info Lega'!$B$28,COUNTIFS($D$2:$D368,'Info Lega'!$B$28),"")</f>
        <v/>
      </c>
      <c r="S368" s="30" t="str">
        <f aca="false">IFERROR(INDEX('Input Statistiche 2025_26'!$G$3:$G$665,MATCH($A368,'Input Statistiche 2025_26'!$A$3:$A$665,0)),"")</f>
        <v/>
      </c>
      <c r="T368" s="30" t="str">
        <f aca="false">IFERROR(INDEX('Input Statistiche 2025_26'!$H$3:$H$665,MATCH($A368,'Input Statistiche 2025_26'!$A$3:$A$665,0)),"")</f>
        <v/>
      </c>
      <c r="U368" s="26" t="str">
        <f aca="false">IF(OR('La Mia Rosa'!$O$12="",$D368&lt;&gt;""),"",IF($F368&lt;='La Mia Rosa'!$O$12*'Parametri Modello'!$B$24,"OK",IF($F368&lt;='La Mia Rosa'!$O$12*'Parametri Modello'!$B$25,"Attenzione","Rischio Alto")))</f>
        <v>OK</v>
      </c>
      <c r="V368" s="26" t="n">
        <f aca="false">IFERROR(COUNTIFS($B$2:$B$492,$B368,$O$2:$O$492,"&gt;"&amp;$O368)+1,"")</f>
        <v>137</v>
      </c>
      <c r="W368" s="21" t="n">
        <f aca="false">'Info Lega'!$B$4-SUMIFS($M$2:$M$492,$D$2:$D$492,'Info Lega'!$B$28)</f>
        <v>1000</v>
      </c>
      <c r="X368" s="21" t="n">
        <f aca="false">('Info Lega'!$B$5-COUNTIFS($D$2:$D$492,'Info Lega'!$B$28,$B$2:$B$492,"P"))+('Info Lega'!$B$6-COUNTIFS($D$2:$D$492,'Info Lega'!$B$28,$B$2:$B$492,"D"))+('Info Lega'!$B$7-COUNTIFS($D$2:$D$492,'Info Lega'!$B$28,$B$2:$B$492,"C"))+('Info Lega'!$B$8-COUNTIFS($D$2:$D$492,'Info Lega'!$B$28,$B$2:$B$492,"A"))</f>
        <v>25</v>
      </c>
      <c r="Y368" s="21" t="n">
        <f aca="false">X368*'Parametri Modello'!$B$30</f>
        <v>25</v>
      </c>
      <c r="Z368" s="21" t="n">
        <f aca="false">MAX(0,W368-Y368)</f>
        <v>975</v>
      </c>
      <c r="AA368" s="21" t="n">
        <f aca="false">MIN(F368,Z368)</f>
        <v>1</v>
      </c>
      <c r="AB368" s="21"/>
      <c r="AC368" s="21" t="str">
        <f aca="false">IF(AB368="","",IF(AB368&gt;AA368,"PASS",IF(AB368&lt;=AA368*0.85,"BID","ATTENZIONE")))</f>
        <v/>
      </c>
      <c r="AD368" s="31" t="str">
        <f aca="false">IF(I368="","",ROUND(100*(1-EXP(-I368/30)),0))</f>
        <v/>
      </c>
      <c r="AE368" s="7" t="str">
        <f aca="false">IFERROR(INDEX('Stato Asta'!$G$9:$G$12,MATCH($B368,'Stato Asta'!$A$9:$A$12,0)),"")</f>
        <v>🟡 Attesa rischiosa</v>
      </c>
    </row>
    <row r="369" customFormat="false" ht="14.25" hidden="false" customHeight="true" outlineLevel="0" collapsed="false">
      <c r="A369" s="21" t="n">
        <v>5872</v>
      </c>
      <c r="B369" s="21" t="s">
        <v>45</v>
      </c>
      <c r="C369" s="21" t="s">
        <v>507</v>
      </c>
      <c r="E369" s="26" t="str">
        <f aca="false">IF(COUNTIF('Info Strategia'!$D$2:$D$51,$C369)&gt;0,"SI","NO")</f>
        <v>NO</v>
      </c>
      <c r="F369" s="27" t="n">
        <f aca="false">IFERROR(ROUND(($G369+($H369-$G369)*'Info Strategia'!$B$6)*(1+IF($E369="SI",'Parametri Modello'!$B$7*'Info Strategia'!$B$6,0)),0),"")</f>
        <v>1</v>
      </c>
      <c r="G369" s="27" t="n">
        <f aca="false">IFERROR(ROUND(MAX(1,(IF($V369&lt;=INDEX('Parametri Modello'!$C$57:$C$60,MATCH($B369,'Parametri Modello'!$A$57:$A$60,0)),IF(INDEX('Parametri Modello'!$E$57:$E$60,MATCH($B369,'Parametri Modello'!$A$57:$A$60,0))=0,0,($O369/INDEX('Parametri Modello'!$E$57:$E$60,MATCH($B369,'Parametri Modello'!$A$57:$A$60,0)))*(INDEX('Parametri Modello'!$D$57:$D$60,MATCH($B369,'Parametri Modello'!$A$57:$A$60,0))*(INDEX('Parametri Modello'!$B$50:$B$53,MATCH($B369,'Parametri Modello'!$A$50:$A$53,0))*'Parametri Modello'!$B$44))),IF(INDEX('Parametri Modello'!$F$57:$F$60,MATCH($B369,'Parametri Modello'!$A$57:$A$60,0))=0,0,($O369/INDEX('Parametri Modello'!$F$57:$F$60,MATCH($B369,'Parametri Modello'!$A$57:$A$60,0)))*((1-INDEX('Parametri Modello'!$D$57:$D$60,MATCH($B369,'Parametri Modello'!$A$57:$A$60,0)))*(INDEX('Parametri Modello'!$B$50:$B$53,MATCH($B369,'Parametri Modello'!$A$50:$A$53,0))*'Parametri Modello'!$B$44))))*(1+IF(IF($B369="D",'Info Lega'!$B$25,IF($B369="C",'Info Lega'!$B$26,"No"))="Si",'Parametri Modello'!$B$5,0))*(1+MAX(-0.25,MIN(0.25,IF(OR($T369="",$I369="",$I369=0,INDEX('Parametri Modello'!$B$19:$B$22,MATCH($B369,'Parametri Modello'!$A$19:$A$22,0))="",INDEX('Parametri Modello'!$B$19:$B$22,MATCH($B369,'Parametri Modello'!$A$19:$A$22,0))=0),0,(($T369-INDEX('Parametri Modello'!$B$19:$B$22,MATCH($B369,'Parametri Modello'!$A$19:$A$22,0)))/INDEX('Parametri Modello'!$B$19:$B$22,MATCH($B369,'Parametri Modello'!$A$19:$A$22,0)))*'Parametri Modello'!$B$9))))*(1+IF('Parametri Modello'!$B$27="Si",MAX(-'Parametri Modello'!$B$28,MIN('Parametri Modello'!$B$28*1.5,IF(OR(INDEX('Parametri Modello'!$F$32:$F$35,MATCH($B369,'Parametri Modello'!$A$32:$A$35,0))="",INDEX('Parametri Modello'!$F$32:$F$35,MATCH($B369,'Parametri Modello'!$A$32:$A$35,0))=0),0,(1/INDEX('Parametri Modello'!$F$32:$F$35,MATCH($B369,'Parametri Modello'!$A$32:$A$35,0))-1)*'Parametri Modello'!$B$28))),0)))*(1-INDEX('Parametri Modello'!$B$12:$B$15,MATCH($B369,'Parametri Modello'!$A$12:$A$15,0)))),0),"")</f>
        <v>1</v>
      </c>
      <c r="H369" s="27" t="n">
        <f aca="false">IFERROR(ROUND((IF($V369&lt;=INDEX('Parametri Modello'!$C$57:$C$60,MATCH($B369,'Parametri Modello'!$A$57:$A$60,0)),IF(INDEX('Parametri Modello'!$E$57:$E$60,MATCH($B369,'Parametri Modello'!$A$57:$A$60,0))=0,0,($O369/INDEX('Parametri Modello'!$E$57:$E$60,MATCH($B369,'Parametri Modello'!$A$57:$A$60,0)))*(INDEX('Parametri Modello'!$D$57:$D$60,MATCH($B369,'Parametri Modello'!$A$57:$A$60,0))*(INDEX('Parametri Modello'!$B$50:$B$53,MATCH($B369,'Parametri Modello'!$A$50:$A$53,0))*'Parametri Modello'!$B$44))),IF(INDEX('Parametri Modello'!$F$57:$F$60,MATCH($B369,'Parametri Modello'!$A$57:$A$60,0))=0,0,($O369/INDEX('Parametri Modello'!$F$57:$F$60,MATCH($B369,'Parametri Modello'!$A$57:$A$60,0)))*((1-INDEX('Parametri Modello'!$D$57:$D$60,MATCH($B369,'Parametri Modello'!$A$57:$A$60,0)))*(INDEX('Parametri Modello'!$B$50:$B$53,MATCH($B369,'Parametri Modello'!$A$50:$A$53,0))*'Parametri Modello'!$B$44))))*(1+IF(IF($B369="D",'Info Lega'!$B$25,IF($B369="C",'Info Lega'!$B$26,"No"))="Si",'Parametri Modello'!$B$5,0))*(1+MAX(-0.25,MIN(0.25,IF(OR($T369="",$I369="",$I369=0,INDEX('Parametri Modello'!$B$19:$B$22,MATCH($B369,'Parametri Modello'!$A$19:$A$22,0))="",INDEX('Parametri Modello'!$B$19:$B$22,MATCH($B369,'Parametri Modello'!$A$19:$A$22,0))=0),0,(($T369-INDEX('Parametri Modello'!$B$19:$B$22,MATCH($B369,'Parametri Modello'!$A$19:$A$22,0)))/INDEX('Parametri Modello'!$B$19:$B$22,MATCH($B369,'Parametri Modello'!$A$19:$A$22,0)))*'Parametri Modello'!$B$9))))*(1+IF('Parametri Modello'!$B$27="Si",MAX(-'Parametri Modello'!$B$28,MIN('Parametri Modello'!$B$28*1.5,IF(OR(INDEX('Parametri Modello'!$F$32:$F$35,MATCH($B369,'Parametri Modello'!$A$32:$A$35,0))="",INDEX('Parametri Modello'!$F$32:$F$35,MATCH($B369,'Parametri Modello'!$A$32:$A$35,0))=0),0,(1/INDEX('Parametri Modello'!$F$32:$F$35,MATCH($B369,'Parametri Modello'!$A$32:$A$35,0))-1)*'Parametri Modello'!$B$28))),0)))*(1+INDEX('Parametri Modello'!$B$12:$B$15,MATCH($B369,'Parametri Modello'!$A$12:$A$15,0))),0),"")</f>
        <v>1</v>
      </c>
      <c r="I369" s="26" t="n">
        <f aca="false">IFERROR(INDEX('Input Statistiche 2025_26'!$F$3:$F$665,MATCH($A369,'Input Statistiche 2025_26'!$A$3:$A$665,0)),"")</f>
        <v>4</v>
      </c>
      <c r="J369" s="26" t="n">
        <f aca="false">IFERROR(IF($I369="","",MAX(0,38-$I369)),"")</f>
        <v>34</v>
      </c>
      <c r="K369" s="26" t="n">
        <f aca="false">IFERROR(INDEX('Input Statistiche 2025_26'!$I$3:$I$665,MATCH($A369,'Input Statistiche 2025_26'!$A$3:$A$665,0)),"")</f>
        <v>0</v>
      </c>
      <c r="L369" s="26" t="n">
        <f aca="false">IFERROR(INDEX('Input Statistiche 2025_26'!$O$3:$O$665,MATCH($A369,'Input Statistiche 2025_26'!$A$3:$A$665,0)),"")</f>
        <v>0</v>
      </c>
      <c r="M369" s="28"/>
      <c r="N369" s="27" t="n">
        <f aca="false">IFERROR(INDEX('Input Giocatori 2026_27'!$E$3:$E$493,MATCH($A369,'Input Giocatori 2026_27'!$A$3:$A$493,0)),"")</f>
        <v>3</v>
      </c>
      <c r="O369" s="27" t="n">
        <f aca="false">IFERROR(INDEX('Input Giocatori 2026_27'!$G$3:$G$493,MATCH($A369,'Input Giocatori 2026_27'!$A$3:$A$493,0)),"")</f>
        <v>7</v>
      </c>
      <c r="P369" s="26" t="str">
        <f aca="false">IFERROR(IF($O369="","",IF((1-(COUNTIFS($B$2:$B$492,$B369,$O$2:$O$492,"&gt;"&amp;$O369)+1-1)/COUNTIF($B$2:$B$492,$B369))&gt;=0.85,"Top",IF((1-(COUNTIFS($B$2:$B$492,$B369,$O$2:$O$492,"&gt;"&amp;$O369)+1-1)/COUNTIF($B$2:$B$492,$B369))&gt;=0.6,"Buono",IF((1-(COUNTIFS($B$2:$B$492,$B369,$O$2:$O$492,"&gt;"&amp;$O369)+1-1)/COUNTIF($B$2:$B$492,$B369))&gt;=0.3,"Nella Media","Scommessa/Riserva")))),"")</f>
        <v>Scommessa/Riserva</v>
      </c>
      <c r="Q369" s="29" t="n">
        <f aca="false">IF($D369="",COUNTIF($D$2:$D369,""),"")</f>
        <v>368</v>
      </c>
      <c r="R369" s="29" t="str">
        <f aca="false">IF($D369='Info Lega'!$B$28,COUNTIFS($D$2:$D369,'Info Lega'!$B$28),"")</f>
        <v/>
      </c>
      <c r="S369" s="30" t="n">
        <f aca="false">IFERROR(INDEX('Input Statistiche 2025_26'!$G$3:$G$665,MATCH($A369,'Input Statistiche 2025_26'!$A$3:$A$665,0)),"")</f>
        <v>5.62</v>
      </c>
      <c r="T369" s="30" t="n">
        <f aca="false">IFERROR(INDEX('Input Statistiche 2025_26'!$H$3:$H$665,MATCH($A369,'Input Statistiche 2025_26'!$A$3:$A$665,0)),"")</f>
        <v>5.62</v>
      </c>
      <c r="U369" s="26" t="str">
        <f aca="false">IF(OR('La Mia Rosa'!$O$12="",$D369&lt;&gt;""),"",IF($F369&lt;='La Mia Rosa'!$O$12*'Parametri Modello'!$B$24,"OK",IF($F369&lt;='La Mia Rosa'!$O$12*'Parametri Modello'!$B$25,"Attenzione","Rischio Alto")))</f>
        <v>OK</v>
      </c>
      <c r="V369" s="26" t="n">
        <f aca="false">IFERROR(COUNTIFS($B$2:$B$492,$B369,$O$2:$O$492,"&gt;"&amp;$O369)+1,"")</f>
        <v>137</v>
      </c>
      <c r="W369" s="21" t="n">
        <f aca="false">'Info Lega'!$B$4-SUMIFS($M$2:$M$492,$D$2:$D$492,'Info Lega'!$B$28)</f>
        <v>1000</v>
      </c>
      <c r="X369" s="21" t="n">
        <f aca="false">('Info Lega'!$B$5-COUNTIFS($D$2:$D$492,'Info Lega'!$B$28,$B$2:$B$492,"P"))+('Info Lega'!$B$6-COUNTIFS($D$2:$D$492,'Info Lega'!$B$28,$B$2:$B$492,"D"))+('Info Lega'!$B$7-COUNTIFS($D$2:$D$492,'Info Lega'!$B$28,$B$2:$B$492,"C"))+('Info Lega'!$B$8-COUNTIFS($D$2:$D$492,'Info Lega'!$B$28,$B$2:$B$492,"A"))</f>
        <v>25</v>
      </c>
      <c r="Y369" s="21" t="n">
        <f aca="false">X369*'Parametri Modello'!$B$30</f>
        <v>25</v>
      </c>
      <c r="Z369" s="21" t="n">
        <f aca="false">MAX(0,W369-Y369)</f>
        <v>975</v>
      </c>
      <c r="AA369" s="21" t="n">
        <f aca="false">MIN(F369,Z369)</f>
        <v>1</v>
      </c>
      <c r="AB369" s="21"/>
      <c r="AC369" s="21" t="str">
        <f aca="false">IF(AB369="","",IF(AB369&gt;AA369,"PASS",IF(AB369&lt;=AA369*0.85,"BID","ATTENZIONE")))</f>
        <v/>
      </c>
      <c r="AD369" s="31" t="n">
        <f aca="false">IF(I369="","",ROUND(100*(1-EXP(-I369/30)),0))</f>
        <v>12</v>
      </c>
      <c r="AE369" s="7" t="str">
        <f aca="false">IFERROR(INDEX('Stato Asta'!$G$9:$G$12,MATCH($B369,'Stato Asta'!$A$9:$A$12,0)),"")</f>
        <v>🟡 Attesa rischiosa</v>
      </c>
    </row>
    <row r="370" customFormat="false" ht="14.25" hidden="false" customHeight="true" outlineLevel="0" collapsed="false">
      <c r="A370" s="21" t="n">
        <v>7272</v>
      </c>
      <c r="B370" s="21" t="s">
        <v>46</v>
      </c>
      <c r="C370" s="21" t="s">
        <v>605</v>
      </c>
      <c r="E370" s="26" t="str">
        <f aca="false">IF(COUNTIF('Info Strategia'!$D$2:$D$51,$C370)&gt;0,"SI","NO")</f>
        <v>NO</v>
      </c>
      <c r="F370" s="27" t="n">
        <f aca="false">IFERROR(ROUND(($G370+($H370-$G370)*'Info Strategia'!$B$6)*(1+IF($E370="SI",'Parametri Modello'!$B$7*'Info Strategia'!$B$6,0)),0),"")</f>
        <v>2</v>
      </c>
      <c r="G370" s="27" t="n">
        <f aca="false">IFERROR(ROUND(MAX(1,(IF($V370&lt;=INDEX('Parametri Modello'!$C$57:$C$60,MATCH($B370,'Parametri Modello'!$A$57:$A$60,0)),IF(INDEX('Parametri Modello'!$E$57:$E$60,MATCH($B370,'Parametri Modello'!$A$57:$A$60,0))=0,0,($O370/INDEX('Parametri Modello'!$E$57:$E$60,MATCH($B370,'Parametri Modello'!$A$57:$A$60,0)))*(INDEX('Parametri Modello'!$D$57:$D$60,MATCH($B370,'Parametri Modello'!$A$57:$A$60,0))*(INDEX('Parametri Modello'!$B$50:$B$53,MATCH($B370,'Parametri Modello'!$A$50:$A$53,0))*'Parametri Modello'!$B$44))),IF(INDEX('Parametri Modello'!$F$57:$F$60,MATCH($B370,'Parametri Modello'!$A$57:$A$60,0))=0,0,($O370/INDEX('Parametri Modello'!$F$57:$F$60,MATCH($B370,'Parametri Modello'!$A$57:$A$60,0)))*((1-INDEX('Parametri Modello'!$D$57:$D$60,MATCH($B370,'Parametri Modello'!$A$57:$A$60,0)))*(INDEX('Parametri Modello'!$B$50:$B$53,MATCH($B370,'Parametri Modello'!$A$50:$A$53,0))*'Parametri Modello'!$B$44))))*(1+IF(IF($B370="D",'Info Lega'!$B$25,IF($B370="C",'Info Lega'!$B$26,"No"))="Si",'Parametri Modello'!$B$5,0))*(1+MAX(-0.25,MIN(0.25,IF(OR($T370="",$I370="",$I370=0,INDEX('Parametri Modello'!$B$19:$B$22,MATCH($B370,'Parametri Modello'!$A$19:$A$22,0))="",INDEX('Parametri Modello'!$B$19:$B$22,MATCH($B370,'Parametri Modello'!$A$19:$A$22,0))=0),0,(($T370-INDEX('Parametri Modello'!$B$19:$B$22,MATCH($B370,'Parametri Modello'!$A$19:$A$22,0)))/INDEX('Parametri Modello'!$B$19:$B$22,MATCH($B370,'Parametri Modello'!$A$19:$A$22,0)))*'Parametri Modello'!$B$9))))*(1+IF('Parametri Modello'!$B$27="Si",MAX(-'Parametri Modello'!$B$28,MIN('Parametri Modello'!$B$28*1.5,IF(OR(INDEX('Parametri Modello'!$F$32:$F$35,MATCH($B370,'Parametri Modello'!$A$32:$A$35,0))="",INDEX('Parametri Modello'!$F$32:$F$35,MATCH($B370,'Parametri Modello'!$A$32:$A$35,0))=0),0,(1/INDEX('Parametri Modello'!$F$32:$F$35,MATCH($B370,'Parametri Modello'!$A$32:$A$35,0))-1)*'Parametri Modello'!$B$28))),0)))*(1-INDEX('Parametri Modello'!$B$12:$B$15,MATCH($B370,'Parametri Modello'!$A$12:$A$15,0)))),0),"")</f>
        <v>1</v>
      </c>
      <c r="H370" s="27" t="n">
        <f aca="false">IFERROR(ROUND((IF($V370&lt;=INDEX('Parametri Modello'!$C$57:$C$60,MATCH($B370,'Parametri Modello'!$A$57:$A$60,0)),IF(INDEX('Parametri Modello'!$E$57:$E$60,MATCH($B370,'Parametri Modello'!$A$57:$A$60,0))=0,0,($O370/INDEX('Parametri Modello'!$E$57:$E$60,MATCH($B370,'Parametri Modello'!$A$57:$A$60,0)))*(INDEX('Parametri Modello'!$D$57:$D$60,MATCH($B370,'Parametri Modello'!$A$57:$A$60,0))*(INDEX('Parametri Modello'!$B$50:$B$53,MATCH($B370,'Parametri Modello'!$A$50:$A$53,0))*'Parametri Modello'!$B$44))),IF(INDEX('Parametri Modello'!$F$57:$F$60,MATCH($B370,'Parametri Modello'!$A$57:$A$60,0))=0,0,($O370/INDEX('Parametri Modello'!$F$57:$F$60,MATCH($B370,'Parametri Modello'!$A$57:$A$60,0)))*((1-INDEX('Parametri Modello'!$D$57:$D$60,MATCH($B370,'Parametri Modello'!$A$57:$A$60,0)))*(INDEX('Parametri Modello'!$B$50:$B$53,MATCH($B370,'Parametri Modello'!$A$50:$A$53,0))*'Parametri Modello'!$B$44))))*(1+IF(IF($B370="D",'Info Lega'!$B$25,IF($B370="C",'Info Lega'!$B$26,"No"))="Si",'Parametri Modello'!$B$5,0))*(1+MAX(-0.25,MIN(0.25,IF(OR($T370="",$I370="",$I370=0,INDEX('Parametri Modello'!$B$19:$B$22,MATCH($B370,'Parametri Modello'!$A$19:$A$22,0))="",INDEX('Parametri Modello'!$B$19:$B$22,MATCH($B370,'Parametri Modello'!$A$19:$A$22,0))=0),0,(($T370-INDEX('Parametri Modello'!$B$19:$B$22,MATCH($B370,'Parametri Modello'!$A$19:$A$22,0)))/INDEX('Parametri Modello'!$B$19:$B$22,MATCH($B370,'Parametri Modello'!$A$19:$A$22,0)))*'Parametri Modello'!$B$9))))*(1+IF('Parametri Modello'!$B$27="Si",MAX(-'Parametri Modello'!$B$28,MIN('Parametri Modello'!$B$28*1.5,IF(OR(INDEX('Parametri Modello'!$F$32:$F$35,MATCH($B370,'Parametri Modello'!$A$32:$A$35,0))="",INDEX('Parametri Modello'!$F$32:$F$35,MATCH($B370,'Parametri Modello'!$A$32:$A$35,0))=0),0,(1/INDEX('Parametri Modello'!$F$32:$F$35,MATCH($B370,'Parametri Modello'!$A$32:$A$35,0))-1)*'Parametri Modello'!$B$28))),0)))*(1+INDEX('Parametri Modello'!$B$12:$B$15,MATCH($B370,'Parametri Modello'!$A$12:$A$15,0))),0),"")</f>
        <v>3</v>
      </c>
      <c r="I370" s="26" t="n">
        <f aca="false">IFERROR(INDEX('Input Statistiche 2025_26'!$F$3:$F$665,MATCH($A370,'Input Statistiche 2025_26'!$A$3:$A$665,0)),"")</f>
        <v>13</v>
      </c>
      <c r="J370" s="26" t="n">
        <f aca="false">IFERROR(IF($I370="","",MAX(0,38-$I370)),"")</f>
        <v>25</v>
      </c>
      <c r="K370" s="26" t="n">
        <f aca="false">IFERROR(INDEX('Input Statistiche 2025_26'!$I$3:$I$665,MATCH($A370,'Input Statistiche 2025_26'!$A$3:$A$665,0)),"")</f>
        <v>1</v>
      </c>
      <c r="L370" s="26" t="n">
        <f aca="false">IFERROR(INDEX('Input Statistiche 2025_26'!$O$3:$O$665,MATCH($A370,'Input Statistiche 2025_26'!$A$3:$A$665,0)),"")</f>
        <v>0</v>
      </c>
      <c r="M370" s="28"/>
      <c r="N370" s="27" t="n">
        <f aca="false">IFERROR(INDEX('Input Giocatori 2026_27'!$E$3:$E$493,MATCH($A370,'Input Giocatori 2026_27'!$A$3:$A$493,0)),"")</f>
        <v>4</v>
      </c>
      <c r="O370" s="27" t="n">
        <f aca="false">IFERROR(INDEX('Input Giocatori 2026_27'!$G$3:$G$493,MATCH($A370,'Input Giocatori 2026_27'!$A$3:$A$493,0)),"")</f>
        <v>7</v>
      </c>
      <c r="P370" s="26" t="str">
        <f aca="false">IFERROR(IF($O370="","",IF((1-(COUNTIFS($B$2:$B$492,$B370,$O$2:$O$492,"&gt;"&amp;$O370)+1-1)/COUNTIF($B$2:$B$492,$B370))&gt;=0.85,"Top",IF((1-(COUNTIFS($B$2:$B$492,$B370,$O$2:$O$492,"&gt;"&amp;$O370)+1-1)/COUNTIF($B$2:$B$492,$B370))&gt;=0.6,"Buono",IF((1-(COUNTIFS($B$2:$B$492,$B370,$O$2:$O$492,"&gt;"&amp;$O370)+1-1)/COUNTIF($B$2:$B$492,$B370))&gt;=0.3,"Nella Media","Scommessa/Riserva")))),"")</f>
        <v>Scommessa/Riserva</v>
      </c>
      <c r="Q370" s="29" t="n">
        <f aca="false">IF($D370="",COUNTIF($D$2:$D370,""),"")</f>
        <v>369</v>
      </c>
      <c r="R370" s="29" t="str">
        <f aca="false">IF($D370='Info Lega'!$B$28,COUNTIFS($D$2:$D370,'Info Lega'!$B$28),"")</f>
        <v/>
      </c>
      <c r="S370" s="30" t="n">
        <f aca="false">IFERROR(INDEX('Input Statistiche 2025_26'!$G$3:$G$665,MATCH($A370,'Input Statistiche 2025_26'!$A$3:$A$665,0)),"")</f>
        <v>5.77</v>
      </c>
      <c r="T370" s="30" t="n">
        <f aca="false">IFERROR(INDEX('Input Statistiche 2025_26'!$H$3:$H$665,MATCH($A370,'Input Statistiche 2025_26'!$A$3:$A$665,0)),"")</f>
        <v>5.92</v>
      </c>
      <c r="U370" s="26" t="str">
        <f aca="false">IF(OR('La Mia Rosa'!$O$12="",$D370&lt;&gt;""),"",IF($F370&lt;='La Mia Rosa'!$O$12*'Parametri Modello'!$B$24,"OK",IF($F370&lt;='La Mia Rosa'!$O$12*'Parametri Modello'!$B$25,"Attenzione","Rischio Alto")))</f>
        <v>OK</v>
      </c>
      <c r="V370" s="26" t="n">
        <f aca="false">IFERROR(COUNTIFS($B$2:$B$492,$B370,$O$2:$O$492,"&gt;"&amp;$O370)+1,"")</f>
        <v>73</v>
      </c>
      <c r="W370" s="21" t="n">
        <f aca="false">'Info Lega'!$B$4-SUMIFS($M$2:$M$492,$D$2:$D$492,'Info Lega'!$B$28)</f>
        <v>1000</v>
      </c>
      <c r="X370" s="21" t="n">
        <f aca="false">('Info Lega'!$B$5-COUNTIFS($D$2:$D$492,'Info Lega'!$B$28,$B$2:$B$492,"P"))+('Info Lega'!$B$6-COUNTIFS($D$2:$D$492,'Info Lega'!$B$28,$B$2:$B$492,"D"))+('Info Lega'!$B$7-COUNTIFS($D$2:$D$492,'Info Lega'!$B$28,$B$2:$B$492,"C"))+('Info Lega'!$B$8-COUNTIFS($D$2:$D$492,'Info Lega'!$B$28,$B$2:$B$492,"A"))</f>
        <v>25</v>
      </c>
      <c r="Y370" s="21" t="n">
        <f aca="false">X370*'Parametri Modello'!$B$30</f>
        <v>25</v>
      </c>
      <c r="Z370" s="21" t="n">
        <f aca="false">MAX(0,W370-Y370)</f>
        <v>975</v>
      </c>
      <c r="AA370" s="21" t="n">
        <f aca="false">MIN(F370,Z370)</f>
        <v>2</v>
      </c>
      <c r="AB370" s="21"/>
      <c r="AC370" s="21" t="str">
        <f aca="false">IF(AB370="","",IF(AB370&gt;AA370,"PASS",IF(AB370&lt;=AA370*0.85,"BID","ATTENZIONE")))</f>
        <v/>
      </c>
      <c r="AD370" s="31" t="n">
        <f aca="false">IF(I370="","",ROUND(100*(1-EXP(-I370/30)),0))</f>
        <v>35</v>
      </c>
      <c r="AE370" s="7" t="str">
        <f aca="false">IFERROR(INDEX('Stato Asta'!$G$9:$G$12,MATCH($B370,'Stato Asta'!$A$9:$A$12,0)),"")</f>
        <v>🔴 Non aspettare</v>
      </c>
    </row>
    <row r="371" customFormat="false" ht="14.25" hidden="false" customHeight="true" outlineLevel="0" collapsed="false">
      <c r="A371" s="21" t="n">
        <v>7523</v>
      </c>
      <c r="B371" s="21" t="s">
        <v>46</v>
      </c>
      <c r="C371" s="21" t="s">
        <v>609</v>
      </c>
      <c r="E371" s="26" t="str">
        <f aca="false">IF(COUNTIF('Info Strategia'!$D$2:$D$51,$C371)&gt;0,"SI","NO")</f>
        <v>NO</v>
      </c>
      <c r="F371" s="27" t="n">
        <f aca="false">IFERROR(ROUND(($G371+($H371-$G371)*'Info Strategia'!$B$6)*(1+IF($E371="SI",'Parametri Modello'!$B$7*'Info Strategia'!$B$6,0)),0),"")</f>
        <v>2</v>
      </c>
      <c r="G371" s="27" t="n">
        <f aca="false">IFERROR(ROUND(MAX(1,(IF($V371&lt;=INDEX('Parametri Modello'!$C$57:$C$60,MATCH($B371,'Parametri Modello'!$A$57:$A$60,0)),IF(INDEX('Parametri Modello'!$E$57:$E$60,MATCH($B371,'Parametri Modello'!$A$57:$A$60,0))=0,0,($O371/INDEX('Parametri Modello'!$E$57:$E$60,MATCH($B371,'Parametri Modello'!$A$57:$A$60,0)))*(INDEX('Parametri Modello'!$D$57:$D$60,MATCH($B371,'Parametri Modello'!$A$57:$A$60,0))*(INDEX('Parametri Modello'!$B$50:$B$53,MATCH($B371,'Parametri Modello'!$A$50:$A$53,0))*'Parametri Modello'!$B$44))),IF(INDEX('Parametri Modello'!$F$57:$F$60,MATCH($B371,'Parametri Modello'!$A$57:$A$60,0))=0,0,($O371/INDEX('Parametri Modello'!$F$57:$F$60,MATCH($B371,'Parametri Modello'!$A$57:$A$60,0)))*((1-INDEX('Parametri Modello'!$D$57:$D$60,MATCH($B371,'Parametri Modello'!$A$57:$A$60,0)))*(INDEX('Parametri Modello'!$B$50:$B$53,MATCH($B371,'Parametri Modello'!$A$50:$A$53,0))*'Parametri Modello'!$B$44))))*(1+IF(IF($B371="D",'Info Lega'!$B$25,IF($B371="C",'Info Lega'!$B$26,"No"))="Si",'Parametri Modello'!$B$5,0))*(1+MAX(-0.25,MIN(0.25,IF(OR($T371="",$I371="",$I371=0,INDEX('Parametri Modello'!$B$19:$B$22,MATCH($B371,'Parametri Modello'!$A$19:$A$22,0))="",INDEX('Parametri Modello'!$B$19:$B$22,MATCH($B371,'Parametri Modello'!$A$19:$A$22,0))=0),0,(($T371-INDEX('Parametri Modello'!$B$19:$B$22,MATCH($B371,'Parametri Modello'!$A$19:$A$22,0)))/INDEX('Parametri Modello'!$B$19:$B$22,MATCH($B371,'Parametri Modello'!$A$19:$A$22,0)))*'Parametri Modello'!$B$9))))*(1+IF('Parametri Modello'!$B$27="Si",MAX(-'Parametri Modello'!$B$28,MIN('Parametri Modello'!$B$28*1.5,IF(OR(INDEX('Parametri Modello'!$F$32:$F$35,MATCH($B371,'Parametri Modello'!$A$32:$A$35,0))="",INDEX('Parametri Modello'!$F$32:$F$35,MATCH($B371,'Parametri Modello'!$A$32:$A$35,0))=0),0,(1/INDEX('Parametri Modello'!$F$32:$F$35,MATCH($B371,'Parametri Modello'!$A$32:$A$35,0))-1)*'Parametri Modello'!$B$28))),0)))*(1-INDEX('Parametri Modello'!$B$12:$B$15,MATCH($B371,'Parametri Modello'!$A$12:$A$15,0)))),0),"")</f>
        <v>1</v>
      </c>
      <c r="H371" s="27" t="n">
        <f aca="false">IFERROR(ROUND((IF($V371&lt;=INDEX('Parametri Modello'!$C$57:$C$60,MATCH($B371,'Parametri Modello'!$A$57:$A$60,0)),IF(INDEX('Parametri Modello'!$E$57:$E$60,MATCH($B371,'Parametri Modello'!$A$57:$A$60,0))=0,0,($O371/INDEX('Parametri Modello'!$E$57:$E$60,MATCH($B371,'Parametri Modello'!$A$57:$A$60,0)))*(INDEX('Parametri Modello'!$D$57:$D$60,MATCH($B371,'Parametri Modello'!$A$57:$A$60,0))*(INDEX('Parametri Modello'!$B$50:$B$53,MATCH($B371,'Parametri Modello'!$A$50:$A$53,0))*'Parametri Modello'!$B$44))),IF(INDEX('Parametri Modello'!$F$57:$F$60,MATCH($B371,'Parametri Modello'!$A$57:$A$60,0))=0,0,($O371/INDEX('Parametri Modello'!$F$57:$F$60,MATCH($B371,'Parametri Modello'!$A$57:$A$60,0)))*((1-INDEX('Parametri Modello'!$D$57:$D$60,MATCH($B371,'Parametri Modello'!$A$57:$A$60,0)))*(INDEX('Parametri Modello'!$B$50:$B$53,MATCH($B371,'Parametri Modello'!$A$50:$A$53,0))*'Parametri Modello'!$B$44))))*(1+IF(IF($B371="D",'Info Lega'!$B$25,IF($B371="C",'Info Lega'!$B$26,"No"))="Si",'Parametri Modello'!$B$5,0))*(1+MAX(-0.25,MIN(0.25,IF(OR($T371="",$I371="",$I371=0,INDEX('Parametri Modello'!$B$19:$B$22,MATCH($B371,'Parametri Modello'!$A$19:$A$22,0))="",INDEX('Parametri Modello'!$B$19:$B$22,MATCH($B371,'Parametri Modello'!$A$19:$A$22,0))=0),0,(($T371-INDEX('Parametri Modello'!$B$19:$B$22,MATCH($B371,'Parametri Modello'!$A$19:$A$22,0)))/INDEX('Parametri Modello'!$B$19:$B$22,MATCH($B371,'Parametri Modello'!$A$19:$A$22,0)))*'Parametri Modello'!$B$9))))*(1+IF('Parametri Modello'!$B$27="Si",MAX(-'Parametri Modello'!$B$28,MIN('Parametri Modello'!$B$28*1.5,IF(OR(INDEX('Parametri Modello'!$F$32:$F$35,MATCH($B371,'Parametri Modello'!$A$32:$A$35,0))="",INDEX('Parametri Modello'!$F$32:$F$35,MATCH($B371,'Parametri Modello'!$A$32:$A$35,0))=0),0,(1/INDEX('Parametri Modello'!$F$32:$F$35,MATCH($B371,'Parametri Modello'!$A$32:$A$35,0))-1)*'Parametri Modello'!$B$28))),0)))*(1+INDEX('Parametri Modello'!$B$12:$B$15,MATCH($B371,'Parametri Modello'!$A$12:$A$15,0))),0),"")</f>
        <v>3</v>
      </c>
      <c r="I371" s="26" t="str">
        <f aca="false">IFERROR(INDEX('Input Statistiche 2025_26'!$F$3:$F$665,MATCH($A371,'Input Statistiche 2025_26'!$A$3:$A$665,0)),"")</f>
        <v/>
      </c>
      <c r="J371" s="26" t="str">
        <f aca="false">IFERROR(IF($I371="","",MAX(0,38-$I371)),"")</f>
        <v/>
      </c>
      <c r="K371" s="26" t="str">
        <f aca="false">IFERROR(INDEX('Input Statistiche 2025_26'!$I$3:$I$665,MATCH($A371,'Input Statistiche 2025_26'!$A$3:$A$665,0)),"")</f>
        <v/>
      </c>
      <c r="L371" s="26" t="str">
        <f aca="false">IFERROR(INDEX('Input Statistiche 2025_26'!$O$3:$O$665,MATCH($A371,'Input Statistiche 2025_26'!$A$3:$A$665,0)),"")</f>
        <v/>
      </c>
      <c r="M371" s="28"/>
      <c r="N371" s="27" t="n">
        <f aca="false">IFERROR(INDEX('Input Giocatori 2026_27'!$E$3:$E$493,MATCH($A371,'Input Giocatori 2026_27'!$A$3:$A$493,0)),"")</f>
        <v>3</v>
      </c>
      <c r="O371" s="27" t="n">
        <f aca="false">IFERROR(INDEX('Input Giocatori 2026_27'!$G$3:$G$493,MATCH($A371,'Input Giocatori 2026_27'!$A$3:$A$493,0)),"")</f>
        <v>7</v>
      </c>
      <c r="P371" s="26" t="str">
        <f aca="false">IFERROR(IF($O371="","",IF((1-(COUNTIFS($B$2:$B$492,$B371,$O$2:$O$492,"&gt;"&amp;$O371)+1-1)/COUNTIF($B$2:$B$492,$B371))&gt;=0.85,"Top",IF((1-(COUNTIFS($B$2:$B$492,$B371,$O$2:$O$492,"&gt;"&amp;$O371)+1-1)/COUNTIF($B$2:$B$492,$B371))&gt;=0.6,"Buono",IF((1-(COUNTIFS($B$2:$B$492,$B371,$O$2:$O$492,"&gt;"&amp;$O371)+1-1)/COUNTIF($B$2:$B$492,$B371))&gt;=0.3,"Nella Media","Scommessa/Riserva")))),"")</f>
        <v>Scommessa/Riserva</v>
      </c>
      <c r="Q371" s="29" t="n">
        <f aca="false">IF($D371="",COUNTIF($D$2:$D371,""),"")</f>
        <v>370</v>
      </c>
      <c r="R371" s="29" t="str">
        <f aca="false">IF($D371='Info Lega'!$B$28,COUNTIFS($D$2:$D371,'Info Lega'!$B$28),"")</f>
        <v/>
      </c>
      <c r="S371" s="30" t="str">
        <f aca="false">IFERROR(INDEX('Input Statistiche 2025_26'!$G$3:$G$665,MATCH($A371,'Input Statistiche 2025_26'!$A$3:$A$665,0)),"")</f>
        <v/>
      </c>
      <c r="T371" s="30" t="str">
        <f aca="false">IFERROR(INDEX('Input Statistiche 2025_26'!$H$3:$H$665,MATCH($A371,'Input Statistiche 2025_26'!$A$3:$A$665,0)),"")</f>
        <v/>
      </c>
      <c r="U371" s="26" t="str">
        <f aca="false">IF(OR('La Mia Rosa'!$O$12="",$D371&lt;&gt;""),"",IF($F371&lt;='La Mia Rosa'!$O$12*'Parametri Modello'!$B$24,"OK",IF($F371&lt;='La Mia Rosa'!$O$12*'Parametri Modello'!$B$25,"Attenzione","Rischio Alto")))</f>
        <v>OK</v>
      </c>
      <c r="V371" s="26" t="n">
        <f aca="false">IFERROR(COUNTIFS($B$2:$B$492,$B371,$O$2:$O$492,"&gt;"&amp;$O371)+1,"")</f>
        <v>73</v>
      </c>
      <c r="W371" s="21" t="n">
        <f aca="false">'Info Lega'!$B$4-SUMIFS($M$2:$M$492,$D$2:$D$492,'Info Lega'!$B$28)</f>
        <v>1000</v>
      </c>
      <c r="X371" s="21" t="n">
        <f aca="false">('Info Lega'!$B$5-COUNTIFS($D$2:$D$492,'Info Lega'!$B$28,$B$2:$B$492,"P"))+('Info Lega'!$B$6-COUNTIFS($D$2:$D$492,'Info Lega'!$B$28,$B$2:$B$492,"D"))+('Info Lega'!$B$7-COUNTIFS($D$2:$D$492,'Info Lega'!$B$28,$B$2:$B$492,"C"))+('Info Lega'!$B$8-COUNTIFS($D$2:$D$492,'Info Lega'!$B$28,$B$2:$B$492,"A"))</f>
        <v>25</v>
      </c>
      <c r="Y371" s="21" t="n">
        <f aca="false">X371*'Parametri Modello'!$B$30</f>
        <v>25</v>
      </c>
      <c r="Z371" s="21" t="n">
        <f aca="false">MAX(0,W371-Y371)</f>
        <v>975</v>
      </c>
      <c r="AA371" s="21" t="n">
        <f aca="false">MIN(F371,Z371)</f>
        <v>2</v>
      </c>
      <c r="AB371" s="21"/>
      <c r="AC371" s="21" t="str">
        <f aca="false">IF(AB371="","",IF(AB371&gt;AA371,"PASS",IF(AB371&lt;=AA371*0.85,"BID","ATTENZIONE")))</f>
        <v/>
      </c>
      <c r="AD371" s="31" t="str">
        <f aca="false">IF(I371="","",ROUND(100*(1-EXP(-I371/30)),0))</f>
        <v/>
      </c>
      <c r="AE371" s="7" t="str">
        <f aca="false">IFERROR(INDEX('Stato Asta'!$G$9:$G$12,MATCH($B371,'Stato Asta'!$A$9:$A$12,0)),"")</f>
        <v>🔴 Non aspettare</v>
      </c>
    </row>
    <row r="372" customFormat="false" ht="14.25" hidden="false" customHeight="true" outlineLevel="0" collapsed="false">
      <c r="A372" s="21" t="n">
        <v>5498</v>
      </c>
      <c r="B372" s="21" t="s">
        <v>44</v>
      </c>
      <c r="C372" s="21" t="s">
        <v>303</v>
      </c>
      <c r="E372" s="26" t="str">
        <f aca="false">IF(COUNTIF('Info Strategia'!$D$2:$D$51,$C372)&gt;0,"SI","NO")</f>
        <v>NO</v>
      </c>
      <c r="F372" s="27" t="n">
        <f aca="false">IFERROR(ROUND(($G372+($H372-$G372)*'Info Strategia'!$B$6)*(1+IF($E372="SI",'Parametri Modello'!$B$7*'Info Strategia'!$B$6,0)),0),"")</f>
        <v>1</v>
      </c>
      <c r="G372" s="27" t="n">
        <f aca="false">IFERROR(ROUND(MAX(1,(IF($V372&lt;=INDEX('Parametri Modello'!$C$57:$C$60,MATCH($B372,'Parametri Modello'!$A$57:$A$60,0)),IF(INDEX('Parametri Modello'!$E$57:$E$60,MATCH($B372,'Parametri Modello'!$A$57:$A$60,0))=0,0,($O372/INDEX('Parametri Modello'!$E$57:$E$60,MATCH($B372,'Parametri Modello'!$A$57:$A$60,0)))*(INDEX('Parametri Modello'!$D$57:$D$60,MATCH($B372,'Parametri Modello'!$A$57:$A$60,0))*(INDEX('Parametri Modello'!$B$50:$B$53,MATCH($B372,'Parametri Modello'!$A$50:$A$53,0))*'Parametri Modello'!$B$44))),IF(INDEX('Parametri Modello'!$F$57:$F$60,MATCH($B372,'Parametri Modello'!$A$57:$A$60,0))=0,0,($O372/INDEX('Parametri Modello'!$F$57:$F$60,MATCH($B372,'Parametri Modello'!$A$57:$A$60,0)))*((1-INDEX('Parametri Modello'!$D$57:$D$60,MATCH($B372,'Parametri Modello'!$A$57:$A$60,0)))*(INDEX('Parametri Modello'!$B$50:$B$53,MATCH($B372,'Parametri Modello'!$A$50:$A$53,0))*'Parametri Modello'!$B$44))))*(1+IF(IF($B372="D",'Info Lega'!$B$25,IF($B372="C",'Info Lega'!$B$26,"No"))="Si",'Parametri Modello'!$B$5,0))*(1+MAX(-0.25,MIN(0.25,IF(OR($T372="",$I372="",$I372=0,INDEX('Parametri Modello'!$B$19:$B$22,MATCH($B372,'Parametri Modello'!$A$19:$A$22,0))="",INDEX('Parametri Modello'!$B$19:$B$22,MATCH($B372,'Parametri Modello'!$A$19:$A$22,0))=0),0,(($T372-INDEX('Parametri Modello'!$B$19:$B$22,MATCH($B372,'Parametri Modello'!$A$19:$A$22,0)))/INDEX('Parametri Modello'!$B$19:$B$22,MATCH($B372,'Parametri Modello'!$A$19:$A$22,0)))*'Parametri Modello'!$B$9))))*(1+IF('Parametri Modello'!$B$27="Si",MAX(-'Parametri Modello'!$B$28,MIN('Parametri Modello'!$B$28*1.5,IF(OR(INDEX('Parametri Modello'!$F$32:$F$35,MATCH($B372,'Parametri Modello'!$A$32:$A$35,0))="",INDEX('Parametri Modello'!$F$32:$F$35,MATCH($B372,'Parametri Modello'!$A$32:$A$35,0))=0),0,(1/INDEX('Parametri Modello'!$F$32:$F$35,MATCH($B372,'Parametri Modello'!$A$32:$A$35,0))-1)*'Parametri Modello'!$B$28))),0)))*(1-INDEX('Parametri Modello'!$B$12:$B$15,MATCH($B372,'Parametri Modello'!$A$12:$A$15,0)))),0),"")</f>
        <v>1</v>
      </c>
      <c r="H372" s="27" t="n">
        <f aca="false">IFERROR(ROUND((IF($V372&lt;=INDEX('Parametri Modello'!$C$57:$C$60,MATCH($B372,'Parametri Modello'!$A$57:$A$60,0)),IF(INDEX('Parametri Modello'!$E$57:$E$60,MATCH($B372,'Parametri Modello'!$A$57:$A$60,0))=0,0,($O372/INDEX('Parametri Modello'!$E$57:$E$60,MATCH($B372,'Parametri Modello'!$A$57:$A$60,0)))*(INDEX('Parametri Modello'!$D$57:$D$60,MATCH($B372,'Parametri Modello'!$A$57:$A$60,0))*(INDEX('Parametri Modello'!$B$50:$B$53,MATCH($B372,'Parametri Modello'!$A$50:$A$53,0))*'Parametri Modello'!$B$44))),IF(INDEX('Parametri Modello'!$F$57:$F$60,MATCH($B372,'Parametri Modello'!$A$57:$A$60,0))=0,0,($O372/INDEX('Parametri Modello'!$F$57:$F$60,MATCH($B372,'Parametri Modello'!$A$57:$A$60,0)))*((1-INDEX('Parametri Modello'!$D$57:$D$60,MATCH($B372,'Parametri Modello'!$A$57:$A$60,0)))*(INDEX('Parametri Modello'!$B$50:$B$53,MATCH($B372,'Parametri Modello'!$A$50:$A$53,0))*'Parametri Modello'!$B$44))))*(1+IF(IF($B372="D",'Info Lega'!$B$25,IF($B372="C",'Info Lega'!$B$26,"No"))="Si",'Parametri Modello'!$B$5,0))*(1+MAX(-0.25,MIN(0.25,IF(OR($T372="",$I372="",$I372=0,INDEX('Parametri Modello'!$B$19:$B$22,MATCH($B372,'Parametri Modello'!$A$19:$A$22,0))="",INDEX('Parametri Modello'!$B$19:$B$22,MATCH($B372,'Parametri Modello'!$A$19:$A$22,0))=0),0,(($T372-INDEX('Parametri Modello'!$B$19:$B$22,MATCH($B372,'Parametri Modello'!$A$19:$A$22,0)))/INDEX('Parametri Modello'!$B$19:$B$22,MATCH($B372,'Parametri Modello'!$A$19:$A$22,0)))*'Parametri Modello'!$B$9))))*(1+IF('Parametri Modello'!$B$27="Si",MAX(-'Parametri Modello'!$B$28,MIN('Parametri Modello'!$B$28*1.5,IF(OR(INDEX('Parametri Modello'!$F$32:$F$35,MATCH($B372,'Parametri Modello'!$A$32:$A$35,0))="",INDEX('Parametri Modello'!$F$32:$F$35,MATCH($B372,'Parametri Modello'!$A$32:$A$35,0))=0),0,(1/INDEX('Parametri Modello'!$F$32:$F$35,MATCH($B372,'Parametri Modello'!$A$32:$A$35,0))-1)*'Parametri Modello'!$B$28))),0)))*(1+INDEX('Parametri Modello'!$B$12:$B$15,MATCH($B372,'Parametri Modello'!$A$12:$A$15,0))),0),"")</f>
        <v>1</v>
      </c>
      <c r="I372" s="26" t="n">
        <f aca="false">IFERROR(INDEX('Input Statistiche 2025_26'!$F$3:$F$665,MATCH($A372,'Input Statistiche 2025_26'!$A$3:$A$665,0)),"")</f>
        <v>10</v>
      </c>
      <c r="J372" s="26" t="n">
        <f aca="false">IFERROR(IF($I372="","",MAX(0,38-$I372)),"")</f>
        <v>28</v>
      </c>
      <c r="K372" s="26" t="n">
        <f aca="false">IFERROR(INDEX('Input Statistiche 2025_26'!$I$3:$I$665,MATCH($A372,'Input Statistiche 2025_26'!$A$3:$A$665,0)),"")</f>
        <v>0</v>
      </c>
      <c r="L372" s="26" t="n">
        <f aca="false">IFERROR(INDEX('Input Statistiche 2025_26'!$O$3:$O$665,MATCH($A372,'Input Statistiche 2025_26'!$A$3:$A$665,0)),"")</f>
        <v>0</v>
      </c>
      <c r="M372" s="28"/>
      <c r="N372" s="27" t="n">
        <f aca="false">IFERROR(INDEX('Input Giocatori 2026_27'!$E$3:$E$493,MATCH($A372,'Input Giocatori 2026_27'!$A$3:$A$493,0)),"")</f>
        <v>3</v>
      </c>
      <c r="O372" s="27" t="n">
        <f aca="false">IFERROR(INDEX('Input Giocatori 2026_27'!$G$3:$G$493,MATCH($A372,'Input Giocatori 2026_27'!$A$3:$A$493,0)),"")</f>
        <v>6</v>
      </c>
      <c r="P372" s="26" t="str">
        <f aca="false">IFERROR(IF($O372="","",IF((1-(COUNTIFS($B$2:$B$492,$B372,$O$2:$O$492,"&gt;"&amp;$O372)+1-1)/COUNTIF($B$2:$B$492,$B372))&gt;=0.85,"Top",IF((1-(COUNTIFS($B$2:$B$492,$B372,$O$2:$O$492,"&gt;"&amp;$O372)+1-1)/COUNTIF($B$2:$B$492,$B372))&gt;=0.6,"Buono",IF((1-(COUNTIFS($B$2:$B$492,$B372,$O$2:$O$492,"&gt;"&amp;$O372)+1-1)/COUNTIF($B$2:$B$492,$B372))&gt;=0.3,"Nella Media","Scommessa/Riserva")))),"")</f>
        <v>Scommessa/Riserva</v>
      </c>
      <c r="Q372" s="29" t="n">
        <f aca="false">IF($D372="",COUNTIF($D$2:$D372,""),"")</f>
        <v>371</v>
      </c>
      <c r="R372" s="29" t="str">
        <f aca="false">IF($D372='Info Lega'!$B$28,COUNTIFS($D$2:$D372,'Info Lega'!$B$28),"")</f>
        <v/>
      </c>
      <c r="S372" s="30" t="n">
        <f aca="false">IFERROR(INDEX('Input Statistiche 2025_26'!$G$3:$G$665,MATCH($A372,'Input Statistiche 2025_26'!$A$3:$A$665,0)),"")</f>
        <v>5.65</v>
      </c>
      <c r="T372" s="30" t="n">
        <f aca="false">IFERROR(INDEX('Input Statistiche 2025_26'!$H$3:$H$665,MATCH($A372,'Input Statistiche 2025_26'!$A$3:$A$665,0)),"")</f>
        <v>5.65</v>
      </c>
      <c r="U372" s="26" t="str">
        <f aca="false">IF(OR('La Mia Rosa'!$O$12="",$D372&lt;&gt;""),"",IF($F372&lt;='La Mia Rosa'!$O$12*'Parametri Modello'!$B$24,"OK",IF($F372&lt;='La Mia Rosa'!$O$12*'Parametri Modello'!$B$25,"Attenzione","Rischio Alto")))</f>
        <v>OK</v>
      </c>
      <c r="V372" s="26" t="n">
        <f aca="false">IFERROR(COUNTIFS($B$2:$B$492,$B372,$O$2:$O$492,"&gt;"&amp;$O372)+1,"")</f>
        <v>134</v>
      </c>
      <c r="W372" s="21" t="n">
        <f aca="false">'Info Lega'!$B$4-SUMIFS($M$2:$M$492,$D$2:$D$492,'Info Lega'!$B$28)</f>
        <v>1000</v>
      </c>
      <c r="X372" s="21" t="n">
        <f aca="false">('Info Lega'!$B$5-COUNTIFS($D$2:$D$492,'Info Lega'!$B$28,$B$2:$B$492,"P"))+('Info Lega'!$B$6-COUNTIFS($D$2:$D$492,'Info Lega'!$B$28,$B$2:$B$492,"D"))+('Info Lega'!$B$7-COUNTIFS($D$2:$D$492,'Info Lega'!$B$28,$B$2:$B$492,"C"))+('Info Lega'!$B$8-COUNTIFS($D$2:$D$492,'Info Lega'!$B$28,$B$2:$B$492,"A"))</f>
        <v>25</v>
      </c>
      <c r="Y372" s="21" t="n">
        <f aca="false">X372*'Parametri Modello'!$B$30</f>
        <v>25</v>
      </c>
      <c r="Z372" s="21" t="n">
        <f aca="false">MAX(0,W372-Y372)</f>
        <v>975</v>
      </c>
      <c r="AA372" s="21" t="n">
        <f aca="false">MIN(F372,Z372)</f>
        <v>1</v>
      </c>
      <c r="AB372" s="21"/>
      <c r="AC372" s="21" t="str">
        <f aca="false">IF(AB372="","",IF(AB372&gt;AA372,"PASS",IF(AB372&lt;=AA372*0.85,"BID","ATTENZIONE")))</f>
        <v/>
      </c>
      <c r="AD372" s="31" t="n">
        <f aca="false">IF(I372="","",ROUND(100*(1-EXP(-I372/30)),0))</f>
        <v>28</v>
      </c>
      <c r="AE372" s="7" t="str">
        <f aca="false">IFERROR(INDEX('Stato Asta'!$G$9:$G$12,MATCH($B372,'Stato Asta'!$A$9:$A$12,0)),"")</f>
        <v>🟡 Attesa rischiosa</v>
      </c>
    </row>
    <row r="373" customFormat="false" ht="14.25" hidden="false" customHeight="true" outlineLevel="0" collapsed="false">
      <c r="A373" s="21" t="n">
        <v>7483</v>
      </c>
      <c r="B373" s="21" t="s">
        <v>44</v>
      </c>
      <c r="C373" s="21" t="s">
        <v>324</v>
      </c>
      <c r="E373" s="26" t="str">
        <f aca="false">IF(COUNTIF('Info Strategia'!$D$2:$D$51,$C373)&gt;0,"SI","NO")</f>
        <v>NO</v>
      </c>
      <c r="F373" s="27" t="n">
        <f aca="false">IFERROR(ROUND(($G373+($H373-$G373)*'Info Strategia'!$B$6)*(1+IF($E373="SI",'Parametri Modello'!$B$7*'Info Strategia'!$B$6,0)),0),"")</f>
        <v>1</v>
      </c>
      <c r="G373" s="27" t="n">
        <f aca="false">IFERROR(ROUND(MAX(1,(IF($V373&lt;=INDEX('Parametri Modello'!$C$57:$C$60,MATCH($B373,'Parametri Modello'!$A$57:$A$60,0)),IF(INDEX('Parametri Modello'!$E$57:$E$60,MATCH($B373,'Parametri Modello'!$A$57:$A$60,0))=0,0,($O373/INDEX('Parametri Modello'!$E$57:$E$60,MATCH($B373,'Parametri Modello'!$A$57:$A$60,0)))*(INDEX('Parametri Modello'!$D$57:$D$60,MATCH($B373,'Parametri Modello'!$A$57:$A$60,0))*(INDEX('Parametri Modello'!$B$50:$B$53,MATCH($B373,'Parametri Modello'!$A$50:$A$53,0))*'Parametri Modello'!$B$44))),IF(INDEX('Parametri Modello'!$F$57:$F$60,MATCH($B373,'Parametri Modello'!$A$57:$A$60,0))=0,0,($O373/INDEX('Parametri Modello'!$F$57:$F$60,MATCH($B373,'Parametri Modello'!$A$57:$A$60,0)))*((1-INDEX('Parametri Modello'!$D$57:$D$60,MATCH($B373,'Parametri Modello'!$A$57:$A$60,0)))*(INDEX('Parametri Modello'!$B$50:$B$53,MATCH($B373,'Parametri Modello'!$A$50:$A$53,0))*'Parametri Modello'!$B$44))))*(1+IF(IF($B373="D",'Info Lega'!$B$25,IF($B373="C",'Info Lega'!$B$26,"No"))="Si",'Parametri Modello'!$B$5,0))*(1+MAX(-0.25,MIN(0.25,IF(OR($T373="",$I373="",$I373=0,INDEX('Parametri Modello'!$B$19:$B$22,MATCH($B373,'Parametri Modello'!$A$19:$A$22,0))="",INDEX('Parametri Modello'!$B$19:$B$22,MATCH($B373,'Parametri Modello'!$A$19:$A$22,0))=0),0,(($T373-INDEX('Parametri Modello'!$B$19:$B$22,MATCH($B373,'Parametri Modello'!$A$19:$A$22,0)))/INDEX('Parametri Modello'!$B$19:$B$22,MATCH($B373,'Parametri Modello'!$A$19:$A$22,0)))*'Parametri Modello'!$B$9))))*(1+IF('Parametri Modello'!$B$27="Si",MAX(-'Parametri Modello'!$B$28,MIN('Parametri Modello'!$B$28*1.5,IF(OR(INDEX('Parametri Modello'!$F$32:$F$35,MATCH($B373,'Parametri Modello'!$A$32:$A$35,0))="",INDEX('Parametri Modello'!$F$32:$F$35,MATCH($B373,'Parametri Modello'!$A$32:$A$35,0))=0),0,(1/INDEX('Parametri Modello'!$F$32:$F$35,MATCH($B373,'Parametri Modello'!$A$32:$A$35,0))-1)*'Parametri Modello'!$B$28))),0)))*(1-INDEX('Parametri Modello'!$B$12:$B$15,MATCH($B373,'Parametri Modello'!$A$12:$A$15,0)))),0),"")</f>
        <v>1</v>
      </c>
      <c r="H373" s="27" t="n">
        <f aca="false">IFERROR(ROUND((IF($V373&lt;=INDEX('Parametri Modello'!$C$57:$C$60,MATCH($B373,'Parametri Modello'!$A$57:$A$60,0)),IF(INDEX('Parametri Modello'!$E$57:$E$60,MATCH($B373,'Parametri Modello'!$A$57:$A$60,0))=0,0,($O373/INDEX('Parametri Modello'!$E$57:$E$60,MATCH($B373,'Parametri Modello'!$A$57:$A$60,0)))*(INDEX('Parametri Modello'!$D$57:$D$60,MATCH($B373,'Parametri Modello'!$A$57:$A$60,0))*(INDEX('Parametri Modello'!$B$50:$B$53,MATCH($B373,'Parametri Modello'!$A$50:$A$53,0))*'Parametri Modello'!$B$44))),IF(INDEX('Parametri Modello'!$F$57:$F$60,MATCH($B373,'Parametri Modello'!$A$57:$A$60,0))=0,0,($O373/INDEX('Parametri Modello'!$F$57:$F$60,MATCH($B373,'Parametri Modello'!$A$57:$A$60,0)))*((1-INDEX('Parametri Modello'!$D$57:$D$60,MATCH($B373,'Parametri Modello'!$A$57:$A$60,0)))*(INDEX('Parametri Modello'!$B$50:$B$53,MATCH($B373,'Parametri Modello'!$A$50:$A$53,0))*'Parametri Modello'!$B$44))))*(1+IF(IF($B373="D",'Info Lega'!$B$25,IF($B373="C",'Info Lega'!$B$26,"No"))="Si",'Parametri Modello'!$B$5,0))*(1+MAX(-0.25,MIN(0.25,IF(OR($T373="",$I373="",$I373=0,INDEX('Parametri Modello'!$B$19:$B$22,MATCH($B373,'Parametri Modello'!$A$19:$A$22,0))="",INDEX('Parametri Modello'!$B$19:$B$22,MATCH($B373,'Parametri Modello'!$A$19:$A$22,0))=0),0,(($T373-INDEX('Parametri Modello'!$B$19:$B$22,MATCH($B373,'Parametri Modello'!$A$19:$A$22,0)))/INDEX('Parametri Modello'!$B$19:$B$22,MATCH($B373,'Parametri Modello'!$A$19:$A$22,0)))*'Parametri Modello'!$B$9))))*(1+IF('Parametri Modello'!$B$27="Si",MAX(-'Parametri Modello'!$B$28,MIN('Parametri Modello'!$B$28*1.5,IF(OR(INDEX('Parametri Modello'!$F$32:$F$35,MATCH($B373,'Parametri Modello'!$A$32:$A$35,0))="",INDEX('Parametri Modello'!$F$32:$F$35,MATCH($B373,'Parametri Modello'!$A$32:$A$35,0))=0),0,(1/INDEX('Parametri Modello'!$F$32:$F$35,MATCH($B373,'Parametri Modello'!$A$32:$A$35,0))-1)*'Parametri Modello'!$B$28))),0)))*(1+INDEX('Parametri Modello'!$B$12:$B$15,MATCH($B373,'Parametri Modello'!$A$12:$A$15,0))),0),"")</f>
        <v>1</v>
      </c>
      <c r="I373" s="26" t="str">
        <f aca="false">IFERROR(INDEX('Input Statistiche 2025_26'!$F$3:$F$665,MATCH($A373,'Input Statistiche 2025_26'!$A$3:$A$665,0)),"")</f>
        <v/>
      </c>
      <c r="J373" s="26" t="str">
        <f aca="false">IFERROR(IF($I373="","",MAX(0,38-$I373)),"")</f>
        <v/>
      </c>
      <c r="K373" s="26" t="str">
        <f aca="false">IFERROR(INDEX('Input Statistiche 2025_26'!$I$3:$I$665,MATCH($A373,'Input Statistiche 2025_26'!$A$3:$A$665,0)),"")</f>
        <v/>
      </c>
      <c r="L373" s="26" t="str">
        <f aca="false">IFERROR(INDEX('Input Statistiche 2025_26'!$O$3:$O$665,MATCH($A373,'Input Statistiche 2025_26'!$A$3:$A$665,0)),"")</f>
        <v/>
      </c>
      <c r="M373" s="28"/>
      <c r="N373" s="27" t="n">
        <f aca="false">IFERROR(INDEX('Input Giocatori 2026_27'!$E$3:$E$493,MATCH($A373,'Input Giocatori 2026_27'!$A$3:$A$493,0)),"")</f>
        <v>2</v>
      </c>
      <c r="O373" s="27" t="n">
        <f aca="false">IFERROR(INDEX('Input Giocatori 2026_27'!$G$3:$G$493,MATCH($A373,'Input Giocatori 2026_27'!$A$3:$A$493,0)),"")</f>
        <v>6</v>
      </c>
      <c r="P373" s="26" t="str">
        <f aca="false">IFERROR(IF($O373="","",IF((1-(COUNTIFS($B$2:$B$492,$B373,$O$2:$O$492,"&gt;"&amp;$O373)+1-1)/COUNTIF($B$2:$B$492,$B373))&gt;=0.85,"Top",IF((1-(COUNTIFS($B$2:$B$492,$B373,$O$2:$O$492,"&gt;"&amp;$O373)+1-1)/COUNTIF($B$2:$B$492,$B373))&gt;=0.6,"Buono",IF((1-(COUNTIFS($B$2:$B$492,$B373,$O$2:$O$492,"&gt;"&amp;$O373)+1-1)/COUNTIF($B$2:$B$492,$B373))&gt;=0.3,"Nella Media","Scommessa/Riserva")))),"")</f>
        <v>Scommessa/Riserva</v>
      </c>
      <c r="Q373" s="29" t="n">
        <f aca="false">IF($D373="",COUNTIF($D$2:$D373,""),"")</f>
        <v>372</v>
      </c>
      <c r="R373" s="29" t="str">
        <f aca="false">IF($D373='Info Lega'!$B$28,COUNTIFS($D$2:$D373,'Info Lega'!$B$28),"")</f>
        <v/>
      </c>
      <c r="S373" s="30" t="str">
        <f aca="false">IFERROR(INDEX('Input Statistiche 2025_26'!$G$3:$G$665,MATCH($A373,'Input Statistiche 2025_26'!$A$3:$A$665,0)),"")</f>
        <v/>
      </c>
      <c r="T373" s="30" t="str">
        <f aca="false">IFERROR(INDEX('Input Statistiche 2025_26'!$H$3:$H$665,MATCH($A373,'Input Statistiche 2025_26'!$A$3:$A$665,0)),"")</f>
        <v/>
      </c>
      <c r="U373" s="26" t="str">
        <f aca="false">IF(OR('La Mia Rosa'!$O$12="",$D373&lt;&gt;""),"",IF($F373&lt;='La Mia Rosa'!$O$12*'Parametri Modello'!$B$24,"OK",IF($F373&lt;='La Mia Rosa'!$O$12*'Parametri Modello'!$B$25,"Attenzione","Rischio Alto")))</f>
        <v>OK</v>
      </c>
      <c r="V373" s="26" t="n">
        <f aca="false">IFERROR(COUNTIFS($B$2:$B$492,$B373,$O$2:$O$492,"&gt;"&amp;$O373)+1,"")</f>
        <v>134</v>
      </c>
      <c r="W373" s="21" t="n">
        <f aca="false">'Info Lega'!$B$4-SUMIFS($M$2:$M$492,$D$2:$D$492,'Info Lega'!$B$28)</f>
        <v>1000</v>
      </c>
      <c r="X373" s="21" t="n">
        <f aca="false">('Info Lega'!$B$5-COUNTIFS($D$2:$D$492,'Info Lega'!$B$28,$B$2:$B$492,"P"))+('Info Lega'!$B$6-COUNTIFS($D$2:$D$492,'Info Lega'!$B$28,$B$2:$B$492,"D"))+('Info Lega'!$B$7-COUNTIFS($D$2:$D$492,'Info Lega'!$B$28,$B$2:$B$492,"C"))+('Info Lega'!$B$8-COUNTIFS($D$2:$D$492,'Info Lega'!$B$28,$B$2:$B$492,"A"))</f>
        <v>25</v>
      </c>
      <c r="Y373" s="21" t="n">
        <f aca="false">X373*'Parametri Modello'!$B$30</f>
        <v>25</v>
      </c>
      <c r="Z373" s="21" t="n">
        <f aca="false">MAX(0,W373-Y373)</f>
        <v>975</v>
      </c>
      <c r="AA373" s="21" t="n">
        <f aca="false">MIN(F373,Z373)</f>
        <v>1</v>
      </c>
      <c r="AB373" s="21"/>
      <c r="AC373" s="21" t="str">
        <f aca="false">IF(AB373="","",IF(AB373&gt;AA373,"PASS",IF(AB373&lt;=AA373*0.85,"BID","ATTENZIONE")))</f>
        <v/>
      </c>
      <c r="AD373" s="31" t="str">
        <f aca="false">IF(I373="","",ROUND(100*(1-EXP(-I373/30)),0))</f>
        <v/>
      </c>
      <c r="AE373" s="7" t="str">
        <f aca="false">IFERROR(INDEX('Stato Asta'!$G$9:$G$12,MATCH($B373,'Stato Asta'!$A$9:$A$12,0)),"")</f>
        <v>🟡 Attesa rischiosa</v>
      </c>
    </row>
    <row r="374" customFormat="false" ht="14.25" hidden="false" customHeight="true" outlineLevel="0" collapsed="false">
      <c r="A374" s="21" t="n">
        <v>6638</v>
      </c>
      <c r="B374" s="21" t="s">
        <v>44</v>
      </c>
      <c r="C374" s="21" t="s">
        <v>333</v>
      </c>
      <c r="E374" s="26" t="str">
        <f aca="false">IF(COUNTIF('Info Strategia'!$D$2:$D$51,$C374)&gt;0,"SI","NO")</f>
        <v>NO</v>
      </c>
      <c r="F374" s="27" t="n">
        <f aca="false">IFERROR(ROUND(($G374+($H374-$G374)*'Info Strategia'!$B$6)*(1+IF($E374="SI",'Parametri Modello'!$B$7*'Info Strategia'!$B$6,0)),0),"")</f>
        <v>1</v>
      </c>
      <c r="G374" s="27" t="n">
        <f aca="false">IFERROR(ROUND(MAX(1,(IF($V374&lt;=INDEX('Parametri Modello'!$C$57:$C$60,MATCH($B374,'Parametri Modello'!$A$57:$A$60,0)),IF(INDEX('Parametri Modello'!$E$57:$E$60,MATCH($B374,'Parametri Modello'!$A$57:$A$60,0))=0,0,($O374/INDEX('Parametri Modello'!$E$57:$E$60,MATCH($B374,'Parametri Modello'!$A$57:$A$60,0)))*(INDEX('Parametri Modello'!$D$57:$D$60,MATCH($B374,'Parametri Modello'!$A$57:$A$60,0))*(INDEX('Parametri Modello'!$B$50:$B$53,MATCH($B374,'Parametri Modello'!$A$50:$A$53,0))*'Parametri Modello'!$B$44))),IF(INDEX('Parametri Modello'!$F$57:$F$60,MATCH($B374,'Parametri Modello'!$A$57:$A$60,0))=0,0,($O374/INDEX('Parametri Modello'!$F$57:$F$60,MATCH($B374,'Parametri Modello'!$A$57:$A$60,0)))*((1-INDEX('Parametri Modello'!$D$57:$D$60,MATCH($B374,'Parametri Modello'!$A$57:$A$60,0)))*(INDEX('Parametri Modello'!$B$50:$B$53,MATCH($B374,'Parametri Modello'!$A$50:$A$53,0))*'Parametri Modello'!$B$44))))*(1+IF(IF($B374="D",'Info Lega'!$B$25,IF($B374="C",'Info Lega'!$B$26,"No"))="Si",'Parametri Modello'!$B$5,0))*(1+MAX(-0.25,MIN(0.25,IF(OR($T374="",$I374="",$I374=0,INDEX('Parametri Modello'!$B$19:$B$22,MATCH($B374,'Parametri Modello'!$A$19:$A$22,0))="",INDEX('Parametri Modello'!$B$19:$B$22,MATCH($B374,'Parametri Modello'!$A$19:$A$22,0))=0),0,(($T374-INDEX('Parametri Modello'!$B$19:$B$22,MATCH($B374,'Parametri Modello'!$A$19:$A$22,0)))/INDEX('Parametri Modello'!$B$19:$B$22,MATCH($B374,'Parametri Modello'!$A$19:$A$22,0)))*'Parametri Modello'!$B$9))))*(1+IF('Parametri Modello'!$B$27="Si",MAX(-'Parametri Modello'!$B$28,MIN('Parametri Modello'!$B$28*1.5,IF(OR(INDEX('Parametri Modello'!$F$32:$F$35,MATCH($B374,'Parametri Modello'!$A$32:$A$35,0))="",INDEX('Parametri Modello'!$F$32:$F$35,MATCH($B374,'Parametri Modello'!$A$32:$A$35,0))=0),0,(1/INDEX('Parametri Modello'!$F$32:$F$35,MATCH($B374,'Parametri Modello'!$A$32:$A$35,0))-1)*'Parametri Modello'!$B$28))),0)))*(1-INDEX('Parametri Modello'!$B$12:$B$15,MATCH($B374,'Parametri Modello'!$A$12:$A$15,0)))),0),"")</f>
        <v>1</v>
      </c>
      <c r="H374" s="27" t="n">
        <f aca="false">IFERROR(ROUND((IF($V374&lt;=INDEX('Parametri Modello'!$C$57:$C$60,MATCH($B374,'Parametri Modello'!$A$57:$A$60,0)),IF(INDEX('Parametri Modello'!$E$57:$E$60,MATCH($B374,'Parametri Modello'!$A$57:$A$60,0))=0,0,($O374/INDEX('Parametri Modello'!$E$57:$E$60,MATCH($B374,'Parametri Modello'!$A$57:$A$60,0)))*(INDEX('Parametri Modello'!$D$57:$D$60,MATCH($B374,'Parametri Modello'!$A$57:$A$60,0))*(INDEX('Parametri Modello'!$B$50:$B$53,MATCH($B374,'Parametri Modello'!$A$50:$A$53,0))*'Parametri Modello'!$B$44))),IF(INDEX('Parametri Modello'!$F$57:$F$60,MATCH($B374,'Parametri Modello'!$A$57:$A$60,0))=0,0,($O374/INDEX('Parametri Modello'!$F$57:$F$60,MATCH($B374,'Parametri Modello'!$A$57:$A$60,0)))*((1-INDEX('Parametri Modello'!$D$57:$D$60,MATCH($B374,'Parametri Modello'!$A$57:$A$60,0)))*(INDEX('Parametri Modello'!$B$50:$B$53,MATCH($B374,'Parametri Modello'!$A$50:$A$53,0))*'Parametri Modello'!$B$44))))*(1+IF(IF($B374="D",'Info Lega'!$B$25,IF($B374="C",'Info Lega'!$B$26,"No"))="Si",'Parametri Modello'!$B$5,0))*(1+MAX(-0.25,MIN(0.25,IF(OR($T374="",$I374="",$I374=0,INDEX('Parametri Modello'!$B$19:$B$22,MATCH($B374,'Parametri Modello'!$A$19:$A$22,0))="",INDEX('Parametri Modello'!$B$19:$B$22,MATCH($B374,'Parametri Modello'!$A$19:$A$22,0))=0),0,(($T374-INDEX('Parametri Modello'!$B$19:$B$22,MATCH($B374,'Parametri Modello'!$A$19:$A$22,0)))/INDEX('Parametri Modello'!$B$19:$B$22,MATCH($B374,'Parametri Modello'!$A$19:$A$22,0)))*'Parametri Modello'!$B$9))))*(1+IF('Parametri Modello'!$B$27="Si",MAX(-'Parametri Modello'!$B$28,MIN('Parametri Modello'!$B$28*1.5,IF(OR(INDEX('Parametri Modello'!$F$32:$F$35,MATCH($B374,'Parametri Modello'!$A$32:$A$35,0))="",INDEX('Parametri Modello'!$F$32:$F$35,MATCH($B374,'Parametri Modello'!$A$32:$A$35,0))=0),0,(1/INDEX('Parametri Modello'!$F$32:$F$35,MATCH($B374,'Parametri Modello'!$A$32:$A$35,0))-1)*'Parametri Modello'!$B$28))),0)))*(1+INDEX('Parametri Modello'!$B$12:$B$15,MATCH($B374,'Parametri Modello'!$A$12:$A$15,0))),0),"")</f>
        <v>1</v>
      </c>
      <c r="I374" s="26" t="str">
        <f aca="false">IFERROR(INDEX('Input Statistiche 2025_26'!$F$3:$F$665,MATCH($A374,'Input Statistiche 2025_26'!$A$3:$A$665,0)),"")</f>
        <v/>
      </c>
      <c r="J374" s="26" t="str">
        <f aca="false">IFERROR(IF($I374="","",MAX(0,38-$I374)),"")</f>
        <v/>
      </c>
      <c r="K374" s="26" t="str">
        <f aca="false">IFERROR(INDEX('Input Statistiche 2025_26'!$I$3:$I$665,MATCH($A374,'Input Statistiche 2025_26'!$A$3:$A$665,0)),"")</f>
        <v/>
      </c>
      <c r="L374" s="26" t="str">
        <f aca="false">IFERROR(INDEX('Input Statistiche 2025_26'!$O$3:$O$665,MATCH($A374,'Input Statistiche 2025_26'!$A$3:$A$665,0)),"")</f>
        <v/>
      </c>
      <c r="M374" s="28"/>
      <c r="N374" s="27" t="n">
        <f aca="false">IFERROR(INDEX('Input Giocatori 2026_27'!$E$3:$E$493,MATCH($A374,'Input Giocatori 2026_27'!$A$3:$A$493,0)),"")</f>
        <v>2</v>
      </c>
      <c r="O374" s="27" t="n">
        <f aca="false">IFERROR(INDEX('Input Giocatori 2026_27'!$G$3:$G$493,MATCH($A374,'Input Giocatori 2026_27'!$A$3:$A$493,0)),"")</f>
        <v>6</v>
      </c>
      <c r="P374" s="26" t="str">
        <f aca="false">IFERROR(IF($O374="","",IF((1-(COUNTIFS($B$2:$B$492,$B374,$O$2:$O$492,"&gt;"&amp;$O374)+1-1)/COUNTIF($B$2:$B$492,$B374))&gt;=0.85,"Top",IF((1-(COUNTIFS($B$2:$B$492,$B374,$O$2:$O$492,"&gt;"&amp;$O374)+1-1)/COUNTIF($B$2:$B$492,$B374))&gt;=0.6,"Buono",IF((1-(COUNTIFS($B$2:$B$492,$B374,$O$2:$O$492,"&gt;"&amp;$O374)+1-1)/COUNTIF($B$2:$B$492,$B374))&gt;=0.3,"Nella Media","Scommessa/Riserva")))),"")</f>
        <v>Scommessa/Riserva</v>
      </c>
      <c r="Q374" s="29" t="n">
        <f aca="false">IF($D374="",COUNTIF($D$2:$D374,""),"")</f>
        <v>373</v>
      </c>
      <c r="R374" s="29" t="str">
        <f aca="false">IF($D374='Info Lega'!$B$28,COUNTIFS($D$2:$D374,'Info Lega'!$B$28),"")</f>
        <v/>
      </c>
      <c r="S374" s="30" t="str">
        <f aca="false">IFERROR(INDEX('Input Statistiche 2025_26'!$G$3:$G$665,MATCH($A374,'Input Statistiche 2025_26'!$A$3:$A$665,0)),"")</f>
        <v/>
      </c>
      <c r="T374" s="30" t="str">
        <f aca="false">IFERROR(INDEX('Input Statistiche 2025_26'!$H$3:$H$665,MATCH($A374,'Input Statistiche 2025_26'!$A$3:$A$665,0)),"")</f>
        <v/>
      </c>
      <c r="U374" s="26" t="str">
        <f aca="false">IF(OR('La Mia Rosa'!$O$12="",$D374&lt;&gt;""),"",IF($F374&lt;='La Mia Rosa'!$O$12*'Parametri Modello'!$B$24,"OK",IF($F374&lt;='La Mia Rosa'!$O$12*'Parametri Modello'!$B$25,"Attenzione","Rischio Alto")))</f>
        <v>OK</v>
      </c>
      <c r="V374" s="26" t="n">
        <f aca="false">IFERROR(COUNTIFS($B$2:$B$492,$B374,$O$2:$O$492,"&gt;"&amp;$O374)+1,"")</f>
        <v>134</v>
      </c>
      <c r="W374" s="21" t="n">
        <f aca="false">'Info Lega'!$B$4-SUMIFS($M$2:$M$492,$D$2:$D$492,'Info Lega'!$B$28)</f>
        <v>1000</v>
      </c>
      <c r="X374" s="21" t="n">
        <f aca="false">('Info Lega'!$B$5-COUNTIFS($D$2:$D$492,'Info Lega'!$B$28,$B$2:$B$492,"P"))+('Info Lega'!$B$6-COUNTIFS($D$2:$D$492,'Info Lega'!$B$28,$B$2:$B$492,"D"))+('Info Lega'!$B$7-COUNTIFS($D$2:$D$492,'Info Lega'!$B$28,$B$2:$B$492,"C"))+('Info Lega'!$B$8-COUNTIFS($D$2:$D$492,'Info Lega'!$B$28,$B$2:$B$492,"A"))</f>
        <v>25</v>
      </c>
      <c r="Y374" s="21" t="n">
        <f aca="false">X374*'Parametri Modello'!$B$30</f>
        <v>25</v>
      </c>
      <c r="Z374" s="21" t="n">
        <f aca="false">MAX(0,W374-Y374)</f>
        <v>975</v>
      </c>
      <c r="AA374" s="21" t="n">
        <f aca="false">MIN(F374,Z374)</f>
        <v>1</v>
      </c>
      <c r="AB374" s="21"/>
      <c r="AC374" s="21" t="str">
        <f aca="false">IF(AB374="","",IF(AB374&gt;AA374,"PASS",IF(AB374&lt;=AA374*0.85,"BID","ATTENZIONE")))</f>
        <v/>
      </c>
      <c r="AD374" s="31" t="str">
        <f aca="false">IF(I374="","",ROUND(100*(1-EXP(-I374/30)),0))</f>
        <v/>
      </c>
      <c r="AE374" s="7" t="str">
        <f aca="false">IFERROR(INDEX('Stato Asta'!$G$9:$G$12,MATCH($B374,'Stato Asta'!$A$9:$A$12,0)),"")</f>
        <v>🟡 Attesa rischiosa</v>
      </c>
    </row>
    <row r="375" customFormat="false" ht="14.25" hidden="false" customHeight="true" outlineLevel="0" collapsed="false">
      <c r="A375" s="21" t="n">
        <v>6980</v>
      </c>
      <c r="B375" s="21" t="s">
        <v>45</v>
      </c>
      <c r="C375" s="21" t="s">
        <v>512</v>
      </c>
      <c r="E375" s="26" t="str">
        <f aca="false">IF(COUNTIF('Info Strategia'!$D$2:$D$51,$C375)&gt;0,"SI","NO")</f>
        <v>NO</v>
      </c>
      <c r="F375" s="27" t="n">
        <f aca="false">IFERROR(ROUND(($G375+($H375-$G375)*'Info Strategia'!$B$6)*(1+IF($E375="SI",'Parametri Modello'!$B$7*'Info Strategia'!$B$6,0)),0),"")</f>
        <v>1</v>
      </c>
      <c r="G375" s="27" t="n">
        <f aca="false">IFERROR(ROUND(MAX(1,(IF($V375&lt;=INDEX('Parametri Modello'!$C$57:$C$60,MATCH($B375,'Parametri Modello'!$A$57:$A$60,0)),IF(INDEX('Parametri Modello'!$E$57:$E$60,MATCH($B375,'Parametri Modello'!$A$57:$A$60,0))=0,0,($O375/INDEX('Parametri Modello'!$E$57:$E$60,MATCH($B375,'Parametri Modello'!$A$57:$A$60,0)))*(INDEX('Parametri Modello'!$D$57:$D$60,MATCH($B375,'Parametri Modello'!$A$57:$A$60,0))*(INDEX('Parametri Modello'!$B$50:$B$53,MATCH($B375,'Parametri Modello'!$A$50:$A$53,0))*'Parametri Modello'!$B$44))),IF(INDEX('Parametri Modello'!$F$57:$F$60,MATCH($B375,'Parametri Modello'!$A$57:$A$60,0))=0,0,($O375/INDEX('Parametri Modello'!$F$57:$F$60,MATCH($B375,'Parametri Modello'!$A$57:$A$60,0)))*((1-INDEX('Parametri Modello'!$D$57:$D$60,MATCH($B375,'Parametri Modello'!$A$57:$A$60,0)))*(INDEX('Parametri Modello'!$B$50:$B$53,MATCH($B375,'Parametri Modello'!$A$50:$A$53,0))*'Parametri Modello'!$B$44))))*(1+IF(IF($B375="D",'Info Lega'!$B$25,IF($B375="C",'Info Lega'!$B$26,"No"))="Si",'Parametri Modello'!$B$5,0))*(1+MAX(-0.25,MIN(0.25,IF(OR($T375="",$I375="",$I375=0,INDEX('Parametri Modello'!$B$19:$B$22,MATCH($B375,'Parametri Modello'!$A$19:$A$22,0))="",INDEX('Parametri Modello'!$B$19:$B$22,MATCH($B375,'Parametri Modello'!$A$19:$A$22,0))=0),0,(($T375-INDEX('Parametri Modello'!$B$19:$B$22,MATCH($B375,'Parametri Modello'!$A$19:$A$22,0)))/INDEX('Parametri Modello'!$B$19:$B$22,MATCH($B375,'Parametri Modello'!$A$19:$A$22,0)))*'Parametri Modello'!$B$9))))*(1+IF('Parametri Modello'!$B$27="Si",MAX(-'Parametri Modello'!$B$28,MIN('Parametri Modello'!$B$28*1.5,IF(OR(INDEX('Parametri Modello'!$F$32:$F$35,MATCH($B375,'Parametri Modello'!$A$32:$A$35,0))="",INDEX('Parametri Modello'!$F$32:$F$35,MATCH($B375,'Parametri Modello'!$A$32:$A$35,0))=0),0,(1/INDEX('Parametri Modello'!$F$32:$F$35,MATCH($B375,'Parametri Modello'!$A$32:$A$35,0))-1)*'Parametri Modello'!$B$28))),0)))*(1-INDEX('Parametri Modello'!$B$12:$B$15,MATCH($B375,'Parametri Modello'!$A$12:$A$15,0)))),0),"")</f>
        <v>1</v>
      </c>
      <c r="H375" s="27" t="n">
        <f aca="false">IFERROR(ROUND((IF($V375&lt;=INDEX('Parametri Modello'!$C$57:$C$60,MATCH($B375,'Parametri Modello'!$A$57:$A$60,0)),IF(INDEX('Parametri Modello'!$E$57:$E$60,MATCH($B375,'Parametri Modello'!$A$57:$A$60,0))=0,0,($O375/INDEX('Parametri Modello'!$E$57:$E$60,MATCH($B375,'Parametri Modello'!$A$57:$A$60,0)))*(INDEX('Parametri Modello'!$D$57:$D$60,MATCH($B375,'Parametri Modello'!$A$57:$A$60,0))*(INDEX('Parametri Modello'!$B$50:$B$53,MATCH($B375,'Parametri Modello'!$A$50:$A$53,0))*'Parametri Modello'!$B$44))),IF(INDEX('Parametri Modello'!$F$57:$F$60,MATCH($B375,'Parametri Modello'!$A$57:$A$60,0))=0,0,($O375/INDEX('Parametri Modello'!$F$57:$F$60,MATCH($B375,'Parametri Modello'!$A$57:$A$60,0)))*((1-INDEX('Parametri Modello'!$D$57:$D$60,MATCH($B375,'Parametri Modello'!$A$57:$A$60,0)))*(INDEX('Parametri Modello'!$B$50:$B$53,MATCH($B375,'Parametri Modello'!$A$50:$A$53,0))*'Parametri Modello'!$B$44))))*(1+IF(IF($B375="D",'Info Lega'!$B$25,IF($B375="C",'Info Lega'!$B$26,"No"))="Si",'Parametri Modello'!$B$5,0))*(1+MAX(-0.25,MIN(0.25,IF(OR($T375="",$I375="",$I375=0,INDEX('Parametri Modello'!$B$19:$B$22,MATCH($B375,'Parametri Modello'!$A$19:$A$22,0))="",INDEX('Parametri Modello'!$B$19:$B$22,MATCH($B375,'Parametri Modello'!$A$19:$A$22,0))=0),0,(($T375-INDEX('Parametri Modello'!$B$19:$B$22,MATCH($B375,'Parametri Modello'!$A$19:$A$22,0)))/INDEX('Parametri Modello'!$B$19:$B$22,MATCH($B375,'Parametri Modello'!$A$19:$A$22,0)))*'Parametri Modello'!$B$9))))*(1+IF('Parametri Modello'!$B$27="Si",MAX(-'Parametri Modello'!$B$28,MIN('Parametri Modello'!$B$28*1.5,IF(OR(INDEX('Parametri Modello'!$F$32:$F$35,MATCH($B375,'Parametri Modello'!$A$32:$A$35,0))="",INDEX('Parametri Modello'!$F$32:$F$35,MATCH($B375,'Parametri Modello'!$A$32:$A$35,0))=0),0,(1/INDEX('Parametri Modello'!$F$32:$F$35,MATCH($B375,'Parametri Modello'!$A$32:$A$35,0))-1)*'Parametri Modello'!$B$28))),0)))*(1+INDEX('Parametri Modello'!$B$12:$B$15,MATCH($B375,'Parametri Modello'!$A$12:$A$15,0))),0),"")</f>
        <v>1</v>
      </c>
      <c r="I375" s="26" t="n">
        <f aca="false">IFERROR(INDEX('Input Statistiche 2025_26'!$F$3:$F$665,MATCH($A375,'Input Statistiche 2025_26'!$A$3:$A$665,0)),"")</f>
        <v>7</v>
      </c>
      <c r="J375" s="26" t="n">
        <f aca="false">IFERROR(IF($I375="","",MAX(0,38-$I375)),"")</f>
        <v>31</v>
      </c>
      <c r="K375" s="26" t="n">
        <f aca="false">IFERROR(INDEX('Input Statistiche 2025_26'!$I$3:$I$665,MATCH($A375,'Input Statistiche 2025_26'!$A$3:$A$665,0)),"")</f>
        <v>0</v>
      </c>
      <c r="L375" s="26" t="n">
        <f aca="false">IFERROR(INDEX('Input Statistiche 2025_26'!$O$3:$O$665,MATCH($A375,'Input Statistiche 2025_26'!$A$3:$A$665,0)),"")</f>
        <v>0</v>
      </c>
      <c r="M375" s="28"/>
      <c r="N375" s="27" t="n">
        <f aca="false">IFERROR(INDEX('Input Giocatori 2026_27'!$E$3:$E$493,MATCH($A375,'Input Giocatori 2026_27'!$A$3:$A$493,0)),"")</f>
        <v>2</v>
      </c>
      <c r="O375" s="27" t="n">
        <f aca="false">IFERROR(INDEX('Input Giocatori 2026_27'!$G$3:$G$493,MATCH($A375,'Input Giocatori 2026_27'!$A$3:$A$493,0)),"")</f>
        <v>6</v>
      </c>
      <c r="P375" s="26" t="str">
        <f aca="false">IFERROR(IF($O375="","",IF((1-(COUNTIFS($B$2:$B$492,$B375,$O$2:$O$492,"&gt;"&amp;$O375)+1-1)/COUNTIF($B$2:$B$492,$B375))&gt;=0.85,"Top",IF((1-(COUNTIFS($B$2:$B$492,$B375,$O$2:$O$492,"&gt;"&amp;$O375)+1-1)/COUNTIF($B$2:$B$492,$B375))&gt;=0.6,"Buono",IF((1-(COUNTIFS($B$2:$B$492,$B375,$O$2:$O$492,"&gt;"&amp;$O375)+1-1)/COUNTIF($B$2:$B$492,$B375))&gt;=0.3,"Nella Media","Scommessa/Riserva")))),"")</f>
        <v>Scommessa/Riserva</v>
      </c>
      <c r="Q375" s="29" t="n">
        <f aca="false">IF($D375="",COUNTIF($D$2:$D375,""),"")</f>
        <v>374</v>
      </c>
      <c r="R375" s="29" t="str">
        <f aca="false">IF($D375='Info Lega'!$B$28,COUNTIFS($D$2:$D375,'Info Lega'!$B$28),"")</f>
        <v/>
      </c>
      <c r="S375" s="30" t="n">
        <f aca="false">IFERROR(INDEX('Input Statistiche 2025_26'!$G$3:$G$665,MATCH($A375,'Input Statistiche 2025_26'!$A$3:$A$665,0)),"")</f>
        <v>5.86</v>
      </c>
      <c r="T375" s="30" t="n">
        <f aca="false">IFERROR(INDEX('Input Statistiche 2025_26'!$H$3:$H$665,MATCH($A375,'Input Statistiche 2025_26'!$A$3:$A$665,0)),"")</f>
        <v>5.86</v>
      </c>
      <c r="U375" s="26" t="str">
        <f aca="false">IF(OR('La Mia Rosa'!$O$12="",$D375&lt;&gt;""),"",IF($F375&lt;='La Mia Rosa'!$O$12*'Parametri Modello'!$B$24,"OK",IF($F375&lt;='La Mia Rosa'!$O$12*'Parametri Modello'!$B$25,"Attenzione","Rischio Alto")))</f>
        <v>OK</v>
      </c>
      <c r="V375" s="26" t="n">
        <f aca="false">IFERROR(COUNTIFS($B$2:$B$492,$B375,$O$2:$O$492,"&gt;"&amp;$O375)+1,"")</f>
        <v>142</v>
      </c>
      <c r="W375" s="21" t="n">
        <f aca="false">'Info Lega'!$B$4-SUMIFS($M$2:$M$492,$D$2:$D$492,'Info Lega'!$B$28)</f>
        <v>1000</v>
      </c>
      <c r="X375" s="21" t="n">
        <f aca="false">('Info Lega'!$B$5-COUNTIFS($D$2:$D$492,'Info Lega'!$B$28,$B$2:$B$492,"P"))+('Info Lega'!$B$6-COUNTIFS($D$2:$D$492,'Info Lega'!$B$28,$B$2:$B$492,"D"))+('Info Lega'!$B$7-COUNTIFS($D$2:$D$492,'Info Lega'!$B$28,$B$2:$B$492,"C"))+('Info Lega'!$B$8-COUNTIFS($D$2:$D$492,'Info Lega'!$B$28,$B$2:$B$492,"A"))</f>
        <v>25</v>
      </c>
      <c r="Y375" s="21" t="n">
        <f aca="false">X375*'Parametri Modello'!$B$30</f>
        <v>25</v>
      </c>
      <c r="Z375" s="21" t="n">
        <f aca="false">MAX(0,W375-Y375)</f>
        <v>975</v>
      </c>
      <c r="AA375" s="21" t="n">
        <f aca="false">MIN(F375,Z375)</f>
        <v>1</v>
      </c>
      <c r="AB375" s="21"/>
      <c r="AC375" s="21" t="str">
        <f aca="false">IF(AB375="","",IF(AB375&gt;AA375,"PASS",IF(AB375&lt;=AA375*0.85,"BID","ATTENZIONE")))</f>
        <v/>
      </c>
      <c r="AD375" s="31" t="n">
        <f aca="false">IF(I375="","",ROUND(100*(1-EXP(-I375/30)),0))</f>
        <v>21</v>
      </c>
      <c r="AE375" s="7" t="str">
        <f aca="false">IFERROR(INDEX('Stato Asta'!$G$9:$G$12,MATCH($B375,'Stato Asta'!$A$9:$A$12,0)),"")</f>
        <v>🟡 Attesa rischiosa</v>
      </c>
    </row>
    <row r="376" customFormat="false" ht="14.25" hidden="false" customHeight="true" outlineLevel="0" collapsed="false">
      <c r="A376" s="21" t="n">
        <v>5295</v>
      </c>
      <c r="B376" s="21" t="s">
        <v>45</v>
      </c>
      <c r="C376" s="21" t="s">
        <v>514</v>
      </c>
      <c r="E376" s="26" t="str">
        <f aca="false">IF(COUNTIF('Info Strategia'!$D$2:$D$51,$C376)&gt;0,"SI","NO")</f>
        <v>NO</v>
      </c>
      <c r="F376" s="27" t="n">
        <f aca="false">IFERROR(ROUND(($G376+($H376-$G376)*'Info Strategia'!$B$6)*(1+IF($E376="SI",'Parametri Modello'!$B$7*'Info Strategia'!$B$6,0)),0),"")</f>
        <v>1</v>
      </c>
      <c r="G376" s="27" t="n">
        <f aca="false">IFERROR(ROUND(MAX(1,(IF($V376&lt;=INDEX('Parametri Modello'!$C$57:$C$60,MATCH($B376,'Parametri Modello'!$A$57:$A$60,0)),IF(INDEX('Parametri Modello'!$E$57:$E$60,MATCH($B376,'Parametri Modello'!$A$57:$A$60,0))=0,0,($O376/INDEX('Parametri Modello'!$E$57:$E$60,MATCH($B376,'Parametri Modello'!$A$57:$A$60,0)))*(INDEX('Parametri Modello'!$D$57:$D$60,MATCH($B376,'Parametri Modello'!$A$57:$A$60,0))*(INDEX('Parametri Modello'!$B$50:$B$53,MATCH($B376,'Parametri Modello'!$A$50:$A$53,0))*'Parametri Modello'!$B$44))),IF(INDEX('Parametri Modello'!$F$57:$F$60,MATCH($B376,'Parametri Modello'!$A$57:$A$60,0))=0,0,($O376/INDEX('Parametri Modello'!$F$57:$F$60,MATCH($B376,'Parametri Modello'!$A$57:$A$60,0)))*((1-INDEX('Parametri Modello'!$D$57:$D$60,MATCH($B376,'Parametri Modello'!$A$57:$A$60,0)))*(INDEX('Parametri Modello'!$B$50:$B$53,MATCH($B376,'Parametri Modello'!$A$50:$A$53,0))*'Parametri Modello'!$B$44))))*(1+IF(IF($B376="D",'Info Lega'!$B$25,IF($B376="C",'Info Lega'!$B$26,"No"))="Si",'Parametri Modello'!$B$5,0))*(1+MAX(-0.25,MIN(0.25,IF(OR($T376="",$I376="",$I376=0,INDEX('Parametri Modello'!$B$19:$B$22,MATCH($B376,'Parametri Modello'!$A$19:$A$22,0))="",INDEX('Parametri Modello'!$B$19:$B$22,MATCH($B376,'Parametri Modello'!$A$19:$A$22,0))=0),0,(($T376-INDEX('Parametri Modello'!$B$19:$B$22,MATCH($B376,'Parametri Modello'!$A$19:$A$22,0)))/INDEX('Parametri Modello'!$B$19:$B$22,MATCH($B376,'Parametri Modello'!$A$19:$A$22,0)))*'Parametri Modello'!$B$9))))*(1+IF('Parametri Modello'!$B$27="Si",MAX(-'Parametri Modello'!$B$28,MIN('Parametri Modello'!$B$28*1.5,IF(OR(INDEX('Parametri Modello'!$F$32:$F$35,MATCH($B376,'Parametri Modello'!$A$32:$A$35,0))="",INDEX('Parametri Modello'!$F$32:$F$35,MATCH($B376,'Parametri Modello'!$A$32:$A$35,0))=0),0,(1/INDEX('Parametri Modello'!$F$32:$F$35,MATCH($B376,'Parametri Modello'!$A$32:$A$35,0))-1)*'Parametri Modello'!$B$28))),0)))*(1-INDEX('Parametri Modello'!$B$12:$B$15,MATCH($B376,'Parametri Modello'!$A$12:$A$15,0)))),0),"")</f>
        <v>1</v>
      </c>
      <c r="H376" s="27" t="n">
        <f aca="false">IFERROR(ROUND((IF($V376&lt;=INDEX('Parametri Modello'!$C$57:$C$60,MATCH($B376,'Parametri Modello'!$A$57:$A$60,0)),IF(INDEX('Parametri Modello'!$E$57:$E$60,MATCH($B376,'Parametri Modello'!$A$57:$A$60,0))=0,0,($O376/INDEX('Parametri Modello'!$E$57:$E$60,MATCH($B376,'Parametri Modello'!$A$57:$A$60,0)))*(INDEX('Parametri Modello'!$D$57:$D$60,MATCH($B376,'Parametri Modello'!$A$57:$A$60,0))*(INDEX('Parametri Modello'!$B$50:$B$53,MATCH($B376,'Parametri Modello'!$A$50:$A$53,0))*'Parametri Modello'!$B$44))),IF(INDEX('Parametri Modello'!$F$57:$F$60,MATCH($B376,'Parametri Modello'!$A$57:$A$60,0))=0,0,($O376/INDEX('Parametri Modello'!$F$57:$F$60,MATCH($B376,'Parametri Modello'!$A$57:$A$60,0)))*((1-INDEX('Parametri Modello'!$D$57:$D$60,MATCH($B376,'Parametri Modello'!$A$57:$A$60,0)))*(INDEX('Parametri Modello'!$B$50:$B$53,MATCH($B376,'Parametri Modello'!$A$50:$A$53,0))*'Parametri Modello'!$B$44))))*(1+IF(IF($B376="D",'Info Lega'!$B$25,IF($B376="C",'Info Lega'!$B$26,"No"))="Si",'Parametri Modello'!$B$5,0))*(1+MAX(-0.25,MIN(0.25,IF(OR($T376="",$I376="",$I376=0,INDEX('Parametri Modello'!$B$19:$B$22,MATCH($B376,'Parametri Modello'!$A$19:$A$22,0))="",INDEX('Parametri Modello'!$B$19:$B$22,MATCH($B376,'Parametri Modello'!$A$19:$A$22,0))=0),0,(($T376-INDEX('Parametri Modello'!$B$19:$B$22,MATCH($B376,'Parametri Modello'!$A$19:$A$22,0)))/INDEX('Parametri Modello'!$B$19:$B$22,MATCH($B376,'Parametri Modello'!$A$19:$A$22,0)))*'Parametri Modello'!$B$9))))*(1+IF('Parametri Modello'!$B$27="Si",MAX(-'Parametri Modello'!$B$28,MIN('Parametri Modello'!$B$28*1.5,IF(OR(INDEX('Parametri Modello'!$F$32:$F$35,MATCH($B376,'Parametri Modello'!$A$32:$A$35,0))="",INDEX('Parametri Modello'!$F$32:$F$35,MATCH($B376,'Parametri Modello'!$A$32:$A$35,0))=0),0,(1/INDEX('Parametri Modello'!$F$32:$F$35,MATCH($B376,'Parametri Modello'!$A$32:$A$35,0))-1)*'Parametri Modello'!$B$28))),0)))*(1+INDEX('Parametri Modello'!$B$12:$B$15,MATCH($B376,'Parametri Modello'!$A$12:$A$15,0))),0),"")</f>
        <v>1</v>
      </c>
      <c r="I376" s="26" t="n">
        <f aca="false">IFERROR(INDEX('Input Statistiche 2025_26'!$F$3:$F$665,MATCH($A376,'Input Statistiche 2025_26'!$A$3:$A$665,0)),"")</f>
        <v>16</v>
      </c>
      <c r="J376" s="26" t="n">
        <f aca="false">IFERROR(IF($I376="","",MAX(0,38-$I376)),"")</f>
        <v>22</v>
      </c>
      <c r="K376" s="26" t="n">
        <f aca="false">IFERROR(INDEX('Input Statistiche 2025_26'!$I$3:$I$665,MATCH($A376,'Input Statistiche 2025_26'!$A$3:$A$665,0)),"")</f>
        <v>1</v>
      </c>
      <c r="L376" s="26" t="n">
        <f aca="false">IFERROR(INDEX('Input Statistiche 2025_26'!$O$3:$O$665,MATCH($A376,'Input Statistiche 2025_26'!$A$3:$A$665,0)),"")</f>
        <v>0</v>
      </c>
      <c r="M376" s="28"/>
      <c r="N376" s="27" t="n">
        <f aca="false">IFERROR(INDEX('Input Giocatori 2026_27'!$E$3:$E$493,MATCH($A376,'Input Giocatori 2026_27'!$A$3:$A$493,0)),"")</f>
        <v>2</v>
      </c>
      <c r="O376" s="27" t="n">
        <f aca="false">IFERROR(INDEX('Input Giocatori 2026_27'!$G$3:$G$493,MATCH($A376,'Input Giocatori 2026_27'!$A$3:$A$493,0)),"")</f>
        <v>6</v>
      </c>
      <c r="P376" s="26" t="str">
        <f aca="false">IFERROR(IF($O376="","",IF((1-(COUNTIFS($B$2:$B$492,$B376,$O$2:$O$492,"&gt;"&amp;$O376)+1-1)/COUNTIF($B$2:$B$492,$B376))&gt;=0.85,"Top",IF((1-(COUNTIFS($B$2:$B$492,$B376,$O$2:$O$492,"&gt;"&amp;$O376)+1-1)/COUNTIF($B$2:$B$492,$B376))&gt;=0.6,"Buono",IF((1-(COUNTIFS($B$2:$B$492,$B376,$O$2:$O$492,"&gt;"&amp;$O376)+1-1)/COUNTIF($B$2:$B$492,$B376))&gt;=0.3,"Nella Media","Scommessa/Riserva")))),"")</f>
        <v>Scommessa/Riserva</v>
      </c>
      <c r="Q376" s="29" t="n">
        <f aca="false">IF($D376="",COUNTIF($D$2:$D376,""),"")</f>
        <v>375</v>
      </c>
      <c r="R376" s="29" t="str">
        <f aca="false">IF($D376='Info Lega'!$B$28,COUNTIFS($D$2:$D376,'Info Lega'!$B$28),"")</f>
        <v/>
      </c>
      <c r="S376" s="30" t="n">
        <f aca="false">IFERROR(INDEX('Input Statistiche 2025_26'!$G$3:$G$665,MATCH($A376,'Input Statistiche 2025_26'!$A$3:$A$665,0)),"")</f>
        <v>5.94</v>
      </c>
      <c r="T376" s="30" t="n">
        <f aca="false">IFERROR(INDEX('Input Statistiche 2025_26'!$H$3:$H$665,MATCH($A376,'Input Statistiche 2025_26'!$A$3:$A$665,0)),"")</f>
        <v>6.09</v>
      </c>
      <c r="U376" s="26" t="str">
        <f aca="false">IF(OR('La Mia Rosa'!$O$12="",$D376&lt;&gt;""),"",IF($F376&lt;='La Mia Rosa'!$O$12*'Parametri Modello'!$B$24,"OK",IF($F376&lt;='La Mia Rosa'!$O$12*'Parametri Modello'!$B$25,"Attenzione","Rischio Alto")))</f>
        <v>OK</v>
      </c>
      <c r="V376" s="26" t="n">
        <f aca="false">IFERROR(COUNTIFS($B$2:$B$492,$B376,$O$2:$O$492,"&gt;"&amp;$O376)+1,"")</f>
        <v>142</v>
      </c>
      <c r="W376" s="21" t="n">
        <f aca="false">'Info Lega'!$B$4-SUMIFS($M$2:$M$492,$D$2:$D$492,'Info Lega'!$B$28)</f>
        <v>1000</v>
      </c>
      <c r="X376" s="21" t="n">
        <f aca="false">('Info Lega'!$B$5-COUNTIFS($D$2:$D$492,'Info Lega'!$B$28,$B$2:$B$492,"P"))+('Info Lega'!$B$6-COUNTIFS($D$2:$D$492,'Info Lega'!$B$28,$B$2:$B$492,"D"))+('Info Lega'!$B$7-COUNTIFS($D$2:$D$492,'Info Lega'!$B$28,$B$2:$B$492,"C"))+('Info Lega'!$B$8-COUNTIFS($D$2:$D$492,'Info Lega'!$B$28,$B$2:$B$492,"A"))</f>
        <v>25</v>
      </c>
      <c r="Y376" s="21" t="n">
        <f aca="false">X376*'Parametri Modello'!$B$30</f>
        <v>25</v>
      </c>
      <c r="Z376" s="21" t="n">
        <f aca="false">MAX(0,W376-Y376)</f>
        <v>975</v>
      </c>
      <c r="AA376" s="21" t="n">
        <f aca="false">MIN(F376,Z376)</f>
        <v>1</v>
      </c>
      <c r="AB376" s="21"/>
      <c r="AC376" s="21" t="str">
        <f aca="false">IF(AB376="","",IF(AB376&gt;AA376,"PASS",IF(AB376&lt;=AA376*0.85,"BID","ATTENZIONE")))</f>
        <v/>
      </c>
      <c r="AD376" s="31" t="n">
        <f aca="false">IF(I376="","",ROUND(100*(1-EXP(-I376/30)),0))</f>
        <v>41</v>
      </c>
      <c r="AE376" s="7" t="str">
        <f aca="false">IFERROR(INDEX('Stato Asta'!$G$9:$G$12,MATCH($B376,'Stato Asta'!$A$9:$A$12,0)),"")</f>
        <v>🟡 Attesa rischiosa</v>
      </c>
    </row>
    <row r="377" customFormat="false" ht="14.25" hidden="false" customHeight="true" outlineLevel="0" collapsed="false">
      <c r="A377" s="21" t="n">
        <v>5880</v>
      </c>
      <c r="B377" s="21" t="s">
        <v>45</v>
      </c>
      <c r="C377" s="21" t="s">
        <v>515</v>
      </c>
      <c r="E377" s="26" t="str">
        <f aca="false">IF(COUNTIF('Info Strategia'!$D$2:$D$51,$C377)&gt;0,"SI","NO")</f>
        <v>NO</v>
      </c>
      <c r="F377" s="27" t="n">
        <f aca="false">IFERROR(ROUND(($G377+($H377-$G377)*'Info Strategia'!$B$6)*(1+IF($E377="SI",'Parametri Modello'!$B$7*'Info Strategia'!$B$6,0)),0),"")</f>
        <v>1</v>
      </c>
      <c r="G377" s="27" t="n">
        <f aca="false">IFERROR(ROUND(MAX(1,(IF($V377&lt;=INDEX('Parametri Modello'!$C$57:$C$60,MATCH($B377,'Parametri Modello'!$A$57:$A$60,0)),IF(INDEX('Parametri Modello'!$E$57:$E$60,MATCH($B377,'Parametri Modello'!$A$57:$A$60,0))=0,0,($O377/INDEX('Parametri Modello'!$E$57:$E$60,MATCH($B377,'Parametri Modello'!$A$57:$A$60,0)))*(INDEX('Parametri Modello'!$D$57:$D$60,MATCH($B377,'Parametri Modello'!$A$57:$A$60,0))*(INDEX('Parametri Modello'!$B$50:$B$53,MATCH($B377,'Parametri Modello'!$A$50:$A$53,0))*'Parametri Modello'!$B$44))),IF(INDEX('Parametri Modello'!$F$57:$F$60,MATCH($B377,'Parametri Modello'!$A$57:$A$60,0))=0,0,($O377/INDEX('Parametri Modello'!$F$57:$F$60,MATCH($B377,'Parametri Modello'!$A$57:$A$60,0)))*((1-INDEX('Parametri Modello'!$D$57:$D$60,MATCH($B377,'Parametri Modello'!$A$57:$A$60,0)))*(INDEX('Parametri Modello'!$B$50:$B$53,MATCH($B377,'Parametri Modello'!$A$50:$A$53,0))*'Parametri Modello'!$B$44))))*(1+IF(IF($B377="D",'Info Lega'!$B$25,IF($B377="C",'Info Lega'!$B$26,"No"))="Si",'Parametri Modello'!$B$5,0))*(1+MAX(-0.25,MIN(0.25,IF(OR($T377="",$I377="",$I377=0,INDEX('Parametri Modello'!$B$19:$B$22,MATCH($B377,'Parametri Modello'!$A$19:$A$22,0))="",INDEX('Parametri Modello'!$B$19:$B$22,MATCH($B377,'Parametri Modello'!$A$19:$A$22,0))=0),0,(($T377-INDEX('Parametri Modello'!$B$19:$B$22,MATCH($B377,'Parametri Modello'!$A$19:$A$22,0)))/INDEX('Parametri Modello'!$B$19:$B$22,MATCH($B377,'Parametri Modello'!$A$19:$A$22,0)))*'Parametri Modello'!$B$9))))*(1+IF('Parametri Modello'!$B$27="Si",MAX(-'Parametri Modello'!$B$28,MIN('Parametri Modello'!$B$28*1.5,IF(OR(INDEX('Parametri Modello'!$F$32:$F$35,MATCH($B377,'Parametri Modello'!$A$32:$A$35,0))="",INDEX('Parametri Modello'!$F$32:$F$35,MATCH($B377,'Parametri Modello'!$A$32:$A$35,0))=0),0,(1/INDEX('Parametri Modello'!$F$32:$F$35,MATCH($B377,'Parametri Modello'!$A$32:$A$35,0))-1)*'Parametri Modello'!$B$28))),0)))*(1-INDEX('Parametri Modello'!$B$12:$B$15,MATCH($B377,'Parametri Modello'!$A$12:$A$15,0)))),0),"")</f>
        <v>1</v>
      </c>
      <c r="H377" s="27" t="n">
        <f aca="false">IFERROR(ROUND((IF($V377&lt;=INDEX('Parametri Modello'!$C$57:$C$60,MATCH($B377,'Parametri Modello'!$A$57:$A$60,0)),IF(INDEX('Parametri Modello'!$E$57:$E$60,MATCH($B377,'Parametri Modello'!$A$57:$A$60,0))=0,0,($O377/INDEX('Parametri Modello'!$E$57:$E$60,MATCH($B377,'Parametri Modello'!$A$57:$A$60,0)))*(INDEX('Parametri Modello'!$D$57:$D$60,MATCH($B377,'Parametri Modello'!$A$57:$A$60,0))*(INDEX('Parametri Modello'!$B$50:$B$53,MATCH($B377,'Parametri Modello'!$A$50:$A$53,0))*'Parametri Modello'!$B$44))),IF(INDEX('Parametri Modello'!$F$57:$F$60,MATCH($B377,'Parametri Modello'!$A$57:$A$60,0))=0,0,($O377/INDEX('Parametri Modello'!$F$57:$F$60,MATCH($B377,'Parametri Modello'!$A$57:$A$60,0)))*((1-INDEX('Parametri Modello'!$D$57:$D$60,MATCH($B377,'Parametri Modello'!$A$57:$A$60,0)))*(INDEX('Parametri Modello'!$B$50:$B$53,MATCH($B377,'Parametri Modello'!$A$50:$A$53,0))*'Parametri Modello'!$B$44))))*(1+IF(IF($B377="D",'Info Lega'!$B$25,IF($B377="C",'Info Lega'!$B$26,"No"))="Si",'Parametri Modello'!$B$5,0))*(1+MAX(-0.25,MIN(0.25,IF(OR($T377="",$I377="",$I377=0,INDEX('Parametri Modello'!$B$19:$B$22,MATCH($B377,'Parametri Modello'!$A$19:$A$22,0))="",INDEX('Parametri Modello'!$B$19:$B$22,MATCH($B377,'Parametri Modello'!$A$19:$A$22,0))=0),0,(($T377-INDEX('Parametri Modello'!$B$19:$B$22,MATCH($B377,'Parametri Modello'!$A$19:$A$22,0)))/INDEX('Parametri Modello'!$B$19:$B$22,MATCH($B377,'Parametri Modello'!$A$19:$A$22,0)))*'Parametri Modello'!$B$9))))*(1+IF('Parametri Modello'!$B$27="Si",MAX(-'Parametri Modello'!$B$28,MIN('Parametri Modello'!$B$28*1.5,IF(OR(INDEX('Parametri Modello'!$F$32:$F$35,MATCH($B377,'Parametri Modello'!$A$32:$A$35,0))="",INDEX('Parametri Modello'!$F$32:$F$35,MATCH($B377,'Parametri Modello'!$A$32:$A$35,0))=0),0,(1/INDEX('Parametri Modello'!$F$32:$F$35,MATCH($B377,'Parametri Modello'!$A$32:$A$35,0))-1)*'Parametri Modello'!$B$28))),0)))*(1+INDEX('Parametri Modello'!$B$12:$B$15,MATCH($B377,'Parametri Modello'!$A$12:$A$15,0))),0),"")</f>
        <v>1</v>
      </c>
      <c r="I377" s="26" t="str">
        <f aca="false">IFERROR(INDEX('Input Statistiche 2025_26'!$F$3:$F$665,MATCH($A377,'Input Statistiche 2025_26'!$A$3:$A$665,0)),"")</f>
        <v/>
      </c>
      <c r="J377" s="26" t="str">
        <f aca="false">IFERROR(IF($I377="","",MAX(0,38-$I377)),"")</f>
        <v/>
      </c>
      <c r="K377" s="26" t="str">
        <f aca="false">IFERROR(INDEX('Input Statistiche 2025_26'!$I$3:$I$665,MATCH($A377,'Input Statistiche 2025_26'!$A$3:$A$665,0)),"")</f>
        <v/>
      </c>
      <c r="L377" s="26" t="str">
        <f aca="false">IFERROR(INDEX('Input Statistiche 2025_26'!$O$3:$O$665,MATCH($A377,'Input Statistiche 2025_26'!$A$3:$A$665,0)),"")</f>
        <v/>
      </c>
      <c r="M377" s="28"/>
      <c r="N377" s="27" t="n">
        <f aca="false">IFERROR(INDEX('Input Giocatori 2026_27'!$E$3:$E$493,MATCH($A377,'Input Giocatori 2026_27'!$A$3:$A$493,0)),"")</f>
        <v>2</v>
      </c>
      <c r="O377" s="27" t="n">
        <f aca="false">IFERROR(INDEX('Input Giocatori 2026_27'!$G$3:$G$493,MATCH($A377,'Input Giocatori 2026_27'!$A$3:$A$493,0)),"")</f>
        <v>6</v>
      </c>
      <c r="P377" s="26" t="str">
        <f aca="false">IFERROR(IF($O377="","",IF((1-(COUNTIFS($B$2:$B$492,$B377,$O$2:$O$492,"&gt;"&amp;$O377)+1-1)/COUNTIF($B$2:$B$492,$B377))&gt;=0.85,"Top",IF((1-(COUNTIFS($B$2:$B$492,$B377,$O$2:$O$492,"&gt;"&amp;$O377)+1-1)/COUNTIF($B$2:$B$492,$B377))&gt;=0.6,"Buono",IF((1-(COUNTIFS($B$2:$B$492,$B377,$O$2:$O$492,"&gt;"&amp;$O377)+1-1)/COUNTIF($B$2:$B$492,$B377))&gt;=0.3,"Nella Media","Scommessa/Riserva")))),"")</f>
        <v>Scommessa/Riserva</v>
      </c>
      <c r="Q377" s="29" t="n">
        <f aca="false">IF($D377="",COUNTIF($D$2:$D377,""),"")</f>
        <v>376</v>
      </c>
      <c r="R377" s="29" t="str">
        <f aca="false">IF($D377='Info Lega'!$B$28,COUNTIFS($D$2:$D377,'Info Lega'!$B$28),"")</f>
        <v/>
      </c>
      <c r="S377" s="30" t="str">
        <f aca="false">IFERROR(INDEX('Input Statistiche 2025_26'!$G$3:$G$665,MATCH($A377,'Input Statistiche 2025_26'!$A$3:$A$665,0)),"")</f>
        <v/>
      </c>
      <c r="T377" s="30" t="str">
        <f aca="false">IFERROR(INDEX('Input Statistiche 2025_26'!$H$3:$H$665,MATCH($A377,'Input Statistiche 2025_26'!$A$3:$A$665,0)),"")</f>
        <v/>
      </c>
      <c r="U377" s="26" t="str">
        <f aca="false">IF(OR('La Mia Rosa'!$O$12="",$D377&lt;&gt;""),"",IF($F377&lt;='La Mia Rosa'!$O$12*'Parametri Modello'!$B$24,"OK",IF($F377&lt;='La Mia Rosa'!$O$12*'Parametri Modello'!$B$25,"Attenzione","Rischio Alto")))</f>
        <v>OK</v>
      </c>
      <c r="V377" s="26" t="n">
        <f aca="false">IFERROR(COUNTIFS($B$2:$B$492,$B377,$O$2:$O$492,"&gt;"&amp;$O377)+1,"")</f>
        <v>142</v>
      </c>
      <c r="W377" s="21" t="n">
        <f aca="false">'Info Lega'!$B$4-SUMIFS($M$2:$M$492,$D$2:$D$492,'Info Lega'!$B$28)</f>
        <v>1000</v>
      </c>
      <c r="X377" s="21" t="n">
        <f aca="false">('Info Lega'!$B$5-COUNTIFS($D$2:$D$492,'Info Lega'!$B$28,$B$2:$B$492,"P"))+('Info Lega'!$B$6-COUNTIFS($D$2:$D$492,'Info Lega'!$B$28,$B$2:$B$492,"D"))+('Info Lega'!$B$7-COUNTIFS($D$2:$D$492,'Info Lega'!$B$28,$B$2:$B$492,"C"))+('Info Lega'!$B$8-COUNTIFS($D$2:$D$492,'Info Lega'!$B$28,$B$2:$B$492,"A"))</f>
        <v>25</v>
      </c>
      <c r="Y377" s="21" t="n">
        <f aca="false">X377*'Parametri Modello'!$B$30</f>
        <v>25</v>
      </c>
      <c r="Z377" s="21" t="n">
        <f aca="false">MAX(0,W377-Y377)</f>
        <v>975</v>
      </c>
      <c r="AA377" s="21" t="n">
        <f aca="false">MIN(F377,Z377)</f>
        <v>1</v>
      </c>
      <c r="AB377" s="21"/>
      <c r="AC377" s="21" t="str">
        <f aca="false">IF(AB377="","",IF(AB377&gt;AA377,"PASS",IF(AB377&lt;=AA377*0.85,"BID","ATTENZIONE")))</f>
        <v/>
      </c>
      <c r="AD377" s="31" t="str">
        <f aca="false">IF(I377="","",ROUND(100*(1-EXP(-I377/30)),0))</f>
        <v/>
      </c>
      <c r="AE377" s="7" t="str">
        <f aca="false">IFERROR(INDEX('Stato Asta'!$G$9:$G$12,MATCH($B377,'Stato Asta'!$A$9:$A$12,0)),"")</f>
        <v>🟡 Attesa rischiosa</v>
      </c>
    </row>
    <row r="378" customFormat="false" ht="14.25" hidden="false" customHeight="true" outlineLevel="0" collapsed="false">
      <c r="A378" s="21" t="n">
        <v>7418</v>
      </c>
      <c r="B378" s="21" t="s">
        <v>45</v>
      </c>
      <c r="C378" s="21" t="s">
        <v>519</v>
      </c>
      <c r="E378" s="26" t="str">
        <f aca="false">IF(COUNTIF('Info Strategia'!$D$2:$D$51,$C378)&gt;0,"SI","NO")</f>
        <v>NO</v>
      </c>
      <c r="F378" s="27" t="n">
        <f aca="false">IFERROR(ROUND(($G378+($H378-$G378)*'Info Strategia'!$B$6)*(1+IF($E378="SI",'Parametri Modello'!$B$7*'Info Strategia'!$B$6,0)),0),"")</f>
        <v>1</v>
      </c>
      <c r="G378" s="27" t="n">
        <f aca="false">IFERROR(ROUND(MAX(1,(IF($V378&lt;=INDEX('Parametri Modello'!$C$57:$C$60,MATCH($B378,'Parametri Modello'!$A$57:$A$60,0)),IF(INDEX('Parametri Modello'!$E$57:$E$60,MATCH($B378,'Parametri Modello'!$A$57:$A$60,0))=0,0,($O378/INDEX('Parametri Modello'!$E$57:$E$60,MATCH($B378,'Parametri Modello'!$A$57:$A$60,0)))*(INDEX('Parametri Modello'!$D$57:$D$60,MATCH($B378,'Parametri Modello'!$A$57:$A$60,0))*(INDEX('Parametri Modello'!$B$50:$B$53,MATCH($B378,'Parametri Modello'!$A$50:$A$53,0))*'Parametri Modello'!$B$44))),IF(INDEX('Parametri Modello'!$F$57:$F$60,MATCH($B378,'Parametri Modello'!$A$57:$A$60,0))=0,0,($O378/INDEX('Parametri Modello'!$F$57:$F$60,MATCH($B378,'Parametri Modello'!$A$57:$A$60,0)))*((1-INDEX('Parametri Modello'!$D$57:$D$60,MATCH($B378,'Parametri Modello'!$A$57:$A$60,0)))*(INDEX('Parametri Modello'!$B$50:$B$53,MATCH($B378,'Parametri Modello'!$A$50:$A$53,0))*'Parametri Modello'!$B$44))))*(1+IF(IF($B378="D",'Info Lega'!$B$25,IF($B378="C",'Info Lega'!$B$26,"No"))="Si",'Parametri Modello'!$B$5,0))*(1+MAX(-0.25,MIN(0.25,IF(OR($T378="",$I378="",$I378=0,INDEX('Parametri Modello'!$B$19:$B$22,MATCH($B378,'Parametri Modello'!$A$19:$A$22,0))="",INDEX('Parametri Modello'!$B$19:$B$22,MATCH($B378,'Parametri Modello'!$A$19:$A$22,0))=0),0,(($T378-INDEX('Parametri Modello'!$B$19:$B$22,MATCH($B378,'Parametri Modello'!$A$19:$A$22,0)))/INDEX('Parametri Modello'!$B$19:$B$22,MATCH($B378,'Parametri Modello'!$A$19:$A$22,0)))*'Parametri Modello'!$B$9))))*(1+IF('Parametri Modello'!$B$27="Si",MAX(-'Parametri Modello'!$B$28,MIN('Parametri Modello'!$B$28*1.5,IF(OR(INDEX('Parametri Modello'!$F$32:$F$35,MATCH($B378,'Parametri Modello'!$A$32:$A$35,0))="",INDEX('Parametri Modello'!$F$32:$F$35,MATCH($B378,'Parametri Modello'!$A$32:$A$35,0))=0),0,(1/INDEX('Parametri Modello'!$F$32:$F$35,MATCH($B378,'Parametri Modello'!$A$32:$A$35,0))-1)*'Parametri Modello'!$B$28))),0)))*(1-INDEX('Parametri Modello'!$B$12:$B$15,MATCH($B378,'Parametri Modello'!$A$12:$A$15,0)))),0),"")</f>
        <v>1</v>
      </c>
      <c r="H378" s="27" t="n">
        <f aca="false">IFERROR(ROUND((IF($V378&lt;=INDEX('Parametri Modello'!$C$57:$C$60,MATCH($B378,'Parametri Modello'!$A$57:$A$60,0)),IF(INDEX('Parametri Modello'!$E$57:$E$60,MATCH($B378,'Parametri Modello'!$A$57:$A$60,0))=0,0,($O378/INDEX('Parametri Modello'!$E$57:$E$60,MATCH($B378,'Parametri Modello'!$A$57:$A$60,0)))*(INDEX('Parametri Modello'!$D$57:$D$60,MATCH($B378,'Parametri Modello'!$A$57:$A$60,0))*(INDEX('Parametri Modello'!$B$50:$B$53,MATCH($B378,'Parametri Modello'!$A$50:$A$53,0))*'Parametri Modello'!$B$44))),IF(INDEX('Parametri Modello'!$F$57:$F$60,MATCH($B378,'Parametri Modello'!$A$57:$A$60,0))=0,0,($O378/INDEX('Parametri Modello'!$F$57:$F$60,MATCH($B378,'Parametri Modello'!$A$57:$A$60,0)))*((1-INDEX('Parametri Modello'!$D$57:$D$60,MATCH($B378,'Parametri Modello'!$A$57:$A$60,0)))*(INDEX('Parametri Modello'!$B$50:$B$53,MATCH($B378,'Parametri Modello'!$A$50:$A$53,0))*'Parametri Modello'!$B$44))))*(1+IF(IF($B378="D",'Info Lega'!$B$25,IF($B378="C",'Info Lega'!$B$26,"No"))="Si",'Parametri Modello'!$B$5,0))*(1+MAX(-0.25,MIN(0.25,IF(OR($T378="",$I378="",$I378=0,INDEX('Parametri Modello'!$B$19:$B$22,MATCH($B378,'Parametri Modello'!$A$19:$A$22,0))="",INDEX('Parametri Modello'!$B$19:$B$22,MATCH($B378,'Parametri Modello'!$A$19:$A$22,0))=0),0,(($T378-INDEX('Parametri Modello'!$B$19:$B$22,MATCH($B378,'Parametri Modello'!$A$19:$A$22,0)))/INDEX('Parametri Modello'!$B$19:$B$22,MATCH($B378,'Parametri Modello'!$A$19:$A$22,0)))*'Parametri Modello'!$B$9))))*(1+IF('Parametri Modello'!$B$27="Si",MAX(-'Parametri Modello'!$B$28,MIN('Parametri Modello'!$B$28*1.5,IF(OR(INDEX('Parametri Modello'!$F$32:$F$35,MATCH($B378,'Parametri Modello'!$A$32:$A$35,0))="",INDEX('Parametri Modello'!$F$32:$F$35,MATCH($B378,'Parametri Modello'!$A$32:$A$35,0))=0),0,(1/INDEX('Parametri Modello'!$F$32:$F$35,MATCH($B378,'Parametri Modello'!$A$32:$A$35,0))-1)*'Parametri Modello'!$B$28))),0)))*(1+INDEX('Parametri Modello'!$B$12:$B$15,MATCH($B378,'Parametri Modello'!$A$12:$A$15,0))),0),"")</f>
        <v>1</v>
      </c>
      <c r="I378" s="26" t="str">
        <f aca="false">IFERROR(INDEX('Input Statistiche 2025_26'!$F$3:$F$665,MATCH($A378,'Input Statistiche 2025_26'!$A$3:$A$665,0)),"")</f>
        <v/>
      </c>
      <c r="J378" s="26" t="str">
        <f aca="false">IFERROR(IF($I378="","",MAX(0,38-$I378)),"")</f>
        <v/>
      </c>
      <c r="K378" s="26" t="str">
        <f aca="false">IFERROR(INDEX('Input Statistiche 2025_26'!$I$3:$I$665,MATCH($A378,'Input Statistiche 2025_26'!$A$3:$A$665,0)),"")</f>
        <v/>
      </c>
      <c r="L378" s="26" t="str">
        <f aca="false">IFERROR(INDEX('Input Statistiche 2025_26'!$O$3:$O$665,MATCH($A378,'Input Statistiche 2025_26'!$A$3:$A$665,0)),"")</f>
        <v/>
      </c>
      <c r="M378" s="28"/>
      <c r="N378" s="27" t="n">
        <f aca="false">IFERROR(INDEX('Input Giocatori 2026_27'!$E$3:$E$493,MATCH($A378,'Input Giocatori 2026_27'!$A$3:$A$493,0)),"")</f>
        <v>2</v>
      </c>
      <c r="O378" s="27" t="n">
        <f aca="false">IFERROR(INDEX('Input Giocatori 2026_27'!$G$3:$G$493,MATCH($A378,'Input Giocatori 2026_27'!$A$3:$A$493,0)),"")</f>
        <v>6</v>
      </c>
      <c r="P378" s="26" t="str">
        <f aca="false">IFERROR(IF($O378="","",IF((1-(COUNTIFS($B$2:$B$492,$B378,$O$2:$O$492,"&gt;"&amp;$O378)+1-1)/COUNTIF($B$2:$B$492,$B378))&gt;=0.85,"Top",IF((1-(COUNTIFS($B$2:$B$492,$B378,$O$2:$O$492,"&gt;"&amp;$O378)+1-1)/COUNTIF($B$2:$B$492,$B378))&gt;=0.6,"Buono",IF((1-(COUNTIFS($B$2:$B$492,$B378,$O$2:$O$492,"&gt;"&amp;$O378)+1-1)/COUNTIF($B$2:$B$492,$B378))&gt;=0.3,"Nella Media","Scommessa/Riserva")))),"")</f>
        <v>Scommessa/Riserva</v>
      </c>
      <c r="Q378" s="29" t="n">
        <f aca="false">IF($D378="",COUNTIF($D$2:$D378,""),"")</f>
        <v>377</v>
      </c>
      <c r="R378" s="29" t="str">
        <f aca="false">IF($D378='Info Lega'!$B$28,COUNTIFS($D$2:$D378,'Info Lega'!$B$28),"")</f>
        <v/>
      </c>
      <c r="S378" s="30" t="str">
        <f aca="false">IFERROR(INDEX('Input Statistiche 2025_26'!$G$3:$G$665,MATCH($A378,'Input Statistiche 2025_26'!$A$3:$A$665,0)),"")</f>
        <v/>
      </c>
      <c r="T378" s="30" t="str">
        <f aca="false">IFERROR(INDEX('Input Statistiche 2025_26'!$H$3:$H$665,MATCH($A378,'Input Statistiche 2025_26'!$A$3:$A$665,0)),"")</f>
        <v/>
      </c>
      <c r="U378" s="26" t="str">
        <f aca="false">IF(OR('La Mia Rosa'!$O$12="",$D378&lt;&gt;""),"",IF($F378&lt;='La Mia Rosa'!$O$12*'Parametri Modello'!$B$24,"OK",IF($F378&lt;='La Mia Rosa'!$O$12*'Parametri Modello'!$B$25,"Attenzione","Rischio Alto")))</f>
        <v>OK</v>
      </c>
      <c r="V378" s="26" t="n">
        <f aca="false">IFERROR(COUNTIFS($B$2:$B$492,$B378,$O$2:$O$492,"&gt;"&amp;$O378)+1,"")</f>
        <v>142</v>
      </c>
      <c r="W378" s="21" t="n">
        <f aca="false">'Info Lega'!$B$4-SUMIFS($M$2:$M$492,$D$2:$D$492,'Info Lega'!$B$28)</f>
        <v>1000</v>
      </c>
      <c r="X378" s="21" t="n">
        <f aca="false">('Info Lega'!$B$5-COUNTIFS($D$2:$D$492,'Info Lega'!$B$28,$B$2:$B$492,"P"))+('Info Lega'!$B$6-COUNTIFS($D$2:$D$492,'Info Lega'!$B$28,$B$2:$B$492,"D"))+('Info Lega'!$B$7-COUNTIFS($D$2:$D$492,'Info Lega'!$B$28,$B$2:$B$492,"C"))+('Info Lega'!$B$8-COUNTIFS($D$2:$D$492,'Info Lega'!$B$28,$B$2:$B$492,"A"))</f>
        <v>25</v>
      </c>
      <c r="Y378" s="21" t="n">
        <f aca="false">X378*'Parametri Modello'!$B$30</f>
        <v>25</v>
      </c>
      <c r="Z378" s="21" t="n">
        <f aca="false">MAX(0,W378-Y378)</f>
        <v>975</v>
      </c>
      <c r="AA378" s="21" t="n">
        <f aca="false">MIN(F378,Z378)</f>
        <v>1</v>
      </c>
      <c r="AB378" s="21"/>
      <c r="AC378" s="21" t="str">
        <f aca="false">IF(AB378="","",IF(AB378&gt;AA378,"PASS",IF(AB378&lt;=AA378*0.85,"BID","ATTENZIONE")))</f>
        <v/>
      </c>
      <c r="AD378" s="31" t="str">
        <f aca="false">IF(I378="","",ROUND(100*(1-EXP(-I378/30)),0))</f>
        <v/>
      </c>
      <c r="AE378" s="7" t="str">
        <f aca="false">IFERROR(INDEX('Stato Asta'!$G$9:$G$12,MATCH($B378,'Stato Asta'!$A$9:$A$12,0)),"")</f>
        <v>🟡 Attesa rischiosa</v>
      </c>
    </row>
    <row r="379" customFormat="false" ht="14.25" hidden="false" customHeight="true" outlineLevel="0" collapsed="false">
      <c r="A379" s="21" t="n">
        <v>7411</v>
      </c>
      <c r="B379" s="21" t="s">
        <v>43</v>
      </c>
      <c r="C379" s="21" t="s">
        <v>140</v>
      </c>
      <c r="E379" s="26" t="str">
        <f aca="false">IF(COUNTIF('Info Strategia'!$D$2:$D$51,$C379)&gt;0,"SI","NO")</f>
        <v>NO</v>
      </c>
      <c r="F379" s="27" t="n">
        <f aca="false">IFERROR(ROUND(($G379+($H379-$G379)*'Info Strategia'!$B$6)*(1+IF($E379="SI",'Parametri Modello'!$B$7*'Info Strategia'!$B$6,0)),0),"")</f>
        <v>2</v>
      </c>
      <c r="G379" s="27" t="n">
        <f aca="false">IFERROR(ROUND(MAX(1,(IF($V379&lt;=INDEX('Parametri Modello'!$C$57:$C$60,MATCH($B379,'Parametri Modello'!$A$57:$A$60,0)),IF(INDEX('Parametri Modello'!$E$57:$E$60,MATCH($B379,'Parametri Modello'!$A$57:$A$60,0))=0,0,($O379/INDEX('Parametri Modello'!$E$57:$E$60,MATCH($B379,'Parametri Modello'!$A$57:$A$60,0)))*(INDEX('Parametri Modello'!$D$57:$D$60,MATCH($B379,'Parametri Modello'!$A$57:$A$60,0))*(INDEX('Parametri Modello'!$B$50:$B$53,MATCH($B379,'Parametri Modello'!$A$50:$A$53,0))*'Parametri Modello'!$B$44))),IF(INDEX('Parametri Modello'!$F$57:$F$60,MATCH($B379,'Parametri Modello'!$A$57:$A$60,0))=0,0,($O379/INDEX('Parametri Modello'!$F$57:$F$60,MATCH($B379,'Parametri Modello'!$A$57:$A$60,0)))*((1-INDEX('Parametri Modello'!$D$57:$D$60,MATCH($B379,'Parametri Modello'!$A$57:$A$60,0)))*(INDEX('Parametri Modello'!$B$50:$B$53,MATCH($B379,'Parametri Modello'!$A$50:$A$53,0))*'Parametri Modello'!$B$44))))*(1+IF(IF($B379="D",'Info Lega'!$B$25,IF($B379="C",'Info Lega'!$B$26,"No"))="Si",'Parametri Modello'!$B$5,0))*(1+MAX(-0.25,MIN(0.25,IF(OR($T379="",$I379="",$I379=0,INDEX('Parametri Modello'!$B$19:$B$22,MATCH($B379,'Parametri Modello'!$A$19:$A$22,0))="",INDEX('Parametri Modello'!$B$19:$B$22,MATCH($B379,'Parametri Modello'!$A$19:$A$22,0))=0),0,(($T379-INDEX('Parametri Modello'!$B$19:$B$22,MATCH($B379,'Parametri Modello'!$A$19:$A$22,0)))/INDEX('Parametri Modello'!$B$19:$B$22,MATCH($B379,'Parametri Modello'!$A$19:$A$22,0)))*'Parametri Modello'!$B$9))))*(1+IF('Parametri Modello'!$B$27="Si",MAX(-'Parametri Modello'!$B$28,MIN('Parametri Modello'!$B$28*1.5,IF(OR(INDEX('Parametri Modello'!$F$32:$F$35,MATCH($B379,'Parametri Modello'!$A$32:$A$35,0))="",INDEX('Parametri Modello'!$F$32:$F$35,MATCH($B379,'Parametri Modello'!$A$32:$A$35,0))=0),0,(1/INDEX('Parametri Modello'!$F$32:$F$35,MATCH($B379,'Parametri Modello'!$A$32:$A$35,0))-1)*'Parametri Modello'!$B$28))),0)))*(1-INDEX('Parametri Modello'!$B$12:$B$15,MATCH($B379,'Parametri Modello'!$A$12:$A$15,0)))),0),"")</f>
        <v>1</v>
      </c>
      <c r="H379" s="27" t="n">
        <f aca="false">IFERROR(ROUND((IF($V379&lt;=INDEX('Parametri Modello'!$C$57:$C$60,MATCH($B379,'Parametri Modello'!$A$57:$A$60,0)),IF(INDEX('Parametri Modello'!$E$57:$E$60,MATCH($B379,'Parametri Modello'!$A$57:$A$60,0))=0,0,($O379/INDEX('Parametri Modello'!$E$57:$E$60,MATCH($B379,'Parametri Modello'!$A$57:$A$60,0)))*(INDEX('Parametri Modello'!$D$57:$D$60,MATCH($B379,'Parametri Modello'!$A$57:$A$60,0))*(INDEX('Parametri Modello'!$B$50:$B$53,MATCH($B379,'Parametri Modello'!$A$50:$A$53,0))*'Parametri Modello'!$B$44))),IF(INDEX('Parametri Modello'!$F$57:$F$60,MATCH($B379,'Parametri Modello'!$A$57:$A$60,0))=0,0,($O379/INDEX('Parametri Modello'!$F$57:$F$60,MATCH($B379,'Parametri Modello'!$A$57:$A$60,0)))*((1-INDEX('Parametri Modello'!$D$57:$D$60,MATCH($B379,'Parametri Modello'!$A$57:$A$60,0)))*(INDEX('Parametri Modello'!$B$50:$B$53,MATCH($B379,'Parametri Modello'!$A$50:$A$53,0))*'Parametri Modello'!$B$44))))*(1+IF(IF($B379="D",'Info Lega'!$B$25,IF($B379="C",'Info Lega'!$B$26,"No"))="Si",'Parametri Modello'!$B$5,0))*(1+MAX(-0.25,MIN(0.25,IF(OR($T379="",$I379="",$I379=0,INDEX('Parametri Modello'!$B$19:$B$22,MATCH($B379,'Parametri Modello'!$A$19:$A$22,0))="",INDEX('Parametri Modello'!$B$19:$B$22,MATCH($B379,'Parametri Modello'!$A$19:$A$22,0))=0),0,(($T379-INDEX('Parametri Modello'!$B$19:$B$22,MATCH($B379,'Parametri Modello'!$A$19:$A$22,0)))/INDEX('Parametri Modello'!$B$19:$B$22,MATCH($B379,'Parametri Modello'!$A$19:$A$22,0)))*'Parametri Modello'!$B$9))))*(1+IF('Parametri Modello'!$B$27="Si",MAX(-'Parametri Modello'!$B$28,MIN('Parametri Modello'!$B$28*1.5,IF(OR(INDEX('Parametri Modello'!$F$32:$F$35,MATCH($B379,'Parametri Modello'!$A$32:$A$35,0))="",INDEX('Parametri Modello'!$F$32:$F$35,MATCH($B379,'Parametri Modello'!$A$32:$A$35,0))=0),0,(1/INDEX('Parametri Modello'!$F$32:$F$35,MATCH($B379,'Parametri Modello'!$A$32:$A$35,0))-1)*'Parametri Modello'!$B$28))),0)))*(1+INDEX('Parametri Modello'!$B$12:$B$15,MATCH($B379,'Parametri Modello'!$A$12:$A$15,0))),0),"")</f>
        <v>2</v>
      </c>
      <c r="I379" s="26" t="str">
        <f aca="false">IFERROR(INDEX('Input Statistiche 2025_26'!$F$3:$F$665,MATCH($A379,'Input Statistiche 2025_26'!$A$3:$A$665,0)),"")</f>
        <v/>
      </c>
      <c r="J379" s="26" t="str">
        <f aca="false">IFERROR(IF($I379="","",MAX(0,38-$I379)),"")</f>
        <v/>
      </c>
      <c r="K379" s="26" t="str">
        <f aca="false">IFERROR(INDEX('Input Statistiche 2025_26'!$I$3:$I$665,MATCH($A379,'Input Statistiche 2025_26'!$A$3:$A$665,0)),"")</f>
        <v/>
      </c>
      <c r="L379" s="26" t="str">
        <f aca="false">IFERROR(INDEX('Input Statistiche 2025_26'!$O$3:$O$665,MATCH($A379,'Input Statistiche 2025_26'!$A$3:$A$665,0)),"")</f>
        <v/>
      </c>
      <c r="M379" s="28"/>
      <c r="N379" s="27" t="n">
        <f aca="false">IFERROR(INDEX('Input Giocatori 2026_27'!$E$3:$E$493,MATCH($A379,'Input Giocatori 2026_27'!$A$3:$A$493,0)),"")</f>
        <v>7</v>
      </c>
      <c r="O379" s="27" t="n">
        <f aca="false">IFERROR(INDEX('Input Giocatori 2026_27'!$G$3:$G$493,MATCH($A379,'Input Giocatori 2026_27'!$A$3:$A$493,0)),"")</f>
        <v>5</v>
      </c>
      <c r="P379" s="26" t="str">
        <f aca="false">IFERROR(IF($O379="","",IF((1-(COUNTIFS($B$2:$B$492,$B379,$O$2:$O$492,"&gt;"&amp;$O379)+1-1)/COUNTIF($B$2:$B$492,$B379))&gt;=0.85,"Top",IF((1-(COUNTIFS($B$2:$B$492,$B379,$O$2:$O$492,"&gt;"&amp;$O379)+1-1)/COUNTIF($B$2:$B$492,$B379))&gt;=0.6,"Buono",IF((1-(COUNTIFS($B$2:$B$492,$B379,$O$2:$O$492,"&gt;"&amp;$O379)+1-1)/COUNTIF($B$2:$B$492,$B379))&gt;=0.3,"Nella Media","Scommessa/Riserva")))),"")</f>
        <v>Buono</v>
      </c>
      <c r="Q379" s="29" t="n">
        <f aca="false">IF($D379="",COUNTIF($D$2:$D379,""),"")</f>
        <v>378</v>
      </c>
      <c r="R379" s="29" t="str">
        <f aca="false">IF($D379='Info Lega'!$B$28,COUNTIFS($D$2:$D379,'Info Lega'!$B$28),"")</f>
        <v/>
      </c>
      <c r="S379" s="30" t="str">
        <f aca="false">IFERROR(INDEX('Input Statistiche 2025_26'!$G$3:$G$665,MATCH($A379,'Input Statistiche 2025_26'!$A$3:$A$665,0)),"")</f>
        <v/>
      </c>
      <c r="T379" s="30" t="str">
        <f aca="false">IFERROR(INDEX('Input Statistiche 2025_26'!$H$3:$H$665,MATCH($A379,'Input Statistiche 2025_26'!$A$3:$A$665,0)),"")</f>
        <v/>
      </c>
      <c r="U379" s="26" t="str">
        <f aca="false">IF(OR('La Mia Rosa'!$O$12="",$D379&lt;&gt;""),"",IF($F379&lt;='La Mia Rosa'!$O$12*'Parametri Modello'!$B$24,"OK",IF($F379&lt;='La Mia Rosa'!$O$12*'Parametri Modello'!$B$25,"Attenzione","Rischio Alto")))</f>
        <v>OK</v>
      </c>
      <c r="V379" s="26" t="n">
        <f aca="false">IFERROR(COUNTIFS($B$2:$B$492,$B379,$O$2:$O$492,"&gt;"&amp;$O379)+1,"")</f>
        <v>23</v>
      </c>
      <c r="W379" s="21" t="n">
        <f aca="false">'Info Lega'!$B$4-SUMIFS($M$2:$M$492,$D$2:$D$492,'Info Lega'!$B$28)</f>
        <v>1000</v>
      </c>
      <c r="X379" s="21" t="n">
        <f aca="false">('Info Lega'!$B$5-COUNTIFS($D$2:$D$492,'Info Lega'!$B$28,$B$2:$B$492,"P"))+('Info Lega'!$B$6-COUNTIFS($D$2:$D$492,'Info Lega'!$B$28,$B$2:$B$492,"D"))+('Info Lega'!$B$7-COUNTIFS($D$2:$D$492,'Info Lega'!$B$28,$B$2:$B$492,"C"))+('Info Lega'!$B$8-COUNTIFS($D$2:$D$492,'Info Lega'!$B$28,$B$2:$B$492,"A"))</f>
        <v>25</v>
      </c>
      <c r="Y379" s="21" t="n">
        <f aca="false">X379*'Parametri Modello'!$B$30</f>
        <v>25</v>
      </c>
      <c r="Z379" s="21" t="n">
        <f aca="false">MAX(0,W379-Y379)</f>
        <v>975</v>
      </c>
      <c r="AA379" s="21" t="n">
        <f aca="false">MIN(F379,Z379)</f>
        <v>2</v>
      </c>
      <c r="AB379" s="21"/>
      <c r="AC379" s="21" t="str">
        <f aca="false">IF(AB379="","",IF(AB379&gt;AA379,"PASS",IF(AB379&lt;=AA379*0.85,"BID","ATTENZIONE")))</f>
        <v/>
      </c>
      <c r="AD379" s="31" t="str">
        <f aca="false">IF(I379="","",ROUND(100*(1-EXP(-I379/30)),0))</f>
        <v/>
      </c>
      <c r="AE379" s="7" t="str">
        <f aca="false">IFERROR(INDEX('Stato Asta'!$G$9:$G$12,MATCH($B379,'Stato Asta'!$A$9:$A$12,0)),"")</f>
        <v>🟡 Attesa rischiosa</v>
      </c>
    </row>
    <row r="380" customFormat="false" ht="14.25" hidden="false" customHeight="true" outlineLevel="0" collapsed="false">
      <c r="A380" s="21" t="n">
        <v>2814</v>
      </c>
      <c r="B380" s="21" t="s">
        <v>43</v>
      </c>
      <c r="C380" s="21" t="s">
        <v>154</v>
      </c>
      <c r="E380" s="26" t="str">
        <f aca="false">IF(COUNTIF('Info Strategia'!$D$2:$D$51,$C380)&gt;0,"SI","NO")</f>
        <v>NO</v>
      </c>
      <c r="F380" s="27" t="n">
        <f aca="false">IFERROR(ROUND(($G380+($H380-$G380)*'Info Strategia'!$B$6)*(1+IF($E380="SI",'Parametri Modello'!$B$7*'Info Strategia'!$B$6,0)),0),"")</f>
        <v>2</v>
      </c>
      <c r="G380" s="27" t="n">
        <f aca="false">IFERROR(ROUND(MAX(1,(IF($V380&lt;=INDEX('Parametri Modello'!$C$57:$C$60,MATCH($B380,'Parametri Modello'!$A$57:$A$60,0)),IF(INDEX('Parametri Modello'!$E$57:$E$60,MATCH($B380,'Parametri Modello'!$A$57:$A$60,0))=0,0,($O380/INDEX('Parametri Modello'!$E$57:$E$60,MATCH($B380,'Parametri Modello'!$A$57:$A$60,0)))*(INDEX('Parametri Modello'!$D$57:$D$60,MATCH($B380,'Parametri Modello'!$A$57:$A$60,0))*(INDEX('Parametri Modello'!$B$50:$B$53,MATCH($B380,'Parametri Modello'!$A$50:$A$53,0))*'Parametri Modello'!$B$44))),IF(INDEX('Parametri Modello'!$F$57:$F$60,MATCH($B380,'Parametri Modello'!$A$57:$A$60,0))=0,0,($O380/INDEX('Parametri Modello'!$F$57:$F$60,MATCH($B380,'Parametri Modello'!$A$57:$A$60,0)))*((1-INDEX('Parametri Modello'!$D$57:$D$60,MATCH($B380,'Parametri Modello'!$A$57:$A$60,0)))*(INDEX('Parametri Modello'!$B$50:$B$53,MATCH($B380,'Parametri Modello'!$A$50:$A$53,0))*'Parametri Modello'!$B$44))))*(1+IF(IF($B380="D",'Info Lega'!$B$25,IF($B380="C",'Info Lega'!$B$26,"No"))="Si",'Parametri Modello'!$B$5,0))*(1+MAX(-0.25,MIN(0.25,IF(OR($T380="",$I380="",$I380=0,INDEX('Parametri Modello'!$B$19:$B$22,MATCH($B380,'Parametri Modello'!$A$19:$A$22,0))="",INDEX('Parametri Modello'!$B$19:$B$22,MATCH($B380,'Parametri Modello'!$A$19:$A$22,0))=0),0,(($T380-INDEX('Parametri Modello'!$B$19:$B$22,MATCH($B380,'Parametri Modello'!$A$19:$A$22,0)))/INDEX('Parametri Modello'!$B$19:$B$22,MATCH($B380,'Parametri Modello'!$A$19:$A$22,0)))*'Parametri Modello'!$B$9))))*(1+IF('Parametri Modello'!$B$27="Si",MAX(-'Parametri Modello'!$B$28,MIN('Parametri Modello'!$B$28*1.5,IF(OR(INDEX('Parametri Modello'!$F$32:$F$35,MATCH($B380,'Parametri Modello'!$A$32:$A$35,0))="",INDEX('Parametri Modello'!$F$32:$F$35,MATCH($B380,'Parametri Modello'!$A$32:$A$35,0))=0),0,(1/INDEX('Parametri Modello'!$F$32:$F$35,MATCH($B380,'Parametri Modello'!$A$32:$A$35,0))-1)*'Parametri Modello'!$B$28))),0)))*(1-INDEX('Parametri Modello'!$B$12:$B$15,MATCH($B380,'Parametri Modello'!$A$12:$A$15,0)))),0),"")</f>
        <v>1</v>
      </c>
      <c r="H380" s="27" t="n">
        <f aca="false">IFERROR(ROUND((IF($V380&lt;=INDEX('Parametri Modello'!$C$57:$C$60,MATCH($B380,'Parametri Modello'!$A$57:$A$60,0)),IF(INDEX('Parametri Modello'!$E$57:$E$60,MATCH($B380,'Parametri Modello'!$A$57:$A$60,0))=0,0,($O380/INDEX('Parametri Modello'!$E$57:$E$60,MATCH($B380,'Parametri Modello'!$A$57:$A$60,0)))*(INDEX('Parametri Modello'!$D$57:$D$60,MATCH($B380,'Parametri Modello'!$A$57:$A$60,0))*(INDEX('Parametri Modello'!$B$50:$B$53,MATCH($B380,'Parametri Modello'!$A$50:$A$53,0))*'Parametri Modello'!$B$44))),IF(INDEX('Parametri Modello'!$F$57:$F$60,MATCH($B380,'Parametri Modello'!$A$57:$A$60,0))=0,0,($O380/INDEX('Parametri Modello'!$F$57:$F$60,MATCH($B380,'Parametri Modello'!$A$57:$A$60,0)))*((1-INDEX('Parametri Modello'!$D$57:$D$60,MATCH($B380,'Parametri Modello'!$A$57:$A$60,0)))*(INDEX('Parametri Modello'!$B$50:$B$53,MATCH($B380,'Parametri Modello'!$A$50:$A$53,0))*'Parametri Modello'!$B$44))))*(1+IF(IF($B380="D",'Info Lega'!$B$25,IF($B380="C",'Info Lega'!$B$26,"No"))="Si",'Parametri Modello'!$B$5,0))*(1+MAX(-0.25,MIN(0.25,IF(OR($T380="",$I380="",$I380=0,INDEX('Parametri Modello'!$B$19:$B$22,MATCH($B380,'Parametri Modello'!$A$19:$A$22,0))="",INDEX('Parametri Modello'!$B$19:$B$22,MATCH($B380,'Parametri Modello'!$A$19:$A$22,0))=0),0,(($T380-INDEX('Parametri Modello'!$B$19:$B$22,MATCH($B380,'Parametri Modello'!$A$19:$A$22,0)))/INDEX('Parametri Modello'!$B$19:$B$22,MATCH($B380,'Parametri Modello'!$A$19:$A$22,0)))*'Parametri Modello'!$B$9))))*(1+IF('Parametri Modello'!$B$27="Si",MAX(-'Parametri Modello'!$B$28,MIN('Parametri Modello'!$B$28*1.5,IF(OR(INDEX('Parametri Modello'!$F$32:$F$35,MATCH($B380,'Parametri Modello'!$A$32:$A$35,0))="",INDEX('Parametri Modello'!$F$32:$F$35,MATCH($B380,'Parametri Modello'!$A$32:$A$35,0))=0),0,(1/INDEX('Parametri Modello'!$F$32:$F$35,MATCH($B380,'Parametri Modello'!$A$32:$A$35,0))-1)*'Parametri Modello'!$B$28))),0)))*(1+INDEX('Parametri Modello'!$B$12:$B$15,MATCH($B380,'Parametri Modello'!$A$12:$A$15,0))),0),"")</f>
        <v>2</v>
      </c>
      <c r="I380" s="26" t="n">
        <f aca="false">IFERROR(INDEX('Input Statistiche 2025_26'!$F$3:$F$665,MATCH($A380,'Input Statistiche 2025_26'!$A$3:$A$665,0)),"")</f>
        <v>27</v>
      </c>
      <c r="J380" s="26" t="n">
        <f aca="false">IFERROR(IF($I380="","",MAX(0,38-$I380)),"")</f>
        <v>11</v>
      </c>
      <c r="K380" s="26" t="n">
        <f aca="false">IFERROR(INDEX('Input Statistiche 2025_26'!$I$3:$I$665,MATCH($A380,'Input Statistiche 2025_26'!$A$3:$A$665,0)),"")</f>
        <v>0</v>
      </c>
      <c r="L380" s="26" t="n">
        <f aca="false">IFERROR(INDEX('Input Statistiche 2025_26'!$O$3:$O$665,MATCH($A380,'Input Statistiche 2025_26'!$A$3:$A$665,0)),"")</f>
        <v>0</v>
      </c>
      <c r="M380" s="28"/>
      <c r="N380" s="27" t="n">
        <f aca="false">IFERROR(INDEX('Input Giocatori 2026_27'!$E$3:$E$493,MATCH($A380,'Input Giocatori 2026_27'!$A$3:$A$493,0)),"")</f>
        <v>2</v>
      </c>
      <c r="O380" s="27" t="n">
        <f aca="false">IFERROR(INDEX('Input Giocatori 2026_27'!$G$3:$G$493,MATCH($A380,'Input Giocatori 2026_27'!$A$3:$A$493,0)),"")</f>
        <v>5</v>
      </c>
      <c r="P380" s="26" t="str">
        <f aca="false">IFERROR(IF($O380="","",IF((1-(COUNTIFS($B$2:$B$492,$B380,$O$2:$O$492,"&gt;"&amp;$O380)+1-1)/COUNTIF($B$2:$B$492,$B380))&gt;=0.85,"Top",IF((1-(COUNTIFS($B$2:$B$492,$B380,$O$2:$O$492,"&gt;"&amp;$O380)+1-1)/COUNTIF($B$2:$B$492,$B380))&gt;=0.6,"Buono",IF((1-(COUNTIFS($B$2:$B$492,$B380,$O$2:$O$492,"&gt;"&amp;$O380)+1-1)/COUNTIF($B$2:$B$492,$B380))&gt;=0.3,"Nella Media","Scommessa/Riserva")))),"")</f>
        <v>Buono</v>
      </c>
      <c r="Q380" s="29" t="n">
        <f aca="false">IF($D380="",COUNTIF($D$2:$D380,""),"")</f>
        <v>379</v>
      </c>
      <c r="R380" s="29" t="str">
        <f aca="false">IF($D380='Info Lega'!$B$28,COUNTIFS($D$2:$D380,'Info Lega'!$B$28),"")</f>
        <v/>
      </c>
      <c r="S380" s="30" t="n">
        <f aca="false">IFERROR(INDEX('Input Statistiche 2025_26'!$G$3:$G$665,MATCH($A380,'Input Statistiche 2025_26'!$A$3:$A$665,0)),"")</f>
        <v>6.26</v>
      </c>
      <c r="T380" s="30" t="n">
        <f aca="false">IFERROR(INDEX('Input Statistiche 2025_26'!$H$3:$H$665,MATCH($A380,'Input Statistiche 2025_26'!$A$3:$A$665,0)),"")</f>
        <v>5.35</v>
      </c>
      <c r="U380" s="26" t="str">
        <f aca="false">IF(OR('La Mia Rosa'!$O$12="",$D380&lt;&gt;""),"",IF($F380&lt;='La Mia Rosa'!$O$12*'Parametri Modello'!$B$24,"OK",IF($F380&lt;='La Mia Rosa'!$O$12*'Parametri Modello'!$B$25,"Attenzione","Rischio Alto")))</f>
        <v>OK</v>
      </c>
      <c r="V380" s="26" t="n">
        <f aca="false">IFERROR(COUNTIFS($B$2:$B$492,$B380,$O$2:$O$492,"&gt;"&amp;$O380)+1,"")</f>
        <v>23</v>
      </c>
      <c r="W380" s="21" t="n">
        <f aca="false">'Info Lega'!$B$4-SUMIFS($M$2:$M$492,$D$2:$D$492,'Info Lega'!$B$28)</f>
        <v>1000</v>
      </c>
      <c r="X380" s="21" t="n">
        <f aca="false">('Info Lega'!$B$5-COUNTIFS($D$2:$D$492,'Info Lega'!$B$28,$B$2:$B$492,"P"))+('Info Lega'!$B$6-COUNTIFS($D$2:$D$492,'Info Lega'!$B$28,$B$2:$B$492,"D"))+('Info Lega'!$B$7-COUNTIFS($D$2:$D$492,'Info Lega'!$B$28,$B$2:$B$492,"C"))+('Info Lega'!$B$8-COUNTIFS($D$2:$D$492,'Info Lega'!$B$28,$B$2:$B$492,"A"))</f>
        <v>25</v>
      </c>
      <c r="Y380" s="21" t="n">
        <f aca="false">X380*'Parametri Modello'!$B$30</f>
        <v>25</v>
      </c>
      <c r="Z380" s="21" t="n">
        <f aca="false">MAX(0,W380-Y380)</f>
        <v>975</v>
      </c>
      <c r="AA380" s="21" t="n">
        <f aca="false">MIN(F380,Z380)</f>
        <v>2</v>
      </c>
      <c r="AB380" s="21"/>
      <c r="AC380" s="21" t="str">
        <f aca="false">IF(AB380="","",IF(AB380&gt;AA380,"PASS",IF(AB380&lt;=AA380*0.85,"BID","ATTENZIONE")))</f>
        <v/>
      </c>
      <c r="AD380" s="31" t="n">
        <f aca="false">IF(I380="","",ROUND(100*(1-EXP(-I380/30)),0))</f>
        <v>59</v>
      </c>
      <c r="AE380" s="7" t="str">
        <f aca="false">IFERROR(INDEX('Stato Asta'!$G$9:$G$12,MATCH($B380,'Stato Asta'!$A$9:$A$12,0)),"")</f>
        <v>🟡 Attesa rischiosa</v>
      </c>
    </row>
    <row r="381" customFormat="false" ht="14.25" hidden="false" customHeight="true" outlineLevel="0" collapsed="false">
      <c r="A381" s="21" t="n">
        <v>7326</v>
      </c>
      <c r="B381" s="21" t="s">
        <v>44</v>
      </c>
      <c r="C381" s="21" t="s">
        <v>323</v>
      </c>
      <c r="E381" s="26" t="str">
        <f aca="false">IF(COUNTIF('Info Strategia'!$D$2:$D$51,$C381)&gt;0,"SI","NO")</f>
        <v>NO</v>
      </c>
      <c r="F381" s="27" t="n">
        <f aca="false">IFERROR(ROUND(($G381+($H381-$G381)*'Info Strategia'!$B$6)*(1+IF($E381="SI",'Parametri Modello'!$B$7*'Info Strategia'!$B$6,0)),0),"")</f>
        <v>1</v>
      </c>
      <c r="G381" s="27" t="n">
        <f aca="false">IFERROR(ROUND(MAX(1,(IF($V381&lt;=INDEX('Parametri Modello'!$C$57:$C$60,MATCH($B381,'Parametri Modello'!$A$57:$A$60,0)),IF(INDEX('Parametri Modello'!$E$57:$E$60,MATCH($B381,'Parametri Modello'!$A$57:$A$60,0))=0,0,($O381/INDEX('Parametri Modello'!$E$57:$E$60,MATCH($B381,'Parametri Modello'!$A$57:$A$60,0)))*(INDEX('Parametri Modello'!$D$57:$D$60,MATCH($B381,'Parametri Modello'!$A$57:$A$60,0))*(INDEX('Parametri Modello'!$B$50:$B$53,MATCH($B381,'Parametri Modello'!$A$50:$A$53,0))*'Parametri Modello'!$B$44))),IF(INDEX('Parametri Modello'!$F$57:$F$60,MATCH($B381,'Parametri Modello'!$A$57:$A$60,0))=0,0,($O381/INDEX('Parametri Modello'!$F$57:$F$60,MATCH($B381,'Parametri Modello'!$A$57:$A$60,0)))*((1-INDEX('Parametri Modello'!$D$57:$D$60,MATCH($B381,'Parametri Modello'!$A$57:$A$60,0)))*(INDEX('Parametri Modello'!$B$50:$B$53,MATCH($B381,'Parametri Modello'!$A$50:$A$53,0))*'Parametri Modello'!$B$44))))*(1+IF(IF($B381="D",'Info Lega'!$B$25,IF($B381="C",'Info Lega'!$B$26,"No"))="Si",'Parametri Modello'!$B$5,0))*(1+MAX(-0.25,MIN(0.25,IF(OR($T381="",$I381="",$I381=0,INDEX('Parametri Modello'!$B$19:$B$22,MATCH($B381,'Parametri Modello'!$A$19:$A$22,0))="",INDEX('Parametri Modello'!$B$19:$B$22,MATCH($B381,'Parametri Modello'!$A$19:$A$22,0))=0),0,(($T381-INDEX('Parametri Modello'!$B$19:$B$22,MATCH($B381,'Parametri Modello'!$A$19:$A$22,0)))/INDEX('Parametri Modello'!$B$19:$B$22,MATCH($B381,'Parametri Modello'!$A$19:$A$22,0)))*'Parametri Modello'!$B$9))))*(1+IF('Parametri Modello'!$B$27="Si",MAX(-'Parametri Modello'!$B$28,MIN('Parametri Modello'!$B$28*1.5,IF(OR(INDEX('Parametri Modello'!$F$32:$F$35,MATCH($B381,'Parametri Modello'!$A$32:$A$35,0))="",INDEX('Parametri Modello'!$F$32:$F$35,MATCH($B381,'Parametri Modello'!$A$32:$A$35,0))=0),0,(1/INDEX('Parametri Modello'!$F$32:$F$35,MATCH($B381,'Parametri Modello'!$A$32:$A$35,0))-1)*'Parametri Modello'!$B$28))),0)))*(1-INDEX('Parametri Modello'!$B$12:$B$15,MATCH($B381,'Parametri Modello'!$A$12:$A$15,0)))),0),"")</f>
        <v>1</v>
      </c>
      <c r="H381" s="27" t="n">
        <f aca="false">IFERROR(ROUND((IF($V381&lt;=INDEX('Parametri Modello'!$C$57:$C$60,MATCH($B381,'Parametri Modello'!$A$57:$A$60,0)),IF(INDEX('Parametri Modello'!$E$57:$E$60,MATCH($B381,'Parametri Modello'!$A$57:$A$60,0))=0,0,($O381/INDEX('Parametri Modello'!$E$57:$E$60,MATCH($B381,'Parametri Modello'!$A$57:$A$60,0)))*(INDEX('Parametri Modello'!$D$57:$D$60,MATCH($B381,'Parametri Modello'!$A$57:$A$60,0))*(INDEX('Parametri Modello'!$B$50:$B$53,MATCH($B381,'Parametri Modello'!$A$50:$A$53,0))*'Parametri Modello'!$B$44))),IF(INDEX('Parametri Modello'!$F$57:$F$60,MATCH($B381,'Parametri Modello'!$A$57:$A$60,0))=0,0,($O381/INDEX('Parametri Modello'!$F$57:$F$60,MATCH($B381,'Parametri Modello'!$A$57:$A$60,0)))*((1-INDEX('Parametri Modello'!$D$57:$D$60,MATCH($B381,'Parametri Modello'!$A$57:$A$60,0)))*(INDEX('Parametri Modello'!$B$50:$B$53,MATCH($B381,'Parametri Modello'!$A$50:$A$53,0))*'Parametri Modello'!$B$44))))*(1+IF(IF($B381="D",'Info Lega'!$B$25,IF($B381="C",'Info Lega'!$B$26,"No"))="Si",'Parametri Modello'!$B$5,0))*(1+MAX(-0.25,MIN(0.25,IF(OR($T381="",$I381="",$I381=0,INDEX('Parametri Modello'!$B$19:$B$22,MATCH($B381,'Parametri Modello'!$A$19:$A$22,0))="",INDEX('Parametri Modello'!$B$19:$B$22,MATCH($B381,'Parametri Modello'!$A$19:$A$22,0))=0),0,(($T381-INDEX('Parametri Modello'!$B$19:$B$22,MATCH($B381,'Parametri Modello'!$A$19:$A$22,0)))/INDEX('Parametri Modello'!$B$19:$B$22,MATCH($B381,'Parametri Modello'!$A$19:$A$22,0)))*'Parametri Modello'!$B$9))))*(1+IF('Parametri Modello'!$B$27="Si",MAX(-'Parametri Modello'!$B$28,MIN('Parametri Modello'!$B$28*1.5,IF(OR(INDEX('Parametri Modello'!$F$32:$F$35,MATCH($B381,'Parametri Modello'!$A$32:$A$35,0))="",INDEX('Parametri Modello'!$F$32:$F$35,MATCH($B381,'Parametri Modello'!$A$32:$A$35,0))=0),0,(1/INDEX('Parametri Modello'!$F$32:$F$35,MATCH($B381,'Parametri Modello'!$A$32:$A$35,0))-1)*'Parametri Modello'!$B$28))),0)))*(1+INDEX('Parametri Modello'!$B$12:$B$15,MATCH($B381,'Parametri Modello'!$A$12:$A$15,0))),0),"")</f>
        <v>1</v>
      </c>
      <c r="I381" s="26" t="n">
        <f aca="false">IFERROR(INDEX('Input Statistiche 2025_26'!$F$3:$F$665,MATCH($A381,'Input Statistiche 2025_26'!$A$3:$A$665,0)),"")</f>
        <v>6</v>
      </c>
      <c r="J381" s="26" t="n">
        <f aca="false">IFERROR(IF($I381="","",MAX(0,38-$I381)),"")</f>
        <v>32</v>
      </c>
      <c r="K381" s="26" t="n">
        <f aca="false">IFERROR(INDEX('Input Statistiche 2025_26'!$I$3:$I$665,MATCH($A381,'Input Statistiche 2025_26'!$A$3:$A$665,0)),"")</f>
        <v>0</v>
      </c>
      <c r="L381" s="26" t="n">
        <f aca="false">IFERROR(INDEX('Input Statistiche 2025_26'!$O$3:$O$665,MATCH($A381,'Input Statistiche 2025_26'!$A$3:$A$665,0)),"")</f>
        <v>0</v>
      </c>
      <c r="M381" s="28"/>
      <c r="N381" s="27" t="n">
        <f aca="false">IFERROR(INDEX('Input Giocatori 2026_27'!$E$3:$E$493,MATCH($A381,'Input Giocatori 2026_27'!$A$3:$A$493,0)),"")</f>
        <v>2</v>
      </c>
      <c r="O381" s="27" t="n">
        <f aca="false">IFERROR(INDEX('Input Giocatori 2026_27'!$G$3:$G$493,MATCH($A381,'Input Giocatori 2026_27'!$A$3:$A$493,0)),"")</f>
        <v>5</v>
      </c>
      <c r="P381" s="26" t="str">
        <f aca="false">IFERROR(IF($O381="","",IF((1-(COUNTIFS($B$2:$B$492,$B381,$O$2:$O$492,"&gt;"&amp;$O381)+1-1)/COUNTIF($B$2:$B$492,$B381))&gt;=0.85,"Top",IF((1-(COUNTIFS($B$2:$B$492,$B381,$O$2:$O$492,"&gt;"&amp;$O381)+1-1)/COUNTIF($B$2:$B$492,$B381))&gt;=0.6,"Buono",IF((1-(COUNTIFS($B$2:$B$492,$B381,$O$2:$O$492,"&gt;"&amp;$O381)+1-1)/COUNTIF($B$2:$B$492,$B381))&gt;=0.3,"Nella Media","Scommessa/Riserva")))),"")</f>
        <v>Scommessa/Riserva</v>
      </c>
      <c r="Q381" s="29" t="n">
        <f aca="false">IF($D381="",COUNTIF($D$2:$D381,""),"")</f>
        <v>380</v>
      </c>
      <c r="R381" s="29" t="str">
        <f aca="false">IF($D381='Info Lega'!$B$28,COUNTIFS($D$2:$D381,'Info Lega'!$B$28),"")</f>
        <v/>
      </c>
      <c r="S381" s="30" t="n">
        <f aca="false">IFERROR(INDEX('Input Statistiche 2025_26'!$G$3:$G$665,MATCH($A381,'Input Statistiche 2025_26'!$A$3:$A$665,0)),"")</f>
        <v>5.5</v>
      </c>
      <c r="T381" s="30" t="n">
        <f aca="false">IFERROR(INDEX('Input Statistiche 2025_26'!$H$3:$H$665,MATCH($A381,'Input Statistiche 2025_26'!$A$3:$A$665,0)),"")</f>
        <v>5.33</v>
      </c>
      <c r="U381" s="26" t="str">
        <f aca="false">IF(OR('La Mia Rosa'!$O$12="",$D381&lt;&gt;""),"",IF($F381&lt;='La Mia Rosa'!$O$12*'Parametri Modello'!$B$24,"OK",IF($F381&lt;='La Mia Rosa'!$O$12*'Parametri Modello'!$B$25,"Attenzione","Rischio Alto")))</f>
        <v>OK</v>
      </c>
      <c r="V381" s="26" t="n">
        <f aca="false">IFERROR(COUNTIFS($B$2:$B$492,$B381,$O$2:$O$492,"&gt;"&amp;$O381)+1,"")</f>
        <v>137</v>
      </c>
      <c r="W381" s="21" t="n">
        <f aca="false">'Info Lega'!$B$4-SUMIFS($M$2:$M$492,$D$2:$D$492,'Info Lega'!$B$28)</f>
        <v>1000</v>
      </c>
      <c r="X381" s="21" t="n">
        <f aca="false">('Info Lega'!$B$5-COUNTIFS($D$2:$D$492,'Info Lega'!$B$28,$B$2:$B$492,"P"))+('Info Lega'!$B$6-COUNTIFS($D$2:$D$492,'Info Lega'!$B$28,$B$2:$B$492,"D"))+('Info Lega'!$B$7-COUNTIFS($D$2:$D$492,'Info Lega'!$B$28,$B$2:$B$492,"C"))+('Info Lega'!$B$8-COUNTIFS($D$2:$D$492,'Info Lega'!$B$28,$B$2:$B$492,"A"))</f>
        <v>25</v>
      </c>
      <c r="Y381" s="21" t="n">
        <f aca="false">X381*'Parametri Modello'!$B$30</f>
        <v>25</v>
      </c>
      <c r="Z381" s="21" t="n">
        <f aca="false">MAX(0,W381-Y381)</f>
        <v>975</v>
      </c>
      <c r="AA381" s="21" t="n">
        <f aca="false">MIN(F381,Z381)</f>
        <v>1</v>
      </c>
      <c r="AB381" s="21"/>
      <c r="AC381" s="21" t="str">
        <f aca="false">IF(AB381="","",IF(AB381&gt;AA381,"PASS",IF(AB381&lt;=AA381*0.85,"BID","ATTENZIONE")))</f>
        <v/>
      </c>
      <c r="AD381" s="31" t="n">
        <f aca="false">IF(I381="","",ROUND(100*(1-EXP(-I381/30)),0))</f>
        <v>18</v>
      </c>
      <c r="AE381" s="7" t="str">
        <f aca="false">IFERROR(INDEX('Stato Asta'!$G$9:$G$12,MATCH($B381,'Stato Asta'!$A$9:$A$12,0)),"")</f>
        <v>🟡 Attesa rischiosa</v>
      </c>
    </row>
    <row r="382" customFormat="false" ht="14.25" hidden="false" customHeight="true" outlineLevel="0" collapsed="false">
      <c r="A382" s="21" t="n">
        <v>6896</v>
      </c>
      <c r="B382" s="21" t="s">
        <v>44</v>
      </c>
      <c r="C382" s="21" t="s">
        <v>325</v>
      </c>
      <c r="E382" s="26" t="str">
        <f aca="false">IF(COUNTIF('Info Strategia'!$D$2:$D$51,$C382)&gt;0,"SI","NO")</f>
        <v>NO</v>
      </c>
      <c r="F382" s="27" t="n">
        <f aca="false">IFERROR(ROUND(($G382+($H382-$G382)*'Info Strategia'!$B$6)*(1+IF($E382="SI",'Parametri Modello'!$B$7*'Info Strategia'!$B$6,0)),0),"")</f>
        <v>1</v>
      </c>
      <c r="G382" s="27" t="n">
        <f aca="false">IFERROR(ROUND(MAX(1,(IF($V382&lt;=INDEX('Parametri Modello'!$C$57:$C$60,MATCH($B382,'Parametri Modello'!$A$57:$A$60,0)),IF(INDEX('Parametri Modello'!$E$57:$E$60,MATCH($B382,'Parametri Modello'!$A$57:$A$60,0))=0,0,($O382/INDEX('Parametri Modello'!$E$57:$E$60,MATCH($B382,'Parametri Modello'!$A$57:$A$60,0)))*(INDEX('Parametri Modello'!$D$57:$D$60,MATCH($B382,'Parametri Modello'!$A$57:$A$60,0))*(INDEX('Parametri Modello'!$B$50:$B$53,MATCH($B382,'Parametri Modello'!$A$50:$A$53,0))*'Parametri Modello'!$B$44))),IF(INDEX('Parametri Modello'!$F$57:$F$60,MATCH($B382,'Parametri Modello'!$A$57:$A$60,0))=0,0,($O382/INDEX('Parametri Modello'!$F$57:$F$60,MATCH($B382,'Parametri Modello'!$A$57:$A$60,0)))*((1-INDEX('Parametri Modello'!$D$57:$D$60,MATCH($B382,'Parametri Modello'!$A$57:$A$60,0)))*(INDEX('Parametri Modello'!$B$50:$B$53,MATCH($B382,'Parametri Modello'!$A$50:$A$53,0))*'Parametri Modello'!$B$44))))*(1+IF(IF($B382="D",'Info Lega'!$B$25,IF($B382="C",'Info Lega'!$B$26,"No"))="Si",'Parametri Modello'!$B$5,0))*(1+MAX(-0.25,MIN(0.25,IF(OR($T382="",$I382="",$I382=0,INDEX('Parametri Modello'!$B$19:$B$22,MATCH($B382,'Parametri Modello'!$A$19:$A$22,0))="",INDEX('Parametri Modello'!$B$19:$B$22,MATCH($B382,'Parametri Modello'!$A$19:$A$22,0))=0),0,(($T382-INDEX('Parametri Modello'!$B$19:$B$22,MATCH($B382,'Parametri Modello'!$A$19:$A$22,0)))/INDEX('Parametri Modello'!$B$19:$B$22,MATCH($B382,'Parametri Modello'!$A$19:$A$22,0)))*'Parametri Modello'!$B$9))))*(1+IF('Parametri Modello'!$B$27="Si",MAX(-'Parametri Modello'!$B$28,MIN('Parametri Modello'!$B$28*1.5,IF(OR(INDEX('Parametri Modello'!$F$32:$F$35,MATCH($B382,'Parametri Modello'!$A$32:$A$35,0))="",INDEX('Parametri Modello'!$F$32:$F$35,MATCH($B382,'Parametri Modello'!$A$32:$A$35,0))=0),0,(1/INDEX('Parametri Modello'!$F$32:$F$35,MATCH($B382,'Parametri Modello'!$A$32:$A$35,0))-1)*'Parametri Modello'!$B$28))),0)))*(1-INDEX('Parametri Modello'!$B$12:$B$15,MATCH($B382,'Parametri Modello'!$A$12:$A$15,0)))),0),"")</f>
        <v>1</v>
      </c>
      <c r="H382" s="27" t="n">
        <f aca="false">IFERROR(ROUND((IF($V382&lt;=INDEX('Parametri Modello'!$C$57:$C$60,MATCH($B382,'Parametri Modello'!$A$57:$A$60,0)),IF(INDEX('Parametri Modello'!$E$57:$E$60,MATCH($B382,'Parametri Modello'!$A$57:$A$60,0))=0,0,($O382/INDEX('Parametri Modello'!$E$57:$E$60,MATCH($B382,'Parametri Modello'!$A$57:$A$60,0)))*(INDEX('Parametri Modello'!$D$57:$D$60,MATCH($B382,'Parametri Modello'!$A$57:$A$60,0))*(INDEX('Parametri Modello'!$B$50:$B$53,MATCH($B382,'Parametri Modello'!$A$50:$A$53,0))*'Parametri Modello'!$B$44))),IF(INDEX('Parametri Modello'!$F$57:$F$60,MATCH($B382,'Parametri Modello'!$A$57:$A$60,0))=0,0,($O382/INDEX('Parametri Modello'!$F$57:$F$60,MATCH($B382,'Parametri Modello'!$A$57:$A$60,0)))*((1-INDEX('Parametri Modello'!$D$57:$D$60,MATCH($B382,'Parametri Modello'!$A$57:$A$60,0)))*(INDEX('Parametri Modello'!$B$50:$B$53,MATCH($B382,'Parametri Modello'!$A$50:$A$53,0))*'Parametri Modello'!$B$44))))*(1+IF(IF($B382="D",'Info Lega'!$B$25,IF($B382="C",'Info Lega'!$B$26,"No"))="Si",'Parametri Modello'!$B$5,0))*(1+MAX(-0.25,MIN(0.25,IF(OR($T382="",$I382="",$I382=0,INDEX('Parametri Modello'!$B$19:$B$22,MATCH($B382,'Parametri Modello'!$A$19:$A$22,0))="",INDEX('Parametri Modello'!$B$19:$B$22,MATCH($B382,'Parametri Modello'!$A$19:$A$22,0))=0),0,(($T382-INDEX('Parametri Modello'!$B$19:$B$22,MATCH($B382,'Parametri Modello'!$A$19:$A$22,0)))/INDEX('Parametri Modello'!$B$19:$B$22,MATCH($B382,'Parametri Modello'!$A$19:$A$22,0)))*'Parametri Modello'!$B$9))))*(1+IF('Parametri Modello'!$B$27="Si",MAX(-'Parametri Modello'!$B$28,MIN('Parametri Modello'!$B$28*1.5,IF(OR(INDEX('Parametri Modello'!$F$32:$F$35,MATCH($B382,'Parametri Modello'!$A$32:$A$35,0))="",INDEX('Parametri Modello'!$F$32:$F$35,MATCH($B382,'Parametri Modello'!$A$32:$A$35,0))=0),0,(1/INDEX('Parametri Modello'!$F$32:$F$35,MATCH($B382,'Parametri Modello'!$A$32:$A$35,0))-1)*'Parametri Modello'!$B$28))),0)))*(1+INDEX('Parametri Modello'!$B$12:$B$15,MATCH($B382,'Parametri Modello'!$A$12:$A$15,0))),0),"")</f>
        <v>1</v>
      </c>
      <c r="I382" s="26" t="n">
        <f aca="false">IFERROR(INDEX('Input Statistiche 2025_26'!$F$3:$F$665,MATCH($A382,'Input Statistiche 2025_26'!$A$3:$A$665,0)),"")</f>
        <v>14</v>
      </c>
      <c r="J382" s="26" t="n">
        <f aca="false">IFERROR(IF($I382="","",MAX(0,38-$I382)),"")</f>
        <v>24</v>
      </c>
      <c r="K382" s="26" t="n">
        <f aca="false">IFERROR(INDEX('Input Statistiche 2025_26'!$I$3:$I$665,MATCH($A382,'Input Statistiche 2025_26'!$A$3:$A$665,0)),"")</f>
        <v>0</v>
      </c>
      <c r="L382" s="26" t="n">
        <f aca="false">IFERROR(INDEX('Input Statistiche 2025_26'!$O$3:$O$665,MATCH($A382,'Input Statistiche 2025_26'!$A$3:$A$665,0)),"")</f>
        <v>1</v>
      </c>
      <c r="M382" s="28"/>
      <c r="N382" s="27" t="n">
        <f aca="false">IFERROR(INDEX('Input Giocatori 2026_27'!$E$3:$E$493,MATCH($A382,'Input Giocatori 2026_27'!$A$3:$A$493,0)),"")</f>
        <v>2</v>
      </c>
      <c r="O382" s="27" t="n">
        <f aca="false">IFERROR(INDEX('Input Giocatori 2026_27'!$G$3:$G$493,MATCH($A382,'Input Giocatori 2026_27'!$A$3:$A$493,0)),"")</f>
        <v>5</v>
      </c>
      <c r="P382" s="26" t="str">
        <f aca="false">IFERROR(IF($O382="","",IF((1-(COUNTIFS($B$2:$B$492,$B382,$O$2:$O$492,"&gt;"&amp;$O382)+1-1)/COUNTIF($B$2:$B$492,$B382))&gt;=0.85,"Top",IF((1-(COUNTIFS($B$2:$B$492,$B382,$O$2:$O$492,"&gt;"&amp;$O382)+1-1)/COUNTIF($B$2:$B$492,$B382))&gt;=0.6,"Buono",IF((1-(COUNTIFS($B$2:$B$492,$B382,$O$2:$O$492,"&gt;"&amp;$O382)+1-1)/COUNTIF($B$2:$B$492,$B382))&gt;=0.3,"Nella Media","Scommessa/Riserva")))),"")</f>
        <v>Scommessa/Riserva</v>
      </c>
      <c r="Q382" s="29" t="n">
        <f aca="false">IF($D382="",COUNTIF($D$2:$D382,""),"")</f>
        <v>381</v>
      </c>
      <c r="R382" s="29" t="str">
        <f aca="false">IF($D382='Info Lega'!$B$28,COUNTIFS($D$2:$D382,'Info Lega'!$B$28),"")</f>
        <v/>
      </c>
      <c r="S382" s="30" t="n">
        <f aca="false">IFERROR(INDEX('Input Statistiche 2025_26'!$G$3:$G$665,MATCH($A382,'Input Statistiche 2025_26'!$A$3:$A$665,0)),"")</f>
        <v>5.96</v>
      </c>
      <c r="T382" s="30" t="n">
        <f aca="false">IFERROR(INDEX('Input Statistiche 2025_26'!$H$3:$H$665,MATCH($A382,'Input Statistiche 2025_26'!$A$3:$A$665,0)),"")</f>
        <v>5.96</v>
      </c>
      <c r="U382" s="26" t="str">
        <f aca="false">IF(OR('La Mia Rosa'!$O$12="",$D382&lt;&gt;""),"",IF($F382&lt;='La Mia Rosa'!$O$12*'Parametri Modello'!$B$24,"OK",IF($F382&lt;='La Mia Rosa'!$O$12*'Parametri Modello'!$B$25,"Attenzione","Rischio Alto")))</f>
        <v>OK</v>
      </c>
      <c r="V382" s="26" t="n">
        <f aca="false">IFERROR(COUNTIFS($B$2:$B$492,$B382,$O$2:$O$492,"&gt;"&amp;$O382)+1,"")</f>
        <v>137</v>
      </c>
      <c r="W382" s="21" t="n">
        <f aca="false">'Info Lega'!$B$4-SUMIFS($M$2:$M$492,$D$2:$D$492,'Info Lega'!$B$28)</f>
        <v>1000</v>
      </c>
      <c r="X382" s="21" t="n">
        <f aca="false">('Info Lega'!$B$5-COUNTIFS($D$2:$D$492,'Info Lega'!$B$28,$B$2:$B$492,"P"))+('Info Lega'!$B$6-COUNTIFS($D$2:$D$492,'Info Lega'!$B$28,$B$2:$B$492,"D"))+('Info Lega'!$B$7-COUNTIFS($D$2:$D$492,'Info Lega'!$B$28,$B$2:$B$492,"C"))+('Info Lega'!$B$8-COUNTIFS($D$2:$D$492,'Info Lega'!$B$28,$B$2:$B$492,"A"))</f>
        <v>25</v>
      </c>
      <c r="Y382" s="21" t="n">
        <f aca="false">X382*'Parametri Modello'!$B$30</f>
        <v>25</v>
      </c>
      <c r="Z382" s="21" t="n">
        <f aca="false">MAX(0,W382-Y382)</f>
        <v>975</v>
      </c>
      <c r="AA382" s="21" t="n">
        <f aca="false">MIN(F382,Z382)</f>
        <v>1</v>
      </c>
      <c r="AB382" s="21"/>
      <c r="AC382" s="21" t="str">
        <f aca="false">IF(AB382="","",IF(AB382&gt;AA382,"PASS",IF(AB382&lt;=AA382*0.85,"BID","ATTENZIONE")))</f>
        <v/>
      </c>
      <c r="AD382" s="31" t="n">
        <f aca="false">IF(I382="","",ROUND(100*(1-EXP(-I382/30)),0))</f>
        <v>37</v>
      </c>
      <c r="AE382" s="7" t="str">
        <f aca="false">IFERROR(INDEX('Stato Asta'!$G$9:$G$12,MATCH($B382,'Stato Asta'!$A$9:$A$12,0)),"")</f>
        <v>🟡 Attesa rischiosa</v>
      </c>
    </row>
    <row r="383" customFormat="false" ht="14.25" hidden="false" customHeight="true" outlineLevel="0" collapsed="false">
      <c r="A383" s="21" t="n">
        <v>6977</v>
      </c>
      <c r="B383" s="21" t="s">
        <v>44</v>
      </c>
      <c r="C383" s="21" t="s">
        <v>326</v>
      </c>
      <c r="E383" s="26" t="str">
        <f aca="false">IF(COUNTIF('Info Strategia'!$D$2:$D$51,$C383)&gt;0,"SI","NO")</f>
        <v>NO</v>
      </c>
      <c r="F383" s="27" t="n">
        <f aca="false">IFERROR(ROUND(($G383+($H383-$G383)*'Info Strategia'!$B$6)*(1+IF($E383="SI",'Parametri Modello'!$B$7*'Info Strategia'!$B$6,0)),0),"")</f>
        <v>1</v>
      </c>
      <c r="G383" s="27" t="n">
        <f aca="false">IFERROR(ROUND(MAX(1,(IF($V383&lt;=INDEX('Parametri Modello'!$C$57:$C$60,MATCH($B383,'Parametri Modello'!$A$57:$A$60,0)),IF(INDEX('Parametri Modello'!$E$57:$E$60,MATCH($B383,'Parametri Modello'!$A$57:$A$60,0))=0,0,($O383/INDEX('Parametri Modello'!$E$57:$E$60,MATCH($B383,'Parametri Modello'!$A$57:$A$60,0)))*(INDEX('Parametri Modello'!$D$57:$D$60,MATCH($B383,'Parametri Modello'!$A$57:$A$60,0))*(INDEX('Parametri Modello'!$B$50:$B$53,MATCH($B383,'Parametri Modello'!$A$50:$A$53,0))*'Parametri Modello'!$B$44))),IF(INDEX('Parametri Modello'!$F$57:$F$60,MATCH($B383,'Parametri Modello'!$A$57:$A$60,0))=0,0,($O383/INDEX('Parametri Modello'!$F$57:$F$60,MATCH($B383,'Parametri Modello'!$A$57:$A$60,0)))*((1-INDEX('Parametri Modello'!$D$57:$D$60,MATCH($B383,'Parametri Modello'!$A$57:$A$60,0)))*(INDEX('Parametri Modello'!$B$50:$B$53,MATCH($B383,'Parametri Modello'!$A$50:$A$53,0))*'Parametri Modello'!$B$44))))*(1+IF(IF($B383="D",'Info Lega'!$B$25,IF($B383="C",'Info Lega'!$B$26,"No"))="Si",'Parametri Modello'!$B$5,0))*(1+MAX(-0.25,MIN(0.25,IF(OR($T383="",$I383="",$I383=0,INDEX('Parametri Modello'!$B$19:$B$22,MATCH($B383,'Parametri Modello'!$A$19:$A$22,0))="",INDEX('Parametri Modello'!$B$19:$B$22,MATCH($B383,'Parametri Modello'!$A$19:$A$22,0))=0),0,(($T383-INDEX('Parametri Modello'!$B$19:$B$22,MATCH($B383,'Parametri Modello'!$A$19:$A$22,0)))/INDEX('Parametri Modello'!$B$19:$B$22,MATCH($B383,'Parametri Modello'!$A$19:$A$22,0)))*'Parametri Modello'!$B$9))))*(1+IF('Parametri Modello'!$B$27="Si",MAX(-'Parametri Modello'!$B$28,MIN('Parametri Modello'!$B$28*1.5,IF(OR(INDEX('Parametri Modello'!$F$32:$F$35,MATCH($B383,'Parametri Modello'!$A$32:$A$35,0))="",INDEX('Parametri Modello'!$F$32:$F$35,MATCH($B383,'Parametri Modello'!$A$32:$A$35,0))=0),0,(1/INDEX('Parametri Modello'!$F$32:$F$35,MATCH($B383,'Parametri Modello'!$A$32:$A$35,0))-1)*'Parametri Modello'!$B$28))),0)))*(1-INDEX('Parametri Modello'!$B$12:$B$15,MATCH($B383,'Parametri Modello'!$A$12:$A$15,0)))),0),"")</f>
        <v>1</v>
      </c>
      <c r="H383" s="27" t="n">
        <f aca="false">IFERROR(ROUND((IF($V383&lt;=INDEX('Parametri Modello'!$C$57:$C$60,MATCH($B383,'Parametri Modello'!$A$57:$A$60,0)),IF(INDEX('Parametri Modello'!$E$57:$E$60,MATCH($B383,'Parametri Modello'!$A$57:$A$60,0))=0,0,($O383/INDEX('Parametri Modello'!$E$57:$E$60,MATCH($B383,'Parametri Modello'!$A$57:$A$60,0)))*(INDEX('Parametri Modello'!$D$57:$D$60,MATCH($B383,'Parametri Modello'!$A$57:$A$60,0))*(INDEX('Parametri Modello'!$B$50:$B$53,MATCH($B383,'Parametri Modello'!$A$50:$A$53,0))*'Parametri Modello'!$B$44))),IF(INDEX('Parametri Modello'!$F$57:$F$60,MATCH($B383,'Parametri Modello'!$A$57:$A$60,0))=0,0,($O383/INDEX('Parametri Modello'!$F$57:$F$60,MATCH($B383,'Parametri Modello'!$A$57:$A$60,0)))*((1-INDEX('Parametri Modello'!$D$57:$D$60,MATCH($B383,'Parametri Modello'!$A$57:$A$60,0)))*(INDEX('Parametri Modello'!$B$50:$B$53,MATCH($B383,'Parametri Modello'!$A$50:$A$53,0))*'Parametri Modello'!$B$44))))*(1+IF(IF($B383="D",'Info Lega'!$B$25,IF($B383="C",'Info Lega'!$B$26,"No"))="Si",'Parametri Modello'!$B$5,0))*(1+MAX(-0.25,MIN(0.25,IF(OR($T383="",$I383="",$I383=0,INDEX('Parametri Modello'!$B$19:$B$22,MATCH($B383,'Parametri Modello'!$A$19:$A$22,0))="",INDEX('Parametri Modello'!$B$19:$B$22,MATCH($B383,'Parametri Modello'!$A$19:$A$22,0))=0),0,(($T383-INDEX('Parametri Modello'!$B$19:$B$22,MATCH($B383,'Parametri Modello'!$A$19:$A$22,0)))/INDEX('Parametri Modello'!$B$19:$B$22,MATCH($B383,'Parametri Modello'!$A$19:$A$22,0)))*'Parametri Modello'!$B$9))))*(1+IF('Parametri Modello'!$B$27="Si",MAX(-'Parametri Modello'!$B$28,MIN('Parametri Modello'!$B$28*1.5,IF(OR(INDEX('Parametri Modello'!$F$32:$F$35,MATCH($B383,'Parametri Modello'!$A$32:$A$35,0))="",INDEX('Parametri Modello'!$F$32:$F$35,MATCH($B383,'Parametri Modello'!$A$32:$A$35,0))=0),0,(1/INDEX('Parametri Modello'!$F$32:$F$35,MATCH($B383,'Parametri Modello'!$A$32:$A$35,0))-1)*'Parametri Modello'!$B$28))),0)))*(1+INDEX('Parametri Modello'!$B$12:$B$15,MATCH($B383,'Parametri Modello'!$A$12:$A$15,0))),0),"")</f>
        <v>1</v>
      </c>
      <c r="I383" s="26" t="n">
        <f aca="false">IFERROR(INDEX('Input Statistiche 2025_26'!$F$3:$F$665,MATCH($A383,'Input Statistiche 2025_26'!$A$3:$A$665,0)),"")</f>
        <v>10</v>
      </c>
      <c r="J383" s="26" t="n">
        <f aca="false">IFERROR(IF($I383="","",MAX(0,38-$I383)),"")</f>
        <v>28</v>
      </c>
      <c r="K383" s="26" t="n">
        <f aca="false">IFERROR(INDEX('Input Statistiche 2025_26'!$I$3:$I$665,MATCH($A383,'Input Statistiche 2025_26'!$A$3:$A$665,0)),"")</f>
        <v>0</v>
      </c>
      <c r="L383" s="26" t="n">
        <f aca="false">IFERROR(INDEX('Input Statistiche 2025_26'!$O$3:$O$665,MATCH($A383,'Input Statistiche 2025_26'!$A$3:$A$665,0)),"")</f>
        <v>0</v>
      </c>
      <c r="M383" s="28"/>
      <c r="N383" s="27" t="n">
        <f aca="false">IFERROR(INDEX('Input Giocatori 2026_27'!$E$3:$E$493,MATCH($A383,'Input Giocatori 2026_27'!$A$3:$A$493,0)),"")</f>
        <v>2</v>
      </c>
      <c r="O383" s="27" t="n">
        <f aca="false">IFERROR(INDEX('Input Giocatori 2026_27'!$G$3:$G$493,MATCH($A383,'Input Giocatori 2026_27'!$A$3:$A$493,0)),"")</f>
        <v>5</v>
      </c>
      <c r="P383" s="26" t="str">
        <f aca="false">IFERROR(IF($O383="","",IF((1-(COUNTIFS($B$2:$B$492,$B383,$O$2:$O$492,"&gt;"&amp;$O383)+1-1)/COUNTIF($B$2:$B$492,$B383))&gt;=0.85,"Top",IF((1-(COUNTIFS($B$2:$B$492,$B383,$O$2:$O$492,"&gt;"&amp;$O383)+1-1)/COUNTIF($B$2:$B$492,$B383))&gt;=0.6,"Buono",IF((1-(COUNTIFS($B$2:$B$492,$B383,$O$2:$O$492,"&gt;"&amp;$O383)+1-1)/COUNTIF($B$2:$B$492,$B383))&gt;=0.3,"Nella Media","Scommessa/Riserva")))),"")</f>
        <v>Scommessa/Riserva</v>
      </c>
      <c r="Q383" s="29" t="n">
        <f aca="false">IF($D383="",COUNTIF($D$2:$D383,""),"")</f>
        <v>382</v>
      </c>
      <c r="R383" s="29" t="str">
        <f aca="false">IF($D383='Info Lega'!$B$28,COUNTIFS($D$2:$D383,'Info Lega'!$B$28),"")</f>
        <v/>
      </c>
      <c r="S383" s="30" t="n">
        <f aca="false">IFERROR(INDEX('Input Statistiche 2025_26'!$G$3:$G$665,MATCH($A383,'Input Statistiche 2025_26'!$A$3:$A$665,0)),"")</f>
        <v>5.6</v>
      </c>
      <c r="T383" s="30" t="n">
        <f aca="false">IFERROR(INDEX('Input Statistiche 2025_26'!$H$3:$H$665,MATCH($A383,'Input Statistiche 2025_26'!$A$3:$A$665,0)),"")</f>
        <v>5.35</v>
      </c>
      <c r="U383" s="26" t="str">
        <f aca="false">IF(OR('La Mia Rosa'!$O$12="",$D383&lt;&gt;""),"",IF($F383&lt;='La Mia Rosa'!$O$12*'Parametri Modello'!$B$24,"OK",IF($F383&lt;='La Mia Rosa'!$O$12*'Parametri Modello'!$B$25,"Attenzione","Rischio Alto")))</f>
        <v>OK</v>
      </c>
      <c r="V383" s="26" t="n">
        <f aca="false">IFERROR(COUNTIFS($B$2:$B$492,$B383,$O$2:$O$492,"&gt;"&amp;$O383)+1,"")</f>
        <v>137</v>
      </c>
      <c r="W383" s="21" t="n">
        <f aca="false">'Info Lega'!$B$4-SUMIFS($M$2:$M$492,$D$2:$D$492,'Info Lega'!$B$28)</f>
        <v>1000</v>
      </c>
      <c r="X383" s="21" t="n">
        <f aca="false">('Info Lega'!$B$5-COUNTIFS($D$2:$D$492,'Info Lega'!$B$28,$B$2:$B$492,"P"))+('Info Lega'!$B$6-COUNTIFS($D$2:$D$492,'Info Lega'!$B$28,$B$2:$B$492,"D"))+('Info Lega'!$B$7-COUNTIFS($D$2:$D$492,'Info Lega'!$B$28,$B$2:$B$492,"C"))+('Info Lega'!$B$8-COUNTIFS($D$2:$D$492,'Info Lega'!$B$28,$B$2:$B$492,"A"))</f>
        <v>25</v>
      </c>
      <c r="Y383" s="21" t="n">
        <f aca="false">X383*'Parametri Modello'!$B$30</f>
        <v>25</v>
      </c>
      <c r="Z383" s="21" t="n">
        <f aca="false">MAX(0,W383-Y383)</f>
        <v>975</v>
      </c>
      <c r="AA383" s="21" t="n">
        <f aca="false">MIN(F383,Z383)</f>
        <v>1</v>
      </c>
      <c r="AB383" s="21"/>
      <c r="AC383" s="21" t="str">
        <f aca="false">IF(AB383="","",IF(AB383&gt;AA383,"PASS",IF(AB383&lt;=AA383*0.85,"BID","ATTENZIONE")))</f>
        <v/>
      </c>
      <c r="AD383" s="31" t="n">
        <f aca="false">IF(I383="","",ROUND(100*(1-EXP(-I383/30)),0))</f>
        <v>28</v>
      </c>
      <c r="AE383" s="7" t="str">
        <f aca="false">IFERROR(INDEX('Stato Asta'!$G$9:$G$12,MATCH($B383,'Stato Asta'!$A$9:$A$12,0)),"")</f>
        <v>🟡 Attesa rischiosa</v>
      </c>
    </row>
    <row r="384" customFormat="false" ht="14.25" hidden="false" customHeight="true" outlineLevel="0" collapsed="false">
      <c r="A384" s="21" t="n">
        <v>791</v>
      </c>
      <c r="B384" s="21" t="s">
        <v>44</v>
      </c>
      <c r="C384" s="21" t="s">
        <v>328</v>
      </c>
      <c r="E384" s="26" t="str">
        <f aca="false">IF(COUNTIF('Info Strategia'!$D$2:$D$51,$C384)&gt;0,"SI","NO")</f>
        <v>NO</v>
      </c>
      <c r="F384" s="27" t="n">
        <f aca="false">IFERROR(ROUND(($G384+($H384-$G384)*'Info Strategia'!$B$6)*(1+IF($E384="SI",'Parametri Modello'!$B$7*'Info Strategia'!$B$6,0)),0),"")</f>
        <v>1</v>
      </c>
      <c r="G384" s="27" t="n">
        <f aca="false">IFERROR(ROUND(MAX(1,(IF($V384&lt;=INDEX('Parametri Modello'!$C$57:$C$60,MATCH($B384,'Parametri Modello'!$A$57:$A$60,0)),IF(INDEX('Parametri Modello'!$E$57:$E$60,MATCH($B384,'Parametri Modello'!$A$57:$A$60,0))=0,0,($O384/INDEX('Parametri Modello'!$E$57:$E$60,MATCH($B384,'Parametri Modello'!$A$57:$A$60,0)))*(INDEX('Parametri Modello'!$D$57:$D$60,MATCH($B384,'Parametri Modello'!$A$57:$A$60,0))*(INDEX('Parametri Modello'!$B$50:$B$53,MATCH($B384,'Parametri Modello'!$A$50:$A$53,0))*'Parametri Modello'!$B$44))),IF(INDEX('Parametri Modello'!$F$57:$F$60,MATCH($B384,'Parametri Modello'!$A$57:$A$60,0))=0,0,($O384/INDEX('Parametri Modello'!$F$57:$F$60,MATCH($B384,'Parametri Modello'!$A$57:$A$60,0)))*((1-INDEX('Parametri Modello'!$D$57:$D$60,MATCH($B384,'Parametri Modello'!$A$57:$A$60,0)))*(INDEX('Parametri Modello'!$B$50:$B$53,MATCH($B384,'Parametri Modello'!$A$50:$A$53,0))*'Parametri Modello'!$B$44))))*(1+IF(IF($B384="D",'Info Lega'!$B$25,IF($B384="C",'Info Lega'!$B$26,"No"))="Si",'Parametri Modello'!$B$5,0))*(1+MAX(-0.25,MIN(0.25,IF(OR($T384="",$I384="",$I384=0,INDEX('Parametri Modello'!$B$19:$B$22,MATCH($B384,'Parametri Modello'!$A$19:$A$22,0))="",INDEX('Parametri Modello'!$B$19:$B$22,MATCH($B384,'Parametri Modello'!$A$19:$A$22,0))=0),0,(($T384-INDEX('Parametri Modello'!$B$19:$B$22,MATCH($B384,'Parametri Modello'!$A$19:$A$22,0)))/INDEX('Parametri Modello'!$B$19:$B$22,MATCH($B384,'Parametri Modello'!$A$19:$A$22,0)))*'Parametri Modello'!$B$9))))*(1+IF('Parametri Modello'!$B$27="Si",MAX(-'Parametri Modello'!$B$28,MIN('Parametri Modello'!$B$28*1.5,IF(OR(INDEX('Parametri Modello'!$F$32:$F$35,MATCH($B384,'Parametri Modello'!$A$32:$A$35,0))="",INDEX('Parametri Modello'!$F$32:$F$35,MATCH($B384,'Parametri Modello'!$A$32:$A$35,0))=0),0,(1/INDEX('Parametri Modello'!$F$32:$F$35,MATCH($B384,'Parametri Modello'!$A$32:$A$35,0))-1)*'Parametri Modello'!$B$28))),0)))*(1-INDEX('Parametri Modello'!$B$12:$B$15,MATCH($B384,'Parametri Modello'!$A$12:$A$15,0)))),0),"")</f>
        <v>1</v>
      </c>
      <c r="H384" s="27" t="n">
        <f aca="false">IFERROR(ROUND((IF($V384&lt;=INDEX('Parametri Modello'!$C$57:$C$60,MATCH($B384,'Parametri Modello'!$A$57:$A$60,0)),IF(INDEX('Parametri Modello'!$E$57:$E$60,MATCH($B384,'Parametri Modello'!$A$57:$A$60,0))=0,0,($O384/INDEX('Parametri Modello'!$E$57:$E$60,MATCH($B384,'Parametri Modello'!$A$57:$A$60,0)))*(INDEX('Parametri Modello'!$D$57:$D$60,MATCH($B384,'Parametri Modello'!$A$57:$A$60,0))*(INDEX('Parametri Modello'!$B$50:$B$53,MATCH($B384,'Parametri Modello'!$A$50:$A$53,0))*'Parametri Modello'!$B$44))),IF(INDEX('Parametri Modello'!$F$57:$F$60,MATCH($B384,'Parametri Modello'!$A$57:$A$60,0))=0,0,($O384/INDEX('Parametri Modello'!$F$57:$F$60,MATCH($B384,'Parametri Modello'!$A$57:$A$60,0)))*((1-INDEX('Parametri Modello'!$D$57:$D$60,MATCH($B384,'Parametri Modello'!$A$57:$A$60,0)))*(INDEX('Parametri Modello'!$B$50:$B$53,MATCH($B384,'Parametri Modello'!$A$50:$A$53,0))*'Parametri Modello'!$B$44))))*(1+IF(IF($B384="D",'Info Lega'!$B$25,IF($B384="C",'Info Lega'!$B$26,"No"))="Si",'Parametri Modello'!$B$5,0))*(1+MAX(-0.25,MIN(0.25,IF(OR($T384="",$I384="",$I384=0,INDEX('Parametri Modello'!$B$19:$B$22,MATCH($B384,'Parametri Modello'!$A$19:$A$22,0))="",INDEX('Parametri Modello'!$B$19:$B$22,MATCH($B384,'Parametri Modello'!$A$19:$A$22,0))=0),0,(($T384-INDEX('Parametri Modello'!$B$19:$B$22,MATCH($B384,'Parametri Modello'!$A$19:$A$22,0)))/INDEX('Parametri Modello'!$B$19:$B$22,MATCH($B384,'Parametri Modello'!$A$19:$A$22,0)))*'Parametri Modello'!$B$9))))*(1+IF('Parametri Modello'!$B$27="Si",MAX(-'Parametri Modello'!$B$28,MIN('Parametri Modello'!$B$28*1.5,IF(OR(INDEX('Parametri Modello'!$F$32:$F$35,MATCH($B384,'Parametri Modello'!$A$32:$A$35,0))="",INDEX('Parametri Modello'!$F$32:$F$35,MATCH($B384,'Parametri Modello'!$A$32:$A$35,0))=0),0,(1/INDEX('Parametri Modello'!$F$32:$F$35,MATCH($B384,'Parametri Modello'!$A$32:$A$35,0))-1)*'Parametri Modello'!$B$28))),0)))*(1+INDEX('Parametri Modello'!$B$12:$B$15,MATCH($B384,'Parametri Modello'!$A$12:$A$15,0))),0),"")</f>
        <v>1</v>
      </c>
      <c r="I384" s="26" t="n">
        <f aca="false">IFERROR(INDEX('Input Statistiche 2025_26'!$F$3:$F$665,MATCH($A384,'Input Statistiche 2025_26'!$A$3:$A$665,0)),"")</f>
        <v>13</v>
      </c>
      <c r="J384" s="26" t="n">
        <f aca="false">IFERROR(IF($I384="","",MAX(0,38-$I384)),"")</f>
        <v>25</v>
      </c>
      <c r="K384" s="26" t="n">
        <f aca="false">IFERROR(INDEX('Input Statistiche 2025_26'!$I$3:$I$665,MATCH($A384,'Input Statistiche 2025_26'!$A$3:$A$665,0)),"")</f>
        <v>0</v>
      </c>
      <c r="L384" s="26" t="n">
        <f aca="false">IFERROR(INDEX('Input Statistiche 2025_26'!$O$3:$O$665,MATCH($A384,'Input Statistiche 2025_26'!$A$3:$A$665,0)),"")</f>
        <v>0</v>
      </c>
      <c r="M384" s="28"/>
      <c r="N384" s="27" t="n">
        <f aca="false">IFERROR(INDEX('Input Giocatori 2026_27'!$E$3:$E$493,MATCH($A384,'Input Giocatori 2026_27'!$A$3:$A$493,0)),"")</f>
        <v>2</v>
      </c>
      <c r="O384" s="27" t="n">
        <f aca="false">IFERROR(INDEX('Input Giocatori 2026_27'!$G$3:$G$493,MATCH($A384,'Input Giocatori 2026_27'!$A$3:$A$493,0)),"")</f>
        <v>5</v>
      </c>
      <c r="P384" s="26" t="str">
        <f aca="false">IFERROR(IF($O384="","",IF((1-(COUNTIFS($B$2:$B$492,$B384,$O$2:$O$492,"&gt;"&amp;$O384)+1-1)/COUNTIF($B$2:$B$492,$B384))&gt;=0.85,"Top",IF((1-(COUNTIFS($B$2:$B$492,$B384,$O$2:$O$492,"&gt;"&amp;$O384)+1-1)/COUNTIF($B$2:$B$492,$B384))&gt;=0.6,"Buono",IF((1-(COUNTIFS($B$2:$B$492,$B384,$O$2:$O$492,"&gt;"&amp;$O384)+1-1)/COUNTIF($B$2:$B$492,$B384))&gt;=0.3,"Nella Media","Scommessa/Riserva")))),"")</f>
        <v>Scommessa/Riserva</v>
      </c>
      <c r="Q384" s="29" t="n">
        <f aca="false">IF($D384="",COUNTIF($D$2:$D384,""),"")</f>
        <v>383</v>
      </c>
      <c r="R384" s="29" t="str">
        <f aca="false">IF($D384='Info Lega'!$B$28,COUNTIFS($D$2:$D384,'Info Lega'!$B$28),"")</f>
        <v/>
      </c>
      <c r="S384" s="30" t="n">
        <f aca="false">IFERROR(INDEX('Input Statistiche 2025_26'!$G$3:$G$665,MATCH($A384,'Input Statistiche 2025_26'!$A$3:$A$665,0)),"")</f>
        <v>5.81</v>
      </c>
      <c r="T384" s="30" t="n">
        <f aca="false">IFERROR(INDEX('Input Statistiche 2025_26'!$H$3:$H$665,MATCH($A384,'Input Statistiche 2025_26'!$A$3:$A$665,0)),"")</f>
        <v>5.65</v>
      </c>
      <c r="U384" s="26" t="str">
        <f aca="false">IF(OR('La Mia Rosa'!$O$12="",$D384&lt;&gt;""),"",IF($F384&lt;='La Mia Rosa'!$O$12*'Parametri Modello'!$B$24,"OK",IF($F384&lt;='La Mia Rosa'!$O$12*'Parametri Modello'!$B$25,"Attenzione","Rischio Alto")))</f>
        <v>OK</v>
      </c>
      <c r="V384" s="26" t="n">
        <f aca="false">IFERROR(COUNTIFS($B$2:$B$492,$B384,$O$2:$O$492,"&gt;"&amp;$O384)+1,"")</f>
        <v>137</v>
      </c>
      <c r="W384" s="21" t="n">
        <f aca="false">'Info Lega'!$B$4-SUMIFS($M$2:$M$492,$D$2:$D$492,'Info Lega'!$B$28)</f>
        <v>1000</v>
      </c>
      <c r="X384" s="21" t="n">
        <f aca="false">('Info Lega'!$B$5-COUNTIFS($D$2:$D$492,'Info Lega'!$B$28,$B$2:$B$492,"P"))+('Info Lega'!$B$6-COUNTIFS($D$2:$D$492,'Info Lega'!$B$28,$B$2:$B$492,"D"))+('Info Lega'!$B$7-COUNTIFS($D$2:$D$492,'Info Lega'!$B$28,$B$2:$B$492,"C"))+('Info Lega'!$B$8-COUNTIFS($D$2:$D$492,'Info Lega'!$B$28,$B$2:$B$492,"A"))</f>
        <v>25</v>
      </c>
      <c r="Y384" s="21" t="n">
        <f aca="false">X384*'Parametri Modello'!$B$30</f>
        <v>25</v>
      </c>
      <c r="Z384" s="21" t="n">
        <f aca="false">MAX(0,W384-Y384)</f>
        <v>975</v>
      </c>
      <c r="AA384" s="21" t="n">
        <f aca="false">MIN(F384,Z384)</f>
        <v>1</v>
      </c>
      <c r="AB384" s="21"/>
      <c r="AC384" s="21" t="str">
        <f aca="false">IF(AB384="","",IF(AB384&gt;AA384,"PASS",IF(AB384&lt;=AA384*0.85,"BID","ATTENZIONE")))</f>
        <v/>
      </c>
      <c r="AD384" s="31" t="n">
        <f aca="false">IF(I384="","",ROUND(100*(1-EXP(-I384/30)),0))</f>
        <v>35</v>
      </c>
      <c r="AE384" s="7" t="str">
        <f aca="false">IFERROR(INDEX('Stato Asta'!$G$9:$G$12,MATCH($B384,'Stato Asta'!$A$9:$A$12,0)),"")</f>
        <v>🟡 Attesa rischiosa</v>
      </c>
    </row>
    <row r="385" customFormat="false" ht="14.25" hidden="false" customHeight="true" outlineLevel="0" collapsed="false">
      <c r="A385" s="21" t="n">
        <v>2728</v>
      </c>
      <c r="B385" s="21" t="s">
        <v>44</v>
      </c>
      <c r="C385" s="21" t="s">
        <v>330</v>
      </c>
      <c r="E385" s="26" t="str">
        <f aca="false">IF(COUNTIF('Info Strategia'!$D$2:$D$51,$C385)&gt;0,"SI","NO")</f>
        <v>NO</v>
      </c>
      <c r="F385" s="27" t="n">
        <f aca="false">IFERROR(ROUND(($G385+($H385-$G385)*'Info Strategia'!$B$6)*(1+IF($E385="SI",'Parametri Modello'!$B$7*'Info Strategia'!$B$6,0)),0),"")</f>
        <v>1</v>
      </c>
      <c r="G385" s="27" t="n">
        <f aca="false">IFERROR(ROUND(MAX(1,(IF($V385&lt;=INDEX('Parametri Modello'!$C$57:$C$60,MATCH($B385,'Parametri Modello'!$A$57:$A$60,0)),IF(INDEX('Parametri Modello'!$E$57:$E$60,MATCH($B385,'Parametri Modello'!$A$57:$A$60,0))=0,0,($O385/INDEX('Parametri Modello'!$E$57:$E$60,MATCH($B385,'Parametri Modello'!$A$57:$A$60,0)))*(INDEX('Parametri Modello'!$D$57:$D$60,MATCH($B385,'Parametri Modello'!$A$57:$A$60,0))*(INDEX('Parametri Modello'!$B$50:$B$53,MATCH($B385,'Parametri Modello'!$A$50:$A$53,0))*'Parametri Modello'!$B$44))),IF(INDEX('Parametri Modello'!$F$57:$F$60,MATCH($B385,'Parametri Modello'!$A$57:$A$60,0))=0,0,($O385/INDEX('Parametri Modello'!$F$57:$F$60,MATCH($B385,'Parametri Modello'!$A$57:$A$60,0)))*((1-INDEX('Parametri Modello'!$D$57:$D$60,MATCH($B385,'Parametri Modello'!$A$57:$A$60,0)))*(INDEX('Parametri Modello'!$B$50:$B$53,MATCH($B385,'Parametri Modello'!$A$50:$A$53,0))*'Parametri Modello'!$B$44))))*(1+IF(IF($B385="D",'Info Lega'!$B$25,IF($B385="C",'Info Lega'!$B$26,"No"))="Si",'Parametri Modello'!$B$5,0))*(1+MAX(-0.25,MIN(0.25,IF(OR($T385="",$I385="",$I385=0,INDEX('Parametri Modello'!$B$19:$B$22,MATCH($B385,'Parametri Modello'!$A$19:$A$22,0))="",INDEX('Parametri Modello'!$B$19:$B$22,MATCH($B385,'Parametri Modello'!$A$19:$A$22,0))=0),0,(($T385-INDEX('Parametri Modello'!$B$19:$B$22,MATCH($B385,'Parametri Modello'!$A$19:$A$22,0)))/INDEX('Parametri Modello'!$B$19:$B$22,MATCH($B385,'Parametri Modello'!$A$19:$A$22,0)))*'Parametri Modello'!$B$9))))*(1+IF('Parametri Modello'!$B$27="Si",MAX(-'Parametri Modello'!$B$28,MIN('Parametri Modello'!$B$28*1.5,IF(OR(INDEX('Parametri Modello'!$F$32:$F$35,MATCH($B385,'Parametri Modello'!$A$32:$A$35,0))="",INDEX('Parametri Modello'!$F$32:$F$35,MATCH($B385,'Parametri Modello'!$A$32:$A$35,0))=0),0,(1/INDEX('Parametri Modello'!$F$32:$F$35,MATCH($B385,'Parametri Modello'!$A$32:$A$35,0))-1)*'Parametri Modello'!$B$28))),0)))*(1-INDEX('Parametri Modello'!$B$12:$B$15,MATCH($B385,'Parametri Modello'!$A$12:$A$15,0)))),0),"")</f>
        <v>1</v>
      </c>
      <c r="H385" s="27" t="n">
        <f aca="false">IFERROR(ROUND((IF($V385&lt;=INDEX('Parametri Modello'!$C$57:$C$60,MATCH($B385,'Parametri Modello'!$A$57:$A$60,0)),IF(INDEX('Parametri Modello'!$E$57:$E$60,MATCH($B385,'Parametri Modello'!$A$57:$A$60,0))=0,0,($O385/INDEX('Parametri Modello'!$E$57:$E$60,MATCH($B385,'Parametri Modello'!$A$57:$A$60,0)))*(INDEX('Parametri Modello'!$D$57:$D$60,MATCH($B385,'Parametri Modello'!$A$57:$A$60,0))*(INDEX('Parametri Modello'!$B$50:$B$53,MATCH($B385,'Parametri Modello'!$A$50:$A$53,0))*'Parametri Modello'!$B$44))),IF(INDEX('Parametri Modello'!$F$57:$F$60,MATCH($B385,'Parametri Modello'!$A$57:$A$60,0))=0,0,($O385/INDEX('Parametri Modello'!$F$57:$F$60,MATCH($B385,'Parametri Modello'!$A$57:$A$60,0)))*((1-INDEX('Parametri Modello'!$D$57:$D$60,MATCH($B385,'Parametri Modello'!$A$57:$A$60,0)))*(INDEX('Parametri Modello'!$B$50:$B$53,MATCH($B385,'Parametri Modello'!$A$50:$A$53,0))*'Parametri Modello'!$B$44))))*(1+IF(IF($B385="D",'Info Lega'!$B$25,IF($B385="C",'Info Lega'!$B$26,"No"))="Si",'Parametri Modello'!$B$5,0))*(1+MAX(-0.25,MIN(0.25,IF(OR($T385="",$I385="",$I385=0,INDEX('Parametri Modello'!$B$19:$B$22,MATCH($B385,'Parametri Modello'!$A$19:$A$22,0))="",INDEX('Parametri Modello'!$B$19:$B$22,MATCH($B385,'Parametri Modello'!$A$19:$A$22,0))=0),0,(($T385-INDEX('Parametri Modello'!$B$19:$B$22,MATCH($B385,'Parametri Modello'!$A$19:$A$22,0)))/INDEX('Parametri Modello'!$B$19:$B$22,MATCH($B385,'Parametri Modello'!$A$19:$A$22,0)))*'Parametri Modello'!$B$9))))*(1+IF('Parametri Modello'!$B$27="Si",MAX(-'Parametri Modello'!$B$28,MIN('Parametri Modello'!$B$28*1.5,IF(OR(INDEX('Parametri Modello'!$F$32:$F$35,MATCH($B385,'Parametri Modello'!$A$32:$A$35,0))="",INDEX('Parametri Modello'!$F$32:$F$35,MATCH($B385,'Parametri Modello'!$A$32:$A$35,0))=0),0,(1/INDEX('Parametri Modello'!$F$32:$F$35,MATCH($B385,'Parametri Modello'!$A$32:$A$35,0))-1)*'Parametri Modello'!$B$28))),0)))*(1+INDEX('Parametri Modello'!$B$12:$B$15,MATCH($B385,'Parametri Modello'!$A$12:$A$15,0))),0),"")</f>
        <v>1</v>
      </c>
      <c r="I385" s="26" t="n">
        <f aca="false">IFERROR(INDEX('Input Statistiche 2025_26'!$F$3:$F$665,MATCH($A385,'Input Statistiche 2025_26'!$A$3:$A$665,0)),"")</f>
        <v>24</v>
      </c>
      <c r="J385" s="26" t="n">
        <f aca="false">IFERROR(IF($I385="","",MAX(0,38-$I385)),"")</f>
        <v>14</v>
      </c>
      <c r="K385" s="26" t="n">
        <f aca="false">IFERROR(INDEX('Input Statistiche 2025_26'!$I$3:$I$665,MATCH($A385,'Input Statistiche 2025_26'!$A$3:$A$665,0)),"")</f>
        <v>1</v>
      </c>
      <c r="L385" s="26" t="n">
        <f aca="false">IFERROR(INDEX('Input Statistiche 2025_26'!$O$3:$O$665,MATCH($A385,'Input Statistiche 2025_26'!$A$3:$A$665,0)),"")</f>
        <v>0</v>
      </c>
      <c r="M385" s="28"/>
      <c r="N385" s="27" t="n">
        <f aca="false">IFERROR(INDEX('Input Giocatori 2026_27'!$E$3:$E$493,MATCH($A385,'Input Giocatori 2026_27'!$A$3:$A$493,0)),"")</f>
        <v>2</v>
      </c>
      <c r="O385" s="27" t="n">
        <f aca="false">IFERROR(INDEX('Input Giocatori 2026_27'!$G$3:$G$493,MATCH($A385,'Input Giocatori 2026_27'!$A$3:$A$493,0)),"")</f>
        <v>5</v>
      </c>
      <c r="P385" s="26" t="str">
        <f aca="false">IFERROR(IF($O385="","",IF((1-(COUNTIFS($B$2:$B$492,$B385,$O$2:$O$492,"&gt;"&amp;$O385)+1-1)/COUNTIF($B$2:$B$492,$B385))&gt;=0.85,"Top",IF((1-(COUNTIFS($B$2:$B$492,$B385,$O$2:$O$492,"&gt;"&amp;$O385)+1-1)/COUNTIF($B$2:$B$492,$B385))&gt;=0.6,"Buono",IF((1-(COUNTIFS($B$2:$B$492,$B385,$O$2:$O$492,"&gt;"&amp;$O385)+1-1)/COUNTIF($B$2:$B$492,$B385))&gt;=0.3,"Nella Media","Scommessa/Riserva")))),"")</f>
        <v>Scommessa/Riserva</v>
      </c>
      <c r="Q385" s="29" t="n">
        <f aca="false">IF($D385="",COUNTIF($D$2:$D385,""),"")</f>
        <v>384</v>
      </c>
      <c r="R385" s="29" t="str">
        <f aca="false">IF($D385='Info Lega'!$B$28,COUNTIFS($D$2:$D385,'Info Lega'!$B$28),"")</f>
        <v/>
      </c>
      <c r="S385" s="30" t="n">
        <f aca="false">IFERROR(INDEX('Input Statistiche 2025_26'!$G$3:$G$665,MATCH($A385,'Input Statistiche 2025_26'!$A$3:$A$665,0)),"")</f>
        <v>5.85</v>
      </c>
      <c r="T385" s="30" t="n">
        <f aca="false">IFERROR(INDEX('Input Statistiche 2025_26'!$H$3:$H$665,MATCH($A385,'Input Statistiche 2025_26'!$A$3:$A$665,0)),"")</f>
        <v>5.81</v>
      </c>
      <c r="U385" s="26" t="str">
        <f aca="false">IF(OR('La Mia Rosa'!$O$12="",$D385&lt;&gt;""),"",IF($F385&lt;='La Mia Rosa'!$O$12*'Parametri Modello'!$B$24,"OK",IF($F385&lt;='La Mia Rosa'!$O$12*'Parametri Modello'!$B$25,"Attenzione","Rischio Alto")))</f>
        <v>OK</v>
      </c>
      <c r="V385" s="26" t="n">
        <f aca="false">IFERROR(COUNTIFS($B$2:$B$492,$B385,$O$2:$O$492,"&gt;"&amp;$O385)+1,"")</f>
        <v>137</v>
      </c>
      <c r="W385" s="21" t="n">
        <f aca="false">'Info Lega'!$B$4-SUMIFS($M$2:$M$492,$D$2:$D$492,'Info Lega'!$B$28)</f>
        <v>1000</v>
      </c>
      <c r="X385" s="21" t="n">
        <f aca="false">('Info Lega'!$B$5-COUNTIFS($D$2:$D$492,'Info Lega'!$B$28,$B$2:$B$492,"P"))+('Info Lega'!$B$6-COUNTIFS($D$2:$D$492,'Info Lega'!$B$28,$B$2:$B$492,"D"))+('Info Lega'!$B$7-COUNTIFS($D$2:$D$492,'Info Lega'!$B$28,$B$2:$B$492,"C"))+('Info Lega'!$B$8-COUNTIFS($D$2:$D$492,'Info Lega'!$B$28,$B$2:$B$492,"A"))</f>
        <v>25</v>
      </c>
      <c r="Y385" s="21" t="n">
        <f aca="false">X385*'Parametri Modello'!$B$30</f>
        <v>25</v>
      </c>
      <c r="Z385" s="21" t="n">
        <f aca="false">MAX(0,W385-Y385)</f>
        <v>975</v>
      </c>
      <c r="AA385" s="21" t="n">
        <f aca="false">MIN(F385,Z385)</f>
        <v>1</v>
      </c>
      <c r="AB385" s="21"/>
      <c r="AC385" s="21" t="str">
        <f aca="false">IF(AB385="","",IF(AB385&gt;AA385,"PASS",IF(AB385&lt;=AA385*0.85,"BID","ATTENZIONE")))</f>
        <v/>
      </c>
      <c r="AD385" s="31" t="n">
        <f aca="false">IF(I385="","",ROUND(100*(1-EXP(-I385/30)),0))</f>
        <v>55</v>
      </c>
      <c r="AE385" s="7" t="str">
        <f aca="false">IFERROR(INDEX('Stato Asta'!$G$9:$G$12,MATCH($B385,'Stato Asta'!$A$9:$A$12,0)),"")</f>
        <v>🟡 Attesa rischiosa</v>
      </c>
    </row>
    <row r="386" customFormat="false" ht="14.25" hidden="false" customHeight="true" outlineLevel="0" collapsed="false">
      <c r="A386" s="21" t="n">
        <v>252</v>
      </c>
      <c r="B386" s="21" t="s">
        <v>44</v>
      </c>
      <c r="C386" s="21" t="s">
        <v>334</v>
      </c>
      <c r="E386" s="26" t="str">
        <f aca="false">IF(COUNTIF('Info Strategia'!$D$2:$D$51,$C386)&gt;0,"SI","NO")</f>
        <v>NO</v>
      </c>
      <c r="F386" s="27" t="n">
        <f aca="false">IFERROR(ROUND(($G386+($H386-$G386)*'Info Strategia'!$B$6)*(1+IF($E386="SI",'Parametri Modello'!$B$7*'Info Strategia'!$B$6,0)),0),"")</f>
        <v>1</v>
      </c>
      <c r="G386" s="27" t="n">
        <f aca="false">IFERROR(ROUND(MAX(1,(IF($V386&lt;=INDEX('Parametri Modello'!$C$57:$C$60,MATCH($B386,'Parametri Modello'!$A$57:$A$60,0)),IF(INDEX('Parametri Modello'!$E$57:$E$60,MATCH($B386,'Parametri Modello'!$A$57:$A$60,0))=0,0,($O386/INDEX('Parametri Modello'!$E$57:$E$60,MATCH($B386,'Parametri Modello'!$A$57:$A$60,0)))*(INDEX('Parametri Modello'!$D$57:$D$60,MATCH($B386,'Parametri Modello'!$A$57:$A$60,0))*(INDEX('Parametri Modello'!$B$50:$B$53,MATCH($B386,'Parametri Modello'!$A$50:$A$53,0))*'Parametri Modello'!$B$44))),IF(INDEX('Parametri Modello'!$F$57:$F$60,MATCH($B386,'Parametri Modello'!$A$57:$A$60,0))=0,0,($O386/INDEX('Parametri Modello'!$F$57:$F$60,MATCH($B386,'Parametri Modello'!$A$57:$A$60,0)))*((1-INDEX('Parametri Modello'!$D$57:$D$60,MATCH($B386,'Parametri Modello'!$A$57:$A$60,0)))*(INDEX('Parametri Modello'!$B$50:$B$53,MATCH($B386,'Parametri Modello'!$A$50:$A$53,0))*'Parametri Modello'!$B$44))))*(1+IF(IF($B386="D",'Info Lega'!$B$25,IF($B386="C",'Info Lega'!$B$26,"No"))="Si",'Parametri Modello'!$B$5,0))*(1+MAX(-0.25,MIN(0.25,IF(OR($T386="",$I386="",$I386=0,INDEX('Parametri Modello'!$B$19:$B$22,MATCH($B386,'Parametri Modello'!$A$19:$A$22,0))="",INDEX('Parametri Modello'!$B$19:$B$22,MATCH($B386,'Parametri Modello'!$A$19:$A$22,0))=0),0,(($T386-INDEX('Parametri Modello'!$B$19:$B$22,MATCH($B386,'Parametri Modello'!$A$19:$A$22,0)))/INDEX('Parametri Modello'!$B$19:$B$22,MATCH($B386,'Parametri Modello'!$A$19:$A$22,0)))*'Parametri Modello'!$B$9))))*(1+IF('Parametri Modello'!$B$27="Si",MAX(-'Parametri Modello'!$B$28,MIN('Parametri Modello'!$B$28*1.5,IF(OR(INDEX('Parametri Modello'!$F$32:$F$35,MATCH($B386,'Parametri Modello'!$A$32:$A$35,0))="",INDEX('Parametri Modello'!$F$32:$F$35,MATCH($B386,'Parametri Modello'!$A$32:$A$35,0))=0),0,(1/INDEX('Parametri Modello'!$F$32:$F$35,MATCH($B386,'Parametri Modello'!$A$32:$A$35,0))-1)*'Parametri Modello'!$B$28))),0)))*(1-INDEX('Parametri Modello'!$B$12:$B$15,MATCH($B386,'Parametri Modello'!$A$12:$A$15,0)))),0),"")</f>
        <v>1</v>
      </c>
      <c r="H386" s="27" t="n">
        <f aca="false">IFERROR(ROUND((IF($V386&lt;=INDEX('Parametri Modello'!$C$57:$C$60,MATCH($B386,'Parametri Modello'!$A$57:$A$60,0)),IF(INDEX('Parametri Modello'!$E$57:$E$60,MATCH($B386,'Parametri Modello'!$A$57:$A$60,0))=0,0,($O386/INDEX('Parametri Modello'!$E$57:$E$60,MATCH($B386,'Parametri Modello'!$A$57:$A$60,0)))*(INDEX('Parametri Modello'!$D$57:$D$60,MATCH($B386,'Parametri Modello'!$A$57:$A$60,0))*(INDEX('Parametri Modello'!$B$50:$B$53,MATCH($B386,'Parametri Modello'!$A$50:$A$53,0))*'Parametri Modello'!$B$44))),IF(INDEX('Parametri Modello'!$F$57:$F$60,MATCH($B386,'Parametri Modello'!$A$57:$A$60,0))=0,0,($O386/INDEX('Parametri Modello'!$F$57:$F$60,MATCH($B386,'Parametri Modello'!$A$57:$A$60,0)))*((1-INDEX('Parametri Modello'!$D$57:$D$60,MATCH($B386,'Parametri Modello'!$A$57:$A$60,0)))*(INDEX('Parametri Modello'!$B$50:$B$53,MATCH($B386,'Parametri Modello'!$A$50:$A$53,0))*'Parametri Modello'!$B$44))))*(1+IF(IF($B386="D",'Info Lega'!$B$25,IF($B386="C",'Info Lega'!$B$26,"No"))="Si",'Parametri Modello'!$B$5,0))*(1+MAX(-0.25,MIN(0.25,IF(OR($T386="",$I386="",$I386=0,INDEX('Parametri Modello'!$B$19:$B$22,MATCH($B386,'Parametri Modello'!$A$19:$A$22,0))="",INDEX('Parametri Modello'!$B$19:$B$22,MATCH($B386,'Parametri Modello'!$A$19:$A$22,0))=0),0,(($T386-INDEX('Parametri Modello'!$B$19:$B$22,MATCH($B386,'Parametri Modello'!$A$19:$A$22,0)))/INDEX('Parametri Modello'!$B$19:$B$22,MATCH($B386,'Parametri Modello'!$A$19:$A$22,0)))*'Parametri Modello'!$B$9))))*(1+IF('Parametri Modello'!$B$27="Si",MAX(-'Parametri Modello'!$B$28,MIN('Parametri Modello'!$B$28*1.5,IF(OR(INDEX('Parametri Modello'!$F$32:$F$35,MATCH($B386,'Parametri Modello'!$A$32:$A$35,0))="",INDEX('Parametri Modello'!$F$32:$F$35,MATCH($B386,'Parametri Modello'!$A$32:$A$35,0))=0),0,(1/INDEX('Parametri Modello'!$F$32:$F$35,MATCH($B386,'Parametri Modello'!$A$32:$A$35,0))-1)*'Parametri Modello'!$B$28))),0)))*(1+INDEX('Parametri Modello'!$B$12:$B$15,MATCH($B386,'Parametri Modello'!$A$12:$A$15,0))),0),"")</f>
        <v>1</v>
      </c>
      <c r="I386" s="26" t="n">
        <f aca="false">IFERROR(INDEX('Input Statistiche 2025_26'!$F$3:$F$665,MATCH($A386,'Input Statistiche 2025_26'!$A$3:$A$665,0)),"")</f>
        <v>11</v>
      </c>
      <c r="J386" s="26" t="n">
        <f aca="false">IFERROR(IF($I386="","",MAX(0,38-$I386)),"")</f>
        <v>27</v>
      </c>
      <c r="K386" s="26" t="n">
        <f aca="false">IFERROR(INDEX('Input Statistiche 2025_26'!$I$3:$I$665,MATCH($A386,'Input Statistiche 2025_26'!$A$3:$A$665,0)),"")</f>
        <v>0</v>
      </c>
      <c r="L386" s="26" t="n">
        <f aca="false">IFERROR(INDEX('Input Statistiche 2025_26'!$O$3:$O$665,MATCH($A386,'Input Statistiche 2025_26'!$A$3:$A$665,0)),"")</f>
        <v>0</v>
      </c>
      <c r="M386" s="28"/>
      <c r="N386" s="27" t="n">
        <f aca="false">IFERROR(INDEX('Input Giocatori 2026_27'!$E$3:$E$493,MATCH($A386,'Input Giocatori 2026_27'!$A$3:$A$493,0)),"")</f>
        <v>2</v>
      </c>
      <c r="O386" s="27" t="n">
        <f aca="false">IFERROR(INDEX('Input Giocatori 2026_27'!$G$3:$G$493,MATCH($A386,'Input Giocatori 2026_27'!$A$3:$A$493,0)),"")</f>
        <v>5</v>
      </c>
      <c r="P386" s="26" t="str">
        <f aca="false">IFERROR(IF($O386="","",IF((1-(COUNTIFS($B$2:$B$492,$B386,$O$2:$O$492,"&gt;"&amp;$O386)+1-1)/COUNTIF($B$2:$B$492,$B386))&gt;=0.85,"Top",IF((1-(COUNTIFS($B$2:$B$492,$B386,$O$2:$O$492,"&gt;"&amp;$O386)+1-1)/COUNTIF($B$2:$B$492,$B386))&gt;=0.6,"Buono",IF((1-(COUNTIFS($B$2:$B$492,$B386,$O$2:$O$492,"&gt;"&amp;$O386)+1-1)/COUNTIF($B$2:$B$492,$B386))&gt;=0.3,"Nella Media","Scommessa/Riserva")))),"")</f>
        <v>Scommessa/Riserva</v>
      </c>
      <c r="Q386" s="29" t="n">
        <f aca="false">IF($D386="",COUNTIF($D$2:$D386,""),"")</f>
        <v>385</v>
      </c>
      <c r="R386" s="29" t="str">
        <f aca="false">IF($D386='Info Lega'!$B$28,COUNTIFS($D$2:$D386,'Info Lega'!$B$28),"")</f>
        <v/>
      </c>
      <c r="S386" s="30" t="n">
        <f aca="false">IFERROR(INDEX('Input Statistiche 2025_26'!$G$3:$G$665,MATCH($A386,'Input Statistiche 2025_26'!$A$3:$A$665,0)),"")</f>
        <v>5.59</v>
      </c>
      <c r="T386" s="30" t="n">
        <f aca="false">IFERROR(INDEX('Input Statistiche 2025_26'!$H$3:$H$665,MATCH($A386,'Input Statistiche 2025_26'!$A$3:$A$665,0)),"")</f>
        <v>5.59</v>
      </c>
      <c r="U386" s="26" t="str">
        <f aca="false">IF(OR('La Mia Rosa'!$O$12="",$D386&lt;&gt;""),"",IF($F386&lt;='La Mia Rosa'!$O$12*'Parametri Modello'!$B$24,"OK",IF($F386&lt;='La Mia Rosa'!$O$12*'Parametri Modello'!$B$25,"Attenzione","Rischio Alto")))</f>
        <v>OK</v>
      </c>
      <c r="V386" s="26" t="n">
        <f aca="false">IFERROR(COUNTIFS($B$2:$B$492,$B386,$O$2:$O$492,"&gt;"&amp;$O386)+1,"")</f>
        <v>137</v>
      </c>
      <c r="W386" s="21" t="n">
        <f aca="false">'Info Lega'!$B$4-SUMIFS($M$2:$M$492,$D$2:$D$492,'Info Lega'!$B$28)</f>
        <v>1000</v>
      </c>
      <c r="X386" s="21" t="n">
        <f aca="false">('Info Lega'!$B$5-COUNTIFS($D$2:$D$492,'Info Lega'!$B$28,$B$2:$B$492,"P"))+('Info Lega'!$B$6-COUNTIFS($D$2:$D$492,'Info Lega'!$B$28,$B$2:$B$492,"D"))+('Info Lega'!$B$7-COUNTIFS($D$2:$D$492,'Info Lega'!$B$28,$B$2:$B$492,"C"))+('Info Lega'!$B$8-COUNTIFS($D$2:$D$492,'Info Lega'!$B$28,$B$2:$B$492,"A"))</f>
        <v>25</v>
      </c>
      <c r="Y386" s="21" t="n">
        <f aca="false">X386*'Parametri Modello'!$B$30</f>
        <v>25</v>
      </c>
      <c r="Z386" s="21" t="n">
        <f aca="false">MAX(0,W386-Y386)</f>
        <v>975</v>
      </c>
      <c r="AA386" s="21" t="n">
        <f aca="false">MIN(F386,Z386)</f>
        <v>1</v>
      </c>
      <c r="AB386" s="21"/>
      <c r="AC386" s="21" t="str">
        <f aca="false">IF(AB386="","",IF(AB386&gt;AA386,"PASS",IF(AB386&lt;=AA386*0.85,"BID","ATTENZIONE")))</f>
        <v/>
      </c>
      <c r="AD386" s="31" t="n">
        <f aca="false">IF(I386="","",ROUND(100*(1-EXP(-I386/30)),0))</f>
        <v>31</v>
      </c>
      <c r="AE386" s="7" t="str">
        <f aca="false">IFERROR(INDEX('Stato Asta'!$G$9:$G$12,MATCH($B386,'Stato Asta'!$A$9:$A$12,0)),"")</f>
        <v>🟡 Attesa rischiosa</v>
      </c>
    </row>
    <row r="387" customFormat="false" ht="14.25" hidden="false" customHeight="true" outlineLevel="0" collapsed="false">
      <c r="A387" s="21" t="n">
        <v>6925</v>
      </c>
      <c r="B387" s="21" t="s">
        <v>44</v>
      </c>
      <c r="C387" s="21" t="s">
        <v>335</v>
      </c>
      <c r="E387" s="26" t="str">
        <f aca="false">IF(COUNTIF('Info Strategia'!$D$2:$D$51,$C387)&gt;0,"SI","NO")</f>
        <v>NO</v>
      </c>
      <c r="F387" s="27" t="n">
        <f aca="false">IFERROR(ROUND(($G387+($H387-$G387)*'Info Strategia'!$B$6)*(1+IF($E387="SI",'Parametri Modello'!$B$7*'Info Strategia'!$B$6,0)),0),"")</f>
        <v>1</v>
      </c>
      <c r="G387" s="27" t="n">
        <f aca="false">IFERROR(ROUND(MAX(1,(IF($V387&lt;=INDEX('Parametri Modello'!$C$57:$C$60,MATCH($B387,'Parametri Modello'!$A$57:$A$60,0)),IF(INDEX('Parametri Modello'!$E$57:$E$60,MATCH($B387,'Parametri Modello'!$A$57:$A$60,0))=0,0,($O387/INDEX('Parametri Modello'!$E$57:$E$60,MATCH($B387,'Parametri Modello'!$A$57:$A$60,0)))*(INDEX('Parametri Modello'!$D$57:$D$60,MATCH($B387,'Parametri Modello'!$A$57:$A$60,0))*(INDEX('Parametri Modello'!$B$50:$B$53,MATCH($B387,'Parametri Modello'!$A$50:$A$53,0))*'Parametri Modello'!$B$44))),IF(INDEX('Parametri Modello'!$F$57:$F$60,MATCH($B387,'Parametri Modello'!$A$57:$A$60,0))=0,0,($O387/INDEX('Parametri Modello'!$F$57:$F$60,MATCH($B387,'Parametri Modello'!$A$57:$A$60,0)))*((1-INDEX('Parametri Modello'!$D$57:$D$60,MATCH($B387,'Parametri Modello'!$A$57:$A$60,0)))*(INDEX('Parametri Modello'!$B$50:$B$53,MATCH($B387,'Parametri Modello'!$A$50:$A$53,0))*'Parametri Modello'!$B$44))))*(1+IF(IF($B387="D",'Info Lega'!$B$25,IF($B387="C",'Info Lega'!$B$26,"No"))="Si",'Parametri Modello'!$B$5,0))*(1+MAX(-0.25,MIN(0.25,IF(OR($T387="",$I387="",$I387=0,INDEX('Parametri Modello'!$B$19:$B$22,MATCH($B387,'Parametri Modello'!$A$19:$A$22,0))="",INDEX('Parametri Modello'!$B$19:$B$22,MATCH($B387,'Parametri Modello'!$A$19:$A$22,0))=0),0,(($T387-INDEX('Parametri Modello'!$B$19:$B$22,MATCH($B387,'Parametri Modello'!$A$19:$A$22,0)))/INDEX('Parametri Modello'!$B$19:$B$22,MATCH($B387,'Parametri Modello'!$A$19:$A$22,0)))*'Parametri Modello'!$B$9))))*(1+IF('Parametri Modello'!$B$27="Si",MAX(-'Parametri Modello'!$B$28,MIN('Parametri Modello'!$B$28*1.5,IF(OR(INDEX('Parametri Modello'!$F$32:$F$35,MATCH($B387,'Parametri Modello'!$A$32:$A$35,0))="",INDEX('Parametri Modello'!$F$32:$F$35,MATCH($B387,'Parametri Modello'!$A$32:$A$35,0))=0),0,(1/INDEX('Parametri Modello'!$F$32:$F$35,MATCH($B387,'Parametri Modello'!$A$32:$A$35,0))-1)*'Parametri Modello'!$B$28))),0)))*(1-INDEX('Parametri Modello'!$B$12:$B$15,MATCH($B387,'Parametri Modello'!$A$12:$A$15,0)))),0),"")</f>
        <v>1</v>
      </c>
      <c r="H387" s="27" t="n">
        <f aca="false">IFERROR(ROUND((IF($V387&lt;=INDEX('Parametri Modello'!$C$57:$C$60,MATCH($B387,'Parametri Modello'!$A$57:$A$60,0)),IF(INDEX('Parametri Modello'!$E$57:$E$60,MATCH($B387,'Parametri Modello'!$A$57:$A$60,0))=0,0,($O387/INDEX('Parametri Modello'!$E$57:$E$60,MATCH($B387,'Parametri Modello'!$A$57:$A$60,0)))*(INDEX('Parametri Modello'!$D$57:$D$60,MATCH($B387,'Parametri Modello'!$A$57:$A$60,0))*(INDEX('Parametri Modello'!$B$50:$B$53,MATCH($B387,'Parametri Modello'!$A$50:$A$53,0))*'Parametri Modello'!$B$44))),IF(INDEX('Parametri Modello'!$F$57:$F$60,MATCH($B387,'Parametri Modello'!$A$57:$A$60,0))=0,0,($O387/INDEX('Parametri Modello'!$F$57:$F$60,MATCH($B387,'Parametri Modello'!$A$57:$A$60,0)))*((1-INDEX('Parametri Modello'!$D$57:$D$60,MATCH($B387,'Parametri Modello'!$A$57:$A$60,0)))*(INDEX('Parametri Modello'!$B$50:$B$53,MATCH($B387,'Parametri Modello'!$A$50:$A$53,0))*'Parametri Modello'!$B$44))))*(1+IF(IF($B387="D",'Info Lega'!$B$25,IF($B387="C",'Info Lega'!$B$26,"No"))="Si",'Parametri Modello'!$B$5,0))*(1+MAX(-0.25,MIN(0.25,IF(OR($T387="",$I387="",$I387=0,INDEX('Parametri Modello'!$B$19:$B$22,MATCH($B387,'Parametri Modello'!$A$19:$A$22,0))="",INDEX('Parametri Modello'!$B$19:$B$22,MATCH($B387,'Parametri Modello'!$A$19:$A$22,0))=0),0,(($T387-INDEX('Parametri Modello'!$B$19:$B$22,MATCH($B387,'Parametri Modello'!$A$19:$A$22,0)))/INDEX('Parametri Modello'!$B$19:$B$22,MATCH($B387,'Parametri Modello'!$A$19:$A$22,0)))*'Parametri Modello'!$B$9))))*(1+IF('Parametri Modello'!$B$27="Si",MAX(-'Parametri Modello'!$B$28,MIN('Parametri Modello'!$B$28*1.5,IF(OR(INDEX('Parametri Modello'!$F$32:$F$35,MATCH($B387,'Parametri Modello'!$A$32:$A$35,0))="",INDEX('Parametri Modello'!$F$32:$F$35,MATCH($B387,'Parametri Modello'!$A$32:$A$35,0))=0),0,(1/INDEX('Parametri Modello'!$F$32:$F$35,MATCH($B387,'Parametri Modello'!$A$32:$A$35,0))-1)*'Parametri Modello'!$B$28))),0)))*(1+INDEX('Parametri Modello'!$B$12:$B$15,MATCH($B387,'Parametri Modello'!$A$12:$A$15,0))),0),"")</f>
        <v>1</v>
      </c>
      <c r="I387" s="26" t="n">
        <f aca="false">IFERROR(INDEX('Input Statistiche 2025_26'!$F$3:$F$665,MATCH($A387,'Input Statistiche 2025_26'!$A$3:$A$665,0)),"")</f>
        <v>4</v>
      </c>
      <c r="J387" s="26" t="n">
        <f aca="false">IFERROR(IF($I387="","",MAX(0,38-$I387)),"")</f>
        <v>34</v>
      </c>
      <c r="K387" s="26" t="n">
        <f aca="false">IFERROR(INDEX('Input Statistiche 2025_26'!$I$3:$I$665,MATCH($A387,'Input Statistiche 2025_26'!$A$3:$A$665,0)),"")</f>
        <v>0</v>
      </c>
      <c r="L387" s="26" t="n">
        <f aca="false">IFERROR(INDEX('Input Statistiche 2025_26'!$O$3:$O$665,MATCH($A387,'Input Statistiche 2025_26'!$A$3:$A$665,0)),"")</f>
        <v>0</v>
      </c>
      <c r="M387" s="28"/>
      <c r="N387" s="27" t="n">
        <f aca="false">IFERROR(INDEX('Input Giocatori 2026_27'!$E$3:$E$493,MATCH($A387,'Input Giocatori 2026_27'!$A$3:$A$493,0)),"")</f>
        <v>2</v>
      </c>
      <c r="O387" s="27" t="n">
        <f aca="false">IFERROR(INDEX('Input Giocatori 2026_27'!$G$3:$G$493,MATCH($A387,'Input Giocatori 2026_27'!$A$3:$A$493,0)),"")</f>
        <v>5</v>
      </c>
      <c r="P387" s="26" t="str">
        <f aca="false">IFERROR(IF($O387="","",IF((1-(COUNTIFS($B$2:$B$492,$B387,$O$2:$O$492,"&gt;"&amp;$O387)+1-1)/COUNTIF($B$2:$B$492,$B387))&gt;=0.85,"Top",IF((1-(COUNTIFS($B$2:$B$492,$B387,$O$2:$O$492,"&gt;"&amp;$O387)+1-1)/COUNTIF($B$2:$B$492,$B387))&gt;=0.6,"Buono",IF((1-(COUNTIFS($B$2:$B$492,$B387,$O$2:$O$492,"&gt;"&amp;$O387)+1-1)/COUNTIF($B$2:$B$492,$B387))&gt;=0.3,"Nella Media","Scommessa/Riserva")))),"")</f>
        <v>Scommessa/Riserva</v>
      </c>
      <c r="Q387" s="29" t="n">
        <f aca="false">IF($D387="",COUNTIF($D$2:$D387,""),"")</f>
        <v>386</v>
      </c>
      <c r="R387" s="29" t="str">
        <f aca="false">IF($D387='Info Lega'!$B$28,COUNTIFS($D$2:$D387,'Info Lega'!$B$28),"")</f>
        <v/>
      </c>
      <c r="S387" s="30" t="n">
        <f aca="false">IFERROR(INDEX('Input Statistiche 2025_26'!$G$3:$G$665,MATCH($A387,'Input Statistiche 2025_26'!$A$3:$A$665,0)),"")</f>
        <v>5.5</v>
      </c>
      <c r="T387" s="30" t="n">
        <f aca="false">IFERROR(INDEX('Input Statistiche 2025_26'!$H$3:$H$665,MATCH($A387,'Input Statistiche 2025_26'!$A$3:$A$665,0)),"")</f>
        <v>5.5</v>
      </c>
      <c r="U387" s="26" t="str">
        <f aca="false">IF(OR('La Mia Rosa'!$O$12="",$D387&lt;&gt;""),"",IF($F387&lt;='La Mia Rosa'!$O$12*'Parametri Modello'!$B$24,"OK",IF($F387&lt;='La Mia Rosa'!$O$12*'Parametri Modello'!$B$25,"Attenzione","Rischio Alto")))</f>
        <v>OK</v>
      </c>
      <c r="V387" s="26" t="n">
        <f aca="false">IFERROR(COUNTIFS($B$2:$B$492,$B387,$O$2:$O$492,"&gt;"&amp;$O387)+1,"")</f>
        <v>137</v>
      </c>
      <c r="W387" s="21" t="n">
        <f aca="false">'Info Lega'!$B$4-SUMIFS($M$2:$M$492,$D$2:$D$492,'Info Lega'!$B$28)</f>
        <v>1000</v>
      </c>
      <c r="X387" s="21" t="n">
        <f aca="false">('Info Lega'!$B$5-COUNTIFS($D$2:$D$492,'Info Lega'!$B$28,$B$2:$B$492,"P"))+('Info Lega'!$B$6-COUNTIFS($D$2:$D$492,'Info Lega'!$B$28,$B$2:$B$492,"D"))+('Info Lega'!$B$7-COUNTIFS($D$2:$D$492,'Info Lega'!$B$28,$B$2:$B$492,"C"))+('Info Lega'!$B$8-COUNTIFS($D$2:$D$492,'Info Lega'!$B$28,$B$2:$B$492,"A"))</f>
        <v>25</v>
      </c>
      <c r="Y387" s="21" t="n">
        <f aca="false">X387*'Parametri Modello'!$B$30</f>
        <v>25</v>
      </c>
      <c r="Z387" s="21" t="n">
        <f aca="false">MAX(0,W387-Y387)</f>
        <v>975</v>
      </c>
      <c r="AA387" s="21" t="n">
        <f aca="false">MIN(F387,Z387)</f>
        <v>1</v>
      </c>
      <c r="AB387" s="21"/>
      <c r="AC387" s="21" t="str">
        <f aca="false">IF(AB387="","",IF(AB387&gt;AA387,"PASS",IF(AB387&lt;=AA387*0.85,"BID","ATTENZIONE")))</f>
        <v/>
      </c>
      <c r="AD387" s="31" t="n">
        <f aca="false">IF(I387="","",ROUND(100*(1-EXP(-I387/30)),0))</f>
        <v>12</v>
      </c>
      <c r="AE387" s="7" t="str">
        <f aca="false">IFERROR(INDEX('Stato Asta'!$G$9:$G$12,MATCH($B387,'Stato Asta'!$A$9:$A$12,0)),"")</f>
        <v>🟡 Attesa rischiosa</v>
      </c>
    </row>
    <row r="388" customFormat="false" ht="14.25" hidden="false" customHeight="true" outlineLevel="0" collapsed="false">
      <c r="A388" s="21" t="n">
        <v>6809</v>
      </c>
      <c r="B388" s="21" t="s">
        <v>44</v>
      </c>
      <c r="C388" s="21" t="s">
        <v>356</v>
      </c>
      <c r="E388" s="26" t="str">
        <f aca="false">IF(COUNTIF('Info Strategia'!$D$2:$D$51,$C388)&gt;0,"SI","NO")</f>
        <v>NO</v>
      </c>
      <c r="F388" s="27" t="n">
        <f aca="false">IFERROR(ROUND(($G388+($H388-$G388)*'Info Strategia'!$B$6)*(1+IF($E388="SI",'Parametri Modello'!$B$7*'Info Strategia'!$B$6,0)),0),"")</f>
        <v>1</v>
      </c>
      <c r="G388" s="27" t="n">
        <f aca="false">IFERROR(ROUND(MAX(1,(IF($V388&lt;=INDEX('Parametri Modello'!$C$57:$C$60,MATCH($B388,'Parametri Modello'!$A$57:$A$60,0)),IF(INDEX('Parametri Modello'!$E$57:$E$60,MATCH($B388,'Parametri Modello'!$A$57:$A$60,0))=0,0,($O388/INDEX('Parametri Modello'!$E$57:$E$60,MATCH($B388,'Parametri Modello'!$A$57:$A$60,0)))*(INDEX('Parametri Modello'!$D$57:$D$60,MATCH($B388,'Parametri Modello'!$A$57:$A$60,0))*(INDEX('Parametri Modello'!$B$50:$B$53,MATCH($B388,'Parametri Modello'!$A$50:$A$53,0))*'Parametri Modello'!$B$44))),IF(INDEX('Parametri Modello'!$F$57:$F$60,MATCH($B388,'Parametri Modello'!$A$57:$A$60,0))=0,0,($O388/INDEX('Parametri Modello'!$F$57:$F$60,MATCH($B388,'Parametri Modello'!$A$57:$A$60,0)))*((1-INDEX('Parametri Modello'!$D$57:$D$60,MATCH($B388,'Parametri Modello'!$A$57:$A$60,0)))*(INDEX('Parametri Modello'!$B$50:$B$53,MATCH($B388,'Parametri Modello'!$A$50:$A$53,0))*'Parametri Modello'!$B$44))))*(1+IF(IF($B388="D",'Info Lega'!$B$25,IF($B388="C",'Info Lega'!$B$26,"No"))="Si",'Parametri Modello'!$B$5,0))*(1+MAX(-0.25,MIN(0.25,IF(OR($T388="",$I388="",$I388=0,INDEX('Parametri Modello'!$B$19:$B$22,MATCH($B388,'Parametri Modello'!$A$19:$A$22,0))="",INDEX('Parametri Modello'!$B$19:$B$22,MATCH($B388,'Parametri Modello'!$A$19:$A$22,0))=0),0,(($T388-INDEX('Parametri Modello'!$B$19:$B$22,MATCH($B388,'Parametri Modello'!$A$19:$A$22,0)))/INDEX('Parametri Modello'!$B$19:$B$22,MATCH($B388,'Parametri Modello'!$A$19:$A$22,0)))*'Parametri Modello'!$B$9))))*(1+IF('Parametri Modello'!$B$27="Si",MAX(-'Parametri Modello'!$B$28,MIN('Parametri Modello'!$B$28*1.5,IF(OR(INDEX('Parametri Modello'!$F$32:$F$35,MATCH($B388,'Parametri Modello'!$A$32:$A$35,0))="",INDEX('Parametri Modello'!$F$32:$F$35,MATCH($B388,'Parametri Modello'!$A$32:$A$35,0))=0),0,(1/INDEX('Parametri Modello'!$F$32:$F$35,MATCH($B388,'Parametri Modello'!$A$32:$A$35,0))-1)*'Parametri Modello'!$B$28))),0)))*(1-INDEX('Parametri Modello'!$B$12:$B$15,MATCH($B388,'Parametri Modello'!$A$12:$A$15,0)))),0),"")</f>
        <v>1</v>
      </c>
      <c r="H388" s="27" t="n">
        <f aca="false">IFERROR(ROUND((IF($V388&lt;=INDEX('Parametri Modello'!$C$57:$C$60,MATCH($B388,'Parametri Modello'!$A$57:$A$60,0)),IF(INDEX('Parametri Modello'!$E$57:$E$60,MATCH($B388,'Parametri Modello'!$A$57:$A$60,0))=0,0,($O388/INDEX('Parametri Modello'!$E$57:$E$60,MATCH($B388,'Parametri Modello'!$A$57:$A$60,0)))*(INDEX('Parametri Modello'!$D$57:$D$60,MATCH($B388,'Parametri Modello'!$A$57:$A$60,0))*(INDEX('Parametri Modello'!$B$50:$B$53,MATCH($B388,'Parametri Modello'!$A$50:$A$53,0))*'Parametri Modello'!$B$44))),IF(INDEX('Parametri Modello'!$F$57:$F$60,MATCH($B388,'Parametri Modello'!$A$57:$A$60,0))=0,0,($O388/INDEX('Parametri Modello'!$F$57:$F$60,MATCH($B388,'Parametri Modello'!$A$57:$A$60,0)))*((1-INDEX('Parametri Modello'!$D$57:$D$60,MATCH($B388,'Parametri Modello'!$A$57:$A$60,0)))*(INDEX('Parametri Modello'!$B$50:$B$53,MATCH($B388,'Parametri Modello'!$A$50:$A$53,0))*'Parametri Modello'!$B$44))))*(1+IF(IF($B388="D",'Info Lega'!$B$25,IF($B388="C",'Info Lega'!$B$26,"No"))="Si",'Parametri Modello'!$B$5,0))*(1+MAX(-0.25,MIN(0.25,IF(OR($T388="",$I388="",$I388=0,INDEX('Parametri Modello'!$B$19:$B$22,MATCH($B388,'Parametri Modello'!$A$19:$A$22,0))="",INDEX('Parametri Modello'!$B$19:$B$22,MATCH($B388,'Parametri Modello'!$A$19:$A$22,0))=0),0,(($T388-INDEX('Parametri Modello'!$B$19:$B$22,MATCH($B388,'Parametri Modello'!$A$19:$A$22,0)))/INDEX('Parametri Modello'!$B$19:$B$22,MATCH($B388,'Parametri Modello'!$A$19:$A$22,0)))*'Parametri Modello'!$B$9))))*(1+IF('Parametri Modello'!$B$27="Si",MAX(-'Parametri Modello'!$B$28,MIN('Parametri Modello'!$B$28*1.5,IF(OR(INDEX('Parametri Modello'!$F$32:$F$35,MATCH($B388,'Parametri Modello'!$A$32:$A$35,0))="",INDEX('Parametri Modello'!$F$32:$F$35,MATCH($B388,'Parametri Modello'!$A$32:$A$35,0))=0),0,(1/INDEX('Parametri Modello'!$F$32:$F$35,MATCH($B388,'Parametri Modello'!$A$32:$A$35,0))-1)*'Parametri Modello'!$B$28))),0)))*(1+INDEX('Parametri Modello'!$B$12:$B$15,MATCH($B388,'Parametri Modello'!$A$12:$A$15,0))),0),"")</f>
        <v>1</v>
      </c>
      <c r="I388" s="26" t="n">
        <f aca="false">IFERROR(INDEX('Input Statistiche 2025_26'!$F$3:$F$665,MATCH($A388,'Input Statistiche 2025_26'!$A$3:$A$665,0)),"")</f>
        <v>11</v>
      </c>
      <c r="J388" s="26" t="n">
        <f aca="false">IFERROR(IF($I388="","",MAX(0,38-$I388)),"")</f>
        <v>27</v>
      </c>
      <c r="K388" s="26" t="n">
        <f aca="false">IFERROR(INDEX('Input Statistiche 2025_26'!$I$3:$I$665,MATCH($A388,'Input Statistiche 2025_26'!$A$3:$A$665,0)),"")</f>
        <v>0</v>
      </c>
      <c r="L388" s="26" t="n">
        <f aca="false">IFERROR(INDEX('Input Statistiche 2025_26'!$O$3:$O$665,MATCH($A388,'Input Statistiche 2025_26'!$A$3:$A$665,0)),"")</f>
        <v>1</v>
      </c>
      <c r="M388" s="28"/>
      <c r="N388" s="27" t="n">
        <f aca="false">IFERROR(INDEX('Input Giocatori 2026_27'!$E$3:$E$493,MATCH($A388,'Input Giocatori 2026_27'!$A$3:$A$493,0)),"")</f>
        <v>1</v>
      </c>
      <c r="O388" s="27" t="n">
        <f aca="false">IFERROR(INDEX('Input Giocatori 2026_27'!$G$3:$G$493,MATCH($A388,'Input Giocatori 2026_27'!$A$3:$A$493,0)),"")</f>
        <v>5</v>
      </c>
      <c r="P388" s="26" t="str">
        <f aca="false">IFERROR(IF($O388="","",IF((1-(COUNTIFS($B$2:$B$492,$B388,$O$2:$O$492,"&gt;"&amp;$O388)+1-1)/COUNTIF($B$2:$B$492,$B388))&gt;=0.85,"Top",IF((1-(COUNTIFS($B$2:$B$492,$B388,$O$2:$O$492,"&gt;"&amp;$O388)+1-1)/COUNTIF($B$2:$B$492,$B388))&gt;=0.6,"Buono",IF((1-(COUNTIFS($B$2:$B$492,$B388,$O$2:$O$492,"&gt;"&amp;$O388)+1-1)/COUNTIF($B$2:$B$492,$B388))&gt;=0.3,"Nella Media","Scommessa/Riserva")))),"")</f>
        <v>Scommessa/Riserva</v>
      </c>
      <c r="Q388" s="29" t="n">
        <f aca="false">IF($D388="",COUNTIF($D$2:$D388,""),"")</f>
        <v>387</v>
      </c>
      <c r="R388" s="29" t="str">
        <f aca="false">IF($D388='Info Lega'!$B$28,COUNTIFS($D$2:$D388,'Info Lega'!$B$28),"")</f>
        <v/>
      </c>
      <c r="S388" s="30" t="n">
        <f aca="false">IFERROR(INDEX('Input Statistiche 2025_26'!$G$3:$G$665,MATCH($A388,'Input Statistiche 2025_26'!$A$3:$A$665,0)),"")</f>
        <v>5.73</v>
      </c>
      <c r="T388" s="30" t="n">
        <f aca="false">IFERROR(INDEX('Input Statistiche 2025_26'!$H$3:$H$665,MATCH($A388,'Input Statistiche 2025_26'!$A$3:$A$665,0)),"")</f>
        <v>5.73</v>
      </c>
      <c r="U388" s="26" t="str">
        <f aca="false">IF(OR('La Mia Rosa'!$O$12="",$D388&lt;&gt;""),"",IF($F388&lt;='La Mia Rosa'!$O$12*'Parametri Modello'!$B$24,"OK",IF($F388&lt;='La Mia Rosa'!$O$12*'Parametri Modello'!$B$25,"Attenzione","Rischio Alto")))</f>
        <v>OK</v>
      </c>
      <c r="V388" s="26" t="n">
        <f aca="false">IFERROR(COUNTIFS($B$2:$B$492,$B388,$O$2:$O$492,"&gt;"&amp;$O388)+1,"")</f>
        <v>137</v>
      </c>
      <c r="W388" s="21" t="n">
        <f aca="false">'Info Lega'!$B$4-SUMIFS($M$2:$M$492,$D$2:$D$492,'Info Lega'!$B$28)</f>
        <v>1000</v>
      </c>
      <c r="X388" s="21" t="n">
        <f aca="false">('Info Lega'!$B$5-COUNTIFS($D$2:$D$492,'Info Lega'!$B$28,$B$2:$B$492,"P"))+('Info Lega'!$B$6-COUNTIFS($D$2:$D$492,'Info Lega'!$B$28,$B$2:$B$492,"D"))+('Info Lega'!$B$7-COUNTIFS($D$2:$D$492,'Info Lega'!$B$28,$B$2:$B$492,"C"))+('Info Lega'!$B$8-COUNTIFS($D$2:$D$492,'Info Lega'!$B$28,$B$2:$B$492,"A"))</f>
        <v>25</v>
      </c>
      <c r="Y388" s="21" t="n">
        <f aca="false">X388*'Parametri Modello'!$B$30</f>
        <v>25</v>
      </c>
      <c r="Z388" s="21" t="n">
        <f aca="false">MAX(0,W388-Y388)</f>
        <v>975</v>
      </c>
      <c r="AA388" s="21" t="n">
        <f aca="false">MIN(F388,Z388)</f>
        <v>1</v>
      </c>
      <c r="AB388" s="21"/>
      <c r="AC388" s="21" t="str">
        <f aca="false">IF(AB388="","",IF(AB388&gt;AA388,"PASS",IF(AB388&lt;=AA388*0.85,"BID","ATTENZIONE")))</f>
        <v/>
      </c>
      <c r="AD388" s="31" t="n">
        <f aca="false">IF(I388="","",ROUND(100*(1-EXP(-I388/30)),0))</f>
        <v>31</v>
      </c>
      <c r="AE388" s="7" t="str">
        <f aca="false">IFERROR(INDEX('Stato Asta'!$G$9:$G$12,MATCH($B388,'Stato Asta'!$A$9:$A$12,0)),"")</f>
        <v>🟡 Attesa rischiosa</v>
      </c>
    </row>
    <row r="389" customFormat="false" ht="14.25" hidden="false" customHeight="true" outlineLevel="0" collapsed="false">
      <c r="A389" s="21" t="n">
        <v>7183</v>
      </c>
      <c r="B389" s="21" t="s">
        <v>45</v>
      </c>
      <c r="C389" s="21" t="s">
        <v>505</v>
      </c>
      <c r="E389" s="26" t="str">
        <f aca="false">IF(COUNTIF('Info Strategia'!$D$2:$D$51,$C389)&gt;0,"SI","NO")</f>
        <v>NO</v>
      </c>
      <c r="F389" s="27" t="n">
        <f aca="false">IFERROR(ROUND(($G389+($H389-$G389)*'Info Strategia'!$B$6)*(1+IF($E389="SI",'Parametri Modello'!$B$7*'Info Strategia'!$B$6,0)),0),"")</f>
        <v>1</v>
      </c>
      <c r="G389" s="27" t="n">
        <f aca="false">IFERROR(ROUND(MAX(1,(IF($V389&lt;=INDEX('Parametri Modello'!$C$57:$C$60,MATCH($B389,'Parametri Modello'!$A$57:$A$60,0)),IF(INDEX('Parametri Modello'!$E$57:$E$60,MATCH($B389,'Parametri Modello'!$A$57:$A$60,0))=0,0,($O389/INDEX('Parametri Modello'!$E$57:$E$60,MATCH($B389,'Parametri Modello'!$A$57:$A$60,0)))*(INDEX('Parametri Modello'!$D$57:$D$60,MATCH($B389,'Parametri Modello'!$A$57:$A$60,0))*(INDEX('Parametri Modello'!$B$50:$B$53,MATCH($B389,'Parametri Modello'!$A$50:$A$53,0))*'Parametri Modello'!$B$44))),IF(INDEX('Parametri Modello'!$F$57:$F$60,MATCH($B389,'Parametri Modello'!$A$57:$A$60,0))=0,0,($O389/INDEX('Parametri Modello'!$F$57:$F$60,MATCH($B389,'Parametri Modello'!$A$57:$A$60,0)))*((1-INDEX('Parametri Modello'!$D$57:$D$60,MATCH($B389,'Parametri Modello'!$A$57:$A$60,0)))*(INDEX('Parametri Modello'!$B$50:$B$53,MATCH($B389,'Parametri Modello'!$A$50:$A$53,0))*'Parametri Modello'!$B$44))))*(1+IF(IF($B389="D",'Info Lega'!$B$25,IF($B389="C",'Info Lega'!$B$26,"No"))="Si",'Parametri Modello'!$B$5,0))*(1+MAX(-0.25,MIN(0.25,IF(OR($T389="",$I389="",$I389=0,INDEX('Parametri Modello'!$B$19:$B$22,MATCH($B389,'Parametri Modello'!$A$19:$A$22,0))="",INDEX('Parametri Modello'!$B$19:$B$22,MATCH($B389,'Parametri Modello'!$A$19:$A$22,0))=0),0,(($T389-INDEX('Parametri Modello'!$B$19:$B$22,MATCH($B389,'Parametri Modello'!$A$19:$A$22,0)))/INDEX('Parametri Modello'!$B$19:$B$22,MATCH($B389,'Parametri Modello'!$A$19:$A$22,0)))*'Parametri Modello'!$B$9))))*(1+IF('Parametri Modello'!$B$27="Si",MAX(-'Parametri Modello'!$B$28,MIN('Parametri Modello'!$B$28*1.5,IF(OR(INDEX('Parametri Modello'!$F$32:$F$35,MATCH($B389,'Parametri Modello'!$A$32:$A$35,0))="",INDEX('Parametri Modello'!$F$32:$F$35,MATCH($B389,'Parametri Modello'!$A$32:$A$35,0))=0),0,(1/INDEX('Parametri Modello'!$F$32:$F$35,MATCH($B389,'Parametri Modello'!$A$32:$A$35,0))-1)*'Parametri Modello'!$B$28))),0)))*(1-INDEX('Parametri Modello'!$B$12:$B$15,MATCH($B389,'Parametri Modello'!$A$12:$A$15,0)))),0),"")</f>
        <v>1</v>
      </c>
      <c r="H389" s="27" t="n">
        <f aca="false">IFERROR(ROUND((IF($V389&lt;=INDEX('Parametri Modello'!$C$57:$C$60,MATCH($B389,'Parametri Modello'!$A$57:$A$60,0)),IF(INDEX('Parametri Modello'!$E$57:$E$60,MATCH($B389,'Parametri Modello'!$A$57:$A$60,0))=0,0,($O389/INDEX('Parametri Modello'!$E$57:$E$60,MATCH($B389,'Parametri Modello'!$A$57:$A$60,0)))*(INDEX('Parametri Modello'!$D$57:$D$60,MATCH($B389,'Parametri Modello'!$A$57:$A$60,0))*(INDEX('Parametri Modello'!$B$50:$B$53,MATCH($B389,'Parametri Modello'!$A$50:$A$53,0))*'Parametri Modello'!$B$44))),IF(INDEX('Parametri Modello'!$F$57:$F$60,MATCH($B389,'Parametri Modello'!$A$57:$A$60,0))=0,0,($O389/INDEX('Parametri Modello'!$F$57:$F$60,MATCH($B389,'Parametri Modello'!$A$57:$A$60,0)))*((1-INDEX('Parametri Modello'!$D$57:$D$60,MATCH($B389,'Parametri Modello'!$A$57:$A$60,0)))*(INDEX('Parametri Modello'!$B$50:$B$53,MATCH($B389,'Parametri Modello'!$A$50:$A$53,0))*'Parametri Modello'!$B$44))))*(1+IF(IF($B389="D",'Info Lega'!$B$25,IF($B389="C",'Info Lega'!$B$26,"No"))="Si",'Parametri Modello'!$B$5,0))*(1+MAX(-0.25,MIN(0.25,IF(OR($T389="",$I389="",$I389=0,INDEX('Parametri Modello'!$B$19:$B$22,MATCH($B389,'Parametri Modello'!$A$19:$A$22,0))="",INDEX('Parametri Modello'!$B$19:$B$22,MATCH($B389,'Parametri Modello'!$A$19:$A$22,0))=0),0,(($T389-INDEX('Parametri Modello'!$B$19:$B$22,MATCH($B389,'Parametri Modello'!$A$19:$A$22,0)))/INDEX('Parametri Modello'!$B$19:$B$22,MATCH($B389,'Parametri Modello'!$A$19:$A$22,0)))*'Parametri Modello'!$B$9))))*(1+IF('Parametri Modello'!$B$27="Si",MAX(-'Parametri Modello'!$B$28,MIN('Parametri Modello'!$B$28*1.5,IF(OR(INDEX('Parametri Modello'!$F$32:$F$35,MATCH($B389,'Parametri Modello'!$A$32:$A$35,0))="",INDEX('Parametri Modello'!$F$32:$F$35,MATCH($B389,'Parametri Modello'!$A$32:$A$35,0))=0),0,(1/INDEX('Parametri Modello'!$F$32:$F$35,MATCH($B389,'Parametri Modello'!$A$32:$A$35,0))-1)*'Parametri Modello'!$B$28))),0)))*(1+INDEX('Parametri Modello'!$B$12:$B$15,MATCH($B389,'Parametri Modello'!$A$12:$A$15,0))),0),"")</f>
        <v>1</v>
      </c>
      <c r="I389" s="26" t="n">
        <f aca="false">IFERROR(INDEX('Input Statistiche 2025_26'!$F$3:$F$665,MATCH($A389,'Input Statistiche 2025_26'!$A$3:$A$665,0)),"")</f>
        <v>11</v>
      </c>
      <c r="J389" s="26" t="n">
        <f aca="false">IFERROR(IF($I389="","",MAX(0,38-$I389)),"")</f>
        <v>27</v>
      </c>
      <c r="K389" s="26" t="n">
        <f aca="false">IFERROR(INDEX('Input Statistiche 2025_26'!$I$3:$I$665,MATCH($A389,'Input Statistiche 2025_26'!$A$3:$A$665,0)),"")</f>
        <v>0</v>
      </c>
      <c r="L389" s="26" t="n">
        <f aca="false">IFERROR(INDEX('Input Statistiche 2025_26'!$O$3:$O$665,MATCH($A389,'Input Statistiche 2025_26'!$A$3:$A$665,0)),"")</f>
        <v>0</v>
      </c>
      <c r="M389" s="28"/>
      <c r="N389" s="27" t="n">
        <f aca="false">IFERROR(INDEX('Input Giocatori 2026_27'!$E$3:$E$493,MATCH($A389,'Input Giocatori 2026_27'!$A$3:$A$493,0)),"")</f>
        <v>3</v>
      </c>
      <c r="O389" s="27" t="n">
        <f aca="false">IFERROR(INDEX('Input Giocatori 2026_27'!$G$3:$G$493,MATCH($A389,'Input Giocatori 2026_27'!$A$3:$A$493,0)),"")</f>
        <v>5</v>
      </c>
      <c r="P389" s="26" t="str">
        <f aca="false">IFERROR(IF($O389="","",IF((1-(COUNTIFS($B$2:$B$492,$B389,$O$2:$O$492,"&gt;"&amp;$O389)+1-1)/COUNTIF($B$2:$B$492,$B389))&gt;=0.85,"Top",IF((1-(COUNTIFS($B$2:$B$492,$B389,$O$2:$O$492,"&gt;"&amp;$O389)+1-1)/COUNTIF($B$2:$B$492,$B389))&gt;=0.6,"Buono",IF((1-(COUNTIFS($B$2:$B$492,$B389,$O$2:$O$492,"&gt;"&amp;$O389)+1-1)/COUNTIF($B$2:$B$492,$B389))&gt;=0.3,"Nella Media","Scommessa/Riserva")))),"")</f>
        <v>Scommessa/Riserva</v>
      </c>
      <c r="Q389" s="29" t="n">
        <f aca="false">IF($D389="",COUNTIF($D$2:$D389,""),"")</f>
        <v>388</v>
      </c>
      <c r="R389" s="29" t="str">
        <f aca="false">IF($D389='Info Lega'!$B$28,COUNTIFS($D$2:$D389,'Info Lega'!$B$28),"")</f>
        <v/>
      </c>
      <c r="S389" s="30" t="n">
        <f aca="false">IFERROR(INDEX('Input Statistiche 2025_26'!$G$3:$G$665,MATCH($A389,'Input Statistiche 2025_26'!$A$3:$A$665,0)),"")</f>
        <v>5.77</v>
      </c>
      <c r="T389" s="30" t="n">
        <f aca="false">IFERROR(INDEX('Input Statistiche 2025_26'!$H$3:$H$665,MATCH($A389,'Input Statistiche 2025_26'!$A$3:$A$665,0)),"")</f>
        <v>5.64</v>
      </c>
      <c r="U389" s="26" t="str">
        <f aca="false">IF(OR('La Mia Rosa'!$O$12="",$D389&lt;&gt;""),"",IF($F389&lt;='La Mia Rosa'!$O$12*'Parametri Modello'!$B$24,"OK",IF($F389&lt;='La Mia Rosa'!$O$12*'Parametri Modello'!$B$25,"Attenzione","Rischio Alto")))</f>
        <v>OK</v>
      </c>
      <c r="V389" s="26" t="n">
        <f aca="false">IFERROR(COUNTIFS($B$2:$B$492,$B389,$O$2:$O$492,"&gt;"&amp;$O389)+1,"")</f>
        <v>146</v>
      </c>
      <c r="W389" s="21" t="n">
        <f aca="false">'Info Lega'!$B$4-SUMIFS($M$2:$M$492,$D$2:$D$492,'Info Lega'!$B$28)</f>
        <v>1000</v>
      </c>
      <c r="X389" s="21" t="n">
        <f aca="false">('Info Lega'!$B$5-COUNTIFS($D$2:$D$492,'Info Lega'!$B$28,$B$2:$B$492,"P"))+('Info Lega'!$B$6-COUNTIFS($D$2:$D$492,'Info Lega'!$B$28,$B$2:$B$492,"D"))+('Info Lega'!$B$7-COUNTIFS($D$2:$D$492,'Info Lega'!$B$28,$B$2:$B$492,"C"))+('Info Lega'!$B$8-COUNTIFS($D$2:$D$492,'Info Lega'!$B$28,$B$2:$B$492,"A"))</f>
        <v>25</v>
      </c>
      <c r="Y389" s="21" t="n">
        <f aca="false">X389*'Parametri Modello'!$B$30</f>
        <v>25</v>
      </c>
      <c r="Z389" s="21" t="n">
        <f aca="false">MAX(0,W389-Y389)</f>
        <v>975</v>
      </c>
      <c r="AA389" s="21" t="n">
        <f aca="false">MIN(F389,Z389)</f>
        <v>1</v>
      </c>
      <c r="AB389" s="21"/>
      <c r="AC389" s="21" t="str">
        <f aca="false">IF(AB389="","",IF(AB389&gt;AA389,"PASS",IF(AB389&lt;=AA389*0.85,"BID","ATTENZIONE")))</f>
        <v/>
      </c>
      <c r="AD389" s="31" t="n">
        <f aca="false">IF(I389="","",ROUND(100*(1-EXP(-I389/30)),0))</f>
        <v>31</v>
      </c>
      <c r="AE389" s="7" t="str">
        <f aca="false">IFERROR(INDEX('Stato Asta'!$G$9:$G$12,MATCH($B389,'Stato Asta'!$A$9:$A$12,0)),"")</f>
        <v>🟡 Attesa rischiosa</v>
      </c>
    </row>
    <row r="390" customFormat="false" ht="14.25" hidden="false" customHeight="true" outlineLevel="0" collapsed="false">
      <c r="A390" s="21" t="n">
        <v>6903</v>
      </c>
      <c r="B390" s="21" t="s">
        <v>45</v>
      </c>
      <c r="C390" s="21" t="s">
        <v>510</v>
      </c>
      <c r="E390" s="26" t="str">
        <f aca="false">IF(COUNTIF('Info Strategia'!$D$2:$D$51,$C390)&gt;0,"SI","NO")</f>
        <v>NO</v>
      </c>
      <c r="F390" s="27" t="n">
        <f aca="false">IFERROR(ROUND(($G390+($H390-$G390)*'Info Strategia'!$B$6)*(1+IF($E390="SI",'Parametri Modello'!$B$7*'Info Strategia'!$B$6,0)),0),"")</f>
        <v>1</v>
      </c>
      <c r="G390" s="27" t="n">
        <f aca="false">IFERROR(ROUND(MAX(1,(IF($V390&lt;=INDEX('Parametri Modello'!$C$57:$C$60,MATCH($B390,'Parametri Modello'!$A$57:$A$60,0)),IF(INDEX('Parametri Modello'!$E$57:$E$60,MATCH($B390,'Parametri Modello'!$A$57:$A$60,0))=0,0,($O390/INDEX('Parametri Modello'!$E$57:$E$60,MATCH($B390,'Parametri Modello'!$A$57:$A$60,0)))*(INDEX('Parametri Modello'!$D$57:$D$60,MATCH($B390,'Parametri Modello'!$A$57:$A$60,0))*(INDEX('Parametri Modello'!$B$50:$B$53,MATCH($B390,'Parametri Modello'!$A$50:$A$53,0))*'Parametri Modello'!$B$44))),IF(INDEX('Parametri Modello'!$F$57:$F$60,MATCH($B390,'Parametri Modello'!$A$57:$A$60,0))=0,0,($O390/INDEX('Parametri Modello'!$F$57:$F$60,MATCH($B390,'Parametri Modello'!$A$57:$A$60,0)))*((1-INDEX('Parametri Modello'!$D$57:$D$60,MATCH($B390,'Parametri Modello'!$A$57:$A$60,0)))*(INDEX('Parametri Modello'!$B$50:$B$53,MATCH($B390,'Parametri Modello'!$A$50:$A$53,0))*'Parametri Modello'!$B$44))))*(1+IF(IF($B390="D",'Info Lega'!$B$25,IF($B390="C",'Info Lega'!$B$26,"No"))="Si",'Parametri Modello'!$B$5,0))*(1+MAX(-0.25,MIN(0.25,IF(OR($T390="",$I390="",$I390=0,INDEX('Parametri Modello'!$B$19:$B$22,MATCH($B390,'Parametri Modello'!$A$19:$A$22,0))="",INDEX('Parametri Modello'!$B$19:$B$22,MATCH($B390,'Parametri Modello'!$A$19:$A$22,0))=0),0,(($T390-INDEX('Parametri Modello'!$B$19:$B$22,MATCH($B390,'Parametri Modello'!$A$19:$A$22,0)))/INDEX('Parametri Modello'!$B$19:$B$22,MATCH($B390,'Parametri Modello'!$A$19:$A$22,0)))*'Parametri Modello'!$B$9))))*(1+IF('Parametri Modello'!$B$27="Si",MAX(-'Parametri Modello'!$B$28,MIN('Parametri Modello'!$B$28*1.5,IF(OR(INDEX('Parametri Modello'!$F$32:$F$35,MATCH($B390,'Parametri Modello'!$A$32:$A$35,0))="",INDEX('Parametri Modello'!$F$32:$F$35,MATCH($B390,'Parametri Modello'!$A$32:$A$35,0))=0),0,(1/INDEX('Parametri Modello'!$F$32:$F$35,MATCH($B390,'Parametri Modello'!$A$32:$A$35,0))-1)*'Parametri Modello'!$B$28))),0)))*(1-INDEX('Parametri Modello'!$B$12:$B$15,MATCH($B390,'Parametri Modello'!$A$12:$A$15,0)))),0),"")</f>
        <v>1</v>
      </c>
      <c r="H390" s="27" t="n">
        <f aca="false">IFERROR(ROUND((IF($V390&lt;=INDEX('Parametri Modello'!$C$57:$C$60,MATCH($B390,'Parametri Modello'!$A$57:$A$60,0)),IF(INDEX('Parametri Modello'!$E$57:$E$60,MATCH($B390,'Parametri Modello'!$A$57:$A$60,0))=0,0,($O390/INDEX('Parametri Modello'!$E$57:$E$60,MATCH($B390,'Parametri Modello'!$A$57:$A$60,0)))*(INDEX('Parametri Modello'!$D$57:$D$60,MATCH($B390,'Parametri Modello'!$A$57:$A$60,0))*(INDEX('Parametri Modello'!$B$50:$B$53,MATCH($B390,'Parametri Modello'!$A$50:$A$53,0))*'Parametri Modello'!$B$44))),IF(INDEX('Parametri Modello'!$F$57:$F$60,MATCH($B390,'Parametri Modello'!$A$57:$A$60,0))=0,0,($O390/INDEX('Parametri Modello'!$F$57:$F$60,MATCH($B390,'Parametri Modello'!$A$57:$A$60,0)))*((1-INDEX('Parametri Modello'!$D$57:$D$60,MATCH($B390,'Parametri Modello'!$A$57:$A$60,0)))*(INDEX('Parametri Modello'!$B$50:$B$53,MATCH($B390,'Parametri Modello'!$A$50:$A$53,0))*'Parametri Modello'!$B$44))))*(1+IF(IF($B390="D",'Info Lega'!$B$25,IF($B390="C",'Info Lega'!$B$26,"No"))="Si",'Parametri Modello'!$B$5,0))*(1+MAX(-0.25,MIN(0.25,IF(OR($T390="",$I390="",$I390=0,INDEX('Parametri Modello'!$B$19:$B$22,MATCH($B390,'Parametri Modello'!$A$19:$A$22,0))="",INDEX('Parametri Modello'!$B$19:$B$22,MATCH($B390,'Parametri Modello'!$A$19:$A$22,0))=0),0,(($T390-INDEX('Parametri Modello'!$B$19:$B$22,MATCH($B390,'Parametri Modello'!$A$19:$A$22,0)))/INDEX('Parametri Modello'!$B$19:$B$22,MATCH($B390,'Parametri Modello'!$A$19:$A$22,0)))*'Parametri Modello'!$B$9))))*(1+IF('Parametri Modello'!$B$27="Si",MAX(-'Parametri Modello'!$B$28,MIN('Parametri Modello'!$B$28*1.5,IF(OR(INDEX('Parametri Modello'!$F$32:$F$35,MATCH($B390,'Parametri Modello'!$A$32:$A$35,0))="",INDEX('Parametri Modello'!$F$32:$F$35,MATCH($B390,'Parametri Modello'!$A$32:$A$35,0))=0),0,(1/INDEX('Parametri Modello'!$F$32:$F$35,MATCH($B390,'Parametri Modello'!$A$32:$A$35,0))-1)*'Parametri Modello'!$B$28))),0)))*(1+INDEX('Parametri Modello'!$B$12:$B$15,MATCH($B390,'Parametri Modello'!$A$12:$A$15,0))),0),"")</f>
        <v>1</v>
      </c>
      <c r="I390" s="26" t="str">
        <f aca="false">IFERROR(INDEX('Input Statistiche 2025_26'!$F$3:$F$665,MATCH($A390,'Input Statistiche 2025_26'!$A$3:$A$665,0)),"")</f>
        <v/>
      </c>
      <c r="J390" s="26" t="str">
        <f aca="false">IFERROR(IF($I390="","",MAX(0,38-$I390)),"")</f>
        <v/>
      </c>
      <c r="K390" s="26" t="str">
        <f aca="false">IFERROR(INDEX('Input Statistiche 2025_26'!$I$3:$I$665,MATCH($A390,'Input Statistiche 2025_26'!$A$3:$A$665,0)),"")</f>
        <v/>
      </c>
      <c r="L390" s="26" t="str">
        <f aca="false">IFERROR(INDEX('Input Statistiche 2025_26'!$O$3:$O$665,MATCH($A390,'Input Statistiche 2025_26'!$A$3:$A$665,0)),"")</f>
        <v/>
      </c>
      <c r="M390" s="28"/>
      <c r="N390" s="27" t="n">
        <f aca="false">IFERROR(INDEX('Input Giocatori 2026_27'!$E$3:$E$493,MATCH($A390,'Input Giocatori 2026_27'!$A$3:$A$493,0)),"")</f>
        <v>2</v>
      </c>
      <c r="O390" s="27" t="n">
        <f aca="false">IFERROR(INDEX('Input Giocatori 2026_27'!$G$3:$G$493,MATCH($A390,'Input Giocatori 2026_27'!$A$3:$A$493,0)),"")</f>
        <v>5</v>
      </c>
      <c r="P390" s="26" t="str">
        <f aca="false">IFERROR(IF($O390="","",IF((1-(COUNTIFS($B$2:$B$492,$B390,$O$2:$O$492,"&gt;"&amp;$O390)+1-1)/COUNTIF($B$2:$B$492,$B390))&gt;=0.85,"Top",IF((1-(COUNTIFS($B$2:$B$492,$B390,$O$2:$O$492,"&gt;"&amp;$O390)+1-1)/COUNTIF($B$2:$B$492,$B390))&gt;=0.6,"Buono",IF((1-(COUNTIFS($B$2:$B$492,$B390,$O$2:$O$492,"&gt;"&amp;$O390)+1-1)/COUNTIF($B$2:$B$492,$B390))&gt;=0.3,"Nella Media","Scommessa/Riserva")))),"")</f>
        <v>Scommessa/Riserva</v>
      </c>
      <c r="Q390" s="29" t="n">
        <f aca="false">IF($D390="",COUNTIF($D$2:$D390,""),"")</f>
        <v>389</v>
      </c>
      <c r="R390" s="29" t="str">
        <f aca="false">IF($D390='Info Lega'!$B$28,COUNTIFS($D$2:$D390,'Info Lega'!$B$28),"")</f>
        <v/>
      </c>
      <c r="S390" s="30" t="str">
        <f aca="false">IFERROR(INDEX('Input Statistiche 2025_26'!$G$3:$G$665,MATCH($A390,'Input Statistiche 2025_26'!$A$3:$A$665,0)),"")</f>
        <v/>
      </c>
      <c r="T390" s="30" t="str">
        <f aca="false">IFERROR(INDEX('Input Statistiche 2025_26'!$H$3:$H$665,MATCH($A390,'Input Statistiche 2025_26'!$A$3:$A$665,0)),"")</f>
        <v/>
      </c>
      <c r="U390" s="26" t="str">
        <f aca="false">IF(OR('La Mia Rosa'!$O$12="",$D390&lt;&gt;""),"",IF($F390&lt;='La Mia Rosa'!$O$12*'Parametri Modello'!$B$24,"OK",IF($F390&lt;='La Mia Rosa'!$O$12*'Parametri Modello'!$B$25,"Attenzione","Rischio Alto")))</f>
        <v>OK</v>
      </c>
      <c r="V390" s="26" t="n">
        <f aca="false">IFERROR(COUNTIFS($B$2:$B$492,$B390,$O$2:$O$492,"&gt;"&amp;$O390)+1,"")</f>
        <v>146</v>
      </c>
      <c r="W390" s="21" t="n">
        <f aca="false">'Info Lega'!$B$4-SUMIFS($M$2:$M$492,$D$2:$D$492,'Info Lega'!$B$28)</f>
        <v>1000</v>
      </c>
      <c r="X390" s="21" t="n">
        <f aca="false">('Info Lega'!$B$5-COUNTIFS($D$2:$D$492,'Info Lega'!$B$28,$B$2:$B$492,"P"))+('Info Lega'!$B$6-COUNTIFS($D$2:$D$492,'Info Lega'!$B$28,$B$2:$B$492,"D"))+('Info Lega'!$B$7-COUNTIFS($D$2:$D$492,'Info Lega'!$B$28,$B$2:$B$492,"C"))+('Info Lega'!$B$8-COUNTIFS($D$2:$D$492,'Info Lega'!$B$28,$B$2:$B$492,"A"))</f>
        <v>25</v>
      </c>
      <c r="Y390" s="21" t="n">
        <f aca="false">X390*'Parametri Modello'!$B$30</f>
        <v>25</v>
      </c>
      <c r="Z390" s="21" t="n">
        <f aca="false">MAX(0,W390-Y390)</f>
        <v>975</v>
      </c>
      <c r="AA390" s="21" t="n">
        <f aca="false">MIN(F390,Z390)</f>
        <v>1</v>
      </c>
      <c r="AB390" s="21"/>
      <c r="AC390" s="21" t="str">
        <f aca="false">IF(AB390="","",IF(AB390&gt;AA390,"PASS",IF(AB390&lt;=AA390*0.85,"BID","ATTENZIONE")))</f>
        <v/>
      </c>
      <c r="AD390" s="31" t="str">
        <f aca="false">IF(I390="","",ROUND(100*(1-EXP(-I390/30)),0))</f>
        <v/>
      </c>
      <c r="AE390" s="7" t="str">
        <f aca="false">IFERROR(INDEX('Stato Asta'!$G$9:$G$12,MATCH($B390,'Stato Asta'!$A$9:$A$12,0)),"")</f>
        <v>🟡 Attesa rischiosa</v>
      </c>
    </row>
    <row r="391" customFormat="false" ht="14.25" hidden="false" customHeight="true" outlineLevel="0" collapsed="false">
      <c r="A391" s="21" t="n">
        <v>5457</v>
      </c>
      <c r="B391" s="21" t="s">
        <v>45</v>
      </c>
      <c r="C391" s="21" t="s">
        <v>513</v>
      </c>
      <c r="E391" s="26" t="str">
        <f aca="false">IF(COUNTIF('Info Strategia'!$D$2:$D$51,$C391)&gt;0,"SI","NO")</f>
        <v>NO</v>
      </c>
      <c r="F391" s="27" t="n">
        <f aca="false">IFERROR(ROUND(($G391+($H391-$G391)*'Info Strategia'!$B$6)*(1+IF($E391="SI",'Parametri Modello'!$B$7*'Info Strategia'!$B$6,0)),0),"")</f>
        <v>1</v>
      </c>
      <c r="G391" s="27" t="n">
        <f aca="false">IFERROR(ROUND(MAX(1,(IF($V391&lt;=INDEX('Parametri Modello'!$C$57:$C$60,MATCH($B391,'Parametri Modello'!$A$57:$A$60,0)),IF(INDEX('Parametri Modello'!$E$57:$E$60,MATCH($B391,'Parametri Modello'!$A$57:$A$60,0))=0,0,($O391/INDEX('Parametri Modello'!$E$57:$E$60,MATCH($B391,'Parametri Modello'!$A$57:$A$60,0)))*(INDEX('Parametri Modello'!$D$57:$D$60,MATCH($B391,'Parametri Modello'!$A$57:$A$60,0))*(INDEX('Parametri Modello'!$B$50:$B$53,MATCH($B391,'Parametri Modello'!$A$50:$A$53,0))*'Parametri Modello'!$B$44))),IF(INDEX('Parametri Modello'!$F$57:$F$60,MATCH($B391,'Parametri Modello'!$A$57:$A$60,0))=0,0,($O391/INDEX('Parametri Modello'!$F$57:$F$60,MATCH($B391,'Parametri Modello'!$A$57:$A$60,0)))*((1-INDEX('Parametri Modello'!$D$57:$D$60,MATCH($B391,'Parametri Modello'!$A$57:$A$60,0)))*(INDEX('Parametri Modello'!$B$50:$B$53,MATCH($B391,'Parametri Modello'!$A$50:$A$53,0))*'Parametri Modello'!$B$44))))*(1+IF(IF($B391="D",'Info Lega'!$B$25,IF($B391="C",'Info Lega'!$B$26,"No"))="Si",'Parametri Modello'!$B$5,0))*(1+MAX(-0.25,MIN(0.25,IF(OR($T391="",$I391="",$I391=0,INDEX('Parametri Modello'!$B$19:$B$22,MATCH($B391,'Parametri Modello'!$A$19:$A$22,0))="",INDEX('Parametri Modello'!$B$19:$B$22,MATCH($B391,'Parametri Modello'!$A$19:$A$22,0))=0),0,(($T391-INDEX('Parametri Modello'!$B$19:$B$22,MATCH($B391,'Parametri Modello'!$A$19:$A$22,0)))/INDEX('Parametri Modello'!$B$19:$B$22,MATCH($B391,'Parametri Modello'!$A$19:$A$22,0)))*'Parametri Modello'!$B$9))))*(1+IF('Parametri Modello'!$B$27="Si",MAX(-'Parametri Modello'!$B$28,MIN('Parametri Modello'!$B$28*1.5,IF(OR(INDEX('Parametri Modello'!$F$32:$F$35,MATCH($B391,'Parametri Modello'!$A$32:$A$35,0))="",INDEX('Parametri Modello'!$F$32:$F$35,MATCH($B391,'Parametri Modello'!$A$32:$A$35,0))=0),0,(1/INDEX('Parametri Modello'!$F$32:$F$35,MATCH($B391,'Parametri Modello'!$A$32:$A$35,0))-1)*'Parametri Modello'!$B$28))),0)))*(1-INDEX('Parametri Modello'!$B$12:$B$15,MATCH($B391,'Parametri Modello'!$A$12:$A$15,0)))),0),"")</f>
        <v>1</v>
      </c>
      <c r="H391" s="27" t="n">
        <f aca="false">IFERROR(ROUND((IF($V391&lt;=INDEX('Parametri Modello'!$C$57:$C$60,MATCH($B391,'Parametri Modello'!$A$57:$A$60,0)),IF(INDEX('Parametri Modello'!$E$57:$E$60,MATCH($B391,'Parametri Modello'!$A$57:$A$60,0))=0,0,($O391/INDEX('Parametri Modello'!$E$57:$E$60,MATCH($B391,'Parametri Modello'!$A$57:$A$60,0)))*(INDEX('Parametri Modello'!$D$57:$D$60,MATCH($B391,'Parametri Modello'!$A$57:$A$60,0))*(INDEX('Parametri Modello'!$B$50:$B$53,MATCH($B391,'Parametri Modello'!$A$50:$A$53,0))*'Parametri Modello'!$B$44))),IF(INDEX('Parametri Modello'!$F$57:$F$60,MATCH($B391,'Parametri Modello'!$A$57:$A$60,0))=0,0,($O391/INDEX('Parametri Modello'!$F$57:$F$60,MATCH($B391,'Parametri Modello'!$A$57:$A$60,0)))*((1-INDEX('Parametri Modello'!$D$57:$D$60,MATCH($B391,'Parametri Modello'!$A$57:$A$60,0)))*(INDEX('Parametri Modello'!$B$50:$B$53,MATCH($B391,'Parametri Modello'!$A$50:$A$53,0))*'Parametri Modello'!$B$44))))*(1+IF(IF($B391="D",'Info Lega'!$B$25,IF($B391="C",'Info Lega'!$B$26,"No"))="Si",'Parametri Modello'!$B$5,0))*(1+MAX(-0.25,MIN(0.25,IF(OR($T391="",$I391="",$I391=0,INDEX('Parametri Modello'!$B$19:$B$22,MATCH($B391,'Parametri Modello'!$A$19:$A$22,0))="",INDEX('Parametri Modello'!$B$19:$B$22,MATCH($B391,'Parametri Modello'!$A$19:$A$22,0))=0),0,(($T391-INDEX('Parametri Modello'!$B$19:$B$22,MATCH($B391,'Parametri Modello'!$A$19:$A$22,0)))/INDEX('Parametri Modello'!$B$19:$B$22,MATCH($B391,'Parametri Modello'!$A$19:$A$22,0)))*'Parametri Modello'!$B$9))))*(1+IF('Parametri Modello'!$B$27="Si",MAX(-'Parametri Modello'!$B$28,MIN('Parametri Modello'!$B$28*1.5,IF(OR(INDEX('Parametri Modello'!$F$32:$F$35,MATCH($B391,'Parametri Modello'!$A$32:$A$35,0))="",INDEX('Parametri Modello'!$F$32:$F$35,MATCH($B391,'Parametri Modello'!$A$32:$A$35,0))=0),0,(1/INDEX('Parametri Modello'!$F$32:$F$35,MATCH($B391,'Parametri Modello'!$A$32:$A$35,0))-1)*'Parametri Modello'!$B$28))),0)))*(1+INDEX('Parametri Modello'!$B$12:$B$15,MATCH($B391,'Parametri Modello'!$A$12:$A$15,0))),0),"")</f>
        <v>1</v>
      </c>
      <c r="I391" s="26" t="n">
        <f aca="false">IFERROR(INDEX('Input Statistiche 2025_26'!$F$3:$F$665,MATCH($A391,'Input Statistiche 2025_26'!$A$3:$A$665,0)),"")</f>
        <v>21</v>
      </c>
      <c r="J391" s="26" t="n">
        <f aca="false">IFERROR(IF($I391="","",MAX(0,38-$I391)),"")</f>
        <v>17</v>
      </c>
      <c r="K391" s="26" t="n">
        <f aca="false">IFERROR(INDEX('Input Statistiche 2025_26'!$I$3:$I$665,MATCH($A391,'Input Statistiche 2025_26'!$A$3:$A$665,0)),"")</f>
        <v>1</v>
      </c>
      <c r="L391" s="26" t="n">
        <f aca="false">IFERROR(INDEX('Input Statistiche 2025_26'!$O$3:$O$665,MATCH($A391,'Input Statistiche 2025_26'!$A$3:$A$665,0)),"")</f>
        <v>0</v>
      </c>
      <c r="M391" s="28"/>
      <c r="N391" s="27" t="n">
        <f aca="false">IFERROR(INDEX('Input Giocatori 2026_27'!$E$3:$E$493,MATCH($A391,'Input Giocatori 2026_27'!$A$3:$A$493,0)),"")</f>
        <v>2</v>
      </c>
      <c r="O391" s="27" t="n">
        <f aca="false">IFERROR(INDEX('Input Giocatori 2026_27'!$G$3:$G$493,MATCH($A391,'Input Giocatori 2026_27'!$A$3:$A$493,0)),"")</f>
        <v>5</v>
      </c>
      <c r="P391" s="26" t="str">
        <f aca="false">IFERROR(IF($O391="","",IF((1-(COUNTIFS($B$2:$B$492,$B391,$O$2:$O$492,"&gt;"&amp;$O391)+1-1)/COUNTIF($B$2:$B$492,$B391))&gt;=0.85,"Top",IF((1-(COUNTIFS($B$2:$B$492,$B391,$O$2:$O$492,"&gt;"&amp;$O391)+1-1)/COUNTIF($B$2:$B$492,$B391))&gt;=0.6,"Buono",IF((1-(COUNTIFS($B$2:$B$492,$B391,$O$2:$O$492,"&gt;"&amp;$O391)+1-1)/COUNTIF($B$2:$B$492,$B391))&gt;=0.3,"Nella Media","Scommessa/Riserva")))),"")</f>
        <v>Scommessa/Riserva</v>
      </c>
      <c r="Q391" s="29" t="n">
        <f aca="false">IF($D391="",COUNTIF($D$2:$D391,""),"")</f>
        <v>390</v>
      </c>
      <c r="R391" s="29" t="str">
        <f aca="false">IF($D391='Info Lega'!$B$28,COUNTIFS($D$2:$D391,'Info Lega'!$B$28),"")</f>
        <v/>
      </c>
      <c r="S391" s="30" t="n">
        <f aca="false">IFERROR(INDEX('Input Statistiche 2025_26'!$G$3:$G$665,MATCH($A391,'Input Statistiche 2025_26'!$A$3:$A$665,0)),"")</f>
        <v>5.69</v>
      </c>
      <c r="T391" s="30" t="n">
        <f aca="false">IFERROR(INDEX('Input Statistiche 2025_26'!$H$3:$H$665,MATCH($A391,'Input Statistiche 2025_26'!$A$3:$A$665,0)),"")</f>
        <v>5.71</v>
      </c>
      <c r="U391" s="26" t="str">
        <f aca="false">IF(OR('La Mia Rosa'!$O$12="",$D391&lt;&gt;""),"",IF($F391&lt;='La Mia Rosa'!$O$12*'Parametri Modello'!$B$24,"OK",IF($F391&lt;='La Mia Rosa'!$O$12*'Parametri Modello'!$B$25,"Attenzione","Rischio Alto")))</f>
        <v>OK</v>
      </c>
      <c r="V391" s="26" t="n">
        <f aca="false">IFERROR(COUNTIFS($B$2:$B$492,$B391,$O$2:$O$492,"&gt;"&amp;$O391)+1,"")</f>
        <v>146</v>
      </c>
      <c r="W391" s="21" t="n">
        <f aca="false">'Info Lega'!$B$4-SUMIFS($M$2:$M$492,$D$2:$D$492,'Info Lega'!$B$28)</f>
        <v>1000</v>
      </c>
      <c r="X391" s="21" t="n">
        <f aca="false">('Info Lega'!$B$5-COUNTIFS($D$2:$D$492,'Info Lega'!$B$28,$B$2:$B$492,"P"))+('Info Lega'!$B$6-COUNTIFS($D$2:$D$492,'Info Lega'!$B$28,$B$2:$B$492,"D"))+('Info Lega'!$B$7-COUNTIFS($D$2:$D$492,'Info Lega'!$B$28,$B$2:$B$492,"C"))+('Info Lega'!$B$8-COUNTIFS($D$2:$D$492,'Info Lega'!$B$28,$B$2:$B$492,"A"))</f>
        <v>25</v>
      </c>
      <c r="Y391" s="21" t="n">
        <f aca="false">X391*'Parametri Modello'!$B$30</f>
        <v>25</v>
      </c>
      <c r="Z391" s="21" t="n">
        <f aca="false">MAX(0,W391-Y391)</f>
        <v>975</v>
      </c>
      <c r="AA391" s="21" t="n">
        <f aca="false">MIN(F391,Z391)</f>
        <v>1</v>
      </c>
      <c r="AB391" s="21"/>
      <c r="AC391" s="21" t="str">
        <f aca="false">IF(AB391="","",IF(AB391&gt;AA391,"PASS",IF(AB391&lt;=AA391*0.85,"BID","ATTENZIONE")))</f>
        <v/>
      </c>
      <c r="AD391" s="31" t="n">
        <f aca="false">IF(I391="","",ROUND(100*(1-EXP(-I391/30)),0))</f>
        <v>50</v>
      </c>
      <c r="AE391" s="7" t="str">
        <f aca="false">IFERROR(INDEX('Stato Asta'!$G$9:$G$12,MATCH($B391,'Stato Asta'!$A$9:$A$12,0)),"")</f>
        <v>🟡 Attesa rischiosa</v>
      </c>
    </row>
    <row r="392" customFormat="false" ht="14.25" hidden="false" customHeight="true" outlineLevel="0" collapsed="false">
      <c r="A392" s="21" t="n">
        <v>7138</v>
      </c>
      <c r="B392" s="21" t="s">
        <v>45</v>
      </c>
      <c r="C392" s="21" t="s">
        <v>516</v>
      </c>
      <c r="E392" s="26" t="str">
        <f aca="false">IF(COUNTIF('Info Strategia'!$D$2:$D$51,$C392)&gt;0,"SI","NO")</f>
        <v>NO</v>
      </c>
      <c r="F392" s="27" t="n">
        <f aca="false">IFERROR(ROUND(($G392+($H392-$G392)*'Info Strategia'!$B$6)*(1+IF($E392="SI",'Parametri Modello'!$B$7*'Info Strategia'!$B$6,0)),0),"")</f>
        <v>1</v>
      </c>
      <c r="G392" s="27" t="n">
        <f aca="false">IFERROR(ROUND(MAX(1,(IF($V392&lt;=INDEX('Parametri Modello'!$C$57:$C$60,MATCH($B392,'Parametri Modello'!$A$57:$A$60,0)),IF(INDEX('Parametri Modello'!$E$57:$E$60,MATCH($B392,'Parametri Modello'!$A$57:$A$60,0))=0,0,($O392/INDEX('Parametri Modello'!$E$57:$E$60,MATCH($B392,'Parametri Modello'!$A$57:$A$60,0)))*(INDEX('Parametri Modello'!$D$57:$D$60,MATCH($B392,'Parametri Modello'!$A$57:$A$60,0))*(INDEX('Parametri Modello'!$B$50:$B$53,MATCH($B392,'Parametri Modello'!$A$50:$A$53,0))*'Parametri Modello'!$B$44))),IF(INDEX('Parametri Modello'!$F$57:$F$60,MATCH($B392,'Parametri Modello'!$A$57:$A$60,0))=0,0,($O392/INDEX('Parametri Modello'!$F$57:$F$60,MATCH($B392,'Parametri Modello'!$A$57:$A$60,0)))*((1-INDEX('Parametri Modello'!$D$57:$D$60,MATCH($B392,'Parametri Modello'!$A$57:$A$60,0)))*(INDEX('Parametri Modello'!$B$50:$B$53,MATCH($B392,'Parametri Modello'!$A$50:$A$53,0))*'Parametri Modello'!$B$44))))*(1+IF(IF($B392="D",'Info Lega'!$B$25,IF($B392="C",'Info Lega'!$B$26,"No"))="Si",'Parametri Modello'!$B$5,0))*(1+MAX(-0.25,MIN(0.25,IF(OR($T392="",$I392="",$I392=0,INDEX('Parametri Modello'!$B$19:$B$22,MATCH($B392,'Parametri Modello'!$A$19:$A$22,0))="",INDEX('Parametri Modello'!$B$19:$B$22,MATCH($B392,'Parametri Modello'!$A$19:$A$22,0))=0),0,(($T392-INDEX('Parametri Modello'!$B$19:$B$22,MATCH($B392,'Parametri Modello'!$A$19:$A$22,0)))/INDEX('Parametri Modello'!$B$19:$B$22,MATCH($B392,'Parametri Modello'!$A$19:$A$22,0)))*'Parametri Modello'!$B$9))))*(1+IF('Parametri Modello'!$B$27="Si",MAX(-'Parametri Modello'!$B$28,MIN('Parametri Modello'!$B$28*1.5,IF(OR(INDEX('Parametri Modello'!$F$32:$F$35,MATCH($B392,'Parametri Modello'!$A$32:$A$35,0))="",INDEX('Parametri Modello'!$F$32:$F$35,MATCH($B392,'Parametri Modello'!$A$32:$A$35,0))=0),0,(1/INDEX('Parametri Modello'!$F$32:$F$35,MATCH($B392,'Parametri Modello'!$A$32:$A$35,0))-1)*'Parametri Modello'!$B$28))),0)))*(1-INDEX('Parametri Modello'!$B$12:$B$15,MATCH($B392,'Parametri Modello'!$A$12:$A$15,0)))),0),"")</f>
        <v>1</v>
      </c>
      <c r="H392" s="27" t="n">
        <f aca="false">IFERROR(ROUND((IF($V392&lt;=INDEX('Parametri Modello'!$C$57:$C$60,MATCH($B392,'Parametri Modello'!$A$57:$A$60,0)),IF(INDEX('Parametri Modello'!$E$57:$E$60,MATCH($B392,'Parametri Modello'!$A$57:$A$60,0))=0,0,($O392/INDEX('Parametri Modello'!$E$57:$E$60,MATCH($B392,'Parametri Modello'!$A$57:$A$60,0)))*(INDEX('Parametri Modello'!$D$57:$D$60,MATCH($B392,'Parametri Modello'!$A$57:$A$60,0))*(INDEX('Parametri Modello'!$B$50:$B$53,MATCH($B392,'Parametri Modello'!$A$50:$A$53,0))*'Parametri Modello'!$B$44))),IF(INDEX('Parametri Modello'!$F$57:$F$60,MATCH($B392,'Parametri Modello'!$A$57:$A$60,0))=0,0,($O392/INDEX('Parametri Modello'!$F$57:$F$60,MATCH($B392,'Parametri Modello'!$A$57:$A$60,0)))*((1-INDEX('Parametri Modello'!$D$57:$D$60,MATCH($B392,'Parametri Modello'!$A$57:$A$60,0)))*(INDEX('Parametri Modello'!$B$50:$B$53,MATCH($B392,'Parametri Modello'!$A$50:$A$53,0))*'Parametri Modello'!$B$44))))*(1+IF(IF($B392="D",'Info Lega'!$B$25,IF($B392="C",'Info Lega'!$B$26,"No"))="Si",'Parametri Modello'!$B$5,0))*(1+MAX(-0.25,MIN(0.25,IF(OR($T392="",$I392="",$I392=0,INDEX('Parametri Modello'!$B$19:$B$22,MATCH($B392,'Parametri Modello'!$A$19:$A$22,0))="",INDEX('Parametri Modello'!$B$19:$B$22,MATCH($B392,'Parametri Modello'!$A$19:$A$22,0))=0),0,(($T392-INDEX('Parametri Modello'!$B$19:$B$22,MATCH($B392,'Parametri Modello'!$A$19:$A$22,0)))/INDEX('Parametri Modello'!$B$19:$B$22,MATCH($B392,'Parametri Modello'!$A$19:$A$22,0)))*'Parametri Modello'!$B$9))))*(1+IF('Parametri Modello'!$B$27="Si",MAX(-'Parametri Modello'!$B$28,MIN('Parametri Modello'!$B$28*1.5,IF(OR(INDEX('Parametri Modello'!$F$32:$F$35,MATCH($B392,'Parametri Modello'!$A$32:$A$35,0))="",INDEX('Parametri Modello'!$F$32:$F$35,MATCH($B392,'Parametri Modello'!$A$32:$A$35,0))=0),0,(1/INDEX('Parametri Modello'!$F$32:$F$35,MATCH($B392,'Parametri Modello'!$A$32:$A$35,0))-1)*'Parametri Modello'!$B$28))),0)))*(1+INDEX('Parametri Modello'!$B$12:$B$15,MATCH($B392,'Parametri Modello'!$A$12:$A$15,0))),0),"")</f>
        <v>1</v>
      </c>
      <c r="I392" s="26" t="n">
        <f aca="false">IFERROR(INDEX('Input Statistiche 2025_26'!$F$3:$F$665,MATCH($A392,'Input Statistiche 2025_26'!$A$3:$A$665,0)),"")</f>
        <v>21</v>
      </c>
      <c r="J392" s="26" t="n">
        <f aca="false">IFERROR(IF($I392="","",MAX(0,38-$I392)),"")</f>
        <v>17</v>
      </c>
      <c r="K392" s="26" t="n">
        <f aca="false">IFERROR(INDEX('Input Statistiche 2025_26'!$I$3:$I$665,MATCH($A392,'Input Statistiche 2025_26'!$A$3:$A$665,0)),"")</f>
        <v>1</v>
      </c>
      <c r="L392" s="26" t="n">
        <f aca="false">IFERROR(INDEX('Input Statistiche 2025_26'!$O$3:$O$665,MATCH($A392,'Input Statistiche 2025_26'!$A$3:$A$665,0)),"")</f>
        <v>0</v>
      </c>
      <c r="M392" s="28"/>
      <c r="N392" s="27" t="n">
        <f aca="false">IFERROR(INDEX('Input Giocatori 2026_27'!$E$3:$E$493,MATCH($A392,'Input Giocatori 2026_27'!$A$3:$A$493,0)),"")</f>
        <v>2</v>
      </c>
      <c r="O392" s="27" t="n">
        <f aca="false">IFERROR(INDEX('Input Giocatori 2026_27'!$G$3:$G$493,MATCH($A392,'Input Giocatori 2026_27'!$A$3:$A$493,0)),"")</f>
        <v>5</v>
      </c>
      <c r="P392" s="26" t="str">
        <f aca="false">IFERROR(IF($O392="","",IF((1-(COUNTIFS($B$2:$B$492,$B392,$O$2:$O$492,"&gt;"&amp;$O392)+1-1)/COUNTIF($B$2:$B$492,$B392))&gt;=0.85,"Top",IF((1-(COUNTIFS($B$2:$B$492,$B392,$O$2:$O$492,"&gt;"&amp;$O392)+1-1)/COUNTIF($B$2:$B$492,$B392))&gt;=0.6,"Buono",IF((1-(COUNTIFS($B$2:$B$492,$B392,$O$2:$O$492,"&gt;"&amp;$O392)+1-1)/COUNTIF($B$2:$B$492,$B392))&gt;=0.3,"Nella Media","Scommessa/Riserva")))),"")</f>
        <v>Scommessa/Riserva</v>
      </c>
      <c r="Q392" s="29" t="n">
        <f aca="false">IF($D392="",COUNTIF($D$2:$D392,""),"")</f>
        <v>391</v>
      </c>
      <c r="R392" s="29" t="str">
        <f aca="false">IF($D392='Info Lega'!$B$28,COUNTIFS($D$2:$D392,'Info Lega'!$B$28),"")</f>
        <v/>
      </c>
      <c r="S392" s="30" t="n">
        <f aca="false">IFERROR(INDEX('Input Statistiche 2025_26'!$G$3:$G$665,MATCH($A392,'Input Statistiche 2025_26'!$A$3:$A$665,0)),"")</f>
        <v>5.79</v>
      </c>
      <c r="T392" s="30" t="n">
        <f aca="false">IFERROR(INDEX('Input Statistiche 2025_26'!$H$3:$H$665,MATCH($A392,'Input Statistiche 2025_26'!$A$3:$A$665,0)),"")</f>
        <v>5.81</v>
      </c>
      <c r="U392" s="26" t="str">
        <f aca="false">IF(OR('La Mia Rosa'!$O$12="",$D392&lt;&gt;""),"",IF($F392&lt;='La Mia Rosa'!$O$12*'Parametri Modello'!$B$24,"OK",IF($F392&lt;='La Mia Rosa'!$O$12*'Parametri Modello'!$B$25,"Attenzione","Rischio Alto")))</f>
        <v>OK</v>
      </c>
      <c r="V392" s="26" t="n">
        <f aca="false">IFERROR(COUNTIFS($B$2:$B$492,$B392,$O$2:$O$492,"&gt;"&amp;$O392)+1,"")</f>
        <v>146</v>
      </c>
      <c r="W392" s="21" t="n">
        <f aca="false">'Info Lega'!$B$4-SUMIFS($M$2:$M$492,$D$2:$D$492,'Info Lega'!$B$28)</f>
        <v>1000</v>
      </c>
      <c r="X392" s="21" t="n">
        <f aca="false">('Info Lega'!$B$5-COUNTIFS($D$2:$D$492,'Info Lega'!$B$28,$B$2:$B$492,"P"))+('Info Lega'!$B$6-COUNTIFS($D$2:$D$492,'Info Lega'!$B$28,$B$2:$B$492,"D"))+('Info Lega'!$B$7-COUNTIFS($D$2:$D$492,'Info Lega'!$B$28,$B$2:$B$492,"C"))+('Info Lega'!$B$8-COUNTIFS($D$2:$D$492,'Info Lega'!$B$28,$B$2:$B$492,"A"))</f>
        <v>25</v>
      </c>
      <c r="Y392" s="21" t="n">
        <f aca="false">X392*'Parametri Modello'!$B$30</f>
        <v>25</v>
      </c>
      <c r="Z392" s="21" t="n">
        <f aca="false">MAX(0,W392-Y392)</f>
        <v>975</v>
      </c>
      <c r="AA392" s="21" t="n">
        <f aca="false">MIN(F392,Z392)</f>
        <v>1</v>
      </c>
      <c r="AB392" s="21"/>
      <c r="AC392" s="21" t="str">
        <f aca="false">IF(AB392="","",IF(AB392&gt;AA392,"PASS",IF(AB392&lt;=AA392*0.85,"BID","ATTENZIONE")))</f>
        <v/>
      </c>
      <c r="AD392" s="31" t="n">
        <f aca="false">IF(I392="","",ROUND(100*(1-EXP(-I392/30)),0))</f>
        <v>50</v>
      </c>
      <c r="AE392" s="7" t="str">
        <f aca="false">IFERROR(INDEX('Stato Asta'!$G$9:$G$12,MATCH($B392,'Stato Asta'!$A$9:$A$12,0)),"")</f>
        <v>🟡 Attesa rischiosa</v>
      </c>
    </row>
    <row r="393" customFormat="false" ht="14.25" hidden="false" customHeight="true" outlineLevel="0" collapsed="false">
      <c r="A393" s="21" t="n">
        <v>6219</v>
      </c>
      <c r="B393" s="21" t="s">
        <v>45</v>
      </c>
      <c r="C393" s="21" t="s">
        <v>517</v>
      </c>
      <c r="E393" s="26" t="str">
        <f aca="false">IF(COUNTIF('Info Strategia'!$D$2:$D$51,$C393)&gt;0,"SI","NO")</f>
        <v>NO</v>
      </c>
      <c r="F393" s="27" t="n">
        <f aca="false">IFERROR(ROUND(($G393+($H393-$G393)*'Info Strategia'!$B$6)*(1+IF($E393="SI",'Parametri Modello'!$B$7*'Info Strategia'!$B$6,0)),0),"")</f>
        <v>1</v>
      </c>
      <c r="G393" s="27" t="n">
        <f aca="false">IFERROR(ROUND(MAX(1,(IF($V393&lt;=INDEX('Parametri Modello'!$C$57:$C$60,MATCH($B393,'Parametri Modello'!$A$57:$A$60,0)),IF(INDEX('Parametri Modello'!$E$57:$E$60,MATCH($B393,'Parametri Modello'!$A$57:$A$60,0))=0,0,($O393/INDEX('Parametri Modello'!$E$57:$E$60,MATCH($B393,'Parametri Modello'!$A$57:$A$60,0)))*(INDEX('Parametri Modello'!$D$57:$D$60,MATCH($B393,'Parametri Modello'!$A$57:$A$60,0))*(INDEX('Parametri Modello'!$B$50:$B$53,MATCH($B393,'Parametri Modello'!$A$50:$A$53,0))*'Parametri Modello'!$B$44))),IF(INDEX('Parametri Modello'!$F$57:$F$60,MATCH($B393,'Parametri Modello'!$A$57:$A$60,0))=0,0,($O393/INDEX('Parametri Modello'!$F$57:$F$60,MATCH($B393,'Parametri Modello'!$A$57:$A$60,0)))*((1-INDEX('Parametri Modello'!$D$57:$D$60,MATCH($B393,'Parametri Modello'!$A$57:$A$60,0)))*(INDEX('Parametri Modello'!$B$50:$B$53,MATCH($B393,'Parametri Modello'!$A$50:$A$53,0))*'Parametri Modello'!$B$44))))*(1+IF(IF($B393="D",'Info Lega'!$B$25,IF($B393="C",'Info Lega'!$B$26,"No"))="Si",'Parametri Modello'!$B$5,0))*(1+MAX(-0.25,MIN(0.25,IF(OR($T393="",$I393="",$I393=0,INDEX('Parametri Modello'!$B$19:$B$22,MATCH($B393,'Parametri Modello'!$A$19:$A$22,0))="",INDEX('Parametri Modello'!$B$19:$B$22,MATCH($B393,'Parametri Modello'!$A$19:$A$22,0))=0),0,(($T393-INDEX('Parametri Modello'!$B$19:$B$22,MATCH($B393,'Parametri Modello'!$A$19:$A$22,0)))/INDEX('Parametri Modello'!$B$19:$B$22,MATCH($B393,'Parametri Modello'!$A$19:$A$22,0)))*'Parametri Modello'!$B$9))))*(1+IF('Parametri Modello'!$B$27="Si",MAX(-'Parametri Modello'!$B$28,MIN('Parametri Modello'!$B$28*1.5,IF(OR(INDEX('Parametri Modello'!$F$32:$F$35,MATCH($B393,'Parametri Modello'!$A$32:$A$35,0))="",INDEX('Parametri Modello'!$F$32:$F$35,MATCH($B393,'Parametri Modello'!$A$32:$A$35,0))=0),0,(1/INDEX('Parametri Modello'!$F$32:$F$35,MATCH($B393,'Parametri Modello'!$A$32:$A$35,0))-1)*'Parametri Modello'!$B$28))),0)))*(1-INDEX('Parametri Modello'!$B$12:$B$15,MATCH($B393,'Parametri Modello'!$A$12:$A$15,0)))),0),"")</f>
        <v>1</v>
      </c>
      <c r="H393" s="27" t="n">
        <f aca="false">IFERROR(ROUND((IF($V393&lt;=INDEX('Parametri Modello'!$C$57:$C$60,MATCH($B393,'Parametri Modello'!$A$57:$A$60,0)),IF(INDEX('Parametri Modello'!$E$57:$E$60,MATCH($B393,'Parametri Modello'!$A$57:$A$60,0))=0,0,($O393/INDEX('Parametri Modello'!$E$57:$E$60,MATCH($B393,'Parametri Modello'!$A$57:$A$60,0)))*(INDEX('Parametri Modello'!$D$57:$D$60,MATCH($B393,'Parametri Modello'!$A$57:$A$60,0))*(INDEX('Parametri Modello'!$B$50:$B$53,MATCH($B393,'Parametri Modello'!$A$50:$A$53,0))*'Parametri Modello'!$B$44))),IF(INDEX('Parametri Modello'!$F$57:$F$60,MATCH($B393,'Parametri Modello'!$A$57:$A$60,0))=0,0,($O393/INDEX('Parametri Modello'!$F$57:$F$60,MATCH($B393,'Parametri Modello'!$A$57:$A$60,0)))*((1-INDEX('Parametri Modello'!$D$57:$D$60,MATCH($B393,'Parametri Modello'!$A$57:$A$60,0)))*(INDEX('Parametri Modello'!$B$50:$B$53,MATCH($B393,'Parametri Modello'!$A$50:$A$53,0))*'Parametri Modello'!$B$44))))*(1+IF(IF($B393="D",'Info Lega'!$B$25,IF($B393="C",'Info Lega'!$B$26,"No"))="Si",'Parametri Modello'!$B$5,0))*(1+MAX(-0.25,MIN(0.25,IF(OR($T393="",$I393="",$I393=0,INDEX('Parametri Modello'!$B$19:$B$22,MATCH($B393,'Parametri Modello'!$A$19:$A$22,0))="",INDEX('Parametri Modello'!$B$19:$B$22,MATCH($B393,'Parametri Modello'!$A$19:$A$22,0))=0),0,(($T393-INDEX('Parametri Modello'!$B$19:$B$22,MATCH($B393,'Parametri Modello'!$A$19:$A$22,0)))/INDEX('Parametri Modello'!$B$19:$B$22,MATCH($B393,'Parametri Modello'!$A$19:$A$22,0)))*'Parametri Modello'!$B$9))))*(1+IF('Parametri Modello'!$B$27="Si",MAX(-'Parametri Modello'!$B$28,MIN('Parametri Modello'!$B$28*1.5,IF(OR(INDEX('Parametri Modello'!$F$32:$F$35,MATCH($B393,'Parametri Modello'!$A$32:$A$35,0))="",INDEX('Parametri Modello'!$F$32:$F$35,MATCH($B393,'Parametri Modello'!$A$32:$A$35,0))=0),0,(1/INDEX('Parametri Modello'!$F$32:$F$35,MATCH($B393,'Parametri Modello'!$A$32:$A$35,0))-1)*'Parametri Modello'!$B$28))),0)))*(1+INDEX('Parametri Modello'!$B$12:$B$15,MATCH($B393,'Parametri Modello'!$A$12:$A$15,0))),0),"")</f>
        <v>1</v>
      </c>
      <c r="I393" s="26" t="n">
        <f aca="false">IFERROR(INDEX('Input Statistiche 2025_26'!$F$3:$F$665,MATCH($A393,'Input Statistiche 2025_26'!$A$3:$A$665,0)),"")</f>
        <v>2</v>
      </c>
      <c r="J393" s="26" t="n">
        <f aca="false">IFERROR(IF($I393="","",MAX(0,38-$I393)),"")</f>
        <v>36</v>
      </c>
      <c r="K393" s="26" t="n">
        <f aca="false">IFERROR(INDEX('Input Statistiche 2025_26'!$I$3:$I$665,MATCH($A393,'Input Statistiche 2025_26'!$A$3:$A$665,0)),"")</f>
        <v>0</v>
      </c>
      <c r="L393" s="26" t="n">
        <f aca="false">IFERROR(INDEX('Input Statistiche 2025_26'!$O$3:$O$665,MATCH($A393,'Input Statistiche 2025_26'!$A$3:$A$665,0)),"")</f>
        <v>0</v>
      </c>
      <c r="M393" s="28"/>
      <c r="N393" s="27" t="n">
        <f aca="false">IFERROR(INDEX('Input Giocatori 2026_27'!$E$3:$E$493,MATCH($A393,'Input Giocatori 2026_27'!$A$3:$A$493,0)),"")</f>
        <v>2</v>
      </c>
      <c r="O393" s="27" t="n">
        <f aca="false">IFERROR(INDEX('Input Giocatori 2026_27'!$G$3:$G$493,MATCH($A393,'Input Giocatori 2026_27'!$A$3:$A$493,0)),"")</f>
        <v>5</v>
      </c>
      <c r="P393" s="26" t="str">
        <f aca="false">IFERROR(IF($O393="","",IF((1-(COUNTIFS($B$2:$B$492,$B393,$O$2:$O$492,"&gt;"&amp;$O393)+1-1)/COUNTIF($B$2:$B$492,$B393))&gt;=0.85,"Top",IF((1-(COUNTIFS($B$2:$B$492,$B393,$O$2:$O$492,"&gt;"&amp;$O393)+1-1)/COUNTIF($B$2:$B$492,$B393))&gt;=0.6,"Buono",IF((1-(COUNTIFS($B$2:$B$492,$B393,$O$2:$O$492,"&gt;"&amp;$O393)+1-1)/COUNTIF($B$2:$B$492,$B393))&gt;=0.3,"Nella Media","Scommessa/Riserva")))),"")</f>
        <v>Scommessa/Riserva</v>
      </c>
      <c r="Q393" s="29" t="n">
        <f aca="false">IF($D393="",COUNTIF($D$2:$D393,""),"")</f>
        <v>392</v>
      </c>
      <c r="R393" s="29" t="str">
        <f aca="false">IF($D393='Info Lega'!$B$28,COUNTIFS($D$2:$D393,'Info Lega'!$B$28),"")</f>
        <v/>
      </c>
      <c r="S393" s="30" t="n">
        <f aca="false">IFERROR(INDEX('Input Statistiche 2025_26'!$G$3:$G$665,MATCH($A393,'Input Statistiche 2025_26'!$A$3:$A$665,0)),"")</f>
        <v>5.75</v>
      </c>
      <c r="T393" s="30" t="n">
        <f aca="false">IFERROR(INDEX('Input Statistiche 2025_26'!$H$3:$H$665,MATCH($A393,'Input Statistiche 2025_26'!$A$3:$A$665,0)),"")</f>
        <v>5.75</v>
      </c>
      <c r="U393" s="26" t="str">
        <f aca="false">IF(OR('La Mia Rosa'!$O$12="",$D393&lt;&gt;""),"",IF($F393&lt;='La Mia Rosa'!$O$12*'Parametri Modello'!$B$24,"OK",IF($F393&lt;='La Mia Rosa'!$O$12*'Parametri Modello'!$B$25,"Attenzione","Rischio Alto")))</f>
        <v>OK</v>
      </c>
      <c r="V393" s="26" t="n">
        <f aca="false">IFERROR(COUNTIFS($B$2:$B$492,$B393,$O$2:$O$492,"&gt;"&amp;$O393)+1,"")</f>
        <v>146</v>
      </c>
      <c r="W393" s="21" t="n">
        <f aca="false">'Info Lega'!$B$4-SUMIFS($M$2:$M$492,$D$2:$D$492,'Info Lega'!$B$28)</f>
        <v>1000</v>
      </c>
      <c r="X393" s="21" t="n">
        <f aca="false">('Info Lega'!$B$5-COUNTIFS($D$2:$D$492,'Info Lega'!$B$28,$B$2:$B$492,"P"))+('Info Lega'!$B$6-COUNTIFS($D$2:$D$492,'Info Lega'!$B$28,$B$2:$B$492,"D"))+('Info Lega'!$B$7-COUNTIFS($D$2:$D$492,'Info Lega'!$B$28,$B$2:$B$492,"C"))+('Info Lega'!$B$8-COUNTIFS($D$2:$D$492,'Info Lega'!$B$28,$B$2:$B$492,"A"))</f>
        <v>25</v>
      </c>
      <c r="Y393" s="21" t="n">
        <f aca="false">X393*'Parametri Modello'!$B$30</f>
        <v>25</v>
      </c>
      <c r="Z393" s="21" t="n">
        <f aca="false">MAX(0,W393-Y393)</f>
        <v>975</v>
      </c>
      <c r="AA393" s="21" t="n">
        <f aca="false">MIN(F393,Z393)</f>
        <v>1</v>
      </c>
      <c r="AB393" s="21"/>
      <c r="AC393" s="21" t="str">
        <f aca="false">IF(AB393="","",IF(AB393&gt;AA393,"PASS",IF(AB393&lt;=AA393*0.85,"BID","ATTENZIONE")))</f>
        <v/>
      </c>
      <c r="AD393" s="31" t="n">
        <f aca="false">IF(I393="","",ROUND(100*(1-EXP(-I393/30)),0))</f>
        <v>6</v>
      </c>
      <c r="AE393" s="7" t="str">
        <f aca="false">IFERROR(INDEX('Stato Asta'!$G$9:$G$12,MATCH($B393,'Stato Asta'!$A$9:$A$12,0)),"")</f>
        <v>🟡 Attesa rischiosa</v>
      </c>
    </row>
    <row r="394" customFormat="false" ht="14.25" hidden="false" customHeight="true" outlineLevel="0" collapsed="false">
      <c r="A394" s="21" t="n">
        <v>6246</v>
      </c>
      <c r="B394" s="21" t="s">
        <v>45</v>
      </c>
      <c r="C394" s="21" t="s">
        <v>518</v>
      </c>
      <c r="E394" s="26" t="str">
        <f aca="false">IF(COUNTIF('Info Strategia'!$D$2:$D$51,$C394)&gt;0,"SI","NO")</f>
        <v>NO</v>
      </c>
      <c r="F394" s="27" t="n">
        <f aca="false">IFERROR(ROUND(($G394+($H394-$G394)*'Info Strategia'!$B$6)*(1+IF($E394="SI",'Parametri Modello'!$B$7*'Info Strategia'!$B$6,0)),0),"")</f>
        <v>1</v>
      </c>
      <c r="G394" s="27" t="n">
        <f aca="false">IFERROR(ROUND(MAX(1,(IF($V394&lt;=INDEX('Parametri Modello'!$C$57:$C$60,MATCH($B394,'Parametri Modello'!$A$57:$A$60,0)),IF(INDEX('Parametri Modello'!$E$57:$E$60,MATCH($B394,'Parametri Modello'!$A$57:$A$60,0))=0,0,($O394/INDEX('Parametri Modello'!$E$57:$E$60,MATCH($B394,'Parametri Modello'!$A$57:$A$60,0)))*(INDEX('Parametri Modello'!$D$57:$D$60,MATCH($B394,'Parametri Modello'!$A$57:$A$60,0))*(INDEX('Parametri Modello'!$B$50:$B$53,MATCH($B394,'Parametri Modello'!$A$50:$A$53,0))*'Parametri Modello'!$B$44))),IF(INDEX('Parametri Modello'!$F$57:$F$60,MATCH($B394,'Parametri Modello'!$A$57:$A$60,0))=0,0,($O394/INDEX('Parametri Modello'!$F$57:$F$60,MATCH($B394,'Parametri Modello'!$A$57:$A$60,0)))*((1-INDEX('Parametri Modello'!$D$57:$D$60,MATCH($B394,'Parametri Modello'!$A$57:$A$60,0)))*(INDEX('Parametri Modello'!$B$50:$B$53,MATCH($B394,'Parametri Modello'!$A$50:$A$53,0))*'Parametri Modello'!$B$44))))*(1+IF(IF($B394="D",'Info Lega'!$B$25,IF($B394="C",'Info Lega'!$B$26,"No"))="Si",'Parametri Modello'!$B$5,0))*(1+MAX(-0.25,MIN(0.25,IF(OR($T394="",$I394="",$I394=0,INDEX('Parametri Modello'!$B$19:$B$22,MATCH($B394,'Parametri Modello'!$A$19:$A$22,0))="",INDEX('Parametri Modello'!$B$19:$B$22,MATCH($B394,'Parametri Modello'!$A$19:$A$22,0))=0),0,(($T394-INDEX('Parametri Modello'!$B$19:$B$22,MATCH($B394,'Parametri Modello'!$A$19:$A$22,0)))/INDEX('Parametri Modello'!$B$19:$B$22,MATCH($B394,'Parametri Modello'!$A$19:$A$22,0)))*'Parametri Modello'!$B$9))))*(1+IF('Parametri Modello'!$B$27="Si",MAX(-'Parametri Modello'!$B$28,MIN('Parametri Modello'!$B$28*1.5,IF(OR(INDEX('Parametri Modello'!$F$32:$F$35,MATCH($B394,'Parametri Modello'!$A$32:$A$35,0))="",INDEX('Parametri Modello'!$F$32:$F$35,MATCH($B394,'Parametri Modello'!$A$32:$A$35,0))=0),0,(1/INDEX('Parametri Modello'!$F$32:$F$35,MATCH($B394,'Parametri Modello'!$A$32:$A$35,0))-1)*'Parametri Modello'!$B$28))),0)))*(1-INDEX('Parametri Modello'!$B$12:$B$15,MATCH($B394,'Parametri Modello'!$A$12:$A$15,0)))),0),"")</f>
        <v>1</v>
      </c>
      <c r="H394" s="27" t="n">
        <f aca="false">IFERROR(ROUND((IF($V394&lt;=INDEX('Parametri Modello'!$C$57:$C$60,MATCH($B394,'Parametri Modello'!$A$57:$A$60,0)),IF(INDEX('Parametri Modello'!$E$57:$E$60,MATCH($B394,'Parametri Modello'!$A$57:$A$60,0))=0,0,($O394/INDEX('Parametri Modello'!$E$57:$E$60,MATCH($B394,'Parametri Modello'!$A$57:$A$60,0)))*(INDEX('Parametri Modello'!$D$57:$D$60,MATCH($B394,'Parametri Modello'!$A$57:$A$60,0))*(INDEX('Parametri Modello'!$B$50:$B$53,MATCH($B394,'Parametri Modello'!$A$50:$A$53,0))*'Parametri Modello'!$B$44))),IF(INDEX('Parametri Modello'!$F$57:$F$60,MATCH($B394,'Parametri Modello'!$A$57:$A$60,0))=0,0,($O394/INDEX('Parametri Modello'!$F$57:$F$60,MATCH($B394,'Parametri Modello'!$A$57:$A$60,0)))*((1-INDEX('Parametri Modello'!$D$57:$D$60,MATCH($B394,'Parametri Modello'!$A$57:$A$60,0)))*(INDEX('Parametri Modello'!$B$50:$B$53,MATCH($B394,'Parametri Modello'!$A$50:$A$53,0))*'Parametri Modello'!$B$44))))*(1+IF(IF($B394="D",'Info Lega'!$B$25,IF($B394="C",'Info Lega'!$B$26,"No"))="Si",'Parametri Modello'!$B$5,0))*(1+MAX(-0.25,MIN(0.25,IF(OR($T394="",$I394="",$I394=0,INDEX('Parametri Modello'!$B$19:$B$22,MATCH($B394,'Parametri Modello'!$A$19:$A$22,0))="",INDEX('Parametri Modello'!$B$19:$B$22,MATCH($B394,'Parametri Modello'!$A$19:$A$22,0))=0),0,(($T394-INDEX('Parametri Modello'!$B$19:$B$22,MATCH($B394,'Parametri Modello'!$A$19:$A$22,0)))/INDEX('Parametri Modello'!$B$19:$B$22,MATCH($B394,'Parametri Modello'!$A$19:$A$22,0)))*'Parametri Modello'!$B$9))))*(1+IF('Parametri Modello'!$B$27="Si",MAX(-'Parametri Modello'!$B$28,MIN('Parametri Modello'!$B$28*1.5,IF(OR(INDEX('Parametri Modello'!$F$32:$F$35,MATCH($B394,'Parametri Modello'!$A$32:$A$35,0))="",INDEX('Parametri Modello'!$F$32:$F$35,MATCH($B394,'Parametri Modello'!$A$32:$A$35,0))=0),0,(1/INDEX('Parametri Modello'!$F$32:$F$35,MATCH($B394,'Parametri Modello'!$A$32:$A$35,0))-1)*'Parametri Modello'!$B$28))),0)))*(1+INDEX('Parametri Modello'!$B$12:$B$15,MATCH($B394,'Parametri Modello'!$A$12:$A$15,0))),0),"")</f>
        <v>1</v>
      </c>
      <c r="I394" s="26" t="n">
        <f aca="false">IFERROR(INDEX('Input Statistiche 2025_26'!$F$3:$F$665,MATCH($A394,'Input Statistiche 2025_26'!$A$3:$A$665,0)),"")</f>
        <v>21</v>
      </c>
      <c r="J394" s="26" t="n">
        <f aca="false">IFERROR(IF($I394="","",MAX(0,38-$I394)),"")</f>
        <v>17</v>
      </c>
      <c r="K394" s="26" t="n">
        <f aca="false">IFERROR(INDEX('Input Statistiche 2025_26'!$I$3:$I$665,MATCH($A394,'Input Statistiche 2025_26'!$A$3:$A$665,0)),"")</f>
        <v>0</v>
      </c>
      <c r="L394" s="26" t="n">
        <f aca="false">IFERROR(INDEX('Input Statistiche 2025_26'!$O$3:$O$665,MATCH($A394,'Input Statistiche 2025_26'!$A$3:$A$665,0)),"")</f>
        <v>1</v>
      </c>
      <c r="M394" s="28"/>
      <c r="N394" s="27" t="n">
        <f aca="false">IFERROR(INDEX('Input Giocatori 2026_27'!$E$3:$E$493,MATCH($A394,'Input Giocatori 2026_27'!$A$3:$A$493,0)),"")</f>
        <v>2</v>
      </c>
      <c r="O394" s="27" t="n">
        <f aca="false">IFERROR(INDEX('Input Giocatori 2026_27'!$G$3:$G$493,MATCH($A394,'Input Giocatori 2026_27'!$A$3:$A$493,0)),"")</f>
        <v>5</v>
      </c>
      <c r="P394" s="26" t="str">
        <f aca="false">IFERROR(IF($O394="","",IF((1-(COUNTIFS($B$2:$B$492,$B394,$O$2:$O$492,"&gt;"&amp;$O394)+1-1)/COUNTIF($B$2:$B$492,$B394))&gt;=0.85,"Top",IF((1-(COUNTIFS($B$2:$B$492,$B394,$O$2:$O$492,"&gt;"&amp;$O394)+1-1)/COUNTIF($B$2:$B$492,$B394))&gt;=0.6,"Buono",IF((1-(COUNTIFS($B$2:$B$492,$B394,$O$2:$O$492,"&gt;"&amp;$O394)+1-1)/COUNTIF($B$2:$B$492,$B394))&gt;=0.3,"Nella Media","Scommessa/Riserva")))),"")</f>
        <v>Scommessa/Riserva</v>
      </c>
      <c r="Q394" s="29" t="n">
        <f aca="false">IF($D394="",COUNTIF($D$2:$D394,""),"")</f>
        <v>393</v>
      </c>
      <c r="R394" s="29" t="str">
        <f aca="false">IF($D394='Info Lega'!$B$28,COUNTIFS($D$2:$D394,'Info Lega'!$B$28),"")</f>
        <v/>
      </c>
      <c r="S394" s="30" t="n">
        <f aca="false">IFERROR(INDEX('Input Statistiche 2025_26'!$G$3:$G$665,MATCH($A394,'Input Statistiche 2025_26'!$A$3:$A$665,0)),"")</f>
        <v>5.93</v>
      </c>
      <c r="T394" s="30" t="n">
        <f aca="false">IFERROR(INDEX('Input Statistiche 2025_26'!$H$3:$H$665,MATCH($A394,'Input Statistiche 2025_26'!$A$3:$A$665,0)),"")</f>
        <v>5.9</v>
      </c>
      <c r="U394" s="26" t="str">
        <f aca="false">IF(OR('La Mia Rosa'!$O$12="",$D394&lt;&gt;""),"",IF($F394&lt;='La Mia Rosa'!$O$12*'Parametri Modello'!$B$24,"OK",IF($F394&lt;='La Mia Rosa'!$O$12*'Parametri Modello'!$B$25,"Attenzione","Rischio Alto")))</f>
        <v>OK</v>
      </c>
      <c r="V394" s="26" t="n">
        <f aca="false">IFERROR(COUNTIFS($B$2:$B$492,$B394,$O$2:$O$492,"&gt;"&amp;$O394)+1,"")</f>
        <v>146</v>
      </c>
      <c r="W394" s="21" t="n">
        <f aca="false">'Info Lega'!$B$4-SUMIFS($M$2:$M$492,$D$2:$D$492,'Info Lega'!$B$28)</f>
        <v>1000</v>
      </c>
      <c r="X394" s="21" t="n">
        <f aca="false">('Info Lega'!$B$5-COUNTIFS($D$2:$D$492,'Info Lega'!$B$28,$B$2:$B$492,"P"))+('Info Lega'!$B$6-COUNTIFS($D$2:$D$492,'Info Lega'!$B$28,$B$2:$B$492,"D"))+('Info Lega'!$B$7-COUNTIFS($D$2:$D$492,'Info Lega'!$B$28,$B$2:$B$492,"C"))+('Info Lega'!$B$8-COUNTIFS($D$2:$D$492,'Info Lega'!$B$28,$B$2:$B$492,"A"))</f>
        <v>25</v>
      </c>
      <c r="Y394" s="21" t="n">
        <f aca="false">X394*'Parametri Modello'!$B$30</f>
        <v>25</v>
      </c>
      <c r="Z394" s="21" t="n">
        <f aca="false">MAX(0,W394-Y394)</f>
        <v>975</v>
      </c>
      <c r="AA394" s="21" t="n">
        <f aca="false">MIN(F394,Z394)</f>
        <v>1</v>
      </c>
      <c r="AB394" s="21"/>
      <c r="AC394" s="21" t="str">
        <f aca="false">IF(AB394="","",IF(AB394&gt;AA394,"PASS",IF(AB394&lt;=AA394*0.85,"BID","ATTENZIONE")))</f>
        <v/>
      </c>
      <c r="AD394" s="31" t="n">
        <f aca="false">IF(I394="","",ROUND(100*(1-EXP(-I394/30)),0))</f>
        <v>50</v>
      </c>
      <c r="AE394" s="7" t="str">
        <f aca="false">IFERROR(INDEX('Stato Asta'!$G$9:$G$12,MATCH($B394,'Stato Asta'!$A$9:$A$12,0)),"")</f>
        <v>🟡 Attesa rischiosa</v>
      </c>
    </row>
    <row r="395" customFormat="false" ht="14.25" hidden="false" customHeight="true" outlineLevel="0" collapsed="false">
      <c r="A395" s="21" t="n">
        <v>6191</v>
      </c>
      <c r="B395" s="21" t="s">
        <v>45</v>
      </c>
      <c r="C395" s="21" t="s">
        <v>525</v>
      </c>
      <c r="E395" s="26" t="str">
        <f aca="false">IF(COUNTIF('Info Strategia'!$D$2:$D$51,$C395)&gt;0,"SI","NO")</f>
        <v>NO</v>
      </c>
      <c r="F395" s="27" t="n">
        <f aca="false">IFERROR(ROUND(($G395+($H395-$G395)*'Info Strategia'!$B$6)*(1+IF($E395="SI",'Parametri Modello'!$B$7*'Info Strategia'!$B$6,0)),0),"")</f>
        <v>1</v>
      </c>
      <c r="G395" s="27" t="n">
        <f aca="false">IFERROR(ROUND(MAX(1,(IF($V395&lt;=INDEX('Parametri Modello'!$C$57:$C$60,MATCH($B395,'Parametri Modello'!$A$57:$A$60,0)),IF(INDEX('Parametri Modello'!$E$57:$E$60,MATCH($B395,'Parametri Modello'!$A$57:$A$60,0))=0,0,($O395/INDEX('Parametri Modello'!$E$57:$E$60,MATCH($B395,'Parametri Modello'!$A$57:$A$60,0)))*(INDEX('Parametri Modello'!$D$57:$D$60,MATCH($B395,'Parametri Modello'!$A$57:$A$60,0))*(INDEX('Parametri Modello'!$B$50:$B$53,MATCH($B395,'Parametri Modello'!$A$50:$A$53,0))*'Parametri Modello'!$B$44))),IF(INDEX('Parametri Modello'!$F$57:$F$60,MATCH($B395,'Parametri Modello'!$A$57:$A$60,0))=0,0,($O395/INDEX('Parametri Modello'!$F$57:$F$60,MATCH($B395,'Parametri Modello'!$A$57:$A$60,0)))*((1-INDEX('Parametri Modello'!$D$57:$D$60,MATCH($B395,'Parametri Modello'!$A$57:$A$60,0)))*(INDEX('Parametri Modello'!$B$50:$B$53,MATCH($B395,'Parametri Modello'!$A$50:$A$53,0))*'Parametri Modello'!$B$44))))*(1+IF(IF($B395="D",'Info Lega'!$B$25,IF($B395="C",'Info Lega'!$B$26,"No"))="Si",'Parametri Modello'!$B$5,0))*(1+MAX(-0.25,MIN(0.25,IF(OR($T395="",$I395="",$I395=0,INDEX('Parametri Modello'!$B$19:$B$22,MATCH($B395,'Parametri Modello'!$A$19:$A$22,0))="",INDEX('Parametri Modello'!$B$19:$B$22,MATCH($B395,'Parametri Modello'!$A$19:$A$22,0))=0),0,(($T395-INDEX('Parametri Modello'!$B$19:$B$22,MATCH($B395,'Parametri Modello'!$A$19:$A$22,0)))/INDEX('Parametri Modello'!$B$19:$B$22,MATCH($B395,'Parametri Modello'!$A$19:$A$22,0)))*'Parametri Modello'!$B$9))))*(1+IF('Parametri Modello'!$B$27="Si",MAX(-'Parametri Modello'!$B$28,MIN('Parametri Modello'!$B$28*1.5,IF(OR(INDEX('Parametri Modello'!$F$32:$F$35,MATCH($B395,'Parametri Modello'!$A$32:$A$35,0))="",INDEX('Parametri Modello'!$F$32:$F$35,MATCH($B395,'Parametri Modello'!$A$32:$A$35,0))=0),0,(1/INDEX('Parametri Modello'!$F$32:$F$35,MATCH($B395,'Parametri Modello'!$A$32:$A$35,0))-1)*'Parametri Modello'!$B$28))),0)))*(1-INDEX('Parametri Modello'!$B$12:$B$15,MATCH($B395,'Parametri Modello'!$A$12:$A$15,0)))),0),"")</f>
        <v>1</v>
      </c>
      <c r="H395" s="27" t="n">
        <f aca="false">IFERROR(ROUND((IF($V395&lt;=INDEX('Parametri Modello'!$C$57:$C$60,MATCH($B395,'Parametri Modello'!$A$57:$A$60,0)),IF(INDEX('Parametri Modello'!$E$57:$E$60,MATCH($B395,'Parametri Modello'!$A$57:$A$60,0))=0,0,($O395/INDEX('Parametri Modello'!$E$57:$E$60,MATCH($B395,'Parametri Modello'!$A$57:$A$60,0)))*(INDEX('Parametri Modello'!$D$57:$D$60,MATCH($B395,'Parametri Modello'!$A$57:$A$60,0))*(INDEX('Parametri Modello'!$B$50:$B$53,MATCH($B395,'Parametri Modello'!$A$50:$A$53,0))*'Parametri Modello'!$B$44))),IF(INDEX('Parametri Modello'!$F$57:$F$60,MATCH($B395,'Parametri Modello'!$A$57:$A$60,0))=0,0,($O395/INDEX('Parametri Modello'!$F$57:$F$60,MATCH($B395,'Parametri Modello'!$A$57:$A$60,0)))*((1-INDEX('Parametri Modello'!$D$57:$D$60,MATCH($B395,'Parametri Modello'!$A$57:$A$60,0)))*(INDEX('Parametri Modello'!$B$50:$B$53,MATCH($B395,'Parametri Modello'!$A$50:$A$53,0))*'Parametri Modello'!$B$44))))*(1+IF(IF($B395="D",'Info Lega'!$B$25,IF($B395="C",'Info Lega'!$B$26,"No"))="Si",'Parametri Modello'!$B$5,0))*(1+MAX(-0.25,MIN(0.25,IF(OR($T395="",$I395="",$I395=0,INDEX('Parametri Modello'!$B$19:$B$22,MATCH($B395,'Parametri Modello'!$A$19:$A$22,0))="",INDEX('Parametri Modello'!$B$19:$B$22,MATCH($B395,'Parametri Modello'!$A$19:$A$22,0))=0),0,(($T395-INDEX('Parametri Modello'!$B$19:$B$22,MATCH($B395,'Parametri Modello'!$A$19:$A$22,0)))/INDEX('Parametri Modello'!$B$19:$B$22,MATCH($B395,'Parametri Modello'!$A$19:$A$22,0)))*'Parametri Modello'!$B$9))))*(1+IF('Parametri Modello'!$B$27="Si",MAX(-'Parametri Modello'!$B$28,MIN('Parametri Modello'!$B$28*1.5,IF(OR(INDEX('Parametri Modello'!$F$32:$F$35,MATCH($B395,'Parametri Modello'!$A$32:$A$35,0))="",INDEX('Parametri Modello'!$F$32:$F$35,MATCH($B395,'Parametri Modello'!$A$32:$A$35,0))=0),0,(1/INDEX('Parametri Modello'!$F$32:$F$35,MATCH($B395,'Parametri Modello'!$A$32:$A$35,0))-1)*'Parametri Modello'!$B$28))),0)))*(1+INDEX('Parametri Modello'!$B$12:$B$15,MATCH($B395,'Parametri Modello'!$A$12:$A$15,0))),0),"")</f>
        <v>1</v>
      </c>
      <c r="I395" s="26" t="n">
        <f aca="false">IFERROR(INDEX('Input Statistiche 2025_26'!$F$3:$F$665,MATCH($A395,'Input Statistiche 2025_26'!$A$3:$A$665,0)),"")</f>
        <v>11</v>
      </c>
      <c r="J395" s="26" t="n">
        <f aca="false">IFERROR(IF($I395="","",MAX(0,38-$I395)),"")</f>
        <v>27</v>
      </c>
      <c r="K395" s="26" t="n">
        <f aca="false">IFERROR(INDEX('Input Statistiche 2025_26'!$I$3:$I$665,MATCH($A395,'Input Statistiche 2025_26'!$A$3:$A$665,0)),"")</f>
        <v>0</v>
      </c>
      <c r="L395" s="26" t="n">
        <f aca="false">IFERROR(INDEX('Input Statistiche 2025_26'!$O$3:$O$665,MATCH($A395,'Input Statistiche 2025_26'!$A$3:$A$665,0)),"")</f>
        <v>2</v>
      </c>
      <c r="M395" s="28"/>
      <c r="N395" s="27" t="n">
        <f aca="false">IFERROR(INDEX('Input Giocatori 2026_27'!$E$3:$E$493,MATCH($A395,'Input Giocatori 2026_27'!$A$3:$A$493,0)),"")</f>
        <v>1</v>
      </c>
      <c r="O395" s="27" t="n">
        <f aca="false">IFERROR(INDEX('Input Giocatori 2026_27'!$G$3:$G$493,MATCH($A395,'Input Giocatori 2026_27'!$A$3:$A$493,0)),"")</f>
        <v>5</v>
      </c>
      <c r="P395" s="26" t="str">
        <f aca="false">IFERROR(IF($O395="","",IF((1-(COUNTIFS($B$2:$B$492,$B395,$O$2:$O$492,"&gt;"&amp;$O395)+1-1)/COUNTIF($B$2:$B$492,$B395))&gt;=0.85,"Top",IF((1-(COUNTIFS($B$2:$B$492,$B395,$O$2:$O$492,"&gt;"&amp;$O395)+1-1)/COUNTIF($B$2:$B$492,$B395))&gt;=0.6,"Buono",IF((1-(COUNTIFS($B$2:$B$492,$B395,$O$2:$O$492,"&gt;"&amp;$O395)+1-1)/COUNTIF($B$2:$B$492,$B395))&gt;=0.3,"Nella Media","Scommessa/Riserva")))),"")</f>
        <v>Scommessa/Riserva</v>
      </c>
      <c r="Q395" s="29" t="n">
        <f aca="false">IF($D395="",COUNTIF($D$2:$D395,""),"")</f>
        <v>394</v>
      </c>
      <c r="R395" s="29" t="str">
        <f aca="false">IF($D395='Info Lega'!$B$28,COUNTIFS($D$2:$D395,'Info Lega'!$B$28),"")</f>
        <v/>
      </c>
      <c r="S395" s="30" t="n">
        <f aca="false">IFERROR(INDEX('Input Statistiche 2025_26'!$G$3:$G$665,MATCH($A395,'Input Statistiche 2025_26'!$A$3:$A$665,0)),"")</f>
        <v>5.77</v>
      </c>
      <c r="T395" s="30" t="n">
        <f aca="false">IFERROR(INDEX('Input Statistiche 2025_26'!$H$3:$H$665,MATCH($A395,'Input Statistiche 2025_26'!$A$3:$A$665,0)),"")</f>
        <v>5.82</v>
      </c>
      <c r="U395" s="26" t="str">
        <f aca="false">IF(OR('La Mia Rosa'!$O$12="",$D395&lt;&gt;""),"",IF($F395&lt;='La Mia Rosa'!$O$12*'Parametri Modello'!$B$24,"OK",IF($F395&lt;='La Mia Rosa'!$O$12*'Parametri Modello'!$B$25,"Attenzione","Rischio Alto")))</f>
        <v>OK</v>
      </c>
      <c r="V395" s="26" t="n">
        <f aca="false">IFERROR(COUNTIFS($B$2:$B$492,$B395,$O$2:$O$492,"&gt;"&amp;$O395)+1,"")</f>
        <v>146</v>
      </c>
      <c r="W395" s="21" t="n">
        <f aca="false">'Info Lega'!$B$4-SUMIFS($M$2:$M$492,$D$2:$D$492,'Info Lega'!$B$28)</f>
        <v>1000</v>
      </c>
      <c r="X395" s="21" t="n">
        <f aca="false">('Info Lega'!$B$5-COUNTIFS($D$2:$D$492,'Info Lega'!$B$28,$B$2:$B$492,"P"))+('Info Lega'!$B$6-COUNTIFS($D$2:$D$492,'Info Lega'!$B$28,$B$2:$B$492,"D"))+('Info Lega'!$B$7-COUNTIFS($D$2:$D$492,'Info Lega'!$B$28,$B$2:$B$492,"C"))+('Info Lega'!$B$8-COUNTIFS($D$2:$D$492,'Info Lega'!$B$28,$B$2:$B$492,"A"))</f>
        <v>25</v>
      </c>
      <c r="Y395" s="21" t="n">
        <f aca="false">X395*'Parametri Modello'!$B$30</f>
        <v>25</v>
      </c>
      <c r="Z395" s="21" t="n">
        <f aca="false">MAX(0,W395-Y395)</f>
        <v>975</v>
      </c>
      <c r="AA395" s="21" t="n">
        <f aca="false">MIN(F395,Z395)</f>
        <v>1</v>
      </c>
      <c r="AB395" s="21"/>
      <c r="AC395" s="21" t="str">
        <f aca="false">IF(AB395="","",IF(AB395&gt;AA395,"PASS",IF(AB395&lt;=AA395*0.85,"BID","ATTENZIONE")))</f>
        <v/>
      </c>
      <c r="AD395" s="31" t="n">
        <f aca="false">IF(I395="","",ROUND(100*(1-EXP(-I395/30)),0))</f>
        <v>31</v>
      </c>
      <c r="AE395" s="7" t="str">
        <f aca="false">IFERROR(INDEX('Stato Asta'!$G$9:$G$12,MATCH($B395,'Stato Asta'!$A$9:$A$12,0)),"")</f>
        <v>🟡 Attesa rischiosa</v>
      </c>
    </row>
    <row r="396" customFormat="false" ht="14.25" hidden="false" customHeight="true" outlineLevel="0" collapsed="false">
      <c r="A396" s="21" t="n">
        <v>7345</v>
      </c>
      <c r="B396" s="21" t="s">
        <v>45</v>
      </c>
      <c r="C396" s="21" t="s">
        <v>526</v>
      </c>
      <c r="E396" s="26" t="str">
        <f aca="false">IF(COUNTIF('Info Strategia'!$D$2:$D$51,$C396)&gt;0,"SI","NO")</f>
        <v>NO</v>
      </c>
      <c r="F396" s="27" t="n">
        <f aca="false">IFERROR(ROUND(($G396+($H396-$G396)*'Info Strategia'!$B$6)*(1+IF($E396="SI",'Parametri Modello'!$B$7*'Info Strategia'!$B$6,0)),0),"")</f>
        <v>1</v>
      </c>
      <c r="G396" s="27" t="n">
        <f aca="false">IFERROR(ROUND(MAX(1,(IF($V396&lt;=INDEX('Parametri Modello'!$C$57:$C$60,MATCH($B396,'Parametri Modello'!$A$57:$A$60,0)),IF(INDEX('Parametri Modello'!$E$57:$E$60,MATCH($B396,'Parametri Modello'!$A$57:$A$60,0))=0,0,($O396/INDEX('Parametri Modello'!$E$57:$E$60,MATCH($B396,'Parametri Modello'!$A$57:$A$60,0)))*(INDEX('Parametri Modello'!$D$57:$D$60,MATCH($B396,'Parametri Modello'!$A$57:$A$60,0))*(INDEX('Parametri Modello'!$B$50:$B$53,MATCH($B396,'Parametri Modello'!$A$50:$A$53,0))*'Parametri Modello'!$B$44))),IF(INDEX('Parametri Modello'!$F$57:$F$60,MATCH($B396,'Parametri Modello'!$A$57:$A$60,0))=0,0,($O396/INDEX('Parametri Modello'!$F$57:$F$60,MATCH($B396,'Parametri Modello'!$A$57:$A$60,0)))*((1-INDEX('Parametri Modello'!$D$57:$D$60,MATCH($B396,'Parametri Modello'!$A$57:$A$60,0)))*(INDEX('Parametri Modello'!$B$50:$B$53,MATCH($B396,'Parametri Modello'!$A$50:$A$53,0))*'Parametri Modello'!$B$44))))*(1+IF(IF($B396="D",'Info Lega'!$B$25,IF($B396="C",'Info Lega'!$B$26,"No"))="Si",'Parametri Modello'!$B$5,0))*(1+MAX(-0.25,MIN(0.25,IF(OR($T396="",$I396="",$I396=0,INDEX('Parametri Modello'!$B$19:$B$22,MATCH($B396,'Parametri Modello'!$A$19:$A$22,0))="",INDEX('Parametri Modello'!$B$19:$B$22,MATCH($B396,'Parametri Modello'!$A$19:$A$22,0))=0),0,(($T396-INDEX('Parametri Modello'!$B$19:$B$22,MATCH($B396,'Parametri Modello'!$A$19:$A$22,0)))/INDEX('Parametri Modello'!$B$19:$B$22,MATCH($B396,'Parametri Modello'!$A$19:$A$22,0)))*'Parametri Modello'!$B$9))))*(1+IF('Parametri Modello'!$B$27="Si",MAX(-'Parametri Modello'!$B$28,MIN('Parametri Modello'!$B$28*1.5,IF(OR(INDEX('Parametri Modello'!$F$32:$F$35,MATCH($B396,'Parametri Modello'!$A$32:$A$35,0))="",INDEX('Parametri Modello'!$F$32:$F$35,MATCH($B396,'Parametri Modello'!$A$32:$A$35,0))=0),0,(1/INDEX('Parametri Modello'!$F$32:$F$35,MATCH($B396,'Parametri Modello'!$A$32:$A$35,0))-1)*'Parametri Modello'!$B$28))),0)))*(1-INDEX('Parametri Modello'!$B$12:$B$15,MATCH($B396,'Parametri Modello'!$A$12:$A$15,0)))),0),"")</f>
        <v>1</v>
      </c>
      <c r="H396" s="27" t="n">
        <f aca="false">IFERROR(ROUND((IF($V396&lt;=INDEX('Parametri Modello'!$C$57:$C$60,MATCH($B396,'Parametri Modello'!$A$57:$A$60,0)),IF(INDEX('Parametri Modello'!$E$57:$E$60,MATCH($B396,'Parametri Modello'!$A$57:$A$60,0))=0,0,($O396/INDEX('Parametri Modello'!$E$57:$E$60,MATCH($B396,'Parametri Modello'!$A$57:$A$60,0)))*(INDEX('Parametri Modello'!$D$57:$D$60,MATCH($B396,'Parametri Modello'!$A$57:$A$60,0))*(INDEX('Parametri Modello'!$B$50:$B$53,MATCH($B396,'Parametri Modello'!$A$50:$A$53,0))*'Parametri Modello'!$B$44))),IF(INDEX('Parametri Modello'!$F$57:$F$60,MATCH($B396,'Parametri Modello'!$A$57:$A$60,0))=0,0,($O396/INDEX('Parametri Modello'!$F$57:$F$60,MATCH($B396,'Parametri Modello'!$A$57:$A$60,0)))*((1-INDEX('Parametri Modello'!$D$57:$D$60,MATCH($B396,'Parametri Modello'!$A$57:$A$60,0)))*(INDEX('Parametri Modello'!$B$50:$B$53,MATCH($B396,'Parametri Modello'!$A$50:$A$53,0))*'Parametri Modello'!$B$44))))*(1+IF(IF($B396="D",'Info Lega'!$B$25,IF($B396="C",'Info Lega'!$B$26,"No"))="Si",'Parametri Modello'!$B$5,0))*(1+MAX(-0.25,MIN(0.25,IF(OR($T396="",$I396="",$I396=0,INDEX('Parametri Modello'!$B$19:$B$22,MATCH($B396,'Parametri Modello'!$A$19:$A$22,0))="",INDEX('Parametri Modello'!$B$19:$B$22,MATCH($B396,'Parametri Modello'!$A$19:$A$22,0))=0),0,(($T396-INDEX('Parametri Modello'!$B$19:$B$22,MATCH($B396,'Parametri Modello'!$A$19:$A$22,0)))/INDEX('Parametri Modello'!$B$19:$B$22,MATCH($B396,'Parametri Modello'!$A$19:$A$22,0)))*'Parametri Modello'!$B$9))))*(1+IF('Parametri Modello'!$B$27="Si",MAX(-'Parametri Modello'!$B$28,MIN('Parametri Modello'!$B$28*1.5,IF(OR(INDEX('Parametri Modello'!$F$32:$F$35,MATCH($B396,'Parametri Modello'!$A$32:$A$35,0))="",INDEX('Parametri Modello'!$F$32:$F$35,MATCH($B396,'Parametri Modello'!$A$32:$A$35,0))=0),0,(1/INDEX('Parametri Modello'!$F$32:$F$35,MATCH($B396,'Parametri Modello'!$A$32:$A$35,0))-1)*'Parametri Modello'!$B$28))),0)))*(1+INDEX('Parametri Modello'!$B$12:$B$15,MATCH($B396,'Parametri Modello'!$A$12:$A$15,0))),0),"")</f>
        <v>1</v>
      </c>
      <c r="I396" s="26" t="n">
        <f aca="false">IFERROR(INDEX('Input Statistiche 2025_26'!$F$3:$F$665,MATCH($A396,'Input Statistiche 2025_26'!$A$3:$A$665,0)),"")</f>
        <v>0</v>
      </c>
      <c r="J396" s="26" t="n">
        <f aca="false">IFERROR(IF($I396="","",MAX(0,38-$I396)),"")</f>
        <v>38</v>
      </c>
      <c r="K396" s="26" t="n">
        <f aca="false">IFERROR(INDEX('Input Statistiche 2025_26'!$I$3:$I$665,MATCH($A396,'Input Statistiche 2025_26'!$A$3:$A$665,0)),"")</f>
        <v>0</v>
      </c>
      <c r="L396" s="26" t="n">
        <f aca="false">IFERROR(INDEX('Input Statistiche 2025_26'!$O$3:$O$665,MATCH($A396,'Input Statistiche 2025_26'!$A$3:$A$665,0)),"")</f>
        <v>0</v>
      </c>
      <c r="M396" s="28"/>
      <c r="N396" s="27" t="n">
        <f aca="false">IFERROR(INDEX('Input Giocatori 2026_27'!$E$3:$E$493,MATCH($A396,'Input Giocatori 2026_27'!$A$3:$A$493,0)),"")</f>
        <v>1</v>
      </c>
      <c r="O396" s="27" t="n">
        <f aca="false">IFERROR(INDEX('Input Giocatori 2026_27'!$G$3:$G$493,MATCH($A396,'Input Giocatori 2026_27'!$A$3:$A$493,0)),"")</f>
        <v>5</v>
      </c>
      <c r="P396" s="26" t="str">
        <f aca="false">IFERROR(IF($O396="","",IF((1-(COUNTIFS($B$2:$B$492,$B396,$O$2:$O$492,"&gt;"&amp;$O396)+1-1)/COUNTIF($B$2:$B$492,$B396))&gt;=0.85,"Top",IF((1-(COUNTIFS($B$2:$B$492,$B396,$O$2:$O$492,"&gt;"&amp;$O396)+1-1)/COUNTIF($B$2:$B$492,$B396))&gt;=0.6,"Buono",IF((1-(COUNTIFS($B$2:$B$492,$B396,$O$2:$O$492,"&gt;"&amp;$O396)+1-1)/COUNTIF($B$2:$B$492,$B396))&gt;=0.3,"Nella Media","Scommessa/Riserva")))),"")</f>
        <v>Scommessa/Riserva</v>
      </c>
      <c r="Q396" s="29" t="n">
        <f aca="false">IF($D396="",COUNTIF($D$2:$D396,""),"")</f>
        <v>395</v>
      </c>
      <c r="R396" s="29" t="str">
        <f aca="false">IF($D396='Info Lega'!$B$28,COUNTIFS($D$2:$D396,'Info Lega'!$B$28),"")</f>
        <v/>
      </c>
      <c r="S396" s="30" t="n">
        <f aca="false">IFERROR(INDEX('Input Statistiche 2025_26'!$G$3:$G$665,MATCH($A396,'Input Statistiche 2025_26'!$A$3:$A$665,0)),"")</f>
        <v>0</v>
      </c>
      <c r="T396" s="30" t="n">
        <f aca="false">IFERROR(INDEX('Input Statistiche 2025_26'!$H$3:$H$665,MATCH($A396,'Input Statistiche 2025_26'!$A$3:$A$665,0)),"")</f>
        <v>0</v>
      </c>
      <c r="U396" s="26" t="str">
        <f aca="false">IF(OR('La Mia Rosa'!$O$12="",$D396&lt;&gt;""),"",IF($F396&lt;='La Mia Rosa'!$O$12*'Parametri Modello'!$B$24,"OK",IF($F396&lt;='La Mia Rosa'!$O$12*'Parametri Modello'!$B$25,"Attenzione","Rischio Alto")))</f>
        <v>OK</v>
      </c>
      <c r="V396" s="26" t="n">
        <f aca="false">IFERROR(COUNTIFS($B$2:$B$492,$B396,$O$2:$O$492,"&gt;"&amp;$O396)+1,"")</f>
        <v>146</v>
      </c>
      <c r="W396" s="21" t="n">
        <f aca="false">'Info Lega'!$B$4-SUMIFS($M$2:$M$492,$D$2:$D$492,'Info Lega'!$B$28)</f>
        <v>1000</v>
      </c>
      <c r="X396" s="21" t="n">
        <f aca="false">('Info Lega'!$B$5-COUNTIFS($D$2:$D$492,'Info Lega'!$B$28,$B$2:$B$492,"P"))+('Info Lega'!$B$6-COUNTIFS($D$2:$D$492,'Info Lega'!$B$28,$B$2:$B$492,"D"))+('Info Lega'!$B$7-COUNTIFS($D$2:$D$492,'Info Lega'!$B$28,$B$2:$B$492,"C"))+('Info Lega'!$B$8-COUNTIFS($D$2:$D$492,'Info Lega'!$B$28,$B$2:$B$492,"A"))</f>
        <v>25</v>
      </c>
      <c r="Y396" s="21" t="n">
        <f aca="false">X396*'Parametri Modello'!$B$30</f>
        <v>25</v>
      </c>
      <c r="Z396" s="21" t="n">
        <f aca="false">MAX(0,W396-Y396)</f>
        <v>975</v>
      </c>
      <c r="AA396" s="21" t="n">
        <f aca="false">MIN(F396,Z396)</f>
        <v>1</v>
      </c>
      <c r="AB396" s="21"/>
      <c r="AC396" s="21" t="str">
        <f aca="false">IF(AB396="","",IF(AB396&gt;AA396,"PASS",IF(AB396&lt;=AA396*0.85,"BID","ATTENZIONE")))</f>
        <v/>
      </c>
      <c r="AD396" s="31" t="n">
        <f aca="false">IF(I396="","",ROUND(100*(1-EXP(-I396/30)),0))</f>
        <v>0</v>
      </c>
      <c r="AE396" s="7" t="str">
        <f aca="false">IFERROR(INDEX('Stato Asta'!$G$9:$G$12,MATCH($B396,'Stato Asta'!$A$9:$A$12,0)),"")</f>
        <v>🟡 Attesa rischiosa</v>
      </c>
    </row>
    <row r="397" customFormat="false" ht="14.25" hidden="false" customHeight="true" outlineLevel="0" collapsed="false">
      <c r="A397" s="21" t="n">
        <v>7128</v>
      </c>
      <c r="B397" s="21" t="s">
        <v>46</v>
      </c>
      <c r="C397" s="21" t="s">
        <v>606</v>
      </c>
      <c r="E397" s="26" t="str">
        <f aca="false">IF(COUNTIF('Info Strategia'!$D$2:$D$51,$C397)&gt;0,"SI","NO")</f>
        <v>NO</v>
      </c>
      <c r="F397" s="27" t="n">
        <f aca="false">IFERROR(ROUND(($G397+($H397-$G397)*'Info Strategia'!$B$6)*(1+IF($E397="SI",'Parametri Modello'!$B$7*'Info Strategia'!$B$6,0)),0),"")</f>
        <v>2</v>
      </c>
      <c r="G397" s="27" t="n">
        <f aca="false">IFERROR(ROUND(MAX(1,(IF($V397&lt;=INDEX('Parametri Modello'!$C$57:$C$60,MATCH($B397,'Parametri Modello'!$A$57:$A$60,0)),IF(INDEX('Parametri Modello'!$E$57:$E$60,MATCH($B397,'Parametri Modello'!$A$57:$A$60,0))=0,0,($O397/INDEX('Parametri Modello'!$E$57:$E$60,MATCH($B397,'Parametri Modello'!$A$57:$A$60,0)))*(INDEX('Parametri Modello'!$D$57:$D$60,MATCH($B397,'Parametri Modello'!$A$57:$A$60,0))*(INDEX('Parametri Modello'!$B$50:$B$53,MATCH($B397,'Parametri Modello'!$A$50:$A$53,0))*'Parametri Modello'!$B$44))),IF(INDEX('Parametri Modello'!$F$57:$F$60,MATCH($B397,'Parametri Modello'!$A$57:$A$60,0))=0,0,($O397/INDEX('Parametri Modello'!$F$57:$F$60,MATCH($B397,'Parametri Modello'!$A$57:$A$60,0)))*((1-INDEX('Parametri Modello'!$D$57:$D$60,MATCH($B397,'Parametri Modello'!$A$57:$A$60,0)))*(INDEX('Parametri Modello'!$B$50:$B$53,MATCH($B397,'Parametri Modello'!$A$50:$A$53,0))*'Parametri Modello'!$B$44))))*(1+IF(IF($B397="D",'Info Lega'!$B$25,IF($B397="C",'Info Lega'!$B$26,"No"))="Si",'Parametri Modello'!$B$5,0))*(1+MAX(-0.25,MIN(0.25,IF(OR($T397="",$I397="",$I397=0,INDEX('Parametri Modello'!$B$19:$B$22,MATCH($B397,'Parametri Modello'!$A$19:$A$22,0))="",INDEX('Parametri Modello'!$B$19:$B$22,MATCH($B397,'Parametri Modello'!$A$19:$A$22,0))=0),0,(($T397-INDEX('Parametri Modello'!$B$19:$B$22,MATCH($B397,'Parametri Modello'!$A$19:$A$22,0)))/INDEX('Parametri Modello'!$B$19:$B$22,MATCH($B397,'Parametri Modello'!$A$19:$A$22,0)))*'Parametri Modello'!$B$9))))*(1+IF('Parametri Modello'!$B$27="Si",MAX(-'Parametri Modello'!$B$28,MIN('Parametri Modello'!$B$28*1.5,IF(OR(INDEX('Parametri Modello'!$F$32:$F$35,MATCH($B397,'Parametri Modello'!$A$32:$A$35,0))="",INDEX('Parametri Modello'!$F$32:$F$35,MATCH($B397,'Parametri Modello'!$A$32:$A$35,0))=0),0,(1/INDEX('Parametri Modello'!$F$32:$F$35,MATCH($B397,'Parametri Modello'!$A$32:$A$35,0))-1)*'Parametri Modello'!$B$28))),0)))*(1-INDEX('Parametri Modello'!$B$12:$B$15,MATCH($B397,'Parametri Modello'!$A$12:$A$15,0)))),0),"")</f>
        <v>1</v>
      </c>
      <c r="H397" s="27" t="n">
        <f aca="false">IFERROR(ROUND((IF($V397&lt;=INDEX('Parametri Modello'!$C$57:$C$60,MATCH($B397,'Parametri Modello'!$A$57:$A$60,0)),IF(INDEX('Parametri Modello'!$E$57:$E$60,MATCH($B397,'Parametri Modello'!$A$57:$A$60,0))=0,0,($O397/INDEX('Parametri Modello'!$E$57:$E$60,MATCH($B397,'Parametri Modello'!$A$57:$A$60,0)))*(INDEX('Parametri Modello'!$D$57:$D$60,MATCH($B397,'Parametri Modello'!$A$57:$A$60,0))*(INDEX('Parametri Modello'!$B$50:$B$53,MATCH($B397,'Parametri Modello'!$A$50:$A$53,0))*'Parametri Modello'!$B$44))),IF(INDEX('Parametri Modello'!$F$57:$F$60,MATCH($B397,'Parametri Modello'!$A$57:$A$60,0))=0,0,($O397/INDEX('Parametri Modello'!$F$57:$F$60,MATCH($B397,'Parametri Modello'!$A$57:$A$60,0)))*((1-INDEX('Parametri Modello'!$D$57:$D$60,MATCH($B397,'Parametri Modello'!$A$57:$A$60,0)))*(INDEX('Parametri Modello'!$B$50:$B$53,MATCH($B397,'Parametri Modello'!$A$50:$A$53,0))*'Parametri Modello'!$B$44))))*(1+IF(IF($B397="D",'Info Lega'!$B$25,IF($B397="C",'Info Lega'!$B$26,"No"))="Si",'Parametri Modello'!$B$5,0))*(1+MAX(-0.25,MIN(0.25,IF(OR($T397="",$I397="",$I397=0,INDEX('Parametri Modello'!$B$19:$B$22,MATCH($B397,'Parametri Modello'!$A$19:$A$22,0))="",INDEX('Parametri Modello'!$B$19:$B$22,MATCH($B397,'Parametri Modello'!$A$19:$A$22,0))=0),0,(($T397-INDEX('Parametri Modello'!$B$19:$B$22,MATCH($B397,'Parametri Modello'!$A$19:$A$22,0)))/INDEX('Parametri Modello'!$B$19:$B$22,MATCH($B397,'Parametri Modello'!$A$19:$A$22,0)))*'Parametri Modello'!$B$9))))*(1+IF('Parametri Modello'!$B$27="Si",MAX(-'Parametri Modello'!$B$28,MIN('Parametri Modello'!$B$28*1.5,IF(OR(INDEX('Parametri Modello'!$F$32:$F$35,MATCH($B397,'Parametri Modello'!$A$32:$A$35,0))="",INDEX('Parametri Modello'!$F$32:$F$35,MATCH($B397,'Parametri Modello'!$A$32:$A$35,0))=0),0,(1/INDEX('Parametri Modello'!$F$32:$F$35,MATCH($B397,'Parametri Modello'!$A$32:$A$35,0))-1)*'Parametri Modello'!$B$28))),0)))*(1+INDEX('Parametri Modello'!$B$12:$B$15,MATCH($B397,'Parametri Modello'!$A$12:$A$15,0))),0),"")</f>
        <v>2</v>
      </c>
      <c r="I397" s="26" t="n">
        <f aca="false">IFERROR(INDEX('Input Statistiche 2025_26'!$F$3:$F$665,MATCH($A397,'Input Statistiche 2025_26'!$A$3:$A$665,0)),"")</f>
        <v>14</v>
      </c>
      <c r="J397" s="26" t="n">
        <f aca="false">IFERROR(IF($I397="","",MAX(0,38-$I397)),"")</f>
        <v>24</v>
      </c>
      <c r="K397" s="26" t="n">
        <f aca="false">IFERROR(INDEX('Input Statistiche 2025_26'!$I$3:$I$665,MATCH($A397,'Input Statistiche 2025_26'!$A$3:$A$665,0)),"")</f>
        <v>1</v>
      </c>
      <c r="L397" s="26" t="n">
        <f aca="false">IFERROR(INDEX('Input Statistiche 2025_26'!$O$3:$O$665,MATCH($A397,'Input Statistiche 2025_26'!$A$3:$A$665,0)),"")</f>
        <v>1</v>
      </c>
      <c r="M397" s="28"/>
      <c r="N397" s="27" t="n">
        <f aca="false">IFERROR(INDEX('Input Giocatori 2026_27'!$E$3:$E$493,MATCH($A397,'Input Giocatori 2026_27'!$A$3:$A$493,0)),"")</f>
        <v>3</v>
      </c>
      <c r="O397" s="27" t="n">
        <f aca="false">IFERROR(INDEX('Input Giocatori 2026_27'!$G$3:$G$493,MATCH($A397,'Input Giocatori 2026_27'!$A$3:$A$493,0)),"")</f>
        <v>5</v>
      </c>
      <c r="P397" s="26" t="str">
        <f aca="false">IFERROR(IF($O397="","",IF((1-(COUNTIFS($B$2:$B$492,$B397,$O$2:$O$492,"&gt;"&amp;$O397)+1-1)/COUNTIF($B$2:$B$492,$B397))&gt;=0.85,"Top",IF((1-(COUNTIFS($B$2:$B$492,$B397,$O$2:$O$492,"&gt;"&amp;$O397)+1-1)/COUNTIF($B$2:$B$492,$B397))&gt;=0.6,"Buono",IF((1-(COUNTIFS($B$2:$B$492,$B397,$O$2:$O$492,"&gt;"&amp;$O397)+1-1)/COUNTIF($B$2:$B$492,$B397))&gt;=0.3,"Nella Media","Scommessa/Riserva")))),"")</f>
        <v>Scommessa/Riserva</v>
      </c>
      <c r="Q397" s="29" t="n">
        <f aca="false">IF($D397="",COUNTIF($D$2:$D397,""),"")</f>
        <v>396</v>
      </c>
      <c r="R397" s="29" t="str">
        <f aca="false">IF($D397='Info Lega'!$B$28,COUNTIFS($D$2:$D397,'Info Lega'!$B$28),"")</f>
        <v/>
      </c>
      <c r="S397" s="30" t="n">
        <f aca="false">IFERROR(INDEX('Input Statistiche 2025_26'!$G$3:$G$665,MATCH($A397,'Input Statistiche 2025_26'!$A$3:$A$665,0)),"")</f>
        <v>5.96</v>
      </c>
      <c r="T397" s="30" t="n">
        <f aca="false">IFERROR(INDEX('Input Statistiche 2025_26'!$H$3:$H$665,MATCH($A397,'Input Statistiche 2025_26'!$A$3:$A$665,0)),"")</f>
        <v>6.25</v>
      </c>
      <c r="U397" s="26" t="str">
        <f aca="false">IF(OR('La Mia Rosa'!$O$12="",$D397&lt;&gt;""),"",IF($F397&lt;='La Mia Rosa'!$O$12*'Parametri Modello'!$B$24,"OK",IF($F397&lt;='La Mia Rosa'!$O$12*'Parametri Modello'!$B$25,"Attenzione","Rischio Alto")))</f>
        <v>OK</v>
      </c>
      <c r="V397" s="26" t="n">
        <f aca="false">IFERROR(COUNTIFS($B$2:$B$492,$B397,$O$2:$O$492,"&gt;"&amp;$O397)+1,"")</f>
        <v>75</v>
      </c>
      <c r="W397" s="21" t="n">
        <f aca="false">'Info Lega'!$B$4-SUMIFS($M$2:$M$492,$D$2:$D$492,'Info Lega'!$B$28)</f>
        <v>1000</v>
      </c>
      <c r="X397" s="21" t="n">
        <f aca="false">('Info Lega'!$B$5-COUNTIFS($D$2:$D$492,'Info Lega'!$B$28,$B$2:$B$492,"P"))+('Info Lega'!$B$6-COUNTIFS($D$2:$D$492,'Info Lega'!$B$28,$B$2:$B$492,"D"))+('Info Lega'!$B$7-COUNTIFS($D$2:$D$492,'Info Lega'!$B$28,$B$2:$B$492,"C"))+('Info Lega'!$B$8-COUNTIFS($D$2:$D$492,'Info Lega'!$B$28,$B$2:$B$492,"A"))</f>
        <v>25</v>
      </c>
      <c r="Y397" s="21" t="n">
        <f aca="false">X397*'Parametri Modello'!$B$30</f>
        <v>25</v>
      </c>
      <c r="Z397" s="21" t="n">
        <f aca="false">MAX(0,W397-Y397)</f>
        <v>975</v>
      </c>
      <c r="AA397" s="21" t="n">
        <f aca="false">MIN(F397,Z397)</f>
        <v>2</v>
      </c>
      <c r="AB397" s="21"/>
      <c r="AC397" s="21" t="str">
        <f aca="false">IF(AB397="","",IF(AB397&gt;AA397,"PASS",IF(AB397&lt;=AA397*0.85,"BID","ATTENZIONE")))</f>
        <v/>
      </c>
      <c r="AD397" s="31" t="n">
        <f aca="false">IF(I397="","",ROUND(100*(1-EXP(-I397/30)),0))</f>
        <v>37</v>
      </c>
      <c r="AE397" s="7" t="str">
        <f aca="false">IFERROR(INDEX('Stato Asta'!$G$9:$G$12,MATCH($B397,'Stato Asta'!$A$9:$A$12,0)),"")</f>
        <v>🔴 Non aspettare</v>
      </c>
    </row>
    <row r="398" customFormat="false" ht="14.25" hidden="false" customHeight="true" outlineLevel="0" collapsed="false">
      <c r="A398" s="21" t="n">
        <v>383</v>
      </c>
      <c r="B398" s="21" t="s">
        <v>46</v>
      </c>
      <c r="C398" s="21" t="s">
        <v>613</v>
      </c>
      <c r="E398" s="26" t="str">
        <f aca="false">IF(COUNTIF('Info Strategia'!$D$2:$D$51,$C398)&gt;0,"SI","NO")</f>
        <v>NO</v>
      </c>
      <c r="F398" s="27" t="n">
        <f aca="false">IFERROR(ROUND(($G398+($H398-$G398)*'Info Strategia'!$B$6)*(1+IF($E398="SI",'Parametri Modello'!$B$7*'Info Strategia'!$B$6,0)),0),"")</f>
        <v>2</v>
      </c>
      <c r="G398" s="27" t="n">
        <f aca="false">IFERROR(ROUND(MAX(1,(IF($V398&lt;=INDEX('Parametri Modello'!$C$57:$C$60,MATCH($B398,'Parametri Modello'!$A$57:$A$60,0)),IF(INDEX('Parametri Modello'!$E$57:$E$60,MATCH($B398,'Parametri Modello'!$A$57:$A$60,0))=0,0,($O398/INDEX('Parametri Modello'!$E$57:$E$60,MATCH($B398,'Parametri Modello'!$A$57:$A$60,0)))*(INDEX('Parametri Modello'!$D$57:$D$60,MATCH($B398,'Parametri Modello'!$A$57:$A$60,0))*(INDEX('Parametri Modello'!$B$50:$B$53,MATCH($B398,'Parametri Modello'!$A$50:$A$53,0))*'Parametri Modello'!$B$44))),IF(INDEX('Parametri Modello'!$F$57:$F$60,MATCH($B398,'Parametri Modello'!$A$57:$A$60,0))=0,0,($O398/INDEX('Parametri Modello'!$F$57:$F$60,MATCH($B398,'Parametri Modello'!$A$57:$A$60,0)))*((1-INDEX('Parametri Modello'!$D$57:$D$60,MATCH($B398,'Parametri Modello'!$A$57:$A$60,0)))*(INDEX('Parametri Modello'!$B$50:$B$53,MATCH($B398,'Parametri Modello'!$A$50:$A$53,0))*'Parametri Modello'!$B$44))))*(1+IF(IF($B398="D",'Info Lega'!$B$25,IF($B398="C",'Info Lega'!$B$26,"No"))="Si",'Parametri Modello'!$B$5,0))*(1+MAX(-0.25,MIN(0.25,IF(OR($T398="",$I398="",$I398=0,INDEX('Parametri Modello'!$B$19:$B$22,MATCH($B398,'Parametri Modello'!$A$19:$A$22,0))="",INDEX('Parametri Modello'!$B$19:$B$22,MATCH($B398,'Parametri Modello'!$A$19:$A$22,0))=0),0,(($T398-INDEX('Parametri Modello'!$B$19:$B$22,MATCH($B398,'Parametri Modello'!$A$19:$A$22,0)))/INDEX('Parametri Modello'!$B$19:$B$22,MATCH($B398,'Parametri Modello'!$A$19:$A$22,0)))*'Parametri Modello'!$B$9))))*(1+IF('Parametri Modello'!$B$27="Si",MAX(-'Parametri Modello'!$B$28,MIN('Parametri Modello'!$B$28*1.5,IF(OR(INDEX('Parametri Modello'!$F$32:$F$35,MATCH($B398,'Parametri Modello'!$A$32:$A$35,0))="",INDEX('Parametri Modello'!$F$32:$F$35,MATCH($B398,'Parametri Modello'!$A$32:$A$35,0))=0),0,(1/INDEX('Parametri Modello'!$F$32:$F$35,MATCH($B398,'Parametri Modello'!$A$32:$A$35,0))-1)*'Parametri Modello'!$B$28))),0)))*(1-INDEX('Parametri Modello'!$B$12:$B$15,MATCH($B398,'Parametri Modello'!$A$12:$A$15,0)))),0),"")</f>
        <v>1</v>
      </c>
      <c r="H398" s="27" t="n">
        <f aca="false">IFERROR(ROUND((IF($V398&lt;=INDEX('Parametri Modello'!$C$57:$C$60,MATCH($B398,'Parametri Modello'!$A$57:$A$60,0)),IF(INDEX('Parametri Modello'!$E$57:$E$60,MATCH($B398,'Parametri Modello'!$A$57:$A$60,0))=0,0,($O398/INDEX('Parametri Modello'!$E$57:$E$60,MATCH($B398,'Parametri Modello'!$A$57:$A$60,0)))*(INDEX('Parametri Modello'!$D$57:$D$60,MATCH($B398,'Parametri Modello'!$A$57:$A$60,0))*(INDEX('Parametri Modello'!$B$50:$B$53,MATCH($B398,'Parametri Modello'!$A$50:$A$53,0))*'Parametri Modello'!$B$44))),IF(INDEX('Parametri Modello'!$F$57:$F$60,MATCH($B398,'Parametri Modello'!$A$57:$A$60,0))=0,0,($O398/INDEX('Parametri Modello'!$F$57:$F$60,MATCH($B398,'Parametri Modello'!$A$57:$A$60,0)))*((1-INDEX('Parametri Modello'!$D$57:$D$60,MATCH($B398,'Parametri Modello'!$A$57:$A$60,0)))*(INDEX('Parametri Modello'!$B$50:$B$53,MATCH($B398,'Parametri Modello'!$A$50:$A$53,0))*'Parametri Modello'!$B$44))))*(1+IF(IF($B398="D",'Info Lega'!$B$25,IF($B398="C",'Info Lega'!$B$26,"No"))="Si",'Parametri Modello'!$B$5,0))*(1+MAX(-0.25,MIN(0.25,IF(OR($T398="",$I398="",$I398=0,INDEX('Parametri Modello'!$B$19:$B$22,MATCH($B398,'Parametri Modello'!$A$19:$A$22,0))="",INDEX('Parametri Modello'!$B$19:$B$22,MATCH($B398,'Parametri Modello'!$A$19:$A$22,0))=0),0,(($T398-INDEX('Parametri Modello'!$B$19:$B$22,MATCH($B398,'Parametri Modello'!$A$19:$A$22,0)))/INDEX('Parametri Modello'!$B$19:$B$22,MATCH($B398,'Parametri Modello'!$A$19:$A$22,0)))*'Parametri Modello'!$B$9))))*(1+IF('Parametri Modello'!$B$27="Si",MAX(-'Parametri Modello'!$B$28,MIN('Parametri Modello'!$B$28*1.5,IF(OR(INDEX('Parametri Modello'!$F$32:$F$35,MATCH($B398,'Parametri Modello'!$A$32:$A$35,0))="",INDEX('Parametri Modello'!$F$32:$F$35,MATCH($B398,'Parametri Modello'!$A$32:$A$35,0))=0),0,(1/INDEX('Parametri Modello'!$F$32:$F$35,MATCH($B398,'Parametri Modello'!$A$32:$A$35,0))-1)*'Parametri Modello'!$B$28))),0)))*(1+INDEX('Parametri Modello'!$B$12:$B$15,MATCH($B398,'Parametri Modello'!$A$12:$A$15,0))),0),"")</f>
        <v>2</v>
      </c>
      <c r="I398" s="26" t="str">
        <f aca="false">IFERROR(INDEX('Input Statistiche 2025_26'!$F$3:$F$665,MATCH($A398,'Input Statistiche 2025_26'!$A$3:$A$665,0)),"")</f>
        <v/>
      </c>
      <c r="J398" s="26" t="str">
        <f aca="false">IFERROR(IF($I398="","",MAX(0,38-$I398)),"")</f>
        <v/>
      </c>
      <c r="K398" s="26" t="str">
        <f aca="false">IFERROR(INDEX('Input Statistiche 2025_26'!$I$3:$I$665,MATCH($A398,'Input Statistiche 2025_26'!$A$3:$A$665,0)),"")</f>
        <v/>
      </c>
      <c r="L398" s="26" t="str">
        <f aca="false">IFERROR(INDEX('Input Statistiche 2025_26'!$O$3:$O$665,MATCH($A398,'Input Statistiche 2025_26'!$A$3:$A$665,0)),"")</f>
        <v/>
      </c>
      <c r="M398" s="28"/>
      <c r="N398" s="27" t="n">
        <f aca="false">IFERROR(INDEX('Input Giocatori 2026_27'!$E$3:$E$493,MATCH($A398,'Input Giocatori 2026_27'!$A$3:$A$493,0)),"")</f>
        <v>2</v>
      </c>
      <c r="O398" s="27" t="n">
        <f aca="false">IFERROR(INDEX('Input Giocatori 2026_27'!$G$3:$G$493,MATCH($A398,'Input Giocatori 2026_27'!$A$3:$A$493,0)),"")</f>
        <v>5</v>
      </c>
      <c r="P398" s="26" t="str">
        <f aca="false">IFERROR(IF($O398="","",IF((1-(COUNTIFS($B$2:$B$492,$B398,$O$2:$O$492,"&gt;"&amp;$O398)+1-1)/COUNTIF($B$2:$B$492,$B398))&gt;=0.85,"Top",IF((1-(COUNTIFS($B$2:$B$492,$B398,$O$2:$O$492,"&gt;"&amp;$O398)+1-1)/COUNTIF($B$2:$B$492,$B398))&gt;=0.6,"Buono",IF((1-(COUNTIFS($B$2:$B$492,$B398,$O$2:$O$492,"&gt;"&amp;$O398)+1-1)/COUNTIF($B$2:$B$492,$B398))&gt;=0.3,"Nella Media","Scommessa/Riserva")))),"")</f>
        <v>Scommessa/Riserva</v>
      </c>
      <c r="Q398" s="29" t="n">
        <f aca="false">IF($D398="",COUNTIF($D$2:$D398,""),"")</f>
        <v>397</v>
      </c>
      <c r="R398" s="29" t="str">
        <f aca="false">IF($D398='Info Lega'!$B$28,COUNTIFS($D$2:$D398,'Info Lega'!$B$28),"")</f>
        <v/>
      </c>
      <c r="S398" s="30" t="str">
        <f aca="false">IFERROR(INDEX('Input Statistiche 2025_26'!$G$3:$G$665,MATCH($A398,'Input Statistiche 2025_26'!$A$3:$A$665,0)),"")</f>
        <v/>
      </c>
      <c r="T398" s="30" t="str">
        <f aca="false">IFERROR(INDEX('Input Statistiche 2025_26'!$H$3:$H$665,MATCH($A398,'Input Statistiche 2025_26'!$A$3:$A$665,0)),"")</f>
        <v/>
      </c>
      <c r="U398" s="26" t="str">
        <f aca="false">IF(OR('La Mia Rosa'!$O$12="",$D398&lt;&gt;""),"",IF($F398&lt;='La Mia Rosa'!$O$12*'Parametri Modello'!$B$24,"OK",IF($F398&lt;='La Mia Rosa'!$O$12*'Parametri Modello'!$B$25,"Attenzione","Rischio Alto")))</f>
        <v>OK</v>
      </c>
      <c r="V398" s="26" t="n">
        <f aca="false">IFERROR(COUNTIFS($B$2:$B$492,$B398,$O$2:$O$492,"&gt;"&amp;$O398)+1,"")</f>
        <v>75</v>
      </c>
      <c r="W398" s="21" t="n">
        <f aca="false">'Info Lega'!$B$4-SUMIFS($M$2:$M$492,$D$2:$D$492,'Info Lega'!$B$28)</f>
        <v>1000</v>
      </c>
      <c r="X398" s="21" t="n">
        <f aca="false">('Info Lega'!$B$5-COUNTIFS($D$2:$D$492,'Info Lega'!$B$28,$B$2:$B$492,"P"))+('Info Lega'!$B$6-COUNTIFS($D$2:$D$492,'Info Lega'!$B$28,$B$2:$B$492,"D"))+('Info Lega'!$B$7-COUNTIFS($D$2:$D$492,'Info Lega'!$B$28,$B$2:$B$492,"C"))+('Info Lega'!$B$8-COUNTIFS($D$2:$D$492,'Info Lega'!$B$28,$B$2:$B$492,"A"))</f>
        <v>25</v>
      </c>
      <c r="Y398" s="21" t="n">
        <f aca="false">X398*'Parametri Modello'!$B$30</f>
        <v>25</v>
      </c>
      <c r="Z398" s="21" t="n">
        <f aca="false">MAX(0,W398-Y398)</f>
        <v>975</v>
      </c>
      <c r="AA398" s="21" t="n">
        <f aca="false">MIN(F398,Z398)</f>
        <v>2</v>
      </c>
      <c r="AB398" s="21"/>
      <c r="AC398" s="21" t="str">
        <f aca="false">IF(AB398="","",IF(AB398&gt;AA398,"PASS",IF(AB398&lt;=AA398*0.85,"BID","ATTENZIONE")))</f>
        <v/>
      </c>
      <c r="AD398" s="31" t="str">
        <f aca="false">IF(I398="","",ROUND(100*(1-EXP(-I398/30)),0))</f>
        <v/>
      </c>
      <c r="AE398" s="7" t="str">
        <f aca="false">IFERROR(INDEX('Stato Asta'!$G$9:$G$12,MATCH($B398,'Stato Asta'!$A$9:$A$12,0)),"")</f>
        <v>🔴 Non aspettare</v>
      </c>
    </row>
    <row r="399" customFormat="false" ht="14.25" hidden="false" customHeight="true" outlineLevel="0" collapsed="false">
      <c r="A399" s="21" t="n">
        <v>6883</v>
      </c>
      <c r="B399" s="21" t="s">
        <v>44</v>
      </c>
      <c r="C399" s="21" t="s">
        <v>331</v>
      </c>
      <c r="E399" s="26" t="str">
        <f aca="false">IF(COUNTIF('Info Strategia'!$D$2:$D$51,$C399)&gt;0,"SI","NO")</f>
        <v>NO</v>
      </c>
      <c r="F399" s="27" t="n">
        <f aca="false">IFERROR(ROUND(($G399+($H399-$G399)*'Info Strategia'!$B$6)*(1+IF($E399="SI",'Parametri Modello'!$B$7*'Info Strategia'!$B$6,0)),0),"")</f>
        <v>1</v>
      </c>
      <c r="G399" s="27" t="n">
        <f aca="false">IFERROR(ROUND(MAX(1,(IF($V399&lt;=INDEX('Parametri Modello'!$C$57:$C$60,MATCH($B399,'Parametri Modello'!$A$57:$A$60,0)),IF(INDEX('Parametri Modello'!$E$57:$E$60,MATCH($B399,'Parametri Modello'!$A$57:$A$60,0))=0,0,($O399/INDEX('Parametri Modello'!$E$57:$E$60,MATCH($B399,'Parametri Modello'!$A$57:$A$60,0)))*(INDEX('Parametri Modello'!$D$57:$D$60,MATCH($B399,'Parametri Modello'!$A$57:$A$60,0))*(INDEX('Parametri Modello'!$B$50:$B$53,MATCH($B399,'Parametri Modello'!$A$50:$A$53,0))*'Parametri Modello'!$B$44))),IF(INDEX('Parametri Modello'!$F$57:$F$60,MATCH($B399,'Parametri Modello'!$A$57:$A$60,0))=0,0,($O399/INDEX('Parametri Modello'!$F$57:$F$60,MATCH($B399,'Parametri Modello'!$A$57:$A$60,0)))*((1-INDEX('Parametri Modello'!$D$57:$D$60,MATCH($B399,'Parametri Modello'!$A$57:$A$60,0)))*(INDEX('Parametri Modello'!$B$50:$B$53,MATCH($B399,'Parametri Modello'!$A$50:$A$53,0))*'Parametri Modello'!$B$44))))*(1+IF(IF($B399="D",'Info Lega'!$B$25,IF($B399="C",'Info Lega'!$B$26,"No"))="Si",'Parametri Modello'!$B$5,0))*(1+MAX(-0.25,MIN(0.25,IF(OR($T399="",$I399="",$I399=0,INDEX('Parametri Modello'!$B$19:$B$22,MATCH($B399,'Parametri Modello'!$A$19:$A$22,0))="",INDEX('Parametri Modello'!$B$19:$B$22,MATCH($B399,'Parametri Modello'!$A$19:$A$22,0))=0),0,(($T399-INDEX('Parametri Modello'!$B$19:$B$22,MATCH($B399,'Parametri Modello'!$A$19:$A$22,0)))/INDEX('Parametri Modello'!$B$19:$B$22,MATCH($B399,'Parametri Modello'!$A$19:$A$22,0)))*'Parametri Modello'!$B$9))))*(1+IF('Parametri Modello'!$B$27="Si",MAX(-'Parametri Modello'!$B$28,MIN('Parametri Modello'!$B$28*1.5,IF(OR(INDEX('Parametri Modello'!$F$32:$F$35,MATCH($B399,'Parametri Modello'!$A$32:$A$35,0))="",INDEX('Parametri Modello'!$F$32:$F$35,MATCH($B399,'Parametri Modello'!$A$32:$A$35,0))=0),0,(1/INDEX('Parametri Modello'!$F$32:$F$35,MATCH($B399,'Parametri Modello'!$A$32:$A$35,0))-1)*'Parametri Modello'!$B$28))),0)))*(1-INDEX('Parametri Modello'!$B$12:$B$15,MATCH($B399,'Parametri Modello'!$A$12:$A$15,0)))),0),"")</f>
        <v>1</v>
      </c>
      <c r="H399" s="27" t="n">
        <f aca="false">IFERROR(ROUND((IF($V399&lt;=INDEX('Parametri Modello'!$C$57:$C$60,MATCH($B399,'Parametri Modello'!$A$57:$A$60,0)),IF(INDEX('Parametri Modello'!$E$57:$E$60,MATCH($B399,'Parametri Modello'!$A$57:$A$60,0))=0,0,($O399/INDEX('Parametri Modello'!$E$57:$E$60,MATCH($B399,'Parametri Modello'!$A$57:$A$60,0)))*(INDEX('Parametri Modello'!$D$57:$D$60,MATCH($B399,'Parametri Modello'!$A$57:$A$60,0))*(INDEX('Parametri Modello'!$B$50:$B$53,MATCH($B399,'Parametri Modello'!$A$50:$A$53,0))*'Parametri Modello'!$B$44))),IF(INDEX('Parametri Modello'!$F$57:$F$60,MATCH($B399,'Parametri Modello'!$A$57:$A$60,0))=0,0,($O399/INDEX('Parametri Modello'!$F$57:$F$60,MATCH($B399,'Parametri Modello'!$A$57:$A$60,0)))*((1-INDEX('Parametri Modello'!$D$57:$D$60,MATCH($B399,'Parametri Modello'!$A$57:$A$60,0)))*(INDEX('Parametri Modello'!$B$50:$B$53,MATCH($B399,'Parametri Modello'!$A$50:$A$53,0))*'Parametri Modello'!$B$44))))*(1+IF(IF($B399="D",'Info Lega'!$B$25,IF($B399="C",'Info Lega'!$B$26,"No"))="Si",'Parametri Modello'!$B$5,0))*(1+MAX(-0.25,MIN(0.25,IF(OR($T399="",$I399="",$I399=0,INDEX('Parametri Modello'!$B$19:$B$22,MATCH($B399,'Parametri Modello'!$A$19:$A$22,0))="",INDEX('Parametri Modello'!$B$19:$B$22,MATCH($B399,'Parametri Modello'!$A$19:$A$22,0))=0),0,(($T399-INDEX('Parametri Modello'!$B$19:$B$22,MATCH($B399,'Parametri Modello'!$A$19:$A$22,0)))/INDEX('Parametri Modello'!$B$19:$B$22,MATCH($B399,'Parametri Modello'!$A$19:$A$22,0)))*'Parametri Modello'!$B$9))))*(1+IF('Parametri Modello'!$B$27="Si",MAX(-'Parametri Modello'!$B$28,MIN('Parametri Modello'!$B$28*1.5,IF(OR(INDEX('Parametri Modello'!$F$32:$F$35,MATCH($B399,'Parametri Modello'!$A$32:$A$35,0))="",INDEX('Parametri Modello'!$F$32:$F$35,MATCH($B399,'Parametri Modello'!$A$32:$A$35,0))=0),0,(1/INDEX('Parametri Modello'!$F$32:$F$35,MATCH($B399,'Parametri Modello'!$A$32:$A$35,0))-1)*'Parametri Modello'!$B$28))),0)))*(1+INDEX('Parametri Modello'!$B$12:$B$15,MATCH($B399,'Parametri Modello'!$A$12:$A$15,0))),0),"")</f>
        <v>1</v>
      </c>
      <c r="I399" s="26" t="n">
        <f aca="false">IFERROR(INDEX('Input Statistiche 2025_26'!$F$3:$F$665,MATCH($A399,'Input Statistiche 2025_26'!$A$3:$A$665,0)),"")</f>
        <v>5</v>
      </c>
      <c r="J399" s="26" t="n">
        <f aca="false">IFERROR(IF($I399="","",MAX(0,38-$I399)),"")</f>
        <v>33</v>
      </c>
      <c r="K399" s="26" t="n">
        <f aca="false">IFERROR(INDEX('Input Statistiche 2025_26'!$I$3:$I$665,MATCH($A399,'Input Statistiche 2025_26'!$A$3:$A$665,0)),"")</f>
        <v>0</v>
      </c>
      <c r="L399" s="26" t="n">
        <f aca="false">IFERROR(INDEX('Input Statistiche 2025_26'!$O$3:$O$665,MATCH($A399,'Input Statistiche 2025_26'!$A$3:$A$665,0)),"")</f>
        <v>0</v>
      </c>
      <c r="M399" s="28"/>
      <c r="N399" s="27" t="n">
        <f aca="false">IFERROR(INDEX('Input Giocatori 2026_27'!$E$3:$E$493,MATCH($A399,'Input Giocatori 2026_27'!$A$3:$A$493,0)),"")</f>
        <v>2</v>
      </c>
      <c r="O399" s="27" t="n">
        <f aca="false">IFERROR(INDEX('Input Giocatori 2026_27'!$G$3:$G$493,MATCH($A399,'Input Giocatori 2026_27'!$A$3:$A$493,0)),"")</f>
        <v>4</v>
      </c>
      <c r="P399" s="26" t="str">
        <f aca="false">IFERROR(IF($O399="","",IF((1-(COUNTIFS($B$2:$B$492,$B399,$O$2:$O$492,"&gt;"&amp;$O399)+1-1)/COUNTIF($B$2:$B$492,$B399))&gt;=0.85,"Top",IF((1-(COUNTIFS($B$2:$B$492,$B399,$O$2:$O$492,"&gt;"&amp;$O399)+1-1)/COUNTIF($B$2:$B$492,$B399))&gt;=0.6,"Buono",IF((1-(COUNTIFS($B$2:$B$492,$B399,$O$2:$O$492,"&gt;"&amp;$O399)+1-1)/COUNTIF($B$2:$B$492,$B399))&gt;=0.3,"Nella Media","Scommessa/Riserva")))),"")</f>
        <v>Scommessa/Riserva</v>
      </c>
      <c r="Q399" s="29" t="n">
        <f aca="false">IF($D399="",COUNTIF($D$2:$D399,""),"")</f>
        <v>398</v>
      </c>
      <c r="R399" s="29" t="str">
        <f aca="false">IF($D399='Info Lega'!$B$28,COUNTIFS($D$2:$D399,'Info Lega'!$B$28),"")</f>
        <v/>
      </c>
      <c r="S399" s="30" t="n">
        <f aca="false">IFERROR(INDEX('Input Statistiche 2025_26'!$G$3:$G$665,MATCH($A399,'Input Statistiche 2025_26'!$A$3:$A$665,0)),"")</f>
        <v>5.8</v>
      </c>
      <c r="T399" s="30" t="n">
        <f aca="false">IFERROR(INDEX('Input Statistiche 2025_26'!$H$3:$H$665,MATCH($A399,'Input Statistiche 2025_26'!$A$3:$A$665,0)),"")</f>
        <v>5.7</v>
      </c>
      <c r="U399" s="26" t="str">
        <f aca="false">IF(OR('La Mia Rosa'!$O$12="",$D399&lt;&gt;""),"",IF($F399&lt;='La Mia Rosa'!$O$12*'Parametri Modello'!$B$24,"OK",IF($F399&lt;='La Mia Rosa'!$O$12*'Parametri Modello'!$B$25,"Attenzione","Rischio Alto")))</f>
        <v>OK</v>
      </c>
      <c r="V399" s="26" t="n">
        <f aca="false">IFERROR(COUNTIFS($B$2:$B$492,$B399,$O$2:$O$492,"&gt;"&amp;$O399)+1,"")</f>
        <v>145</v>
      </c>
      <c r="W399" s="21" t="n">
        <f aca="false">'Info Lega'!$B$4-SUMIFS($M$2:$M$492,$D$2:$D$492,'Info Lega'!$B$28)</f>
        <v>1000</v>
      </c>
      <c r="X399" s="21" t="n">
        <f aca="false">('Info Lega'!$B$5-COUNTIFS($D$2:$D$492,'Info Lega'!$B$28,$B$2:$B$492,"P"))+('Info Lega'!$B$6-COUNTIFS($D$2:$D$492,'Info Lega'!$B$28,$B$2:$B$492,"D"))+('Info Lega'!$B$7-COUNTIFS($D$2:$D$492,'Info Lega'!$B$28,$B$2:$B$492,"C"))+('Info Lega'!$B$8-COUNTIFS($D$2:$D$492,'Info Lega'!$B$28,$B$2:$B$492,"A"))</f>
        <v>25</v>
      </c>
      <c r="Y399" s="21" t="n">
        <f aca="false">X399*'Parametri Modello'!$B$30</f>
        <v>25</v>
      </c>
      <c r="Z399" s="21" t="n">
        <f aca="false">MAX(0,W399-Y399)</f>
        <v>975</v>
      </c>
      <c r="AA399" s="21" t="n">
        <f aca="false">MIN(F399,Z399)</f>
        <v>1</v>
      </c>
      <c r="AB399" s="21"/>
      <c r="AC399" s="21" t="str">
        <f aca="false">IF(AB399="","",IF(AB399&gt;AA399,"PASS",IF(AB399&lt;=AA399*0.85,"BID","ATTENZIONE")))</f>
        <v/>
      </c>
      <c r="AD399" s="31" t="n">
        <f aca="false">IF(I399="","",ROUND(100*(1-EXP(-I399/30)),0))</f>
        <v>15</v>
      </c>
      <c r="AE399" s="7" t="str">
        <f aca="false">IFERROR(INDEX('Stato Asta'!$G$9:$G$12,MATCH($B399,'Stato Asta'!$A$9:$A$12,0)),"")</f>
        <v>🟡 Attesa rischiosa</v>
      </c>
    </row>
    <row r="400" customFormat="false" ht="14.25" hidden="false" customHeight="true" outlineLevel="0" collapsed="false">
      <c r="A400" s="21" t="n">
        <v>7525</v>
      </c>
      <c r="B400" s="21" t="s">
        <v>44</v>
      </c>
      <c r="C400" s="21" t="s">
        <v>332</v>
      </c>
      <c r="E400" s="26" t="str">
        <f aca="false">IF(COUNTIF('Info Strategia'!$D$2:$D$51,$C400)&gt;0,"SI","NO")</f>
        <v>NO</v>
      </c>
      <c r="F400" s="27" t="n">
        <f aca="false">IFERROR(ROUND(($G400+($H400-$G400)*'Info Strategia'!$B$6)*(1+IF($E400="SI",'Parametri Modello'!$B$7*'Info Strategia'!$B$6,0)),0),"")</f>
        <v>1</v>
      </c>
      <c r="G400" s="27" t="n">
        <f aca="false">IFERROR(ROUND(MAX(1,(IF($V400&lt;=INDEX('Parametri Modello'!$C$57:$C$60,MATCH($B400,'Parametri Modello'!$A$57:$A$60,0)),IF(INDEX('Parametri Modello'!$E$57:$E$60,MATCH($B400,'Parametri Modello'!$A$57:$A$60,0))=0,0,($O400/INDEX('Parametri Modello'!$E$57:$E$60,MATCH($B400,'Parametri Modello'!$A$57:$A$60,0)))*(INDEX('Parametri Modello'!$D$57:$D$60,MATCH($B400,'Parametri Modello'!$A$57:$A$60,0))*(INDEX('Parametri Modello'!$B$50:$B$53,MATCH($B400,'Parametri Modello'!$A$50:$A$53,0))*'Parametri Modello'!$B$44))),IF(INDEX('Parametri Modello'!$F$57:$F$60,MATCH($B400,'Parametri Modello'!$A$57:$A$60,0))=0,0,($O400/INDEX('Parametri Modello'!$F$57:$F$60,MATCH($B400,'Parametri Modello'!$A$57:$A$60,0)))*((1-INDEX('Parametri Modello'!$D$57:$D$60,MATCH($B400,'Parametri Modello'!$A$57:$A$60,0)))*(INDEX('Parametri Modello'!$B$50:$B$53,MATCH($B400,'Parametri Modello'!$A$50:$A$53,0))*'Parametri Modello'!$B$44))))*(1+IF(IF($B400="D",'Info Lega'!$B$25,IF($B400="C",'Info Lega'!$B$26,"No"))="Si",'Parametri Modello'!$B$5,0))*(1+MAX(-0.25,MIN(0.25,IF(OR($T400="",$I400="",$I400=0,INDEX('Parametri Modello'!$B$19:$B$22,MATCH($B400,'Parametri Modello'!$A$19:$A$22,0))="",INDEX('Parametri Modello'!$B$19:$B$22,MATCH($B400,'Parametri Modello'!$A$19:$A$22,0))=0),0,(($T400-INDEX('Parametri Modello'!$B$19:$B$22,MATCH($B400,'Parametri Modello'!$A$19:$A$22,0)))/INDEX('Parametri Modello'!$B$19:$B$22,MATCH($B400,'Parametri Modello'!$A$19:$A$22,0)))*'Parametri Modello'!$B$9))))*(1+IF('Parametri Modello'!$B$27="Si",MAX(-'Parametri Modello'!$B$28,MIN('Parametri Modello'!$B$28*1.5,IF(OR(INDEX('Parametri Modello'!$F$32:$F$35,MATCH($B400,'Parametri Modello'!$A$32:$A$35,0))="",INDEX('Parametri Modello'!$F$32:$F$35,MATCH($B400,'Parametri Modello'!$A$32:$A$35,0))=0),0,(1/INDEX('Parametri Modello'!$F$32:$F$35,MATCH($B400,'Parametri Modello'!$A$32:$A$35,0))-1)*'Parametri Modello'!$B$28))),0)))*(1-INDEX('Parametri Modello'!$B$12:$B$15,MATCH($B400,'Parametri Modello'!$A$12:$A$15,0)))),0),"")</f>
        <v>1</v>
      </c>
      <c r="H400" s="27" t="n">
        <f aca="false">IFERROR(ROUND((IF($V400&lt;=INDEX('Parametri Modello'!$C$57:$C$60,MATCH($B400,'Parametri Modello'!$A$57:$A$60,0)),IF(INDEX('Parametri Modello'!$E$57:$E$60,MATCH($B400,'Parametri Modello'!$A$57:$A$60,0))=0,0,($O400/INDEX('Parametri Modello'!$E$57:$E$60,MATCH($B400,'Parametri Modello'!$A$57:$A$60,0)))*(INDEX('Parametri Modello'!$D$57:$D$60,MATCH($B400,'Parametri Modello'!$A$57:$A$60,0))*(INDEX('Parametri Modello'!$B$50:$B$53,MATCH($B400,'Parametri Modello'!$A$50:$A$53,0))*'Parametri Modello'!$B$44))),IF(INDEX('Parametri Modello'!$F$57:$F$60,MATCH($B400,'Parametri Modello'!$A$57:$A$60,0))=0,0,($O400/INDEX('Parametri Modello'!$F$57:$F$60,MATCH($B400,'Parametri Modello'!$A$57:$A$60,0)))*((1-INDEX('Parametri Modello'!$D$57:$D$60,MATCH($B400,'Parametri Modello'!$A$57:$A$60,0)))*(INDEX('Parametri Modello'!$B$50:$B$53,MATCH($B400,'Parametri Modello'!$A$50:$A$53,0))*'Parametri Modello'!$B$44))))*(1+IF(IF($B400="D",'Info Lega'!$B$25,IF($B400="C",'Info Lega'!$B$26,"No"))="Si",'Parametri Modello'!$B$5,0))*(1+MAX(-0.25,MIN(0.25,IF(OR($T400="",$I400="",$I400=0,INDEX('Parametri Modello'!$B$19:$B$22,MATCH($B400,'Parametri Modello'!$A$19:$A$22,0))="",INDEX('Parametri Modello'!$B$19:$B$22,MATCH($B400,'Parametri Modello'!$A$19:$A$22,0))=0),0,(($T400-INDEX('Parametri Modello'!$B$19:$B$22,MATCH($B400,'Parametri Modello'!$A$19:$A$22,0)))/INDEX('Parametri Modello'!$B$19:$B$22,MATCH($B400,'Parametri Modello'!$A$19:$A$22,0)))*'Parametri Modello'!$B$9))))*(1+IF('Parametri Modello'!$B$27="Si",MAX(-'Parametri Modello'!$B$28,MIN('Parametri Modello'!$B$28*1.5,IF(OR(INDEX('Parametri Modello'!$F$32:$F$35,MATCH($B400,'Parametri Modello'!$A$32:$A$35,0))="",INDEX('Parametri Modello'!$F$32:$F$35,MATCH($B400,'Parametri Modello'!$A$32:$A$35,0))=0),0,(1/INDEX('Parametri Modello'!$F$32:$F$35,MATCH($B400,'Parametri Modello'!$A$32:$A$35,0))-1)*'Parametri Modello'!$B$28))),0)))*(1+INDEX('Parametri Modello'!$B$12:$B$15,MATCH($B400,'Parametri Modello'!$A$12:$A$15,0))),0),"")</f>
        <v>1</v>
      </c>
      <c r="I400" s="26" t="str">
        <f aca="false">IFERROR(INDEX('Input Statistiche 2025_26'!$F$3:$F$665,MATCH($A400,'Input Statistiche 2025_26'!$A$3:$A$665,0)),"")</f>
        <v/>
      </c>
      <c r="J400" s="26" t="str">
        <f aca="false">IFERROR(IF($I400="","",MAX(0,38-$I400)),"")</f>
        <v/>
      </c>
      <c r="K400" s="26" t="str">
        <f aca="false">IFERROR(INDEX('Input Statistiche 2025_26'!$I$3:$I$665,MATCH($A400,'Input Statistiche 2025_26'!$A$3:$A$665,0)),"")</f>
        <v/>
      </c>
      <c r="L400" s="26" t="str">
        <f aca="false">IFERROR(INDEX('Input Statistiche 2025_26'!$O$3:$O$665,MATCH($A400,'Input Statistiche 2025_26'!$A$3:$A$665,0)),"")</f>
        <v/>
      </c>
      <c r="M400" s="28"/>
      <c r="N400" s="27" t="n">
        <f aca="false">IFERROR(INDEX('Input Giocatori 2026_27'!$E$3:$E$493,MATCH($A400,'Input Giocatori 2026_27'!$A$3:$A$493,0)),"")</f>
        <v>2</v>
      </c>
      <c r="O400" s="27" t="n">
        <f aca="false">IFERROR(INDEX('Input Giocatori 2026_27'!$G$3:$G$493,MATCH($A400,'Input Giocatori 2026_27'!$A$3:$A$493,0)),"")</f>
        <v>4</v>
      </c>
      <c r="P400" s="26" t="str">
        <f aca="false">IFERROR(IF($O400="","",IF((1-(COUNTIFS($B$2:$B$492,$B400,$O$2:$O$492,"&gt;"&amp;$O400)+1-1)/COUNTIF($B$2:$B$492,$B400))&gt;=0.85,"Top",IF((1-(COUNTIFS($B$2:$B$492,$B400,$O$2:$O$492,"&gt;"&amp;$O400)+1-1)/COUNTIF($B$2:$B$492,$B400))&gt;=0.6,"Buono",IF((1-(COUNTIFS($B$2:$B$492,$B400,$O$2:$O$492,"&gt;"&amp;$O400)+1-1)/COUNTIF($B$2:$B$492,$B400))&gt;=0.3,"Nella Media","Scommessa/Riserva")))),"")</f>
        <v>Scommessa/Riserva</v>
      </c>
      <c r="Q400" s="29" t="n">
        <f aca="false">IF($D400="",COUNTIF($D$2:$D400,""),"")</f>
        <v>399</v>
      </c>
      <c r="R400" s="29" t="str">
        <f aca="false">IF($D400='Info Lega'!$B$28,COUNTIFS($D$2:$D400,'Info Lega'!$B$28),"")</f>
        <v/>
      </c>
      <c r="S400" s="30" t="str">
        <f aca="false">IFERROR(INDEX('Input Statistiche 2025_26'!$G$3:$G$665,MATCH($A400,'Input Statistiche 2025_26'!$A$3:$A$665,0)),"")</f>
        <v/>
      </c>
      <c r="T400" s="30" t="str">
        <f aca="false">IFERROR(INDEX('Input Statistiche 2025_26'!$H$3:$H$665,MATCH($A400,'Input Statistiche 2025_26'!$A$3:$A$665,0)),"")</f>
        <v/>
      </c>
      <c r="U400" s="26" t="str">
        <f aca="false">IF(OR('La Mia Rosa'!$O$12="",$D400&lt;&gt;""),"",IF($F400&lt;='La Mia Rosa'!$O$12*'Parametri Modello'!$B$24,"OK",IF($F400&lt;='La Mia Rosa'!$O$12*'Parametri Modello'!$B$25,"Attenzione","Rischio Alto")))</f>
        <v>OK</v>
      </c>
      <c r="V400" s="26" t="n">
        <f aca="false">IFERROR(COUNTIFS($B$2:$B$492,$B400,$O$2:$O$492,"&gt;"&amp;$O400)+1,"")</f>
        <v>145</v>
      </c>
      <c r="W400" s="21" t="n">
        <f aca="false">'Info Lega'!$B$4-SUMIFS($M$2:$M$492,$D$2:$D$492,'Info Lega'!$B$28)</f>
        <v>1000</v>
      </c>
      <c r="X400" s="21" t="n">
        <f aca="false">('Info Lega'!$B$5-COUNTIFS($D$2:$D$492,'Info Lega'!$B$28,$B$2:$B$492,"P"))+('Info Lega'!$B$6-COUNTIFS($D$2:$D$492,'Info Lega'!$B$28,$B$2:$B$492,"D"))+('Info Lega'!$B$7-COUNTIFS($D$2:$D$492,'Info Lega'!$B$28,$B$2:$B$492,"C"))+('Info Lega'!$B$8-COUNTIFS($D$2:$D$492,'Info Lega'!$B$28,$B$2:$B$492,"A"))</f>
        <v>25</v>
      </c>
      <c r="Y400" s="21" t="n">
        <f aca="false">X400*'Parametri Modello'!$B$30</f>
        <v>25</v>
      </c>
      <c r="Z400" s="21" t="n">
        <f aca="false">MAX(0,W400-Y400)</f>
        <v>975</v>
      </c>
      <c r="AA400" s="21" t="n">
        <f aca="false">MIN(F400,Z400)</f>
        <v>1</v>
      </c>
      <c r="AB400" s="21"/>
      <c r="AC400" s="21" t="str">
        <f aca="false">IF(AB400="","",IF(AB400&gt;AA400,"PASS",IF(AB400&lt;=AA400*0.85,"BID","ATTENZIONE")))</f>
        <v/>
      </c>
      <c r="AD400" s="31" t="str">
        <f aca="false">IF(I400="","",ROUND(100*(1-EXP(-I400/30)),0))</f>
        <v/>
      </c>
      <c r="AE400" s="7" t="str">
        <f aca="false">IFERROR(INDEX('Stato Asta'!$G$9:$G$12,MATCH($B400,'Stato Asta'!$A$9:$A$12,0)),"")</f>
        <v>🟡 Attesa rischiosa</v>
      </c>
    </row>
    <row r="401" customFormat="false" ht="14.25" hidden="false" customHeight="true" outlineLevel="0" collapsed="false">
      <c r="A401" s="21" t="n">
        <v>5994</v>
      </c>
      <c r="B401" s="21" t="s">
        <v>44</v>
      </c>
      <c r="C401" s="21" t="s">
        <v>336</v>
      </c>
      <c r="E401" s="26" t="str">
        <f aca="false">IF(COUNTIF('Info Strategia'!$D$2:$D$51,$C401)&gt;0,"SI","NO")</f>
        <v>NO</v>
      </c>
      <c r="F401" s="27" t="n">
        <f aca="false">IFERROR(ROUND(($G401+($H401-$G401)*'Info Strategia'!$B$6)*(1+IF($E401="SI",'Parametri Modello'!$B$7*'Info Strategia'!$B$6,0)),0),"")</f>
        <v>1</v>
      </c>
      <c r="G401" s="27" t="n">
        <f aca="false">IFERROR(ROUND(MAX(1,(IF($V401&lt;=INDEX('Parametri Modello'!$C$57:$C$60,MATCH($B401,'Parametri Modello'!$A$57:$A$60,0)),IF(INDEX('Parametri Modello'!$E$57:$E$60,MATCH($B401,'Parametri Modello'!$A$57:$A$60,0))=0,0,($O401/INDEX('Parametri Modello'!$E$57:$E$60,MATCH($B401,'Parametri Modello'!$A$57:$A$60,0)))*(INDEX('Parametri Modello'!$D$57:$D$60,MATCH($B401,'Parametri Modello'!$A$57:$A$60,0))*(INDEX('Parametri Modello'!$B$50:$B$53,MATCH($B401,'Parametri Modello'!$A$50:$A$53,0))*'Parametri Modello'!$B$44))),IF(INDEX('Parametri Modello'!$F$57:$F$60,MATCH($B401,'Parametri Modello'!$A$57:$A$60,0))=0,0,($O401/INDEX('Parametri Modello'!$F$57:$F$60,MATCH($B401,'Parametri Modello'!$A$57:$A$60,0)))*((1-INDEX('Parametri Modello'!$D$57:$D$60,MATCH($B401,'Parametri Modello'!$A$57:$A$60,0)))*(INDEX('Parametri Modello'!$B$50:$B$53,MATCH($B401,'Parametri Modello'!$A$50:$A$53,0))*'Parametri Modello'!$B$44))))*(1+IF(IF($B401="D",'Info Lega'!$B$25,IF($B401="C",'Info Lega'!$B$26,"No"))="Si",'Parametri Modello'!$B$5,0))*(1+MAX(-0.25,MIN(0.25,IF(OR($T401="",$I401="",$I401=0,INDEX('Parametri Modello'!$B$19:$B$22,MATCH($B401,'Parametri Modello'!$A$19:$A$22,0))="",INDEX('Parametri Modello'!$B$19:$B$22,MATCH($B401,'Parametri Modello'!$A$19:$A$22,0))=0),0,(($T401-INDEX('Parametri Modello'!$B$19:$B$22,MATCH($B401,'Parametri Modello'!$A$19:$A$22,0)))/INDEX('Parametri Modello'!$B$19:$B$22,MATCH($B401,'Parametri Modello'!$A$19:$A$22,0)))*'Parametri Modello'!$B$9))))*(1+IF('Parametri Modello'!$B$27="Si",MAX(-'Parametri Modello'!$B$28,MIN('Parametri Modello'!$B$28*1.5,IF(OR(INDEX('Parametri Modello'!$F$32:$F$35,MATCH($B401,'Parametri Modello'!$A$32:$A$35,0))="",INDEX('Parametri Modello'!$F$32:$F$35,MATCH($B401,'Parametri Modello'!$A$32:$A$35,0))=0),0,(1/INDEX('Parametri Modello'!$F$32:$F$35,MATCH($B401,'Parametri Modello'!$A$32:$A$35,0))-1)*'Parametri Modello'!$B$28))),0)))*(1-INDEX('Parametri Modello'!$B$12:$B$15,MATCH($B401,'Parametri Modello'!$A$12:$A$15,0)))),0),"")</f>
        <v>1</v>
      </c>
      <c r="H401" s="27" t="n">
        <f aca="false">IFERROR(ROUND((IF($V401&lt;=INDEX('Parametri Modello'!$C$57:$C$60,MATCH($B401,'Parametri Modello'!$A$57:$A$60,0)),IF(INDEX('Parametri Modello'!$E$57:$E$60,MATCH($B401,'Parametri Modello'!$A$57:$A$60,0))=0,0,($O401/INDEX('Parametri Modello'!$E$57:$E$60,MATCH($B401,'Parametri Modello'!$A$57:$A$60,0)))*(INDEX('Parametri Modello'!$D$57:$D$60,MATCH($B401,'Parametri Modello'!$A$57:$A$60,0))*(INDEX('Parametri Modello'!$B$50:$B$53,MATCH($B401,'Parametri Modello'!$A$50:$A$53,0))*'Parametri Modello'!$B$44))),IF(INDEX('Parametri Modello'!$F$57:$F$60,MATCH($B401,'Parametri Modello'!$A$57:$A$60,0))=0,0,($O401/INDEX('Parametri Modello'!$F$57:$F$60,MATCH($B401,'Parametri Modello'!$A$57:$A$60,0)))*((1-INDEX('Parametri Modello'!$D$57:$D$60,MATCH($B401,'Parametri Modello'!$A$57:$A$60,0)))*(INDEX('Parametri Modello'!$B$50:$B$53,MATCH($B401,'Parametri Modello'!$A$50:$A$53,0))*'Parametri Modello'!$B$44))))*(1+IF(IF($B401="D",'Info Lega'!$B$25,IF($B401="C",'Info Lega'!$B$26,"No"))="Si",'Parametri Modello'!$B$5,0))*(1+MAX(-0.25,MIN(0.25,IF(OR($T401="",$I401="",$I401=0,INDEX('Parametri Modello'!$B$19:$B$22,MATCH($B401,'Parametri Modello'!$A$19:$A$22,0))="",INDEX('Parametri Modello'!$B$19:$B$22,MATCH($B401,'Parametri Modello'!$A$19:$A$22,0))=0),0,(($T401-INDEX('Parametri Modello'!$B$19:$B$22,MATCH($B401,'Parametri Modello'!$A$19:$A$22,0)))/INDEX('Parametri Modello'!$B$19:$B$22,MATCH($B401,'Parametri Modello'!$A$19:$A$22,0)))*'Parametri Modello'!$B$9))))*(1+IF('Parametri Modello'!$B$27="Si",MAX(-'Parametri Modello'!$B$28,MIN('Parametri Modello'!$B$28*1.5,IF(OR(INDEX('Parametri Modello'!$F$32:$F$35,MATCH($B401,'Parametri Modello'!$A$32:$A$35,0))="",INDEX('Parametri Modello'!$F$32:$F$35,MATCH($B401,'Parametri Modello'!$A$32:$A$35,0))=0),0,(1/INDEX('Parametri Modello'!$F$32:$F$35,MATCH($B401,'Parametri Modello'!$A$32:$A$35,0))-1)*'Parametri Modello'!$B$28))),0)))*(1+INDEX('Parametri Modello'!$B$12:$B$15,MATCH($B401,'Parametri Modello'!$A$12:$A$15,0))),0),"")</f>
        <v>1</v>
      </c>
      <c r="I401" s="26" t="n">
        <f aca="false">IFERROR(INDEX('Input Statistiche 2025_26'!$F$3:$F$665,MATCH($A401,'Input Statistiche 2025_26'!$A$3:$A$665,0)),"")</f>
        <v>16</v>
      </c>
      <c r="J401" s="26" t="n">
        <f aca="false">IFERROR(IF($I401="","",MAX(0,38-$I401)),"")</f>
        <v>22</v>
      </c>
      <c r="K401" s="26" t="n">
        <f aca="false">IFERROR(INDEX('Input Statistiche 2025_26'!$I$3:$I$665,MATCH($A401,'Input Statistiche 2025_26'!$A$3:$A$665,0)),"")</f>
        <v>0</v>
      </c>
      <c r="L401" s="26" t="n">
        <f aca="false">IFERROR(INDEX('Input Statistiche 2025_26'!$O$3:$O$665,MATCH($A401,'Input Statistiche 2025_26'!$A$3:$A$665,0)),"")</f>
        <v>1</v>
      </c>
      <c r="M401" s="28"/>
      <c r="N401" s="27" t="n">
        <f aca="false">IFERROR(INDEX('Input Giocatori 2026_27'!$E$3:$E$493,MATCH($A401,'Input Giocatori 2026_27'!$A$3:$A$493,0)),"")</f>
        <v>2</v>
      </c>
      <c r="O401" s="27" t="n">
        <f aca="false">IFERROR(INDEX('Input Giocatori 2026_27'!$G$3:$G$493,MATCH($A401,'Input Giocatori 2026_27'!$A$3:$A$493,0)),"")</f>
        <v>4</v>
      </c>
      <c r="P401" s="26" t="str">
        <f aca="false">IFERROR(IF($O401="","",IF((1-(COUNTIFS($B$2:$B$492,$B401,$O$2:$O$492,"&gt;"&amp;$O401)+1-1)/COUNTIF($B$2:$B$492,$B401))&gt;=0.85,"Top",IF((1-(COUNTIFS($B$2:$B$492,$B401,$O$2:$O$492,"&gt;"&amp;$O401)+1-1)/COUNTIF($B$2:$B$492,$B401))&gt;=0.6,"Buono",IF((1-(COUNTIFS($B$2:$B$492,$B401,$O$2:$O$492,"&gt;"&amp;$O401)+1-1)/COUNTIF($B$2:$B$492,$B401))&gt;=0.3,"Nella Media","Scommessa/Riserva")))),"")</f>
        <v>Scommessa/Riserva</v>
      </c>
      <c r="Q401" s="29" t="n">
        <f aca="false">IF($D401="",COUNTIF($D$2:$D401,""),"")</f>
        <v>400</v>
      </c>
      <c r="R401" s="29" t="str">
        <f aca="false">IF($D401='Info Lega'!$B$28,COUNTIFS($D$2:$D401,'Info Lega'!$B$28),"")</f>
        <v/>
      </c>
      <c r="S401" s="30" t="n">
        <f aca="false">IFERROR(INDEX('Input Statistiche 2025_26'!$G$3:$G$665,MATCH($A401,'Input Statistiche 2025_26'!$A$3:$A$665,0)),"")</f>
        <v>5.75</v>
      </c>
      <c r="T401" s="30" t="n">
        <f aca="false">IFERROR(INDEX('Input Statistiche 2025_26'!$H$3:$H$665,MATCH($A401,'Input Statistiche 2025_26'!$A$3:$A$665,0)),"")</f>
        <v>5.72</v>
      </c>
      <c r="U401" s="26" t="str">
        <f aca="false">IF(OR('La Mia Rosa'!$O$12="",$D401&lt;&gt;""),"",IF($F401&lt;='La Mia Rosa'!$O$12*'Parametri Modello'!$B$24,"OK",IF($F401&lt;='La Mia Rosa'!$O$12*'Parametri Modello'!$B$25,"Attenzione","Rischio Alto")))</f>
        <v>OK</v>
      </c>
      <c r="V401" s="26" t="n">
        <f aca="false">IFERROR(COUNTIFS($B$2:$B$492,$B401,$O$2:$O$492,"&gt;"&amp;$O401)+1,"")</f>
        <v>145</v>
      </c>
      <c r="W401" s="21" t="n">
        <f aca="false">'Info Lega'!$B$4-SUMIFS($M$2:$M$492,$D$2:$D$492,'Info Lega'!$B$28)</f>
        <v>1000</v>
      </c>
      <c r="X401" s="21" t="n">
        <f aca="false">('Info Lega'!$B$5-COUNTIFS($D$2:$D$492,'Info Lega'!$B$28,$B$2:$B$492,"P"))+('Info Lega'!$B$6-COUNTIFS($D$2:$D$492,'Info Lega'!$B$28,$B$2:$B$492,"D"))+('Info Lega'!$B$7-COUNTIFS($D$2:$D$492,'Info Lega'!$B$28,$B$2:$B$492,"C"))+('Info Lega'!$B$8-COUNTIFS($D$2:$D$492,'Info Lega'!$B$28,$B$2:$B$492,"A"))</f>
        <v>25</v>
      </c>
      <c r="Y401" s="21" t="n">
        <f aca="false">X401*'Parametri Modello'!$B$30</f>
        <v>25</v>
      </c>
      <c r="Z401" s="21" t="n">
        <f aca="false">MAX(0,W401-Y401)</f>
        <v>975</v>
      </c>
      <c r="AA401" s="21" t="n">
        <f aca="false">MIN(F401,Z401)</f>
        <v>1</v>
      </c>
      <c r="AB401" s="21"/>
      <c r="AC401" s="21" t="str">
        <f aca="false">IF(AB401="","",IF(AB401&gt;AA401,"PASS",IF(AB401&lt;=AA401*0.85,"BID","ATTENZIONE")))</f>
        <v/>
      </c>
      <c r="AD401" s="31" t="n">
        <f aca="false">IF(I401="","",ROUND(100*(1-EXP(-I401/30)),0))</f>
        <v>41</v>
      </c>
      <c r="AE401" s="7" t="str">
        <f aca="false">IFERROR(INDEX('Stato Asta'!$G$9:$G$12,MATCH($B401,'Stato Asta'!$A$9:$A$12,0)),"")</f>
        <v>🟡 Attesa rischiosa</v>
      </c>
    </row>
    <row r="402" customFormat="false" ht="14.25" hidden="false" customHeight="true" outlineLevel="0" collapsed="false">
      <c r="A402" s="21" t="n">
        <v>7478</v>
      </c>
      <c r="B402" s="21" t="s">
        <v>44</v>
      </c>
      <c r="C402" s="21" t="s">
        <v>337</v>
      </c>
      <c r="E402" s="26" t="str">
        <f aca="false">IF(COUNTIF('Info Strategia'!$D$2:$D$51,$C402)&gt;0,"SI","NO")</f>
        <v>NO</v>
      </c>
      <c r="F402" s="27" t="n">
        <f aca="false">IFERROR(ROUND(($G402+($H402-$G402)*'Info Strategia'!$B$6)*(1+IF($E402="SI",'Parametri Modello'!$B$7*'Info Strategia'!$B$6,0)),0),"")</f>
        <v>1</v>
      </c>
      <c r="G402" s="27" t="n">
        <f aca="false">IFERROR(ROUND(MAX(1,(IF($V402&lt;=INDEX('Parametri Modello'!$C$57:$C$60,MATCH($B402,'Parametri Modello'!$A$57:$A$60,0)),IF(INDEX('Parametri Modello'!$E$57:$E$60,MATCH($B402,'Parametri Modello'!$A$57:$A$60,0))=0,0,($O402/INDEX('Parametri Modello'!$E$57:$E$60,MATCH($B402,'Parametri Modello'!$A$57:$A$60,0)))*(INDEX('Parametri Modello'!$D$57:$D$60,MATCH($B402,'Parametri Modello'!$A$57:$A$60,0))*(INDEX('Parametri Modello'!$B$50:$B$53,MATCH($B402,'Parametri Modello'!$A$50:$A$53,0))*'Parametri Modello'!$B$44))),IF(INDEX('Parametri Modello'!$F$57:$F$60,MATCH($B402,'Parametri Modello'!$A$57:$A$60,0))=0,0,($O402/INDEX('Parametri Modello'!$F$57:$F$60,MATCH($B402,'Parametri Modello'!$A$57:$A$60,0)))*((1-INDEX('Parametri Modello'!$D$57:$D$60,MATCH($B402,'Parametri Modello'!$A$57:$A$60,0)))*(INDEX('Parametri Modello'!$B$50:$B$53,MATCH($B402,'Parametri Modello'!$A$50:$A$53,0))*'Parametri Modello'!$B$44))))*(1+IF(IF($B402="D",'Info Lega'!$B$25,IF($B402="C",'Info Lega'!$B$26,"No"))="Si",'Parametri Modello'!$B$5,0))*(1+MAX(-0.25,MIN(0.25,IF(OR($T402="",$I402="",$I402=0,INDEX('Parametri Modello'!$B$19:$B$22,MATCH($B402,'Parametri Modello'!$A$19:$A$22,0))="",INDEX('Parametri Modello'!$B$19:$B$22,MATCH($B402,'Parametri Modello'!$A$19:$A$22,0))=0),0,(($T402-INDEX('Parametri Modello'!$B$19:$B$22,MATCH($B402,'Parametri Modello'!$A$19:$A$22,0)))/INDEX('Parametri Modello'!$B$19:$B$22,MATCH($B402,'Parametri Modello'!$A$19:$A$22,0)))*'Parametri Modello'!$B$9))))*(1+IF('Parametri Modello'!$B$27="Si",MAX(-'Parametri Modello'!$B$28,MIN('Parametri Modello'!$B$28*1.5,IF(OR(INDEX('Parametri Modello'!$F$32:$F$35,MATCH($B402,'Parametri Modello'!$A$32:$A$35,0))="",INDEX('Parametri Modello'!$F$32:$F$35,MATCH($B402,'Parametri Modello'!$A$32:$A$35,0))=0),0,(1/INDEX('Parametri Modello'!$F$32:$F$35,MATCH($B402,'Parametri Modello'!$A$32:$A$35,0))-1)*'Parametri Modello'!$B$28))),0)))*(1-INDEX('Parametri Modello'!$B$12:$B$15,MATCH($B402,'Parametri Modello'!$A$12:$A$15,0)))),0),"")</f>
        <v>1</v>
      </c>
      <c r="H402" s="27" t="n">
        <f aca="false">IFERROR(ROUND((IF($V402&lt;=INDEX('Parametri Modello'!$C$57:$C$60,MATCH($B402,'Parametri Modello'!$A$57:$A$60,0)),IF(INDEX('Parametri Modello'!$E$57:$E$60,MATCH($B402,'Parametri Modello'!$A$57:$A$60,0))=0,0,($O402/INDEX('Parametri Modello'!$E$57:$E$60,MATCH($B402,'Parametri Modello'!$A$57:$A$60,0)))*(INDEX('Parametri Modello'!$D$57:$D$60,MATCH($B402,'Parametri Modello'!$A$57:$A$60,0))*(INDEX('Parametri Modello'!$B$50:$B$53,MATCH($B402,'Parametri Modello'!$A$50:$A$53,0))*'Parametri Modello'!$B$44))),IF(INDEX('Parametri Modello'!$F$57:$F$60,MATCH($B402,'Parametri Modello'!$A$57:$A$60,0))=0,0,($O402/INDEX('Parametri Modello'!$F$57:$F$60,MATCH($B402,'Parametri Modello'!$A$57:$A$60,0)))*((1-INDEX('Parametri Modello'!$D$57:$D$60,MATCH($B402,'Parametri Modello'!$A$57:$A$60,0)))*(INDEX('Parametri Modello'!$B$50:$B$53,MATCH($B402,'Parametri Modello'!$A$50:$A$53,0))*'Parametri Modello'!$B$44))))*(1+IF(IF($B402="D",'Info Lega'!$B$25,IF($B402="C",'Info Lega'!$B$26,"No"))="Si",'Parametri Modello'!$B$5,0))*(1+MAX(-0.25,MIN(0.25,IF(OR($T402="",$I402="",$I402=0,INDEX('Parametri Modello'!$B$19:$B$22,MATCH($B402,'Parametri Modello'!$A$19:$A$22,0))="",INDEX('Parametri Modello'!$B$19:$B$22,MATCH($B402,'Parametri Modello'!$A$19:$A$22,0))=0),0,(($T402-INDEX('Parametri Modello'!$B$19:$B$22,MATCH($B402,'Parametri Modello'!$A$19:$A$22,0)))/INDEX('Parametri Modello'!$B$19:$B$22,MATCH($B402,'Parametri Modello'!$A$19:$A$22,0)))*'Parametri Modello'!$B$9))))*(1+IF('Parametri Modello'!$B$27="Si",MAX(-'Parametri Modello'!$B$28,MIN('Parametri Modello'!$B$28*1.5,IF(OR(INDEX('Parametri Modello'!$F$32:$F$35,MATCH($B402,'Parametri Modello'!$A$32:$A$35,0))="",INDEX('Parametri Modello'!$F$32:$F$35,MATCH($B402,'Parametri Modello'!$A$32:$A$35,0))=0),0,(1/INDEX('Parametri Modello'!$F$32:$F$35,MATCH($B402,'Parametri Modello'!$A$32:$A$35,0))-1)*'Parametri Modello'!$B$28))),0)))*(1+INDEX('Parametri Modello'!$B$12:$B$15,MATCH($B402,'Parametri Modello'!$A$12:$A$15,0))),0),"")</f>
        <v>1</v>
      </c>
      <c r="I402" s="26" t="str">
        <f aca="false">IFERROR(INDEX('Input Statistiche 2025_26'!$F$3:$F$665,MATCH($A402,'Input Statistiche 2025_26'!$A$3:$A$665,0)),"")</f>
        <v/>
      </c>
      <c r="J402" s="26" t="str">
        <f aca="false">IFERROR(IF($I402="","",MAX(0,38-$I402)),"")</f>
        <v/>
      </c>
      <c r="K402" s="26" t="str">
        <f aca="false">IFERROR(INDEX('Input Statistiche 2025_26'!$I$3:$I$665,MATCH($A402,'Input Statistiche 2025_26'!$A$3:$A$665,0)),"")</f>
        <v/>
      </c>
      <c r="L402" s="26" t="str">
        <f aca="false">IFERROR(INDEX('Input Statistiche 2025_26'!$O$3:$O$665,MATCH($A402,'Input Statistiche 2025_26'!$A$3:$A$665,0)),"")</f>
        <v/>
      </c>
      <c r="M402" s="28"/>
      <c r="N402" s="27" t="n">
        <f aca="false">IFERROR(INDEX('Input Giocatori 2026_27'!$E$3:$E$493,MATCH($A402,'Input Giocatori 2026_27'!$A$3:$A$493,0)),"")</f>
        <v>2</v>
      </c>
      <c r="O402" s="27" t="n">
        <f aca="false">IFERROR(INDEX('Input Giocatori 2026_27'!$G$3:$G$493,MATCH($A402,'Input Giocatori 2026_27'!$A$3:$A$493,0)),"")</f>
        <v>4</v>
      </c>
      <c r="P402" s="26" t="str">
        <f aca="false">IFERROR(IF($O402="","",IF((1-(COUNTIFS($B$2:$B$492,$B402,$O$2:$O$492,"&gt;"&amp;$O402)+1-1)/COUNTIF($B$2:$B$492,$B402))&gt;=0.85,"Top",IF((1-(COUNTIFS($B$2:$B$492,$B402,$O$2:$O$492,"&gt;"&amp;$O402)+1-1)/COUNTIF($B$2:$B$492,$B402))&gt;=0.6,"Buono",IF((1-(COUNTIFS($B$2:$B$492,$B402,$O$2:$O$492,"&gt;"&amp;$O402)+1-1)/COUNTIF($B$2:$B$492,$B402))&gt;=0.3,"Nella Media","Scommessa/Riserva")))),"")</f>
        <v>Scommessa/Riserva</v>
      </c>
      <c r="Q402" s="29" t="n">
        <f aca="false">IF($D402="",COUNTIF($D$2:$D402,""),"")</f>
        <v>401</v>
      </c>
      <c r="R402" s="29" t="str">
        <f aca="false">IF($D402='Info Lega'!$B$28,COUNTIFS($D$2:$D402,'Info Lega'!$B$28),"")</f>
        <v/>
      </c>
      <c r="S402" s="30" t="str">
        <f aca="false">IFERROR(INDEX('Input Statistiche 2025_26'!$G$3:$G$665,MATCH($A402,'Input Statistiche 2025_26'!$A$3:$A$665,0)),"")</f>
        <v/>
      </c>
      <c r="T402" s="30" t="str">
        <f aca="false">IFERROR(INDEX('Input Statistiche 2025_26'!$H$3:$H$665,MATCH($A402,'Input Statistiche 2025_26'!$A$3:$A$665,0)),"")</f>
        <v/>
      </c>
      <c r="U402" s="26" t="str">
        <f aca="false">IF(OR('La Mia Rosa'!$O$12="",$D402&lt;&gt;""),"",IF($F402&lt;='La Mia Rosa'!$O$12*'Parametri Modello'!$B$24,"OK",IF($F402&lt;='La Mia Rosa'!$O$12*'Parametri Modello'!$B$25,"Attenzione","Rischio Alto")))</f>
        <v>OK</v>
      </c>
      <c r="V402" s="26" t="n">
        <f aca="false">IFERROR(COUNTIFS($B$2:$B$492,$B402,$O$2:$O$492,"&gt;"&amp;$O402)+1,"")</f>
        <v>145</v>
      </c>
      <c r="W402" s="21" t="n">
        <f aca="false">'Info Lega'!$B$4-SUMIFS($M$2:$M$492,$D$2:$D$492,'Info Lega'!$B$28)</f>
        <v>1000</v>
      </c>
      <c r="X402" s="21" t="n">
        <f aca="false">('Info Lega'!$B$5-COUNTIFS($D$2:$D$492,'Info Lega'!$B$28,$B$2:$B$492,"P"))+('Info Lega'!$B$6-COUNTIFS($D$2:$D$492,'Info Lega'!$B$28,$B$2:$B$492,"D"))+('Info Lega'!$B$7-COUNTIFS($D$2:$D$492,'Info Lega'!$B$28,$B$2:$B$492,"C"))+('Info Lega'!$B$8-COUNTIFS($D$2:$D$492,'Info Lega'!$B$28,$B$2:$B$492,"A"))</f>
        <v>25</v>
      </c>
      <c r="Y402" s="21" t="n">
        <f aca="false">X402*'Parametri Modello'!$B$30</f>
        <v>25</v>
      </c>
      <c r="Z402" s="21" t="n">
        <f aca="false">MAX(0,W402-Y402)</f>
        <v>975</v>
      </c>
      <c r="AA402" s="21" t="n">
        <f aca="false">MIN(F402,Z402)</f>
        <v>1</v>
      </c>
      <c r="AB402" s="21"/>
      <c r="AC402" s="21" t="str">
        <f aca="false">IF(AB402="","",IF(AB402&gt;AA402,"PASS",IF(AB402&lt;=AA402*0.85,"BID","ATTENZIONE")))</f>
        <v/>
      </c>
      <c r="AD402" s="31" t="str">
        <f aca="false">IF(I402="","",ROUND(100*(1-EXP(-I402/30)),0))</f>
        <v/>
      </c>
      <c r="AE402" s="7" t="str">
        <f aca="false">IFERROR(INDEX('Stato Asta'!$G$9:$G$12,MATCH($B402,'Stato Asta'!$A$9:$A$12,0)),"")</f>
        <v>🟡 Attesa rischiosa</v>
      </c>
    </row>
    <row r="403" customFormat="false" ht="14.25" hidden="false" customHeight="true" outlineLevel="0" collapsed="false">
      <c r="A403" s="21" t="n">
        <v>6681</v>
      </c>
      <c r="B403" s="21" t="s">
        <v>44</v>
      </c>
      <c r="C403" s="21" t="s">
        <v>338</v>
      </c>
      <c r="E403" s="26" t="str">
        <f aca="false">IF(COUNTIF('Info Strategia'!$D$2:$D$51,$C403)&gt;0,"SI","NO")</f>
        <v>NO</v>
      </c>
      <c r="F403" s="27" t="n">
        <f aca="false">IFERROR(ROUND(($G403+($H403-$G403)*'Info Strategia'!$B$6)*(1+IF($E403="SI",'Parametri Modello'!$B$7*'Info Strategia'!$B$6,0)),0),"")</f>
        <v>1</v>
      </c>
      <c r="G403" s="27" t="n">
        <f aca="false">IFERROR(ROUND(MAX(1,(IF($V403&lt;=INDEX('Parametri Modello'!$C$57:$C$60,MATCH($B403,'Parametri Modello'!$A$57:$A$60,0)),IF(INDEX('Parametri Modello'!$E$57:$E$60,MATCH($B403,'Parametri Modello'!$A$57:$A$60,0))=0,0,($O403/INDEX('Parametri Modello'!$E$57:$E$60,MATCH($B403,'Parametri Modello'!$A$57:$A$60,0)))*(INDEX('Parametri Modello'!$D$57:$D$60,MATCH($B403,'Parametri Modello'!$A$57:$A$60,0))*(INDEX('Parametri Modello'!$B$50:$B$53,MATCH($B403,'Parametri Modello'!$A$50:$A$53,0))*'Parametri Modello'!$B$44))),IF(INDEX('Parametri Modello'!$F$57:$F$60,MATCH($B403,'Parametri Modello'!$A$57:$A$60,0))=0,0,($O403/INDEX('Parametri Modello'!$F$57:$F$60,MATCH($B403,'Parametri Modello'!$A$57:$A$60,0)))*((1-INDEX('Parametri Modello'!$D$57:$D$60,MATCH($B403,'Parametri Modello'!$A$57:$A$60,0)))*(INDEX('Parametri Modello'!$B$50:$B$53,MATCH($B403,'Parametri Modello'!$A$50:$A$53,0))*'Parametri Modello'!$B$44))))*(1+IF(IF($B403="D",'Info Lega'!$B$25,IF($B403="C",'Info Lega'!$B$26,"No"))="Si",'Parametri Modello'!$B$5,0))*(1+MAX(-0.25,MIN(0.25,IF(OR($T403="",$I403="",$I403=0,INDEX('Parametri Modello'!$B$19:$B$22,MATCH($B403,'Parametri Modello'!$A$19:$A$22,0))="",INDEX('Parametri Modello'!$B$19:$B$22,MATCH($B403,'Parametri Modello'!$A$19:$A$22,0))=0),0,(($T403-INDEX('Parametri Modello'!$B$19:$B$22,MATCH($B403,'Parametri Modello'!$A$19:$A$22,0)))/INDEX('Parametri Modello'!$B$19:$B$22,MATCH($B403,'Parametri Modello'!$A$19:$A$22,0)))*'Parametri Modello'!$B$9))))*(1+IF('Parametri Modello'!$B$27="Si",MAX(-'Parametri Modello'!$B$28,MIN('Parametri Modello'!$B$28*1.5,IF(OR(INDEX('Parametri Modello'!$F$32:$F$35,MATCH($B403,'Parametri Modello'!$A$32:$A$35,0))="",INDEX('Parametri Modello'!$F$32:$F$35,MATCH($B403,'Parametri Modello'!$A$32:$A$35,0))=0),0,(1/INDEX('Parametri Modello'!$F$32:$F$35,MATCH($B403,'Parametri Modello'!$A$32:$A$35,0))-1)*'Parametri Modello'!$B$28))),0)))*(1-INDEX('Parametri Modello'!$B$12:$B$15,MATCH($B403,'Parametri Modello'!$A$12:$A$15,0)))),0),"")</f>
        <v>1</v>
      </c>
      <c r="H403" s="27" t="n">
        <f aca="false">IFERROR(ROUND((IF($V403&lt;=INDEX('Parametri Modello'!$C$57:$C$60,MATCH($B403,'Parametri Modello'!$A$57:$A$60,0)),IF(INDEX('Parametri Modello'!$E$57:$E$60,MATCH($B403,'Parametri Modello'!$A$57:$A$60,0))=0,0,($O403/INDEX('Parametri Modello'!$E$57:$E$60,MATCH($B403,'Parametri Modello'!$A$57:$A$60,0)))*(INDEX('Parametri Modello'!$D$57:$D$60,MATCH($B403,'Parametri Modello'!$A$57:$A$60,0))*(INDEX('Parametri Modello'!$B$50:$B$53,MATCH($B403,'Parametri Modello'!$A$50:$A$53,0))*'Parametri Modello'!$B$44))),IF(INDEX('Parametri Modello'!$F$57:$F$60,MATCH($B403,'Parametri Modello'!$A$57:$A$60,0))=0,0,($O403/INDEX('Parametri Modello'!$F$57:$F$60,MATCH($B403,'Parametri Modello'!$A$57:$A$60,0)))*((1-INDEX('Parametri Modello'!$D$57:$D$60,MATCH($B403,'Parametri Modello'!$A$57:$A$60,0)))*(INDEX('Parametri Modello'!$B$50:$B$53,MATCH($B403,'Parametri Modello'!$A$50:$A$53,0))*'Parametri Modello'!$B$44))))*(1+IF(IF($B403="D",'Info Lega'!$B$25,IF($B403="C",'Info Lega'!$B$26,"No"))="Si",'Parametri Modello'!$B$5,0))*(1+MAX(-0.25,MIN(0.25,IF(OR($T403="",$I403="",$I403=0,INDEX('Parametri Modello'!$B$19:$B$22,MATCH($B403,'Parametri Modello'!$A$19:$A$22,0))="",INDEX('Parametri Modello'!$B$19:$B$22,MATCH($B403,'Parametri Modello'!$A$19:$A$22,0))=0),0,(($T403-INDEX('Parametri Modello'!$B$19:$B$22,MATCH($B403,'Parametri Modello'!$A$19:$A$22,0)))/INDEX('Parametri Modello'!$B$19:$B$22,MATCH($B403,'Parametri Modello'!$A$19:$A$22,0)))*'Parametri Modello'!$B$9))))*(1+IF('Parametri Modello'!$B$27="Si",MAX(-'Parametri Modello'!$B$28,MIN('Parametri Modello'!$B$28*1.5,IF(OR(INDEX('Parametri Modello'!$F$32:$F$35,MATCH($B403,'Parametri Modello'!$A$32:$A$35,0))="",INDEX('Parametri Modello'!$F$32:$F$35,MATCH($B403,'Parametri Modello'!$A$32:$A$35,0))=0),0,(1/INDEX('Parametri Modello'!$F$32:$F$35,MATCH($B403,'Parametri Modello'!$A$32:$A$35,0))-1)*'Parametri Modello'!$B$28))),0)))*(1+INDEX('Parametri Modello'!$B$12:$B$15,MATCH($B403,'Parametri Modello'!$A$12:$A$15,0))),0),"")</f>
        <v>1</v>
      </c>
      <c r="I403" s="26" t="str">
        <f aca="false">IFERROR(INDEX('Input Statistiche 2025_26'!$F$3:$F$665,MATCH($A403,'Input Statistiche 2025_26'!$A$3:$A$665,0)),"")</f>
        <v/>
      </c>
      <c r="J403" s="26" t="str">
        <f aca="false">IFERROR(IF($I403="","",MAX(0,38-$I403)),"")</f>
        <v/>
      </c>
      <c r="K403" s="26" t="str">
        <f aca="false">IFERROR(INDEX('Input Statistiche 2025_26'!$I$3:$I$665,MATCH($A403,'Input Statistiche 2025_26'!$A$3:$A$665,0)),"")</f>
        <v/>
      </c>
      <c r="L403" s="26" t="str">
        <f aca="false">IFERROR(INDEX('Input Statistiche 2025_26'!$O$3:$O$665,MATCH($A403,'Input Statistiche 2025_26'!$A$3:$A$665,0)),"")</f>
        <v/>
      </c>
      <c r="M403" s="28"/>
      <c r="N403" s="27" t="n">
        <f aca="false">IFERROR(INDEX('Input Giocatori 2026_27'!$E$3:$E$493,MATCH($A403,'Input Giocatori 2026_27'!$A$3:$A$493,0)),"")</f>
        <v>2</v>
      </c>
      <c r="O403" s="27" t="n">
        <f aca="false">IFERROR(INDEX('Input Giocatori 2026_27'!$G$3:$G$493,MATCH($A403,'Input Giocatori 2026_27'!$A$3:$A$493,0)),"")</f>
        <v>4</v>
      </c>
      <c r="P403" s="26" t="str">
        <f aca="false">IFERROR(IF($O403="","",IF((1-(COUNTIFS($B$2:$B$492,$B403,$O$2:$O$492,"&gt;"&amp;$O403)+1-1)/COUNTIF($B$2:$B$492,$B403))&gt;=0.85,"Top",IF((1-(COUNTIFS($B$2:$B$492,$B403,$O$2:$O$492,"&gt;"&amp;$O403)+1-1)/COUNTIF($B$2:$B$492,$B403))&gt;=0.6,"Buono",IF((1-(COUNTIFS($B$2:$B$492,$B403,$O$2:$O$492,"&gt;"&amp;$O403)+1-1)/COUNTIF($B$2:$B$492,$B403))&gt;=0.3,"Nella Media","Scommessa/Riserva")))),"")</f>
        <v>Scommessa/Riserva</v>
      </c>
      <c r="Q403" s="29" t="n">
        <f aca="false">IF($D403="",COUNTIF($D$2:$D403,""),"")</f>
        <v>402</v>
      </c>
      <c r="R403" s="29" t="str">
        <f aca="false">IF($D403='Info Lega'!$B$28,COUNTIFS($D$2:$D403,'Info Lega'!$B$28),"")</f>
        <v/>
      </c>
      <c r="S403" s="30" t="str">
        <f aca="false">IFERROR(INDEX('Input Statistiche 2025_26'!$G$3:$G$665,MATCH($A403,'Input Statistiche 2025_26'!$A$3:$A$665,0)),"")</f>
        <v/>
      </c>
      <c r="T403" s="30" t="str">
        <f aca="false">IFERROR(INDEX('Input Statistiche 2025_26'!$H$3:$H$665,MATCH($A403,'Input Statistiche 2025_26'!$A$3:$A$665,0)),"")</f>
        <v/>
      </c>
      <c r="U403" s="26" t="str">
        <f aca="false">IF(OR('La Mia Rosa'!$O$12="",$D403&lt;&gt;""),"",IF($F403&lt;='La Mia Rosa'!$O$12*'Parametri Modello'!$B$24,"OK",IF($F403&lt;='La Mia Rosa'!$O$12*'Parametri Modello'!$B$25,"Attenzione","Rischio Alto")))</f>
        <v>OK</v>
      </c>
      <c r="V403" s="26" t="n">
        <f aca="false">IFERROR(COUNTIFS($B$2:$B$492,$B403,$O$2:$O$492,"&gt;"&amp;$O403)+1,"")</f>
        <v>145</v>
      </c>
      <c r="W403" s="21" t="n">
        <f aca="false">'Info Lega'!$B$4-SUMIFS($M$2:$M$492,$D$2:$D$492,'Info Lega'!$B$28)</f>
        <v>1000</v>
      </c>
      <c r="X403" s="21" t="n">
        <f aca="false">('Info Lega'!$B$5-COUNTIFS($D$2:$D$492,'Info Lega'!$B$28,$B$2:$B$492,"P"))+('Info Lega'!$B$6-COUNTIFS($D$2:$D$492,'Info Lega'!$B$28,$B$2:$B$492,"D"))+('Info Lega'!$B$7-COUNTIFS($D$2:$D$492,'Info Lega'!$B$28,$B$2:$B$492,"C"))+('Info Lega'!$B$8-COUNTIFS($D$2:$D$492,'Info Lega'!$B$28,$B$2:$B$492,"A"))</f>
        <v>25</v>
      </c>
      <c r="Y403" s="21" t="n">
        <f aca="false">X403*'Parametri Modello'!$B$30</f>
        <v>25</v>
      </c>
      <c r="Z403" s="21" t="n">
        <f aca="false">MAX(0,W403-Y403)</f>
        <v>975</v>
      </c>
      <c r="AA403" s="21" t="n">
        <f aca="false">MIN(F403,Z403)</f>
        <v>1</v>
      </c>
      <c r="AB403" s="21"/>
      <c r="AC403" s="21" t="str">
        <f aca="false">IF(AB403="","",IF(AB403&gt;AA403,"PASS",IF(AB403&lt;=AA403*0.85,"BID","ATTENZIONE")))</f>
        <v/>
      </c>
      <c r="AD403" s="31" t="str">
        <f aca="false">IF(I403="","",ROUND(100*(1-EXP(-I403/30)),0))</f>
        <v/>
      </c>
      <c r="AE403" s="7" t="str">
        <f aca="false">IFERROR(INDEX('Stato Asta'!$G$9:$G$12,MATCH($B403,'Stato Asta'!$A$9:$A$12,0)),"")</f>
        <v>🟡 Attesa rischiosa</v>
      </c>
    </row>
    <row r="404" customFormat="false" ht="14.25" hidden="false" customHeight="true" outlineLevel="0" collapsed="false">
      <c r="A404" s="21" t="n">
        <v>487</v>
      </c>
      <c r="B404" s="21" t="s">
        <v>44</v>
      </c>
      <c r="C404" s="21" t="s">
        <v>339</v>
      </c>
      <c r="E404" s="26" t="str">
        <f aca="false">IF(COUNTIF('Info Strategia'!$D$2:$D$51,$C404)&gt;0,"SI","NO")</f>
        <v>NO</v>
      </c>
      <c r="F404" s="27" t="n">
        <f aca="false">IFERROR(ROUND(($G404+($H404-$G404)*'Info Strategia'!$B$6)*(1+IF($E404="SI",'Parametri Modello'!$B$7*'Info Strategia'!$B$6,0)),0),"")</f>
        <v>1</v>
      </c>
      <c r="G404" s="27" t="n">
        <f aca="false">IFERROR(ROUND(MAX(1,(IF($V404&lt;=INDEX('Parametri Modello'!$C$57:$C$60,MATCH($B404,'Parametri Modello'!$A$57:$A$60,0)),IF(INDEX('Parametri Modello'!$E$57:$E$60,MATCH($B404,'Parametri Modello'!$A$57:$A$60,0))=0,0,($O404/INDEX('Parametri Modello'!$E$57:$E$60,MATCH($B404,'Parametri Modello'!$A$57:$A$60,0)))*(INDEX('Parametri Modello'!$D$57:$D$60,MATCH($B404,'Parametri Modello'!$A$57:$A$60,0))*(INDEX('Parametri Modello'!$B$50:$B$53,MATCH($B404,'Parametri Modello'!$A$50:$A$53,0))*'Parametri Modello'!$B$44))),IF(INDEX('Parametri Modello'!$F$57:$F$60,MATCH($B404,'Parametri Modello'!$A$57:$A$60,0))=0,0,($O404/INDEX('Parametri Modello'!$F$57:$F$60,MATCH($B404,'Parametri Modello'!$A$57:$A$60,0)))*((1-INDEX('Parametri Modello'!$D$57:$D$60,MATCH($B404,'Parametri Modello'!$A$57:$A$60,0)))*(INDEX('Parametri Modello'!$B$50:$B$53,MATCH($B404,'Parametri Modello'!$A$50:$A$53,0))*'Parametri Modello'!$B$44))))*(1+IF(IF($B404="D",'Info Lega'!$B$25,IF($B404="C",'Info Lega'!$B$26,"No"))="Si",'Parametri Modello'!$B$5,0))*(1+MAX(-0.25,MIN(0.25,IF(OR($T404="",$I404="",$I404=0,INDEX('Parametri Modello'!$B$19:$B$22,MATCH($B404,'Parametri Modello'!$A$19:$A$22,0))="",INDEX('Parametri Modello'!$B$19:$B$22,MATCH($B404,'Parametri Modello'!$A$19:$A$22,0))=0),0,(($T404-INDEX('Parametri Modello'!$B$19:$B$22,MATCH($B404,'Parametri Modello'!$A$19:$A$22,0)))/INDEX('Parametri Modello'!$B$19:$B$22,MATCH($B404,'Parametri Modello'!$A$19:$A$22,0)))*'Parametri Modello'!$B$9))))*(1+IF('Parametri Modello'!$B$27="Si",MAX(-'Parametri Modello'!$B$28,MIN('Parametri Modello'!$B$28*1.5,IF(OR(INDEX('Parametri Modello'!$F$32:$F$35,MATCH($B404,'Parametri Modello'!$A$32:$A$35,0))="",INDEX('Parametri Modello'!$F$32:$F$35,MATCH($B404,'Parametri Modello'!$A$32:$A$35,0))=0),0,(1/INDEX('Parametri Modello'!$F$32:$F$35,MATCH($B404,'Parametri Modello'!$A$32:$A$35,0))-1)*'Parametri Modello'!$B$28))),0)))*(1-INDEX('Parametri Modello'!$B$12:$B$15,MATCH($B404,'Parametri Modello'!$A$12:$A$15,0)))),0),"")</f>
        <v>1</v>
      </c>
      <c r="H404" s="27" t="n">
        <f aca="false">IFERROR(ROUND((IF($V404&lt;=INDEX('Parametri Modello'!$C$57:$C$60,MATCH($B404,'Parametri Modello'!$A$57:$A$60,0)),IF(INDEX('Parametri Modello'!$E$57:$E$60,MATCH($B404,'Parametri Modello'!$A$57:$A$60,0))=0,0,($O404/INDEX('Parametri Modello'!$E$57:$E$60,MATCH($B404,'Parametri Modello'!$A$57:$A$60,0)))*(INDEX('Parametri Modello'!$D$57:$D$60,MATCH($B404,'Parametri Modello'!$A$57:$A$60,0))*(INDEX('Parametri Modello'!$B$50:$B$53,MATCH($B404,'Parametri Modello'!$A$50:$A$53,0))*'Parametri Modello'!$B$44))),IF(INDEX('Parametri Modello'!$F$57:$F$60,MATCH($B404,'Parametri Modello'!$A$57:$A$60,0))=0,0,($O404/INDEX('Parametri Modello'!$F$57:$F$60,MATCH($B404,'Parametri Modello'!$A$57:$A$60,0)))*((1-INDEX('Parametri Modello'!$D$57:$D$60,MATCH($B404,'Parametri Modello'!$A$57:$A$60,0)))*(INDEX('Parametri Modello'!$B$50:$B$53,MATCH($B404,'Parametri Modello'!$A$50:$A$53,0))*'Parametri Modello'!$B$44))))*(1+IF(IF($B404="D",'Info Lega'!$B$25,IF($B404="C",'Info Lega'!$B$26,"No"))="Si",'Parametri Modello'!$B$5,0))*(1+MAX(-0.25,MIN(0.25,IF(OR($T404="",$I404="",$I404=0,INDEX('Parametri Modello'!$B$19:$B$22,MATCH($B404,'Parametri Modello'!$A$19:$A$22,0))="",INDEX('Parametri Modello'!$B$19:$B$22,MATCH($B404,'Parametri Modello'!$A$19:$A$22,0))=0),0,(($T404-INDEX('Parametri Modello'!$B$19:$B$22,MATCH($B404,'Parametri Modello'!$A$19:$A$22,0)))/INDEX('Parametri Modello'!$B$19:$B$22,MATCH($B404,'Parametri Modello'!$A$19:$A$22,0)))*'Parametri Modello'!$B$9))))*(1+IF('Parametri Modello'!$B$27="Si",MAX(-'Parametri Modello'!$B$28,MIN('Parametri Modello'!$B$28*1.5,IF(OR(INDEX('Parametri Modello'!$F$32:$F$35,MATCH($B404,'Parametri Modello'!$A$32:$A$35,0))="",INDEX('Parametri Modello'!$F$32:$F$35,MATCH($B404,'Parametri Modello'!$A$32:$A$35,0))=0),0,(1/INDEX('Parametri Modello'!$F$32:$F$35,MATCH($B404,'Parametri Modello'!$A$32:$A$35,0))-1)*'Parametri Modello'!$B$28))),0)))*(1+INDEX('Parametri Modello'!$B$12:$B$15,MATCH($B404,'Parametri Modello'!$A$12:$A$15,0))),0),"")</f>
        <v>1</v>
      </c>
      <c r="I404" s="26" t="n">
        <f aca="false">IFERROR(INDEX('Input Statistiche 2025_26'!$F$3:$F$665,MATCH($A404,'Input Statistiche 2025_26'!$A$3:$A$665,0)),"")</f>
        <v>10</v>
      </c>
      <c r="J404" s="26" t="n">
        <f aca="false">IFERROR(IF($I404="","",MAX(0,38-$I404)),"")</f>
        <v>28</v>
      </c>
      <c r="K404" s="26" t="n">
        <f aca="false">IFERROR(INDEX('Input Statistiche 2025_26'!$I$3:$I$665,MATCH($A404,'Input Statistiche 2025_26'!$A$3:$A$665,0)),"")</f>
        <v>0</v>
      </c>
      <c r="L404" s="26" t="n">
        <f aca="false">IFERROR(INDEX('Input Statistiche 2025_26'!$O$3:$O$665,MATCH($A404,'Input Statistiche 2025_26'!$A$3:$A$665,0)),"")</f>
        <v>0</v>
      </c>
      <c r="M404" s="28"/>
      <c r="N404" s="27" t="n">
        <f aca="false">IFERROR(INDEX('Input Giocatori 2026_27'!$E$3:$E$493,MATCH($A404,'Input Giocatori 2026_27'!$A$3:$A$493,0)),"")</f>
        <v>1</v>
      </c>
      <c r="O404" s="27" t="n">
        <f aca="false">IFERROR(INDEX('Input Giocatori 2026_27'!$G$3:$G$493,MATCH($A404,'Input Giocatori 2026_27'!$A$3:$A$493,0)),"")</f>
        <v>4</v>
      </c>
      <c r="P404" s="26" t="str">
        <f aca="false">IFERROR(IF($O404="","",IF((1-(COUNTIFS($B$2:$B$492,$B404,$O$2:$O$492,"&gt;"&amp;$O404)+1-1)/COUNTIF($B$2:$B$492,$B404))&gt;=0.85,"Top",IF((1-(COUNTIFS($B$2:$B$492,$B404,$O$2:$O$492,"&gt;"&amp;$O404)+1-1)/COUNTIF($B$2:$B$492,$B404))&gt;=0.6,"Buono",IF((1-(COUNTIFS($B$2:$B$492,$B404,$O$2:$O$492,"&gt;"&amp;$O404)+1-1)/COUNTIF($B$2:$B$492,$B404))&gt;=0.3,"Nella Media","Scommessa/Riserva")))),"")</f>
        <v>Scommessa/Riserva</v>
      </c>
      <c r="Q404" s="29" t="n">
        <f aca="false">IF($D404="",COUNTIF($D$2:$D404,""),"")</f>
        <v>403</v>
      </c>
      <c r="R404" s="29" t="str">
        <f aca="false">IF($D404='Info Lega'!$B$28,COUNTIFS($D$2:$D404,'Info Lega'!$B$28),"")</f>
        <v/>
      </c>
      <c r="S404" s="30" t="n">
        <f aca="false">IFERROR(INDEX('Input Statistiche 2025_26'!$G$3:$G$665,MATCH($A404,'Input Statistiche 2025_26'!$A$3:$A$665,0)),"")</f>
        <v>6.05</v>
      </c>
      <c r="T404" s="30" t="n">
        <f aca="false">IFERROR(INDEX('Input Statistiche 2025_26'!$H$3:$H$665,MATCH($A404,'Input Statistiche 2025_26'!$A$3:$A$665,0)),"")</f>
        <v>5.95</v>
      </c>
      <c r="U404" s="26" t="str">
        <f aca="false">IF(OR('La Mia Rosa'!$O$12="",$D404&lt;&gt;""),"",IF($F404&lt;='La Mia Rosa'!$O$12*'Parametri Modello'!$B$24,"OK",IF($F404&lt;='La Mia Rosa'!$O$12*'Parametri Modello'!$B$25,"Attenzione","Rischio Alto")))</f>
        <v>OK</v>
      </c>
      <c r="V404" s="26" t="n">
        <f aca="false">IFERROR(COUNTIFS($B$2:$B$492,$B404,$O$2:$O$492,"&gt;"&amp;$O404)+1,"")</f>
        <v>145</v>
      </c>
      <c r="W404" s="21" t="n">
        <f aca="false">'Info Lega'!$B$4-SUMIFS($M$2:$M$492,$D$2:$D$492,'Info Lega'!$B$28)</f>
        <v>1000</v>
      </c>
      <c r="X404" s="21" t="n">
        <f aca="false">('Info Lega'!$B$5-COUNTIFS($D$2:$D$492,'Info Lega'!$B$28,$B$2:$B$492,"P"))+('Info Lega'!$B$6-COUNTIFS($D$2:$D$492,'Info Lega'!$B$28,$B$2:$B$492,"D"))+('Info Lega'!$B$7-COUNTIFS($D$2:$D$492,'Info Lega'!$B$28,$B$2:$B$492,"C"))+('Info Lega'!$B$8-COUNTIFS($D$2:$D$492,'Info Lega'!$B$28,$B$2:$B$492,"A"))</f>
        <v>25</v>
      </c>
      <c r="Y404" s="21" t="n">
        <f aca="false">X404*'Parametri Modello'!$B$30</f>
        <v>25</v>
      </c>
      <c r="Z404" s="21" t="n">
        <f aca="false">MAX(0,W404-Y404)</f>
        <v>975</v>
      </c>
      <c r="AA404" s="21" t="n">
        <f aca="false">MIN(F404,Z404)</f>
        <v>1</v>
      </c>
      <c r="AB404" s="21"/>
      <c r="AC404" s="21" t="str">
        <f aca="false">IF(AB404="","",IF(AB404&gt;AA404,"PASS",IF(AB404&lt;=AA404*0.85,"BID","ATTENZIONE")))</f>
        <v/>
      </c>
      <c r="AD404" s="31" t="n">
        <f aca="false">IF(I404="","",ROUND(100*(1-EXP(-I404/30)),0))</f>
        <v>28</v>
      </c>
      <c r="AE404" s="7" t="str">
        <f aca="false">IFERROR(INDEX('Stato Asta'!$G$9:$G$12,MATCH($B404,'Stato Asta'!$A$9:$A$12,0)),"")</f>
        <v>🟡 Attesa rischiosa</v>
      </c>
    </row>
    <row r="405" customFormat="false" ht="14.25" hidden="false" customHeight="true" outlineLevel="0" collapsed="false">
      <c r="A405" s="21" t="n">
        <v>6039</v>
      </c>
      <c r="B405" s="21" t="s">
        <v>44</v>
      </c>
      <c r="C405" s="21" t="s">
        <v>350</v>
      </c>
      <c r="E405" s="26" t="str">
        <f aca="false">IF(COUNTIF('Info Strategia'!$D$2:$D$51,$C405)&gt;0,"SI","NO")</f>
        <v>NO</v>
      </c>
      <c r="F405" s="27" t="n">
        <f aca="false">IFERROR(ROUND(($G405+($H405-$G405)*'Info Strategia'!$B$6)*(1+IF($E405="SI",'Parametri Modello'!$B$7*'Info Strategia'!$B$6,0)),0),"")</f>
        <v>1</v>
      </c>
      <c r="G405" s="27" t="n">
        <f aca="false">IFERROR(ROUND(MAX(1,(IF($V405&lt;=INDEX('Parametri Modello'!$C$57:$C$60,MATCH($B405,'Parametri Modello'!$A$57:$A$60,0)),IF(INDEX('Parametri Modello'!$E$57:$E$60,MATCH($B405,'Parametri Modello'!$A$57:$A$60,0))=0,0,($O405/INDEX('Parametri Modello'!$E$57:$E$60,MATCH($B405,'Parametri Modello'!$A$57:$A$60,0)))*(INDEX('Parametri Modello'!$D$57:$D$60,MATCH($B405,'Parametri Modello'!$A$57:$A$60,0))*(INDEX('Parametri Modello'!$B$50:$B$53,MATCH($B405,'Parametri Modello'!$A$50:$A$53,0))*'Parametri Modello'!$B$44))),IF(INDEX('Parametri Modello'!$F$57:$F$60,MATCH($B405,'Parametri Modello'!$A$57:$A$60,0))=0,0,($O405/INDEX('Parametri Modello'!$F$57:$F$60,MATCH($B405,'Parametri Modello'!$A$57:$A$60,0)))*((1-INDEX('Parametri Modello'!$D$57:$D$60,MATCH($B405,'Parametri Modello'!$A$57:$A$60,0)))*(INDEX('Parametri Modello'!$B$50:$B$53,MATCH($B405,'Parametri Modello'!$A$50:$A$53,0))*'Parametri Modello'!$B$44))))*(1+IF(IF($B405="D",'Info Lega'!$B$25,IF($B405="C",'Info Lega'!$B$26,"No"))="Si",'Parametri Modello'!$B$5,0))*(1+MAX(-0.25,MIN(0.25,IF(OR($T405="",$I405="",$I405=0,INDEX('Parametri Modello'!$B$19:$B$22,MATCH($B405,'Parametri Modello'!$A$19:$A$22,0))="",INDEX('Parametri Modello'!$B$19:$B$22,MATCH($B405,'Parametri Modello'!$A$19:$A$22,0))=0),0,(($T405-INDEX('Parametri Modello'!$B$19:$B$22,MATCH($B405,'Parametri Modello'!$A$19:$A$22,0)))/INDEX('Parametri Modello'!$B$19:$B$22,MATCH($B405,'Parametri Modello'!$A$19:$A$22,0)))*'Parametri Modello'!$B$9))))*(1+IF('Parametri Modello'!$B$27="Si",MAX(-'Parametri Modello'!$B$28,MIN('Parametri Modello'!$B$28*1.5,IF(OR(INDEX('Parametri Modello'!$F$32:$F$35,MATCH($B405,'Parametri Modello'!$A$32:$A$35,0))="",INDEX('Parametri Modello'!$F$32:$F$35,MATCH($B405,'Parametri Modello'!$A$32:$A$35,0))=0),0,(1/INDEX('Parametri Modello'!$F$32:$F$35,MATCH($B405,'Parametri Modello'!$A$32:$A$35,0))-1)*'Parametri Modello'!$B$28))),0)))*(1-INDEX('Parametri Modello'!$B$12:$B$15,MATCH($B405,'Parametri Modello'!$A$12:$A$15,0)))),0),"")</f>
        <v>1</v>
      </c>
      <c r="H405" s="27" t="n">
        <f aca="false">IFERROR(ROUND((IF($V405&lt;=INDEX('Parametri Modello'!$C$57:$C$60,MATCH($B405,'Parametri Modello'!$A$57:$A$60,0)),IF(INDEX('Parametri Modello'!$E$57:$E$60,MATCH($B405,'Parametri Modello'!$A$57:$A$60,0))=0,0,($O405/INDEX('Parametri Modello'!$E$57:$E$60,MATCH($B405,'Parametri Modello'!$A$57:$A$60,0)))*(INDEX('Parametri Modello'!$D$57:$D$60,MATCH($B405,'Parametri Modello'!$A$57:$A$60,0))*(INDEX('Parametri Modello'!$B$50:$B$53,MATCH($B405,'Parametri Modello'!$A$50:$A$53,0))*'Parametri Modello'!$B$44))),IF(INDEX('Parametri Modello'!$F$57:$F$60,MATCH($B405,'Parametri Modello'!$A$57:$A$60,0))=0,0,($O405/INDEX('Parametri Modello'!$F$57:$F$60,MATCH($B405,'Parametri Modello'!$A$57:$A$60,0)))*((1-INDEX('Parametri Modello'!$D$57:$D$60,MATCH($B405,'Parametri Modello'!$A$57:$A$60,0)))*(INDEX('Parametri Modello'!$B$50:$B$53,MATCH($B405,'Parametri Modello'!$A$50:$A$53,0))*'Parametri Modello'!$B$44))))*(1+IF(IF($B405="D",'Info Lega'!$B$25,IF($B405="C",'Info Lega'!$B$26,"No"))="Si",'Parametri Modello'!$B$5,0))*(1+MAX(-0.25,MIN(0.25,IF(OR($T405="",$I405="",$I405=0,INDEX('Parametri Modello'!$B$19:$B$22,MATCH($B405,'Parametri Modello'!$A$19:$A$22,0))="",INDEX('Parametri Modello'!$B$19:$B$22,MATCH($B405,'Parametri Modello'!$A$19:$A$22,0))=0),0,(($T405-INDEX('Parametri Modello'!$B$19:$B$22,MATCH($B405,'Parametri Modello'!$A$19:$A$22,0)))/INDEX('Parametri Modello'!$B$19:$B$22,MATCH($B405,'Parametri Modello'!$A$19:$A$22,0)))*'Parametri Modello'!$B$9))))*(1+IF('Parametri Modello'!$B$27="Si",MAX(-'Parametri Modello'!$B$28,MIN('Parametri Modello'!$B$28*1.5,IF(OR(INDEX('Parametri Modello'!$F$32:$F$35,MATCH($B405,'Parametri Modello'!$A$32:$A$35,0))="",INDEX('Parametri Modello'!$F$32:$F$35,MATCH($B405,'Parametri Modello'!$A$32:$A$35,0))=0),0,(1/INDEX('Parametri Modello'!$F$32:$F$35,MATCH($B405,'Parametri Modello'!$A$32:$A$35,0))-1)*'Parametri Modello'!$B$28))),0)))*(1+INDEX('Parametri Modello'!$B$12:$B$15,MATCH($B405,'Parametri Modello'!$A$12:$A$15,0))),0),"")</f>
        <v>1</v>
      </c>
      <c r="I405" s="26" t="n">
        <f aca="false">IFERROR(INDEX('Input Statistiche 2025_26'!$F$3:$F$665,MATCH($A405,'Input Statistiche 2025_26'!$A$3:$A$665,0)),"")</f>
        <v>9</v>
      </c>
      <c r="J405" s="26" t="n">
        <f aca="false">IFERROR(IF($I405="","",MAX(0,38-$I405)),"")</f>
        <v>29</v>
      </c>
      <c r="K405" s="26" t="n">
        <f aca="false">IFERROR(INDEX('Input Statistiche 2025_26'!$I$3:$I$665,MATCH($A405,'Input Statistiche 2025_26'!$A$3:$A$665,0)),"")</f>
        <v>2</v>
      </c>
      <c r="L405" s="26" t="n">
        <f aca="false">IFERROR(INDEX('Input Statistiche 2025_26'!$O$3:$O$665,MATCH($A405,'Input Statistiche 2025_26'!$A$3:$A$665,0)),"")</f>
        <v>0</v>
      </c>
      <c r="M405" s="28"/>
      <c r="N405" s="27" t="n">
        <f aca="false">IFERROR(INDEX('Input Giocatori 2026_27'!$E$3:$E$493,MATCH($A405,'Input Giocatori 2026_27'!$A$3:$A$493,0)),"")</f>
        <v>1</v>
      </c>
      <c r="O405" s="27" t="n">
        <f aca="false">IFERROR(INDEX('Input Giocatori 2026_27'!$G$3:$G$493,MATCH($A405,'Input Giocatori 2026_27'!$A$3:$A$493,0)),"")</f>
        <v>4</v>
      </c>
      <c r="P405" s="26" t="str">
        <f aca="false">IFERROR(IF($O405="","",IF((1-(COUNTIFS($B$2:$B$492,$B405,$O$2:$O$492,"&gt;"&amp;$O405)+1-1)/COUNTIF($B$2:$B$492,$B405))&gt;=0.85,"Top",IF((1-(COUNTIFS($B$2:$B$492,$B405,$O$2:$O$492,"&gt;"&amp;$O405)+1-1)/COUNTIF($B$2:$B$492,$B405))&gt;=0.6,"Buono",IF((1-(COUNTIFS($B$2:$B$492,$B405,$O$2:$O$492,"&gt;"&amp;$O405)+1-1)/COUNTIF($B$2:$B$492,$B405))&gt;=0.3,"Nella Media","Scommessa/Riserva")))),"")</f>
        <v>Scommessa/Riserva</v>
      </c>
      <c r="Q405" s="29" t="n">
        <f aca="false">IF($D405="",COUNTIF($D$2:$D405,""),"")</f>
        <v>404</v>
      </c>
      <c r="R405" s="29" t="str">
        <f aca="false">IF($D405='Info Lega'!$B$28,COUNTIFS($D$2:$D405,'Info Lega'!$B$28),"")</f>
        <v/>
      </c>
      <c r="S405" s="30" t="n">
        <f aca="false">IFERROR(INDEX('Input Statistiche 2025_26'!$G$3:$G$665,MATCH($A405,'Input Statistiche 2025_26'!$A$3:$A$665,0)),"")</f>
        <v>5.94</v>
      </c>
      <c r="T405" s="30" t="n">
        <f aca="false">IFERROR(INDEX('Input Statistiche 2025_26'!$H$3:$H$665,MATCH($A405,'Input Statistiche 2025_26'!$A$3:$A$665,0)),"")</f>
        <v>6.56</v>
      </c>
      <c r="U405" s="26" t="str">
        <f aca="false">IF(OR('La Mia Rosa'!$O$12="",$D405&lt;&gt;""),"",IF($F405&lt;='La Mia Rosa'!$O$12*'Parametri Modello'!$B$24,"OK",IF($F405&lt;='La Mia Rosa'!$O$12*'Parametri Modello'!$B$25,"Attenzione","Rischio Alto")))</f>
        <v>OK</v>
      </c>
      <c r="V405" s="26" t="n">
        <f aca="false">IFERROR(COUNTIFS($B$2:$B$492,$B405,$O$2:$O$492,"&gt;"&amp;$O405)+1,"")</f>
        <v>145</v>
      </c>
      <c r="W405" s="21" t="n">
        <f aca="false">'Info Lega'!$B$4-SUMIFS($M$2:$M$492,$D$2:$D$492,'Info Lega'!$B$28)</f>
        <v>1000</v>
      </c>
      <c r="X405" s="21" t="n">
        <f aca="false">('Info Lega'!$B$5-COUNTIFS($D$2:$D$492,'Info Lega'!$B$28,$B$2:$B$492,"P"))+('Info Lega'!$B$6-COUNTIFS($D$2:$D$492,'Info Lega'!$B$28,$B$2:$B$492,"D"))+('Info Lega'!$B$7-COUNTIFS($D$2:$D$492,'Info Lega'!$B$28,$B$2:$B$492,"C"))+('Info Lega'!$B$8-COUNTIFS($D$2:$D$492,'Info Lega'!$B$28,$B$2:$B$492,"A"))</f>
        <v>25</v>
      </c>
      <c r="Y405" s="21" t="n">
        <f aca="false">X405*'Parametri Modello'!$B$30</f>
        <v>25</v>
      </c>
      <c r="Z405" s="21" t="n">
        <f aca="false">MAX(0,W405-Y405)</f>
        <v>975</v>
      </c>
      <c r="AA405" s="21" t="n">
        <f aca="false">MIN(F405,Z405)</f>
        <v>1</v>
      </c>
      <c r="AB405" s="21"/>
      <c r="AC405" s="21" t="str">
        <f aca="false">IF(AB405="","",IF(AB405&gt;AA405,"PASS",IF(AB405&lt;=AA405*0.85,"BID","ATTENZIONE")))</f>
        <v/>
      </c>
      <c r="AD405" s="31" t="n">
        <f aca="false">IF(I405="","",ROUND(100*(1-EXP(-I405/30)),0))</f>
        <v>26</v>
      </c>
      <c r="AE405" s="7" t="str">
        <f aca="false">IFERROR(INDEX('Stato Asta'!$G$9:$G$12,MATCH($B405,'Stato Asta'!$A$9:$A$12,0)),"")</f>
        <v>🟡 Attesa rischiosa</v>
      </c>
    </row>
    <row r="406" customFormat="false" ht="14.25" hidden="false" customHeight="true" outlineLevel="0" collapsed="false">
      <c r="A406" s="21" t="n">
        <v>327</v>
      </c>
      <c r="B406" s="21" t="s">
        <v>44</v>
      </c>
      <c r="C406" s="21" t="s">
        <v>351</v>
      </c>
      <c r="E406" s="26" t="str">
        <f aca="false">IF(COUNTIF('Info Strategia'!$D$2:$D$51,$C406)&gt;0,"SI","NO")</f>
        <v>NO</v>
      </c>
      <c r="F406" s="27" t="n">
        <f aca="false">IFERROR(ROUND(($G406+($H406-$G406)*'Info Strategia'!$B$6)*(1+IF($E406="SI",'Parametri Modello'!$B$7*'Info Strategia'!$B$6,0)),0),"")</f>
        <v>1</v>
      </c>
      <c r="G406" s="27" t="n">
        <f aca="false">IFERROR(ROUND(MAX(1,(IF($V406&lt;=INDEX('Parametri Modello'!$C$57:$C$60,MATCH($B406,'Parametri Modello'!$A$57:$A$60,0)),IF(INDEX('Parametri Modello'!$E$57:$E$60,MATCH($B406,'Parametri Modello'!$A$57:$A$60,0))=0,0,($O406/INDEX('Parametri Modello'!$E$57:$E$60,MATCH($B406,'Parametri Modello'!$A$57:$A$60,0)))*(INDEX('Parametri Modello'!$D$57:$D$60,MATCH($B406,'Parametri Modello'!$A$57:$A$60,0))*(INDEX('Parametri Modello'!$B$50:$B$53,MATCH($B406,'Parametri Modello'!$A$50:$A$53,0))*'Parametri Modello'!$B$44))),IF(INDEX('Parametri Modello'!$F$57:$F$60,MATCH($B406,'Parametri Modello'!$A$57:$A$60,0))=0,0,($O406/INDEX('Parametri Modello'!$F$57:$F$60,MATCH($B406,'Parametri Modello'!$A$57:$A$60,0)))*((1-INDEX('Parametri Modello'!$D$57:$D$60,MATCH($B406,'Parametri Modello'!$A$57:$A$60,0)))*(INDEX('Parametri Modello'!$B$50:$B$53,MATCH($B406,'Parametri Modello'!$A$50:$A$53,0))*'Parametri Modello'!$B$44))))*(1+IF(IF($B406="D",'Info Lega'!$B$25,IF($B406="C",'Info Lega'!$B$26,"No"))="Si",'Parametri Modello'!$B$5,0))*(1+MAX(-0.25,MIN(0.25,IF(OR($T406="",$I406="",$I406=0,INDEX('Parametri Modello'!$B$19:$B$22,MATCH($B406,'Parametri Modello'!$A$19:$A$22,0))="",INDEX('Parametri Modello'!$B$19:$B$22,MATCH($B406,'Parametri Modello'!$A$19:$A$22,0))=0),0,(($T406-INDEX('Parametri Modello'!$B$19:$B$22,MATCH($B406,'Parametri Modello'!$A$19:$A$22,0)))/INDEX('Parametri Modello'!$B$19:$B$22,MATCH($B406,'Parametri Modello'!$A$19:$A$22,0)))*'Parametri Modello'!$B$9))))*(1+IF('Parametri Modello'!$B$27="Si",MAX(-'Parametri Modello'!$B$28,MIN('Parametri Modello'!$B$28*1.5,IF(OR(INDEX('Parametri Modello'!$F$32:$F$35,MATCH($B406,'Parametri Modello'!$A$32:$A$35,0))="",INDEX('Parametri Modello'!$F$32:$F$35,MATCH($B406,'Parametri Modello'!$A$32:$A$35,0))=0),0,(1/INDEX('Parametri Modello'!$F$32:$F$35,MATCH($B406,'Parametri Modello'!$A$32:$A$35,0))-1)*'Parametri Modello'!$B$28))),0)))*(1-INDEX('Parametri Modello'!$B$12:$B$15,MATCH($B406,'Parametri Modello'!$A$12:$A$15,0)))),0),"")</f>
        <v>1</v>
      </c>
      <c r="H406" s="27" t="n">
        <f aca="false">IFERROR(ROUND((IF($V406&lt;=INDEX('Parametri Modello'!$C$57:$C$60,MATCH($B406,'Parametri Modello'!$A$57:$A$60,0)),IF(INDEX('Parametri Modello'!$E$57:$E$60,MATCH($B406,'Parametri Modello'!$A$57:$A$60,0))=0,0,($O406/INDEX('Parametri Modello'!$E$57:$E$60,MATCH($B406,'Parametri Modello'!$A$57:$A$60,0)))*(INDEX('Parametri Modello'!$D$57:$D$60,MATCH($B406,'Parametri Modello'!$A$57:$A$60,0))*(INDEX('Parametri Modello'!$B$50:$B$53,MATCH($B406,'Parametri Modello'!$A$50:$A$53,0))*'Parametri Modello'!$B$44))),IF(INDEX('Parametri Modello'!$F$57:$F$60,MATCH($B406,'Parametri Modello'!$A$57:$A$60,0))=0,0,($O406/INDEX('Parametri Modello'!$F$57:$F$60,MATCH($B406,'Parametri Modello'!$A$57:$A$60,0)))*((1-INDEX('Parametri Modello'!$D$57:$D$60,MATCH($B406,'Parametri Modello'!$A$57:$A$60,0)))*(INDEX('Parametri Modello'!$B$50:$B$53,MATCH($B406,'Parametri Modello'!$A$50:$A$53,0))*'Parametri Modello'!$B$44))))*(1+IF(IF($B406="D",'Info Lega'!$B$25,IF($B406="C",'Info Lega'!$B$26,"No"))="Si",'Parametri Modello'!$B$5,0))*(1+MAX(-0.25,MIN(0.25,IF(OR($T406="",$I406="",$I406=0,INDEX('Parametri Modello'!$B$19:$B$22,MATCH($B406,'Parametri Modello'!$A$19:$A$22,0))="",INDEX('Parametri Modello'!$B$19:$B$22,MATCH($B406,'Parametri Modello'!$A$19:$A$22,0))=0),0,(($T406-INDEX('Parametri Modello'!$B$19:$B$22,MATCH($B406,'Parametri Modello'!$A$19:$A$22,0)))/INDEX('Parametri Modello'!$B$19:$B$22,MATCH($B406,'Parametri Modello'!$A$19:$A$22,0)))*'Parametri Modello'!$B$9))))*(1+IF('Parametri Modello'!$B$27="Si",MAX(-'Parametri Modello'!$B$28,MIN('Parametri Modello'!$B$28*1.5,IF(OR(INDEX('Parametri Modello'!$F$32:$F$35,MATCH($B406,'Parametri Modello'!$A$32:$A$35,0))="",INDEX('Parametri Modello'!$F$32:$F$35,MATCH($B406,'Parametri Modello'!$A$32:$A$35,0))=0),0,(1/INDEX('Parametri Modello'!$F$32:$F$35,MATCH($B406,'Parametri Modello'!$A$32:$A$35,0))-1)*'Parametri Modello'!$B$28))),0)))*(1+INDEX('Parametri Modello'!$B$12:$B$15,MATCH($B406,'Parametri Modello'!$A$12:$A$15,0))),0),"")</f>
        <v>1</v>
      </c>
      <c r="I406" s="26" t="n">
        <f aca="false">IFERROR(INDEX('Input Statistiche 2025_26'!$F$3:$F$665,MATCH($A406,'Input Statistiche 2025_26'!$A$3:$A$665,0)),"")</f>
        <v>10</v>
      </c>
      <c r="J406" s="26" t="n">
        <f aca="false">IFERROR(IF($I406="","",MAX(0,38-$I406)),"")</f>
        <v>28</v>
      </c>
      <c r="K406" s="26" t="n">
        <f aca="false">IFERROR(INDEX('Input Statistiche 2025_26'!$I$3:$I$665,MATCH($A406,'Input Statistiche 2025_26'!$A$3:$A$665,0)),"")</f>
        <v>0</v>
      </c>
      <c r="L406" s="26" t="n">
        <f aca="false">IFERROR(INDEX('Input Statistiche 2025_26'!$O$3:$O$665,MATCH($A406,'Input Statistiche 2025_26'!$A$3:$A$665,0)),"")</f>
        <v>0</v>
      </c>
      <c r="M406" s="28"/>
      <c r="N406" s="27" t="n">
        <f aca="false">IFERROR(INDEX('Input Giocatori 2026_27'!$E$3:$E$493,MATCH($A406,'Input Giocatori 2026_27'!$A$3:$A$493,0)),"")</f>
        <v>1</v>
      </c>
      <c r="O406" s="27" t="n">
        <f aca="false">IFERROR(INDEX('Input Giocatori 2026_27'!$G$3:$G$493,MATCH($A406,'Input Giocatori 2026_27'!$A$3:$A$493,0)),"")</f>
        <v>4</v>
      </c>
      <c r="P406" s="26" t="str">
        <f aca="false">IFERROR(IF($O406="","",IF((1-(COUNTIFS($B$2:$B$492,$B406,$O$2:$O$492,"&gt;"&amp;$O406)+1-1)/COUNTIF($B$2:$B$492,$B406))&gt;=0.85,"Top",IF((1-(COUNTIFS($B$2:$B$492,$B406,$O$2:$O$492,"&gt;"&amp;$O406)+1-1)/COUNTIF($B$2:$B$492,$B406))&gt;=0.6,"Buono",IF((1-(COUNTIFS($B$2:$B$492,$B406,$O$2:$O$492,"&gt;"&amp;$O406)+1-1)/COUNTIF($B$2:$B$492,$B406))&gt;=0.3,"Nella Media","Scommessa/Riserva")))),"")</f>
        <v>Scommessa/Riserva</v>
      </c>
      <c r="Q406" s="29" t="n">
        <f aca="false">IF($D406="",COUNTIF($D$2:$D406,""),"")</f>
        <v>405</v>
      </c>
      <c r="R406" s="29" t="str">
        <f aca="false">IF($D406='Info Lega'!$B$28,COUNTIFS($D$2:$D406,'Info Lega'!$B$28),"")</f>
        <v/>
      </c>
      <c r="S406" s="30" t="n">
        <f aca="false">IFERROR(INDEX('Input Statistiche 2025_26'!$G$3:$G$665,MATCH($A406,'Input Statistiche 2025_26'!$A$3:$A$665,0)),"")</f>
        <v>5.85</v>
      </c>
      <c r="T406" s="30" t="n">
        <f aca="false">IFERROR(INDEX('Input Statistiche 2025_26'!$H$3:$H$665,MATCH($A406,'Input Statistiche 2025_26'!$A$3:$A$665,0)),"")</f>
        <v>5.75</v>
      </c>
      <c r="U406" s="26" t="str">
        <f aca="false">IF(OR('La Mia Rosa'!$O$12="",$D406&lt;&gt;""),"",IF($F406&lt;='La Mia Rosa'!$O$12*'Parametri Modello'!$B$24,"OK",IF($F406&lt;='La Mia Rosa'!$O$12*'Parametri Modello'!$B$25,"Attenzione","Rischio Alto")))</f>
        <v>OK</v>
      </c>
      <c r="V406" s="26" t="n">
        <f aca="false">IFERROR(COUNTIFS($B$2:$B$492,$B406,$O$2:$O$492,"&gt;"&amp;$O406)+1,"")</f>
        <v>145</v>
      </c>
      <c r="W406" s="21" t="n">
        <f aca="false">'Info Lega'!$B$4-SUMIFS($M$2:$M$492,$D$2:$D$492,'Info Lega'!$B$28)</f>
        <v>1000</v>
      </c>
      <c r="X406" s="21" t="n">
        <f aca="false">('Info Lega'!$B$5-COUNTIFS($D$2:$D$492,'Info Lega'!$B$28,$B$2:$B$492,"P"))+('Info Lega'!$B$6-COUNTIFS($D$2:$D$492,'Info Lega'!$B$28,$B$2:$B$492,"D"))+('Info Lega'!$B$7-COUNTIFS($D$2:$D$492,'Info Lega'!$B$28,$B$2:$B$492,"C"))+('Info Lega'!$B$8-COUNTIFS($D$2:$D$492,'Info Lega'!$B$28,$B$2:$B$492,"A"))</f>
        <v>25</v>
      </c>
      <c r="Y406" s="21" t="n">
        <f aca="false">X406*'Parametri Modello'!$B$30</f>
        <v>25</v>
      </c>
      <c r="Z406" s="21" t="n">
        <f aca="false">MAX(0,W406-Y406)</f>
        <v>975</v>
      </c>
      <c r="AA406" s="21" t="n">
        <f aca="false">MIN(F406,Z406)</f>
        <v>1</v>
      </c>
      <c r="AB406" s="21"/>
      <c r="AC406" s="21" t="str">
        <f aca="false">IF(AB406="","",IF(AB406&gt;AA406,"PASS",IF(AB406&lt;=AA406*0.85,"BID","ATTENZIONE")))</f>
        <v/>
      </c>
      <c r="AD406" s="31" t="n">
        <f aca="false">IF(I406="","",ROUND(100*(1-EXP(-I406/30)),0))</f>
        <v>28</v>
      </c>
      <c r="AE406" s="7" t="str">
        <f aca="false">IFERROR(INDEX('Stato Asta'!$G$9:$G$12,MATCH($B406,'Stato Asta'!$A$9:$A$12,0)),"")</f>
        <v>🟡 Attesa rischiosa</v>
      </c>
    </row>
    <row r="407" customFormat="false" ht="14.25" hidden="false" customHeight="true" outlineLevel="0" collapsed="false">
      <c r="A407" s="21" t="n">
        <v>7182</v>
      </c>
      <c r="B407" s="21" t="s">
        <v>44</v>
      </c>
      <c r="C407" s="21" t="s">
        <v>353</v>
      </c>
      <c r="E407" s="26" t="str">
        <f aca="false">IF(COUNTIF('Info Strategia'!$D$2:$D$51,$C407)&gt;0,"SI","NO")</f>
        <v>NO</v>
      </c>
      <c r="F407" s="27" t="n">
        <f aca="false">IFERROR(ROUND(($G407+($H407-$G407)*'Info Strategia'!$B$6)*(1+IF($E407="SI",'Parametri Modello'!$B$7*'Info Strategia'!$B$6,0)),0),"")</f>
        <v>1</v>
      </c>
      <c r="G407" s="27" t="n">
        <f aca="false">IFERROR(ROUND(MAX(1,(IF($V407&lt;=INDEX('Parametri Modello'!$C$57:$C$60,MATCH($B407,'Parametri Modello'!$A$57:$A$60,0)),IF(INDEX('Parametri Modello'!$E$57:$E$60,MATCH($B407,'Parametri Modello'!$A$57:$A$60,0))=0,0,($O407/INDEX('Parametri Modello'!$E$57:$E$60,MATCH($B407,'Parametri Modello'!$A$57:$A$60,0)))*(INDEX('Parametri Modello'!$D$57:$D$60,MATCH($B407,'Parametri Modello'!$A$57:$A$60,0))*(INDEX('Parametri Modello'!$B$50:$B$53,MATCH($B407,'Parametri Modello'!$A$50:$A$53,0))*'Parametri Modello'!$B$44))),IF(INDEX('Parametri Modello'!$F$57:$F$60,MATCH($B407,'Parametri Modello'!$A$57:$A$60,0))=0,0,($O407/INDEX('Parametri Modello'!$F$57:$F$60,MATCH($B407,'Parametri Modello'!$A$57:$A$60,0)))*((1-INDEX('Parametri Modello'!$D$57:$D$60,MATCH($B407,'Parametri Modello'!$A$57:$A$60,0)))*(INDEX('Parametri Modello'!$B$50:$B$53,MATCH($B407,'Parametri Modello'!$A$50:$A$53,0))*'Parametri Modello'!$B$44))))*(1+IF(IF($B407="D",'Info Lega'!$B$25,IF($B407="C",'Info Lega'!$B$26,"No"))="Si",'Parametri Modello'!$B$5,0))*(1+MAX(-0.25,MIN(0.25,IF(OR($T407="",$I407="",$I407=0,INDEX('Parametri Modello'!$B$19:$B$22,MATCH($B407,'Parametri Modello'!$A$19:$A$22,0))="",INDEX('Parametri Modello'!$B$19:$B$22,MATCH($B407,'Parametri Modello'!$A$19:$A$22,0))=0),0,(($T407-INDEX('Parametri Modello'!$B$19:$B$22,MATCH($B407,'Parametri Modello'!$A$19:$A$22,0)))/INDEX('Parametri Modello'!$B$19:$B$22,MATCH($B407,'Parametri Modello'!$A$19:$A$22,0)))*'Parametri Modello'!$B$9))))*(1+IF('Parametri Modello'!$B$27="Si",MAX(-'Parametri Modello'!$B$28,MIN('Parametri Modello'!$B$28*1.5,IF(OR(INDEX('Parametri Modello'!$F$32:$F$35,MATCH($B407,'Parametri Modello'!$A$32:$A$35,0))="",INDEX('Parametri Modello'!$F$32:$F$35,MATCH($B407,'Parametri Modello'!$A$32:$A$35,0))=0),0,(1/INDEX('Parametri Modello'!$F$32:$F$35,MATCH($B407,'Parametri Modello'!$A$32:$A$35,0))-1)*'Parametri Modello'!$B$28))),0)))*(1-INDEX('Parametri Modello'!$B$12:$B$15,MATCH($B407,'Parametri Modello'!$A$12:$A$15,0)))),0),"")</f>
        <v>1</v>
      </c>
      <c r="H407" s="27" t="n">
        <f aca="false">IFERROR(ROUND((IF($V407&lt;=INDEX('Parametri Modello'!$C$57:$C$60,MATCH($B407,'Parametri Modello'!$A$57:$A$60,0)),IF(INDEX('Parametri Modello'!$E$57:$E$60,MATCH($B407,'Parametri Modello'!$A$57:$A$60,0))=0,0,($O407/INDEX('Parametri Modello'!$E$57:$E$60,MATCH($B407,'Parametri Modello'!$A$57:$A$60,0)))*(INDEX('Parametri Modello'!$D$57:$D$60,MATCH($B407,'Parametri Modello'!$A$57:$A$60,0))*(INDEX('Parametri Modello'!$B$50:$B$53,MATCH($B407,'Parametri Modello'!$A$50:$A$53,0))*'Parametri Modello'!$B$44))),IF(INDEX('Parametri Modello'!$F$57:$F$60,MATCH($B407,'Parametri Modello'!$A$57:$A$60,0))=0,0,($O407/INDEX('Parametri Modello'!$F$57:$F$60,MATCH($B407,'Parametri Modello'!$A$57:$A$60,0)))*((1-INDEX('Parametri Modello'!$D$57:$D$60,MATCH($B407,'Parametri Modello'!$A$57:$A$60,0)))*(INDEX('Parametri Modello'!$B$50:$B$53,MATCH($B407,'Parametri Modello'!$A$50:$A$53,0))*'Parametri Modello'!$B$44))))*(1+IF(IF($B407="D",'Info Lega'!$B$25,IF($B407="C",'Info Lega'!$B$26,"No"))="Si",'Parametri Modello'!$B$5,0))*(1+MAX(-0.25,MIN(0.25,IF(OR($T407="",$I407="",$I407=0,INDEX('Parametri Modello'!$B$19:$B$22,MATCH($B407,'Parametri Modello'!$A$19:$A$22,0))="",INDEX('Parametri Modello'!$B$19:$B$22,MATCH($B407,'Parametri Modello'!$A$19:$A$22,0))=0),0,(($T407-INDEX('Parametri Modello'!$B$19:$B$22,MATCH($B407,'Parametri Modello'!$A$19:$A$22,0)))/INDEX('Parametri Modello'!$B$19:$B$22,MATCH($B407,'Parametri Modello'!$A$19:$A$22,0)))*'Parametri Modello'!$B$9))))*(1+IF('Parametri Modello'!$B$27="Si",MAX(-'Parametri Modello'!$B$28,MIN('Parametri Modello'!$B$28*1.5,IF(OR(INDEX('Parametri Modello'!$F$32:$F$35,MATCH($B407,'Parametri Modello'!$A$32:$A$35,0))="",INDEX('Parametri Modello'!$F$32:$F$35,MATCH($B407,'Parametri Modello'!$A$32:$A$35,0))=0),0,(1/INDEX('Parametri Modello'!$F$32:$F$35,MATCH($B407,'Parametri Modello'!$A$32:$A$35,0))-1)*'Parametri Modello'!$B$28))),0)))*(1+INDEX('Parametri Modello'!$B$12:$B$15,MATCH($B407,'Parametri Modello'!$A$12:$A$15,0))),0),"")</f>
        <v>1</v>
      </c>
      <c r="I407" s="26" t="n">
        <f aca="false">IFERROR(INDEX('Input Statistiche 2025_26'!$F$3:$F$665,MATCH($A407,'Input Statistiche 2025_26'!$A$3:$A$665,0)),"")</f>
        <v>9</v>
      </c>
      <c r="J407" s="26" t="n">
        <f aca="false">IFERROR(IF($I407="","",MAX(0,38-$I407)),"")</f>
        <v>29</v>
      </c>
      <c r="K407" s="26" t="n">
        <f aca="false">IFERROR(INDEX('Input Statistiche 2025_26'!$I$3:$I$665,MATCH($A407,'Input Statistiche 2025_26'!$A$3:$A$665,0)),"")</f>
        <v>0</v>
      </c>
      <c r="L407" s="26" t="n">
        <f aca="false">IFERROR(INDEX('Input Statistiche 2025_26'!$O$3:$O$665,MATCH($A407,'Input Statistiche 2025_26'!$A$3:$A$665,0)),"")</f>
        <v>0</v>
      </c>
      <c r="M407" s="28"/>
      <c r="N407" s="27" t="n">
        <f aca="false">IFERROR(INDEX('Input Giocatori 2026_27'!$E$3:$E$493,MATCH($A407,'Input Giocatori 2026_27'!$A$3:$A$493,0)),"")</f>
        <v>1</v>
      </c>
      <c r="O407" s="27" t="n">
        <f aca="false">IFERROR(INDEX('Input Giocatori 2026_27'!$G$3:$G$493,MATCH($A407,'Input Giocatori 2026_27'!$A$3:$A$493,0)),"")</f>
        <v>4</v>
      </c>
      <c r="P407" s="26" t="str">
        <f aca="false">IFERROR(IF($O407="","",IF((1-(COUNTIFS($B$2:$B$492,$B407,$O$2:$O$492,"&gt;"&amp;$O407)+1-1)/COUNTIF($B$2:$B$492,$B407))&gt;=0.85,"Top",IF((1-(COUNTIFS($B$2:$B$492,$B407,$O$2:$O$492,"&gt;"&amp;$O407)+1-1)/COUNTIF($B$2:$B$492,$B407))&gt;=0.6,"Buono",IF((1-(COUNTIFS($B$2:$B$492,$B407,$O$2:$O$492,"&gt;"&amp;$O407)+1-1)/COUNTIF($B$2:$B$492,$B407))&gt;=0.3,"Nella Media","Scommessa/Riserva")))),"")</f>
        <v>Scommessa/Riserva</v>
      </c>
      <c r="Q407" s="29" t="n">
        <f aca="false">IF($D407="",COUNTIF($D$2:$D407,""),"")</f>
        <v>406</v>
      </c>
      <c r="R407" s="29" t="str">
        <f aca="false">IF($D407='Info Lega'!$B$28,COUNTIFS($D$2:$D407,'Info Lega'!$B$28),"")</f>
        <v/>
      </c>
      <c r="S407" s="30" t="n">
        <f aca="false">IFERROR(INDEX('Input Statistiche 2025_26'!$G$3:$G$665,MATCH($A407,'Input Statistiche 2025_26'!$A$3:$A$665,0)),"")</f>
        <v>5.5</v>
      </c>
      <c r="T407" s="30" t="n">
        <f aca="false">IFERROR(INDEX('Input Statistiche 2025_26'!$H$3:$H$665,MATCH($A407,'Input Statistiche 2025_26'!$A$3:$A$665,0)),"")</f>
        <v>5.5</v>
      </c>
      <c r="U407" s="26" t="str">
        <f aca="false">IF(OR('La Mia Rosa'!$O$12="",$D407&lt;&gt;""),"",IF($F407&lt;='La Mia Rosa'!$O$12*'Parametri Modello'!$B$24,"OK",IF($F407&lt;='La Mia Rosa'!$O$12*'Parametri Modello'!$B$25,"Attenzione","Rischio Alto")))</f>
        <v>OK</v>
      </c>
      <c r="V407" s="26" t="n">
        <f aca="false">IFERROR(COUNTIFS($B$2:$B$492,$B407,$O$2:$O$492,"&gt;"&amp;$O407)+1,"")</f>
        <v>145</v>
      </c>
      <c r="W407" s="21" t="n">
        <f aca="false">'Info Lega'!$B$4-SUMIFS($M$2:$M$492,$D$2:$D$492,'Info Lega'!$B$28)</f>
        <v>1000</v>
      </c>
      <c r="X407" s="21" t="n">
        <f aca="false">('Info Lega'!$B$5-COUNTIFS($D$2:$D$492,'Info Lega'!$B$28,$B$2:$B$492,"P"))+('Info Lega'!$B$6-COUNTIFS($D$2:$D$492,'Info Lega'!$B$28,$B$2:$B$492,"D"))+('Info Lega'!$B$7-COUNTIFS($D$2:$D$492,'Info Lega'!$B$28,$B$2:$B$492,"C"))+('Info Lega'!$B$8-COUNTIFS($D$2:$D$492,'Info Lega'!$B$28,$B$2:$B$492,"A"))</f>
        <v>25</v>
      </c>
      <c r="Y407" s="21" t="n">
        <f aca="false">X407*'Parametri Modello'!$B$30</f>
        <v>25</v>
      </c>
      <c r="Z407" s="21" t="n">
        <f aca="false">MAX(0,W407-Y407)</f>
        <v>975</v>
      </c>
      <c r="AA407" s="21" t="n">
        <f aca="false">MIN(F407,Z407)</f>
        <v>1</v>
      </c>
      <c r="AB407" s="21"/>
      <c r="AC407" s="21" t="str">
        <f aca="false">IF(AB407="","",IF(AB407&gt;AA407,"PASS",IF(AB407&lt;=AA407*0.85,"BID","ATTENZIONE")))</f>
        <v/>
      </c>
      <c r="AD407" s="31" t="n">
        <f aca="false">IF(I407="","",ROUND(100*(1-EXP(-I407/30)),0))</f>
        <v>26</v>
      </c>
      <c r="AE407" s="7" t="str">
        <f aca="false">IFERROR(INDEX('Stato Asta'!$G$9:$G$12,MATCH($B407,'Stato Asta'!$A$9:$A$12,0)),"")</f>
        <v>🟡 Attesa rischiosa</v>
      </c>
    </row>
    <row r="408" customFormat="false" ht="14.25" hidden="false" customHeight="true" outlineLevel="0" collapsed="false">
      <c r="A408" s="21" t="n">
        <v>7476</v>
      </c>
      <c r="B408" s="21" t="s">
        <v>44</v>
      </c>
      <c r="C408" s="21" t="s">
        <v>355</v>
      </c>
      <c r="E408" s="26" t="str">
        <f aca="false">IF(COUNTIF('Info Strategia'!$D$2:$D$51,$C408)&gt;0,"SI","NO")</f>
        <v>NO</v>
      </c>
      <c r="F408" s="27" t="n">
        <f aca="false">IFERROR(ROUND(($G408+($H408-$G408)*'Info Strategia'!$B$6)*(1+IF($E408="SI",'Parametri Modello'!$B$7*'Info Strategia'!$B$6,0)),0),"")</f>
        <v>1</v>
      </c>
      <c r="G408" s="27" t="n">
        <f aca="false">IFERROR(ROUND(MAX(1,(IF($V408&lt;=INDEX('Parametri Modello'!$C$57:$C$60,MATCH($B408,'Parametri Modello'!$A$57:$A$60,0)),IF(INDEX('Parametri Modello'!$E$57:$E$60,MATCH($B408,'Parametri Modello'!$A$57:$A$60,0))=0,0,($O408/INDEX('Parametri Modello'!$E$57:$E$60,MATCH($B408,'Parametri Modello'!$A$57:$A$60,0)))*(INDEX('Parametri Modello'!$D$57:$D$60,MATCH($B408,'Parametri Modello'!$A$57:$A$60,0))*(INDEX('Parametri Modello'!$B$50:$B$53,MATCH($B408,'Parametri Modello'!$A$50:$A$53,0))*'Parametri Modello'!$B$44))),IF(INDEX('Parametri Modello'!$F$57:$F$60,MATCH($B408,'Parametri Modello'!$A$57:$A$60,0))=0,0,($O408/INDEX('Parametri Modello'!$F$57:$F$60,MATCH($B408,'Parametri Modello'!$A$57:$A$60,0)))*((1-INDEX('Parametri Modello'!$D$57:$D$60,MATCH($B408,'Parametri Modello'!$A$57:$A$60,0)))*(INDEX('Parametri Modello'!$B$50:$B$53,MATCH($B408,'Parametri Modello'!$A$50:$A$53,0))*'Parametri Modello'!$B$44))))*(1+IF(IF($B408="D",'Info Lega'!$B$25,IF($B408="C",'Info Lega'!$B$26,"No"))="Si",'Parametri Modello'!$B$5,0))*(1+MAX(-0.25,MIN(0.25,IF(OR($T408="",$I408="",$I408=0,INDEX('Parametri Modello'!$B$19:$B$22,MATCH($B408,'Parametri Modello'!$A$19:$A$22,0))="",INDEX('Parametri Modello'!$B$19:$B$22,MATCH($B408,'Parametri Modello'!$A$19:$A$22,0))=0),0,(($T408-INDEX('Parametri Modello'!$B$19:$B$22,MATCH($B408,'Parametri Modello'!$A$19:$A$22,0)))/INDEX('Parametri Modello'!$B$19:$B$22,MATCH($B408,'Parametri Modello'!$A$19:$A$22,0)))*'Parametri Modello'!$B$9))))*(1+IF('Parametri Modello'!$B$27="Si",MAX(-'Parametri Modello'!$B$28,MIN('Parametri Modello'!$B$28*1.5,IF(OR(INDEX('Parametri Modello'!$F$32:$F$35,MATCH($B408,'Parametri Modello'!$A$32:$A$35,0))="",INDEX('Parametri Modello'!$F$32:$F$35,MATCH($B408,'Parametri Modello'!$A$32:$A$35,0))=0),0,(1/INDEX('Parametri Modello'!$F$32:$F$35,MATCH($B408,'Parametri Modello'!$A$32:$A$35,0))-1)*'Parametri Modello'!$B$28))),0)))*(1-INDEX('Parametri Modello'!$B$12:$B$15,MATCH($B408,'Parametri Modello'!$A$12:$A$15,0)))),0),"")</f>
        <v>1</v>
      </c>
      <c r="H408" s="27" t="n">
        <f aca="false">IFERROR(ROUND((IF($V408&lt;=INDEX('Parametri Modello'!$C$57:$C$60,MATCH($B408,'Parametri Modello'!$A$57:$A$60,0)),IF(INDEX('Parametri Modello'!$E$57:$E$60,MATCH($B408,'Parametri Modello'!$A$57:$A$60,0))=0,0,($O408/INDEX('Parametri Modello'!$E$57:$E$60,MATCH($B408,'Parametri Modello'!$A$57:$A$60,0)))*(INDEX('Parametri Modello'!$D$57:$D$60,MATCH($B408,'Parametri Modello'!$A$57:$A$60,0))*(INDEX('Parametri Modello'!$B$50:$B$53,MATCH($B408,'Parametri Modello'!$A$50:$A$53,0))*'Parametri Modello'!$B$44))),IF(INDEX('Parametri Modello'!$F$57:$F$60,MATCH($B408,'Parametri Modello'!$A$57:$A$60,0))=0,0,($O408/INDEX('Parametri Modello'!$F$57:$F$60,MATCH($B408,'Parametri Modello'!$A$57:$A$60,0)))*((1-INDEX('Parametri Modello'!$D$57:$D$60,MATCH($B408,'Parametri Modello'!$A$57:$A$60,0)))*(INDEX('Parametri Modello'!$B$50:$B$53,MATCH($B408,'Parametri Modello'!$A$50:$A$53,0))*'Parametri Modello'!$B$44))))*(1+IF(IF($B408="D",'Info Lega'!$B$25,IF($B408="C",'Info Lega'!$B$26,"No"))="Si",'Parametri Modello'!$B$5,0))*(1+MAX(-0.25,MIN(0.25,IF(OR($T408="",$I408="",$I408=0,INDEX('Parametri Modello'!$B$19:$B$22,MATCH($B408,'Parametri Modello'!$A$19:$A$22,0))="",INDEX('Parametri Modello'!$B$19:$B$22,MATCH($B408,'Parametri Modello'!$A$19:$A$22,0))=0),0,(($T408-INDEX('Parametri Modello'!$B$19:$B$22,MATCH($B408,'Parametri Modello'!$A$19:$A$22,0)))/INDEX('Parametri Modello'!$B$19:$B$22,MATCH($B408,'Parametri Modello'!$A$19:$A$22,0)))*'Parametri Modello'!$B$9))))*(1+IF('Parametri Modello'!$B$27="Si",MAX(-'Parametri Modello'!$B$28,MIN('Parametri Modello'!$B$28*1.5,IF(OR(INDEX('Parametri Modello'!$F$32:$F$35,MATCH($B408,'Parametri Modello'!$A$32:$A$35,0))="",INDEX('Parametri Modello'!$F$32:$F$35,MATCH($B408,'Parametri Modello'!$A$32:$A$35,0))=0),0,(1/INDEX('Parametri Modello'!$F$32:$F$35,MATCH($B408,'Parametri Modello'!$A$32:$A$35,0))-1)*'Parametri Modello'!$B$28))),0)))*(1+INDEX('Parametri Modello'!$B$12:$B$15,MATCH($B408,'Parametri Modello'!$A$12:$A$15,0))),0),"")</f>
        <v>1</v>
      </c>
      <c r="I408" s="26" t="str">
        <f aca="false">IFERROR(INDEX('Input Statistiche 2025_26'!$F$3:$F$665,MATCH($A408,'Input Statistiche 2025_26'!$A$3:$A$665,0)),"")</f>
        <v/>
      </c>
      <c r="J408" s="26" t="str">
        <f aca="false">IFERROR(IF($I408="","",MAX(0,38-$I408)),"")</f>
        <v/>
      </c>
      <c r="K408" s="26" t="str">
        <f aca="false">IFERROR(INDEX('Input Statistiche 2025_26'!$I$3:$I$665,MATCH($A408,'Input Statistiche 2025_26'!$A$3:$A$665,0)),"")</f>
        <v/>
      </c>
      <c r="L408" s="26" t="str">
        <f aca="false">IFERROR(INDEX('Input Statistiche 2025_26'!$O$3:$O$665,MATCH($A408,'Input Statistiche 2025_26'!$A$3:$A$665,0)),"")</f>
        <v/>
      </c>
      <c r="M408" s="28"/>
      <c r="N408" s="27" t="n">
        <f aca="false">IFERROR(INDEX('Input Giocatori 2026_27'!$E$3:$E$493,MATCH($A408,'Input Giocatori 2026_27'!$A$3:$A$493,0)),"")</f>
        <v>1</v>
      </c>
      <c r="O408" s="27" t="n">
        <f aca="false">IFERROR(INDEX('Input Giocatori 2026_27'!$G$3:$G$493,MATCH($A408,'Input Giocatori 2026_27'!$A$3:$A$493,0)),"")</f>
        <v>4</v>
      </c>
      <c r="P408" s="26" t="str">
        <f aca="false">IFERROR(IF($O408="","",IF((1-(COUNTIFS($B$2:$B$492,$B408,$O$2:$O$492,"&gt;"&amp;$O408)+1-1)/COUNTIF($B$2:$B$492,$B408))&gt;=0.85,"Top",IF((1-(COUNTIFS($B$2:$B$492,$B408,$O$2:$O$492,"&gt;"&amp;$O408)+1-1)/COUNTIF($B$2:$B$492,$B408))&gt;=0.6,"Buono",IF((1-(COUNTIFS($B$2:$B$492,$B408,$O$2:$O$492,"&gt;"&amp;$O408)+1-1)/COUNTIF($B$2:$B$492,$B408))&gt;=0.3,"Nella Media","Scommessa/Riserva")))),"")</f>
        <v>Scommessa/Riserva</v>
      </c>
      <c r="Q408" s="29" t="n">
        <f aca="false">IF($D408="",COUNTIF($D$2:$D408,""),"")</f>
        <v>407</v>
      </c>
      <c r="R408" s="29" t="str">
        <f aca="false">IF($D408='Info Lega'!$B$28,COUNTIFS($D$2:$D408,'Info Lega'!$B$28),"")</f>
        <v/>
      </c>
      <c r="S408" s="30" t="str">
        <f aca="false">IFERROR(INDEX('Input Statistiche 2025_26'!$G$3:$G$665,MATCH($A408,'Input Statistiche 2025_26'!$A$3:$A$665,0)),"")</f>
        <v/>
      </c>
      <c r="T408" s="30" t="str">
        <f aca="false">IFERROR(INDEX('Input Statistiche 2025_26'!$H$3:$H$665,MATCH($A408,'Input Statistiche 2025_26'!$A$3:$A$665,0)),"")</f>
        <v/>
      </c>
      <c r="U408" s="26" t="str">
        <f aca="false">IF(OR('La Mia Rosa'!$O$12="",$D408&lt;&gt;""),"",IF($F408&lt;='La Mia Rosa'!$O$12*'Parametri Modello'!$B$24,"OK",IF($F408&lt;='La Mia Rosa'!$O$12*'Parametri Modello'!$B$25,"Attenzione","Rischio Alto")))</f>
        <v>OK</v>
      </c>
      <c r="V408" s="26" t="n">
        <f aca="false">IFERROR(COUNTIFS($B$2:$B$492,$B408,$O$2:$O$492,"&gt;"&amp;$O408)+1,"")</f>
        <v>145</v>
      </c>
      <c r="W408" s="21" t="n">
        <f aca="false">'Info Lega'!$B$4-SUMIFS($M$2:$M$492,$D$2:$D$492,'Info Lega'!$B$28)</f>
        <v>1000</v>
      </c>
      <c r="X408" s="21" t="n">
        <f aca="false">('Info Lega'!$B$5-COUNTIFS($D$2:$D$492,'Info Lega'!$B$28,$B$2:$B$492,"P"))+('Info Lega'!$B$6-COUNTIFS($D$2:$D$492,'Info Lega'!$B$28,$B$2:$B$492,"D"))+('Info Lega'!$B$7-COUNTIFS($D$2:$D$492,'Info Lega'!$B$28,$B$2:$B$492,"C"))+('Info Lega'!$B$8-COUNTIFS($D$2:$D$492,'Info Lega'!$B$28,$B$2:$B$492,"A"))</f>
        <v>25</v>
      </c>
      <c r="Y408" s="21" t="n">
        <f aca="false">X408*'Parametri Modello'!$B$30</f>
        <v>25</v>
      </c>
      <c r="Z408" s="21" t="n">
        <f aca="false">MAX(0,W408-Y408)</f>
        <v>975</v>
      </c>
      <c r="AA408" s="21" t="n">
        <f aca="false">MIN(F408,Z408)</f>
        <v>1</v>
      </c>
      <c r="AB408" s="21"/>
      <c r="AC408" s="21" t="str">
        <f aca="false">IF(AB408="","",IF(AB408&gt;AA408,"PASS",IF(AB408&lt;=AA408*0.85,"BID","ATTENZIONE")))</f>
        <v/>
      </c>
      <c r="AD408" s="31" t="str">
        <f aca="false">IF(I408="","",ROUND(100*(1-EXP(-I408/30)),0))</f>
        <v/>
      </c>
      <c r="AE408" s="7" t="str">
        <f aca="false">IFERROR(INDEX('Stato Asta'!$G$9:$G$12,MATCH($B408,'Stato Asta'!$A$9:$A$12,0)),"")</f>
        <v>🟡 Attesa rischiosa</v>
      </c>
    </row>
    <row r="409" customFormat="false" ht="14.25" hidden="false" customHeight="true" outlineLevel="0" collapsed="false">
      <c r="A409" s="21" t="n">
        <v>7202</v>
      </c>
      <c r="B409" s="21" t="s">
        <v>44</v>
      </c>
      <c r="C409" s="21" t="s">
        <v>358</v>
      </c>
      <c r="E409" s="26" t="str">
        <f aca="false">IF(COUNTIF('Info Strategia'!$D$2:$D$51,$C409)&gt;0,"SI","NO")</f>
        <v>NO</v>
      </c>
      <c r="F409" s="27" t="n">
        <f aca="false">IFERROR(ROUND(($G409+($H409-$G409)*'Info Strategia'!$B$6)*(1+IF($E409="SI",'Parametri Modello'!$B$7*'Info Strategia'!$B$6,0)),0),"")</f>
        <v>1</v>
      </c>
      <c r="G409" s="27" t="n">
        <f aca="false">IFERROR(ROUND(MAX(1,(IF($V409&lt;=INDEX('Parametri Modello'!$C$57:$C$60,MATCH($B409,'Parametri Modello'!$A$57:$A$60,0)),IF(INDEX('Parametri Modello'!$E$57:$E$60,MATCH($B409,'Parametri Modello'!$A$57:$A$60,0))=0,0,($O409/INDEX('Parametri Modello'!$E$57:$E$60,MATCH($B409,'Parametri Modello'!$A$57:$A$60,0)))*(INDEX('Parametri Modello'!$D$57:$D$60,MATCH($B409,'Parametri Modello'!$A$57:$A$60,0))*(INDEX('Parametri Modello'!$B$50:$B$53,MATCH($B409,'Parametri Modello'!$A$50:$A$53,0))*'Parametri Modello'!$B$44))),IF(INDEX('Parametri Modello'!$F$57:$F$60,MATCH($B409,'Parametri Modello'!$A$57:$A$60,0))=0,0,($O409/INDEX('Parametri Modello'!$F$57:$F$60,MATCH($B409,'Parametri Modello'!$A$57:$A$60,0)))*((1-INDEX('Parametri Modello'!$D$57:$D$60,MATCH($B409,'Parametri Modello'!$A$57:$A$60,0)))*(INDEX('Parametri Modello'!$B$50:$B$53,MATCH($B409,'Parametri Modello'!$A$50:$A$53,0))*'Parametri Modello'!$B$44))))*(1+IF(IF($B409="D",'Info Lega'!$B$25,IF($B409="C",'Info Lega'!$B$26,"No"))="Si",'Parametri Modello'!$B$5,0))*(1+MAX(-0.25,MIN(0.25,IF(OR($T409="",$I409="",$I409=0,INDEX('Parametri Modello'!$B$19:$B$22,MATCH($B409,'Parametri Modello'!$A$19:$A$22,0))="",INDEX('Parametri Modello'!$B$19:$B$22,MATCH($B409,'Parametri Modello'!$A$19:$A$22,0))=0),0,(($T409-INDEX('Parametri Modello'!$B$19:$B$22,MATCH($B409,'Parametri Modello'!$A$19:$A$22,0)))/INDEX('Parametri Modello'!$B$19:$B$22,MATCH($B409,'Parametri Modello'!$A$19:$A$22,0)))*'Parametri Modello'!$B$9))))*(1+IF('Parametri Modello'!$B$27="Si",MAX(-'Parametri Modello'!$B$28,MIN('Parametri Modello'!$B$28*1.5,IF(OR(INDEX('Parametri Modello'!$F$32:$F$35,MATCH($B409,'Parametri Modello'!$A$32:$A$35,0))="",INDEX('Parametri Modello'!$F$32:$F$35,MATCH($B409,'Parametri Modello'!$A$32:$A$35,0))=0),0,(1/INDEX('Parametri Modello'!$F$32:$F$35,MATCH($B409,'Parametri Modello'!$A$32:$A$35,0))-1)*'Parametri Modello'!$B$28))),0)))*(1-INDEX('Parametri Modello'!$B$12:$B$15,MATCH($B409,'Parametri Modello'!$A$12:$A$15,0)))),0),"")</f>
        <v>1</v>
      </c>
      <c r="H409" s="27" t="n">
        <f aca="false">IFERROR(ROUND((IF($V409&lt;=INDEX('Parametri Modello'!$C$57:$C$60,MATCH($B409,'Parametri Modello'!$A$57:$A$60,0)),IF(INDEX('Parametri Modello'!$E$57:$E$60,MATCH($B409,'Parametri Modello'!$A$57:$A$60,0))=0,0,($O409/INDEX('Parametri Modello'!$E$57:$E$60,MATCH($B409,'Parametri Modello'!$A$57:$A$60,0)))*(INDEX('Parametri Modello'!$D$57:$D$60,MATCH($B409,'Parametri Modello'!$A$57:$A$60,0))*(INDEX('Parametri Modello'!$B$50:$B$53,MATCH($B409,'Parametri Modello'!$A$50:$A$53,0))*'Parametri Modello'!$B$44))),IF(INDEX('Parametri Modello'!$F$57:$F$60,MATCH($B409,'Parametri Modello'!$A$57:$A$60,0))=0,0,($O409/INDEX('Parametri Modello'!$F$57:$F$60,MATCH($B409,'Parametri Modello'!$A$57:$A$60,0)))*((1-INDEX('Parametri Modello'!$D$57:$D$60,MATCH($B409,'Parametri Modello'!$A$57:$A$60,0)))*(INDEX('Parametri Modello'!$B$50:$B$53,MATCH($B409,'Parametri Modello'!$A$50:$A$53,0))*'Parametri Modello'!$B$44))))*(1+IF(IF($B409="D",'Info Lega'!$B$25,IF($B409="C",'Info Lega'!$B$26,"No"))="Si",'Parametri Modello'!$B$5,0))*(1+MAX(-0.25,MIN(0.25,IF(OR($T409="",$I409="",$I409=0,INDEX('Parametri Modello'!$B$19:$B$22,MATCH($B409,'Parametri Modello'!$A$19:$A$22,0))="",INDEX('Parametri Modello'!$B$19:$B$22,MATCH($B409,'Parametri Modello'!$A$19:$A$22,0))=0),0,(($T409-INDEX('Parametri Modello'!$B$19:$B$22,MATCH($B409,'Parametri Modello'!$A$19:$A$22,0)))/INDEX('Parametri Modello'!$B$19:$B$22,MATCH($B409,'Parametri Modello'!$A$19:$A$22,0)))*'Parametri Modello'!$B$9))))*(1+IF('Parametri Modello'!$B$27="Si",MAX(-'Parametri Modello'!$B$28,MIN('Parametri Modello'!$B$28*1.5,IF(OR(INDEX('Parametri Modello'!$F$32:$F$35,MATCH($B409,'Parametri Modello'!$A$32:$A$35,0))="",INDEX('Parametri Modello'!$F$32:$F$35,MATCH($B409,'Parametri Modello'!$A$32:$A$35,0))=0),0,(1/INDEX('Parametri Modello'!$F$32:$F$35,MATCH($B409,'Parametri Modello'!$A$32:$A$35,0))-1)*'Parametri Modello'!$B$28))),0)))*(1+INDEX('Parametri Modello'!$B$12:$B$15,MATCH($B409,'Parametri Modello'!$A$12:$A$15,0))),0),"")</f>
        <v>1</v>
      </c>
      <c r="I409" s="26" t="n">
        <f aca="false">IFERROR(INDEX('Input Statistiche 2025_26'!$F$3:$F$665,MATCH($A409,'Input Statistiche 2025_26'!$A$3:$A$665,0)),"")</f>
        <v>11</v>
      </c>
      <c r="J409" s="26" t="n">
        <f aca="false">IFERROR(IF($I409="","",MAX(0,38-$I409)),"")</f>
        <v>27</v>
      </c>
      <c r="K409" s="26" t="n">
        <f aca="false">IFERROR(INDEX('Input Statistiche 2025_26'!$I$3:$I$665,MATCH($A409,'Input Statistiche 2025_26'!$A$3:$A$665,0)),"")</f>
        <v>0</v>
      </c>
      <c r="L409" s="26" t="n">
        <f aca="false">IFERROR(INDEX('Input Statistiche 2025_26'!$O$3:$O$665,MATCH($A409,'Input Statistiche 2025_26'!$A$3:$A$665,0)),"")</f>
        <v>0</v>
      </c>
      <c r="M409" s="28"/>
      <c r="N409" s="27" t="n">
        <f aca="false">IFERROR(INDEX('Input Giocatori 2026_27'!$E$3:$E$493,MATCH($A409,'Input Giocatori 2026_27'!$A$3:$A$493,0)),"")</f>
        <v>1</v>
      </c>
      <c r="O409" s="27" t="n">
        <f aca="false">IFERROR(INDEX('Input Giocatori 2026_27'!$G$3:$G$493,MATCH($A409,'Input Giocatori 2026_27'!$A$3:$A$493,0)),"")</f>
        <v>4</v>
      </c>
      <c r="P409" s="26" t="str">
        <f aca="false">IFERROR(IF($O409="","",IF((1-(COUNTIFS($B$2:$B$492,$B409,$O$2:$O$492,"&gt;"&amp;$O409)+1-1)/COUNTIF($B$2:$B$492,$B409))&gt;=0.85,"Top",IF((1-(COUNTIFS($B$2:$B$492,$B409,$O$2:$O$492,"&gt;"&amp;$O409)+1-1)/COUNTIF($B$2:$B$492,$B409))&gt;=0.6,"Buono",IF((1-(COUNTIFS($B$2:$B$492,$B409,$O$2:$O$492,"&gt;"&amp;$O409)+1-1)/COUNTIF($B$2:$B$492,$B409))&gt;=0.3,"Nella Media","Scommessa/Riserva")))),"")</f>
        <v>Scommessa/Riserva</v>
      </c>
      <c r="Q409" s="29" t="n">
        <f aca="false">IF($D409="",COUNTIF($D$2:$D409,""),"")</f>
        <v>408</v>
      </c>
      <c r="R409" s="29" t="str">
        <f aca="false">IF($D409='Info Lega'!$B$28,COUNTIFS($D$2:$D409,'Info Lega'!$B$28),"")</f>
        <v/>
      </c>
      <c r="S409" s="30" t="n">
        <f aca="false">IFERROR(INDEX('Input Statistiche 2025_26'!$G$3:$G$665,MATCH($A409,'Input Statistiche 2025_26'!$A$3:$A$665,0)),"")</f>
        <v>5.59</v>
      </c>
      <c r="T409" s="30" t="n">
        <f aca="false">IFERROR(INDEX('Input Statistiche 2025_26'!$H$3:$H$665,MATCH($A409,'Input Statistiche 2025_26'!$A$3:$A$665,0)),"")</f>
        <v>5.36</v>
      </c>
      <c r="U409" s="26" t="str">
        <f aca="false">IF(OR('La Mia Rosa'!$O$12="",$D409&lt;&gt;""),"",IF($F409&lt;='La Mia Rosa'!$O$12*'Parametri Modello'!$B$24,"OK",IF($F409&lt;='La Mia Rosa'!$O$12*'Parametri Modello'!$B$25,"Attenzione","Rischio Alto")))</f>
        <v>OK</v>
      </c>
      <c r="V409" s="26" t="n">
        <f aca="false">IFERROR(COUNTIFS($B$2:$B$492,$B409,$O$2:$O$492,"&gt;"&amp;$O409)+1,"")</f>
        <v>145</v>
      </c>
      <c r="W409" s="21" t="n">
        <f aca="false">'Info Lega'!$B$4-SUMIFS($M$2:$M$492,$D$2:$D$492,'Info Lega'!$B$28)</f>
        <v>1000</v>
      </c>
      <c r="X409" s="21" t="n">
        <f aca="false">('Info Lega'!$B$5-COUNTIFS($D$2:$D$492,'Info Lega'!$B$28,$B$2:$B$492,"P"))+('Info Lega'!$B$6-COUNTIFS($D$2:$D$492,'Info Lega'!$B$28,$B$2:$B$492,"D"))+('Info Lega'!$B$7-COUNTIFS($D$2:$D$492,'Info Lega'!$B$28,$B$2:$B$492,"C"))+('Info Lega'!$B$8-COUNTIFS($D$2:$D$492,'Info Lega'!$B$28,$B$2:$B$492,"A"))</f>
        <v>25</v>
      </c>
      <c r="Y409" s="21" t="n">
        <f aca="false">X409*'Parametri Modello'!$B$30</f>
        <v>25</v>
      </c>
      <c r="Z409" s="21" t="n">
        <f aca="false">MAX(0,W409-Y409)</f>
        <v>975</v>
      </c>
      <c r="AA409" s="21" t="n">
        <f aca="false">MIN(F409,Z409)</f>
        <v>1</v>
      </c>
      <c r="AB409" s="21"/>
      <c r="AC409" s="21" t="str">
        <f aca="false">IF(AB409="","",IF(AB409&gt;AA409,"PASS",IF(AB409&lt;=AA409*0.85,"BID","ATTENZIONE")))</f>
        <v/>
      </c>
      <c r="AD409" s="31" t="n">
        <f aca="false">IF(I409="","",ROUND(100*(1-EXP(-I409/30)),0))</f>
        <v>31</v>
      </c>
      <c r="AE409" s="7" t="str">
        <f aca="false">IFERROR(INDEX('Stato Asta'!$G$9:$G$12,MATCH($B409,'Stato Asta'!$A$9:$A$12,0)),"")</f>
        <v>🟡 Attesa rischiosa</v>
      </c>
    </row>
    <row r="410" customFormat="false" ht="14.25" hidden="false" customHeight="true" outlineLevel="0" collapsed="false">
      <c r="A410" s="21" t="n">
        <v>6225</v>
      </c>
      <c r="B410" s="21" t="s">
        <v>45</v>
      </c>
      <c r="C410" s="21" t="s">
        <v>508</v>
      </c>
      <c r="E410" s="26" t="str">
        <f aca="false">IF(COUNTIF('Info Strategia'!$D$2:$D$51,$C410)&gt;0,"SI","NO")</f>
        <v>NO</v>
      </c>
      <c r="F410" s="27" t="n">
        <f aca="false">IFERROR(ROUND(($G410+($H410-$G410)*'Info Strategia'!$B$6)*(1+IF($E410="SI",'Parametri Modello'!$B$7*'Info Strategia'!$B$6,0)),0),"")</f>
        <v>1</v>
      </c>
      <c r="G410" s="27" t="n">
        <f aca="false">IFERROR(ROUND(MAX(1,(IF($V410&lt;=INDEX('Parametri Modello'!$C$57:$C$60,MATCH($B410,'Parametri Modello'!$A$57:$A$60,0)),IF(INDEX('Parametri Modello'!$E$57:$E$60,MATCH($B410,'Parametri Modello'!$A$57:$A$60,0))=0,0,($O410/INDEX('Parametri Modello'!$E$57:$E$60,MATCH($B410,'Parametri Modello'!$A$57:$A$60,0)))*(INDEX('Parametri Modello'!$D$57:$D$60,MATCH($B410,'Parametri Modello'!$A$57:$A$60,0))*(INDEX('Parametri Modello'!$B$50:$B$53,MATCH($B410,'Parametri Modello'!$A$50:$A$53,0))*'Parametri Modello'!$B$44))),IF(INDEX('Parametri Modello'!$F$57:$F$60,MATCH($B410,'Parametri Modello'!$A$57:$A$60,0))=0,0,($O410/INDEX('Parametri Modello'!$F$57:$F$60,MATCH($B410,'Parametri Modello'!$A$57:$A$60,0)))*((1-INDEX('Parametri Modello'!$D$57:$D$60,MATCH($B410,'Parametri Modello'!$A$57:$A$60,0)))*(INDEX('Parametri Modello'!$B$50:$B$53,MATCH($B410,'Parametri Modello'!$A$50:$A$53,0))*'Parametri Modello'!$B$44))))*(1+IF(IF($B410="D",'Info Lega'!$B$25,IF($B410="C",'Info Lega'!$B$26,"No"))="Si",'Parametri Modello'!$B$5,0))*(1+MAX(-0.25,MIN(0.25,IF(OR($T410="",$I410="",$I410=0,INDEX('Parametri Modello'!$B$19:$B$22,MATCH($B410,'Parametri Modello'!$A$19:$A$22,0))="",INDEX('Parametri Modello'!$B$19:$B$22,MATCH($B410,'Parametri Modello'!$A$19:$A$22,0))=0),0,(($T410-INDEX('Parametri Modello'!$B$19:$B$22,MATCH($B410,'Parametri Modello'!$A$19:$A$22,0)))/INDEX('Parametri Modello'!$B$19:$B$22,MATCH($B410,'Parametri Modello'!$A$19:$A$22,0)))*'Parametri Modello'!$B$9))))*(1+IF('Parametri Modello'!$B$27="Si",MAX(-'Parametri Modello'!$B$28,MIN('Parametri Modello'!$B$28*1.5,IF(OR(INDEX('Parametri Modello'!$F$32:$F$35,MATCH($B410,'Parametri Modello'!$A$32:$A$35,0))="",INDEX('Parametri Modello'!$F$32:$F$35,MATCH($B410,'Parametri Modello'!$A$32:$A$35,0))=0),0,(1/INDEX('Parametri Modello'!$F$32:$F$35,MATCH($B410,'Parametri Modello'!$A$32:$A$35,0))-1)*'Parametri Modello'!$B$28))),0)))*(1-INDEX('Parametri Modello'!$B$12:$B$15,MATCH($B410,'Parametri Modello'!$A$12:$A$15,0)))),0),"")</f>
        <v>1</v>
      </c>
      <c r="H410" s="27" t="n">
        <f aca="false">IFERROR(ROUND((IF($V410&lt;=INDEX('Parametri Modello'!$C$57:$C$60,MATCH($B410,'Parametri Modello'!$A$57:$A$60,0)),IF(INDEX('Parametri Modello'!$E$57:$E$60,MATCH($B410,'Parametri Modello'!$A$57:$A$60,0))=0,0,($O410/INDEX('Parametri Modello'!$E$57:$E$60,MATCH($B410,'Parametri Modello'!$A$57:$A$60,0)))*(INDEX('Parametri Modello'!$D$57:$D$60,MATCH($B410,'Parametri Modello'!$A$57:$A$60,0))*(INDEX('Parametri Modello'!$B$50:$B$53,MATCH($B410,'Parametri Modello'!$A$50:$A$53,0))*'Parametri Modello'!$B$44))),IF(INDEX('Parametri Modello'!$F$57:$F$60,MATCH($B410,'Parametri Modello'!$A$57:$A$60,0))=0,0,($O410/INDEX('Parametri Modello'!$F$57:$F$60,MATCH($B410,'Parametri Modello'!$A$57:$A$60,0)))*((1-INDEX('Parametri Modello'!$D$57:$D$60,MATCH($B410,'Parametri Modello'!$A$57:$A$60,0)))*(INDEX('Parametri Modello'!$B$50:$B$53,MATCH($B410,'Parametri Modello'!$A$50:$A$53,0))*'Parametri Modello'!$B$44))))*(1+IF(IF($B410="D",'Info Lega'!$B$25,IF($B410="C",'Info Lega'!$B$26,"No"))="Si",'Parametri Modello'!$B$5,0))*(1+MAX(-0.25,MIN(0.25,IF(OR($T410="",$I410="",$I410=0,INDEX('Parametri Modello'!$B$19:$B$22,MATCH($B410,'Parametri Modello'!$A$19:$A$22,0))="",INDEX('Parametri Modello'!$B$19:$B$22,MATCH($B410,'Parametri Modello'!$A$19:$A$22,0))=0),0,(($T410-INDEX('Parametri Modello'!$B$19:$B$22,MATCH($B410,'Parametri Modello'!$A$19:$A$22,0)))/INDEX('Parametri Modello'!$B$19:$B$22,MATCH($B410,'Parametri Modello'!$A$19:$A$22,0)))*'Parametri Modello'!$B$9))))*(1+IF('Parametri Modello'!$B$27="Si",MAX(-'Parametri Modello'!$B$28,MIN('Parametri Modello'!$B$28*1.5,IF(OR(INDEX('Parametri Modello'!$F$32:$F$35,MATCH($B410,'Parametri Modello'!$A$32:$A$35,0))="",INDEX('Parametri Modello'!$F$32:$F$35,MATCH($B410,'Parametri Modello'!$A$32:$A$35,0))=0),0,(1/INDEX('Parametri Modello'!$F$32:$F$35,MATCH($B410,'Parametri Modello'!$A$32:$A$35,0))-1)*'Parametri Modello'!$B$28))),0)))*(1+INDEX('Parametri Modello'!$B$12:$B$15,MATCH($B410,'Parametri Modello'!$A$12:$A$15,0))),0),"")</f>
        <v>1</v>
      </c>
      <c r="I410" s="26" t="n">
        <f aca="false">IFERROR(INDEX('Input Statistiche 2025_26'!$F$3:$F$665,MATCH($A410,'Input Statistiche 2025_26'!$A$3:$A$665,0)),"")</f>
        <v>0</v>
      </c>
      <c r="J410" s="26" t="n">
        <f aca="false">IFERROR(IF($I410="","",MAX(0,38-$I410)),"")</f>
        <v>38</v>
      </c>
      <c r="K410" s="26" t="n">
        <f aca="false">IFERROR(INDEX('Input Statistiche 2025_26'!$I$3:$I$665,MATCH($A410,'Input Statistiche 2025_26'!$A$3:$A$665,0)),"")</f>
        <v>0</v>
      </c>
      <c r="L410" s="26" t="n">
        <f aca="false">IFERROR(INDEX('Input Statistiche 2025_26'!$O$3:$O$665,MATCH($A410,'Input Statistiche 2025_26'!$A$3:$A$665,0)),"")</f>
        <v>0</v>
      </c>
      <c r="M410" s="28"/>
      <c r="N410" s="27" t="n">
        <f aca="false">IFERROR(INDEX('Input Giocatori 2026_27'!$E$3:$E$493,MATCH($A410,'Input Giocatori 2026_27'!$A$3:$A$493,0)),"")</f>
        <v>2</v>
      </c>
      <c r="O410" s="27" t="n">
        <f aca="false">IFERROR(INDEX('Input Giocatori 2026_27'!$G$3:$G$493,MATCH($A410,'Input Giocatori 2026_27'!$A$3:$A$493,0)),"")</f>
        <v>4</v>
      </c>
      <c r="P410" s="26" t="str">
        <f aca="false">IFERROR(IF($O410="","",IF((1-(COUNTIFS($B$2:$B$492,$B410,$O$2:$O$492,"&gt;"&amp;$O410)+1-1)/COUNTIF($B$2:$B$492,$B410))&gt;=0.85,"Top",IF((1-(COUNTIFS($B$2:$B$492,$B410,$O$2:$O$492,"&gt;"&amp;$O410)+1-1)/COUNTIF($B$2:$B$492,$B410))&gt;=0.6,"Buono",IF((1-(COUNTIFS($B$2:$B$492,$B410,$O$2:$O$492,"&gt;"&amp;$O410)+1-1)/COUNTIF($B$2:$B$492,$B410))&gt;=0.3,"Nella Media","Scommessa/Riserva")))),"")</f>
        <v>Scommessa/Riserva</v>
      </c>
      <c r="Q410" s="29" t="n">
        <f aca="false">IF($D410="",COUNTIF($D$2:$D410,""),"")</f>
        <v>409</v>
      </c>
      <c r="R410" s="29" t="str">
        <f aca="false">IF($D410='Info Lega'!$B$28,COUNTIFS($D$2:$D410,'Info Lega'!$B$28),"")</f>
        <v/>
      </c>
      <c r="S410" s="30" t="n">
        <f aca="false">IFERROR(INDEX('Input Statistiche 2025_26'!$G$3:$G$665,MATCH($A410,'Input Statistiche 2025_26'!$A$3:$A$665,0)),"")</f>
        <v>0</v>
      </c>
      <c r="T410" s="30" t="n">
        <f aca="false">IFERROR(INDEX('Input Statistiche 2025_26'!$H$3:$H$665,MATCH($A410,'Input Statistiche 2025_26'!$A$3:$A$665,0)),"")</f>
        <v>0</v>
      </c>
      <c r="U410" s="26" t="str">
        <f aca="false">IF(OR('La Mia Rosa'!$O$12="",$D410&lt;&gt;""),"",IF($F410&lt;='La Mia Rosa'!$O$12*'Parametri Modello'!$B$24,"OK",IF($F410&lt;='La Mia Rosa'!$O$12*'Parametri Modello'!$B$25,"Attenzione","Rischio Alto")))</f>
        <v>OK</v>
      </c>
      <c r="V410" s="26" t="n">
        <f aca="false">IFERROR(COUNTIFS($B$2:$B$492,$B410,$O$2:$O$492,"&gt;"&amp;$O410)+1,"")</f>
        <v>154</v>
      </c>
      <c r="W410" s="21" t="n">
        <f aca="false">'Info Lega'!$B$4-SUMIFS($M$2:$M$492,$D$2:$D$492,'Info Lega'!$B$28)</f>
        <v>1000</v>
      </c>
      <c r="X410" s="21" t="n">
        <f aca="false">('Info Lega'!$B$5-COUNTIFS($D$2:$D$492,'Info Lega'!$B$28,$B$2:$B$492,"P"))+('Info Lega'!$B$6-COUNTIFS($D$2:$D$492,'Info Lega'!$B$28,$B$2:$B$492,"D"))+('Info Lega'!$B$7-COUNTIFS($D$2:$D$492,'Info Lega'!$B$28,$B$2:$B$492,"C"))+('Info Lega'!$B$8-COUNTIFS($D$2:$D$492,'Info Lega'!$B$28,$B$2:$B$492,"A"))</f>
        <v>25</v>
      </c>
      <c r="Y410" s="21" t="n">
        <f aca="false">X410*'Parametri Modello'!$B$30</f>
        <v>25</v>
      </c>
      <c r="Z410" s="21" t="n">
        <f aca="false">MAX(0,W410-Y410)</f>
        <v>975</v>
      </c>
      <c r="AA410" s="21" t="n">
        <f aca="false">MIN(F410,Z410)</f>
        <v>1</v>
      </c>
      <c r="AB410" s="21"/>
      <c r="AC410" s="21" t="str">
        <f aca="false">IF(AB410="","",IF(AB410&gt;AA410,"PASS",IF(AB410&lt;=AA410*0.85,"BID","ATTENZIONE")))</f>
        <v/>
      </c>
      <c r="AD410" s="31" t="n">
        <f aca="false">IF(I410="","",ROUND(100*(1-EXP(-I410/30)),0))</f>
        <v>0</v>
      </c>
      <c r="AE410" s="7" t="str">
        <f aca="false">IFERROR(INDEX('Stato Asta'!$G$9:$G$12,MATCH($B410,'Stato Asta'!$A$9:$A$12,0)),"")</f>
        <v>🟡 Attesa rischiosa</v>
      </c>
    </row>
    <row r="411" customFormat="false" ht="14.25" hidden="false" customHeight="true" outlineLevel="0" collapsed="false">
      <c r="A411" s="21" t="n">
        <v>6917</v>
      </c>
      <c r="B411" s="21" t="s">
        <v>45</v>
      </c>
      <c r="C411" s="21" t="s">
        <v>511</v>
      </c>
      <c r="E411" s="26" t="str">
        <f aca="false">IF(COUNTIF('Info Strategia'!$D$2:$D$51,$C411)&gt;0,"SI","NO")</f>
        <v>NO</v>
      </c>
      <c r="F411" s="27" t="n">
        <f aca="false">IFERROR(ROUND(($G411+($H411-$G411)*'Info Strategia'!$B$6)*(1+IF($E411="SI",'Parametri Modello'!$B$7*'Info Strategia'!$B$6,0)),0),"")</f>
        <v>1</v>
      </c>
      <c r="G411" s="27" t="n">
        <f aca="false">IFERROR(ROUND(MAX(1,(IF($V411&lt;=INDEX('Parametri Modello'!$C$57:$C$60,MATCH($B411,'Parametri Modello'!$A$57:$A$60,0)),IF(INDEX('Parametri Modello'!$E$57:$E$60,MATCH($B411,'Parametri Modello'!$A$57:$A$60,0))=0,0,($O411/INDEX('Parametri Modello'!$E$57:$E$60,MATCH($B411,'Parametri Modello'!$A$57:$A$60,0)))*(INDEX('Parametri Modello'!$D$57:$D$60,MATCH($B411,'Parametri Modello'!$A$57:$A$60,0))*(INDEX('Parametri Modello'!$B$50:$B$53,MATCH($B411,'Parametri Modello'!$A$50:$A$53,0))*'Parametri Modello'!$B$44))),IF(INDEX('Parametri Modello'!$F$57:$F$60,MATCH($B411,'Parametri Modello'!$A$57:$A$60,0))=0,0,($O411/INDEX('Parametri Modello'!$F$57:$F$60,MATCH($B411,'Parametri Modello'!$A$57:$A$60,0)))*((1-INDEX('Parametri Modello'!$D$57:$D$60,MATCH($B411,'Parametri Modello'!$A$57:$A$60,0)))*(INDEX('Parametri Modello'!$B$50:$B$53,MATCH($B411,'Parametri Modello'!$A$50:$A$53,0))*'Parametri Modello'!$B$44))))*(1+IF(IF($B411="D",'Info Lega'!$B$25,IF($B411="C",'Info Lega'!$B$26,"No"))="Si",'Parametri Modello'!$B$5,0))*(1+MAX(-0.25,MIN(0.25,IF(OR($T411="",$I411="",$I411=0,INDEX('Parametri Modello'!$B$19:$B$22,MATCH($B411,'Parametri Modello'!$A$19:$A$22,0))="",INDEX('Parametri Modello'!$B$19:$B$22,MATCH($B411,'Parametri Modello'!$A$19:$A$22,0))=0),0,(($T411-INDEX('Parametri Modello'!$B$19:$B$22,MATCH($B411,'Parametri Modello'!$A$19:$A$22,0)))/INDEX('Parametri Modello'!$B$19:$B$22,MATCH($B411,'Parametri Modello'!$A$19:$A$22,0)))*'Parametri Modello'!$B$9))))*(1+IF('Parametri Modello'!$B$27="Si",MAX(-'Parametri Modello'!$B$28,MIN('Parametri Modello'!$B$28*1.5,IF(OR(INDEX('Parametri Modello'!$F$32:$F$35,MATCH($B411,'Parametri Modello'!$A$32:$A$35,0))="",INDEX('Parametri Modello'!$F$32:$F$35,MATCH($B411,'Parametri Modello'!$A$32:$A$35,0))=0),0,(1/INDEX('Parametri Modello'!$F$32:$F$35,MATCH($B411,'Parametri Modello'!$A$32:$A$35,0))-1)*'Parametri Modello'!$B$28))),0)))*(1-INDEX('Parametri Modello'!$B$12:$B$15,MATCH($B411,'Parametri Modello'!$A$12:$A$15,0)))),0),"")</f>
        <v>1</v>
      </c>
      <c r="H411" s="27" t="n">
        <f aca="false">IFERROR(ROUND((IF($V411&lt;=INDEX('Parametri Modello'!$C$57:$C$60,MATCH($B411,'Parametri Modello'!$A$57:$A$60,0)),IF(INDEX('Parametri Modello'!$E$57:$E$60,MATCH($B411,'Parametri Modello'!$A$57:$A$60,0))=0,0,($O411/INDEX('Parametri Modello'!$E$57:$E$60,MATCH($B411,'Parametri Modello'!$A$57:$A$60,0)))*(INDEX('Parametri Modello'!$D$57:$D$60,MATCH($B411,'Parametri Modello'!$A$57:$A$60,0))*(INDEX('Parametri Modello'!$B$50:$B$53,MATCH($B411,'Parametri Modello'!$A$50:$A$53,0))*'Parametri Modello'!$B$44))),IF(INDEX('Parametri Modello'!$F$57:$F$60,MATCH($B411,'Parametri Modello'!$A$57:$A$60,0))=0,0,($O411/INDEX('Parametri Modello'!$F$57:$F$60,MATCH($B411,'Parametri Modello'!$A$57:$A$60,0)))*((1-INDEX('Parametri Modello'!$D$57:$D$60,MATCH($B411,'Parametri Modello'!$A$57:$A$60,0)))*(INDEX('Parametri Modello'!$B$50:$B$53,MATCH($B411,'Parametri Modello'!$A$50:$A$53,0))*'Parametri Modello'!$B$44))))*(1+IF(IF($B411="D",'Info Lega'!$B$25,IF($B411="C",'Info Lega'!$B$26,"No"))="Si",'Parametri Modello'!$B$5,0))*(1+MAX(-0.25,MIN(0.25,IF(OR($T411="",$I411="",$I411=0,INDEX('Parametri Modello'!$B$19:$B$22,MATCH($B411,'Parametri Modello'!$A$19:$A$22,0))="",INDEX('Parametri Modello'!$B$19:$B$22,MATCH($B411,'Parametri Modello'!$A$19:$A$22,0))=0),0,(($T411-INDEX('Parametri Modello'!$B$19:$B$22,MATCH($B411,'Parametri Modello'!$A$19:$A$22,0)))/INDEX('Parametri Modello'!$B$19:$B$22,MATCH($B411,'Parametri Modello'!$A$19:$A$22,0)))*'Parametri Modello'!$B$9))))*(1+IF('Parametri Modello'!$B$27="Si",MAX(-'Parametri Modello'!$B$28,MIN('Parametri Modello'!$B$28*1.5,IF(OR(INDEX('Parametri Modello'!$F$32:$F$35,MATCH($B411,'Parametri Modello'!$A$32:$A$35,0))="",INDEX('Parametri Modello'!$F$32:$F$35,MATCH($B411,'Parametri Modello'!$A$32:$A$35,0))=0),0,(1/INDEX('Parametri Modello'!$F$32:$F$35,MATCH($B411,'Parametri Modello'!$A$32:$A$35,0))-1)*'Parametri Modello'!$B$28))),0)))*(1+INDEX('Parametri Modello'!$B$12:$B$15,MATCH($B411,'Parametri Modello'!$A$12:$A$15,0))),0),"")</f>
        <v>1</v>
      </c>
      <c r="I411" s="26" t="n">
        <f aca="false">IFERROR(INDEX('Input Statistiche 2025_26'!$F$3:$F$665,MATCH($A411,'Input Statistiche 2025_26'!$A$3:$A$665,0)),"")</f>
        <v>21</v>
      </c>
      <c r="J411" s="26" t="n">
        <f aca="false">IFERROR(IF($I411="","",MAX(0,38-$I411)),"")</f>
        <v>17</v>
      </c>
      <c r="K411" s="26" t="n">
        <f aca="false">IFERROR(INDEX('Input Statistiche 2025_26'!$I$3:$I$665,MATCH($A411,'Input Statistiche 2025_26'!$A$3:$A$665,0)),"")</f>
        <v>0</v>
      </c>
      <c r="L411" s="26" t="n">
        <f aca="false">IFERROR(INDEX('Input Statistiche 2025_26'!$O$3:$O$665,MATCH($A411,'Input Statistiche 2025_26'!$A$3:$A$665,0)),"")</f>
        <v>1</v>
      </c>
      <c r="M411" s="28"/>
      <c r="N411" s="27" t="n">
        <f aca="false">IFERROR(INDEX('Input Giocatori 2026_27'!$E$3:$E$493,MATCH($A411,'Input Giocatori 2026_27'!$A$3:$A$493,0)),"")</f>
        <v>2</v>
      </c>
      <c r="O411" s="27" t="n">
        <f aca="false">IFERROR(INDEX('Input Giocatori 2026_27'!$G$3:$G$493,MATCH($A411,'Input Giocatori 2026_27'!$A$3:$A$493,0)),"")</f>
        <v>4</v>
      </c>
      <c r="P411" s="26" t="str">
        <f aca="false">IFERROR(IF($O411="","",IF((1-(COUNTIFS($B$2:$B$492,$B411,$O$2:$O$492,"&gt;"&amp;$O411)+1-1)/COUNTIF($B$2:$B$492,$B411))&gt;=0.85,"Top",IF((1-(COUNTIFS($B$2:$B$492,$B411,$O$2:$O$492,"&gt;"&amp;$O411)+1-1)/COUNTIF($B$2:$B$492,$B411))&gt;=0.6,"Buono",IF((1-(COUNTIFS($B$2:$B$492,$B411,$O$2:$O$492,"&gt;"&amp;$O411)+1-1)/COUNTIF($B$2:$B$492,$B411))&gt;=0.3,"Nella Media","Scommessa/Riserva")))),"")</f>
        <v>Scommessa/Riserva</v>
      </c>
      <c r="Q411" s="29" t="n">
        <f aca="false">IF($D411="",COUNTIF($D$2:$D411,""),"")</f>
        <v>410</v>
      </c>
      <c r="R411" s="29" t="str">
        <f aca="false">IF($D411='Info Lega'!$B$28,COUNTIFS($D$2:$D411,'Info Lega'!$B$28),"")</f>
        <v/>
      </c>
      <c r="S411" s="30" t="n">
        <f aca="false">IFERROR(INDEX('Input Statistiche 2025_26'!$G$3:$G$665,MATCH($A411,'Input Statistiche 2025_26'!$A$3:$A$665,0)),"")</f>
        <v>5.98</v>
      </c>
      <c r="T411" s="30" t="n">
        <f aca="false">IFERROR(INDEX('Input Statistiche 2025_26'!$H$3:$H$665,MATCH($A411,'Input Statistiche 2025_26'!$A$3:$A$665,0)),"")</f>
        <v>5.9</v>
      </c>
      <c r="U411" s="26" t="str">
        <f aca="false">IF(OR('La Mia Rosa'!$O$12="",$D411&lt;&gt;""),"",IF($F411&lt;='La Mia Rosa'!$O$12*'Parametri Modello'!$B$24,"OK",IF($F411&lt;='La Mia Rosa'!$O$12*'Parametri Modello'!$B$25,"Attenzione","Rischio Alto")))</f>
        <v>OK</v>
      </c>
      <c r="V411" s="26" t="n">
        <f aca="false">IFERROR(COUNTIFS($B$2:$B$492,$B411,$O$2:$O$492,"&gt;"&amp;$O411)+1,"")</f>
        <v>154</v>
      </c>
      <c r="W411" s="21" t="n">
        <f aca="false">'Info Lega'!$B$4-SUMIFS($M$2:$M$492,$D$2:$D$492,'Info Lega'!$B$28)</f>
        <v>1000</v>
      </c>
      <c r="X411" s="21" t="n">
        <f aca="false">('Info Lega'!$B$5-COUNTIFS($D$2:$D$492,'Info Lega'!$B$28,$B$2:$B$492,"P"))+('Info Lega'!$B$6-COUNTIFS($D$2:$D$492,'Info Lega'!$B$28,$B$2:$B$492,"D"))+('Info Lega'!$B$7-COUNTIFS($D$2:$D$492,'Info Lega'!$B$28,$B$2:$B$492,"C"))+('Info Lega'!$B$8-COUNTIFS($D$2:$D$492,'Info Lega'!$B$28,$B$2:$B$492,"A"))</f>
        <v>25</v>
      </c>
      <c r="Y411" s="21" t="n">
        <f aca="false">X411*'Parametri Modello'!$B$30</f>
        <v>25</v>
      </c>
      <c r="Z411" s="21" t="n">
        <f aca="false">MAX(0,W411-Y411)</f>
        <v>975</v>
      </c>
      <c r="AA411" s="21" t="n">
        <f aca="false">MIN(F411,Z411)</f>
        <v>1</v>
      </c>
      <c r="AB411" s="21"/>
      <c r="AC411" s="21" t="str">
        <f aca="false">IF(AB411="","",IF(AB411&gt;AA411,"PASS",IF(AB411&lt;=AA411*0.85,"BID","ATTENZIONE")))</f>
        <v/>
      </c>
      <c r="AD411" s="31" t="n">
        <f aca="false">IF(I411="","",ROUND(100*(1-EXP(-I411/30)),0))</f>
        <v>50</v>
      </c>
      <c r="AE411" s="7" t="str">
        <f aca="false">IFERROR(INDEX('Stato Asta'!$G$9:$G$12,MATCH($B411,'Stato Asta'!$A$9:$A$12,0)),"")</f>
        <v>🟡 Attesa rischiosa</v>
      </c>
    </row>
    <row r="412" customFormat="false" ht="14.25" hidden="false" customHeight="true" outlineLevel="0" collapsed="false">
      <c r="A412" s="21" t="n">
        <v>526</v>
      </c>
      <c r="B412" s="21" t="s">
        <v>45</v>
      </c>
      <c r="C412" s="21" t="s">
        <v>520</v>
      </c>
      <c r="E412" s="26" t="str">
        <f aca="false">IF(COUNTIF('Info Strategia'!$D$2:$D$51,$C412)&gt;0,"SI","NO")</f>
        <v>NO</v>
      </c>
      <c r="F412" s="27" t="n">
        <f aca="false">IFERROR(ROUND(($G412+($H412-$G412)*'Info Strategia'!$B$6)*(1+IF($E412="SI",'Parametri Modello'!$B$7*'Info Strategia'!$B$6,0)),0),"")</f>
        <v>1</v>
      </c>
      <c r="G412" s="27" t="n">
        <f aca="false">IFERROR(ROUND(MAX(1,(IF($V412&lt;=INDEX('Parametri Modello'!$C$57:$C$60,MATCH($B412,'Parametri Modello'!$A$57:$A$60,0)),IF(INDEX('Parametri Modello'!$E$57:$E$60,MATCH($B412,'Parametri Modello'!$A$57:$A$60,0))=0,0,($O412/INDEX('Parametri Modello'!$E$57:$E$60,MATCH($B412,'Parametri Modello'!$A$57:$A$60,0)))*(INDEX('Parametri Modello'!$D$57:$D$60,MATCH($B412,'Parametri Modello'!$A$57:$A$60,0))*(INDEX('Parametri Modello'!$B$50:$B$53,MATCH($B412,'Parametri Modello'!$A$50:$A$53,0))*'Parametri Modello'!$B$44))),IF(INDEX('Parametri Modello'!$F$57:$F$60,MATCH($B412,'Parametri Modello'!$A$57:$A$60,0))=0,0,($O412/INDEX('Parametri Modello'!$F$57:$F$60,MATCH($B412,'Parametri Modello'!$A$57:$A$60,0)))*((1-INDEX('Parametri Modello'!$D$57:$D$60,MATCH($B412,'Parametri Modello'!$A$57:$A$60,0)))*(INDEX('Parametri Modello'!$B$50:$B$53,MATCH($B412,'Parametri Modello'!$A$50:$A$53,0))*'Parametri Modello'!$B$44))))*(1+IF(IF($B412="D",'Info Lega'!$B$25,IF($B412="C",'Info Lega'!$B$26,"No"))="Si",'Parametri Modello'!$B$5,0))*(1+MAX(-0.25,MIN(0.25,IF(OR($T412="",$I412="",$I412=0,INDEX('Parametri Modello'!$B$19:$B$22,MATCH($B412,'Parametri Modello'!$A$19:$A$22,0))="",INDEX('Parametri Modello'!$B$19:$B$22,MATCH($B412,'Parametri Modello'!$A$19:$A$22,0))=0),0,(($T412-INDEX('Parametri Modello'!$B$19:$B$22,MATCH($B412,'Parametri Modello'!$A$19:$A$22,0)))/INDEX('Parametri Modello'!$B$19:$B$22,MATCH($B412,'Parametri Modello'!$A$19:$A$22,0)))*'Parametri Modello'!$B$9))))*(1+IF('Parametri Modello'!$B$27="Si",MAX(-'Parametri Modello'!$B$28,MIN('Parametri Modello'!$B$28*1.5,IF(OR(INDEX('Parametri Modello'!$F$32:$F$35,MATCH($B412,'Parametri Modello'!$A$32:$A$35,0))="",INDEX('Parametri Modello'!$F$32:$F$35,MATCH($B412,'Parametri Modello'!$A$32:$A$35,0))=0),0,(1/INDEX('Parametri Modello'!$F$32:$F$35,MATCH($B412,'Parametri Modello'!$A$32:$A$35,0))-1)*'Parametri Modello'!$B$28))),0)))*(1-INDEX('Parametri Modello'!$B$12:$B$15,MATCH($B412,'Parametri Modello'!$A$12:$A$15,0)))),0),"")</f>
        <v>1</v>
      </c>
      <c r="H412" s="27" t="n">
        <f aca="false">IFERROR(ROUND((IF($V412&lt;=INDEX('Parametri Modello'!$C$57:$C$60,MATCH($B412,'Parametri Modello'!$A$57:$A$60,0)),IF(INDEX('Parametri Modello'!$E$57:$E$60,MATCH($B412,'Parametri Modello'!$A$57:$A$60,0))=0,0,($O412/INDEX('Parametri Modello'!$E$57:$E$60,MATCH($B412,'Parametri Modello'!$A$57:$A$60,0)))*(INDEX('Parametri Modello'!$D$57:$D$60,MATCH($B412,'Parametri Modello'!$A$57:$A$60,0))*(INDEX('Parametri Modello'!$B$50:$B$53,MATCH($B412,'Parametri Modello'!$A$50:$A$53,0))*'Parametri Modello'!$B$44))),IF(INDEX('Parametri Modello'!$F$57:$F$60,MATCH($B412,'Parametri Modello'!$A$57:$A$60,0))=0,0,($O412/INDEX('Parametri Modello'!$F$57:$F$60,MATCH($B412,'Parametri Modello'!$A$57:$A$60,0)))*((1-INDEX('Parametri Modello'!$D$57:$D$60,MATCH($B412,'Parametri Modello'!$A$57:$A$60,0)))*(INDEX('Parametri Modello'!$B$50:$B$53,MATCH($B412,'Parametri Modello'!$A$50:$A$53,0))*'Parametri Modello'!$B$44))))*(1+IF(IF($B412="D",'Info Lega'!$B$25,IF($B412="C",'Info Lega'!$B$26,"No"))="Si",'Parametri Modello'!$B$5,0))*(1+MAX(-0.25,MIN(0.25,IF(OR($T412="",$I412="",$I412=0,INDEX('Parametri Modello'!$B$19:$B$22,MATCH($B412,'Parametri Modello'!$A$19:$A$22,0))="",INDEX('Parametri Modello'!$B$19:$B$22,MATCH($B412,'Parametri Modello'!$A$19:$A$22,0))=0),0,(($T412-INDEX('Parametri Modello'!$B$19:$B$22,MATCH($B412,'Parametri Modello'!$A$19:$A$22,0)))/INDEX('Parametri Modello'!$B$19:$B$22,MATCH($B412,'Parametri Modello'!$A$19:$A$22,0)))*'Parametri Modello'!$B$9))))*(1+IF('Parametri Modello'!$B$27="Si",MAX(-'Parametri Modello'!$B$28,MIN('Parametri Modello'!$B$28*1.5,IF(OR(INDEX('Parametri Modello'!$F$32:$F$35,MATCH($B412,'Parametri Modello'!$A$32:$A$35,0))="",INDEX('Parametri Modello'!$F$32:$F$35,MATCH($B412,'Parametri Modello'!$A$32:$A$35,0))=0),0,(1/INDEX('Parametri Modello'!$F$32:$F$35,MATCH($B412,'Parametri Modello'!$A$32:$A$35,0))-1)*'Parametri Modello'!$B$28))),0)))*(1+INDEX('Parametri Modello'!$B$12:$B$15,MATCH($B412,'Parametri Modello'!$A$12:$A$15,0))),0),"")</f>
        <v>1</v>
      </c>
      <c r="I412" s="26" t="str">
        <f aca="false">IFERROR(INDEX('Input Statistiche 2025_26'!$F$3:$F$665,MATCH($A412,'Input Statistiche 2025_26'!$A$3:$A$665,0)),"")</f>
        <v/>
      </c>
      <c r="J412" s="26" t="str">
        <f aca="false">IFERROR(IF($I412="","",MAX(0,38-$I412)),"")</f>
        <v/>
      </c>
      <c r="K412" s="26" t="str">
        <f aca="false">IFERROR(INDEX('Input Statistiche 2025_26'!$I$3:$I$665,MATCH($A412,'Input Statistiche 2025_26'!$A$3:$A$665,0)),"")</f>
        <v/>
      </c>
      <c r="L412" s="26" t="str">
        <f aca="false">IFERROR(INDEX('Input Statistiche 2025_26'!$O$3:$O$665,MATCH($A412,'Input Statistiche 2025_26'!$A$3:$A$665,0)),"")</f>
        <v/>
      </c>
      <c r="M412" s="28"/>
      <c r="N412" s="27" t="n">
        <f aca="false">IFERROR(INDEX('Input Giocatori 2026_27'!$E$3:$E$493,MATCH($A412,'Input Giocatori 2026_27'!$A$3:$A$493,0)),"")</f>
        <v>2</v>
      </c>
      <c r="O412" s="27" t="n">
        <f aca="false">IFERROR(INDEX('Input Giocatori 2026_27'!$G$3:$G$493,MATCH($A412,'Input Giocatori 2026_27'!$A$3:$A$493,0)),"")</f>
        <v>4</v>
      </c>
      <c r="P412" s="26" t="str">
        <f aca="false">IFERROR(IF($O412="","",IF((1-(COUNTIFS($B$2:$B$492,$B412,$O$2:$O$492,"&gt;"&amp;$O412)+1-1)/COUNTIF($B$2:$B$492,$B412))&gt;=0.85,"Top",IF((1-(COUNTIFS($B$2:$B$492,$B412,$O$2:$O$492,"&gt;"&amp;$O412)+1-1)/COUNTIF($B$2:$B$492,$B412))&gt;=0.6,"Buono",IF((1-(COUNTIFS($B$2:$B$492,$B412,$O$2:$O$492,"&gt;"&amp;$O412)+1-1)/COUNTIF($B$2:$B$492,$B412))&gt;=0.3,"Nella Media","Scommessa/Riserva")))),"")</f>
        <v>Scommessa/Riserva</v>
      </c>
      <c r="Q412" s="29" t="n">
        <f aca="false">IF($D412="",COUNTIF($D$2:$D412,""),"")</f>
        <v>411</v>
      </c>
      <c r="R412" s="29" t="str">
        <f aca="false">IF($D412='Info Lega'!$B$28,COUNTIFS($D$2:$D412,'Info Lega'!$B$28),"")</f>
        <v/>
      </c>
      <c r="S412" s="30" t="str">
        <f aca="false">IFERROR(INDEX('Input Statistiche 2025_26'!$G$3:$G$665,MATCH($A412,'Input Statistiche 2025_26'!$A$3:$A$665,0)),"")</f>
        <v/>
      </c>
      <c r="T412" s="30" t="str">
        <f aca="false">IFERROR(INDEX('Input Statistiche 2025_26'!$H$3:$H$665,MATCH($A412,'Input Statistiche 2025_26'!$A$3:$A$665,0)),"")</f>
        <v/>
      </c>
      <c r="U412" s="26" t="str">
        <f aca="false">IF(OR('La Mia Rosa'!$O$12="",$D412&lt;&gt;""),"",IF($F412&lt;='La Mia Rosa'!$O$12*'Parametri Modello'!$B$24,"OK",IF($F412&lt;='La Mia Rosa'!$O$12*'Parametri Modello'!$B$25,"Attenzione","Rischio Alto")))</f>
        <v>OK</v>
      </c>
      <c r="V412" s="26" t="n">
        <f aca="false">IFERROR(COUNTIFS($B$2:$B$492,$B412,$O$2:$O$492,"&gt;"&amp;$O412)+1,"")</f>
        <v>154</v>
      </c>
      <c r="W412" s="21" t="n">
        <f aca="false">'Info Lega'!$B$4-SUMIFS($M$2:$M$492,$D$2:$D$492,'Info Lega'!$B$28)</f>
        <v>1000</v>
      </c>
      <c r="X412" s="21" t="n">
        <f aca="false">('Info Lega'!$B$5-COUNTIFS($D$2:$D$492,'Info Lega'!$B$28,$B$2:$B$492,"P"))+('Info Lega'!$B$6-COUNTIFS($D$2:$D$492,'Info Lega'!$B$28,$B$2:$B$492,"D"))+('Info Lega'!$B$7-COUNTIFS($D$2:$D$492,'Info Lega'!$B$28,$B$2:$B$492,"C"))+('Info Lega'!$B$8-COUNTIFS($D$2:$D$492,'Info Lega'!$B$28,$B$2:$B$492,"A"))</f>
        <v>25</v>
      </c>
      <c r="Y412" s="21" t="n">
        <f aca="false">X412*'Parametri Modello'!$B$30</f>
        <v>25</v>
      </c>
      <c r="Z412" s="21" t="n">
        <f aca="false">MAX(0,W412-Y412)</f>
        <v>975</v>
      </c>
      <c r="AA412" s="21" t="n">
        <f aca="false">MIN(F412,Z412)</f>
        <v>1</v>
      </c>
      <c r="AB412" s="21"/>
      <c r="AC412" s="21" t="str">
        <f aca="false">IF(AB412="","",IF(AB412&gt;AA412,"PASS",IF(AB412&lt;=AA412*0.85,"BID","ATTENZIONE")))</f>
        <v/>
      </c>
      <c r="AD412" s="31" t="str">
        <f aca="false">IF(I412="","",ROUND(100*(1-EXP(-I412/30)),0))</f>
        <v/>
      </c>
      <c r="AE412" s="7" t="str">
        <f aca="false">IFERROR(INDEX('Stato Asta'!$G$9:$G$12,MATCH($B412,'Stato Asta'!$A$9:$A$12,0)),"")</f>
        <v>🟡 Attesa rischiosa</v>
      </c>
    </row>
    <row r="413" customFormat="false" ht="14.25" hidden="false" customHeight="true" outlineLevel="0" collapsed="false">
      <c r="A413" s="21" t="n">
        <v>5007</v>
      </c>
      <c r="B413" s="21" t="s">
        <v>45</v>
      </c>
      <c r="C413" s="21" t="s">
        <v>532</v>
      </c>
      <c r="E413" s="26" t="str">
        <f aca="false">IF(COUNTIF('Info Strategia'!$D$2:$D$51,$C413)&gt;0,"SI","NO")</f>
        <v>NO</v>
      </c>
      <c r="F413" s="27" t="n">
        <f aca="false">IFERROR(ROUND(($G413+($H413-$G413)*'Info Strategia'!$B$6)*(1+IF($E413="SI",'Parametri Modello'!$B$7*'Info Strategia'!$B$6,0)),0),"")</f>
        <v>1</v>
      </c>
      <c r="G413" s="27" t="n">
        <f aca="false">IFERROR(ROUND(MAX(1,(IF($V413&lt;=INDEX('Parametri Modello'!$C$57:$C$60,MATCH($B413,'Parametri Modello'!$A$57:$A$60,0)),IF(INDEX('Parametri Modello'!$E$57:$E$60,MATCH($B413,'Parametri Modello'!$A$57:$A$60,0))=0,0,($O413/INDEX('Parametri Modello'!$E$57:$E$60,MATCH($B413,'Parametri Modello'!$A$57:$A$60,0)))*(INDEX('Parametri Modello'!$D$57:$D$60,MATCH($B413,'Parametri Modello'!$A$57:$A$60,0))*(INDEX('Parametri Modello'!$B$50:$B$53,MATCH($B413,'Parametri Modello'!$A$50:$A$53,0))*'Parametri Modello'!$B$44))),IF(INDEX('Parametri Modello'!$F$57:$F$60,MATCH($B413,'Parametri Modello'!$A$57:$A$60,0))=0,0,($O413/INDEX('Parametri Modello'!$F$57:$F$60,MATCH($B413,'Parametri Modello'!$A$57:$A$60,0)))*((1-INDEX('Parametri Modello'!$D$57:$D$60,MATCH($B413,'Parametri Modello'!$A$57:$A$60,0)))*(INDEX('Parametri Modello'!$B$50:$B$53,MATCH($B413,'Parametri Modello'!$A$50:$A$53,0))*'Parametri Modello'!$B$44))))*(1+IF(IF($B413="D",'Info Lega'!$B$25,IF($B413="C",'Info Lega'!$B$26,"No"))="Si",'Parametri Modello'!$B$5,0))*(1+MAX(-0.25,MIN(0.25,IF(OR($T413="",$I413="",$I413=0,INDEX('Parametri Modello'!$B$19:$B$22,MATCH($B413,'Parametri Modello'!$A$19:$A$22,0))="",INDEX('Parametri Modello'!$B$19:$B$22,MATCH($B413,'Parametri Modello'!$A$19:$A$22,0))=0),0,(($T413-INDEX('Parametri Modello'!$B$19:$B$22,MATCH($B413,'Parametri Modello'!$A$19:$A$22,0)))/INDEX('Parametri Modello'!$B$19:$B$22,MATCH($B413,'Parametri Modello'!$A$19:$A$22,0)))*'Parametri Modello'!$B$9))))*(1+IF('Parametri Modello'!$B$27="Si",MAX(-'Parametri Modello'!$B$28,MIN('Parametri Modello'!$B$28*1.5,IF(OR(INDEX('Parametri Modello'!$F$32:$F$35,MATCH($B413,'Parametri Modello'!$A$32:$A$35,0))="",INDEX('Parametri Modello'!$F$32:$F$35,MATCH($B413,'Parametri Modello'!$A$32:$A$35,0))=0),0,(1/INDEX('Parametri Modello'!$F$32:$F$35,MATCH($B413,'Parametri Modello'!$A$32:$A$35,0))-1)*'Parametri Modello'!$B$28))),0)))*(1-INDEX('Parametri Modello'!$B$12:$B$15,MATCH($B413,'Parametri Modello'!$A$12:$A$15,0)))),0),"")</f>
        <v>1</v>
      </c>
      <c r="H413" s="27" t="n">
        <f aca="false">IFERROR(ROUND((IF($V413&lt;=INDEX('Parametri Modello'!$C$57:$C$60,MATCH($B413,'Parametri Modello'!$A$57:$A$60,0)),IF(INDEX('Parametri Modello'!$E$57:$E$60,MATCH($B413,'Parametri Modello'!$A$57:$A$60,0))=0,0,($O413/INDEX('Parametri Modello'!$E$57:$E$60,MATCH($B413,'Parametri Modello'!$A$57:$A$60,0)))*(INDEX('Parametri Modello'!$D$57:$D$60,MATCH($B413,'Parametri Modello'!$A$57:$A$60,0))*(INDEX('Parametri Modello'!$B$50:$B$53,MATCH($B413,'Parametri Modello'!$A$50:$A$53,0))*'Parametri Modello'!$B$44))),IF(INDEX('Parametri Modello'!$F$57:$F$60,MATCH($B413,'Parametri Modello'!$A$57:$A$60,0))=0,0,($O413/INDEX('Parametri Modello'!$F$57:$F$60,MATCH($B413,'Parametri Modello'!$A$57:$A$60,0)))*((1-INDEX('Parametri Modello'!$D$57:$D$60,MATCH($B413,'Parametri Modello'!$A$57:$A$60,0)))*(INDEX('Parametri Modello'!$B$50:$B$53,MATCH($B413,'Parametri Modello'!$A$50:$A$53,0))*'Parametri Modello'!$B$44))))*(1+IF(IF($B413="D",'Info Lega'!$B$25,IF($B413="C",'Info Lega'!$B$26,"No"))="Si",'Parametri Modello'!$B$5,0))*(1+MAX(-0.25,MIN(0.25,IF(OR($T413="",$I413="",$I413=0,INDEX('Parametri Modello'!$B$19:$B$22,MATCH($B413,'Parametri Modello'!$A$19:$A$22,0))="",INDEX('Parametri Modello'!$B$19:$B$22,MATCH($B413,'Parametri Modello'!$A$19:$A$22,0))=0),0,(($T413-INDEX('Parametri Modello'!$B$19:$B$22,MATCH($B413,'Parametri Modello'!$A$19:$A$22,0)))/INDEX('Parametri Modello'!$B$19:$B$22,MATCH($B413,'Parametri Modello'!$A$19:$A$22,0)))*'Parametri Modello'!$B$9))))*(1+IF('Parametri Modello'!$B$27="Si",MAX(-'Parametri Modello'!$B$28,MIN('Parametri Modello'!$B$28*1.5,IF(OR(INDEX('Parametri Modello'!$F$32:$F$35,MATCH($B413,'Parametri Modello'!$A$32:$A$35,0))="",INDEX('Parametri Modello'!$F$32:$F$35,MATCH($B413,'Parametri Modello'!$A$32:$A$35,0))=0),0,(1/INDEX('Parametri Modello'!$F$32:$F$35,MATCH($B413,'Parametri Modello'!$A$32:$A$35,0))-1)*'Parametri Modello'!$B$28))),0)))*(1+INDEX('Parametri Modello'!$B$12:$B$15,MATCH($B413,'Parametri Modello'!$A$12:$A$15,0))),0),"")</f>
        <v>1</v>
      </c>
      <c r="I413" s="26" t="n">
        <f aca="false">IFERROR(INDEX('Input Statistiche 2025_26'!$F$3:$F$665,MATCH($A413,'Input Statistiche 2025_26'!$A$3:$A$665,0)),"")</f>
        <v>8</v>
      </c>
      <c r="J413" s="26" t="n">
        <f aca="false">IFERROR(IF($I413="","",MAX(0,38-$I413)),"")</f>
        <v>30</v>
      </c>
      <c r="K413" s="26" t="n">
        <f aca="false">IFERROR(INDEX('Input Statistiche 2025_26'!$I$3:$I$665,MATCH($A413,'Input Statistiche 2025_26'!$A$3:$A$665,0)),"")</f>
        <v>0</v>
      </c>
      <c r="L413" s="26" t="n">
        <f aca="false">IFERROR(INDEX('Input Statistiche 2025_26'!$O$3:$O$665,MATCH($A413,'Input Statistiche 2025_26'!$A$3:$A$665,0)),"")</f>
        <v>0</v>
      </c>
      <c r="M413" s="28"/>
      <c r="N413" s="27" t="n">
        <f aca="false">IFERROR(INDEX('Input Giocatori 2026_27'!$E$3:$E$493,MATCH($A413,'Input Giocatori 2026_27'!$A$3:$A$493,0)),"")</f>
        <v>1</v>
      </c>
      <c r="O413" s="27" t="n">
        <f aca="false">IFERROR(INDEX('Input Giocatori 2026_27'!$G$3:$G$493,MATCH($A413,'Input Giocatori 2026_27'!$A$3:$A$493,0)),"")</f>
        <v>4</v>
      </c>
      <c r="P413" s="26" t="str">
        <f aca="false">IFERROR(IF($O413="","",IF((1-(COUNTIFS($B$2:$B$492,$B413,$O$2:$O$492,"&gt;"&amp;$O413)+1-1)/COUNTIF($B$2:$B$492,$B413))&gt;=0.85,"Top",IF((1-(COUNTIFS($B$2:$B$492,$B413,$O$2:$O$492,"&gt;"&amp;$O413)+1-1)/COUNTIF($B$2:$B$492,$B413))&gt;=0.6,"Buono",IF((1-(COUNTIFS($B$2:$B$492,$B413,$O$2:$O$492,"&gt;"&amp;$O413)+1-1)/COUNTIF($B$2:$B$492,$B413))&gt;=0.3,"Nella Media","Scommessa/Riserva")))),"")</f>
        <v>Scommessa/Riserva</v>
      </c>
      <c r="Q413" s="29" t="n">
        <f aca="false">IF($D413="",COUNTIF($D$2:$D413,""),"")</f>
        <v>412</v>
      </c>
      <c r="R413" s="29" t="str">
        <f aca="false">IF($D413='Info Lega'!$B$28,COUNTIFS($D$2:$D413,'Info Lega'!$B$28),"")</f>
        <v/>
      </c>
      <c r="S413" s="30" t="n">
        <f aca="false">IFERROR(INDEX('Input Statistiche 2025_26'!$G$3:$G$665,MATCH($A413,'Input Statistiche 2025_26'!$A$3:$A$665,0)),"")</f>
        <v>6</v>
      </c>
      <c r="T413" s="30" t="n">
        <f aca="false">IFERROR(INDEX('Input Statistiche 2025_26'!$H$3:$H$665,MATCH($A413,'Input Statistiche 2025_26'!$A$3:$A$665,0)),"")</f>
        <v>5.88</v>
      </c>
      <c r="U413" s="26" t="str">
        <f aca="false">IF(OR('La Mia Rosa'!$O$12="",$D413&lt;&gt;""),"",IF($F413&lt;='La Mia Rosa'!$O$12*'Parametri Modello'!$B$24,"OK",IF($F413&lt;='La Mia Rosa'!$O$12*'Parametri Modello'!$B$25,"Attenzione","Rischio Alto")))</f>
        <v>OK</v>
      </c>
      <c r="V413" s="26" t="n">
        <f aca="false">IFERROR(COUNTIFS($B$2:$B$492,$B413,$O$2:$O$492,"&gt;"&amp;$O413)+1,"")</f>
        <v>154</v>
      </c>
      <c r="W413" s="21" t="n">
        <f aca="false">'Info Lega'!$B$4-SUMIFS($M$2:$M$492,$D$2:$D$492,'Info Lega'!$B$28)</f>
        <v>1000</v>
      </c>
      <c r="X413" s="21" t="n">
        <f aca="false">('Info Lega'!$B$5-COUNTIFS($D$2:$D$492,'Info Lega'!$B$28,$B$2:$B$492,"P"))+('Info Lega'!$B$6-COUNTIFS($D$2:$D$492,'Info Lega'!$B$28,$B$2:$B$492,"D"))+('Info Lega'!$B$7-COUNTIFS($D$2:$D$492,'Info Lega'!$B$28,$B$2:$B$492,"C"))+('Info Lega'!$B$8-COUNTIFS($D$2:$D$492,'Info Lega'!$B$28,$B$2:$B$492,"A"))</f>
        <v>25</v>
      </c>
      <c r="Y413" s="21" t="n">
        <f aca="false">X413*'Parametri Modello'!$B$30</f>
        <v>25</v>
      </c>
      <c r="Z413" s="21" t="n">
        <f aca="false">MAX(0,W413-Y413)</f>
        <v>975</v>
      </c>
      <c r="AA413" s="21" t="n">
        <f aca="false">MIN(F413,Z413)</f>
        <v>1</v>
      </c>
      <c r="AB413" s="21"/>
      <c r="AC413" s="21" t="str">
        <f aca="false">IF(AB413="","",IF(AB413&gt;AA413,"PASS",IF(AB413&lt;=AA413*0.85,"BID","ATTENZIONE")))</f>
        <v/>
      </c>
      <c r="AD413" s="31" t="n">
        <f aca="false">IF(I413="","",ROUND(100*(1-EXP(-I413/30)),0))</f>
        <v>23</v>
      </c>
      <c r="AE413" s="7" t="str">
        <f aca="false">IFERROR(INDEX('Stato Asta'!$G$9:$G$12,MATCH($B413,'Stato Asta'!$A$9:$A$12,0)),"")</f>
        <v>🟡 Attesa rischiosa</v>
      </c>
    </row>
    <row r="414" customFormat="false" ht="14.25" hidden="false" customHeight="true" outlineLevel="0" collapsed="false">
      <c r="A414" s="21" t="n">
        <v>6889</v>
      </c>
      <c r="B414" s="21" t="s">
        <v>45</v>
      </c>
      <c r="C414" s="21" t="s">
        <v>533</v>
      </c>
      <c r="E414" s="26" t="str">
        <f aca="false">IF(COUNTIF('Info Strategia'!$D$2:$D$51,$C414)&gt;0,"SI","NO")</f>
        <v>NO</v>
      </c>
      <c r="F414" s="27" t="n">
        <f aca="false">IFERROR(ROUND(($G414+($H414-$G414)*'Info Strategia'!$B$6)*(1+IF($E414="SI",'Parametri Modello'!$B$7*'Info Strategia'!$B$6,0)),0),"")</f>
        <v>1</v>
      </c>
      <c r="G414" s="27" t="n">
        <f aca="false">IFERROR(ROUND(MAX(1,(IF($V414&lt;=INDEX('Parametri Modello'!$C$57:$C$60,MATCH($B414,'Parametri Modello'!$A$57:$A$60,0)),IF(INDEX('Parametri Modello'!$E$57:$E$60,MATCH($B414,'Parametri Modello'!$A$57:$A$60,0))=0,0,($O414/INDEX('Parametri Modello'!$E$57:$E$60,MATCH($B414,'Parametri Modello'!$A$57:$A$60,0)))*(INDEX('Parametri Modello'!$D$57:$D$60,MATCH($B414,'Parametri Modello'!$A$57:$A$60,0))*(INDEX('Parametri Modello'!$B$50:$B$53,MATCH($B414,'Parametri Modello'!$A$50:$A$53,0))*'Parametri Modello'!$B$44))),IF(INDEX('Parametri Modello'!$F$57:$F$60,MATCH($B414,'Parametri Modello'!$A$57:$A$60,0))=0,0,($O414/INDEX('Parametri Modello'!$F$57:$F$60,MATCH($B414,'Parametri Modello'!$A$57:$A$60,0)))*((1-INDEX('Parametri Modello'!$D$57:$D$60,MATCH($B414,'Parametri Modello'!$A$57:$A$60,0)))*(INDEX('Parametri Modello'!$B$50:$B$53,MATCH($B414,'Parametri Modello'!$A$50:$A$53,0))*'Parametri Modello'!$B$44))))*(1+IF(IF($B414="D",'Info Lega'!$B$25,IF($B414="C",'Info Lega'!$B$26,"No"))="Si",'Parametri Modello'!$B$5,0))*(1+MAX(-0.25,MIN(0.25,IF(OR($T414="",$I414="",$I414=0,INDEX('Parametri Modello'!$B$19:$B$22,MATCH($B414,'Parametri Modello'!$A$19:$A$22,0))="",INDEX('Parametri Modello'!$B$19:$B$22,MATCH($B414,'Parametri Modello'!$A$19:$A$22,0))=0),0,(($T414-INDEX('Parametri Modello'!$B$19:$B$22,MATCH($B414,'Parametri Modello'!$A$19:$A$22,0)))/INDEX('Parametri Modello'!$B$19:$B$22,MATCH($B414,'Parametri Modello'!$A$19:$A$22,0)))*'Parametri Modello'!$B$9))))*(1+IF('Parametri Modello'!$B$27="Si",MAX(-'Parametri Modello'!$B$28,MIN('Parametri Modello'!$B$28*1.5,IF(OR(INDEX('Parametri Modello'!$F$32:$F$35,MATCH($B414,'Parametri Modello'!$A$32:$A$35,0))="",INDEX('Parametri Modello'!$F$32:$F$35,MATCH($B414,'Parametri Modello'!$A$32:$A$35,0))=0),0,(1/INDEX('Parametri Modello'!$F$32:$F$35,MATCH($B414,'Parametri Modello'!$A$32:$A$35,0))-1)*'Parametri Modello'!$B$28))),0)))*(1-INDEX('Parametri Modello'!$B$12:$B$15,MATCH($B414,'Parametri Modello'!$A$12:$A$15,0)))),0),"")</f>
        <v>1</v>
      </c>
      <c r="H414" s="27" t="n">
        <f aca="false">IFERROR(ROUND((IF($V414&lt;=INDEX('Parametri Modello'!$C$57:$C$60,MATCH($B414,'Parametri Modello'!$A$57:$A$60,0)),IF(INDEX('Parametri Modello'!$E$57:$E$60,MATCH($B414,'Parametri Modello'!$A$57:$A$60,0))=0,0,($O414/INDEX('Parametri Modello'!$E$57:$E$60,MATCH($B414,'Parametri Modello'!$A$57:$A$60,0)))*(INDEX('Parametri Modello'!$D$57:$D$60,MATCH($B414,'Parametri Modello'!$A$57:$A$60,0))*(INDEX('Parametri Modello'!$B$50:$B$53,MATCH($B414,'Parametri Modello'!$A$50:$A$53,0))*'Parametri Modello'!$B$44))),IF(INDEX('Parametri Modello'!$F$57:$F$60,MATCH($B414,'Parametri Modello'!$A$57:$A$60,0))=0,0,($O414/INDEX('Parametri Modello'!$F$57:$F$60,MATCH($B414,'Parametri Modello'!$A$57:$A$60,0)))*((1-INDEX('Parametri Modello'!$D$57:$D$60,MATCH($B414,'Parametri Modello'!$A$57:$A$60,0)))*(INDEX('Parametri Modello'!$B$50:$B$53,MATCH($B414,'Parametri Modello'!$A$50:$A$53,0))*'Parametri Modello'!$B$44))))*(1+IF(IF($B414="D",'Info Lega'!$B$25,IF($B414="C",'Info Lega'!$B$26,"No"))="Si",'Parametri Modello'!$B$5,0))*(1+MAX(-0.25,MIN(0.25,IF(OR($T414="",$I414="",$I414=0,INDEX('Parametri Modello'!$B$19:$B$22,MATCH($B414,'Parametri Modello'!$A$19:$A$22,0))="",INDEX('Parametri Modello'!$B$19:$B$22,MATCH($B414,'Parametri Modello'!$A$19:$A$22,0))=0),0,(($T414-INDEX('Parametri Modello'!$B$19:$B$22,MATCH($B414,'Parametri Modello'!$A$19:$A$22,0)))/INDEX('Parametri Modello'!$B$19:$B$22,MATCH($B414,'Parametri Modello'!$A$19:$A$22,0)))*'Parametri Modello'!$B$9))))*(1+IF('Parametri Modello'!$B$27="Si",MAX(-'Parametri Modello'!$B$28,MIN('Parametri Modello'!$B$28*1.5,IF(OR(INDEX('Parametri Modello'!$F$32:$F$35,MATCH($B414,'Parametri Modello'!$A$32:$A$35,0))="",INDEX('Parametri Modello'!$F$32:$F$35,MATCH($B414,'Parametri Modello'!$A$32:$A$35,0))=0),0,(1/INDEX('Parametri Modello'!$F$32:$F$35,MATCH($B414,'Parametri Modello'!$A$32:$A$35,0))-1)*'Parametri Modello'!$B$28))),0)))*(1+INDEX('Parametri Modello'!$B$12:$B$15,MATCH($B414,'Parametri Modello'!$A$12:$A$15,0))),0),"")</f>
        <v>1</v>
      </c>
      <c r="I414" s="26" t="n">
        <f aca="false">IFERROR(INDEX('Input Statistiche 2025_26'!$F$3:$F$665,MATCH($A414,'Input Statistiche 2025_26'!$A$3:$A$665,0)),"")</f>
        <v>9</v>
      </c>
      <c r="J414" s="26" t="n">
        <f aca="false">IFERROR(IF($I414="","",MAX(0,38-$I414)),"")</f>
        <v>29</v>
      </c>
      <c r="K414" s="26" t="n">
        <f aca="false">IFERROR(INDEX('Input Statistiche 2025_26'!$I$3:$I$665,MATCH($A414,'Input Statistiche 2025_26'!$A$3:$A$665,0)),"")</f>
        <v>0</v>
      </c>
      <c r="L414" s="26" t="n">
        <f aca="false">IFERROR(INDEX('Input Statistiche 2025_26'!$O$3:$O$665,MATCH($A414,'Input Statistiche 2025_26'!$A$3:$A$665,0)),"")</f>
        <v>0</v>
      </c>
      <c r="M414" s="28"/>
      <c r="N414" s="27" t="n">
        <f aca="false">IFERROR(INDEX('Input Giocatori 2026_27'!$E$3:$E$493,MATCH($A414,'Input Giocatori 2026_27'!$A$3:$A$493,0)),"")</f>
        <v>1</v>
      </c>
      <c r="O414" s="27" t="n">
        <f aca="false">IFERROR(INDEX('Input Giocatori 2026_27'!$G$3:$G$493,MATCH($A414,'Input Giocatori 2026_27'!$A$3:$A$493,0)),"")</f>
        <v>4</v>
      </c>
      <c r="P414" s="26" t="str">
        <f aca="false">IFERROR(IF($O414="","",IF((1-(COUNTIFS($B$2:$B$492,$B414,$O$2:$O$492,"&gt;"&amp;$O414)+1-1)/COUNTIF($B$2:$B$492,$B414))&gt;=0.85,"Top",IF((1-(COUNTIFS($B$2:$B$492,$B414,$O$2:$O$492,"&gt;"&amp;$O414)+1-1)/COUNTIF($B$2:$B$492,$B414))&gt;=0.6,"Buono",IF((1-(COUNTIFS($B$2:$B$492,$B414,$O$2:$O$492,"&gt;"&amp;$O414)+1-1)/COUNTIF($B$2:$B$492,$B414))&gt;=0.3,"Nella Media","Scommessa/Riserva")))),"")</f>
        <v>Scommessa/Riserva</v>
      </c>
      <c r="Q414" s="29" t="n">
        <f aca="false">IF($D414="",COUNTIF($D$2:$D414,""),"")</f>
        <v>413</v>
      </c>
      <c r="R414" s="29" t="str">
        <f aca="false">IF($D414='Info Lega'!$B$28,COUNTIFS($D$2:$D414,'Info Lega'!$B$28),"")</f>
        <v/>
      </c>
      <c r="S414" s="30" t="n">
        <f aca="false">IFERROR(INDEX('Input Statistiche 2025_26'!$G$3:$G$665,MATCH($A414,'Input Statistiche 2025_26'!$A$3:$A$665,0)),"")</f>
        <v>5.78</v>
      </c>
      <c r="T414" s="30" t="n">
        <f aca="false">IFERROR(INDEX('Input Statistiche 2025_26'!$H$3:$H$665,MATCH($A414,'Input Statistiche 2025_26'!$A$3:$A$665,0)),"")</f>
        <v>5.72</v>
      </c>
      <c r="U414" s="26" t="str">
        <f aca="false">IF(OR('La Mia Rosa'!$O$12="",$D414&lt;&gt;""),"",IF($F414&lt;='La Mia Rosa'!$O$12*'Parametri Modello'!$B$24,"OK",IF($F414&lt;='La Mia Rosa'!$O$12*'Parametri Modello'!$B$25,"Attenzione","Rischio Alto")))</f>
        <v>OK</v>
      </c>
      <c r="V414" s="26" t="n">
        <f aca="false">IFERROR(COUNTIFS($B$2:$B$492,$B414,$O$2:$O$492,"&gt;"&amp;$O414)+1,"")</f>
        <v>154</v>
      </c>
      <c r="W414" s="21" t="n">
        <f aca="false">'Info Lega'!$B$4-SUMIFS($M$2:$M$492,$D$2:$D$492,'Info Lega'!$B$28)</f>
        <v>1000</v>
      </c>
      <c r="X414" s="21" t="n">
        <f aca="false">('Info Lega'!$B$5-COUNTIFS($D$2:$D$492,'Info Lega'!$B$28,$B$2:$B$492,"P"))+('Info Lega'!$B$6-COUNTIFS($D$2:$D$492,'Info Lega'!$B$28,$B$2:$B$492,"D"))+('Info Lega'!$B$7-COUNTIFS($D$2:$D$492,'Info Lega'!$B$28,$B$2:$B$492,"C"))+('Info Lega'!$B$8-COUNTIFS($D$2:$D$492,'Info Lega'!$B$28,$B$2:$B$492,"A"))</f>
        <v>25</v>
      </c>
      <c r="Y414" s="21" t="n">
        <f aca="false">X414*'Parametri Modello'!$B$30</f>
        <v>25</v>
      </c>
      <c r="Z414" s="21" t="n">
        <f aca="false">MAX(0,W414-Y414)</f>
        <v>975</v>
      </c>
      <c r="AA414" s="21" t="n">
        <f aca="false">MIN(F414,Z414)</f>
        <v>1</v>
      </c>
      <c r="AB414" s="21"/>
      <c r="AC414" s="21" t="str">
        <f aca="false">IF(AB414="","",IF(AB414&gt;AA414,"PASS",IF(AB414&lt;=AA414*0.85,"BID","ATTENZIONE")))</f>
        <v/>
      </c>
      <c r="AD414" s="31" t="n">
        <f aca="false">IF(I414="","",ROUND(100*(1-EXP(-I414/30)),0))</f>
        <v>26</v>
      </c>
      <c r="AE414" s="7" t="str">
        <f aca="false">IFERROR(INDEX('Stato Asta'!$G$9:$G$12,MATCH($B414,'Stato Asta'!$A$9:$A$12,0)),"")</f>
        <v>🟡 Attesa rischiosa</v>
      </c>
    </row>
    <row r="415" customFormat="false" ht="14.25" hidden="false" customHeight="true" outlineLevel="0" collapsed="false">
      <c r="A415" s="21" t="n">
        <v>6212</v>
      </c>
      <c r="B415" s="21" t="s">
        <v>45</v>
      </c>
      <c r="C415" s="21" t="s">
        <v>535</v>
      </c>
      <c r="E415" s="26" t="str">
        <f aca="false">IF(COUNTIF('Info Strategia'!$D$2:$D$51,$C415)&gt;0,"SI","NO")</f>
        <v>NO</v>
      </c>
      <c r="F415" s="27" t="n">
        <f aca="false">IFERROR(ROUND(($G415+($H415-$G415)*'Info Strategia'!$B$6)*(1+IF($E415="SI",'Parametri Modello'!$B$7*'Info Strategia'!$B$6,0)),0),"")</f>
        <v>1</v>
      </c>
      <c r="G415" s="27" t="n">
        <f aca="false">IFERROR(ROUND(MAX(1,(IF($V415&lt;=INDEX('Parametri Modello'!$C$57:$C$60,MATCH($B415,'Parametri Modello'!$A$57:$A$60,0)),IF(INDEX('Parametri Modello'!$E$57:$E$60,MATCH($B415,'Parametri Modello'!$A$57:$A$60,0))=0,0,($O415/INDEX('Parametri Modello'!$E$57:$E$60,MATCH($B415,'Parametri Modello'!$A$57:$A$60,0)))*(INDEX('Parametri Modello'!$D$57:$D$60,MATCH($B415,'Parametri Modello'!$A$57:$A$60,0))*(INDEX('Parametri Modello'!$B$50:$B$53,MATCH($B415,'Parametri Modello'!$A$50:$A$53,0))*'Parametri Modello'!$B$44))),IF(INDEX('Parametri Modello'!$F$57:$F$60,MATCH($B415,'Parametri Modello'!$A$57:$A$60,0))=0,0,($O415/INDEX('Parametri Modello'!$F$57:$F$60,MATCH($B415,'Parametri Modello'!$A$57:$A$60,0)))*((1-INDEX('Parametri Modello'!$D$57:$D$60,MATCH($B415,'Parametri Modello'!$A$57:$A$60,0)))*(INDEX('Parametri Modello'!$B$50:$B$53,MATCH($B415,'Parametri Modello'!$A$50:$A$53,0))*'Parametri Modello'!$B$44))))*(1+IF(IF($B415="D",'Info Lega'!$B$25,IF($B415="C",'Info Lega'!$B$26,"No"))="Si",'Parametri Modello'!$B$5,0))*(1+MAX(-0.25,MIN(0.25,IF(OR($T415="",$I415="",$I415=0,INDEX('Parametri Modello'!$B$19:$B$22,MATCH($B415,'Parametri Modello'!$A$19:$A$22,0))="",INDEX('Parametri Modello'!$B$19:$B$22,MATCH($B415,'Parametri Modello'!$A$19:$A$22,0))=0),0,(($T415-INDEX('Parametri Modello'!$B$19:$B$22,MATCH($B415,'Parametri Modello'!$A$19:$A$22,0)))/INDEX('Parametri Modello'!$B$19:$B$22,MATCH($B415,'Parametri Modello'!$A$19:$A$22,0)))*'Parametri Modello'!$B$9))))*(1+IF('Parametri Modello'!$B$27="Si",MAX(-'Parametri Modello'!$B$28,MIN('Parametri Modello'!$B$28*1.5,IF(OR(INDEX('Parametri Modello'!$F$32:$F$35,MATCH($B415,'Parametri Modello'!$A$32:$A$35,0))="",INDEX('Parametri Modello'!$F$32:$F$35,MATCH($B415,'Parametri Modello'!$A$32:$A$35,0))=0),0,(1/INDEX('Parametri Modello'!$F$32:$F$35,MATCH($B415,'Parametri Modello'!$A$32:$A$35,0))-1)*'Parametri Modello'!$B$28))),0)))*(1-INDEX('Parametri Modello'!$B$12:$B$15,MATCH($B415,'Parametri Modello'!$A$12:$A$15,0)))),0),"")</f>
        <v>1</v>
      </c>
      <c r="H415" s="27" t="n">
        <f aca="false">IFERROR(ROUND((IF($V415&lt;=INDEX('Parametri Modello'!$C$57:$C$60,MATCH($B415,'Parametri Modello'!$A$57:$A$60,0)),IF(INDEX('Parametri Modello'!$E$57:$E$60,MATCH($B415,'Parametri Modello'!$A$57:$A$60,0))=0,0,($O415/INDEX('Parametri Modello'!$E$57:$E$60,MATCH($B415,'Parametri Modello'!$A$57:$A$60,0)))*(INDEX('Parametri Modello'!$D$57:$D$60,MATCH($B415,'Parametri Modello'!$A$57:$A$60,0))*(INDEX('Parametri Modello'!$B$50:$B$53,MATCH($B415,'Parametri Modello'!$A$50:$A$53,0))*'Parametri Modello'!$B$44))),IF(INDEX('Parametri Modello'!$F$57:$F$60,MATCH($B415,'Parametri Modello'!$A$57:$A$60,0))=0,0,($O415/INDEX('Parametri Modello'!$F$57:$F$60,MATCH($B415,'Parametri Modello'!$A$57:$A$60,0)))*((1-INDEX('Parametri Modello'!$D$57:$D$60,MATCH($B415,'Parametri Modello'!$A$57:$A$60,0)))*(INDEX('Parametri Modello'!$B$50:$B$53,MATCH($B415,'Parametri Modello'!$A$50:$A$53,0))*'Parametri Modello'!$B$44))))*(1+IF(IF($B415="D",'Info Lega'!$B$25,IF($B415="C",'Info Lega'!$B$26,"No"))="Si",'Parametri Modello'!$B$5,0))*(1+MAX(-0.25,MIN(0.25,IF(OR($T415="",$I415="",$I415=0,INDEX('Parametri Modello'!$B$19:$B$22,MATCH($B415,'Parametri Modello'!$A$19:$A$22,0))="",INDEX('Parametri Modello'!$B$19:$B$22,MATCH($B415,'Parametri Modello'!$A$19:$A$22,0))=0),0,(($T415-INDEX('Parametri Modello'!$B$19:$B$22,MATCH($B415,'Parametri Modello'!$A$19:$A$22,0)))/INDEX('Parametri Modello'!$B$19:$B$22,MATCH($B415,'Parametri Modello'!$A$19:$A$22,0)))*'Parametri Modello'!$B$9))))*(1+IF('Parametri Modello'!$B$27="Si",MAX(-'Parametri Modello'!$B$28,MIN('Parametri Modello'!$B$28*1.5,IF(OR(INDEX('Parametri Modello'!$F$32:$F$35,MATCH($B415,'Parametri Modello'!$A$32:$A$35,0))="",INDEX('Parametri Modello'!$F$32:$F$35,MATCH($B415,'Parametri Modello'!$A$32:$A$35,0))=0),0,(1/INDEX('Parametri Modello'!$F$32:$F$35,MATCH($B415,'Parametri Modello'!$A$32:$A$35,0))-1)*'Parametri Modello'!$B$28))),0)))*(1+INDEX('Parametri Modello'!$B$12:$B$15,MATCH($B415,'Parametri Modello'!$A$12:$A$15,0))),0),"")</f>
        <v>1</v>
      </c>
      <c r="I415" s="26" t="n">
        <f aca="false">IFERROR(INDEX('Input Statistiche 2025_26'!$F$3:$F$665,MATCH($A415,'Input Statistiche 2025_26'!$A$3:$A$665,0)),"")</f>
        <v>10</v>
      </c>
      <c r="J415" s="26" t="n">
        <f aca="false">IFERROR(IF($I415="","",MAX(0,38-$I415)),"")</f>
        <v>28</v>
      </c>
      <c r="K415" s="26" t="n">
        <f aca="false">IFERROR(INDEX('Input Statistiche 2025_26'!$I$3:$I$665,MATCH($A415,'Input Statistiche 2025_26'!$A$3:$A$665,0)),"")</f>
        <v>0</v>
      </c>
      <c r="L415" s="26" t="n">
        <f aca="false">IFERROR(INDEX('Input Statistiche 2025_26'!$O$3:$O$665,MATCH($A415,'Input Statistiche 2025_26'!$A$3:$A$665,0)),"")</f>
        <v>0</v>
      </c>
      <c r="M415" s="28"/>
      <c r="N415" s="27" t="n">
        <f aca="false">IFERROR(INDEX('Input Giocatori 2026_27'!$E$3:$E$493,MATCH($A415,'Input Giocatori 2026_27'!$A$3:$A$493,0)),"")</f>
        <v>1</v>
      </c>
      <c r="O415" s="27" t="n">
        <f aca="false">IFERROR(INDEX('Input Giocatori 2026_27'!$G$3:$G$493,MATCH($A415,'Input Giocatori 2026_27'!$A$3:$A$493,0)),"")</f>
        <v>4</v>
      </c>
      <c r="P415" s="26" t="str">
        <f aca="false">IFERROR(IF($O415="","",IF((1-(COUNTIFS($B$2:$B$492,$B415,$O$2:$O$492,"&gt;"&amp;$O415)+1-1)/COUNTIF($B$2:$B$492,$B415))&gt;=0.85,"Top",IF((1-(COUNTIFS($B$2:$B$492,$B415,$O$2:$O$492,"&gt;"&amp;$O415)+1-1)/COUNTIF($B$2:$B$492,$B415))&gt;=0.6,"Buono",IF((1-(COUNTIFS($B$2:$B$492,$B415,$O$2:$O$492,"&gt;"&amp;$O415)+1-1)/COUNTIF($B$2:$B$492,$B415))&gt;=0.3,"Nella Media","Scommessa/Riserva")))),"")</f>
        <v>Scommessa/Riserva</v>
      </c>
      <c r="Q415" s="29" t="n">
        <f aca="false">IF($D415="",COUNTIF($D$2:$D415,""),"")</f>
        <v>414</v>
      </c>
      <c r="R415" s="29" t="str">
        <f aca="false">IF($D415='Info Lega'!$B$28,COUNTIFS($D$2:$D415,'Info Lega'!$B$28),"")</f>
        <v/>
      </c>
      <c r="S415" s="30" t="n">
        <f aca="false">IFERROR(INDEX('Input Statistiche 2025_26'!$G$3:$G$665,MATCH($A415,'Input Statistiche 2025_26'!$A$3:$A$665,0)),"")</f>
        <v>5.75</v>
      </c>
      <c r="T415" s="30" t="n">
        <f aca="false">IFERROR(INDEX('Input Statistiche 2025_26'!$H$3:$H$665,MATCH($A415,'Input Statistiche 2025_26'!$A$3:$A$665,0)),"")</f>
        <v>5.7</v>
      </c>
      <c r="U415" s="26" t="str">
        <f aca="false">IF(OR('La Mia Rosa'!$O$12="",$D415&lt;&gt;""),"",IF($F415&lt;='La Mia Rosa'!$O$12*'Parametri Modello'!$B$24,"OK",IF($F415&lt;='La Mia Rosa'!$O$12*'Parametri Modello'!$B$25,"Attenzione","Rischio Alto")))</f>
        <v>OK</v>
      </c>
      <c r="V415" s="26" t="n">
        <f aca="false">IFERROR(COUNTIFS($B$2:$B$492,$B415,$O$2:$O$492,"&gt;"&amp;$O415)+1,"")</f>
        <v>154</v>
      </c>
      <c r="W415" s="21" t="n">
        <f aca="false">'Info Lega'!$B$4-SUMIFS($M$2:$M$492,$D$2:$D$492,'Info Lega'!$B$28)</f>
        <v>1000</v>
      </c>
      <c r="X415" s="21" t="n">
        <f aca="false">('Info Lega'!$B$5-COUNTIFS($D$2:$D$492,'Info Lega'!$B$28,$B$2:$B$492,"P"))+('Info Lega'!$B$6-COUNTIFS($D$2:$D$492,'Info Lega'!$B$28,$B$2:$B$492,"D"))+('Info Lega'!$B$7-COUNTIFS($D$2:$D$492,'Info Lega'!$B$28,$B$2:$B$492,"C"))+('Info Lega'!$B$8-COUNTIFS($D$2:$D$492,'Info Lega'!$B$28,$B$2:$B$492,"A"))</f>
        <v>25</v>
      </c>
      <c r="Y415" s="21" t="n">
        <f aca="false">X415*'Parametri Modello'!$B$30</f>
        <v>25</v>
      </c>
      <c r="Z415" s="21" t="n">
        <f aca="false">MAX(0,W415-Y415)</f>
        <v>975</v>
      </c>
      <c r="AA415" s="21" t="n">
        <f aca="false">MIN(F415,Z415)</f>
        <v>1</v>
      </c>
      <c r="AB415" s="21"/>
      <c r="AC415" s="21" t="str">
        <f aca="false">IF(AB415="","",IF(AB415&gt;AA415,"PASS",IF(AB415&lt;=AA415*0.85,"BID","ATTENZIONE")))</f>
        <v/>
      </c>
      <c r="AD415" s="31" t="n">
        <f aca="false">IF(I415="","",ROUND(100*(1-EXP(-I415/30)),0))</f>
        <v>28</v>
      </c>
      <c r="AE415" s="7" t="str">
        <f aca="false">IFERROR(INDEX('Stato Asta'!$G$9:$G$12,MATCH($B415,'Stato Asta'!$A$9:$A$12,0)),"")</f>
        <v>🟡 Attesa rischiosa</v>
      </c>
    </row>
    <row r="416" customFormat="false" ht="14.25" hidden="false" customHeight="true" outlineLevel="0" collapsed="false">
      <c r="A416" s="21" t="n">
        <v>7249</v>
      </c>
      <c r="B416" s="21" t="s">
        <v>46</v>
      </c>
      <c r="C416" s="21" t="s">
        <v>614</v>
      </c>
      <c r="E416" s="26" t="str">
        <f aca="false">IF(COUNTIF('Info Strategia'!$D$2:$D$51,$C416)&gt;0,"SI","NO")</f>
        <v>NO</v>
      </c>
      <c r="F416" s="27" t="n">
        <f aca="false">IFERROR(ROUND(($G416+($H416-$G416)*'Info Strategia'!$B$6)*(1+IF($E416="SI",'Parametri Modello'!$B$7*'Info Strategia'!$B$6,0)),0),"")</f>
        <v>1</v>
      </c>
      <c r="G416" s="27" t="n">
        <f aca="false">IFERROR(ROUND(MAX(1,(IF($V416&lt;=INDEX('Parametri Modello'!$C$57:$C$60,MATCH($B416,'Parametri Modello'!$A$57:$A$60,0)),IF(INDEX('Parametri Modello'!$E$57:$E$60,MATCH($B416,'Parametri Modello'!$A$57:$A$60,0))=0,0,($O416/INDEX('Parametri Modello'!$E$57:$E$60,MATCH($B416,'Parametri Modello'!$A$57:$A$60,0)))*(INDEX('Parametri Modello'!$D$57:$D$60,MATCH($B416,'Parametri Modello'!$A$57:$A$60,0))*(INDEX('Parametri Modello'!$B$50:$B$53,MATCH($B416,'Parametri Modello'!$A$50:$A$53,0))*'Parametri Modello'!$B$44))),IF(INDEX('Parametri Modello'!$F$57:$F$60,MATCH($B416,'Parametri Modello'!$A$57:$A$60,0))=0,0,($O416/INDEX('Parametri Modello'!$F$57:$F$60,MATCH($B416,'Parametri Modello'!$A$57:$A$60,0)))*((1-INDEX('Parametri Modello'!$D$57:$D$60,MATCH($B416,'Parametri Modello'!$A$57:$A$60,0)))*(INDEX('Parametri Modello'!$B$50:$B$53,MATCH($B416,'Parametri Modello'!$A$50:$A$53,0))*'Parametri Modello'!$B$44))))*(1+IF(IF($B416="D",'Info Lega'!$B$25,IF($B416="C",'Info Lega'!$B$26,"No"))="Si",'Parametri Modello'!$B$5,0))*(1+MAX(-0.25,MIN(0.25,IF(OR($T416="",$I416="",$I416=0,INDEX('Parametri Modello'!$B$19:$B$22,MATCH($B416,'Parametri Modello'!$A$19:$A$22,0))="",INDEX('Parametri Modello'!$B$19:$B$22,MATCH($B416,'Parametri Modello'!$A$19:$A$22,0))=0),0,(($T416-INDEX('Parametri Modello'!$B$19:$B$22,MATCH($B416,'Parametri Modello'!$A$19:$A$22,0)))/INDEX('Parametri Modello'!$B$19:$B$22,MATCH($B416,'Parametri Modello'!$A$19:$A$22,0)))*'Parametri Modello'!$B$9))))*(1+IF('Parametri Modello'!$B$27="Si",MAX(-'Parametri Modello'!$B$28,MIN('Parametri Modello'!$B$28*1.5,IF(OR(INDEX('Parametri Modello'!$F$32:$F$35,MATCH($B416,'Parametri Modello'!$A$32:$A$35,0))="",INDEX('Parametri Modello'!$F$32:$F$35,MATCH($B416,'Parametri Modello'!$A$32:$A$35,0))=0),0,(1/INDEX('Parametri Modello'!$F$32:$F$35,MATCH($B416,'Parametri Modello'!$A$32:$A$35,0))-1)*'Parametri Modello'!$B$28))),0)))*(1-INDEX('Parametri Modello'!$B$12:$B$15,MATCH($B416,'Parametri Modello'!$A$12:$A$15,0)))),0),"")</f>
        <v>1</v>
      </c>
      <c r="H416" s="27" t="n">
        <f aca="false">IFERROR(ROUND((IF($V416&lt;=INDEX('Parametri Modello'!$C$57:$C$60,MATCH($B416,'Parametri Modello'!$A$57:$A$60,0)),IF(INDEX('Parametri Modello'!$E$57:$E$60,MATCH($B416,'Parametri Modello'!$A$57:$A$60,0))=0,0,($O416/INDEX('Parametri Modello'!$E$57:$E$60,MATCH($B416,'Parametri Modello'!$A$57:$A$60,0)))*(INDEX('Parametri Modello'!$D$57:$D$60,MATCH($B416,'Parametri Modello'!$A$57:$A$60,0))*(INDEX('Parametri Modello'!$B$50:$B$53,MATCH($B416,'Parametri Modello'!$A$50:$A$53,0))*'Parametri Modello'!$B$44))),IF(INDEX('Parametri Modello'!$F$57:$F$60,MATCH($B416,'Parametri Modello'!$A$57:$A$60,0))=0,0,($O416/INDEX('Parametri Modello'!$F$57:$F$60,MATCH($B416,'Parametri Modello'!$A$57:$A$60,0)))*((1-INDEX('Parametri Modello'!$D$57:$D$60,MATCH($B416,'Parametri Modello'!$A$57:$A$60,0)))*(INDEX('Parametri Modello'!$B$50:$B$53,MATCH($B416,'Parametri Modello'!$A$50:$A$53,0))*'Parametri Modello'!$B$44))))*(1+IF(IF($B416="D",'Info Lega'!$B$25,IF($B416="C",'Info Lega'!$B$26,"No"))="Si",'Parametri Modello'!$B$5,0))*(1+MAX(-0.25,MIN(0.25,IF(OR($T416="",$I416="",$I416=0,INDEX('Parametri Modello'!$B$19:$B$22,MATCH($B416,'Parametri Modello'!$A$19:$A$22,0))="",INDEX('Parametri Modello'!$B$19:$B$22,MATCH($B416,'Parametri Modello'!$A$19:$A$22,0))=0),0,(($T416-INDEX('Parametri Modello'!$B$19:$B$22,MATCH($B416,'Parametri Modello'!$A$19:$A$22,0)))/INDEX('Parametri Modello'!$B$19:$B$22,MATCH($B416,'Parametri Modello'!$A$19:$A$22,0)))*'Parametri Modello'!$B$9))))*(1+IF('Parametri Modello'!$B$27="Si",MAX(-'Parametri Modello'!$B$28,MIN('Parametri Modello'!$B$28*1.5,IF(OR(INDEX('Parametri Modello'!$F$32:$F$35,MATCH($B416,'Parametri Modello'!$A$32:$A$35,0))="",INDEX('Parametri Modello'!$F$32:$F$35,MATCH($B416,'Parametri Modello'!$A$32:$A$35,0))=0),0,(1/INDEX('Parametri Modello'!$F$32:$F$35,MATCH($B416,'Parametri Modello'!$A$32:$A$35,0))-1)*'Parametri Modello'!$B$28))),0)))*(1+INDEX('Parametri Modello'!$B$12:$B$15,MATCH($B416,'Parametri Modello'!$A$12:$A$15,0))),0),"")</f>
        <v>1</v>
      </c>
      <c r="I416" s="26" t="n">
        <f aca="false">IFERROR(INDEX('Input Statistiche 2025_26'!$F$3:$F$665,MATCH($A416,'Input Statistiche 2025_26'!$A$3:$A$665,0)),"")</f>
        <v>21</v>
      </c>
      <c r="J416" s="26" t="n">
        <f aca="false">IFERROR(IF($I416="","",MAX(0,38-$I416)),"")</f>
        <v>17</v>
      </c>
      <c r="K416" s="26" t="n">
        <f aca="false">IFERROR(INDEX('Input Statistiche 2025_26'!$I$3:$I$665,MATCH($A416,'Input Statistiche 2025_26'!$A$3:$A$665,0)),"")</f>
        <v>3</v>
      </c>
      <c r="L416" s="26" t="n">
        <f aca="false">IFERROR(INDEX('Input Statistiche 2025_26'!$O$3:$O$665,MATCH($A416,'Input Statistiche 2025_26'!$A$3:$A$665,0)),"")</f>
        <v>0</v>
      </c>
      <c r="M416" s="28"/>
      <c r="N416" s="27" t="n">
        <f aca="false">IFERROR(INDEX('Input Giocatori 2026_27'!$E$3:$E$493,MATCH($A416,'Input Giocatori 2026_27'!$A$3:$A$493,0)),"")</f>
        <v>2</v>
      </c>
      <c r="O416" s="27" t="n">
        <f aca="false">IFERROR(INDEX('Input Giocatori 2026_27'!$G$3:$G$493,MATCH($A416,'Input Giocatori 2026_27'!$A$3:$A$493,0)),"")</f>
        <v>4</v>
      </c>
      <c r="P416" s="26" t="str">
        <f aca="false">IFERROR(IF($O416="","",IF((1-(COUNTIFS($B$2:$B$492,$B416,$O$2:$O$492,"&gt;"&amp;$O416)+1-1)/COUNTIF($B$2:$B$492,$B416))&gt;=0.85,"Top",IF((1-(COUNTIFS($B$2:$B$492,$B416,$O$2:$O$492,"&gt;"&amp;$O416)+1-1)/COUNTIF($B$2:$B$492,$B416))&gt;=0.6,"Buono",IF((1-(COUNTIFS($B$2:$B$492,$B416,$O$2:$O$492,"&gt;"&amp;$O416)+1-1)/COUNTIF($B$2:$B$492,$B416))&gt;=0.3,"Nella Media","Scommessa/Riserva")))),"")</f>
        <v>Scommessa/Riserva</v>
      </c>
      <c r="Q416" s="29" t="n">
        <f aca="false">IF($D416="",COUNTIF($D$2:$D416,""),"")</f>
        <v>415</v>
      </c>
      <c r="R416" s="29" t="str">
        <f aca="false">IF($D416='Info Lega'!$B$28,COUNTIFS($D$2:$D416,'Info Lega'!$B$28),"")</f>
        <v/>
      </c>
      <c r="S416" s="30" t="n">
        <f aca="false">IFERROR(INDEX('Input Statistiche 2025_26'!$G$3:$G$665,MATCH($A416,'Input Statistiche 2025_26'!$A$3:$A$665,0)),"")</f>
        <v>5.88</v>
      </c>
      <c r="T416" s="30" t="n">
        <f aca="false">IFERROR(INDEX('Input Statistiche 2025_26'!$H$3:$H$665,MATCH($A416,'Input Statistiche 2025_26'!$A$3:$A$665,0)),"")</f>
        <v>6.24</v>
      </c>
      <c r="U416" s="26" t="str">
        <f aca="false">IF(OR('La Mia Rosa'!$O$12="",$D416&lt;&gt;""),"",IF($F416&lt;='La Mia Rosa'!$O$12*'Parametri Modello'!$B$24,"OK",IF($F416&lt;='La Mia Rosa'!$O$12*'Parametri Modello'!$B$25,"Attenzione","Rischio Alto")))</f>
        <v>OK</v>
      </c>
      <c r="V416" s="26" t="n">
        <f aca="false">IFERROR(COUNTIFS($B$2:$B$492,$B416,$O$2:$O$492,"&gt;"&amp;$O416)+1,"")</f>
        <v>77</v>
      </c>
      <c r="W416" s="21" t="n">
        <f aca="false">'Info Lega'!$B$4-SUMIFS($M$2:$M$492,$D$2:$D$492,'Info Lega'!$B$28)</f>
        <v>1000</v>
      </c>
      <c r="X416" s="21" t="n">
        <f aca="false">('Info Lega'!$B$5-COUNTIFS($D$2:$D$492,'Info Lega'!$B$28,$B$2:$B$492,"P"))+('Info Lega'!$B$6-COUNTIFS($D$2:$D$492,'Info Lega'!$B$28,$B$2:$B$492,"D"))+('Info Lega'!$B$7-COUNTIFS($D$2:$D$492,'Info Lega'!$B$28,$B$2:$B$492,"C"))+('Info Lega'!$B$8-COUNTIFS($D$2:$D$492,'Info Lega'!$B$28,$B$2:$B$492,"A"))</f>
        <v>25</v>
      </c>
      <c r="Y416" s="21" t="n">
        <f aca="false">X416*'Parametri Modello'!$B$30</f>
        <v>25</v>
      </c>
      <c r="Z416" s="21" t="n">
        <f aca="false">MAX(0,W416-Y416)</f>
        <v>975</v>
      </c>
      <c r="AA416" s="21" t="n">
        <f aca="false">MIN(F416,Z416)</f>
        <v>1</v>
      </c>
      <c r="AB416" s="21"/>
      <c r="AC416" s="21" t="str">
        <f aca="false">IF(AB416="","",IF(AB416&gt;AA416,"PASS",IF(AB416&lt;=AA416*0.85,"BID","ATTENZIONE")))</f>
        <v/>
      </c>
      <c r="AD416" s="31" t="n">
        <f aca="false">IF(I416="","",ROUND(100*(1-EXP(-I416/30)),0))</f>
        <v>50</v>
      </c>
      <c r="AE416" s="7" t="str">
        <f aca="false">IFERROR(INDEX('Stato Asta'!$G$9:$G$12,MATCH($B416,'Stato Asta'!$A$9:$A$12,0)),"")</f>
        <v>🔴 Non aspettare</v>
      </c>
    </row>
    <row r="417" customFormat="false" ht="14.25" hidden="false" customHeight="true" outlineLevel="0" collapsed="false">
      <c r="A417" s="21" t="n">
        <v>6981</v>
      </c>
      <c r="B417" s="21" t="s">
        <v>46</v>
      </c>
      <c r="C417" s="21" t="s">
        <v>618</v>
      </c>
      <c r="E417" s="26" t="str">
        <f aca="false">IF(COUNTIF('Info Strategia'!$D$2:$D$51,$C417)&gt;0,"SI","NO")</f>
        <v>NO</v>
      </c>
      <c r="F417" s="27" t="n">
        <f aca="false">IFERROR(ROUND(($G417+($H417-$G417)*'Info Strategia'!$B$6)*(1+IF($E417="SI",'Parametri Modello'!$B$7*'Info Strategia'!$B$6,0)),0),"")</f>
        <v>1</v>
      </c>
      <c r="G417" s="27" t="n">
        <f aca="false">IFERROR(ROUND(MAX(1,(IF($V417&lt;=INDEX('Parametri Modello'!$C$57:$C$60,MATCH($B417,'Parametri Modello'!$A$57:$A$60,0)),IF(INDEX('Parametri Modello'!$E$57:$E$60,MATCH($B417,'Parametri Modello'!$A$57:$A$60,0))=0,0,($O417/INDEX('Parametri Modello'!$E$57:$E$60,MATCH($B417,'Parametri Modello'!$A$57:$A$60,0)))*(INDEX('Parametri Modello'!$D$57:$D$60,MATCH($B417,'Parametri Modello'!$A$57:$A$60,0))*(INDEX('Parametri Modello'!$B$50:$B$53,MATCH($B417,'Parametri Modello'!$A$50:$A$53,0))*'Parametri Modello'!$B$44))),IF(INDEX('Parametri Modello'!$F$57:$F$60,MATCH($B417,'Parametri Modello'!$A$57:$A$60,0))=0,0,($O417/INDEX('Parametri Modello'!$F$57:$F$60,MATCH($B417,'Parametri Modello'!$A$57:$A$60,0)))*((1-INDEX('Parametri Modello'!$D$57:$D$60,MATCH($B417,'Parametri Modello'!$A$57:$A$60,0)))*(INDEX('Parametri Modello'!$B$50:$B$53,MATCH($B417,'Parametri Modello'!$A$50:$A$53,0))*'Parametri Modello'!$B$44))))*(1+IF(IF($B417="D",'Info Lega'!$B$25,IF($B417="C",'Info Lega'!$B$26,"No"))="Si",'Parametri Modello'!$B$5,0))*(1+MAX(-0.25,MIN(0.25,IF(OR($T417="",$I417="",$I417=0,INDEX('Parametri Modello'!$B$19:$B$22,MATCH($B417,'Parametri Modello'!$A$19:$A$22,0))="",INDEX('Parametri Modello'!$B$19:$B$22,MATCH($B417,'Parametri Modello'!$A$19:$A$22,0))=0),0,(($T417-INDEX('Parametri Modello'!$B$19:$B$22,MATCH($B417,'Parametri Modello'!$A$19:$A$22,0)))/INDEX('Parametri Modello'!$B$19:$B$22,MATCH($B417,'Parametri Modello'!$A$19:$A$22,0)))*'Parametri Modello'!$B$9))))*(1+IF('Parametri Modello'!$B$27="Si",MAX(-'Parametri Modello'!$B$28,MIN('Parametri Modello'!$B$28*1.5,IF(OR(INDEX('Parametri Modello'!$F$32:$F$35,MATCH($B417,'Parametri Modello'!$A$32:$A$35,0))="",INDEX('Parametri Modello'!$F$32:$F$35,MATCH($B417,'Parametri Modello'!$A$32:$A$35,0))=0),0,(1/INDEX('Parametri Modello'!$F$32:$F$35,MATCH($B417,'Parametri Modello'!$A$32:$A$35,0))-1)*'Parametri Modello'!$B$28))),0)))*(1-INDEX('Parametri Modello'!$B$12:$B$15,MATCH($B417,'Parametri Modello'!$A$12:$A$15,0)))),0),"")</f>
        <v>1</v>
      </c>
      <c r="H417" s="27" t="n">
        <f aca="false">IFERROR(ROUND((IF($V417&lt;=INDEX('Parametri Modello'!$C$57:$C$60,MATCH($B417,'Parametri Modello'!$A$57:$A$60,0)),IF(INDEX('Parametri Modello'!$E$57:$E$60,MATCH($B417,'Parametri Modello'!$A$57:$A$60,0))=0,0,($O417/INDEX('Parametri Modello'!$E$57:$E$60,MATCH($B417,'Parametri Modello'!$A$57:$A$60,0)))*(INDEX('Parametri Modello'!$D$57:$D$60,MATCH($B417,'Parametri Modello'!$A$57:$A$60,0))*(INDEX('Parametri Modello'!$B$50:$B$53,MATCH($B417,'Parametri Modello'!$A$50:$A$53,0))*'Parametri Modello'!$B$44))),IF(INDEX('Parametri Modello'!$F$57:$F$60,MATCH($B417,'Parametri Modello'!$A$57:$A$60,0))=0,0,($O417/INDEX('Parametri Modello'!$F$57:$F$60,MATCH($B417,'Parametri Modello'!$A$57:$A$60,0)))*((1-INDEX('Parametri Modello'!$D$57:$D$60,MATCH($B417,'Parametri Modello'!$A$57:$A$60,0)))*(INDEX('Parametri Modello'!$B$50:$B$53,MATCH($B417,'Parametri Modello'!$A$50:$A$53,0))*'Parametri Modello'!$B$44))))*(1+IF(IF($B417="D",'Info Lega'!$B$25,IF($B417="C",'Info Lega'!$B$26,"No"))="Si",'Parametri Modello'!$B$5,0))*(1+MAX(-0.25,MIN(0.25,IF(OR($T417="",$I417="",$I417=0,INDEX('Parametri Modello'!$B$19:$B$22,MATCH($B417,'Parametri Modello'!$A$19:$A$22,0))="",INDEX('Parametri Modello'!$B$19:$B$22,MATCH($B417,'Parametri Modello'!$A$19:$A$22,0))=0),0,(($T417-INDEX('Parametri Modello'!$B$19:$B$22,MATCH($B417,'Parametri Modello'!$A$19:$A$22,0)))/INDEX('Parametri Modello'!$B$19:$B$22,MATCH($B417,'Parametri Modello'!$A$19:$A$22,0)))*'Parametri Modello'!$B$9))))*(1+IF('Parametri Modello'!$B$27="Si",MAX(-'Parametri Modello'!$B$28,MIN('Parametri Modello'!$B$28*1.5,IF(OR(INDEX('Parametri Modello'!$F$32:$F$35,MATCH($B417,'Parametri Modello'!$A$32:$A$35,0))="",INDEX('Parametri Modello'!$F$32:$F$35,MATCH($B417,'Parametri Modello'!$A$32:$A$35,0))=0),0,(1/INDEX('Parametri Modello'!$F$32:$F$35,MATCH($B417,'Parametri Modello'!$A$32:$A$35,0))-1)*'Parametri Modello'!$B$28))),0)))*(1+INDEX('Parametri Modello'!$B$12:$B$15,MATCH($B417,'Parametri Modello'!$A$12:$A$15,0))),0),"")</f>
        <v>1</v>
      </c>
      <c r="I417" s="26" t="n">
        <f aca="false">IFERROR(INDEX('Input Statistiche 2025_26'!$F$3:$F$665,MATCH($A417,'Input Statistiche 2025_26'!$A$3:$A$665,0)),"")</f>
        <v>7</v>
      </c>
      <c r="J417" s="26" t="n">
        <f aca="false">IFERROR(IF($I417="","",MAX(0,38-$I417)),"")</f>
        <v>31</v>
      </c>
      <c r="K417" s="26" t="n">
        <f aca="false">IFERROR(INDEX('Input Statistiche 2025_26'!$I$3:$I$665,MATCH($A417,'Input Statistiche 2025_26'!$A$3:$A$665,0)),"")</f>
        <v>1</v>
      </c>
      <c r="L417" s="26" t="n">
        <f aca="false">IFERROR(INDEX('Input Statistiche 2025_26'!$O$3:$O$665,MATCH($A417,'Input Statistiche 2025_26'!$A$3:$A$665,0)),"")</f>
        <v>0</v>
      </c>
      <c r="M417" s="28"/>
      <c r="N417" s="27" t="n">
        <f aca="false">IFERROR(INDEX('Input Giocatori 2026_27'!$E$3:$E$493,MATCH($A417,'Input Giocatori 2026_27'!$A$3:$A$493,0)),"")</f>
        <v>1</v>
      </c>
      <c r="O417" s="27" t="n">
        <f aca="false">IFERROR(INDEX('Input Giocatori 2026_27'!$G$3:$G$493,MATCH($A417,'Input Giocatori 2026_27'!$A$3:$A$493,0)),"")</f>
        <v>4</v>
      </c>
      <c r="P417" s="26" t="str">
        <f aca="false">IFERROR(IF($O417="","",IF((1-(COUNTIFS($B$2:$B$492,$B417,$O$2:$O$492,"&gt;"&amp;$O417)+1-1)/COUNTIF($B$2:$B$492,$B417))&gt;=0.85,"Top",IF((1-(COUNTIFS($B$2:$B$492,$B417,$O$2:$O$492,"&gt;"&amp;$O417)+1-1)/COUNTIF($B$2:$B$492,$B417))&gt;=0.6,"Buono",IF((1-(COUNTIFS($B$2:$B$492,$B417,$O$2:$O$492,"&gt;"&amp;$O417)+1-1)/COUNTIF($B$2:$B$492,$B417))&gt;=0.3,"Nella Media","Scommessa/Riserva")))),"")</f>
        <v>Scommessa/Riserva</v>
      </c>
      <c r="Q417" s="29" t="n">
        <f aca="false">IF($D417="",COUNTIF($D$2:$D417,""),"")</f>
        <v>416</v>
      </c>
      <c r="R417" s="29" t="str">
        <f aca="false">IF($D417='Info Lega'!$B$28,COUNTIFS($D$2:$D417,'Info Lega'!$B$28),"")</f>
        <v/>
      </c>
      <c r="S417" s="30" t="n">
        <f aca="false">IFERROR(INDEX('Input Statistiche 2025_26'!$G$3:$G$665,MATCH($A417,'Input Statistiche 2025_26'!$A$3:$A$665,0)),"")</f>
        <v>5.93</v>
      </c>
      <c r="T417" s="30" t="n">
        <f aca="false">IFERROR(INDEX('Input Statistiche 2025_26'!$H$3:$H$665,MATCH($A417,'Input Statistiche 2025_26'!$A$3:$A$665,0)),"")</f>
        <v>6.36</v>
      </c>
      <c r="U417" s="26" t="str">
        <f aca="false">IF(OR('La Mia Rosa'!$O$12="",$D417&lt;&gt;""),"",IF($F417&lt;='La Mia Rosa'!$O$12*'Parametri Modello'!$B$24,"OK",IF($F417&lt;='La Mia Rosa'!$O$12*'Parametri Modello'!$B$25,"Attenzione","Rischio Alto")))</f>
        <v>OK</v>
      </c>
      <c r="V417" s="26" t="n">
        <f aca="false">IFERROR(COUNTIFS($B$2:$B$492,$B417,$O$2:$O$492,"&gt;"&amp;$O417)+1,"")</f>
        <v>77</v>
      </c>
      <c r="W417" s="21" t="n">
        <f aca="false">'Info Lega'!$B$4-SUMIFS($M$2:$M$492,$D$2:$D$492,'Info Lega'!$B$28)</f>
        <v>1000</v>
      </c>
      <c r="X417" s="21" t="n">
        <f aca="false">('Info Lega'!$B$5-COUNTIFS($D$2:$D$492,'Info Lega'!$B$28,$B$2:$B$492,"P"))+('Info Lega'!$B$6-COUNTIFS($D$2:$D$492,'Info Lega'!$B$28,$B$2:$B$492,"D"))+('Info Lega'!$B$7-COUNTIFS($D$2:$D$492,'Info Lega'!$B$28,$B$2:$B$492,"C"))+('Info Lega'!$B$8-COUNTIFS($D$2:$D$492,'Info Lega'!$B$28,$B$2:$B$492,"A"))</f>
        <v>25</v>
      </c>
      <c r="Y417" s="21" t="n">
        <f aca="false">X417*'Parametri Modello'!$B$30</f>
        <v>25</v>
      </c>
      <c r="Z417" s="21" t="n">
        <f aca="false">MAX(0,W417-Y417)</f>
        <v>975</v>
      </c>
      <c r="AA417" s="21" t="n">
        <f aca="false">MIN(F417,Z417)</f>
        <v>1</v>
      </c>
      <c r="AB417" s="21"/>
      <c r="AC417" s="21" t="str">
        <f aca="false">IF(AB417="","",IF(AB417&gt;AA417,"PASS",IF(AB417&lt;=AA417*0.85,"BID","ATTENZIONE")))</f>
        <v/>
      </c>
      <c r="AD417" s="31" t="n">
        <f aca="false">IF(I417="","",ROUND(100*(1-EXP(-I417/30)),0))</f>
        <v>21</v>
      </c>
      <c r="AE417" s="7" t="str">
        <f aca="false">IFERROR(INDEX('Stato Asta'!$G$9:$G$12,MATCH($B417,'Stato Asta'!$A$9:$A$12,0)),"")</f>
        <v>🔴 Non aspettare</v>
      </c>
    </row>
    <row r="418" customFormat="false" ht="14.25" hidden="false" customHeight="true" outlineLevel="0" collapsed="false">
      <c r="A418" s="21" t="n">
        <v>4867</v>
      </c>
      <c r="B418" s="21" t="s">
        <v>43</v>
      </c>
      <c r="C418" s="21" t="s">
        <v>182</v>
      </c>
      <c r="E418" s="26" t="str">
        <f aca="false">IF(COUNTIF('Info Strategia'!$D$2:$D$51,$C418)&gt;0,"SI","NO")</f>
        <v>NO</v>
      </c>
      <c r="F418" s="27" t="n">
        <f aca="false">IFERROR(ROUND(($G418+($H418-$G418)*'Info Strategia'!$B$6)*(1+IF($E418="SI",'Parametri Modello'!$B$7*'Info Strategia'!$B$6,0)),0),"")</f>
        <v>1</v>
      </c>
      <c r="G418" s="27" t="n">
        <f aca="false">IFERROR(ROUND(MAX(1,(IF($V418&lt;=INDEX('Parametri Modello'!$C$57:$C$60,MATCH($B418,'Parametri Modello'!$A$57:$A$60,0)),IF(INDEX('Parametri Modello'!$E$57:$E$60,MATCH($B418,'Parametri Modello'!$A$57:$A$60,0))=0,0,($O418/INDEX('Parametri Modello'!$E$57:$E$60,MATCH($B418,'Parametri Modello'!$A$57:$A$60,0)))*(INDEX('Parametri Modello'!$D$57:$D$60,MATCH($B418,'Parametri Modello'!$A$57:$A$60,0))*(INDEX('Parametri Modello'!$B$50:$B$53,MATCH($B418,'Parametri Modello'!$A$50:$A$53,0))*'Parametri Modello'!$B$44))),IF(INDEX('Parametri Modello'!$F$57:$F$60,MATCH($B418,'Parametri Modello'!$A$57:$A$60,0))=0,0,($O418/INDEX('Parametri Modello'!$F$57:$F$60,MATCH($B418,'Parametri Modello'!$A$57:$A$60,0)))*((1-INDEX('Parametri Modello'!$D$57:$D$60,MATCH($B418,'Parametri Modello'!$A$57:$A$60,0)))*(INDEX('Parametri Modello'!$B$50:$B$53,MATCH($B418,'Parametri Modello'!$A$50:$A$53,0))*'Parametri Modello'!$B$44))))*(1+IF(IF($B418="D",'Info Lega'!$B$25,IF($B418="C",'Info Lega'!$B$26,"No"))="Si",'Parametri Modello'!$B$5,0))*(1+MAX(-0.25,MIN(0.25,IF(OR($T418="",$I418="",$I418=0,INDEX('Parametri Modello'!$B$19:$B$22,MATCH($B418,'Parametri Modello'!$A$19:$A$22,0))="",INDEX('Parametri Modello'!$B$19:$B$22,MATCH($B418,'Parametri Modello'!$A$19:$A$22,0))=0),0,(($T418-INDEX('Parametri Modello'!$B$19:$B$22,MATCH($B418,'Parametri Modello'!$A$19:$A$22,0)))/INDEX('Parametri Modello'!$B$19:$B$22,MATCH($B418,'Parametri Modello'!$A$19:$A$22,0)))*'Parametri Modello'!$B$9))))*(1+IF('Parametri Modello'!$B$27="Si",MAX(-'Parametri Modello'!$B$28,MIN('Parametri Modello'!$B$28*1.5,IF(OR(INDEX('Parametri Modello'!$F$32:$F$35,MATCH($B418,'Parametri Modello'!$A$32:$A$35,0))="",INDEX('Parametri Modello'!$F$32:$F$35,MATCH($B418,'Parametri Modello'!$A$32:$A$35,0))=0),0,(1/INDEX('Parametri Modello'!$F$32:$F$35,MATCH($B418,'Parametri Modello'!$A$32:$A$35,0))-1)*'Parametri Modello'!$B$28))),0)))*(1-INDEX('Parametri Modello'!$B$12:$B$15,MATCH($B418,'Parametri Modello'!$A$12:$A$15,0)))),0),"")</f>
        <v>1</v>
      </c>
      <c r="H418" s="27" t="n">
        <f aca="false">IFERROR(ROUND((IF($V418&lt;=INDEX('Parametri Modello'!$C$57:$C$60,MATCH($B418,'Parametri Modello'!$A$57:$A$60,0)),IF(INDEX('Parametri Modello'!$E$57:$E$60,MATCH($B418,'Parametri Modello'!$A$57:$A$60,0))=0,0,($O418/INDEX('Parametri Modello'!$E$57:$E$60,MATCH($B418,'Parametri Modello'!$A$57:$A$60,0)))*(INDEX('Parametri Modello'!$D$57:$D$60,MATCH($B418,'Parametri Modello'!$A$57:$A$60,0))*(INDEX('Parametri Modello'!$B$50:$B$53,MATCH($B418,'Parametri Modello'!$A$50:$A$53,0))*'Parametri Modello'!$B$44))),IF(INDEX('Parametri Modello'!$F$57:$F$60,MATCH($B418,'Parametri Modello'!$A$57:$A$60,0))=0,0,($O418/INDEX('Parametri Modello'!$F$57:$F$60,MATCH($B418,'Parametri Modello'!$A$57:$A$60,0)))*((1-INDEX('Parametri Modello'!$D$57:$D$60,MATCH($B418,'Parametri Modello'!$A$57:$A$60,0)))*(INDEX('Parametri Modello'!$B$50:$B$53,MATCH($B418,'Parametri Modello'!$A$50:$A$53,0))*'Parametri Modello'!$B$44))))*(1+IF(IF($B418="D",'Info Lega'!$B$25,IF($B418="C",'Info Lega'!$B$26,"No"))="Si",'Parametri Modello'!$B$5,0))*(1+MAX(-0.25,MIN(0.25,IF(OR($T418="",$I418="",$I418=0,INDEX('Parametri Modello'!$B$19:$B$22,MATCH($B418,'Parametri Modello'!$A$19:$A$22,0))="",INDEX('Parametri Modello'!$B$19:$B$22,MATCH($B418,'Parametri Modello'!$A$19:$A$22,0))=0),0,(($T418-INDEX('Parametri Modello'!$B$19:$B$22,MATCH($B418,'Parametri Modello'!$A$19:$A$22,0)))/INDEX('Parametri Modello'!$B$19:$B$22,MATCH($B418,'Parametri Modello'!$A$19:$A$22,0)))*'Parametri Modello'!$B$9))))*(1+IF('Parametri Modello'!$B$27="Si",MAX(-'Parametri Modello'!$B$28,MIN('Parametri Modello'!$B$28*1.5,IF(OR(INDEX('Parametri Modello'!$F$32:$F$35,MATCH($B418,'Parametri Modello'!$A$32:$A$35,0))="",INDEX('Parametri Modello'!$F$32:$F$35,MATCH($B418,'Parametri Modello'!$A$32:$A$35,0))=0),0,(1/INDEX('Parametri Modello'!$F$32:$F$35,MATCH($B418,'Parametri Modello'!$A$32:$A$35,0))-1)*'Parametri Modello'!$B$28))),0)))*(1+INDEX('Parametri Modello'!$B$12:$B$15,MATCH($B418,'Parametri Modello'!$A$12:$A$15,0))),0),"")</f>
        <v>1</v>
      </c>
      <c r="I418" s="26" t="n">
        <f aca="false">IFERROR(INDEX('Input Statistiche 2025_26'!$F$3:$F$665,MATCH($A418,'Input Statistiche 2025_26'!$A$3:$A$665,0)),"")</f>
        <v>6</v>
      </c>
      <c r="J418" s="26" t="n">
        <f aca="false">IFERROR(IF($I418="","",MAX(0,38-$I418)),"")</f>
        <v>32</v>
      </c>
      <c r="K418" s="26" t="n">
        <f aca="false">IFERROR(INDEX('Input Statistiche 2025_26'!$I$3:$I$665,MATCH($A418,'Input Statistiche 2025_26'!$A$3:$A$665,0)),"")</f>
        <v>0</v>
      </c>
      <c r="L418" s="26" t="n">
        <f aca="false">IFERROR(INDEX('Input Statistiche 2025_26'!$O$3:$O$665,MATCH($A418,'Input Statistiche 2025_26'!$A$3:$A$665,0)),"")</f>
        <v>0</v>
      </c>
      <c r="M418" s="28"/>
      <c r="N418" s="27" t="n">
        <f aca="false">IFERROR(INDEX('Input Giocatori 2026_27'!$E$3:$E$493,MATCH($A418,'Input Giocatori 2026_27'!$A$3:$A$493,0)),"")</f>
        <v>1</v>
      </c>
      <c r="O418" s="27" t="n">
        <f aca="false">IFERROR(INDEX('Input Giocatori 2026_27'!$G$3:$G$493,MATCH($A418,'Input Giocatori 2026_27'!$A$3:$A$493,0)),"")</f>
        <v>3</v>
      </c>
      <c r="P418" s="26" t="str">
        <f aca="false">IFERROR(IF($O418="","",IF((1-(COUNTIFS($B$2:$B$492,$B418,$O$2:$O$492,"&gt;"&amp;$O418)+1-1)/COUNTIF($B$2:$B$492,$B418))&gt;=0.85,"Top",IF((1-(COUNTIFS($B$2:$B$492,$B418,$O$2:$O$492,"&gt;"&amp;$O418)+1-1)/COUNTIF($B$2:$B$492,$B418))&gt;=0.6,"Buono",IF((1-(COUNTIFS($B$2:$B$492,$B418,$O$2:$O$492,"&gt;"&amp;$O418)+1-1)/COUNTIF($B$2:$B$492,$B418))&gt;=0.3,"Nella Media","Scommessa/Riserva")))),"")</f>
        <v>Nella Media</v>
      </c>
      <c r="Q418" s="29" t="n">
        <f aca="false">IF($D418="",COUNTIF($D$2:$D418,""),"")</f>
        <v>417</v>
      </c>
      <c r="R418" s="29" t="str">
        <f aca="false">IF($D418='Info Lega'!$B$28,COUNTIFS($D$2:$D418,'Info Lega'!$B$28),"")</f>
        <v/>
      </c>
      <c r="S418" s="30" t="n">
        <f aca="false">IFERROR(INDEX('Input Statistiche 2025_26'!$G$3:$G$665,MATCH($A418,'Input Statistiche 2025_26'!$A$3:$A$665,0)),"")</f>
        <v>6.17</v>
      </c>
      <c r="T418" s="30" t="n">
        <f aca="false">IFERROR(INDEX('Input Statistiche 2025_26'!$H$3:$H$665,MATCH($A418,'Input Statistiche 2025_26'!$A$3:$A$665,0)),"")</f>
        <v>5</v>
      </c>
      <c r="U418" s="26" t="str">
        <f aca="false">IF(OR('La Mia Rosa'!$O$12="",$D418&lt;&gt;""),"",IF($F418&lt;='La Mia Rosa'!$O$12*'Parametri Modello'!$B$24,"OK",IF($F418&lt;='La Mia Rosa'!$O$12*'Parametri Modello'!$B$25,"Attenzione","Rischio Alto")))</f>
        <v>OK</v>
      </c>
      <c r="V418" s="26" t="n">
        <f aca="false">IFERROR(COUNTIFS($B$2:$B$492,$B418,$O$2:$O$492,"&gt;"&amp;$O418)+1,"")</f>
        <v>25</v>
      </c>
      <c r="W418" s="21" t="n">
        <f aca="false">'Info Lega'!$B$4-SUMIFS($M$2:$M$492,$D$2:$D$492,'Info Lega'!$B$28)</f>
        <v>1000</v>
      </c>
      <c r="X418" s="21" t="n">
        <f aca="false">('Info Lega'!$B$5-COUNTIFS($D$2:$D$492,'Info Lega'!$B$28,$B$2:$B$492,"P"))+('Info Lega'!$B$6-COUNTIFS($D$2:$D$492,'Info Lega'!$B$28,$B$2:$B$492,"D"))+('Info Lega'!$B$7-COUNTIFS($D$2:$D$492,'Info Lega'!$B$28,$B$2:$B$492,"C"))+('Info Lega'!$B$8-COUNTIFS($D$2:$D$492,'Info Lega'!$B$28,$B$2:$B$492,"A"))</f>
        <v>25</v>
      </c>
      <c r="Y418" s="21" t="n">
        <f aca="false">X418*'Parametri Modello'!$B$30</f>
        <v>25</v>
      </c>
      <c r="Z418" s="21" t="n">
        <f aca="false">MAX(0,W418-Y418)</f>
        <v>975</v>
      </c>
      <c r="AA418" s="21" t="n">
        <f aca="false">MIN(F418,Z418)</f>
        <v>1</v>
      </c>
      <c r="AB418" s="21"/>
      <c r="AC418" s="21" t="str">
        <f aca="false">IF(AB418="","",IF(AB418&gt;AA418,"PASS",IF(AB418&lt;=AA418*0.85,"BID","ATTENZIONE")))</f>
        <v/>
      </c>
      <c r="AD418" s="31" t="n">
        <f aca="false">IF(I418="","",ROUND(100*(1-EXP(-I418/30)),0))</f>
        <v>18</v>
      </c>
      <c r="AE418" s="7" t="str">
        <f aca="false">IFERROR(INDEX('Stato Asta'!$G$9:$G$12,MATCH($B418,'Stato Asta'!$A$9:$A$12,0)),"")</f>
        <v>🟡 Attesa rischiosa</v>
      </c>
    </row>
    <row r="419" customFormat="false" ht="14.25" hidden="false" customHeight="true" outlineLevel="0" collapsed="false">
      <c r="A419" s="21" t="n">
        <v>7470</v>
      </c>
      <c r="B419" s="21" t="s">
        <v>44</v>
      </c>
      <c r="C419" s="21" t="s">
        <v>345</v>
      </c>
      <c r="E419" s="26" t="str">
        <f aca="false">IF(COUNTIF('Info Strategia'!$D$2:$D$51,$C419)&gt;0,"SI","NO")</f>
        <v>NO</v>
      </c>
      <c r="F419" s="27" t="n">
        <f aca="false">IFERROR(ROUND(($G419+($H419-$G419)*'Info Strategia'!$B$6)*(1+IF($E419="SI",'Parametri Modello'!$B$7*'Info Strategia'!$B$6,0)),0),"")</f>
        <v>1</v>
      </c>
      <c r="G419" s="27" t="n">
        <f aca="false">IFERROR(ROUND(MAX(1,(IF($V419&lt;=INDEX('Parametri Modello'!$C$57:$C$60,MATCH($B419,'Parametri Modello'!$A$57:$A$60,0)),IF(INDEX('Parametri Modello'!$E$57:$E$60,MATCH($B419,'Parametri Modello'!$A$57:$A$60,0))=0,0,($O419/INDEX('Parametri Modello'!$E$57:$E$60,MATCH($B419,'Parametri Modello'!$A$57:$A$60,0)))*(INDEX('Parametri Modello'!$D$57:$D$60,MATCH($B419,'Parametri Modello'!$A$57:$A$60,0))*(INDEX('Parametri Modello'!$B$50:$B$53,MATCH($B419,'Parametri Modello'!$A$50:$A$53,0))*'Parametri Modello'!$B$44))),IF(INDEX('Parametri Modello'!$F$57:$F$60,MATCH($B419,'Parametri Modello'!$A$57:$A$60,0))=0,0,($O419/INDEX('Parametri Modello'!$F$57:$F$60,MATCH($B419,'Parametri Modello'!$A$57:$A$60,0)))*((1-INDEX('Parametri Modello'!$D$57:$D$60,MATCH($B419,'Parametri Modello'!$A$57:$A$60,0)))*(INDEX('Parametri Modello'!$B$50:$B$53,MATCH($B419,'Parametri Modello'!$A$50:$A$53,0))*'Parametri Modello'!$B$44))))*(1+IF(IF($B419="D",'Info Lega'!$B$25,IF($B419="C",'Info Lega'!$B$26,"No"))="Si",'Parametri Modello'!$B$5,0))*(1+MAX(-0.25,MIN(0.25,IF(OR($T419="",$I419="",$I419=0,INDEX('Parametri Modello'!$B$19:$B$22,MATCH($B419,'Parametri Modello'!$A$19:$A$22,0))="",INDEX('Parametri Modello'!$B$19:$B$22,MATCH($B419,'Parametri Modello'!$A$19:$A$22,0))=0),0,(($T419-INDEX('Parametri Modello'!$B$19:$B$22,MATCH($B419,'Parametri Modello'!$A$19:$A$22,0)))/INDEX('Parametri Modello'!$B$19:$B$22,MATCH($B419,'Parametri Modello'!$A$19:$A$22,0)))*'Parametri Modello'!$B$9))))*(1+IF('Parametri Modello'!$B$27="Si",MAX(-'Parametri Modello'!$B$28,MIN('Parametri Modello'!$B$28*1.5,IF(OR(INDEX('Parametri Modello'!$F$32:$F$35,MATCH($B419,'Parametri Modello'!$A$32:$A$35,0))="",INDEX('Parametri Modello'!$F$32:$F$35,MATCH($B419,'Parametri Modello'!$A$32:$A$35,0))=0),0,(1/INDEX('Parametri Modello'!$F$32:$F$35,MATCH($B419,'Parametri Modello'!$A$32:$A$35,0))-1)*'Parametri Modello'!$B$28))),0)))*(1-INDEX('Parametri Modello'!$B$12:$B$15,MATCH($B419,'Parametri Modello'!$A$12:$A$15,0)))),0),"")</f>
        <v>1</v>
      </c>
      <c r="H419" s="27" t="n">
        <f aca="false">IFERROR(ROUND((IF($V419&lt;=INDEX('Parametri Modello'!$C$57:$C$60,MATCH($B419,'Parametri Modello'!$A$57:$A$60,0)),IF(INDEX('Parametri Modello'!$E$57:$E$60,MATCH($B419,'Parametri Modello'!$A$57:$A$60,0))=0,0,($O419/INDEX('Parametri Modello'!$E$57:$E$60,MATCH($B419,'Parametri Modello'!$A$57:$A$60,0)))*(INDEX('Parametri Modello'!$D$57:$D$60,MATCH($B419,'Parametri Modello'!$A$57:$A$60,0))*(INDEX('Parametri Modello'!$B$50:$B$53,MATCH($B419,'Parametri Modello'!$A$50:$A$53,0))*'Parametri Modello'!$B$44))),IF(INDEX('Parametri Modello'!$F$57:$F$60,MATCH($B419,'Parametri Modello'!$A$57:$A$60,0))=0,0,($O419/INDEX('Parametri Modello'!$F$57:$F$60,MATCH($B419,'Parametri Modello'!$A$57:$A$60,0)))*((1-INDEX('Parametri Modello'!$D$57:$D$60,MATCH($B419,'Parametri Modello'!$A$57:$A$60,0)))*(INDEX('Parametri Modello'!$B$50:$B$53,MATCH($B419,'Parametri Modello'!$A$50:$A$53,0))*'Parametri Modello'!$B$44))))*(1+IF(IF($B419="D",'Info Lega'!$B$25,IF($B419="C",'Info Lega'!$B$26,"No"))="Si",'Parametri Modello'!$B$5,0))*(1+MAX(-0.25,MIN(0.25,IF(OR($T419="",$I419="",$I419=0,INDEX('Parametri Modello'!$B$19:$B$22,MATCH($B419,'Parametri Modello'!$A$19:$A$22,0))="",INDEX('Parametri Modello'!$B$19:$B$22,MATCH($B419,'Parametri Modello'!$A$19:$A$22,0))=0),0,(($T419-INDEX('Parametri Modello'!$B$19:$B$22,MATCH($B419,'Parametri Modello'!$A$19:$A$22,0)))/INDEX('Parametri Modello'!$B$19:$B$22,MATCH($B419,'Parametri Modello'!$A$19:$A$22,0)))*'Parametri Modello'!$B$9))))*(1+IF('Parametri Modello'!$B$27="Si",MAX(-'Parametri Modello'!$B$28,MIN('Parametri Modello'!$B$28*1.5,IF(OR(INDEX('Parametri Modello'!$F$32:$F$35,MATCH($B419,'Parametri Modello'!$A$32:$A$35,0))="",INDEX('Parametri Modello'!$F$32:$F$35,MATCH($B419,'Parametri Modello'!$A$32:$A$35,0))=0),0,(1/INDEX('Parametri Modello'!$F$32:$F$35,MATCH($B419,'Parametri Modello'!$A$32:$A$35,0))-1)*'Parametri Modello'!$B$28))),0)))*(1+INDEX('Parametri Modello'!$B$12:$B$15,MATCH($B419,'Parametri Modello'!$A$12:$A$15,0))),0),"")</f>
        <v>1</v>
      </c>
      <c r="I419" s="26" t="str">
        <f aca="false">IFERROR(INDEX('Input Statistiche 2025_26'!$F$3:$F$665,MATCH($A419,'Input Statistiche 2025_26'!$A$3:$A$665,0)),"")</f>
        <v/>
      </c>
      <c r="J419" s="26" t="str">
        <f aca="false">IFERROR(IF($I419="","",MAX(0,38-$I419)),"")</f>
        <v/>
      </c>
      <c r="K419" s="26" t="str">
        <f aca="false">IFERROR(INDEX('Input Statistiche 2025_26'!$I$3:$I$665,MATCH($A419,'Input Statistiche 2025_26'!$A$3:$A$665,0)),"")</f>
        <v/>
      </c>
      <c r="L419" s="26" t="str">
        <f aca="false">IFERROR(INDEX('Input Statistiche 2025_26'!$O$3:$O$665,MATCH($A419,'Input Statistiche 2025_26'!$A$3:$A$665,0)),"")</f>
        <v/>
      </c>
      <c r="M419" s="28"/>
      <c r="N419" s="27" t="n">
        <f aca="false">IFERROR(INDEX('Input Giocatori 2026_27'!$E$3:$E$493,MATCH($A419,'Input Giocatori 2026_27'!$A$3:$A$493,0)),"")</f>
        <v>1</v>
      </c>
      <c r="O419" s="27" t="n">
        <f aca="false">IFERROR(INDEX('Input Giocatori 2026_27'!$G$3:$G$493,MATCH($A419,'Input Giocatori 2026_27'!$A$3:$A$493,0)),"")</f>
        <v>3</v>
      </c>
      <c r="P419" s="26" t="str">
        <f aca="false">IFERROR(IF($O419="","",IF((1-(COUNTIFS($B$2:$B$492,$B419,$O$2:$O$492,"&gt;"&amp;$O419)+1-1)/COUNTIF($B$2:$B$492,$B419))&gt;=0.85,"Top",IF((1-(COUNTIFS($B$2:$B$492,$B419,$O$2:$O$492,"&gt;"&amp;$O419)+1-1)/COUNTIF($B$2:$B$492,$B419))&gt;=0.6,"Buono",IF((1-(COUNTIFS($B$2:$B$492,$B419,$O$2:$O$492,"&gt;"&amp;$O419)+1-1)/COUNTIF($B$2:$B$492,$B419))&gt;=0.3,"Nella Media","Scommessa/Riserva")))),"")</f>
        <v>Scommessa/Riserva</v>
      </c>
      <c r="Q419" s="29" t="n">
        <f aca="false">IF($D419="",COUNTIF($D$2:$D419,""),"")</f>
        <v>418</v>
      </c>
      <c r="R419" s="29" t="str">
        <f aca="false">IF($D419='Info Lega'!$B$28,COUNTIFS($D$2:$D419,'Info Lega'!$B$28),"")</f>
        <v/>
      </c>
      <c r="S419" s="30" t="str">
        <f aca="false">IFERROR(INDEX('Input Statistiche 2025_26'!$G$3:$G$665,MATCH($A419,'Input Statistiche 2025_26'!$A$3:$A$665,0)),"")</f>
        <v/>
      </c>
      <c r="T419" s="30" t="str">
        <f aca="false">IFERROR(INDEX('Input Statistiche 2025_26'!$H$3:$H$665,MATCH($A419,'Input Statistiche 2025_26'!$A$3:$A$665,0)),"")</f>
        <v/>
      </c>
      <c r="U419" s="26" t="str">
        <f aca="false">IF(OR('La Mia Rosa'!$O$12="",$D419&lt;&gt;""),"",IF($F419&lt;='La Mia Rosa'!$O$12*'Parametri Modello'!$B$24,"OK",IF($F419&lt;='La Mia Rosa'!$O$12*'Parametri Modello'!$B$25,"Attenzione","Rischio Alto")))</f>
        <v>OK</v>
      </c>
      <c r="V419" s="26" t="n">
        <f aca="false">IFERROR(COUNTIFS($B$2:$B$492,$B419,$O$2:$O$492,"&gt;"&amp;$O419)+1,"")</f>
        <v>156</v>
      </c>
      <c r="W419" s="21" t="n">
        <f aca="false">'Info Lega'!$B$4-SUMIFS($M$2:$M$492,$D$2:$D$492,'Info Lega'!$B$28)</f>
        <v>1000</v>
      </c>
      <c r="X419" s="21" t="n">
        <f aca="false">('Info Lega'!$B$5-COUNTIFS($D$2:$D$492,'Info Lega'!$B$28,$B$2:$B$492,"P"))+('Info Lega'!$B$6-COUNTIFS($D$2:$D$492,'Info Lega'!$B$28,$B$2:$B$492,"D"))+('Info Lega'!$B$7-COUNTIFS($D$2:$D$492,'Info Lega'!$B$28,$B$2:$B$492,"C"))+('Info Lega'!$B$8-COUNTIFS($D$2:$D$492,'Info Lega'!$B$28,$B$2:$B$492,"A"))</f>
        <v>25</v>
      </c>
      <c r="Y419" s="21" t="n">
        <f aca="false">X419*'Parametri Modello'!$B$30</f>
        <v>25</v>
      </c>
      <c r="Z419" s="21" t="n">
        <f aca="false">MAX(0,W419-Y419)</f>
        <v>975</v>
      </c>
      <c r="AA419" s="21" t="n">
        <f aca="false">MIN(F419,Z419)</f>
        <v>1</v>
      </c>
      <c r="AB419" s="21"/>
      <c r="AC419" s="21" t="str">
        <f aca="false">IF(AB419="","",IF(AB419&gt;AA419,"PASS",IF(AB419&lt;=AA419*0.85,"BID","ATTENZIONE")))</f>
        <v/>
      </c>
      <c r="AD419" s="31" t="str">
        <f aca="false">IF(I419="","",ROUND(100*(1-EXP(-I419/30)),0))</f>
        <v/>
      </c>
      <c r="AE419" s="7" t="str">
        <f aca="false">IFERROR(INDEX('Stato Asta'!$G$9:$G$12,MATCH($B419,'Stato Asta'!$A$9:$A$12,0)),"")</f>
        <v>🟡 Attesa rischiosa</v>
      </c>
    </row>
    <row r="420" customFormat="false" ht="14.25" hidden="false" customHeight="true" outlineLevel="0" collapsed="false">
      <c r="A420" s="21" t="n">
        <v>7471</v>
      </c>
      <c r="B420" s="21" t="s">
        <v>44</v>
      </c>
      <c r="C420" s="21" t="s">
        <v>346</v>
      </c>
      <c r="E420" s="26" t="str">
        <f aca="false">IF(COUNTIF('Info Strategia'!$D$2:$D$51,$C420)&gt;0,"SI","NO")</f>
        <v>NO</v>
      </c>
      <c r="F420" s="27" t="n">
        <f aca="false">IFERROR(ROUND(($G420+($H420-$G420)*'Info Strategia'!$B$6)*(1+IF($E420="SI",'Parametri Modello'!$B$7*'Info Strategia'!$B$6,0)),0),"")</f>
        <v>1</v>
      </c>
      <c r="G420" s="27" t="n">
        <f aca="false">IFERROR(ROUND(MAX(1,(IF($V420&lt;=INDEX('Parametri Modello'!$C$57:$C$60,MATCH($B420,'Parametri Modello'!$A$57:$A$60,0)),IF(INDEX('Parametri Modello'!$E$57:$E$60,MATCH($B420,'Parametri Modello'!$A$57:$A$60,0))=0,0,($O420/INDEX('Parametri Modello'!$E$57:$E$60,MATCH($B420,'Parametri Modello'!$A$57:$A$60,0)))*(INDEX('Parametri Modello'!$D$57:$D$60,MATCH($B420,'Parametri Modello'!$A$57:$A$60,0))*(INDEX('Parametri Modello'!$B$50:$B$53,MATCH($B420,'Parametri Modello'!$A$50:$A$53,0))*'Parametri Modello'!$B$44))),IF(INDEX('Parametri Modello'!$F$57:$F$60,MATCH($B420,'Parametri Modello'!$A$57:$A$60,0))=0,0,($O420/INDEX('Parametri Modello'!$F$57:$F$60,MATCH($B420,'Parametri Modello'!$A$57:$A$60,0)))*((1-INDEX('Parametri Modello'!$D$57:$D$60,MATCH($B420,'Parametri Modello'!$A$57:$A$60,0)))*(INDEX('Parametri Modello'!$B$50:$B$53,MATCH($B420,'Parametri Modello'!$A$50:$A$53,0))*'Parametri Modello'!$B$44))))*(1+IF(IF($B420="D",'Info Lega'!$B$25,IF($B420="C",'Info Lega'!$B$26,"No"))="Si",'Parametri Modello'!$B$5,0))*(1+MAX(-0.25,MIN(0.25,IF(OR($T420="",$I420="",$I420=0,INDEX('Parametri Modello'!$B$19:$B$22,MATCH($B420,'Parametri Modello'!$A$19:$A$22,0))="",INDEX('Parametri Modello'!$B$19:$B$22,MATCH($B420,'Parametri Modello'!$A$19:$A$22,0))=0),0,(($T420-INDEX('Parametri Modello'!$B$19:$B$22,MATCH($B420,'Parametri Modello'!$A$19:$A$22,0)))/INDEX('Parametri Modello'!$B$19:$B$22,MATCH($B420,'Parametri Modello'!$A$19:$A$22,0)))*'Parametri Modello'!$B$9))))*(1+IF('Parametri Modello'!$B$27="Si",MAX(-'Parametri Modello'!$B$28,MIN('Parametri Modello'!$B$28*1.5,IF(OR(INDEX('Parametri Modello'!$F$32:$F$35,MATCH($B420,'Parametri Modello'!$A$32:$A$35,0))="",INDEX('Parametri Modello'!$F$32:$F$35,MATCH($B420,'Parametri Modello'!$A$32:$A$35,0))=0),0,(1/INDEX('Parametri Modello'!$F$32:$F$35,MATCH($B420,'Parametri Modello'!$A$32:$A$35,0))-1)*'Parametri Modello'!$B$28))),0)))*(1-INDEX('Parametri Modello'!$B$12:$B$15,MATCH($B420,'Parametri Modello'!$A$12:$A$15,0)))),0),"")</f>
        <v>1</v>
      </c>
      <c r="H420" s="27" t="n">
        <f aca="false">IFERROR(ROUND((IF($V420&lt;=INDEX('Parametri Modello'!$C$57:$C$60,MATCH($B420,'Parametri Modello'!$A$57:$A$60,0)),IF(INDEX('Parametri Modello'!$E$57:$E$60,MATCH($B420,'Parametri Modello'!$A$57:$A$60,0))=0,0,($O420/INDEX('Parametri Modello'!$E$57:$E$60,MATCH($B420,'Parametri Modello'!$A$57:$A$60,0)))*(INDEX('Parametri Modello'!$D$57:$D$60,MATCH($B420,'Parametri Modello'!$A$57:$A$60,0))*(INDEX('Parametri Modello'!$B$50:$B$53,MATCH($B420,'Parametri Modello'!$A$50:$A$53,0))*'Parametri Modello'!$B$44))),IF(INDEX('Parametri Modello'!$F$57:$F$60,MATCH($B420,'Parametri Modello'!$A$57:$A$60,0))=0,0,($O420/INDEX('Parametri Modello'!$F$57:$F$60,MATCH($B420,'Parametri Modello'!$A$57:$A$60,0)))*((1-INDEX('Parametri Modello'!$D$57:$D$60,MATCH($B420,'Parametri Modello'!$A$57:$A$60,0)))*(INDEX('Parametri Modello'!$B$50:$B$53,MATCH($B420,'Parametri Modello'!$A$50:$A$53,0))*'Parametri Modello'!$B$44))))*(1+IF(IF($B420="D",'Info Lega'!$B$25,IF($B420="C",'Info Lega'!$B$26,"No"))="Si",'Parametri Modello'!$B$5,0))*(1+MAX(-0.25,MIN(0.25,IF(OR($T420="",$I420="",$I420=0,INDEX('Parametri Modello'!$B$19:$B$22,MATCH($B420,'Parametri Modello'!$A$19:$A$22,0))="",INDEX('Parametri Modello'!$B$19:$B$22,MATCH($B420,'Parametri Modello'!$A$19:$A$22,0))=0),0,(($T420-INDEX('Parametri Modello'!$B$19:$B$22,MATCH($B420,'Parametri Modello'!$A$19:$A$22,0)))/INDEX('Parametri Modello'!$B$19:$B$22,MATCH($B420,'Parametri Modello'!$A$19:$A$22,0)))*'Parametri Modello'!$B$9))))*(1+IF('Parametri Modello'!$B$27="Si",MAX(-'Parametri Modello'!$B$28,MIN('Parametri Modello'!$B$28*1.5,IF(OR(INDEX('Parametri Modello'!$F$32:$F$35,MATCH($B420,'Parametri Modello'!$A$32:$A$35,0))="",INDEX('Parametri Modello'!$F$32:$F$35,MATCH($B420,'Parametri Modello'!$A$32:$A$35,0))=0),0,(1/INDEX('Parametri Modello'!$F$32:$F$35,MATCH($B420,'Parametri Modello'!$A$32:$A$35,0))-1)*'Parametri Modello'!$B$28))),0)))*(1+INDEX('Parametri Modello'!$B$12:$B$15,MATCH($B420,'Parametri Modello'!$A$12:$A$15,0))),0),"")</f>
        <v>1</v>
      </c>
      <c r="I420" s="26" t="str">
        <f aca="false">IFERROR(INDEX('Input Statistiche 2025_26'!$F$3:$F$665,MATCH($A420,'Input Statistiche 2025_26'!$A$3:$A$665,0)),"")</f>
        <v/>
      </c>
      <c r="J420" s="26" t="str">
        <f aca="false">IFERROR(IF($I420="","",MAX(0,38-$I420)),"")</f>
        <v/>
      </c>
      <c r="K420" s="26" t="str">
        <f aca="false">IFERROR(INDEX('Input Statistiche 2025_26'!$I$3:$I$665,MATCH($A420,'Input Statistiche 2025_26'!$A$3:$A$665,0)),"")</f>
        <v/>
      </c>
      <c r="L420" s="26" t="str">
        <f aca="false">IFERROR(INDEX('Input Statistiche 2025_26'!$O$3:$O$665,MATCH($A420,'Input Statistiche 2025_26'!$A$3:$A$665,0)),"")</f>
        <v/>
      </c>
      <c r="M420" s="28"/>
      <c r="N420" s="27" t="n">
        <f aca="false">IFERROR(INDEX('Input Giocatori 2026_27'!$E$3:$E$493,MATCH($A420,'Input Giocatori 2026_27'!$A$3:$A$493,0)),"")</f>
        <v>1</v>
      </c>
      <c r="O420" s="27" t="n">
        <f aca="false">IFERROR(INDEX('Input Giocatori 2026_27'!$G$3:$G$493,MATCH($A420,'Input Giocatori 2026_27'!$A$3:$A$493,0)),"")</f>
        <v>3</v>
      </c>
      <c r="P420" s="26" t="str">
        <f aca="false">IFERROR(IF($O420="","",IF((1-(COUNTIFS($B$2:$B$492,$B420,$O$2:$O$492,"&gt;"&amp;$O420)+1-1)/COUNTIF($B$2:$B$492,$B420))&gt;=0.85,"Top",IF((1-(COUNTIFS($B$2:$B$492,$B420,$O$2:$O$492,"&gt;"&amp;$O420)+1-1)/COUNTIF($B$2:$B$492,$B420))&gt;=0.6,"Buono",IF((1-(COUNTIFS($B$2:$B$492,$B420,$O$2:$O$492,"&gt;"&amp;$O420)+1-1)/COUNTIF($B$2:$B$492,$B420))&gt;=0.3,"Nella Media","Scommessa/Riserva")))),"")</f>
        <v>Scommessa/Riserva</v>
      </c>
      <c r="Q420" s="29" t="n">
        <f aca="false">IF($D420="",COUNTIF($D$2:$D420,""),"")</f>
        <v>419</v>
      </c>
      <c r="R420" s="29" t="str">
        <f aca="false">IF($D420='Info Lega'!$B$28,COUNTIFS($D$2:$D420,'Info Lega'!$B$28),"")</f>
        <v/>
      </c>
      <c r="S420" s="30" t="str">
        <f aca="false">IFERROR(INDEX('Input Statistiche 2025_26'!$G$3:$G$665,MATCH($A420,'Input Statistiche 2025_26'!$A$3:$A$665,0)),"")</f>
        <v/>
      </c>
      <c r="T420" s="30" t="str">
        <f aca="false">IFERROR(INDEX('Input Statistiche 2025_26'!$H$3:$H$665,MATCH($A420,'Input Statistiche 2025_26'!$A$3:$A$665,0)),"")</f>
        <v/>
      </c>
      <c r="U420" s="26" t="str">
        <f aca="false">IF(OR('La Mia Rosa'!$O$12="",$D420&lt;&gt;""),"",IF($F420&lt;='La Mia Rosa'!$O$12*'Parametri Modello'!$B$24,"OK",IF($F420&lt;='La Mia Rosa'!$O$12*'Parametri Modello'!$B$25,"Attenzione","Rischio Alto")))</f>
        <v>OK</v>
      </c>
      <c r="V420" s="26" t="n">
        <f aca="false">IFERROR(COUNTIFS($B$2:$B$492,$B420,$O$2:$O$492,"&gt;"&amp;$O420)+1,"")</f>
        <v>156</v>
      </c>
      <c r="W420" s="21" t="n">
        <f aca="false">'Info Lega'!$B$4-SUMIFS($M$2:$M$492,$D$2:$D$492,'Info Lega'!$B$28)</f>
        <v>1000</v>
      </c>
      <c r="X420" s="21" t="n">
        <f aca="false">('Info Lega'!$B$5-COUNTIFS($D$2:$D$492,'Info Lega'!$B$28,$B$2:$B$492,"P"))+('Info Lega'!$B$6-COUNTIFS($D$2:$D$492,'Info Lega'!$B$28,$B$2:$B$492,"D"))+('Info Lega'!$B$7-COUNTIFS($D$2:$D$492,'Info Lega'!$B$28,$B$2:$B$492,"C"))+('Info Lega'!$B$8-COUNTIFS($D$2:$D$492,'Info Lega'!$B$28,$B$2:$B$492,"A"))</f>
        <v>25</v>
      </c>
      <c r="Y420" s="21" t="n">
        <f aca="false">X420*'Parametri Modello'!$B$30</f>
        <v>25</v>
      </c>
      <c r="Z420" s="21" t="n">
        <f aca="false">MAX(0,W420-Y420)</f>
        <v>975</v>
      </c>
      <c r="AA420" s="21" t="n">
        <f aca="false">MIN(F420,Z420)</f>
        <v>1</v>
      </c>
      <c r="AB420" s="21"/>
      <c r="AC420" s="21" t="str">
        <f aca="false">IF(AB420="","",IF(AB420&gt;AA420,"PASS",IF(AB420&lt;=AA420*0.85,"BID","ATTENZIONE")))</f>
        <v/>
      </c>
      <c r="AD420" s="31" t="str">
        <f aca="false">IF(I420="","",ROUND(100*(1-EXP(-I420/30)),0))</f>
        <v/>
      </c>
      <c r="AE420" s="7" t="str">
        <f aca="false">IFERROR(INDEX('Stato Asta'!$G$9:$G$12,MATCH($B420,'Stato Asta'!$A$9:$A$12,0)),"")</f>
        <v>🟡 Attesa rischiosa</v>
      </c>
    </row>
    <row r="421" customFormat="false" ht="14.25" hidden="false" customHeight="true" outlineLevel="0" collapsed="false">
      <c r="A421" s="21" t="n">
        <v>294</v>
      </c>
      <c r="B421" s="21" t="s">
        <v>44</v>
      </c>
      <c r="C421" s="21" t="s">
        <v>349</v>
      </c>
      <c r="E421" s="26" t="str">
        <f aca="false">IF(COUNTIF('Info Strategia'!$D$2:$D$51,$C421)&gt;0,"SI","NO")</f>
        <v>NO</v>
      </c>
      <c r="F421" s="27" t="n">
        <f aca="false">IFERROR(ROUND(($G421+($H421-$G421)*'Info Strategia'!$B$6)*(1+IF($E421="SI",'Parametri Modello'!$B$7*'Info Strategia'!$B$6,0)),0),"")</f>
        <v>1</v>
      </c>
      <c r="G421" s="27" t="n">
        <f aca="false">IFERROR(ROUND(MAX(1,(IF($V421&lt;=INDEX('Parametri Modello'!$C$57:$C$60,MATCH($B421,'Parametri Modello'!$A$57:$A$60,0)),IF(INDEX('Parametri Modello'!$E$57:$E$60,MATCH($B421,'Parametri Modello'!$A$57:$A$60,0))=0,0,($O421/INDEX('Parametri Modello'!$E$57:$E$60,MATCH($B421,'Parametri Modello'!$A$57:$A$60,0)))*(INDEX('Parametri Modello'!$D$57:$D$60,MATCH($B421,'Parametri Modello'!$A$57:$A$60,0))*(INDEX('Parametri Modello'!$B$50:$B$53,MATCH($B421,'Parametri Modello'!$A$50:$A$53,0))*'Parametri Modello'!$B$44))),IF(INDEX('Parametri Modello'!$F$57:$F$60,MATCH($B421,'Parametri Modello'!$A$57:$A$60,0))=0,0,($O421/INDEX('Parametri Modello'!$F$57:$F$60,MATCH($B421,'Parametri Modello'!$A$57:$A$60,0)))*((1-INDEX('Parametri Modello'!$D$57:$D$60,MATCH($B421,'Parametri Modello'!$A$57:$A$60,0)))*(INDEX('Parametri Modello'!$B$50:$B$53,MATCH($B421,'Parametri Modello'!$A$50:$A$53,0))*'Parametri Modello'!$B$44))))*(1+IF(IF($B421="D",'Info Lega'!$B$25,IF($B421="C",'Info Lega'!$B$26,"No"))="Si",'Parametri Modello'!$B$5,0))*(1+MAX(-0.25,MIN(0.25,IF(OR($T421="",$I421="",$I421=0,INDEX('Parametri Modello'!$B$19:$B$22,MATCH($B421,'Parametri Modello'!$A$19:$A$22,0))="",INDEX('Parametri Modello'!$B$19:$B$22,MATCH($B421,'Parametri Modello'!$A$19:$A$22,0))=0),0,(($T421-INDEX('Parametri Modello'!$B$19:$B$22,MATCH($B421,'Parametri Modello'!$A$19:$A$22,0)))/INDEX('Parametri Modello'!$B$19:$B$22,MATCH($B421,'Parametri Modello'!$A$19:$A$22,0)))*'Parametri Modello'!$B$9))))*(1+IF('Parametri Modello'!$B$27="Si",MAX(-'Parametri Modello'!$B$28,MIN('Parametri Modello'!$B$28*1.5,IF(OR(INDEX('Parametri Modello'!$F$32:$F$35,MATCH($B421,'Parametri Modello'!$A$32:$A$35,0))="",INDEX('Parametri Modello'!$F$32:$F$35,MATCH($B421,'Parametri Modello'!$A$32:$A$35,0))=0),0,(1/INDEX('Parametri Modello'!$F$32:$F$35,MATCH($B421,'Parametri Modello'!$A$32:$A$35,0))-1)*'Parametri Modello'!$B$28))),0)))*(1-INDEX('Parametri Modello'!$B$12:$B$15,MATCH($B421,'Parametri Modello'!$A$12:$A$15,0)))),0),"")</f>
        <v>1</v>
      </c>
      <c r="H421" s="27" t="n">
        <f aca="false">IFERROR(ROUND((IF($V421&lt;=INDEX('Parametri Modello'!$C$57:$C$60,MATCH($B421,'Parametri Modello'!$A$57:$A$60,0)),IF(INDEX('Parametri Modello'!$E$57:$E$60,MATCH($B421,'Parametri Modello'!$A$57:$A$60,0))=0,0,($O421/INDEX('Parametri Modello'!$E$57:$E$60,MATCH($B421,'Parametri Modello'!$A$57:$A$60,0)))*(INDEX('Parametri Modello'!$D$57:$D$60,MATCH($B421,'Parametri Modello'!$A$57:$A$60,0))*(INDEX('Parametri Modello'!$B$50:$B$53,MATCH($B421,'Parametri Modello'!$A$50:$A$53,0))*'Parametri Modello'!$B$44))),IF(INDEX('Parametri Modello'!$F$57:$F$60,MATCH($B421,'Parametri Modello'!$A$57:$A$60,0))=0,0,($O421/INDEX('Parametri Modello'!$F$57:$F$60,MATCH($B421,'Parametri Modello'!$A$57:$A$60,0)))*((1-INDEX('Parametri Modello'!$D$57:$D$60,MATCH($B421,'Parametri Modello'!$A$57:$A$60,0)))*(INDEX('Parametri Modello'!$B$50:$B$53,MATCH($B421,'Parametri Modello'!$A$50:$A$53,0))*'Parametri Modello'!$B$44))))*(1+IF(IF($B421="D",'Info Lega'!$B$25,IF($B421="C",'Info Lega'!$B$26,"No"))="Si",'Parametri Modello'!$B$5,0))*(1+MAX(-0.25,MIN(0.25,IF(OR($T421="",$I421="",$I421=0,INDEX('Parametri Modello'!$B$19:$B$22,MATCH($B421,'Parametri Modello'!$A$19:$A$22,0))="",INDEX('Parametri Modello'!$B$19:$B$22,MATCH($B421,'Parametri Modello'!$A$19:$A$22,0))=0),0,(($T421-INDEX('Parametri Modello'!$B$19:$B$22,MATCH($B421,'Parametri Modello'!$A$19:$A$22,0)))/INDEX('Parametri Modello'!$B$19:$B$22,MATCH($B421,'Parametri Modello'!$A$19:$A$22,0)))*'Parametri Modello'!$B$9))))*(1+IF('Parametri Modello'!$B$27="Si",MAX(-'Parametri Modello'!$B$28,MIN('Parametri Modello'!$B$28*1.5,IF(OR(INDEX('Parametri Modello'!$F$32:$F$35,MATCH($B421,'Parametri Modello'!$A$32:$A$35,0))="",INDEX('Parametri Modello'!$F$32:$F$35,MATCH($B421,'Parametri Modello'!$A$32:$A$35,0))=0),0,(1/INDEX('Parametri Modello'!$F$32:$F$35,MATCH($B421,'Parametri Modello'!$A$32:$A$35,0))-1)*'Parametri Modello'!$B$28))),0)))*(1+INDEX('Parametri Modello'!$B$12:$B$15,MATCH($B421,'Parametri Modello'!$A$12:$A$15,0))),0),"")</f>
        <v>1</v>
      </c>
      <c r="I421" s="26" t="n">
        <f aca="false">IFERROR(INDEX('Input Statistiche 2025_26'!$F$3:$F$665,MATCH($A421,'Input Statistiche 2025_26'!$A$3:$A$665,0)),"")</f>
        <v>8</v>
      </c>
      <c r="J421" s="26" t="n">
        <f aca="false">IFERROR(IF($I421="","",MAX(0,38-$I421)),"")</f>
        <v>30</v>
      </c>
      <c r="K421" s="26" t="n">
        <f aca="false">IFERROR(INDEX('Input Statistiche 2025_26'!$I$3:$I$665,MATCH($A421,'Input Statistiche 2025_26'!$A$3:$A$665,0)),"")</f>
        <v>0</v>
      </c>
      <c r="L421" s="26" t="n">
        <f aca="false">IFERROR(INDEX('Input Statistiche 2025_26'!$O$3:$O$665,MATCH($A421,'Input Statistiche 2025_26'!$A$3:$A$665,0)),"")</f>
        <v>0</v>
      </c>
      <c r="M421" s="28"/>
      <c r="N421" s="27" t="n">
        <f aca="false">IFERROR(INDEX('Input Giocatori 2026_27'!$E$3:$E$493,MATCH($A421,'Input Giocatori 2026_27'!$A$3:$A$493,0)),"")</f>
        <v>1</v>
      </c>
      <c r="O421" s="27" t="n">
        <f aca="false">IFERROR(INDEX('Input Giocatori 2026_27'!$G$3:$G$493,MATCH($A421,'Input Giocatori 2026_27'!$A$3:$A$493,0)),"")</f>
        <v>3</v>
      </c>
      <c r="P421" s="26" t="str">
        <f aca="false">IFERROR(IF($O421="","",IF((1-(COUNTIFS($B$2:$B$492,$B421,$O$2:$O$492,"&gt;"&amp;$O421)+1-1)/COUNTIF($B$2:$B$492,$B421))&gt;=0.85,"Top",IF((1-(COUNTIFS($B$2:$B$492,$B421,$O$2:$O$492,"&gt;"&amp;$O421)+1-1)/COUNTIF($B$2:$B$492,$B421))&gt;=0.6,"Buono",IF((1-(COUNTIFS($B$2:$B$492,$B421,$O$2:$O$492,"&gt;"&amp;$O421)+1-1)/COUNTIF($B$2:$B$492,$B421))&gt;=0.3,"Nella Media","Scommessa/Riserva")))),"")</f>
        <v>Scommessa/Riserva</v>
      </c>
      <c r="Q421" s="29" t="n">
        <f aca="false">IF($D421="",COUNTIF($D$2:$D421,""),"")</f>
        <v>420</v>
      </c>
      <c r="R421" s="29" t="str">
        <f aca="false">IF($D421='Info Lega'!$B$28,COUNTIFS($D$2:$D421,'Info Lega'!$B$28),"")</f>
        <v/>
      </c>
      <c r="S421" s="30" t="n">
        <f aca="false">IFERROR(INDEX('Input Statistiche 2025_26'!$G$3:$G$665,MATCH($A421,'Input Statistiche 2025_26'!$A$3:$A$665,0)),"")</f>
        <v>5.69</v>
      </c>
      <c r="T421" s="30" t="n">
        <f aca="false">IFERROR(INDEX('Input Statistiche 2025_26'!$H$3:$H$665,MATCH($A421,'Input Statistiche 2025_26'!$A$3:$A$665,0)),"")</f>
        <v>5.56</v>
      </c>
      <c r="U421" s="26" t="str">
        <f aca="false">IF(OR('La Mia Rosa'!$O$12="",$D421&lt;&gt;""),"",IF($F421&lt;='La Mia Rosa'!$O$12*'Parametri Modello'!$B$24,"OK",IF($F421&lt;='La Mia Rosa'!$O$12*'Parametri Modello'!$B$25,"Attenzione","Rischio Alto")))</f>
        <v>OK</v>
      </c>
      <c r="V421" s="26" t="n">
        <f aca="false">IFERROR(COUNTIFS($B$2:$B$492,$B421,$O$2:$O$492,"&gt;"&amp;$O421)+1,"")</f>
        <v>156</v>
      </c>
      <c r="W421" s="21" t="n">
        <f aca="false">'Info Lega'!$B$4-SUMIFS($M$2:$M$492,$D$2:$D$492,'Info Lega'!$B$28)</f>
        <v>1000</v>
      </c>
      <c r="X421" s="21" t="n">
        <f aca="false">('Info Lega'!$B$5-COUNTIFS($D$2:$D$492,'Info Lega'!$B$28,$B$2:$B$492,"P"))+('Info Lega'!$B$6-COUNTIFS($D$2:$D$492,'Info Lega'!$B$28,$B$2:$B$492,"D"))+('Info Lega'!$B$7-COUNTIFS($D$2:$D$492,'Info Lega'!$B$28,$B$2:$B$492,"C"))+('Info Lega'!$B$8-COUNTIFS($D$2:$D$492,'Info Lega'!$B$28,$B$2:$B$492,"A"))</f>
        <v>25</v>
      </c>
      <c r="Y421" s="21" t="n">
        <f aca="false">X421*'Parametri Modello'!$B$30</f>
        <v>25</v>
      </c>
      <c r="Z421" s="21" t="n">
        <f aca="false">MAX(0,W421-Y421)</f>
        <v>975</v>
      </c>
      <c r="AA421" s="21" t="n">
        <f aca="false">MIN(F421,Z421)</f>
        <v>1</v>
      </c>
      <c r="AB421" s="21"/>
      <c r="AC421" s="21" t="str">
        <f aca="false">IF(AB421="","",IF(AB421&gt;AA421,"PASS",IF(AB421&lt;=AA421*0.85,"BID","ATTENZIONE")))</f>
        <v/>
      </c>
      <c r="AD421" s="31" t="n">
        <f aca="false">IF(I421="","",ROUND(100*(1-EXP(-I421/30)),0))</f>
        <v>23</v>
      </c>
      <c r="AE421" s="7" t="str">
        <f aca="false">IFERROR(INDEX('Stato Asta'!$G$9:$G$12,MATCH($B421,'Stato Asta'!$A$9:$A$12,0)),"")</f>
        <v>🟡 Attesa rischiosa</v>
      </c>
    </row>
    <row r="422" customFormat="false" ht="14.25" hidden="false" customHeight="true" outlineLevel="0" collapsed="false">
      <c r="A422" s="21" t="n">
        <v>5481</v>
      </c>
      <c r="B422" s="21" t="s">
        <v>44</v>
      </c>
      <c r="C422" s="21" t="s">
        <v>357</v>
      </c>
      <c r="E422" s="26" t="str">
        <f aca="false">IF(COUNTIF('Info Strategia'!$D$2:$D$51,$C422)&gt;0,"SI","NO")</f>
        <v>NO</v>
      </c>
      <c r="F422" s="27" t="n">
        <f aca="false">IFERROR(ROUND(($G422+($H422-$G422)*'Info Strategia'!$B$6)*(1+IF($E422="SI",'Parametri Modello'!$B$7*'Info Strategia'!$B$6,0)),0),"")</f>
        <v>1</v>
      </c>
      <c r="G422" s="27" t="n">
        <f aca="false">IFERROR(ROUND(MAX(1,(IF($V422&lt;=INDEX('Parametri Modello'!$C$57:$C$60,MATCH($B422,'Parametri Modello'!$A$57:$A$60,0)),IF(INDEX('Parametri Modello'!$E$57:$E$60,MATCH($B422,'Parametri Modello'!$A$57:$A$60,0))=0,0,($O422/INDEX('Parametri Modello'!$E$57:$E$60,MATCH($B422,'Parametri Modello'!$A$57:$A$60,0)))*(INDEX('Parametri Modello'!$D$57:$D$60,MATCH($B422,'Parametri Modello'!$A$57:$A$60,0))*(INDEX('Parametri Modello'!$B$50:$B$53,MATCH($B422,'Parametri Modello'!$A$50:$A$53,0))*'Parametri Modello'!$B$44))),IF(INDEX('Parametri Modello'!$F$57:$F$60,MATCH($B422,'Parametri Modello'!$A$57:$A$60,0))=0,0,($O422/INDEX('Parametri Modello'!$F$57:$F$60,MATCH($B422,'Parametri Modello'!$A$57:$A$60,0)))*((1-INDEX('Parametri Modello'!$D$57:$D$60,MATCH($B422,'Parametri Modello'!$A$57:$A$60,0)))*(INDEX('Parametri Modello'!$B$50:$B$53,MATCH($B422,'Parametri Modello'!$A$50:$A$53,0))*'Parametri Modello'!$B$44))))*(1+IF(IF($B422="D",'Info Lega'!$B$25,IF($B422="C",'Info Lega'!$B$26,"No"))="Si",'Parametri Modello'!$B$5,0))*(1+MAX(-0.25,MIN(0.25,IF(OR($T422="",$I422="",$I422=0,INDEX('Parametri Modello'!$B$19:$B$22,MATCH($B422,'Parametri Modello'!$A$19:$A$22,0))="",INDEX('Parametri Modello'!$B$19:$B$22,MATCH($B422,'Parametri Modello'!$A$19:$A$22,0))=0),0,(($T422-INDEX('Parametri Modello'!$B$19:$B$22,MATCH($B422,'Parametri Modello'!$A$19:$A$22,0)))/INDEX('Parametri Modello'!$B$19:$B$22,MATCH($B422,'Parametri Modello'!$A$19:$A$22,0)))*'Parametri Modello'!$B$9))))*(1+IF('Parametri Modello'!$B$27="Si",MAX(-'Parametri Modello'!$B$28,MIN('Parametri Modello'!$B$28*1.5,IF(OR(INDEX('Parametri Modello'!$F$32:$F$35,MATCH($B422,'Parametri Modello'!$A$32:$A$35,0))="",INDEX('Parametri Modello'!$F$32:$F$35,MATCH($B422,'Parametri Modello'!$A$32:$A$35,0))=0),0,(1/INDEX('Parametri Modello'!$F$32:$F$35,MATCH($B422,'Parametri Modello'!$A$32:$A$35,0))-1)*'Parametri Modello'!$B$28))),0)))*(1-INDEX('Parametri Modello'!$B$12:$B$15,MATCH($B422,'Parametri Modello'!$A$12:$A$15,0)))),0),"")</f>
        <v>1</v>
      </c>
      <c r="H422" s="27" t="n">
        <f aca="false">IFERROR(ROUND((IF($V422&lt;=INDEX('Parametri Modello'!$C$57:$C$60,MATCH($B422,'Parametri Modello'!$A$57:$A$60,0)),IF(INDEX('Parametri Modello'!$E$57:$E$60,MATCH($B422,'Parametri Modello'!$A$57:$A$60,0))=0,0,($O422/INDEX('Parametri Modello'!$E$57:$E$60,MATCH($B422,'Parametri Modello'!$A$57:$A$60,0)))*(INDEX('Parametri Modello'!$D$57:$D$60,MATCH($B422,'Parametri Modello'!$A$57:$A$60,0))*(INDEX('Parametri Modello'!$B$50:$B$53,MATCH($B422,'Parametri Modello'!$A$50:$A$53,0))*'Parametri Modello'!$B$44))),IF(INDEX('Parametri Modello'!$F$57:$F$60,MATCH($B422,'Parametri Modello'!$A$57:$A$60,0))=0,0,($O422/INDEX('Parametri Modello'!$F$57:$F$60,MATCH($B422,'Parametri Modello'!$A$57:$A$60,0)))*((1-INDEX('Parametri Modello'!$D$57:$D$60,MATCH($B422,'Parametri Modello'!$A$57:$A$60,0)))*(INDEX('Parametri Modello'!$B$50:$B$53,MATCH($B422,'Parametri Modello'!$A$50:$A$53,0))*'Parametri Modello'!$B$44))))*(1+IF(IF($B422="D",'Info Lega'!$B$25,IF($B422="C",'Info Lega'!$B$26,"No"))="Si",'Parametri Modello'!$B$5,0))*(1+MAX(-0.25,MIN(0.25,IF(OR($T422="",$I422="",$I422=0,INDEX('Parametri Modello'!$B$19:$B$22,MATCH($B422,'Parametri Modello'!$A$19:$A$22,0))="",INDEX('Parametri Modello'!$B$19:$B$22,MATCH($B422,'Parametri Modello'!$A$19:$A$22,0))=0),0,(($T422-INDEX('Parametri Modello'!$B$19:$B$22,MATCH($B422,'Parametri Modello'!$A$19:$A$22,0)))/INDEX('Parametri Modello'!$B$19:$B$22,MATCH($B422,'Parametri Modello'!$A$19:$A$22,0)))*'Parametri Modello'!$B$9))))*(1+IF('Parametri Modello'!$B$27="Si",MAX(-'Parametri Modello'!$B$28,MIN('Parametri Modello'!$B$28*1.5,IF(OR(INDEX('Parametri Modello'!$F$32:$F$35,MATCH($B422,'Parametri Modello'!$A$32:$A$35,0))="",INDEX('Parametri Modello'!$F$32:$F$35,MATCH($B422,'Parametri Modello'!$A$32:$A$35,0))=0),0,(1/INDEX('Parametri Modello'!$F$32:$F$35,MATCH($B422,'Parametri Modello'!$A$32:$A$35,0))-1)*'Parametri Modello'!$B$28))),0)))*(1+INDEX('Parametri Modello'!$B$12:$B$15,MATCH($B422,'Parametri Modello'!$A$12:$A$15,0))),0),"")</f>
        <v>1</v>
      </c>
      <c r="I422" s="26" t="n">
        <f aca="false">IFERROR(INDEX('Input Statistiche 2025_26'!$F$3:$F$665,MATCH($A422,'Input Statistiche 2025_26'!$A$3:$A$665,0)),"")</f>
        <v>9</v>
      </c>
      <c r="J422" s="26" t="n">
        <f aca="false">IFERROR(IF($I422="","",MAX(0,38-$I422)),"")</f>
        <v>29</v>
      </c>
      <c r="K422" s="26" t="n">
        <f aca="false">IFERROR(INDEX('Input Statistiche 2025_26'!$I$3:$I$665,MATCH($A422,'Input Statistiche 2025_26'!$A$3:$A$665,0)),"")</f>
        <v>0</v>
      </c>
      <c r="L422" s="26" t="n">
        <f aca="false">IFERROR(INDEX('Input Statistiche 2025_26'!$O$3:$O$665,MATCH($A422,'Input Statistiche 2025_26'!$A$3:$A$665,0)),"")</f>
        <v>1</v>
      </c>
      <c r="M422" s="28"/>
      <c r="N422" s="27" t="n">
        <f aca="false">IFERROR(INDEX('Input Giocatori 2026_27'!$E$3:$E$493,MATCH($A422,'Input Giocatori 2026_27'!$A$3:$A$493,0)),"")</f>
        <v>1</v>
      </c>
      <c r="O422" s="27" t="n">
        <f aca="false">IFERROR(INDEX('Input Giocatori 2026_27'!$G$3:$G$493,MATCH($A422,'Input Giocatori 2026_27'!$A$3:$A$493,0)),"")</f>
        <v>3</v>
      </c>
      <c r="P422" s="26" t="str">
        <f aca="false">IFERROR(IF($O422="","",IF((1-(COUNTIFS($B$2:$B$492,$B422,$O$2:$O$492,"&gt;"&amp;$O422)+1-1)/COUNTIF($B$2:$B$492,$B422))&gt;=0.85,"Top",IF((1-(COUNTIFS($B$2:$B$492,$B422,$O$2:$O$492,"&gt;"&amp;$O422)+1-1)/COUNTIF($B$2:$B$492,$B422))&gt;=0.6,"Buono",IF((1-(COUNTIFS($B$2:$B$492,$B422,$O$2:$O$492,"&gt;"&amp;$O422)+1-1)/COUNTIF($B$2:$B$492,$B422))&gt;=0.3,"Nella Media","Scommessa/Riserva")))),"")</f>
        <v>Scommessa/Riserva</v>
      </c>
      <c r="Q422" s="29" t="n">
        <f aca="false">IF($D422="",COUNTIF($D$2:$D422,""),"")</f>
        <v>421</v>
      </c>
      <c r="R422" s="29" t="str">
        <f aca="false">IF($D422='Info Lega'!$B$28,COUNTIFS($D$2:$D422,'Info Lega'!$B$28),"")</f>
        <v/>
      </c>
      <c r="S422" s="30" t="n">
        <f aca="false">IFERROR(INDEX('Input Statistiche 2025_26'!$G$3:$G$665,MATCH($A422,'Input Statistiche 2025_26'!$A$3:$A$665,0)),"")</f>
        <v>5.94</v>
      </c>
      <c r="T422" s="30" t="n">
        <f aca="false">IFERROR(INDEX('Input Statistiche 2025_26'!$H$3:$H$665,MATCH($A422,'Input Statistiche 2025_26'!$A$3:$A$665,0)),"")</f>
        <v>5.94</v>
      </c>
      <c r="U422" s="26" t="str">
        <f aca="false">IF(OR('La Mia Rosa'!$O$12="",$D422&lt;&gt;""),"",IF($F422&lt;='La Mia Rosa'!$O$12*'Parametri Modello'!$B$24,"OK",IF($F422&lt;='La Mia Rosa'!$O$12*'Parametri Modello'!$B$25,"Attenzione","Rischio Alto")))</f>
        <v>OK</v>
      </c>
      <c r="V422" s="26" t="n">
        <f aca="false">IFERROR(COUNTIFS($B$2:$B$492,$B422,$O$2:$O$492,"&gt;"&amp;$O422)+1,"")</f>
        <v>156</v>
      </c>
      <c r="W422" s="21" t="n">
        <f aca="false">'Info Lega'!$B$4-SUMIFS($M$2:$M$492,$D$2:$D$492,'Info Lega'!$B$28)</f>
        <v>1000</v>
      </c>
      <c r="X422" s="21" t="n">
        <f aca="false">('Info Lega'!$B$5-COUNTIFS($D$2:$D$492,'Info Lega'!$B$28,$B$2:$B$492,"P"))+('Info Lega'!$B$6-COUNTIFS($D$2:$D$492,'Info Lega'!$B$28,$B$2:$B$492,"D"))+('Info Lega'!$B$7-COUNTIFS($D$2:$D$492,'Info Lega'!$B$28,$B$2:$B$492,"C"))+('Info Lega'!$B$8-COUNTIFS($D$2:$D$492,'Info Lega'!$B$28,$B$2:$B$492,"A"))</f>
        <v>25</v>
      </c>
      <c r="Y422" s="21" t="n">
        <f aca="false">X422*'Parametri Modello'!$B$30</f>
        <v>25</v>
      </c>
      <c r="Z422" s="21" t="n">
        <f aca="false">MAX(0,W422-Y422)</f>
        <v>975</v>
      </c>
      <c r="AA422" s="21" t="n">
        <f aca="false">MIN(F422,Z422)</f>
        <v>1</v>
      </c>
      <c r="AB422" s="21"/>
      <c r="AC422" s="21" t="str">
        <f aca="false">IF(AB422="","",IF(AB422&gt;AA422,"PASS",IF(AB422&lt;=AA422*0.85,"BID","ATTENZIONE")))</f>
        <v/>
      </c>
      <c r="AD422" s="31" t="n">
        <f aca="false">IF(I422="","",ROUND(100*(1-EXP(-I422/30)),0))</f>
        <v>26</v>
      </c>
      <c r="AE422" s="7" t="str">
        <f aca="false">IFERROR(INDEX('Stato Asta'!$G$9:$G$12,MATCH($B422,'Stato Asta'!$A$9:$A$12,0)),"")</f>
        <v>🟡 Attesa rischiosa</v>
      </c>
    </row>
    <row r="423" customFormat="false" ht="14.25" hidden="false" customHeight="true" outlineLevel="0" collapsed="false">
      <c r="A423" s="21" t="n">
        <v>6149</v>
      </c>
      <c r="B423" s="21" t="s">
        <v>44</v>
      </c>
      <c r="C423" s="21" t="s">
        <v>359</v>
      </c>
      <c r="E423" s="26" t="str">
        <f aca="false">IF(COUNTIF('Info Strategia'!$D$2:$D$51,$C423)&gt;0,"SI","NO")</f>
        <v>NO</v>
      </c>
      <c r="F423" s="27" t="n">
        <f aca="false">IFERROR(ROUND(($G423+($H423-$G423)*'Info Strategia'!$B$6)*(1+IF($E423="SI",'Parametri Modello'!$B$7*'Info Strategia'!$B$6,0)),0),"")</f>
        <v>1</v>
      </c>
      <c r="G423" s="27" t="n">
        <f aca="false">IFERROR(ROUND(MAX(1,(IF($V423&lt;=INDEX('Parametri Modello'!$C$57:$C$60,MATCH($B423,'Parametri Modello'!$A$57:$A$60,0)),IF(INDEX('Parametri Modello'!$E$57:$E$60,MATCH($B423,'Parametri Modello'!$A$57:$A$60,0))=0,0,($O423/INDEX('Parametri Modello'!$E$57:$E$60,MATCH($B423,'Parametri Modello'!$A$57:$A$60,0)))*(INDEX('Parametri Modello'!$D$57:$D$60,MATCH($B423,'Parametri Modello'!$A$57:$A$60,0))*(INDEX('Parametri Modello'!$B$50:$B$53,MATCH($B423,'Parametri Modello'!$A$50:$A$53,0))*'Parametri Modello'!$B$44))),IF(INDEX('Parametri Modello'!$F$57:$F$60,MATCH($B423,'Parametri Modello'!$A$57:$A$60,0))=0,0,($O423/INDEX('Parametri Modello'!$F$57:$F$60,MATCH($B423,'Parametri Modello'!$A$57:$A$60,0)))*((1-INDEX('Parametri Modello'!$D$57:$D$60,MATCH($B423,'Parametri Modello'!$A$57:$A$60,0)))*(INDEX('Parametri Modello'!$B$50:$B$53,MATCH($B423,'Parametri Modello'!$A$50:$A$53,0))*'Parametri Modello'!$B$44))))*(1+IF(IF($B423="D",'Info Lega'!$B$25,IF($B423="C",'Info Lega'!$B$26,"No"))="Si",'Parametri Modello'!$B$5,0))*(1+MAX(-0.25,MIN(0.25,IF(OR($T423="",$I423="",$I423=0,INDEX('Parametri Modello'!$B$19:$B$22,MATCH($B423,'Parametri Modello'!$A$19:$A$22,0))="",INDEX('Parametri Modello'!$B$19:$B$22,MATCH($B423,'Parametri Modello'!$A$19:$A$22,0))=0),0,(($T423-INDEX('Parametri Modello'!$B$19:$B$22,MATCH($B423,'Parametri Modello'!$A$19:$A$22,0)))/INDEX('Parametri Modello'!$B$19:$B$22,MATCH($B423,'Parametri Modello'!$A$19:$A$22,0)))*'Parametri Modello'!$B$9))))*(1+IF('Parametri Modello'!$B$27="Si",MAX(-'Parametri Modello'!$B$28,MIN('Parametri Modello'!$B$28*1.5,IF(OR(INDEX('Parametri Modello'!$F$32:$F$35,MATCH($B423,'Parametri Modello'!$A$32:$A$35,0))="",INDEX('Parametri Modello'!$F$32:$F$35,MATCH($B423,'Parametri Modello'!$A$32:$A$35,0))=0),0,(1/INDEX('Parametri Modello'!$F$32:$F$35,MATCH($B423,'Parametri Modello'!$A$32:$A$35,0))-1)*'Parametri Modello'!$B$28))),0)))*(1-INDEX('Parametri Modello'!$B$12:$B$15,MATCH($B423,'Parametri Modello'!$A$12:$A$15,0)))),0),"")</f>
        <v>1</v>
      </c>
      <c r="H423" s="27" t="n">
        <f aca="false">IFERROR(ROUND((IF($V423&lt;=INDEX('Parametri Modello'!$C$57:$C$60,MATCH($B423,'Parametri Modello'!$A$57:$A$60,0)),IF(INDEX('Parametri Modello'!$E$57:$E$60,MATCH($B423,'Parametri Modello'!$A$57:$A$60,0))=0,0,($O423/INDEX('Parametri Modello'!$E$57:$E$60,MATCH($B423,'Parametri Modello'!$A$57:$A$60,0)))*(INDEX('Parametri Modello'!$D$57:$D$60,MATCH($B423,'Parametri Modello'!$A$57:$A$60,0))*(INDEX('Parametri Modello'!$B$50:$B$53,MATCH($B423,'Parametri Modello'!$A$50:$A$53,0))*'Parametri Modello'!$B$44))),IF(INDEX('Parametri Modello'!$F$57:$F$60,MATCH($B423,'Parametri Modello'!$A$57:$A$60,0))=0,0,($O423/INDEX('Parametri Modello'!$F$57:$F$60,MATCH($B423,'Parametri Modello'!$A$57:$A$60,0)))*((1-INDEX('Parametri Modello'!$D$57:$D$60,MATCH($B423,'Parametri Modello'!$A$57:$A$60,0)))*(INDEX('Parametri Modello'!$B$50:$B$53,MATCH($B423,'Parametri Modello'!$A$50:$A$53,0))*'Parametri Modello'!$B$44))))*(1+IF(IF($B423="D",'Info Lega'!$B$25,IF($B423="C",'Info Lega'!$B$26,"No"))="Si",'Parametri Modello'!$B$5,0))*(1+MAX(-0.25,MIN(0.25,IF(OR($T423="",$I423="",$I423=0,INDEX('Parametri Modello'!$B$19:$B$22,MATCH($B423,'Parametri Modello'!$A$19:$A$22,0))="",INDEX('Parametri Modello'!$B$19:$B$22,MATCH($B423,'Parametri Modello'!$A$19:$A$22,0))=0),0,(($T423-INDEX('Parametri Modello'!$B$19:$B$22,MATCH($B423,'Parametri Modello'!$A$19:$A$22,0)))/INDEX('Parametri Modello'!$B$19:$B$22,MATCH($B423,'Parametri Modello'!$A$19:$A$22,0)))*'Parametri Modello'!$B$9))))*(1+IF('Parametri Modello'!$B$27="Si",MAX(-'Parametri Modello'!$B$28,MIN('Parametri Modello'!$B$28*1.5,IF(OR(INDEX('Parametri Modello'!$F$32:$F$35,MATCH($B423,'Parametri Modello'!$A$32:$A$35,0))="",INDEX('Parametri Modello'!$F$32:$F$35,MATCH($B423,'Parametri Modello'!$A$32:$A$35,0))=0),0,(1/INDEX('Parametri Modello'!$F$32:$F$35,MATCH($B423,'Parametri Modello'!$A$32:$A$35,0))-1)*'Parametri Modello'!$B$28))),0)))*(1+INDEX('Parametri Modello'!$B$12:$B$15,MATCH($B423,'Parametri Modello'!$A$12:$A$15,0))),0),"")</f>
        <v>1</v>
      </c>
      <c r="I423" s="26" t="n">
        <f aca="false">IFERROR(INDEX('Input Statistiche 2025_26'!$F$3:$F$665,MATCH($A423,'Input Statistiche 2025_26'!$A$3:$A$665,0)),"")</f>
        <v>2</v>
      </c>
      <c r="J423" s="26" t="n">
        <f aca="false">IFERROR(IF($I423="","",MAX(0,38-$I423)),"")</f>
        <v>36</v>
      </c>
      <c r="K423" s="26" t="n">
        <f aca="false">IFERROR(INDEX('Input Statistiche 2025_26'!$I$3:$I$665,MATCH($A423,'Input Statistiche 2025_26'!$A$3:$A$665,0)),"")</f>
        <v>0</v>
      </c>
      <c r="L423" s="26" t="n">
        <f aca="false">IFERROR(INDEX('Input Statistiche 2025_26'!$O$3:$O$665,MATCH($A423,'Input Statistiche 2025_26'!$A$3:$A$665,0)),"")</f>
        <v>0</v>
      </c>
      <c r="M423" s="28"/>
      <c r="N423" s="27" t="n">
        <f aca="false">IFERROR(INDEX('Input Giocatori 2026_27'!$E$3:$E$493,MATCH($A423,'Input Giocatori 2026_27'!$A$3:$A$493,0)),"")</f>
        <v>1</v>
      </c>
      <c r="O423" s="27" t="n">
        <f aca="false">IFERROR(INDEX('Input Giocatori 2026_27'!$G$3:$G$493,MATCH($A423,'Input Giocatori 2026_27'!$A$3:$A$493,0)),"")</f>
        <v>3</v>
      </c>
      <c r="P423" s="26" t="str">
        <f aca="false">IFERROR(IF($O423="","",IF((1-(COUNTIFS($B$2:$B$492,$B423,$O$2:$O$492,"&gt;"&amp;$O423)+1-1)/COUNTIF($B$2:$B$492,$B423))&gt;=0.85,"Top",IF((1-(COUNTIFS($B$2:$B$492,$B423,$O$2:$O$492,"&gt;"&amp;$O423)+1-1)/COUNTIF($B$2:$B$492,$B423))&gt;=0.6,"Buono",IF((1-(COUNTIFS($B$2:$B$492,$B423,$O$2:$O$492,"&gt;"&amp;$O423)+1-1)/COUNTIF($B$2:$B$492,$B423))&gt;=0.3,"Nella Media","Scommessa/Riserva")))),"")</f>
        <v>Scommessa/Riserva</v>
      </c>
      <c r="Q423" s="29" t="n">
        <f aca="false">IF($D423="",COUNTIF($D$2:$D423,""),"")</f>
        <v>422</v>
      </c>
      <c r="R423" s="29" t="str">
        <f aca="false">IF($D423='Info Lega'!$B$28,COUNTIFS($D$2:$D423,'Info Lega'!$B$28),"")</f>
        <v/>
      </c>
      <c r="S423" s="30" t="n">
        <f aca="false">IFERROR(INDEX('Input Statistiche 2025_26'!$G$3:$G$665,MATCH($A423,'Input Statistiche 2025_26'!$A$3:$A$665,0)),"")</f>
        <v>6</v>
      </c>
      <c r="T423" s="30" t="n">
        <f aca="false">IFERROR(INDEX('Input Statistiche 2025_26'!$H$3:$H$665,MATCH($A423,'Input Statistiche 2025_26'!$A$3:$A$665,0)),"")</f>
        <v>6</v>
      </c>
      <c r="U423" s="26" t="str">
        <f aca="false">IF(OR('La Mia Rosa'!$O$12="",$D423&lt;&gt;""),"",IF($F423&lt;='La Mia Rosa'!$O$12*'Parametri Modello'!$B$24,"OK",IF($F423&lt;='La Mia Rosa'!$O$12*'Parametri Modello'!$B$25,"Attenzione","Rischio Alto")))</f>
        <v>OK</v>
      </c>
      <c r="V423" s="26" t="n">
        <f aca="false">IFERROR(COUNTIFS($B$2:$B$492,$B423,$O$2:$O$492,"&gt;"&amp;$O423)+1,"")</f>
        <v>156</v>
      </c>
      <c r="W423" s="21" t="n">
        <f aca="false">'Info Lega'!$B$4-SUMIFS($M$2:$M$492,$D$2:$D$492,'Info Lega'!$B$28)</f>
        <v>1000</v>
      </c>
      <c r="X423" s="21" t="n">
        <f aca="false">('Info Lega'!$B$5-COUNTIFS($D$2:$D$492,'Info Lega'!$B$28,$B$2:$B$492,"P"))+('Info Lega'!$B$6-COUNTIFS($D$2:$D$492,'Info Lega'!$B$28,$B$2:$B$492,"D"))+('Info Lega'!$B$7-COUNTIFS($D$2:$D$492,'Info Lega'!$B$28,$B$2:$B$492,"C"))+('Info Lega'!$B$8-COUNTIFS($D$2:$D$492,'Info Lega'!$B$28,$B$2:$B$492,"A"))</f>
        <v>25</v>
      </c>
      <c r="Y423" s="21" t="n">
        <f aca="false">X423*'Parametri Modello'!$B$30</f>
        <v>25</v>
      </c>
      <c r="Z423" s="21" t="n">
        <f aca="false">MAX(0,W423-Y423)</f>
        <v>975</v>
      </c>
      <c r="AA423" s="21" t="n">
        <f aca="false">MIN(F423,Z423)</f>
        <v>1</v>
      </c>
      <c r="AB423" s="21"/>
      <c r="AC423" s="21" t="str">
        <f aca="false">IF(AB423="","",IF(AB423&gt;AA423,"PASS",IF(AB423&lt;=AA423*0.85,"BID","ATTENZIONE")))</f>
        <v/>
      </c>
      <c r="AD423" s="31" t="n">
        <f aca="false">IF(I423="","",ROUND(100*(1-EXP(-I423/30)),0))</f>
        <v>6</v>
      </c>
      <c r="AE423" s="7" t="str">
        <f aca="false">IFERROR(INDEX('Stato Asta'!$G$9:$G$12,MATCH($B423,'Stato Asta'!$A$9:$A$12,0)),"")</f>
        <v>🟡 Attesa rischiosa</v>
      </c>
    </row>
    <row r="424" customFormat="false" ht="14.25" hidden="false" customHeight="true" outlineLevel="0" collapsed="false">
      <c r="A424" s="21" t="n">
        <v>7356</v>
      </c>
      <c r="B424" s="21" t="s">
        <v>44</v>
      </c>
      <c r="C424" s="21" t="s">
        <v>363</v>
      </c>
      <c r="E424" s="26" t="str">
        <f aca="false">IF(COUNTIF('Info Strategia'!$D$2:$D$51,$C424)&gt;0,"SI","NO")</f>
        <v>NO</v>
      </c>
      <c r="F424" s="27" t="n">
        <f aca="false">IFERROR(ROUND(($G424+($H424-$G424)*'Info Strategia'!$B$6)*(1+IF($E424="SI",'Parametri Modello'!$B$7*'Info Strategia'!$B$6,0)),0),"")</f>
        <v>1</v>
      </c>
      <c r="G424" s="27" t="n">
        <f aca="false">IFERROR(ROUND(MAX(1,(IF($V424&lt;=INDEX('Parametri Modello'!$C$57:$C$60,MATCH($B424,'Parametri Modello'!$A$57:$A$60,0)),IF(INDEX('Parametri Modello'!$E$57:$E$60,MATCH($B424,'Parametri Modello'!$A$57:$A$60,0))=0,0,($O424/INDEX('Parametri Modello'!$E$57:$E$60,MATCH($B424,'Parametri Modello'!$A$57:$A$60,0)))*(INDEX('Parametri Modello'!$D$57:$D$60,MATCH($B424,'Parametri Modello'!$A$57:$A$60,0))*(INDEX('Parametri Modello'!$B$50:$B$53,MATCH($B424,'Parametri Modello'!$A$50:$A$53,0))*'Parametri Modello'!$B$44))),IF(INDEX('Parametri Modello'!$F$57:$F$60,MATCH($B424,'Parametri Modello'!$A$57:$A$60,0))=0,0,($O424/INDEX('Parametri Modello'!$F$57:$F$60,MATCH($B424,'Parametri Modello'!$A$57:$A$60,0)))*((1-INDEX('Parametri Modello'!$D$57:$D$60,MATCH($B424,'Parametri Modello'!$A$57:$A$60,0)))*(INDEX('Parametri Modello'!$B$50:$B$53,MATCH($B424,'Parametri Modello'!$A$50:$A$53,0))*'Parametri Modello'!$B$44))))*(1+IF(IF($B424="D",'Info Lega'!$B$25,IF($B424="C",'Info Lega'!$B$26,"No"))="Si",'Parametri Modello'!$B$5,0))*(1+MAX(-0.25,MIN(0.25,IF(OR($T424="",$I424="",$I424=0,INDEX('Parametri Modello'!$B$19:$B$22,MATCH($B424,'Parametri Modello'!$A$19:$A$22,0))="",INDEX('Parametri Modello'!$B$19:$B$22,MATCH($B424,'Parametri Modello'!$A$19:$A$22,0))=0),0,(($T424-INDEX('Parametri Modello'!$B$19:$B$22,MATCH($B424,'Parametri Modello'!$A$19:$A$22,0)))/INDEX('Parametri Modello'!$B$19:$B$22,MATCH($B424,'Parametri Modello'!$A$19:$A$22,0)))*'Parametri Modello'!$B$9))))*(1+IF('Parametri Modello'!$B$27="Si",MAX(-'Parametri Modello'!$B$28,MIN('Parametri Modello'!$B$28*1.5,IF(OR(INDEX('Parametri Modello'!$F$32:$F$35,MATCH($B424,'Parametri Modello'!$A$32:$A$35,0))="",INDEX('Parametri Modello'!$F$32:$F$35,MATCH($B424,'Parametri Modello'!$A$32:$A$35,0))=0),0,(1/INDEX('Parametri Modello'!$F$32:$F$35,MATCH($B424,'Parametri Modello'!$A$32:$A$35,0))-1)*'Parametri Modello'!$B$28))),0)))*(1-INDEX('Parametri Modello'!$B$12:$B$15,MATCH($B424,'Parametri Modello'!$A$12:$A$15,0)))),0),"")</f>
        <v>1</v>
      </c>
      <c r="H424" s="27" t="n">
        <f aca="false">IFERROR(ROUND((IF($V424&lt;=INDEX('Parametri Modello'!$C$57:$C$60,MATCH($B424,'Parametri Modello'!$A$57:$A$60,0)),IF(INDEX('Parametri Modello'!$E$57:$E$60,MATCH($B424,'Parametri Modello'!$A$57:$A$60,0))=0,0,($O424/INDEX('Parametri Modello'!$E$57:$E$60,MATCH($B424,'Parametri Modello'!$A$57:$A$60,0)))*(INDEX('Parametri Modello'!$D$57:$D$60,MATCH($B424,'Parametri Modello'!$A$57:$A$60,0))*(INDEX('Parametri Modello'!$B$50:$B$53,MATCH($B424,'Parametri Modello'!$A$50:$A$53,0))*'Parametri Modello'!$B$44))),IF(INDEX('Parametri Modello'!$F$57:$F$60,MATCH($B424,'Parametri Modello'!$A$57:$A$60,0))=0,0,($O424/INDEX('Parametri Modello'!$F$57:$F$60,MATCH($B424,'Parametri Modello'!$A$57:$A$60,0)))*((1-INDEX('Parametri Modello'!$D$57:$D$60,MATCH($B424,'Parametri Modello'!$A$57:$A$60,0)))*(INDEX('Parametri Modello'!$B$50:$B$53,MATCH($B424,'Parametri Modello'!$A$50:$A$53,0))*'Parametri Modello'!$B$44))))*(1+IF(IF($B424="D",'Info Lega'!$B$25,IF($B424="C",'Info Lega'!$B$26,"No"))="Si",'Parametri Modello'!$B$5,0))*(1+MAX(-0.25,MIN(0.25,IF(OR($T424="",$I424="",$I424=0,INDEX('Parametri Modello'!$B$19:$B$22,MATCH($B424,'Parametri Modello'!$A$19:$A$22,0))="",INDEX('Parametri Modello'!$B$19:$B$22,MATCH($B424,'Parametri Modello'!$A$19:$A$22,0))=0),0,(($T424-INDEX('Parametri Modello'!$B$19:$B$22,MATCH($B424,'Parametri Modello'!$A$19:$A$22,0)))/INDEX('Parametri Modello'!$B$19:$B$22,MATCH($B424,'Parametri Modello'!$A$19:$A$22,0)))*'Parametri Modello'!$B$9))))*(1+IF('Parametri Modello'!$B$27="Si",MAX(-'Parametri Modello'!$B$28,MIN('Parametri Modello'!$B$28*1.5,IF(OR(INDEX('Parametri Modello'!$F$32:$F$35,MATCH($B424,'Parametri Modello'!$A$32:$A$35,0))="",INDEX('Parametri Modello'!$F$32:$F$35,MATCH($B424,'Parametri Modello'!$A$32:$A$35,0))=0),0,(1/INDEX('Parametri Modello'!$F$32:$F$35,MATCH($B424,'Parametri Modello'!$A$32:$A$35,0))-1)*'Parametri Modello'!$B$28))),0)))*(1+INDEX('Parametri Modello'!$B$12:$B$15,MATCH($B424,'Parametri Modello'!$A$12:$A$15,0))),0),"")</f>
        <v>1</v>
      </c>
      <c r="I424" s="26" t="n">
        <f aca="false">IFERROR(INDEX('Input Statistiche 2025_26'!$F$3:$F$665,MATCH($A424,'Input Statistiche 2025_26'!$A$3:$A$665,0)),"")</f>
        <v>3</v>
      </c>
      <c r="J424" s="26" t="n">
        <f aca="false">IFERROR(IF($I424="","",MAX(0,38-$I424)),"")</f>
        <v>35</v>
      </c>
      <c r="K424" s="26" t="n">
        <f aca="false">IFERROR(INDEX('Input Statistiche 2025_26'!$I$3:$I$665,MATCH($A424,'Input Statistiche 2025_26'!$A$3:$A$665,0)),"")</f>
        <v>0</v>
      </c>
      <c r="L424" s="26" t="n">
        <f aca="false">IFERROR(INDEX('Input Statistiche 2025_26'!$O$3:$O$665,MATCH($A424,'Input Statistiche 2025_26'!$A$3:$A$665,0)),"")</f>
        <v>0</v>
      </c>
      <c r="M424" s="28"/>
      <c r="N424" s="27" t="n">
        <f aca="false">IFERROR(INDEX('Input Giocatori 2026_27'!$E$3:$E$493,MATCH($A424,'Input Giocatori 2026_27'!$A$3:$A$493,0)),"")</f>
        <v>1</v>
      </c>
      <c r="O424" s="27" t="n">
        <f aca="false">IFERROR(INDEX('Input Giocatori 2026_27'!$G$3:$G$493,MATCH($A424,'Input Giocatori 2026_27'!$A$3:$A$493,0)),"")</f>
        <v>3</v>
      </c>
      <c r="P424" s="26" t="str">
        <f aca="false">IFERROR(IF($O424="","",IF((1-(COUNTIFS($B$2:$B$492,$B424,$O$2:$O$492,"&gt;"&amp;$O424)+1-1)/COUNTIF($B$2:$B$492,$B424))&gt;=0.85,"Top",IF((1-(COUNTIFS($B$2:$B$492,$B424,$O$2:$O$492,"&gt;"&amp;$O424)+1-1)/COUNTIF($B$2:$B$492,$B424))&gt;=0.6,"Buono",IF((1-(COUNTIFS($B$2:$B$492,$B424,$O$2:$O$492,"&gt;"&amp;$O424)+1-1)/COUNTIF($B$2:$B$492,$B424))&gt;=0.3,"Nella Media","Scommessa/Riserva")))),"")</f>
        <v>Scommessa/Riserva</v>
      </c>
      <c r="Q424" s="29" t="n">
        <f aca="false">IF($D424="",COUNTIF($D$2:$D424,""),"")</f>
        <v>423</v>
      </c>
      <c r="R424" s="29" t="str">
        <f aca="false">IF($D424='Info Lega'!$B$28,COUNTIFS($D$2:$D424,'Info Lega'!$B$28),"")</f>
        <v/>
      </c>
      <c r="S424" s="30" t="n">
        <f aca="false">IFERROR(INDEX('Input Statistiche 2025_26'!$G$3:$G$665,MATCH($A424,'Input Statistiche 2025_26'!$A$3:$A$665,0)),"")</f>
        <v>5.83</v>
      </c>
      <c r="T424" s="30" t="n">
        <f aca="false">IFERROR(INDEX('Input Statistiche 2025_26'!$H$3:$H$665,MATCH($A424,'Input Statistiche 2025_26'!$A$3:$A$665,0)),"")</f>
        <v>5.67</v>
      </c>
      <c r="U424" s="26" t="str">
        <f aca="false">IF(OR('La Mia Rosa'!$O$12="",$D424&lt;&gt;""),"",IF($F424&lt;='La Mia Rosa'!$O$12*'Parametri Modello'!$B$24,"OK",IF($F424&lt;='La Mia Rosa'!$O$12*'Parametri Modello'!$B$25,"Attenzione","Rischio Alto")))</f>
        <v>OK</v>
      </c>
      <c r="V424" s="26" t="n">
        <f aca="false">IFERROR(COUNTIFS($B$2:$B$492,$B424,$O$2:$O$492,"&gt;"&amp;$O424)+1,"")</f>
        <v>156</v>
      </c>
      <c r="W424" s="21" t="n">
        <f aca="false">'Info Lega'!$B$4-SUMIFS($M$2:$M$492,$D$2:$D$492,'Info Lega'!$B$28)</f>
        <v>1000</v>
      </c>
      <c r="X424" s="21" t="n">
        <f aca="false">('Info Lega'!$B$5-COUNTIFS($D$2:$D$492,'Info Lega'!$B$28,$B$2:$B$492,"P"))+('Info Lega'!$B$6-COUNTIFS($D$2:$D$492,'Info Lega'!$B$28,$B$2:$B$492,"D"))+('Info Lega'!$B$7-COUNTIFS($D$2:$D$492,'Info Lega'!$B$28,$B$2:$B$492,"C"))+('Info Lega'!$B$8-COUNTIFS($D$2:$D$492,'Info Lega'!$B$28,$B$2:$B$492,"A"))</f>
        <v>25</v>
      </c>
      <c r="Y424" s="21" t="n">
        <f aca="false">X424*'Parametri Modello'!$B$30</f>
        <v>25</v>
      </c>
      <c r="Z424" s="21" t="n">
        <f aca="false">MAX(0,W424-Y424)</f>
        <v>975</v>
      </c>
      <c r="AA424" s="21" t="n">
        <f aca="false">MIN(F424,Z424)</f>
        <v>1</v>
      </c>
      <c r="AB424" s="21"/>
      <c r="AC424" s="21" t="str">
        <f aca="false">IF(AB424="","",IF(AB424&gt;AA424,"PASS",IF(AB424&lt;=AA424*0.85,"BID","ATTENZIONE")))</f>
        <v/>
      </c>
      <c r="AD424" s="31" t="n">
        <f aca="false">IF(I424="","",ROUND(100*(1-EXP(-I424/30)),0))</f>
        <v>10</v>
      </c>
      <c r="AE424" s="7" t="str">
        <f aca="false">IFERROR(INDEX('Stato Asta'!$G$9:$G$12,MATCH($B424,'Stato Asta'!$A$9:$A$12,0)),"")</f>
        <v>🟡 Attesa rischiosa</v>
      </c>
    </row>
    <row r="425" customFormat="false" ht="14.25" hidden="false" customHeight="true" outlineLevel="0" collapsed="false">
      <c r="A425" s="21" t="n">
        <v>6021</v>
      </c>
      <c r="B425" s="21" t="s">
        <v>44</v>
      </c>
      <c r="C425" s="21" t="s">
        <v>364</v>
      </c>
      <c r="E425" s="26" t="str">
        <f aca="false">IF(COUNTIF('Info Strategia'!$D$2:$D$51,$C425)&gt;0,"SI","NO")</f>
        <v>NO</v>
      </c>
      <c r="F425" s="27" t="n">
        <f aca="false">IFERROR(ROUND(($G425+($H425-$G425)*'Info Strategia'!$B$6)*(1+IF($E425="SI",'Parametri Modello'!$B$7*'Info Strategia'!$B$6,0)),0),"")</f>
        <v>1</v>
      </c>
      <c r="G425" s="27" t="n">
        <f aca="false">IFERROR(ROUND(MAX(1,(IF($V425&lt;=INDEX('Parametri Modello'!$C$57:$C$60,MATCH($B425,'Parametri Modello'!$A$57:$A$60,0)),IF(INDEX('Parametri Modello'!$E$57:$E$60,MATCH($B425,'Parametri Modello'!$A$57:$A$60,0))=0,0,($O425/INDEX('Parametri Modello'!$E$57:$E$60,MATCH($B425,'Parametri Modello'!$A$57:$A$60,0)))*(INDEX('Parametri Modello'!$D$57:$D$60,MATCH($B425,'Parametri Modello'!$A$57:$A$60,0))*(INDEX('Parametri Modello'!$B$50:$B$53,MATCH($B425,'Parametri Modello'!$A$50:$A$53,0))*'Parametri Modello'!$B$44))),IF(INDEX('Parametri Modello'!$F$57:$F$60,MATCH($B425,'Parametri Modello'!$A$57:$A$60,0))=0,0,($O425/INDEX('Parametri Modello'!$F$57:$F$60,MATCH($B425,'Parametri Modello'!$A$57:$A$60,0)))*((1-INDEX('Parametri Modello'!$D$57:$D$60,MATCH($B425,'Parametri Modello'!$A$57:$A$60,0)))*(INDEX('Parametri Modello'!$B$50:$B$53,MATCH($B425,'Parametri Modello'!$A$50:$A$53,0))*'Parametri Modello'!$B$44))))*(1+IF(IF($B425="D",'Info Lega'!$B$25,IF($B425="C",'Info Lega'!$B$26,"No"))="Si",'Parametri Modello'!$B$5,0))*(1+MAX(-0.25,MIN(0.25,IF(OR($T425="",$I425="",$I425=0,INDEX('Parametri Modello'!$B$19:$B$22,MATCH($B425,'Parametri Modello'!$A$19:$A$22,0))="",INDEX('Parametri Modello'!$B$19:$B$22,MATCH($B425,'Parametri Modello'!$A$19:$A$22,0))=0),0,(($T425-INDEX('Parametri Modello'!$B$19:$B$22,MATCH($B425,'Parametri Modello'!$A$19:$A$22,0)))/INDEX('Parametri Modello'!$B$19:$B$22,MATCH($B425,'Parametri Modello'!$A$19:$A$22,0)))*'Parametri Modello'!$B$9))))*(1+IF('Parametri Modello'!$B$27="Si",MAX(-'Parametri Modello'!$B$28,MIN('Parametri Modello'!$B$28*1.5,IF(OR(INDEX('Parametri Modello'!$F$32:$F$35,MATCH($B425,'Parametri Modello'!$A$32:$A$35,0))="",INDEX('Parametri Modello'!$F$32:$F$35,MATCH($B425,'Parametri Modello'!$A$32:$A$35,0))=0),0,(1/INDEX('Parametri Modello'!$F$32:$F$35,MATCH($B425,'Parametri Modello'!$A$32:$A$35,0))-1)*'Parametri Modello'!$B$28))),0)))*(1-INDEX('Parametri Modello'!$B$12:$B$15,MATCH($B425,'Parametri Modello'!$A$12:$A$15,0)))),0),"")</f>
        <v>1</v>
      </c>
      <c r="H425" s="27" t="n">
        <f aca="false">IFERROR(ROUND((IF($V425&lt;=INDEX('Parametri Modello'!$C$57:$C$60,MATCH($B425,'Parametri Modello'!$A$57:$A$60,0)),IF(INDEX('Parametri Modello'!$E$57:$E$60,MATCH($B425,'Parametri Modello'!$A$57:$A$60,0))=0,0,($O425/INDEX('Parametri Modello'!$E$57:$E$60,MATCH($B425,'Parametri Modello'!$A$57:$A$60,0)))*(INDEX('Parametri Modello'!$D$57:$D$60,MATCH($B425,'Parametri Modello'!$A$57:$A$60,0))*(INDEX('Parametri Modello'!$B$50:$B$53,MATCH($B425,'Parametri Modello'!$A$50:$A$53,0))*'Parametri Modello'!$B$44))),IF(INDEX('Parametri Modello'!$F$57:$F$60,MATCH($B425,'Parametri Modello'!$A$57:$A$60,0))=0,0,($O425/INDEX('Parametri Modello'!$F$57:$F$60,MATCH($B425,'Parametri Modello'!$A$57:$A$60,0)))*((1-INDEX('Parametri Modello'!$D$57:$D$60,MATCH($B425,'Parametri Modello'!$A$57:$A$60,0)))*(INDEX('Parametri Modello'!$B$50:$B$53,MATCH($B425,'Parametri Modello'!$A$50:$A$53,0))*'Parametri Modello'!$B$44))))*(1+IF(IF($B425="D",'Info Lega'!$B$25,IF($B425="C",'Info Lega'!$B$26,"No"))="Si",'Parametri Modello'!$B$5,0))*(1+MAX(-0.25,MIN(0.25,IF(OR($T425="",$I425="",$I425=0,INDEX('Parametri Modello'!$B$19:$B$22,MATCH($B425,'Parametri Modello'!$A$19:$A$22,0))="",INDEX('Parametri Modello'!$B$19:$B$22,MATCH($B425,'Parametri Modello'!$A$19:$A$22,0))=0),0,(($T425-INDEX('Parametri Modello'!$B$19:$B$22,MATCH($B425,'Parametri Modello'!$A$19:$A$22,0)))/INDEX('Parametri Modello'!$B$19:$B$22,MATCH($B425,'Parametri Modello'!$A$19:$A$22,0)))*'Parametri Modello'!$B$9))))*(1+IF('Parametri Modello'!$B$27="Si",MAX(-'Parametri Modello'!$B$28,MIN('Parametri Modello'!$B$28*1.5,IF(OR(INDEX('Parametri Modello'!$F$32:$F$35,MATCH($B425,'Parametri Modello'!$A$32:$A$35,0))="",INDEX('Parametri Modello'!$F$32:$F$35,MATCH($B425,'Parametri Modello'!$A$32:$A$35,0))=0),0,(1/INDEX('Parametri Modello'!$F$32:$F$35,MATCH($B425,'Parametri Modello'!$A$32:$A$35,0))-1)*'Parametri Modello'!$B$28))),0)))*(1+INDEX('Parametri Modello'!$B$12:$B$15,MATCH($B425,'Parametri Modello'!$A$12:$A$15,0))),0),"")</f>
        <v>1</v>
      </c>
      <c r="I425" s="26" t="str">
        <f aca="false">IFERROR(INDEX('Input Statistiche 2025_26'!$F$3:$F$665,MATCH($A425,'Input Statistiche 2025_26'!$A$3:$A$665,0)),"")</f>
        <v/>
      </c>
      <c r="J425" s="26" t="str">
        <f aca="false">IFERROR(IF($I425="","",MAX(0,38-$I425)),"")</f>
        <v/>
      </c>
      <c r="K425" s="26" t="str">
        <f aca="false">IFERROR(INDEX('Input Statistiche 2025_26'!$I$3:$I$665,MATCH($A425,'Input Statistiche 2025_26'!$A$3:$A$665,0)),"")</f>
        <v/>
      </c>
      <c r="L425" s="26" t="str">
        <f aca="false">IFERROR(INDEX('Input Statistiche 2025_26'!$O$3:$O$665,MATCH($A425,'Input Statistiche 2025_26'!$A$3:$A$665,0)),"")</f>
        <v/>
      </c>
      <c r="M425" s="28"/>
      <c r="N425" s="27" t="n">
        <f aca="false">IFERROR(INDEX('Input Giocatori 2026_27'!$E$3:$E$493,MATCH($A425,'Input Giocatori 2026_27'!$A$3:$A$493,0)),"")</f>
        <v>1</v>
      </c>
      <c r="O425" s="27" t="n">
        <f aca="false">IFERROR(INDEX('Input Giocatori 2026_27'!$G$3:$G$493,MATCH($A425,'Input Giocatori 2026_27'!$A$3:$A$493,0)),"")</f>
        <v>3</v>
      </c>
      <c r="P425" s="26" t="str">
        <f aca="false">IFERROR(IF($O425="","",IF((1-(COUNTIFS($B$2:$B$492,$B425,$O$2:$O$492,"&gt;"&amp;$O425)+1-1)/COUNTIF($B$2:$B$492,$B425))&gt;=0.85,"Top",IF((1-(COUNTIFS($B$2:$B$492,$B425,$O$2:$O$492,"&gt;"&amp;$O425)+1-1)/COUNTIF($B$2:$B$492,$B425))&gt;=0.6,"Buono",IF((1-(COUNTIFS($B$2:$B$492,$B425,$O$2:$O$492,"&gt;"&amp;$O425)+1-1)/COUNTIF($B$2:$B$492,$B425))&gt;=0.3,"Nella Media","Scommessa/Riserva")))),"")</f>
        <v>Scommessa/Riserva</v>
      </c>
      <c r="Q425" s="29" t="n">
        <f aca="false">IF($D425="",COUNTIF($D$2:$D425,""),"")</f>
        <v>424</v>
      </c>
      <c r="R425" s="29" t="str">
        <f aca="false">IF($D425='Info Lega'!$B$28,COUNTIFS($D$2:$D425,'Info Lega'!$B$28),"")</f>
        <v/>
      </c>
      <c r="S425" s="30" t="str">
        <f aca="false">IFERROR(INDEX('Input Statistiche 2025_26'!$G$3:$G$665,MATCH($A425,'Input Statistiche 2025_26'!$A$3:$A$665,0)),"")</f>
        <v/>
      </c>
      <c r="T425" s="30" t="str">
        <f aca="false">IFERROR(INDEX('Input Statistiche 2025_26'!$H$3:$H$665,MATCH($A425,'Input Statistiche 2025_26'!$A$3:$A$665,0)),"")</f>
        <v/>
      </c>
      <c r="U425" s="26" t="str">
        <f aca="false">IF(OR('La Mia Rosa'!$O$12="",$D425&lt;&gt;""),"",IF($F425&lt;='La Mia Rosa'!$O$12*'Parametri Modello'!$B$24,"OK",IF($F425&lt;='La Mia Rosa'!$O$12*'Parametri Modello'!$B$25,"Attenzione","Rischio Alto")))</f>
        <v>OK</v>
      </c>
      <c r="V425" s="26" t="n">
        <f aca="false">IFERROR(COUNTIFS($B$2:$B$492,$B425,$O$2:$O$492,"&gt;"&amp;$O425)+1,"")</f>
        <v>156</v>
      </c>
      <c r="W425" s="21" t="n">
        <f aca="false">'Info Lega'!$B$4-SUMIFS($M$2:$M$492,$D$2:$D$492,'Info Lega'!$B$28)</f>
        <v>1000</v>
      </c>
      <c r="X425" s="21" t="n">
        <f aca="false">('Info Lega'!$B$5-COUNTIFS($D$2:$D$492,'Info Lega'!$B$28,$B$2:$B$492,"P"))+('Info Lega'!$B$6-COUNTIFS($D$2:$D$492,'Info Lega'!$B$28,$B$2:$B$492,"D"))+('Info Lega'!$B$7-COUNTIFS($D$2:$D$492,'Info Lega'!$B$28,$B$2:$B$492,"C"))+('Info Lega'!$B$8-COUNTIFS($D$2:$D$492,'Info Lega'!$B$28,$B$2:$B$492,"A"))</f>
        <v>25</v>
      </c>
      <c r="Y425" s="21" t="n">
        <f aca="false">X425*'Parametri Modello'!$B$30</f>
        <v>25</v>
      </c>
      <c r="Z425" s="21" t="n">
        <f aca="false">MAX(0,W425-Y425)</f>
        <v>975</v>
      </c>
      <c r="AA425" s="21" t="n">
        <f aca="false">MIN(F425,Z425)</f>
        <v>1</v>
      </c>
      <c r="AB425" s="21"/>
      <c r="AC425" s="21" t="str">
        <f aca="false">IF(AB425="","",IF(AB425&gt;AA425,"PASS",IF(AB425&lt;=AA425*0.85,"BID","ATTENZIONE")))</f>
        <v/>
      </c>
      <c r="AD425" s="31" t="str">
        <f aca="false">IF(I425="","",ROUND(100*(1-EXP(-I425/30)),0))</f>
        <v/>
      </c>
      <c r="AE425" s="7" t="str">
        <f aca="false">IFERROR(INDEX('Stato Asta'!$G$9:$G$12,MATCH($B425,'Stato Asta'!$A$9:$A$12,0)),"")</f>
        <v>🟡 Attesa rischiosa</v>
      </c>
    </row>
    <row r="426" customFormat="false" ht="14.25" hidden="false" customHeight="true" outlineLevel="0" collapsed="false">
      <c r="A426" s="21" t="n">
        <v>6815</v>
      </c>
      <c r="B426" s="21" t="s">
        <v>45</v>
      </c>
      <c r="C426" s="21" t="s">
        <v>509</v>
      </c>
      <c r="E426" s="26" t="str">
        <f aca="false">IF(COUNTIF('Info Strategia'!$D$2:$D$51,$C426)&gt;0,"SI","NO")</f>
        <v>NO</v>
      </c>
      <c r="F426" s="27" t="n">
        <f aca="false">IFERROR(ROUND(($G426+($H426-$G426)*'Info Strategia'!$B$6)*(1+IF($E426="SI",'Parametri Modello'!$B$7*'Info Strategia'!$B$6,0)),0),"")</f>
        <v>0</v>
      </c>
      <c r="G426" s="27" t="n">
        <f aca="false">IFERROR(ROUND(MAX(1,(IF($V426&lt;=INDEX('Parametri Modello'!$C$57:$C$60,MATCH($B426,'Parametri Modello'!$A$57:$A$60,0)),IF(INDEX('Parametri Modello'!$E$57:$E$60,MATCH($B426,'Parametri Modello'!$A$57:$A$60,0))=0,0,($O426/INDEX('Parametri Modello'!$E$57:$E$60,MATCH($B426,'Parametri Modello'!$A$57:$A$60,0)))*(INDEX('Parametri Modello'!$D$57:$D$60,MATCH($B426,'Parametri Modello'!$A$57:$A$60,0))*(INDEX('Parametri Modello'!$B$50:$B$53,MATCH($B426,'Parametri Modello'!$A$50:$A$53,0))*'Parametri Modello'!$B$44))),IF(INDEX('Parametri Modello'!$F$57:$F$60,MATCH($B426,'Parametri Modello'!$A$57:$A$60,0))=0,0,($O426/INDEX('Parametri Modello'!$F$57:$F$60,MATCH($B426,'Parametri Modello'!$A$57:$A$60,0)))*((1-INDEX('Parametri Modello'!$D$57:$D$60,MATCH($B426,'Parametri Modello'!$A$57:$A$60,0)))*(INDEX('Parametri Modello'!$B$50:$B$53,MATCH($B426,'Parametri Modello'!$A$50:$A$53,0))*'Parametri Modello'!$B$44))))*(1+IF(IF($B426="D",'Info Lega'!$B$25,IF($B426="C",'Info Lega'!$B$26,"No"))="Si",'Parametri Modello'!$B$5,0))*(1+MAX(-0.25,MIN(0.25,IF(OR($T426="",$I426="",$I426=0,INDEX('Parametri Modello'!$B$19:$B$22,MATCH($B426,'Parametri Modello'!$A$19:$A$22,0))="",INDEX('Parametri Modello'!$B$19:$B$22,MATCH($B426,'Parametri Modello'!$A$19:$A$22,0))=0),0,(($T426-INDEX('Parametri Modello'!$B$19:$B$22,MATCH($B426,'Parametri Modello'!$A$19:$A$22,0)))/INDEX('Parametri Modello'!$B$19:$B$22,MATCH($B426,'Parametri Modello'!$A$19:$A$22,0)))*'Parametri Modello'!$B$9))))*(1+IF('Parametri Modello'!$B$27="Si",MAX(-'Parametri Modello'!$B$28,MIN('Parametri Modello'!$B$28*1.5,IF(OR(INDEX('Parametri Modello'!$F$32:$F$35,MATCH($B426,'Parametri Modello'!$A$32:$A$35,0))="",INDEX('Parametri Modello'!$F$32:$F$35,MATCH($B426,'Parametri Modello'!$A$32:$A$35,0))=0),0,(1/INDEX('Parametri Modello'!$F$32:$F$35,MATCH($B426,'Parametri Modello'!$A$32:$A$35,0))-1)*'Parametri Modello'!$B$28))),0)))*(1-INDEX('Parametri Modello'!$B$12:$B$15,MATCH($B426,'Parametri Modello'!$A$12:$A$15,0)))),0),"")</f>
        <v>1</v>
      </c>
      <c r="H426" s="27" t="n">
        <f aca="false">IFERROR(ROUND((IF($V426&lt;=INDEX('Parametri Modello'!$C$57:$C$60,MATCH($B426,'Parametri Modello'!$A$57:$A$60,0)),IF(INDEX('Parametri Modello'!$E$57:$E$60,MATCH($B426,'Parametri Modello'!$A$57:$A$60,0))=0,0,($O426/INDEX('Parametri Modello'!$E$57:$E$60,MATCH($B426,'Parametri Modello'!$A$57:$A$60,0)))*(INDEX('Parametri Modello'!$D$57:$D$60,MATCH($B426,'Parametri Modello'!$A$57:$A$60,0))*(INDEX('Parametri Modello'!$B$50:$B$53,MATCH($B426,'Parametri Modello'!$A$50:$A$53,0))*'Parametri Modello'!$B$44))),IF(INDEX('Parametri Modello'!$F$57:$F$60,MATCH($B426,'Parametri Modello'!$A$57:$A$60,0))=0,0,($O426/INDEX('Parametri Modello'!$F$57:$F$60,MATCH($B426,'Parametri Modello'!$A$57:$A$60,0)))*((1-INDEX('Parametri Modello'!$D$57:$D$60,MATCH($B426,'Parametri Modello'!$A$57:$A$60,0)))*(INDEX('Parametri Modello'!$B$50:$B$53,MATCH($B426,'Parametri Modello'!$A$50:$A$53,0))*'Parametri Modello'!$B$44))))*(1+IF(IF($B426="D",'Info Lega'!$B$25,IF($B426="C",'Info Lega'!$B$26,"No"))="Si",'Parametri Modello'!$B$5,0))*(1+MAX(-0.25,MIN(0.25,IF(OR($T426="",$I426="",$I426=0,INDEX('Parametri Modello'!$B$19:$B$22,MATCH($B426,'Parametri Modello'!$A$19:$A$22,0))="",INDEX('Parametri Modello'!$B$19:$B$22,MATCH($B426,'Parametri Modello'!$A$19:$A$22,0))=0),0,(($T426-INDEX('Parametri Modello'!$B$19:$B$22,MATCH($B426,'Parametri Modello'!$A$19:$A$22,0)))/INDEX('Parametri Modello'!$B$19:$B$22,MATCH($B426,'Parametri Modello'!$A$19:$A$22,0)))*'Parametri Modello'!$B$9))))*(1+IF('Parametri Modello'!$B$27="Si",MAX(-'Parametri Modello'!$B$28,MIN('Parametri Modello'!$B$28*1.5,IF(OR(INDEX('Parametri Modello'!$F$32:$F$35,MATCH($B426,'Parametri Modello'!$A$32:$A$35,0))="",INDEX('Parametri Modello'!$F$32:$F$35,MATCH($B426,'Parametri Modello'!$A$32:$A$35,0))=0),0,(1/INDEX('Parametri Modello'!$F$32:$F$35,MATCH($B426,'Parametri Modello'!$A$32:$A$35,0))-1)*'Parametri Modello'!$B$28))),0)))*(1+INDEX('Parametri Modello'!$B$12:$B$15,MATCH($B426,'Parametri Modello'!$A$12:$A$15,0))),0),"")</f>
        <v>0</v>
      </c>
      <c r="I426" s="26" t="n">
        <f aca="false">IFERROR(INDEX('Input Statistiche 2025_26'!$F$3:$F$665,MATCH($A426,'Input Statistiche 2025_26'!$A$3:$A$665,0)),"")</f>
        <v>24</v>
      </c>
      <c r="J426" s="26" t="n">
        <f aca="false">IFERROR(IF($I426="","",MAX(0,38-$I426)),"")</f>
        <v>14</v>
      </c>
      <c r="K426" s="26" t="n">
        <f aca="false">IFERROR(INDEX('Input Statistiche 2025_26'!$I$3:$I$665,MATCH($A426,'Input Statistiche 2025_26'!$A$3:$A$665,0)),"")</f>
        <v>2</v>
      </c>
      <c r="L426" s="26" t="n">
        <f aca="false">IFERROR(INDEX('Input Statistiche 2025_26'!$O$3:$O$665,MATCH($A426,'Input Statistiche 2025_26'!$A$3:$A$665,0)),"")</f>
        <v>1</v>
      </c>
      <c r="M426" s="28"/>
      <c r="N426" s="27" t="n">
        <f aca="false">IFERROR(INDEX('Input Giocatori 2026_27'!$E$3:$E$493,MATCH($A426,'Input Giocatori 2026_27'!$A$3:$A$493,0)),"")</f>
        <v>2</v>
      </c>
      <c r="O426" s="27" t="n">
        <f aca="false">IFERROR(INDEX('Input Giocatori 2026_27'!$G$3:$G$493,MATCH($A426,'Input Giocatori 2026_27'!$A$3:$A$493,0)),"")</f>
        <v>3</v>
      </c>
      <c r="P426" s="26" t="str">
        <f aca="false">IFERROR(IF($O426="","",IF((1-(COUNTIFS($B$2:$B$492,$B426,$O$2:$O$492,"&gt;"&amp;$O426)+1-1)/COUNTIF($B$2:$B$492,$B426))&gt;=0.85,"Top",IF((1-(COUNTIFS($B$2:$B$492,$B426,$O$2:$O$492,"&gt;"&amp;$O426)+1-1)/COUNTIF($B$2:$B$492,$B426))&gt;=0.6,"Buono",IF((1-(COUNTIFS($B$2:$B$492,$B426,$O$2:$O$492,"&gt;"&amp;$O426)+1-1)/COUNTIF($B$2:$B$492,$B426))&gt;=0.3,"Nella Media","Scommessa/Riserva")))),"")</f>
        <v>Scommessa/Riserva</v>
      </c>
      <c r="Q426" s="29" t="n">
        <f aca="false">IF($D426="",COUNTIF($D$2:$D426,""),"")</f>
        <v>425</v>
      </c>
      <c r="R426" s="29" t="str">
        <f aca="false">IF($D426='Info Lega'!$B$28,COUNTIFS($D$2:$D426,'Info Lega'!$B$28),"")</f>
        <v/>
      </c>
      <c r="S426" s="30" t="n">
        <f aca="false">IFERROR(INDEX('Input Statistiche 2025_26'!$G$3:$G$665,MATCH($A426,'Input Statistiche 2025_26'!$A$3:$A$665,0)),"")</f>
        <v>5.92</v>
      </c>
      <c r="T426" s="30" t="n">
        <f aca="false">IFERROR(INDEX('Input Statistiche 2025_26'!$H$3:$H$665,MATCH($A426,'Input Statistiche 2025_26'!$A$3:$A$665,0)),"")</f>
        <v>6.15</v>
      </c>
      <c r="U426" s="26" t="str">
        <f aca="false">IF(OR('La Mia Rosa'!$O$12="",$D426&lt;&gt;""),"",IF($F426&lt;='La Mia Rosa'!$O$12*'Parametri Modello'!$B$24,"OK",IF($F426&lt;='La Mia Rosa'!$O$12*'Parametri Modello'!$B$25,"Attenzione","Rischio Alto")))</f>
        <v>OK</v>
      </c>
      <c r="V426" s="26" t="n">
        <f aca="false">IFERROR(COUNTIFS($B$2:$B$492,$B426,$O$2:$O$492,"&gt;"&amp;$O426)+1,"")</f>
        <v>160</v>
      </c>
      <c r="W426" s="21" t="n">
        <f aca="false">'Info Lega'!$B$4-SUMIFS($M$2:$M$492,$D$2:$D$492,'Info Lega'!$B$28)</f>
        <v>1000</v>
      </c>
      <c r="X426" s="21" t="n">
        <f aca="false">('Info Lega'!$B$5-COUNTIFS($D$2:$D$492,'Info Lega'!$B$28,$B$2:$B$492,"P"))+('Info Lega'!$B$6-COUNTIFS($D$2:$D$492,'Info Lega'!$B$28,$B$2:$B$492,"D"))+('Info Lega'!$B$7-COUNTIFS($D$2:$D$492,'Info Lega'!$B$28,$B$2:$B$492,"C"))+('Info Lega'!$B$8-COUNTIFS($D$2:$D$492,'Info Lega'!$B$28,$B$2:$B$492,"A"))</f>
        <v>25</v>
      </c>
      <c r="Y426" s="21" t="n">
        <f aca="false">X426*'Parametri Modello'!$B$30</f>
        <v>25</v>
      </c>
      <c r="Z426" s="21" t="n">
        <f aca="false">MAX(0,W426-Y426)</f>
        <v>975</v>
      </c>
      <c r="AA426" s="21" t="n">
        <f aca="false">MIN(F426,Z426)</f>
        <v>0</v>
      </c>
      <c r="AB426" s="21"/>
      <c r="AC426" s="21" t="str">
        <f aca="false">IF(AB426="","",IF(AB426&gt;AA426,"PASS",IF(AB426&lt;=AA426*0.85,"BID","ATTENZIONE")))</f>
        <v/>
      </c>
      <c r="AD426" s="31" t="n">
        <f aca="false">IF(I426="","",ROUND(100*(1-EXP(-I426/30)),0))</f>
        <v>55</v>
      </c>
      <c r="AE426" s="7" t="str">
        <f aca="false">IFERROR(INDEX('Stato Asta'!$G$9:$G$12,MATCH($B426,'Stato Asta'!$A$9:$A$12,0)),"")</f>
        <v>🟡 Attesa rischiosa</v>
      </c>
    </row>
    <row r="427" customFormat="false" ht="14.25" hidden="false" customHeight="true" outlineLevel="0" collapsed="false">
      <c r="A427" s="21" t="n">
        <v>7456</v>
      </c>
      <c r="B427" s="21" t="s">
        <v>45</v>
      </c>
      <c r="C427" s="21" t="s">
        <v>523</v>
      </c>
      <c r="E427" s="26" t="str">
        <f aca="false">IF(COUNTIF('Info Strategia'!$D$2:$D$51,$C427)&gt;0,"SI","NO")</f>
        <v>NO</v>
      </c>
      <c r="F427" s="27" t="n">
        <f aca="false">IFERROR(ROUND(($G427+($H427-$G427)*'Info Strategia'!$B$6)*(1+IF($E427="SI",'Parametri Modello'!$B$7*'Info Strategia'!$B$6,0)),0),"")</f>
        <v>0</v>
      </c>
      <c r="G427" s="27" t="n">
        <f aca="false">IFERROR(ROUND(MAX(1,(IF($V427&lt;=INDEX('Parametri Modello'!$C$57:$C$60,MATCH($B427,'Parametri Modello'!$A$57:$A$60,0)),IF(INDEX('Parametri Modello'!$E$57:$E$60,MATCH($B427,'Parametri Modello'!$A$57:$A$60,0))=0,0,($O427/INDEX('Parametri Modello'!$E$57:$E$60,MATCH($B427,'Parametri Modello'!$A$57:$A$60,0)))*(INDEX('Parametri Modello'!$D$57:$D$60,MATCH($B427,'Parametri Modello'!$A$57:$A$60,0))*(INDEX('Parametri Modello'!$B$50:$B$53,MATCH($B427,'Parametri Modello'!$A$50:$A$53,0))*'Parametri Modello'!$B$44))),IF(INDEX('Parametri Modello'!$F$57:$F$60,MATCH($B427,'Parametri Modello'!$A$57:$A$60,0))=0,0,($O427/INDEX('Parametri Modello'!$F$57:$F$60,MATCH($B427,'Parametri Modello'!$A$57:$A$60,0)))*((1-INDEX('Parametri Modello'!$D$57:$D$60,MATCH($B427,'Parametri Modello'!$A$57:$A$60,0)))*(INDEX('Parametri Modello'!$B$50:$B$53,MATCH($B427,'Parametri Modello'!$A$50:$A$53,0))*'Parametri Modello'!$B$44))))*(1+IF(IF($B427="D",'Info Lega'!$B$25,IF($B427="C",'Info Lega'!$B$26,"No"))="Si",'Parametri Modello'!$B$5,0))*(1+MAX(-0.25,MIN(0.25,IF(OR($T427="",$I427="",$I427=0,INDEX('Parametri Modello'!$B$19:$B$22,MATCH($B427,'Parametri Modello'!$A$19:$A$22,0))="",INDEX('Parametri Modello'!$B$19:$B$22,MATCH($B427,'Parametri Modello'!$A$19:$A$22,0))=0),0,(($T427-INDEX('Parametri Modello'!$B$19:$B$22,MATCH($B427,'Parametri Modello'!$A$19:$A$22,0)))/INDEX('Parametri Modello'!$B$19:$B$22,MATCH($B427,'Parametri Modello'!$A$19:$A$22,0)))*'Parametri Modello'!$B$9))))*(1+IF('Parametri Modello'!$B$27="Si",MAX(-'Parametri Modello'!$B$28,MIN('Parametri Modello'!$B$28*1.5,IF(OR(INDEX('Parametri Modello'!$F$32:$F$35,MATCH($B427,'Parametri Modello'!$A$32:$A$35,0))="",INDEX('Parametri Modello'!$F$32:$F$35,MATCH($B427,'Parametri Modello'!$A$32:$A$35,0))=0),0,(1/INDEX('Parametri Modello'!$F$32:$F$35,MATCH($B427,'Parametri Modello'!$A$32:$A$35,0))-1)*'Parametri Modello'!$B$28))),0)))*(1-INDEX('Parametri Modello'!$B$12:$B$15,MATCH($B427,'Parametri Modello'!$A$12:$A$15,0)))),0),"")</f>
        <v>1</v>
      </c>
      <c r="H427" s="27" t="n">
        <f aca="false">IFERROR(ROUND((IF($V427&lt;=INDEX('Parametri Modello'!$C$57:$C$60,MATCH($B427,'Parametri Modello'!$A$57:$A$60,0)),IF(INDEX('Parametri Modello'!$E$57:$E$60,MATCH($B427,'Parametri Modello'!$A$57:$A$60,0))=0,0,($O427/INDEX('Parametri Modello'!$E$57:$E$60,MATCH($B427,'Parametri Modello'!$A$57:$A$60,0)))*(INDEX('Parametri Modello'!$D$57:$D$60,MATCH($B427,'Parametri Modello'!$A$57:$A$60,0))*(INDEX('Parametri Modello'!$B$50:$B$53,MATCH($B427,'Parametri Modello'!$A$50:$A$53,0))*'Parametri Modello'!$B$44))),IF(INDEX('Parametri Modello'!$F$57:$F$60,MATCH($B427,'Parametri Modello'!$A$57:$A$60,0))=0,0,($O427/INDEX('Parametri Modello'!$F$57:$F$60,MATCH($B427,'Parametri Modello'!$A$57:$A$60,0)))*((1-INDEX('Parametri Modello'!$D$57:$D$60,MATCH($B427,'Parametri Modello'!$A$57:$A$60,0)))*(INDEX('Parametri Modello'!$B$50:$B$53,MATCH($B427,'Parametri Modello'!$A$50:$A$53,0))*'Parametri Modello'!$B$44))))*(1+IF(IF($B427="D",'Info Lega'!$B$25,IF($B427="C",'Info Lega'!$B$26,"No"))="Si",'Parametri Modello'!$B$5,0))*(1+MAX(-0.25,MIN(0.25,IF(OR($T427="",$I427="",$I427=0,INDEX('Parametri Modello'!$B$19:$B$22,MATCH($B427,'Parametri Modello'!$A$19:$A$22,0))="",INDEX('Parametri Modello'!$B$19:$B$22,MATCH($B427,'Parametri Modello'!$A$19:$A$22,0))=0),0,(($T427-INDEX('Parametri Modello'!$B$19:$B$22,MATCH($B427,'Parametri Modello'!$A$19:$A$22,0)))/INDEX('Parametri Modello'!$B$19:$B$22,MATCH($B427,'Parametri Modello'!$A$19:$A$22,0)))*'Parametri Modello'!$B$9))))*(1+IF('Parametri Modello'!$B$27="Si",MAX(-'Parametri Modello'!$B$28,MIN('Parametri Modello'!$B$28*1.5,IF(OR(INDEX('Parametri Modello'!$F$32:$F$35,MATCH($B427,'Parametri Modello'!$A$32:$A$35,0))="",INDEX('Parametri Modello'!$F$32:$F$35,MATCH($B427,'Parametri Modello'!$A$32:$A$35,0))=0),0,(1/INDEX('Parametri Modello'!$F$32:$F$35,MATCH($B427,'Parametri Modello'!$A$32:$A$35,0))-1)*'Parametri Modello'!$B$28))),0)))*(1+INDEX('Parametri Modello'!$B$12:$B$15,MATCH($B427,'Parametri Modello'!$A$12:$A$15,0))),0),"")</f>
        <v>0</v>
      </c>
      <c r="I427" s="26" t="str">
        <f aca="false">IFERROR(INDEX('Input Statistiche 2025_26'!$F$3:$F$665,MATCH($A427,'Input Statistiche 2025_26'!$A$3:$A$665,0)),"")</f>
        <v/>
      </c>
      <c r="J427" s="26" t="str">
        <f aca="false">IFERROR(IF($I427="","",MAX(0,38-$I427)),"")</f>
        <v/>
      </c>
      <c r="K427" s="26" t="str">
        <f aca="false">IFERROR(INDEX('Input Statistiche 2025_26'!$I$3:$I$665,MATCH($A427,'Input Statistiche 2025_26'!$A$3:$A$665,0)),"")</f>
        <v/>
      </c>
      <c r="L427" s="26" t="str">
        <f aca="false">IFERROR(INDEX('Input Statistiche 2025_26'!$O$3:$O$665,MATCH($A427,'Input Statistiche 2025_26'!$A$3:$A$665,0)),"")</f>
        <v/>
      </c>
      <c r="M427" s="28"/>
      <c r="N427" s="27" t="n">
        <f aca="false">IFERROR(INDEX('Input Giocatori 2026_27'!$E$3:$E$493,MATCH($A427,'Input Giocatori 2026_27'!$A$3:$A$493,0)),"")</f>
        <v>1</v>
      </c>
      <c r="O427" s="27" t="n">
        <f aca="false">IFERROR(INDEX('Input Giocatori 2026_27'!$G$3:$G$493,MATCH($A427,'Input Giocatori 2026_27'!$A$3:$A$493,0)),"")</f>
        <v>3</v>
      </c>
      <c r="P427" s="26" t="str">
        <f aca="false">IFERROR(IF($O427="","",IF((1-(COUNTIFS($B$2:$B$492,$B427,$O$2:$O$492,"&gt;"&amp;$O427)+1-1)/COUNTIF($B$2:$B$492,$B427))&gt;=0.85,"Top",IF((1-(COUNTIFS($B$2:$B$492,$B427,$O$2:$O$492,"&gt;"&amp;$O427)+1-1)/COUNTIF($B$2:$B$492,$B427))&gt;=0.6,"Buono",IF((1-(COUNTIFS($B$2:$B$492,$B427,$O$2:$O$492,"&gt;"&amp;$O427)+1-1)/COUNTIF($B$2:$B$492,$B427))&gt;=0.3,"Nella Media","Scommessa/Riserva")))),"")</f>
        <v>Scommessa/Riserva</v>
      </c>
      <c r="Q427" s="29" t="n">
        <f aca="false">IF($D427="",COUNTIF($D$2:$D427,""),"")</f>
        <v>426</v>
      </c>
      <c r="R427" s="29" t="str">
        <f aca="false">IF($D427='Info Lega'!$B$28,COUNTIFS($D$2:$D427,'Info Lega'!$B$28),"")</f>
        <v/>
      </c>
      <c r="S427" s="30" t="str">
        <f aca="false">IFERROR(INDEX('Input Statistiche 2025_26'!$G$3:$G$665,MATCH($A427,'Input Statistiche 2025_26'!$A$3:$A$665,0)),"")</f>
        <v/>
      </c>
      <c r="T427" s="30" t="str">
        <f aca="false">IFERROR(INDEX('Input Statistiche 2025_26'!$H$3:$H$665,MATCH($A427,'Input Statistiche 2025_26'!$A$3:$A$665,0)),"")</f>
        <v/>
      </c>
      <c r="U427" s="26" t="str">
        <f aca="false">IF(OR('La Mia Rosa'!$O$12="",$D427&lt;&gt;""),"",IF($F427&lt;='La Mia Rosa'!$O$12*'Parametri Modello'!$B$24,"OK",IF($F427&lt;='La Mia Rosa'!$O$12*'Parametri Modello'!$B$25,"Attenzione","Rischio Alto")))</f>
        <v>OK</v>
      </c>
      <c r="V427" s="26" t="n">
        <f aca="false">IFERROR(COUNTIFS($B$2:$B$492,$B427,$O$2:$O$492,"&gt;"&amp;$O427)+1,"")</f>
        <v>160</v>
      </c>
      <c r="W427" s="21" t="n">
        <f aca="false">'Info Lega'!$B$4-SUMIFS($M$2:$M$492,$D$2:$D$492,'Info Lega'!$B$28)</f>
        <v>1000</v>
      </c>
      <c r="X427" s="21" t="n">
        <f aca="false">('Info Lega'!$B$5-COUNTIFS($D$2:$D$492,'Info Lega'!$B$28,$B$2:$B$492,"P"))+('Info Lega'!$B$6-COUNTIFS($D$2:$D$492,'Info Lega'!$B$28,$B$2:$B$492,"D"))+('Info Lega'!$B$7-COUNTIFS($D$2:$D$492,'Info Lega'!$B$28,$B$2:$B$492,"C"))+('Info Lega'!$B$8-COUNTIFS($D$2:$D$492,'Info Lega'!$B$28,$B$2:$B$492,"A"))</f>
        <v>25</v>
      </c>
      <c r="Y427" s="21" t="n">
        <f aca="false">X427*'Parametri Modello'!$B$30</f>
        <v>25</v>
      </c>
      <c r="Z427" s="21" t="n">
        <f aca="false">MAX(0,W427-Y427)</f>
        <v>975</v>
      </c>
      <c r="AA427" s="21" t="n">
        <f aca="false">MIN(F427,Z427)</f>
        <v>0</v>
      </c>
      <c r="AB427" s="21"/>
      <c r="AC427" s="21" t="str">
        <f aca="false">IF(AB427="","",IF(AB427&gt;AA427,"PASS",IF(AB427&lt;=AA427*0.85,"BID","ATTENZIONE")))</f>
        <v/>
      </c>
      <c r="AD427" s="31" t="str">
        <f aca="false">IF(I427="","",ROUND(100*(1-EXP(-I427/30)),0))</f>
        <v/>
      </c>
      <c r="AE427" s="7" t="str">
        <f aca="false">IFERROR(INDEX('Stato Asta'!$G$9:$G$12,MATCH($B427,'Stato Asta'!$A$9:$A$12,0)),"")</f>
        <v>🟡 Attesa rischiosa</v>
      </c>
    </row>
    <row r="428" customFormat="false" ht="14.25" hidden="false" customHeight="true" outlineLevel="0" collapsed="false">
      <c r="A428" s="21" t="n">
        <v>5725</v>
      </c>
      <c r="B428" s="21" t="s">
        <v>45</v>
      </c>
      <c r="C428" s="21" t="s">
        <v>524</v>
      </c>
      <c r="E428" s="26" t="str">
        <f aca="false">IF(COUNTIF('Info Strategia'!$D$2:$D$51,$C428)&gt;0,"SI","NO")</f>
        <v>NO</v>
      </c>
      <c r="F428" s="27" t="n">
        <f aca="false">IFERROR(ROUND(($G428+($H428-$G428)*'Info Strategia'!$B$6)*(1+IF($E428="SI",'Parametri Modello'!$B$7*'Info Strategia'!$B$6,0)),0),"")</f>
        <v>0</v>
      </c>
      <c r="G428" s="27" t="n">
        <f aca="false">IFERROR(ROUND(MAX(1,(IF($V428&lt;=INDEX('Parametri Modello'!$C$57:$C$60,MATCH($B428,'Parametri Modello'!$A$57:$A$60,0)),IF(INDEX('Parametri Modello'!$E$57:$E$60,MATCH($B428,'Parametri Modello'!$A$57:$A$60,0))=0,0,($O428/INDEX('Parametri Modello'!$E$57:$E$60,MATCH($B428,'Parametri Modello'!$A$57:$A$60,0)))*(INDEX('Parametri Modello'!$D$57:$D$60,MATCH($B428,'Parametri Modello'!$A$57:$A$60,0))*(INDEX('Parametri Modello'!$B$50:$B$53,MATCH($B428,'Parametri Modello'!$A$50:$A$53,0))*'Parametri Modello'!$B$44))),IF(INDEX('Parametri Modello'!$F$57:$F$60,MATCH($B428,'Parametri Modello'!$A$57:$A$60,0))=0,0,($O428/INDEX('Parametri Modello'!$F$57:$F$60,MATCH($B428,'Parametri Modello'!$A$57:$A$60,0)))*((1-INDEX('Parametri Modello'!$D$57:$D$60,MATCH($B428,'Parametri Modello'!$A$57:$A$60,0)))*(INDEX('Parametri Modello'!$B$50:$B$53,MATCH($B428,'Parametri Modello'!$A$50:$A$53,0))*'Parametri Modello'!$B$44))))*(1+IF(IF($B428="D",'Info Lega'!$B$25,IF($B428="C",'Info Lega'!$B$26,"No"))="Si",'Parametri Modello'!$B$5,0))*(1+MAX(-0.25,MIN(0.25,IF(OR($T428="",$I428="",$I428=0,INDEX('Parametri Modello'!$B$19:$B$22,MATCH($B428,'Parametri Modello'!$A$19:$A$22,0))="",INDEX('Parametri Modello'!$B$19:$B$22,MATCH($B428,'Parametri Modello'!$A$19:$A$22,0))=0),0,(($T428-INDEX('Parametri Modello'!$B$19:$B$22,MATCH($B428,'Parametri Modello'!$A$19:$A$22,0)))/INDEX('Parametri Modello'!$B$19:$B$22,MATCH($B428,'Parametri Modello'!$A$19:$A$22,0)))*'Parametri Modello'!$B$9))))*(1+IF('Parametri Modello'!$B$27="Si",MAX(-'Parametri Modello'!$B$28,MIN('Parametri Modello'!$B$28*1.5,IF(OR(INDEX('Parametri Modello'!$F$32:$F$35,MATCH($B428,'Parametri Modello'!$A$32:$A$35,0))="",INDEX('Parametri Modello'!$F$32:$F$35,MATCH($B428,'Parametri Modello'!$A$32:$A$35,0))=0),0,(1/INDEX('Parametri Modello'!$F$32:$F$35,MATCH($B428,'Parametri Modello'!$A$32:$A$35,0))-1)*'Parametri Modello'!$B$28))),0)))*(1-INDEX('Parametri Modello'!$B$12:$B$15,MATCH($B428,'Parametri Modello'!$A$12:$A$15,0)))),0),"")</f>
        <v>1</v>
      </c>
      <c r="H428" s="27" t="n">
        <f aca="false">IFERROR(ROUND((IF($V428&lt;=INDEX('Parametri Modello'!$C$57:$C$60,MATCH($B428,'Parametri Modello'!$A$57:$A$60,0)),IF(INDEX('Parametri Modello'!$E$57:$E$60,MATCH($B428,'Parametri Modello'!$A$57:$A$60,0))=0,0,($O428/INDEX('Parametri Modello'!$E$57:$E$60,MATCH($B428,'Parametri Modello'!$A$57:$A$60,0)))*(INDEX('Parametri Modello'!$D$57:$D$60,MATCH($B428,'Parametri Modello'!$A$57:$A$60,0))*(INDEX('Parametri Modello'!$B$50:$B$53,MATCH($B428,'Parametri Modello'!$A$50:$A$53,0))*'Parametri Modello'!$B$44))),IF(INDEX('Parametri Modello'!$F$57:$F$60,MATCH($B428,'Parametri Modello'!$A$57:$A$60,0))=0,0,($O428/INDEX('Parametri Modello'!$F$57:$F$60,MATCH($B428,'Parametri Modello'!$A$57:$A$60,0)))*((1-INDEX('Parametri Modello'!$D$57:$D$60,MATCH($B428,'Parametri Modello'!$A$57:$A$60,0)))*(INDEX('Parametri Modello'!$B$50:$B$53,MATCH($B428,'Parametri Modello'!$A$50:$A$53,0))*'Parametri Modello'!$B$44))))*(1+IF(IF($B428="D",'Info Lega'!$B$25,IF($B428="C",'Info Lega'!$B$26,"No"))="Si",'Parametri Modello'!$B$5,0))*(1+MAX(-0.25,MIN(0.25,IF(OR($T428="",$I428="",$I428=0,INDEX('Parametri Modello'!$B$19:$B$22,MATCH($B428,'Parametri Modello'!$A$19:$A$22,0))="",INDEX('Parametri Modello'!$B$19:$B$22,MATCH($B428,'Parametri Modello'!$A$19:$A$22,0))=0),0,(($T428-INDEX('Parametri Modello'!$B$19:$B$22,MATCH($B428,'Parametri Modello'!$A$19:$A$22,0)))/INDEX('Parametri Modello'!$B$19:$B$22,MATCH($B428,'Parametri Modello'!$A$19:$A$22,0)))*'Parametri Modello'!$B$9))))*(1+IF('Parametri Modello'!$B$27="Si",MAX(-'Parametri Modello'!$B$28,MIN('Parametri Modello'!$B$28*1.5,IF(OR(INDEX('Parametri Modello'!$F$32:$F$35,MATCH($B428,'Parametri Modello'!$A$32:$A$35,0))="",INDEX('Parametri Modello'!$F$32:$F$35,MATCH($B428,'Parametri Modello'!$A$32:$A$35,0))=0),0,(1/INDEX('Parametri Modello'!$F$32:$F$35,MATCH($B428,'Parametri Modello'!$A$32:$A$35,0))-1)*'Parametri Modello'!$B$28))),0)))*(1+INDEX('Parametri Modello'!$B$12:$B$15,MATCH($B428,'Parametri Modello'!$A$12:$A$15,0))),0),"")</f>
        <v>0</v>
      </c>
      <c r="I428" s="26" t="str">
        <f aca="false">IFERROR(INDEX('Input Statistiche 2025_26'!$F$3:$F$665,MATCH($A428,'Input Statistiche 2025_26'!$A$3:$A$665,0)),"")</f>
        <v/>
      </c>
      <c r="J428" s="26" t="str">
        <f aca="false">IFERROR(IF($I428="","",MAX(0,38-$I428)),"")</f>
        <v/>
      </c>
      <c r="K428" s="26" t="str">
        <f aca="false">IFERROR(INDEX('Input Statistiche 2025_26'!$I$3:$I$665,MATCH($A428,'Input Statistiche 2025_26'!$A$3:$A$665,0)),"")</f>
        <v/>
      </c>
      <c r="L428" s="26" t="str">
        <f aca="false">IFERROR(INDEX('Input Statistiche 2025_26'!$O$3:$O$665,MATCH($A428,'Input Statistiche 2025_26'!$A$3:$A$665,0)),"")</f>
        <v/>
      </c>
      <c r="M428" s="28"/>
      <c r="N428" s="27" t="n">
        <f aca="false">IFERROR(INDEX('Input Giocatori 2026_27'!$E$3:$E$493,MATCH($A428,'Input Giocatori 2026_27'!$A$3:$A$493,0)),"")</f>
        <v>1</v>
      </c>
      <c r="O428" s="27" t="n">
        <f aca="false">IFERROR(INDEX('Input Giocatori 2026_27'!$G$3:$G$493,MATCH($A428,'Input Giocatori 2026_27'!$A$3:$A$493,0)),"")</f>
        <v>3</v>
      </c>
      <c r="P428" s="26" t="str">
        <f aca="false">IFERROR(IF($O428="","",IF((1-(COUNTIFS($B$2:$B$492,$B428,$O$2:$O$492,"&gt;"&amp;$O428)+1-1)/COUNTIF($B$2:$B$492,$B428))&gt;=0.85,"Top",IF((1-(COUNTIFS($B$2:$B$492,$B428,$O$2:$O$492,"&gt;"&amp;$O428)+1-1)/COUNTIF($B$2:$B$492,$B428))&gt;=0.6,"Buono",IF((1-(COUNTIFS($B$2:$B$492,$B428,$O$2:$O$492,"&gt;"&amp;$O428)+1-1)/COUNTIF($B$2:$B$492,$B428))&gt;=0.3,"Nella Media","Scommessa/Riserva")))),"")</f>
        <v>Scommessa/Riserva</v>
      </c>
      <c r="Q428" s="29" t="n">
        <f aca="false">IF($D428="",COUNTIF($D$2:$D428,""),"")</f>
        <v>427</v>
      </c>
      <c r="R428" s="29" t="str">
        <f aca="false">IF($D428='Info Lega'!$B$28,COUNTIFS($D$2:$D428,'Info Lega'!$B$28),"")</f>
        <v/>
      </c>
      <c r="S428" s="30" t="str">
        <f aca="false">IFERROR(INDEX('Input Statistiche 2025_26'!$G$3:$G$665,MATCH($A428,'Input Statistiche 2025_26'!$A$3:$A$665,0)),"")</f>
        <v/>
      </c>
      <c r="T428" s="30" t="str">
        <f aca="false">IFERROR(INDEX('Input Statistiche 2025_26'!$H$3:$H$665,MATCH($A428,'Input Statistiche 2025_26'!$A$3:$A$665,0)),"")</f>
        <v/>
      </c>
      <c r="U428" s="26" t="str">
        <f aca="false">IF(OR('La Mia Rosa'!$O$12="",$D428&lt;&gt;""),"",IF($F428&lt;='La Mia Rosa'!$O$12*'Parametri Modello'!$B$24,"OK",IF($F428&lt;='La Mia Rosa'!$O$12*'Parametri Modello'!$B$25,"Attenzione","Rischio Alto")))</f>
        <v>OK</v>
      </c>
      <c r="V428" s="26" t="n">
        <f aca="false">IFERROR(COUNTIFS($B$2:$B$492,$B428,$O$2:$O$492,"&gt;"&amp;$O428)+1,"")</f>
        <v>160</v>
      </c>
      <c r="W428" s="21" t="n">
        <f aca="false">'Info Lega'!$B$4-SUMIFS($M$2:$M$492,$D$2:$D$492,'Info Lega'!$B$28)</f>
        <v>1000</v>
      </c>
      <c r="X428" s="21" t="n">
        <f aca="false">('Info Lega'!$B$5-COUNTIFS($D$2:$D$492,'Info Lega'!$B$28,$B$2:$B$492,"P"))+('Info Lega'!$B$6-COUNTIFS($D$2:$D$492,'Info Lega'!$B$28,$B$2:$B$492,"D"))+('Info Lega'!$B$7-COUNTIFS($D$2:$D$492,'Info Lega'!$B$28,$B$2:$B$492,"C"))+('Info Lega'!$B$8-COUNTIFS($D$2:$D$492,'Info Lega'!$B$28,$B$2:$B$492,"A"))</f>
        <v>25</v>
      </c>
      <c r="Y428" s="21" t="n">
        <f aca="false">X428*'Parametri Modello'!$B$30</f>
        <v>25</v>
      </c>
      <c r="Z428" s="21" t="n">
        <f aca="false">MAX(0,W428-Y428)</f>
        <v>975</v>
      </c>
      <c r="AA428" s="21" t="n">
        <f aca="false">MIN(F428,Z428)</f>
        <v>0</v>
      </c>
      <c r="AB428" s="21"/>
      <c r="AC428" s="21" t="str">
        <f aca="false">IF(AB428="","",IF(AB428&gt;AA428,"PASS",IF(AB428&lt;=AA428*0.85,"BID","ATTENZIONE")))</f>
        <v/>
      </c>
      <c r="AD428" s="31" t="str">
        <f aca="false">IF(I428="","",ROUND(100*(1-EXP(-I428/30)),0))</f>
        <v/>
      </c>
      <c r="AE428" s="7" t="str">
        <f aca="false">IFERROR(INDEX('Stato Asta'!$G$9:$G$12,MATCH($B428,'Stato Asta'!$A$9:$A$12,0)),"")</f>
        <v>🟡 Attesa rischiosa</v>
      </c>
    </row>
    <row r="429" customFormat="false" ht="14.25" hidden="false" customHeight="true" outlineLevel="0" collapsed="false">
      <c r="A429" s="21" t="n">
        <v>7248</v>
      </c>
      <c r="B429" s="21" t="s">
        <v>45</v>
      </c>
      <c r="C429" s="21" t="s">
        <v>527</v>
      </c>
      <c r="E429" s="26" t="str">
        <f aca="false">IF(COUNTIF('Info Strategia'!$D$2:$D$51,$C429)&gt;0,"SI","NO")</f>
        <v>NO</v>
      </c>
      <c r="F429" s="27" t="n">
        <f aca="false">IFERROR(ROUND(($G429+($H429-$G429)*'Info Strategia'!$B$6)*(1+IF($E429="SI",'Parametri Modello'!$B$7*'Info Strategia'!$B$6,0)),0),"")</f>
        <v>0</v>
      </c>
      <c r="G429" s="27" t="n">
        <f aca="false">IFERROR(ROUND(MAX(1,(IF($V429&lt;=INDEX('Parametri Modello'!$C$57:$C$60,MATCH($B429,'Parametri Modello'!$A$57:$A$60,0)),IF(INDEX('Parametri Modello'!$E$57:$E$60,MATCH($B429,'Parametri Modello'!$A$57:$A$60,0))=0,0,($O429/INDEX('Parametri Modello'!$E$57:$E$60,MATCH($B429,'Parametri Modello'!$A$57:$A$60,0)))*(INDEX('Parametri Modello'!$D$57:$D$60,MATCH($B429,'Parametri Modello'!$A$57:$A$60,0))*(INDEX('Parametri Modello'!$B$50:$B$53,MATCH($B429,'Parametri Modello'!$A$50:$A$53,0))*'Parametri Modello'!$B$44))),IF(INDEX('Parametri Modello'!$F$57:$F$60,MATCH($B429,'Parametri Modello'!$A$57:$A$60,0))=0,0,($O429/INDEX('Parametri Modello'!$F$57:$F$60,MATCH($B429,'Parametri Modello'!$A$57:$A$60,0)))*((1-INDEX('Parametri Modello'!$D$57:$D$60,MATCH($B429,'Parametri Modello'!$A$57:$A$60,0)))*(INDEX('Parametri Modello'!$B$50:$B$53,MATCH($B429,'Parametri Modello'!$A$50:$A$53,0))*'Parametri Modello'!$B$44))))*(1+IF(IF($B429="D",'Info Lega'!$B$25,IF($B429="C",'Info Lega'!$B$26,"No"))="Si",'Parametri Modello'!$B$5,0))*(1+MAX(-0.25,MIN(0.25,IF(OR($T429="",$I429="",$I429=0,INDEX('Parametri Modello'!$B$19:$B$22,MATCH($B429,'Parametri Modello'!$A$19:$A$22,0))="",INDEX('Parametri Modello'!$B$19:$B$22,MATCH($B429,'Parametri Modello'!$A$19:$A$22,0))=0),0,(($T429-INDEX('Parametri Modello'!$B$19:$B$22,MATCH($B429,'Parametri Modello'!$A$19:$A$22,0)))/INDEX('Parametri Modello'!$B$19:$B$22,MATCH($B429,'Parametri Modello'!$A$19:$A$22,0)))*'Parametri Modello'!$B$9))))*(1+IF('Parametri Modello'!$B$27="Si",MAX(-'Parametri Modello'!$B$28,MIN('Parametri Modello'!$B$28*1.5,IF(OR(INDEX('Parametri Modello'!$F$32:$F$35,MATCH($B429,'Parametri Modello'!$A$32:$A$35,0))="",INDEX('Parametri Modello'!$F$32:$F$35,MATCH($B429,'Parametri Modello'!$A$32:$A$35,0))=0),0,(1/INDEX('Parametri Modello'!$F$32:$F$35,MATCH($B429,'Parametri Modello'!$A$32:$A$35,0))-1)*'Parametri Modello'!$B$28))),0)))*(1-INDEX('Parametri Modello'!$B$12:$B$15,MATCH($B429,'Parametri Modello'!$A$12:$A$15,0)))),0),"")</f>
        <v>1</v>
      </c>
      <c r="H429" s="27" t="n">
        <f aca="false">IFERROR(ROUND((IF($V429&lt;=INDEX('Parametri Modello'!$C$57:$C$60,MATCH($B429,'Parametri Modello'!$A$57:$A$60,0)),IF(INDEX('Parametri Modello'!$E$57:$E$60,MATCH($B429,'Parametri Modello'!$A$57:$A$60,0))=0,0,($O429/INDEX('Parametri Modello'!$E$57:$E$60,MATCH($B429,'Parametri Modello'!$A$57:$A$60,0)))*(INDEX('Parametri Modello'!$D$57:$D$60,MATCH($B429,'Parametri Modello'!$A$57:$A$60,0))*(INDEX('Parametri Modello'!$B$50:$B$53,MATCH($B429,'Parametri Modello'!$A$50:$A$53,0))*'Parametri Modello'!$B$44))),IF(INDEX('Parametri Modello'!$F$57:$F$60,MATCH($B429,'Parametri Modello'!$A$57:$A$60,0))=0,0,($O429/INDEX('Parametri Modello'!$F$57:$F$60,MATCH($B429,'Parametri Modello'!$A$57:$A$60,0)))*((1-INDEX('Parametri Modello'!$D$57:$D$60,MATCH($B429,'Parametri Modello'!$A$57:$A$60,0)))*(INDEX('Parametri Modello'!$B$50:$B$53,MATCH($B429,'Parametri Modello'!$A$50:$A$53,0))*'Parametri Modello'!$B$44))))*(1+IF(IF($B429="D",'Info Lega'!$B$25,IF($B429="C",'Info Lega'!$B$26,"No"))="Si",'Parametri Modello'!$B$5,0))*(1+MAX(-0.25,MIN(0.25,IF(OR($T429="",$I429="",$I429=0,INDEX('Parametri Modello'!$B$19:$B$22,MATCH($B429,'Parametri Modello'!$A$19:$A$22,0))="",INDEX('Parametri Modello'!$B$19:$B$22,MATCH($B429,'Parametri Modello'!$A$19:$A$22,0))=0),0,(($T429-INDEX('Parametri Modello'!$B$19:$B$22,MATCH($B429,'Parametri Modello'!$A$19:$A$22,0)))/INDEX('Parametri Modello'!$B$19:$B$22,MATCH($B429,'Parametri Modello'!$A$19:$A$22,0)))*'Parametri Modello'!$B$9))))*(1+IF('Parametri Modello'!$B$27="Si",MAX(-'Parametri Modello'!$B$28,MIN('Parametri Modello'!$B$28*1.5,IF(OR(INDEX('Parametri Modello'!$F$32:$F$35,MATCH($B429,'Parametri Modello'!$A$32:$A$35,0))="",INDEX('Parametri Modello'!$F$32:$F$35,MATCH($B429,'Parametri Modello'!$A$32:$A$35,0))=0),0,(1/INDEX('Parametri Modello'!$F$32:$F$35,MATCH($B429,'Parametri Modello'!$A$32:$A$35,0))-1)*'Parametri Modello'!$B$28))),0)))*(1+INDEX('Parametri Modello'!$B$12:$B$15,MATCH($B429,'Parametri Modello'!$A$12:$A$15,0))),0),"")</f>
        <v>0</v>
      </c>
      <c r="I429" s="26" t="n">
        <f aca="false">IFERROR(INDEX('Input Statistiche 2025_26'!$F$3:$F$665,MATCH($A429,'Input Statistiche 2025_26'!$A$3:$A$665,0)),"")</f>
        <v>1</v>
      </c>
      <c r="J429" s="26" t="n">
        <f aca="false">IFERROR(IF($I429="","",MAX(0,38-$I429)),"")</f>
        <v>37</v>
      </c>
      <c r="K429" s="26" t="n">
        <f aca="false">IFERROR(INDEX('Input Statistiche 2025_26'!$I$3:$I$665,MATCH($A429,'Input Statistiche 2025_26'!$A$3:$A$665,0)),"")</f>
        <v>0</v>
      </c>
      <c r="L429" s="26" t="n">
        <f aca="false">IFERROR(INDEX('Input Statistiche 2025_26'!$O$3:$O$665,MATCH($A429,'Input Statistiche 2025_26'!$A$3:$A$665,0)),"")</f>
        <v>0</v>
      </c>
      <c r="M429" s="28"/>
      <c r="N429" s="27" t="n">
        <f aca="false">IFERROR(INDEX('Input Giocatori 2026_27'!$E$3:$E$493,MATCH($A429,'Input Giocatori 2026_27'!$A$3:$A$493,0)),"")</f>
        <v>1</v>
      </c>
      <c r="O429" s="27" t="n">
        <f aca="false">IFERROR(INDEX('Input Giocatori 2026_27'!$G$3:$G$493,MATCH($A429,'Input Giocatori 2026_27'!$A$3:$A$493,0)),"")</f>
        <v>3</v>
      </c>
      <c r="P429" s="26" t="str">
        <f aca="false">IFERROR(IF($O429="","",IF((1-(COUNTIFS($B$2:$B$492,$B429,$O$2:$O$492,"&gt;"&amp;$O429)+1-1)/COUNTIF($B$2:$B$492,$B429))&gt;=0.85,"Top",IF((1-(COUNTIFS($B$2:$B$492,$B429,$O$2:$O$492,"&gt;"&amp;$O429)+1-1)/COUNTIF($B$2:$B$492,$B429))&gt;=0.6,"Buono",IF((1-(COUNTIFS($B$2:$B$492,$B429,$O$2:$O$492,"&gt;"&amp;$O429)+1-1)/COUNTIF($B$2:$B$492,$B429))&gt;=0.3,"Nella Media","Scommessa/Riserva")))),"")</f>
        <v>Scommessa/Riserva</v>
      </c>
      <c r="Q429" s="29" t="n">
        <f aca="false">IF($D429="",COUNTIF($D$2:$D429,""),"")</f>
        <v>428</v>
      </c>
      <c r="R429" s="29" t="str">
        <f aca="false">IF($D429='Info Lega'!$B$28,COUNTIFS($D$2:$D429,'Info Lega'!$B$28),"")</f>
        <v/>
      </c>
      <c r="S429" s="30" t="n">
        <f aca="false">IFERROR(INDEX('Input Statistiche 2025_26'!$G$3:$G$665,MATCH($A429,'Input Statistiche 2025_26'!$A$3:$A$665,0)),"")</f>
        <v>5.5</v>
      </c>
      <c r="T429" s="30" t="n">
        <f aca="false">IFERROR(INDEX('Input Statistiche 2025_26'!$H$3:$H$665,MATCH($A429,'Input Statistiche 2025_26'!$A$3:$A$665,0)),"")</f>
        <v>5.5</v>
      </c>
      <c r="U429" s="26" t="str">
        <f aca="false">IF(OR('La Mia Rosa'!$O$12="",$D429&lt;&gt;""),"",IF($F429&lt;='La Mia Rosa'!$O$12*'Parametri Modello'!$B$24,"OK",IF($F429&lt;='La Mia Rosa'!$O$12*'Parametri Modello'!$B$25,"Attenzione","Rischio Alto")))</f>
        <v>OK</v>
      </c>
      <c r="V429" s="26" t="n">
        <f aca="false">IFERROR(COUNTIFS($B$2:$B$492,$B429,$O$2:$O$492,"&gt;"&amp;$O429)+1,"")</f>
        <v>160</v>
      </c>
      <c r="W429" s="21" t="n">
        <f aca="false">'Info Lega'!$B$4-SUMIFS($M$2:$M$492,$D$2:$D$492,'Info Lega'!$B$28)</f>
        <v>1000</v>
      </c>
      <c r="X429" s="21" t="n">
        <f aca="false">('Info Lega'!$B$5-COUNTIFS($D$2:$D$492,'Info Lega'!$B$28,$B$2:$B$492,"P"))+('Info Lega'!$B$6-COUNTIFS($D$2:$D$492,'Info Lega'!$B$28,$B$2:$B$492,"D"))+('Info Lega'!$B$7-COUNTIFS($D$2:$D$492,'Info Lega'!$B$28,$B$2:$B$492,"C"))+('Info Lega'!$B$8-COUNTIFS($D$2:$D$492,'Info Lega'!$B$28,$B$2:$B$492,"A"))</f>
        <v>25</v>
      </c>
      <c r="Y429" s="21" t="n">
        <f aca="false">X429*'Parametri Modello'!$B$30</f>
        <v>25</v>
      </c>
      <c r="Z429" s="21" t="n">
        <f aca="false">MAX(0,W429-Y429)</f>
        <v>975</v>
      </c>
      <c r="AA429" s="21" t="n">
        <f aca="false">MIN(F429,Z429)</f>
        <v>0</v>
      </c>
      <c r="AB429" s="21"/>
      <c r="AC429" s="21" t="str">
        <f aca="false">IF(AB429="","",IF(AB429&gt;AA429,"PASS",IF(AB429&lt;=AA429*0.85,"BID","ATTENZIONE")))</f>
        <v/>
      </c>
      <c r="AD429" s="31" t="n">
        <f aca="false">IF(I429="","",ROUND(100*(1-EXP(-I429/30)),0))</f>
        <v>3</v>
      </c>
      <c r="AE429" s="7" t="str">
        <f aca="false">IFERROR(INDEX('Stato Asta'!$G$9:$G$12,MATCH($B429,'Stato Asta'!$A$9:$A$12,0)),"")</f>
        <v>🟡 Attesa rischiosa</v>
      </c>
    </row>
    <row r="430" customFormat="false" ht="14.25" hidden="false" customHeight="true" outlineLevel="0" collapsed="false">
      <c r="A430" s="21" t="n">
        <v>7276</v>
      </c>
      <c r="B430" s="21" t="s">
        <v>45</v>
      </c>
      <c r="C430" s="21" t="s">
        <v>530</v>
      </c>
      <c r="E430" s="26" t="str">
        <f aca="false">IF(COUNTIF('Info Strategia'!$D$2:$D$51,$C430)&gt;0,"SI","NO")</f>
        <v>NO</v>
      </c>
      <c r="F430" s="27" t="n">
        <f aca="false">IFERROR(ROUND(($G430+($H430-$G430)*'Info Strategia'!$B$6)*(1+IF($E430="SI",'Parametri Modello'!$B$7*'Info Strategia'!$B$6,0)),0),"")</f>
        <v>0</v>
      </c>
      <c r="G430" s="27" t="n">
        <f aca="false">IFERROR(ROUND(MAX(1,(IF($V430&lt;=INDEX('Parametri Modello'!$C$57:$C$60,MATCH($B430,'Parametri Modello'!$A$57:$A$60,0)),IF(INDEX('Parametri Modello'!$E$57:$E$60,MATCH($B430,'Parametri Modello'!$A$57:$A$60,0))=0,0,($O430/INDEX('Parametri Modello'!$E$57:$E$60,MATCH($B430,'Parametri Modello'!$A$57:$A$60,0)))*(INDEX('Parametri Modello'!$D$57:$D$60,MATCH($B430,'Parametri Modello'!$A$57:$A$60,0))*(INDEX('Parametri Modello'!$B$50:$B$53,MATCH($B430,'Parametri Modello'!$A$50:$A$53,0))*'Parametri Modello'!$B$44))),IF(INDEX('Parametri Modello'!$F$57:$F$60,MATCH($B430,'Parametri Modello'!$A$57:$A$60,0))=0,0,($O430/INDEX('Parametri Modello'!$F$57:$F$60,MATCH($B430,'Parametri Modello'!$A$57:$A$60,0)))*((1-INDEX('Parametri Modello'!$D$57:$D$60,MATCH($B430,'Parametri Modello'!$A$57:$A$60,0)))*(INDEX('Parametri Modello'!$B$50:$B$53,MATCH($B430,'Parametri Modello'!$A$50:$A$53,0))*'Parametri Modello'!$B$44))))*(1+IF(IF($B430="D",'Info Lega'!$B$25,IF($B430="C",'Info Lega'!$B$26,"No"))="Si",'Parametri Modello'!$B$5,0))*(1+MAX(-0.25,MIN(0.25,IF(OR($T430="",$I430="",$I430=0,INDEX('Parametri Modello'!$B$19:$B$22,MATCH($B430,'Parametri Modello'!$A$19:$A$22,0))="",INDEX('Parametri Modello'!$B$19:$B$22,MATCH($B430,'Parametri Modello'!$A$19:$A$22,0))=0),0,(($T430-INDEX('Parametri Modello'!$B$19:$B$22,MATCH($B430,'Parametri Modello'!$A$19:$A$22,0)))/INDEX('Parametri Modello'!$B$19:$B$22,MATCH($B430,'Parametri Modello'!$A$19:$A$22,0)))*'Parametri Modello'!$B$9))))*(1+IF('Parametri Modello'!$B$27="Si",MAX(-'Parametri Modello'!$B$28,MIN('Parametri Modello'!$B$28*1.5,IF(OR(INDEX('Parametri Modello'!$F$32:$F$35,MATCH($B430,'Parametri Modello'!$A$32:$A$35,0))="",INDEX('Parametri Modello'!$F$32:$F$35,MATCH($B430,'Parametri Modello'!$A$32:$A$35,0))=0),0,(1/INDEX('Parametri Modello'!$F$32:$F$35,MATCH($B430,'Parametri Modello'!$A$32:$A$35,0))-1)*'Parametri Modello'!$B$28))),0)))*(1-INDEX('Parametri Modello'!$B$12:$B$15,MATCH($B430,'Parametri Modello'!$A$12:$A$15,0)))),0),"")</f>
        <v>1</v>
      </c>
      <c r="H430" s="27" t="n">
        <f aca="false">IFERROR(ROUND((IF($V430&lt;=INDEX('Parametri Modello'!$C$57:$C$60,MATCH($B430,'Parametri Modello'!$A$57:$A$60,0)),IF(INDEX('Parametri Modello'!$E$57:$E$60,MATCH($B430,'Parametri Modello'!$A$57:$A$60,0))=0,0,($O430/INDEX('Parametri Modello'!$E$57:$E$60,MATCH($B430,'Parametri Modello'!$A$57:$A$60,0)))*(INDEX('Parametri Modello'!$D$57:$D$60,MATCH($B430,'Parametri Modello'!$A$57:$A$60,0))*(INDEX('Parametri Modello'!$B$50:$B$53,MATCH($B430,'Parametri Modello'!$A$50:$A$53,0))*'Parametri Modello'!$B$44))),IF(INDEX('Parametri Modello'!$F$57:$F$60,MATCH($B430,'Parametri Modello'!$A$57:$A$60,0))=0,0,($O430/INDEX('Parametri Modello'!$F$57:$F$60,MATCH($B430,'Parametri Modello'!$A$57:$A$60,0)))*((1-INDEX('Parametri Modello'!$D$57:$D$60,MATCH($B430,'Parametri Modello'!$A$57:$A$60,0)))*(INDEX('Parametri Modello'!$B$50:$B$53,MATCH($B430,'Parametri Modello'!$A$50:$A$53,0))*'Parametri Modello'!$B$44))))*(1+IF(IF($B430="D",'Info Lega'!$B$25,IF($B430="C",'Info Lega'!$B$26,"No"))="Si",'Parametri Modello'!$B$5,0))*(1+MAX(-0.25,MIN(0.25,IF(OR($T430="",$I430="",$I430=0,INDEX('Parametri Modello'!$B$19:$B$22,MATCH($B430,'Parametri Modello'!$A$19:$A$22,0))="",INDEX('Parametri Modello'!$B$19:$B$22,MATCH($B430,'Parametri Modello'!$A$19:$A$22,0))=0),0,(($T430-INDEX('Parametri Modello'!$B$19:$B$22,MATCH($B430,'Parametri Modello'!$A$19:$A$22,0)))/INDEX('Parametri Modello'!$B$19:$B$22,MATCH($B430,'Parametri Modello'!$A$19:$A$22,0)))*'Parametri Modello'!$B$9))))*(1+IF('Parametri Modello'!$B$27="Si",MAX(-'Parametri Modello'!$B$28,MIN('Parametri Modello'!$B$28*1.5,IF(OR(INDEX('Parametri Modello'!$F$32:$F$35,MATCH($B430,'Parametri Modello'!$A$32:$A$35,0))="",INDEX('Parametri Modello'!$F$32:$F$35,MATCH($B430,'Parametri Modello'!$A$32:$A$35,0))=0),0,(1/INDEX('Parametri Modello'!$F$32:$F$35,MATCH($B430,'Parametri Modello'!$A$32:$A$35,0))-1)*'Parametri Modello'!$B$28))),0)))*(1+INDEX('Parametri Modello'!$B$12:$B$15,MATCH($B430,'Parametri Modello'!$A$12:$A$15,0))),0),"")</f>
        <v>0</v>
      </c>
      <c r="I430" s="26" t="n">
        <f aca="false">IFERROR(INDEX('Input Statistiche 2025_26'!$F$3:$F$665,MATCH($A430,'Input Statistiche 2025_26'!$A$3:$A$665,0)),"")</f>
        <v>1</v>
      </c>
      <c r="J430" s="26" t="n">
        <f aca="false">IFERROR(IF($I430="","",MAX(0,38-$I430)),"")</f>
        <v>37</v>
      </c>
      <c r="K430" s="26" t="n">
        <f aca="false">IFERROR(INDEX('Input Statistiche 2025_26'!$I$3:$I$665,MATCH($A430,'Input Statistiche 2025_26'!$A$3:$A$665,0)),"")</f>
        <v>0</v>
      </c>
      <c r="L430" s="26" t="n">
        <f aca="false">IFERROR(INDEX('Input Statistiche 2025_26'!$O$3:$O$665,MATCH($A430,'Input Statistiche 2025_26'!$A$3:$A$665,0)),"")</f>
        <v>0</v>
      </c>
      <c r="M430" s="28"/>
      <c r="N430" s="27" t="n">
        <f aca="false">IFERROR(INDEX('Input Giocatori 2026_27'!$E$3:$E$493,MATCH($A430,'Input Giocatori 2026_27'!$A$3:$A$493,0)),"")</f>
        <v>1</v>
      </c>
      <c r="O430" s="27" t="n">
        <f aca="false">IFERROR(INDEX('Input Giocatori 2026_27'!$G$3:$G$493,MATCH($A430,'Input Giocatori 2026_27'!$A$3:$A$493,0)),"")</f>
        <v>3</v>
      </c>
      <c r="P430" s="26" t="str">
        <f aca="false">IFERROR(IF($O430="","",IF((1-(COUNTIFS($B$2:$B$492,$B430,$O$2:$O$492,"&gt;"&amp;$O430)+1-1)/COUNTIF($B$2:$B$492,$B430))&gt;=0.85,"Top",IF((1-(COUNTIFS($B$2:$B$492,$B430,$O$2:$O$492,"&gt;"&amp;$O430)+1-1)/COUNTIF($B$2:$B$492,$B430))&gt;=0.6,"Buono",IF((1-(COUNTIFS($B$2:$B$492,$B430,$O$2:$O$492,"&gt;"&amp;$O430)+1-1)/COUNTIF($B$2:$B$492,$B430))&gt;=0.3,"Nella Media","Scommessa/Riserva")))),"")</f>
        <v>Scommessa/Riserva</v>
      </c>
      <c r="Q430" s="29" t="n">
        <f aca="false">IF($D430="",COUNTIF($D$2:$D430,""),"")</f>
        <v>429</v>
      </c>
      <c r="R430" s="29" t="str">
        <f aca="false">IF($D430='Info Lega'!$B$28,COUNTIFS($D$2:$D430,'Info Lega'!$B$28),"")</f>
        <v/>
      </c>
      <c r="S430" s="30" t="n">
        <f aca="false">IFERROR(INDEX('Input Statistiche 2025_26'!$G$3:$G$665,MATCH($A430,'Input Statistiche 2025_26'!$A$3:$A$665,0)),"")</f>
        <v>6</v>
      </c>
      <c r="T430" s="30" t="n">
        <f aca="false">IFERROR(INDEX('Input Statistiche 2025_26'!$H$3:$H$665,MATCH($A430,'Input Statistiche 2025_26'!$A$3:$A$665,0)),"")</f>
        <v>6</v>
      </c>
      <c r="U430" s="26" t="str">
        <f aca="false">IF(OR('La Mia Rosa'!$O$12="",$D430&lt;&gt;""),"",IF($F430&lt;='La Mia Rosa'!$O$12*'Parametri Modello'!$B$24,"OK",IF($F430&lt;='La Mia Rosa'!$O$12*'Parametri Modello'!$B$25,"Attenzione","Rischio Alto")))</f>
        <v>OK</v>
      </c>
      <c r="V430" s="26" t="n">
        <f aca="false">IFERROR(COUNTIFS($B$2:$B$492,$B430,$O$2:$O$492,"&gt;"&amp;$O430)+1,"")</f>
        <v>160</v>
      </c>
      <c r="W430" s="21" t="n">
        <f aca="false">'Info Lega'!$B$4-SUMIFS($M$2:$M$492,$D$2:$D$492,'Info Lega'!$B$28)</f>
        <v>1000</v>
      </c>
      <c r="X430" s="21" t="n">
        <f aca="false">('Info Lega'!$B$5-COUNTIFS($D$2:$D$492,'Info Lega'!$B$28,$B$2:$B$492,"P"))+('Info Lega'!$B$6-COUNTIFS($D$2:$D$492,'Info Lega'!$B$28,$B$2:$B$492,"D"))+('Info Lega'!$B$7-COUNTIFS($D$2:$D$492,'Info Lega'!$B$28,$B$2:$B$492,"C"))+('Info Lega'!$B$8-COUNTIFS($D$2:$D$492,'Info Lega'!$B$28,$B$2:$B$492,"A"))</f>
        <v>25</v>
      </c>
      <c r="Y430" s="21" t="n">
        <f aca="false">X430*'Parametri Modello'!$B$30</f>
        <v>25</v>
      </c>
      <c r="Z430" s="21" t="n">
        <f aca="false">MAX(0,W430-Y430)</f>
        <v>975</v>
      </c>
      <c r="AA430" s="21" t="n">
        <f aca="false">MIN(F430,Z430)</f>
        <v>0</v>
      </c>
      <c r="AB430" s="21"/>
      <c r="AC430" s="21" t="str">
        <f aca="false">IF(AB430="","",IF(AB430&gt;AA430,"PASS",IF(AB430&lt;=AA430*0.85,"BID","ATTENZIONE")))</f>
        <v/>
      </c>
      <c r="AD430" s="31" t="n">
        <f aca="false">IF(I430="","",ROUND(100*(1-EXP(-I430/30)),0))</f>
        <v>3</v>
      </c>
      <c r="AE430" s="7" t="str">
        <f aca="false">IFERROR(INDEX('Stato Asta'!$G$9:$G$12,MATCH($B430,'Stato Asta'!$A$9:$A$12,0)),"")</f>
        <v>🟡 Attesa rischiosa</v>
      </c>
    </row>
    <row r="431" customFormat="false" ht="14.25" hidden="false" customHeight="true" outlineLevel="0" collapsed="false">
      <c r="A431" s="21" t="n">
        <v>7392</v>
      </c>
      <c r="B431" s="21" t="s">
        <v>45</v>
      </c>
      <c r="C431" s="21" t="s">
        <v>534</v>
      </c>
      <c r="E431" s="26" t="str">
        <f aca="false">IF(COUNTIF('Info Strategia'!$D$2:$D$51,$C431)&gt;0,"SI","NO")</f>
        <v>NO</v>
      </c>
      <c r="F431" s="27" t="n">
        <f aca="false">IFERROR(ROUND(($G431+($H431-$G431)*'Info Strategia'!$B$6)*(1+IF($E431="SI",'Parametri Modello'!$B$7*'Info Strategia'!$B$6,0)),0),"")</f>
        <v>0</v>
      </c>
      <c r="G431" s="27" t="n">
        <f aca="false">IFERROR(ROUND(MAX(1,(IF($V431&lt;=INDEX('Parametri Modello'!$C$57:$C$60,MATCH($B431,'Parametri Modello'!$A$57:$A$60,0)),IF(INDEX('Parametri Modello'!$E$57:$E$60,MATCH($B431,'Parametri Modello'!$A$57:$A$60,0))=0,0,($O431/INDEX('Parametri Modello'!$E$57:$E$60,MATCH($B431,'Parametri Modello'!$A$57:$A$60,0)))*(INDEX('Parametri Modello'!$D$57:$D$60,MATCH($B431,'Parametri Modello'!$A$57:$A$60,0))*(INDEX('Parametri Modello'!$B$50:$B$53,MATCH($B431,'Parametri Modello'!$A$50:$A$53,0))*'Parametri Modello'!$B$44))),IF(INDEX('Parametri Modello'!$F$57:$F$60,MATCH($B431,'Parametri Modello'!$A$57:$A$60,0))=0,0,($O431/INDEX('Parametri Modello'!$F$57:$F$60,MATCH($B431,'Parametri Modello'!$A$57:$A$60,0)))*((1-INDEX('Parametri Modello'!$D$57:$D$60,MATCH($B431,'Parametri Modello'!$A$57:$A$60,0)))*(INDEX('Parametri Modello'!$B$50:$B$53,MATCH($B431,'Parametri Modello'!$A$50:$A$53,0))*'Parametri Modello'!$B$44))))*(1+IF(IF($B431="D",'Info Lega'!$B$25,IF($B431="C",'Info Lega'!$B$26,"No"))="Si",'Parametri Modello'!$B$5,0))*(1+MAX(-0.25,MIN(0.25,IF(OR($T431="",$I431="",$I431=0,INDEX('Parametri Modello'!$B$19:$B$22,MATCH($B431,'Parametri Modello'!$A$19:$A$22,0))="",INDEX('Parametri Modello'!$B$19:$B$22,MATCH($B431,'Parametri Modello'!$A$19:$A$22,0))=0),0,(($T431-INDEX('Parametri Modello'!$B$19:$B$22,MATCH($B431,'Parametri Modello'!$A$19:$A$22,0)))/INDEX('Parametri Modello'!$B$19:$B$22,MATCH($B431,'Parametri Modello'!$A$19:$A$22,0)))*'Parametri Modello'!$B$9))))*(1+IF('Parametri Modello'!$B$27="Si",MAX(-'Parametri Modello'!$B$28,MIN('Parametri Modello'!$B$28*1.5,IF(OR(INDEX('Parametri Modello'!$F$32:$F$35,MATCH($B431,'Parametri Modello'!$A$32:$A$35,0))="",INDEX('Parametri Modello'!$F$32:$F$35,MATCH($B431,'Parametri Modello'!$A$32:$A$35,0))=0),0,(1/INDEX('Parametri Modello'!$F$32:$F$35,MATCH($B431,'Parametri Modello'!$A$32:$A$35,0))-1)*'Parametri Modello'!$B$28))),0)))*(1-INDEX('Parametri Modello'!$B$12:$B$15,MATCH($B431,'Parametri Modello'!$A$12:$A$15,0)))),0),"")</f>
        <v>1</v>
      </c>
      <c r="H431" s="27" t="n">
        <f aca="false">IFERROR(ROUND((IF($V431&lt;=INDEX('Parametri Modello'!$C$57:$C$60,MATCH($B431,'Parametri Modello'!$A$57:$A$60,0)),IF(INDEX('Parametri Modello'!$E$57:$E$60,MATCH($B431,'Parametri Modello'!$A$57:$A$60,0))=0,0,($O431/INDEX('Parametri Modello'!$E$57:$E$60,MATCH($B431,'Parametri Modello'!$A$57:$A$60,0)))*(INDEX('Parametri Modello'!$D$57:$D$60,MATCH($B431,'Parametri Modello'!$A$57:$A$60,0))*(INDEX('Parametri Modello'!$B$50:$B$53,MATCH($B431,'Parametri Modello'!$A$50:$A$53,0))*'Parametri Modello'!$B$44))),IF(INDEX('Parametri Modello'!$F$57:$F$60,MATCH($B431,'Parametri Modello'!$A$57:$A$60,0))=0,0,($O431/INDEX('Parametri Modello'!$F$57:$F$60,MATCH($B431,'Parametri Modello'!$A$57:$A$60,0)))*((1-INDEX('Parametri Modello'!$D$57:$D$60,MATCH($B431,'Parametri Modello'!$A$57:$A$60,0)))*(INDEX('Parametri Modello'!$B$50:$B$53,MATCH($B431,'Parametri Modello'!$A$50:$A$53,0))*'Parametri Modello'!$B$44))))*(1+IF(IF($B431="D",'Info Lega'!$B$25,IF($B431="C",'Info Lega'!$B$26,"No"))="Si",'Parametri Modello'!$B$5,0))*(1+MAX(-0.25,MIN(0.25,IF(OR($T431="",$I431="",$I431=0,INDEX('Parametri Modello'!$B$19:$B$22,MATCH($B431,'Parametri Modello'!$A$19:$A$22,0))="",INDEX('Parametri Modello'!$B$19:$B$22,MATCH($B431,'Parametri Modello'!$A$19:$A$22,0))=0),0,(($T431-INDEX('Parametri Modello'!$B$19:$B$22,MATCH($B431,'Parametri Modello'!$A$19:$A$22,0)))/INDEX('Parametri Modello'!$B$19:$B$22,MATCH($B431,'Parametri Modello'!$A$19:$A$22,0)))*'Parametri Modello'!$B$9))))*(1+IF('Parametri Modello'!$B$27="Si",MAX(-'Parametri Modello'!$B$28,MIN('Parametri Modello'!$B$28*1.5,IF(OR(INDEX('Parametri Modello'!$F$32:$F$35,MATCH($B431,'Parametri Modello'!$A$32:$A$35,0))="",INDEX('Parametri Modello'!$F$32:$F$35,MATCH($B431,'Parametri Modello'!$A$32:$A$35,0))=0),0,(1/INDEX('Parametri Modello'!$F$32:$F$35,MATCH($B431,'Parametri Modello'!$A$32:$A$35,0))-1)*'Parametri Modello'!$B$28))),0)))*(1+INDEX('Parametri Modello'!$B$12:$B$15,MATCH($B431,'Parametri Modello'!$A$12:$A$15,0))),0),"")</f>
        <v>0</v>
      </c>
      <c r="I431" s="26" t="str">
        <f aca="false">IFERROR(INDEX('Input Statistiche 2025_26'!$F$3:$F$665,MATCH($A431,'Input Statistiche 2025_26'!$A$3:$A$665,0)),"")</f>
        <v/>
      </c>
      <c r="J431" s="26" t="str">
        <f aca="false">IFERROR(IF($I431="","",MAX(0,38-$I431)),"")</f>
        <v/>
      </c>
      <c r="K431" s="26" t="str">
        <f aca="false">IFERROR(INDEX('Input Statistiche 2025_26'!$I$3:$I$665,MATCH($A431,'Input Statistiche 2025_26'!$A$3:$A$665,0)),"")</f>
        <v/>
      </c>
      <c r="L431" s="26" t="str">
        <f aca="false">IFERROR(INDEX('Input Statistiche 2025_26'!$O$3:$O$665,MATCH($A431,'Input Statistiche 2025_26'!$A$3:$A$665,0)),"")</f>
        <v/>
      </c>
      <c r="M431" s="28"/>
      <c r="N431" s="27" t="n">
        <f aca="false">IFERROR(INDEX('Input Giocatori 2026_27'!$E$3:$E$493,MATCH($A431,'Input Giocatori 2026_27'!$A$3:$A$493,0)),"")</f>
        <v>1</v>
      </c>
      <c r="O431" s="27" t="n">
        <f aca="false">IFERROR(INDEX('Input Giocatori 2026_27'!$G$3:$G$493,MATCH($A431,'Input Giocatori 2026_27'!$A$3:$A$493,0)),"")</f>
        <v>3</v>
      </c>
      <c r="P431" s="26" t="str">
        <f aca="false">IFERROR(IF($O431="","",IF((1-(COUNTIFS($B$2:$B$492,$B431,$O$2:$O$492,"&gt;"&amp;$O431)+1-1)/COUNTIF($B$2:$B$492,$B431))&gt;=0.85,"Top",IF((1-(COUNTIFS($B$2:$B$492,$B431,$O$2:$O$492,"&gt;"&amp;$O431)+1-1)/COUNTIF($B$2:$B$492,$B431))&gt;=0.6,"Buono",IF((1-(COUNTIFS($B$2:$B$492,$B431,$O$2:$O$492,"&gt;"&amp;$O431)+1-1)/COUNTIF($B$2:$B$492,$B431))&gt;=0.3,"Nella Media","Scommessa/Riserva")))),"")</f>
        <v>Scommessa/Riserva</v>
      </c>
      <c r="Q431" s="29" t="n">
        <f aca="false">IF($D431="",COUNTIF($D$2:$D431,""),"")</f>
        <v>430</v>
      </c>
      <c r="R431" s="29" t="str">
        <f aca="false">IF($D431='Info Lega'!$B$28,COUNTIFS($D$2:$D431,'Info Lega'!$B$28),"")</f>
        <v/>
      </c>
      <c r="S431" s="30" t="str">
        <f aca="false">IFERROR(INDEX('Input Statistiche 2025_26'!$G$3:$G$665,MATCH($A431,'Input Statistiche 2025_26'!$A$3:$A$665,0)),"")</f>
        <v/>
      </c>
      <c r="T431" s="30" t="str">
        <f aca="false">IFERROR(INDEX('Input Statistiche 2025_26'!$H$3:$H$665,MATCH($A431,'Input Statistiche 2025_26'!$A$3:$A$665,0)),"")</f>
        <v/>
      </c>
      <c r="U431" s="26" t="str">
        <f aca="false">IF(OR('La Mia Rosa'!$O$12="",$D431&lt;&gt;""),"",IF($F431&lt;='La Mia Rosa'!$O$12*'Parametri Modello'!$B$24,"OK",IF($F431&lt;='La Mia Rosa'!$O$12*'Parametri Modello'!$B$25,"Attenzione","Rischio Alto")))</f>
        <v>OK</v>
      </c>
      <c r="V431" s="26" t="n">
        <f aca="false">IFERROR(COUNTIFS($B$2:$B$492,$B431,$O$2:$O$492,"&gt;"&amp;$O431)+1,"")</f>
        <v>160</v>
      </c>
      <c r="W431" s="21" t="n">
        <f aca="false">'Info Lega'!$B$4-SUMIFS($M$2:$M$492,$D$2:$D$492,'Info Lega'!$B$28)</f>
        <v>1000</v>
      </c>
      <c r="X431" s="21" t="n">
        <f aca="false">('Info Lega'!$B$5-COUNTIFS($D$2:$D$492,'Info Lega'!$B$28,$B$2:$B$492,"P"))+('Info Lega'!$B$6-COUNTIFS($D$2:$D$492,'Info Lega'!$B$28,$B$2:$B$492,"D"))+('Info Lega'!$B$7-COUNTIFS($D$2:$D$492,'Info Lega'!$B$28,$B$2:$B$492,"C"))+('Info Lega'!$B$8-COUNTIFS($D$2:$D$492,'Info Lega'!$B$28,$B$2:$B$492,"A"))</f>
        <v>25</v>
      </c>
      <c r="Y431" s="21" t="n">
        <f aca="false">X431*'Parametri Modello'!$B$30</f>
        <v>25</v>
      </c>
      <c r="Z431" s="21" t="n">
        <f aca="false">MAX(0,W431-Y431)</f>
        <v>975</v>
      </c>
      <c r="AA431" s="21" t="n">
        <f aca="false">MIN(F431,Z431)</f>
        <v>0</v>
      </c>
      <c r="AB431" s="21"/>
      <c r="AC431" s="21" t="str">
        <f aca="false">IF(AB431="","",IF(AB431&gt;AA431,"PASS",IF(AB431&lt;=AA431*0.85,"BID","ATTENZIONE")))</f>
        <v/>
      </c>
      <c r="AD431" s="31" t="str">
        <f aca="false">IF(I431="","",ROUND(100*(1-EXP(-I431/30)),0))</f>
        <v/>
      </c>
      <c r="AE431" s="7" t="str">
        <f aca="false">IFERROR(INDEX('Stato Asta'!$G$9:$G$12,MATCH($B431,'Stato Asta'!$A$9:$A$12,0)),"")</f>
        <v>🟡 Attesa rischiosa</v>
      </c>
    </row>
    <row r="432" customFormat="false" ht="14.25" hidden="false" customHeight="true" outlineLevel="0" collapsed="false">
      <c r="A432" s="21" t="n">
        <v>5485</v>
      </c>
      <c r="B432" s="21" t="s">
        <v>45</v>
      </c>
      <c r="C432" s="21" t="s">
        <v>536</v>
      </c>
      <c r="E432" s="26" t="str">
        <f aca="false">IF(COUNTIF('Info Strategia'!$D$2:$D$51,$C432)&gt;0,"SI","NO")</f>
        <v>NO</v>
      </c>
      <c r="F432" s="27" t="n">
        <f aca="false">IFERROR(ROUND(($G432+($H432-$G432)*'Info Strategia'!$B$6)*(1+IF($E432="SI",'Parametri Modello'!$B$7*'Info Strategia'!$B$6,0)),0),"")</f>
        <v>0</v>
      </c>
      <c r="G432" s="27" t="n">
        <f aca="false">IFERROR(ROUND(MAX(1,(IF($V432&lt;=INDEX('Parametri Modello'!$C$57:$C$60,MATCH($B432,'Parametri Modello'!$A$57:$A$60,0)),IF(INDEX('Parametri Modello'!$E$57:$E$60,MATCH($B432,'Parametri Modello'!$A$57:$A$60,0))=0,0,($O432/INDEX('Parametri Modello'!$E$57:$E$60,MATCH($B432,'Parametri Modello'!$A$57:$A$60,0)))*(INDEX('Parametri Modello'!$D$57:$D$60,MATCH($B432,'Parametri Modello'!$A$57:$A$60,0))*(INDEX('Parametri Modello'!$B$50:$B$53,MATCH($B432,'Parametri Modello'!$A$50:$A$53,0))*'Parametri Modello'!$B$44))),IF(INDEX('Parametri Modello'!$F$57:$F$60,MATCH($B432,'Parametri Modello'!$A$57:$A$60,0))=0,0,($O432/INDEX('Parametri Modello'!$F$57:$F$60,MATCH($B432,'Parametri Modello'!$A$57:$A$60,0)))*((1-INDEX('Parametri Modello'!$D$57:$D$60,MATCH($B432,'Parametri Modello'!$A$57:$A$60,0)))*(INDEX('Parametri Modello'!$B$50:$B$53,MATCH($B432,'Parametri Modello'!$A$50:$A$53,0))*'Parametri Modello'!$B$44))))*(1+IF(IF($B432="D",'Info Lega'!$B$25,IF($B432="C",'Info Lega'!$B$26,"No"))="Si",'Parametri Modello'!$B$5,0))*(1+MAX(-0.25,MIN(0.25,IF(OR($T432="",$I432="",$I432=0,INDEX('Parametri Modello'!$B$19:$B$22,MATCH($B432,'Parametri Modello'!$A$19:$A$22,0))="",INDEX('Parametri Modello'!$B$19:$B$22,MATCH($B432,'Parametri Modello'!$A$19:$A$22,0))=0),0,(($T432-INDEX('Parametri Modello'!$B$19:$B$22,MATCH($B432,'Parametri Modello'!$A$19:$A$22,0)))/INDEX('Parametri Modello'!$B$19:$B$22,MATCH($B432,'Parametri Modello'!$A$19:$A$22,0)))*'Parametri Modello'!$B$9))))*(1+IF('Parametri Modello'!$B$27="Si",MAX(-'Parametri Modello'!$B$28,MIN('Parametri Modello'!$B$28*1.5,IF(OR(INDEX('Parametri Modello'!$F$32:$F$35,MATCH($B432,'Parametri Modello'!$A$32:$A$35,0))="",INDEX('Parametri Modello'!$F$32:$F$35,MATCH($B432,'Parametri Modello'!$A$32:$A$35,0))=0),0,(1/INDEX('Parametri Modello'!$F$32:$F$35,MATCH($B432,'Parametri Modello'!$A$32:$A$35,0))-1)*'Parametri Modello'!$B$28))),0)))*(1-INDEX('Parametri Modello'!$B$12:$B$15,MATCH($B432,'Parametri Modello'!$A$12:$A$15,0)))),0),"")</f>
        <v>1</v>
      </c>
      <c r="H432" s="27" t="n">
        <f aca="false">IFERROR(ROUND((IF($V432&lt;=INDEX('Parametri Modello'!$C$57:$C$60,MATCH($B432,'Parametri Modello'!$A$57:$A$60,0)),IF(INDEX('Parametri Modello'!$E$57:$E$60,MATCH($B432,'Parametri Modello'!$A$57:$A$60,0))=0,0,($O432/INDEX('Parametri Modello'!$E$57:$E$60,MATCH($B432,'Parametri Modello'!$A$57:$A$60,0)))*(INDEX('Parametri Modello'!$D$57:$D$60,MATCH($B432,'Parametri Modello'!$A$57:$A$60,0))*(INDEX('Parametri Modello'!$B$50:$B$53,MATCH($B432,'Parametri Modello'!$A$50:$A$53,0))*'Parametri Modello'!$B$44))),IF(INDEX('Parametri Modello'!$F$57:$F$60,MATCH($B432,'Parametri Modello'!$A$57:$A$60,0))=0,0,($O432/INDEX('Parametri Modello'!$F$57:$F$60,MATCH($B432,'Parametri Modello'!$A$57:$A$60,0)))*((1-INDEX('Parametri Modello'!$D$57:$D$60,MATCH($B432,'Parametri Modello'!$A$57:$A$60,0)))*(INDEX('Parametri Modello'!$B$50:$B$53,MATCH($B432,'Parametri Modello'!$A$50:$A$53,0))*'Parametri Modello'!$B$44))))*(1+IF(IF($B432="D",'Info Lega'!$B$25,IF($B432="C",'Info Lega'!$B$26,"No"))="Si",'Parametri Modello'!$B$5,0))*(1+MAX(-0.25,MIN(0.25,IF(OR($T432="",$I432="",$I432=0,INDEX('Parametri Modello'!$B$19:$B$22,MATCH($B432,'Parametri Modello'!$A$19:$A$22,0))="",INDEX('Parametri Modello'!$B$19:$B$22,MATCH($B432,'Parametri Modello'!$A$19:$A$22,0))=0),0,(($T432-INDEX('Parametri Modello'!$B$19:$B$22,MATCH($B432,'Parametri Modello'!$A$19:$A$22,0)))/INDEX('Parametri Modello'!$B$19:$B$22,MATCH($B432,'Parametri Modello'!$A$19:$A$22,0)))*'Parametri Modello'!$B$9))))*(1+IF('Parametri Modello'!$B$27="Si",MAX(-'Parametri Modello'!$B$28,MIN('Parametri Modello'!$B$28*1.5,IF(OR(INDEX('Parametri Modello'!$F$32:$F$35,MATCH($B432,'Parametri Modello'!$A$32:$A$35,0))="",INDEX('Parametri Modello'!$F$32:$F$35,MATCH($B432,'Parametri Modello'!$A$32:$A$35,0))=0),0,(1/INDEX('Parametri Modello'!$F$32:$F$35,MATCH($B432,'Parametri Modello'!$A$32:$A$35,0))-1)*'Parametri Modello'!$B$28))),0)))*(1+INDEX('Parametri Modello'!$B$12:$B$15,MATCH($B432,'Parametri Modello'!$A$12:$A$15,0))),0),"")</f>
        <v>0</v>
      </c>
      <c r="I432" s="26" t="str">
        <f aca="false">IFERROR(INDEX('Input Statistiche 2025_26'!$F$3:$F$665,MATCH($A432,'Input Statistiche 2025_26'!$A$3:$A$665,0)),"")</f>
        <v/>
      </c>
      <c r="J432" s="26" t="str">
        <f aca="false">IFERROR(IF($I432="","",MAX(0,38-$I432)),"")</f>
        <v/>
      </c>
      <c r="K432" s="26" t="str">
        <f aca="false">IFERROR(INDEX('Input Statistiche 2025_26'!$I$3:$I$665,MATCH($A432,'Input Statistiche 2025_26'!$A$3:$A$665,0)),"")</f>
        <v/>
      </c>
      <c r="L432" s="26" t="str">
        <f aca="false">IFERROR(INDEX('Input Statistiche 2025_26'!$O$3:$O$665,MATCH($A432,'Input Statistiche 2025_26'!$A$3:$A$665,0)),"")</f>
        <v/>
      </c>
      <c r="M432" s="28"/>
      <c r="N432" s="27" t="n">
        <f aca="false">IFERROR(INDEX('Input Giocatori 2026_27'!$E$3:$E$493,MATCH($A432,'Input Giocatori 2026_27'!$A$3:$A$493,0)),"")</f>
        <v>1</v>
      </c>
      <c r="O432" s="27" t="n">
        <f aca="false">IFERROR(INDEX('Input Giocatori 2026_27'!$G$3:$G$493,MATCH($A432,'Input Giocatori 2026_27'!$A$3:$A$493,0)),"")</f>
        <v>3</v>
      </c>
      <c r="P432" s="26" t="str">
        <f aca="false">IFERROR(IF($O432="","",IF((1-(COUNTIFS($B$2:$B$492,$B432,$O$2:$O$492,"&gt;"&amp;$O432)+1-1)/COUNTIF($B$2:$B$492,$B432))&gt;=0.85,"Top",IF((1-(COUNTIFS($B$2:$B$492,$B432,$O$2:$O$492,"&gt;"&amp;$O432)+1-1)/COUNTIF($B$2:$B$492,$B432))&gt;=0.6,"Buono",IF((1-(COUNTIFS($B$2:$B$492,$B432,$O$2:$O$492,"&gt;"&amp;$O432)+1-1)/COUNTIF($B$2:$B$492,$B432))&gt;=0.3,"Nella Media","Scommessa/Riserva")))),"")</f>
        <v>Scommessa/Riserva</v>
      </c>
      <c r="Q432" s="29" t="n">
        <f aca="false">IF($D432="",COUNTIF($D$2:$D432,""),"")</f>
        <v>431</v>
      </c>
      <c r="R432" s="29" t="str">
        <f aca="false">IF($D432='Info Lega'!$B$28,COUNTIFS($D$2:$D432,'Info Lega'!$B$28),"")</f>
        <v/>
      </c>
      <c r="S432" s="30" t="str">
        <f aca="false">IFERROR(INDEX('Input Statistiche 2025_26'!$G$3:$G$665,MATCH($A432,'Input Statistiche 2025_26'!$A$3:$A$665,0)),"")</f>
        <v/>
      </c>
      <c r="T432" s="30" t="str">
        <f aca="false">IFERROR(INDEX('Input Statistiche 2025_26'!$H$3:$H$665,MATCH($A432,'Input Statistiche 2025_26'!$A$3:$A$665,0)),"")</f>
        <v/>
      </c>
      <c r="U432" s="26" t="str">
        <f aca="false">IF(OR('La Mia Rosa'!$O$12="",$D432&lt;&gt;""),"",IF($F432&lt;='La Mia Rosa'!$O$12*'Parametri Modello'!$B$24,"OK",IF($F432&lt;='La Mia Rosa'!$O$12*'Parametri Modello'!$B$25,"Attenzione","Rischio Alto")))</f>
        <v>OK</v>
      </c>
      <c r="V432" s="26" t="n">
        <f aca="false">IFERROR(COUNTIFS($B$2:$B$492,$B432,$O$2:$O$492,"&gt;"&amp;$O432)+1,"")</f>
        <v>160</v>
      </c>
      <c r="W432" s="21" t="n">
        <f aca="false">'Info Lega'!$B$4-SUMIFS($M$2:$M$492,$D$2:$D$492,'Info Lega'!$B$28)</f>
        <v>1000</v>
      </c>
      <c r="X432" s="21" t="n">
        <f aca="false">('Info Lega'!$B$5-COUNTIFS($D$2:$D$492,'Info Lega'!$B$28,$B$2:$B$492,"P"))+('Info Lega'!$B$6-COUNTIFS($D$2:$D$492,'Info Lega'!$B$28,$B$2:$B$492,"D"))+('Info Lega'!$B$7-COUNTIFS($D$2:$D$492,'Info Lega'!$B$28,$B$2:$B$492,"C"))+('Info Lega'!$B$8-COUNTIFS($D$2:$D$492,'Info Lega'!$B$28,$B$2:$B$492,"A"))</f>
        <v>25</v>
      </c>
      <c r="Y432" s="21" t="n">
        <f aca="false">X432*'Parametri Modello'!$B$30</f>
        <v>25</v>
      </c>
      <c r="Z432" s="21" t="n">
        <f aca="false">MAX(0,W432-Y432)</f>
        <v>975</v>
      </c>
      <c r="AA432" s="21" t="n">
        <f aca="false">MIN(F432,Z432)</f>
        <v>0</v>
      </c>
      <c r="AB432" s="21"/>
      <c r="AC432" s="21" t="str">
        <f aca="false">IF(AB432="","",IF(AB432&gt;AA432,"PASS",IF(AB432&lt;=AA432*0.85,"BID","ATTENZIONE")))</f>
        <v/>
      </c>
      <c r="AD432" s="31" t="str">
        <f aca="false">IF(I432="","",ROUND(100*(1-EXP(-I432/30)),0))</f>
        <v/>
      </c>
      <c r="AE432" s="7" t="str">
        <f aca="false">IFERROR(INDEX('Stato Asta'!$G$9:$G$12,MATCH($B432,'Stato Asta'!$A$9:$A$12,0)),"")</f>
        <v>🟡 Attesa rischiosa</v>
      </c>
    </row>
    <row r="433" customFormat="false" ht="14.25" hidden="false" customHeight="true" outlineLevel="0" collapsed="false">
      <c r="A433" s="21" t="n">
        <v>7161</v>
      </c>
      <c r="B433" s="21" t="s">
        <v>46</v>
      </c>
      <c r="C433" s="21" t="s">
        <v>620</v>
      </c>
      <c r="E433" s="26" t="str">
        <f aca="false">IF(COUNTIF('Info Strategia'!$D$2:$D$51,$C433)&gt;0,"SI","NO")</f>
        <v>NO</v>
      </c>
      <c r="F433" s="27" t="n">
        <f aca="false">IFERROR(ROUND(($G433+($H433-$G433)*'Info Strategia'!$B$6)*(1+IF($E433="SI",'Parametri Modello'!$B$7*'Info Strategia'!$B$6,0)),0),"")</f>
        <v>1</v>
      </c>
      <c r="G433" s="27" t="n">
        <f aca="false">IFERROR(ROUND(MAX(1,(IF($V433&lt;=INDEX('Parametri Modello'!$C$57:$C$60,MATCH($B433,'Parametri Modello'!$A$57:$A$60,0)),IF(INDEX('Parametri Modello'!$E$57:$E$60,MATCH($B433,'Parametri Modello'!$A$57:$A$60,0))=0,0,($O433/INDEX('Parametri Modello'!$E$57:$E$60,MATCH($B433,'Parametri Modello'!$A$57:$A$60,0)))*(INDEX('Parametri Modello'!$D$57:$D$60,MATCH($B433,'Parametri Modello'!$A$57:$A$60,0))*(INDEX('Parametri Modello'!$B$50:$B$53,MATCH($B433,'Parametri Modello'!$A$50:$A$53,0))*'Parametri Modello'!$B$44))),IF(INDEX('Parametri Modello'!$F$57:$F$60,MATCH($B433,'Parametri Modello'!$A$57:$A$60,0))=0,0,($O433/INDEX('Parametri Modello'!$F$57:$F$60,MATCH($B433,'Parametri Modello'!$A$57:$A$60,0)))*((1-INDEX('Parametri Modello'!$D$57:$D$60,MATCH($B433,'Parametri Modello'!$A$57:$A$60,0)))*(INDEX('Parametri Modello'!$B$50:$B$53,MATCH($B433,'Parametri Modello'!$A$50:$A$53,0))*'Parametri Modello'!$B$44))))*(1+IF(IF($B433="D",'Info Lega'!$B$25,IF($B433="C",'Info Lega'!$B$26,"No"))="Si",'Parametri Modello'!$B$5,0))*(1+MAX(-0.25,MIN(0.25,IF(OR($T433="",$I433="",$I433=0,INDEX('Parametri Modello'!$B$19:$B$22,MATCH($B433,'Parametri Modello'!$A$19:$A$22,0))="",INDEX('Parametri Modello'!$B$19:$B$22,MATCH($B433,'Parametri Modello'!$A$19:$A$22,0))=0),0,(($T433-INDEX('Parametri Modello'!$B$19:$B$22,MATCH($B433,'Parametri Modello'!$A$19:$A$22,0)))/INDEX('Parametri Modello'!$B$19:$B$22,MATCH($B433,'Parametri Modello'!$A$19:$A$22,0)))*'Parametri Modello'!$B$9))))*(1+IF('Parametri Modello'!$B$27="Si",MAX(-'Parametri Modello'!$B$28,MIN('Parametri Modello'!$B$28*1.5,IF(OR(INDEX('Parametri Modello'!$F$32:$F$35,MATCH($B433,'Parametri Modello'!$A$32:$A$35,0))="",INDEX('Parametri Modello'!$F$32:$F$35,MATCH($B433,'Parametri Modello'!$A$32:$A$35,0))=0),0,(1/INDEX('Parametri Modello'!$F$32:$F$35,MATCH($B433,'Parametri Modello'!$A$32:$A$35,0))-1)*'Parametri Modello'!$B$28))),0)))*(1-INDEX('Parametri Modello'!$B$12:$B$15,MATCH($B433,'Parametri Modello'!$A$12:$A$15,0)))),0),"")</f>
        <v>1</v>
      </c>
      <c r="H433" s="27" t="n">
        <f aca="false">IFERROR(ROUND((IF($V433&lt;=INDEX('Parametri Modello'!$C$57:$C$60,MATCH($B433,'Parametri Modello'!$A$57:$A$60,0)),IF(INDEX('Parametri Modello'!$E$57:$E$60,MATCH($B433,'Parametri Modello'!$A$57:$A$60,0))=0,0,($O433/INDEX('Parametri Modello'!$E$57:$E$60,MATCH($B433,'Parametri Modello'!$A$57:$A$60,0)))*(INDEX('Parametri Modello'!$D$57:$D$60,MATCH($B433,'Parametri Modello'!$A$57:$A$60,0))*(INDEX('Parametri Modello'!$B$50:$B$53,MATCH($B433,'Parametri Modello'!$A$50:$A$53,0))*'Parametri Modello'!$B$44))),IF(INDEX('Parametri Modello'!$F$57:$F$60,MATCH($B433,'Parametri Modello'!$A$57:$A$60,0))=0,0,($O433/INDEX('Parametri Modello'!$F$57:$F$60,MATCH($B433,'Parametri Modello'!$A$57:$A$60,0)))*((1-INDEX('Parametri Modello'!$D$57:$D$60,MATCH($B433,'Parametri Modello'!$A$57:$A$60,0)))*(INDEX('Parametri Modello'!$B$50:$B$53,MATCH($B433,'Parametri Modello'!$A$50:$A$53,0))*'Parametri Modello'!$B$44))))*(1+IF(IF($B433="D",'Info Lega'!$B$25,IF($B433="C",'Info Lega'!$B$26,"No"))="Si",'Parametri Modello'!$B$5,0))*(1+MAX(-0.25,MIN(0.25,IF(OR($T433="",$I433="",$I433=0,INDEX('Parametri Modello'!$B$19:$B$22,MATCH($B433,'Parametri Modello'!$A$19:$A$22,0))="",INDEX('Parametri Modello'!$B$19:$B$22,MATCH($B433,'Parametri Modello'!$A$19:$A$22,0))=0),0,(($T433-INDEX('Parametri Modello'!$B$19:$B$22,MATCH($B433,'Parametri Modello'!$A$19:$A$22,0)))/INDEX('Parametri Modello'!$B$19:$B$22,MATCH($B433,'Parametri Modello'!$A$19:$A$22,0)))*'Parametri Modello'!$B$9))))*(1+IF('Parametri Modello'!$B$27="Si",MAX(-'Parametri Modello'!$B$28,MIN('Parametri Modello'!$B$28*1.5,IF(OR(INDEX('Parametri Modello'!$F$32:$F$35,MATCH($B433,'Parametri Modello'!$A$32:$A$35,0))="",INDEX('Parametri Modello'!$F$32:$F$35,MATCH($B433,'Parametri Modello'!$A$32:$A$35,0))=0),0,(1/INDEX('Parametri Modello'!$F$32:$F$35,MATCH($B433,'Parametri Modello'!$A$32:$A$35,0))-1)*'Parametri Modello'!$B$28))),0)))*(1+INDEX('Parametri Modello'!$B$12:$B$15,MATCH($B433,'Parametri Modello'!$A$12:$A$15,0))),0),"")</f>
        <v>1</v>
      </c>
      <c r="I433" s="26" t="n">
        <f aca="false">IFERROR(INDEX('Input Statistiche 2025_26'!$F$3:$F$665,MATCH($A433,'Input Statistiche 2025_26'!$A$3:$A$665,0)),"")</f>
        <v>12</v>
      </c>
      <c r="J433" s="26" t="n">
        <f aca="false">IFERROR(IF($I433="","",MAX(0,38-$I433)),"")</f>
        <v>26</v>
      </c>
      <c r="K433" s="26" t="n">
        <f aca="false">IFERROR(INDEX('Input Statistiche 2025_26'!$I$3:$I$665,MATCH($A433,'Input Statistiche 2025_26'!$A$3:$A$665,0)),"")</f>
        <v>0</v>
      </c>
      <c r="L433" s="26" t="n">
        <f aca="false">IFERROR(INDEX('Input Statistiche 2025_26'!$O$3:$O$665,MATCH($A433,'Input Statistiche 2025_26'!$A$3:$A$665,0)),"")</f>
        <v>1</v>
      </c>
      <c r="M433" s="28"/>
      <c r="N433" s="27" t="n">
        <f aca="false">IFERROR(INDEX('Input Giocatori 2026_27'!$E$3:$E$493,MATCH($A433,'Input Giocatori 2026_27'!$A$3:$A$493,0)),"")</f>
        <v>1</v>
      </c>
      <c r="O433" s="27" t="n">
        <f aca="false">IFERROR(INDEX('Input Giocatori 2026_27'!$G$3:$G$493,MATCH($A433,'Input Giocatori 2026_27'!$A$3:$A$493,0)),"")</f>
        <v>3</v>
      </c>
      <c r="P433" s="26" t="str">
        <f aca="false">IFERROR(IF($O433="","",IF((1-(COUNTIFS($B$2:$B$492,$B433,$O$2:$O$492,"&gt;"&amp;$O433)+1-1)/COUNTIF($B$2:$B$492,$B433))&gt;=0.85,"Top",IF((1-(COUNTIFS($B$2:$B$492,$B433,$O$2:$O$492,"&gt;"&amp;$O433)+1-1)/COUNTIF($B$2:$B$492,$B433))&gt;=0.6,"Buono",IF((1-(COUNTIFS($B$2:$B$492,$B433,$O$2:$O$492,"&gt;"&amp;$O433)+1-1)/COUNTIF($B$2:$B$492,$B433))&gt;=0.3,"Nella Media","Scommessa/Riserva")))),"")</f>
        <v>Scommessa/Riserva</v>
      </c>
      <c r="Q433" s="29" t="n">
        <f aca="false">IF($D433="",COUNTIF($D$2:$D433,""),"")</f>
        <v>432</v>
      </c>
      <c r="R433" s="29" t="str">
        <f aca="false">IF($D433='Info Lega'!$B$28,COUNTIFS($D$2:$D433,'Info Lega'!$B$28),"")</f>
        <v/>
      </c>
      <c r="S433" s="30" t="n">
        <f aca="false">IFERROR(INDEX('Input Statistiche 2025_26'!$G$3:$G$665,MATCH($A433,'Input Statistiche 2025_26'!$A$3:$A$665,0)),"")</f>
        <v>5.75</v>
      </c>
      <c r="T433" s="30" t="n">
        <f aca="false">IFERROR(INDEX('Input Statistiche 2025_26'!$H$3:$H$665,MATCH($A433,'Input Statistiche 2025_26'!$A$3:$A$665,0)),"")</f>
        <v>5.83</v>
      </c>
      <c r="U433" s="26" t="str">
        <f aca="false">IF(OR('La Mia Rosa'!$O$12="",$D433&lt;&gt;""),"",IF($F433&lt;='La Mia Rosa'!$O$12*'Parametri Modello'!$B$24,"OK",IF($F433&lt;='La Mia Rosa'!$O$12*'Parametri Modello'!$B$25,"Attenzione","Rischio Alto")))</f>
        <v>OK</v>
      </c>
      <c r="V433" s="26" t="n">
        <f aca="false">IFERROR(COUNTIFS($B$2:$B$492,$B433,$O$2:$O$492,"&gt;"&amp;$O433)+1,"")</f>
        <v>79</v>
      </c>
      <c r="W433" s="21" t="n">
        <f aca="false">'Info Lega'!$B$4-SUMIFS($M$2:$M$492,$D$2:$D$492,'Info Lega'!$B$28)</f>
        <v>1000</v>
      </c>
      <c r="X433" s="21" t="n">
        <f aca="false">('Info Lega'!$B$5-COUNTIFS($D$2:$D$492,'Info Lega'!$B$28,$B$2:$B$492,"P"))+('Info Lega'!$B$6-COUNTIFS($D$2:$D$492,'Info Lega'!$B$28,$B$2:$B$492,"D"))+('Info Lega'!$B$7-COUNTIFS($D$2:$D$492,'Info Lega'!$B$28,$B$2:$B$492,"C"))+('Info Lega'!$B$8-COUNTIFS($D$2:$D$492,'Info Lega'!$B$28,$B$2:$B$492,"A"))</f>
        <v>25</v>
      </c>
      <c r="Y433" s="21" t="n">
        <f aca="false">X433*'Parametri Modello'!$B$30</f>
        <v>25</v>
      </c>
      <c r="Z433" s="21" t="n">
        <f aca="false">MAX(0,W433-Y433)</f>
        <v>975</v>
      </c>
      <c r="AA433" s="21" t="n">
        <f aca="false">MIN(F433,Z433)</f>
        <v>1</v>
      </c>
      <c r="AB433" s="21"/>
      <c r="AC433" s="21" t="str">
        <f aca="false">IF(AB433="","",IF(AB433&gt;AA433,"PASS",IF(AB433&lt;=AA433*0.85,"BID","ATTENZIONE")))</f>
        <v/>
      </c>
      <c r="AD433" s="31" t="n">
        <f aca="false">IF(I433="","",ROUND(100*(1-EXP(-I433/30)),0))</f>
        <v>33</v>
      </c>
      <c r="AE433" s="7" t="str">
        <f aca="false">IFERROR(INDEX('Stato Asta'!$G$9:$G$12,MATCH($B433,'Stato Asta'!$A$9:$A$12,0)),"")</f>
        <v>🔴 Non aspettare</v>
      </c>
    </row>
    <row r="434" customFormat="false" ht="14.25" hidden="false" customHeight="true" outlineLevel="0" collapsed="false">
      <c r="A434" s="21" t="n">
        <v>6245</v>
      </c>
      <c r="B434" s="21" t="s">
        <v>44</v>
      </c>
      <c r="C434" s="21" t="s">
        <v>347</v>
      </c>
      <c r="E434" s="26" t="str">
        <f aca="false">IF(COUNTIF('Info Strategia'!$D$2:$D$51,$C434)&gt;0,"SI","NO")</f>
        <v>NO</v>
      </c>
      <c r="F434" s="27" t="n">
        <f aca="false">IFERROR(ROUND(($G434+($H434-$G434)*'Info Strategia'!$B$6)*(1+IF($E434="SI",'Parametri Modello'!$B$7*'Info Strategia'!$B$6,0)),0),"")</f>
        <v>0</v>
      </c>
      <c r="G434" s="27" t="n">
        <f aca="false">IFERROR(ROUND(MAX(1,(IF($V434&lt;=INDEX('Parametri Modello'!$C$57:$C$60,MATCH($B434,'Parametri Modello'!$A$57:$A$60,0)),IF(INDEX('Parametri Modello'!$E$57:$E$60,MATCH($B434,'Parametri Modello'!$A$57:$A$60,0))=0,0,($O434/INDEX('Parametri Modello'!$E$57:$E$60,MATCH($B434,'Parametri Modello'!$A$57:$A$60,0)))*(INDEX('Parametri Modello'!$D$57:$D$60,MATCH($B434,'Parametri Modello'!$A$57:$A$60,0))*(INDEX('Parametri Modello'!$B$50:$B$53,MATCH($B434,'Parametri Modello'!$A$50:$A$53,0))*'Parametri Modello'!$B$44))),IF(INDEX('Parametri Modello'!$F$57:$F$60,MATCH($B434,'Parametri Modello'!$A$57:$A$60,0))=0,0,($O434/INDEX('Parametri Modello'!$F$57:$F$60,MATCH($B434,'Parametri Modello'!$A$57:$A$60,0)))*((1-INDEX('Parametri Modello'!$D$57:$D$60,MATCH($B434,'Parametri Modello'!$A$57:$A$60,0)))*(INDEX('Parametri Modello'!$B$50:$B$53,MATCH($B434,'Parametri Modello'!$A$50:$A$53,0))*'Parametri Modello'!$B$44))))*(1+IF(IF($B434="D",'Info Lega'!$B$25,IF($B434="C",'Info Lega'!$B$26,"No"))="Si",'Parametri Modello'!$B$5,0))*(1+MAX(-0.25,MIN(0.25,IF(OR($T434="",$I434="",$I434=0,INDEX('Parametri Modello'!$B$19:$B$22,MATCH($B434,'Parametri Modello'!$A$19:$A$22,0))="",INDEX('Parametri Modello'!$B$19:$B$22,MATCH($B434,'Parametri Modello'!$A$19:$A$22,0))=0),0,(($T434-INDEX('Parametri Modello'!$B$19:$B$22,MATCH($B434,'Parametri Modello'!$A$19:$A$22,0)))/INDEX('Parametri Modello'!$B$19:$B$22,MATCH($B434,'Parametri Modello'!$A$19:$A$22,0)))*'Parametri Modello'!$B$9))))*(1+IF('Parametri Modello'!$B$27="Si",MAX(-'Parametri Modello'!$B$28,MIN('Parametri Modello'!$B$28*1.5,IF(OR(INDEX('Parametri Modello'!$F$32:$F$35,MATCH($B434,'Parametri Modello'!$A$32:$A$35,0))="",INDEX('Parametri Modello'!$F$32:$F$35,MATCH($B434,'Parametri Modello'!$A$32:$A$35,0))=0),0,(1/INDEX('Parametri Modello'!$F$32:$F$35,MATCH($B434,'Parametri Modello'!$A$32:$A$35,0))-1)*'Parametri Modello'!$B$28))),0)))*(1-INDEX('Parametri Modello'!$B$12:$B$15,MATCH($B434,'Parametri Modello'!$A$12:$A$15,0)))),0),"")</f>
        <v>1</v>
      </c>
      <c r="H434" s="27" t="n">
        <f aca="false">IFERROR(ROUND((IF($V434&lt;=INDEX('Parametri Modello'!$C$57:$C$60,MATCH($B434,'Parametri Modello'!$A$57:$A$60,0)),IF(INDEX('Parametri Modello'!$E$57:$E$60,MATCH($B434,'Parametri Modello'!$A$57:$A$60,0))=0,0,($O434/INDEX('Parametri Modello'!$E$57:$E$60,MATCH($B434,'Parametri Modello'!$A$57:$A$60,0)))*(INDEX('Parametri Modello'!$D$57:$D$60,MATCH($B434,'Parametri Modello'!$A$57:$A$60,0))*(INDEX('Parametri Modello'!$B$50:$B$53,MATCH($B434,'Parametri Modello'!$A$50:$A$53,0))*'Parametri Modello'!$B$44))),IF(INDEX('Parametri Modello'!$F$57:$F$60,MATCH($B434,'Parametri Modello'!$A$57:$A$60,0))=0,0,($O434/INDEX('Parametri Modello'!$F$57:$F$60,MATCH($B434,'Parametri Modello'!$A$57:$A$60,0)))*((1-INDEX('Parametri Modello'!$D$57:$D$60,MATCH($B434,'Parametri Modello'!$A$57:$A$60,0)))*(INDEX('Parametri Modello'!$B$50:$B$53,MATCH($B434,'Parametri Modello'!$A$50:$A$53,0))*'Parametri Modello'!$B$44))))*(1+IF(IF($B434="D",'Info Lega'!$B$25,IF($B434="C",'Info Lega'!$B$26,"No"))="Si",'Parametri Modello'!$B$5,0))*(1+MAX(-0.25,MIN(0.25,IF(OR($T434="",$I434="",$I434=0,INDEX('Parametri Modello'!$B$19:$B$22,MATCH($B434,'Parametri Modello'!$A$19:$A$22,0))="",INDEX('Parametri Modello'!$B$19:$B$22,MATCH($B434,'Parametri Modello'!$A$19:$A$22,0))=0),0,(($T434-INDEX('Parametri Modello'!$B$19:$B$22,MATCH($B434,'Parametri Modello'!$A$19:$A$22,0)))/INDEX('Parametri Modello'!$B$19:$B$22,MATCH($B434,'Parametri Modello'!$A$19:$A$22,0)))*'Parametri Modello'!$B$9))))*(1+IF('Parametri Modello'!$B$27="Si",MAX(-'Parametri Modello'!$B$28,MIN('Parametri Modello'!$B$28*1.5,IF(OR(INDEX('Parametri Modello'!$F$32:$F$35,MATCH($B434,'Parametri Modello'!$A$32:$A$35,0))="",INDEX('Parametri Modello'!$F$32:$F$35,MATCH($B434,'Parametri Modello'!$A$32:$A$35,0))=0),0,(1/INDEX('Parametri Modello'!$F$32:$F$35,MATCH($B434,'Parametri Modello'!$A$32:$A$35,0))-1)*'Parametri Modello'!$B$28))),0)))*(1+INDEX('Parametri Modello'!$B$12:$B$15,MATCH($B434,'Parametri Modello'!$A$12:$A$15,0))),0),"")</f>
        <v>0</v>
      </c>
      <c r="I434" s="26" t="n">
        <f aca="false">IFERROR(INDEX('Input Statistiche 2025_26'!$F$3:$F$665,MATCH($A434,'Input Statistiche 2025_26'!$A$3:$A$665,0)),"")</f>
        <v>0</v>
      </c>
      <c r="J434" s="26" t="n">
        <f aca="false">IFERROR(IF($I434="","",MAX(0,38-$I434)),"")</f>
        <v>38</v>
      </c>
      <c r="K434" s="26" t="n">
        <f aca="false">IFERROR(INDEX('Input Statistiche 2025_26'!$I$3:$I$665,MATCH($A434,'Input Statistiche 2025_26'!$A$3:$A$665,0)),"")</f>
        <v>0</v>
      </c>
      <c r="L434" s="26" t="n">
        <f aca="false">IFERROR(INDEX('Input Statistiche 2025_26'!$O$3:$O$665,MATCH($A434,'Input Statistiche 2025_26'!$A$3:$A$665,0)),"")</f>
        <v>0</v>
      </c>
      <c r="M434" s="28"/>
      <c r="N434" s="27" t="n">
        <f aca="false">IFERROR(INDEX('Input Giocatori 2026_27'!$E$3:$E$493,MATCH($A434,'Input Giocatori 2026_27'!$A$3:$A$493,0)),"")</f>
        <v>1</v>
      </c>
      <c r="O434" s="27" t="n">
        <f aca="false">IFERROR(INDEX('Input Giocatori 2026_27'!$G$3:$G$493,MATCH($A434,'Input Giocatori 2026_27'!$A$3:$A$493,0)),"")</f>
        <v>2</v>
      </c>
      <c r="P434" s="26" t="str">
        <f aca="false">IFERROR(IF($O434="","",IF((1-(COUNTIFS($B$2:$B$492,$B434,$O$2:$O$492,"&gt;"&amp;$O434)+1-1)/COUNTIF($B$2:$B$492,$B434))&gt;=0.85,"Top",IF((1-(COUNTIFS($B$2:$B$492,$B434,$O$2:$O$492,"&gt;"&amp;$O434)+1-1)/COUNTIF($B$2:$B$492,$B434))&gt;=0.6,"Buono",IF((1-(COUNTIFS($B$2:$B$492,$B434,$O$2:$O$492,"&gt;"&amp;$O434)+1-1)/COUNTIF($B$2:$B$492,$B434))&gt;=0.3,"Nella Media","Scommessa/Riserva")))),"")</f>
        <v>Scommessa/Riserva</v>
      </c>
      <c r="Q434" s="29" t="n">
        <f aca="false">IF($D434="",COUNTIF($D$2:$D434,""),"")</f>
        <v>433</v>
      </c>
      <c r="R434" s="29" t="str">
        <f aca="false">IF($D434='Info Lega'!$B$28,COUNTIFS($D$2:$D434,'Info Lega'!$B$28),"")</f>
        <v/>
      </c>
      <c r="S434" s="30" t="n">
        <f aca="false">IFERROR(INDEX('Input Statistiche 2025_26'!$G$3:$G$665,MATCH($A434,'Input Statistiche 2025_26'!$A$3:$A$665,0)),"")</f>
        <v>0</v>
      </c>
      <c r="T434" s="30" t="n">
        <f aca="false">IFERROR(INDEX('Input Statistiche 2025_26'!$H$3:$H$665,MATCH($A434,'Input Statistiche 2025_26'!$A$3:$A$665,0)),"")</f>
        <v>0</v>
      </c>
      <c r="U434" s="26" t="str">
        <f aca="false">IF(OR('La Mia Rosa'!$O$12="",$D434&lt;&gt;""),"",IF($F434&lt;='La Mia Rosa'!$O$12*'Parametri Modello'!$B$24,"OK",IF($F434&lt;='La Mia Rosa'!$O$12*'Parametri Modello'!$B$25,"Attenzione","Rischio Alto")))</f>
        <v>OK</v>
      </c>
      <c r="V434" s="26" t="n">
        <f aca="false">IFERROR(COUNTIFS($B$2:$B$492,$B434,$O$2:$O$492,"&gt;"&amp;$O434)+1,"")</f>
        <v>163</v>
      </c>
      <c r="W434" s="21" t="n">
        <f aca="false">'Info Lega'!$B$4-SUMIFS($M$2:$M$492,$D$2:$D$492,'Info Lega'!$B$28)</f>
        <v>1000</v>
      </c>
      <c r="X434" s="21" t="n">
        <f aca="false">('Info Lega'!$B$5-COUNTIFS($D$2:$D$492,'Info Lega'!$B$28,$B$2:$B$492,"P"))+('Info Lega'!$B$6-COUNTIFS($D$2:$D$492,'Info Lega'!$B$28,$B$2:$B$492,"D"))+('Info Lega'!$B$7-COUNTIFS($D$2:$D$492,'Info Lega'!$B$28,$B$2:$B$492,"C"))+('Info Lega'!$B$8-COUNTIFS($D$2:$D$492,'Info Lega'!$B$28,$B$2:$B$492,"A"))</f>
        <v>25</v>
      </c>
      <c r="Y434" s="21" t="n">
        <f aca="false">X434*'Parametri Modello'!$B$30</f>
        <v>25</v>
      </c>
      <c r="Z434" s="21" t="n">
        <f aca="false">MAX(0,W434-Y434)</f>
        <v>975</v>
      </c>
      <c r="AA434" s="21" t="n">
        <f aca="false">MIN(F434,Z434)</f>
        <v>0</v>
      </c>
      <c r="AB434" s="21"/>
      <c r="AC434" s="21" t="str">
        <f aca="false">IF(AB434="","",IF(AB434&gt;AA434,"PASS",IF(AB434&lt;=AA434*0.85,"BID","ATTENZIONE")))</f>
        <v/>
      </c>
      <c r="AD434" s="31" t="n">
        <f aca="false">IF(I434="","",ROUND(100*(1-EXP(-I434/30)),0))</f>
        <v>0</v>
      </c>
      <c r="AE434" s="7" t="str">
        <f aca="false">IFERROR(INDEX('Stato Asta'!$G$9:$G$12,MATCH($B434,'Stato Asta'!$A$9:$A$12,0)),"")</f>
        <v>🟡 Attesa rischiosa</v>
      </c>
    </row>
    <row r="435" customFormat="false" ht="14.25" hidden="false" customHeight="true" outlineLevel="0" collapsed="false">
      <c r="A435" s="21" t="n">
        <v>6244</v>
      </c>
      <c r="B435" s="21" t="s">
        <v>44</v>
      </c>
      <c r="C435" s="21" t="s">
        <v>348</v>
      </c>
      <c r="E435" s="26" t="str">
        <f aca="false">IF(COUNTIF('Info Strategia'!$D$2:$D$51,$C435)&gt;0,"SI","NO")</f>
        <v>NO</v>
      </c>
      <c r="F435" s="27" t="n">
        <f aca="false">IFERROR(ROUND(($G435+($H435-$G435)*'Info Strategia'!$B$6)*(1+IF($E435="SI",'Parametri Modello'!$B$7*'Info Strategia'!$B$6,0)),0),"")</f>
        <v>0</v>
      </c>
      <c r="G435" s="27" t="n">
        <f aca="false">IFERROR(ROUND(MAX(1,(IF($V435&lt;=INDEX('Parametri Modello'!$C$57:$C$60,MATCH($B435,'Parametri Modello'!$A$57:$A$60,0)),IF(INDEX('Parametri Modello'!$E$57:$E$60,MATCH($B435,'Parametri Modello'!$A$57:$A$60,0))=0,0,($O435/INDEX('Parametri Modello'!$E$57:$E$60,MATCH($B435,'Parametri Modello'!$A$57:$A$60,0)))*(INDEX('Parametri Modello'!$D$57:$D$60,MATCH($B435,'Parametri Modello'!$A$57:$A$60,0))*(INDEX('Parametri Modello'!$B$50:$B$53,MATCH($B435,'Parametri Modello'!$A$50:$A$53,0))*'Parametri Modello'!$B$44))),IF(INDEX('Parametri Modello'!$F$57:$F$60,MATCH($B435,'Parametri Modello'!$A$57:$A$60,0))=0,0,($O435/INDEX('Parametri Modello'!$F$57:$F$60,MATCH($B435,'Parametri Modello'!$A$57:$A$60,0)))*((1-INDEX('Parametri Modello'!$D$57:$D$60,MATCH($B435,'Parametri Modello'!$A$57:$A$60,0)))*(INDEX('Parametri Modello'!$B$50:$B$53,MATCH($B435,'Parametri Modello'!$A$50:$A$53,0))*'Parametri Modello'!$B$44))))*(1+IF(IF($B435="D",'Info Lega'!$B$25,IF($B435="C",'Info Lega'!$B$26,"No"))="Si",'Parametri Modello'!$B$5,0))*(1+MAX(-0.25,MIN(0.25,IF(OR($T435="",$I435="",$I435=0,INDEX('Parametri Modello'!$B$19:$B$22,MATCH($B435,'Parametri Modello'!$A$19:$A$22,0))="",INDEX('Parametri Modello'!$B$19:$B$22,MATCH($B435,'Parametri Modello'!$A$19:$A$22,0))=0),0,(($T435-INDEX('Parametri Modello'!$B$19:$B$22,MATCH($B435,'Parametri Modello'!$A$19:$A$22,0)))/INDEX('Parametri Modello'!$B$19:$B$22,MATCH($B435,'Parametri Modello'!$A$19:$A$22,0)))*'Parametri Modello'!$B$9))))*(1+IF('Parametri Modello'!$B$27="Si",MAX(-'Parametri Modello'!$B$28,MIN('Parametri Modello'!$B$28*1.5,IF(OR(INDEX('Parametri Modello'!$F$32:$F$35,MATCH($B435,'Parametri Modello'!$A$32:$A$35,0))="",INDEX('Parametri Modello'!$F$32:$F$35,MATCH($B435,'Parametri Modello'!$A$32:$A$35,0))=0),0,(1/INDEX('Parametri Modello'!$F$32:$F$35,MATCH($B435,'Parametri Modello'!$A$32:$A$35,0))-1)*'Parametri Modello'!$B$28))),0)))*(1-INDEX('Parametri Modello'!$B$12:$B$15,MATCH($B435,'Parametri Modello'!$A$12:$A$15,0)))),0),"")</f>
        <v>1</v>
      </c>
      <c r="H435" s="27" t="n">
        <f aca="false">IFERROR(ROUND((IF($V435&lt;=INDEX('Parametri Modello'!$C$57:$C$60,MATCH($B435,'Parametri Modello'!$A$57:$A$60,0)),IF(INDEX('Parametri Modello'!$E$57:$E$60,MATCH($B435,'Parametri Modello'!$A$57:$A$60,0))=0,0,($O435/INDEX('Parametri Modello'!$E$57:$E$60,MATCH($B435,'Parametri Modello'!$A$57:$A$60,0)))*(INDEX('Parametri Modello'!$D$57:$D$60,MATCH($B435,'Parametri Modello'!$A$57:$A$60,0))*(INDEX('Parametri Modello'!$B$50:$B$53,MATCH($B435,'Parametri Modello'!$A$50:$A$53,0))*'Parametri Modello'!$B$44))),IF(INDEX('Parametri Modello'!$F$57:$F$60,MATCH($B435,'Parametri Modello'!$A$57:$A$60,0))=0,0,($O435/INDEX('Parametri Modello'!$F$57:$F$60,MATCH($B435,'Parametri Modello'!$A$57:$A$60,0)))*((1-INDEX('Parametri Modello'!$D$57:$D$60,MATCH($B435,'Parametri Modello'!$A$57:$A$60,0)))*(INDEX('Parametri Modello'!$B$50:$B$53,MATCH($B435,'Parametri Modello'!$A$50:$A$53,0))*'Parametri Modello'!$B$44))))*(1+IF(IF($B435="D",'Info Lega'!$B$25,IF($B435="C",'Info Lega'!$B$26,"No"))="Si",'Parametri Modello'!$B$5,0))*(1+MAX(-0.25,MIN(0.25,IF(OR($T435="",$I435="",$I435=0,INDEX('Parametri Modello'!$B$19:$B$22,MATCH($B435,'Parametri Modello'!$A$19:$A$22,0))="",INDEX('Parametri Modello'!$B$19:$B$22,MATCH($B435,'Parametri Modello'!$A$19:$A$22,0))=0),0,(($T435-INDEX('Parametri Modello'!$B$19:$B$22,MATCH($B435,'Parametri Modello'!$A$19:$A$22,0)))/INDEX('Parametri Modello'!$B$19:$B$22,MATCH($B435,'Parametri Modello'!$A$19:$A$22,0)))*'Parametri Modello'!$B$9))))*(1+IF('Parametri Modello'!$B$27="Si",MAX(-'Parametri Modello'!$B$28,MIN('Parametri Modello'!$B$28*1.5,IF(OR(INDEX('Parametri Modello'!$F$32:$F$35,MATCH($B435,'Parametri Modello'!$A$32:$A$35,0))="",INDEX('Parametri Modello'!$F$32:$F$35,MATCH($B435,'Parametri Modello'!$A$32:$A$35,0))=0),0,(1/INDEX('Parametri Modello'!$F$32:$F$35,MATCH($B435,'Parametri Modello'!$A$32:$A$35,0))-1)*'Parametri Modello'!$B$28))),0)))*(1+INDEX('Parametri Modello'!$B$12:$B$15,MATCH($B435,'Parametri Modello'!$A$12:$A$15,0))),0),"")</f>
        <v>0</v>
      </c>
      <c r="I435" s="26" t="str">
        <f aca="false">IFERROR(INDEX('Input Statistiche 2025_26'!$F$3:$F$665,MATCH($A435,'Input Statistiche 2025_26'!$A$3:$A$665,0)),"")</f>
        <v/>
      </c>
      <c r="J435" s="26" t="str">
        <f aca="false">IFERROR(IF($I435="","",MAX(0,38-$I435)),"")</f>
        <v/>
      </c>
      <c r="K435" s="26" t="str">
        <f aca="false">IFERROR(INDEX('Input Statistiche 2025_26'!$I$3:$I$665,MATCH($A435,'Input Statistiche 2025_26'!$A$3:$A$665,0)),"")</f>
        <v/>
      </c>
      <c r="L435" s="26" t="str">
        <f aca="false">IFERROR(INDEX('Input Statistiche 2025_26'!$O$3:$O$665,MATCH($A435,'Input Statistiche 2025_26'!$A$3:$A$665,0)),"")</f>
        <v/>
      </c>
      <c r="M435" s="28"/>
      <c r="N435" s="27" t="n">
        <f aca="false">IFERROR(INDEX('Input Giocatori 2026_27'!$E$3:$E$493,MATCH($A435,'Input Giocatori 2026_27'!$A$3:$A$493,0)),"")</f>
        <v>1</v>
      </c>
      <c r="O435" s="27" t="n">
        <f aca="false">IFERROR(INDEX('Input Giocatori 2026_27'!$G$3:$G$493,MATCH($A435,'Input Giocatori 2026_27'!$A$3:$A$493,0)),"")</f>
        <v>2</v>
      </c>
      <c r="P435" s="26" t="str">
        <f aca="false">IFERROR(IF($O435="","",IF((1-(COUNTIFS($B$2:$B$492,$B435,$O$2:$O$492,"&gt;"&amp;$O435)+1-1)/COUNTIF($B$2:$B$492,$B435))&gt;=0.85,"Top",IF((1-(COUNTIFS($B$2:$B$492,$B435,$O$2:$O$492,"&gt;"&amp;$O435)+1-1)/COUNTIF($B$2:$B$492,$B435))&gt;=0.6,"Buono",IF((1-(COUNTIFS($B$2:$B$492,$B435,$O$2:$O$492,"&gt;"&amp;$O435)+1-1)/COUNTIF($B$2:$B$492,$B435))&gt;=0.3,"Nella Media","Scommessa/Riserva")))),"")</f>
        <v>Scommessa/Riserva</v>
      </c>
      <c r="Q435" s="29" t="n">
        <f aca="false">IF($D435="",COUNTIF($D$2:$D435,""),"")</f>
        <v>434</v>
      </c>
      <c r="R435" s="29" t="str">
        <f aca="false">IF($D435='Info Lega'!$B$28,COUNTIFS($D$2:$D435,'Info Lega'!$B$28),"")</f>
        <v/>
      </c>
      <c r="S435" s="30" t="str">
        <f aca="false">IFERROR(INDEX('Input Statistiche 2025_26'!$G$3:$G$665,MATCH($A435,'Input Statistiche 2025_26'!$A$3:$A$665,0)),"")</f>
        <v/>
      </c>
      <c r="T435" s="30" t="str">
        <f aca="false">IFERROR(INDEX('Input Statistiche 2025_26'!$H$3:$H$665,MATCH($A435,'Input Statistiche 2025_26'!$A$3:$A$665,0)),"")</f>
        <v/>
      </c>
      <c r="U435" s="26" t="str">
        <f aca="false">IF(OR('La Mia Rosa'!$O$12="",$D435&lt;&gt;""),"",IF($F435&lt;='La Mia Rosa'!$O$12*'Parametri Modello'!$B$24,"OK",IF($F435&lt;='La Mia Rosa'!$O$12*'Parametri Modello'!$B$25,"Attenzione","Rischio Alto")))</f>
        <v>OK</v>
      </c>
      <c r="V435" s="26" t="n">
        <f aca="false">IFERROR(COUNTIFS($B$2:$B$492,$B435,$O$2:$O$492,"&gt;"&amp;$O435)+1,"")</f>
        <v>163</v>
      </c>
      <c r="W435" s="21" t="n">
        <f aca="false">'Info Lega'!$B$4-SUMIFS($M$2:$M$492,$D$2:$D$492,'Info Lega'!$B$28)</f>
        <v>1000</v>
      </c>
      <c r="X435" s="21" t="n">
        <f aca="false">('Info Lega'!$B$5-COUNTIFS($D$2:$D$492,'Info Lega'!$B$28,$B$2:$B$492,"P"))+('Info Lega'!$B$6-COUNTIFS($D$2:$D$492,'Info Lega'!$B$28,$B$2:$B$492,"D"))+('Info Lega'!$B$7-COUNTIFS($D$2:$D$492,'Info Lega'!$B$28,$B$2:$B$492,"C"))+('Info Lega'!$B$8-COUNTIFS($D$2:$D$492,'Info Lega'!$B$28,$B$2:$B$492,"A"))</f>
        <v>25</v>
      </c>
      <c r="Y435" s="21" t="n">
        <f aca="false">X435*'Parametri Modello'!$B$30</f>
        <v>25</v>
      </c>
      <c r="Z435" s="21" t="n">
        <f aca="false">MAX(0,W435-Y435)</f>
        <v>975</v>
      </c>
      <c r="AA435" s="21" t="n">
        <f aca="false">MIN(F435,Z435)</f>
        <v>0</v>
      </c>
      <c r="AB435" s="21"/>
      <c r="AC435" s="21" t="str">
        <f aca="false">IF(AB435="","",IF(AB435&gt;AA435,"PASS",IF(AB435&lt;=AA435*0.85,"BID","ATTENZIONE")))</f>
        <v/>
      </c>
      <c r="AD435" s="31" t="str">
        <f aca="false">IF(I435="","",ROUND(100*(1-EXP(-I435/30)),0))</f>
        <v/>
      </c>
      <c r="AE435" s="7" t="str">
        <f aca="false">IFERROR(INDEX('Stato Asta'!$G$9:$G$12,MATCH($B435,'Stato Asta'!$A$9:$A$12,0)),"")</f>
        <v>🟡 Attesa rischiosa</v>
      </c>
    </row>
    <row r="436" customFormat="false" ht="14.25" hidden="false" customHeight="true" outlineLevel="0" collapsed="false">
      <c r="A436" s="21" t="n">
        <v>5399</v>
      </c>
      <c r="B436" s="21" t="s">
        <v>44</v>
      </c>
      <c r="C436" s="21" t="s">
        <v>354</v>
      </c>
      <c r="E436" s="26" t="str">
        <f aca="false">IF(COUNTIF('Info Strategia'!$D$2:$D$51,$C436)&gt;0,"SI","NO")</f>
        <v>NO</v>
      </c>
      <c r="F436" s="27" t="n">
        <f aca="false">IFERROR(ROUND(($G436+($H436-$G436)*'Info Strategia'!$B$6)*(1+IF($E436="SI",'Parametri Modello'!$B$7*'Info Strategia'!$B$6,0)),0),"")</f>
        <v>0</v>
      </c>
      <c r="G436" s="27" t="n">
        <f aca="false">IFERROR(ROUND(MAX(1,(IF($V436&lt;=INDEX('Parametri Modello'!$C$57:$C$60,MATCH($B436,'Parametri Modello'!$A$57:$A$60,0)),IF(INDEX('Parametri Modello'!$E$57:$E$60,MATCH($B436,'Parametri Modello'!$A$57:$A$60,0))=0,0,($O436/INDEX('Parametri Modello'!$E$57:$E$60,MATCH($B436,'Parametri Modello'!$A$57:$A$60,0)))*(INDEX('Parametri Modello'!$D$57:$D$60,MATCH($B436,'Parametri Modello'!$A$57:$A$60,0))*(INDEX('Parametri Modello'!$B$50:$B$53,MATCH($B436,'Parametri Modello'!$A$50:$A$53,0))*'Parametri Modello'!$B$44))),IF(INDEX('Parametri Modello'!$F$57:$F$60,MATCH($B436,'Parametri Modello'!$A$57:$A$60,0))=0,0,($O436/INDEX('Parametri Modello'!$F$57:$F$60,MATCH($B436,'Parametri Modello'!$A$57:$A$60,0)))*((1-INDEX('Parametri Modello'!$D$57:$D$60,MATCH($B436,'Parametri Modello'!$A$57:$A$60,0)))*(INDEX('Parametri Modello'!$B$50:$B$53,MATCH($B436,'Parametri Modello'!$A$50:$A$53,0))*'Parametri Modello'!$B$44))))*(1+IF(IF($B436="D",'Info Lega'!$B$25,IF($B436="C",'Info Lega'!$B$26,"No"))="Si",'Parametri Modello'!$B$5,0))*(1+MAX(-0.25,MIN(0.25,IF(OR($T436="",$I436="",$I436=0,INDEX('Parametri Modello'!$B$19:$B$22,MATCH($B436,'Parametri Modello'!$A$19:$A$22,0))="",INDEX('Parametri Modello'!$B$19:$B$22,MATCH($B436,'Parametri Modello'!$A$19:$A$22,0))=0),0,(($T436-INDEX('Parametri Modello'!$B$19:$B$22,MATCH($B436,'Parametri Modello'!$A$19:$A$22,0)))/INDEX('Parametri Modello'!$B$19:$B$22,MATCH($B436,'Parametri Modello'!$A$19:$A$22,0)))*'Parametri Modello'!$B$9))))*(1+IF('Parametri Modello'!$B$27="Si",MAX(-'Parametri Modello'!$B$28,MIN('Parametri Modello'!$B$28*1.5,IF(OR(INDEX('Parametri Modello'!$F$32:$F$35,MATCH($B436,'Parametri Modello'!$A$32:$A$35,0))="",INDEX('Parametri Modello'!$F$32:$F$35,MATCH($B436,'Parametri Modello'!$A$32:$A$35,0))=0),0,(1/INDEX('Parametri Modello'!$F$32:$F$35,MATCH($B436,'Parametri Modello'!$A$32:$A$35,0))-1)*'Parametri Modello'!$B$28))),0)))*(1-INDEX('Parametri Modello'!$B$12:$B$15,MATCH($B436,'Parametri Modello'!$A$12:$A$15,0)))),0),"")</f>
        <v>1</v>
      </c>
      <c r="H436" s="27" t="n">
        <f aca="false">IFERROR(ROUND((IF($V436&lt;=INDEX('Parametri Modello'!$C$57:$C$60,MATCH($B436,'Parametri Modello'!$A$57:$A$60,0)),IF(INDEX('Parametri Modello'!$E$57:$E$60,MATCH($B436,'Parametri Modello'!$A$57:$A$60,0))=0,0,($O436/INDEX('Parametri Modello'!$E$57:$E$60,MATCH($B436,'Parametri Modello'!$A$57:$A$60,0)))*(INDEX('Parametri Modello'!$D$57:$D$60,MATCH($B436,'Parametri Modello'!$A$57:$A$60,0))*(INDEX('Parametri Modello'!$B$50:$B$53,MATCH($B436,'Parametri Modello'!$A$50:$A$53,0))*'Parametri Modello'!$B$44))),IF(INDEX('Parametri Modello'!$F$57:$F$60,MATCH($B436,'Parametri Modello'!$A$57:$A$60,0))=0,0,($O436/INDEX('Parametri Modello'!$F$57:$F$60,MATCH($B436,'Parametri Modello'!$A$57:$A$60,0)))*((1-INDEX('Parametri Modello'!$D$57:$D$60,MATCH($B436,'Parametri Modello'!$A$57:$A$60,0)))*(INDEX('Parametri Modello'!$B$50:$B$53,MATCH($B436,'Parametri Modello'!$A$50:$A$53,0))*'Parametri Modello'!$B$44))))*(1+IF(IF($B436="D",'Info Lega'!$B$25,IF($B436="C",'Info Lega'!$B$26,"No"))="Si",'Parametri Modello'!$B$5,0))*(1+MAX(-0.25,MIN(0.25,IF(OR($T436="",$I436="",$I436=0,INDEX('Parametri Modello'!$B$19:$B$22,MATCH($B436,'Parametri Modello'!$A$19:$A$22,0))="",INDEX('Parametri Modello'!$B$19:$B$22,MATCH($B436,'Parametri Modello'!$A$19:$A$22,0))=0),0,(($T436-INDEX('Parametri Modello'!$B$19:$B$22,MATCH($B436,'Parametri Modello'!$A$19:$A$22,0)))/INDEX('Parametri Modello'!$B$19:$B$22,MATCH($B436,'Parametri Modello'!$A$19:$A$22,0)))*'Parametri Modello'!$B$9))))*(1+IF('Parametri Modello'!$B$27="Si",MAX(-'Parametri Modello'!$B$28,MIN('Parametri Modello'!$B$28*1.5,IF(OR(INDEX('Parametri Modello'!$F$32:$F$35,MATCH($B436,'Parametri Modello'!$A$32:$A$35,0))="",INDEX('Parametri Modello'!$F$32:$F$35,MATCH($B436,'Parametri Modello'!$A$32:$A$35,0))=0),0,(1/INDEX('Parametri Modello'!$F$32:$F$35,MATCH($B436,'Parametri Modello'!$A$32:$A$35,0))-1)*'Parametri Modello'!$B$28))),0)))*(1+INDEX('Parametri Modello'!$B$12:$B$15,MATCH($B436,'Parametri Modello'!$A$12:$A$15,0))),0),"")</f>
        <v>0</v>
      </c>
      <c r="I436" s="26" t="str">
        <f aca="false">IFERROR(INDEX('Input Statistiche 2025_26'!$F$3:$F$665,MATCH($A436,'Input Statistiche 2025_26'!$A$3:$A$665,0)),"")</f>
        <v/>
      </c>
      <c r="J436" s="26" t="str">
        <f aca="false">IFERROR(IF($I436="","",MAX(0,38-$I436)),"")</f>
        <v/>
      </c>
      <c r="K436" s="26" t="str">
        <f aca="false">IFERROR(INDEX('Input Statistiche 2025_26'!$I$3:$I$665,MATCH($A436,'Input Statistiche 2025_26'!$A$3:$A$665,0)),"")</f>
        <v/>
      </c>
      <c r="L436" s="26" t="str">
        <f aca="false">IFERROR(INDEX('Input Statistiche 2025_26'!$O$3:$O$665,MATCH($A436,'Input Statistiche 2025_26'!$A$3:$A$665,0)),"")</f>
        <v/>
      </c>
      <c r="M436" s="28"/>
      <c r="N436" s="27" t="n">
        <f aca="false">IFERROR(INDEX('Input Giocatori 2026_27'!$E$3:$E$493,MATCH($A436,'Input Giocatori 2026_27'!$A$3:$A$493,0)),"")</f>
        <v>1</v>
      </c>
      <c r="O436" s="27" t="n">
        <f aca="false">IFERROR(INDEX('Input Giocatori 2026_27'!$G$3:$G$493,MATCH($A436,'Input Giocatori 2026_27'!$A$3:$A$493,0)),"")</f>
        <v>2</v>
      </c>
      <c r="P436" s="26" t="str">
        <f aca="false">IFERROR(IF($O436="","",IF((1-(COUNTIFS($B$2:$B$492,$B436,$O$2:$O$492,"&gt;"&amp;$O436)+1-1)/COUNTIF($B$2:$B$492,$B436))&gt;=0.85,"Top",IF((1-(COUNTIFS($B$2:$B$492,$B436,$O$2:$O$492,"&gt;"&amp;$O436)+1-1)/COUNTIF($B$2:$B$492,$B436))&gt;=0.6,"Buono",IF((1-(COUNTIFS($B$2:$B$492,$B436,$O$2:$O$492,"&gt;"&amp;$O436)+1-1)/COUNTIF($B$2:$B$492,$B436))&gt;=0.3,"Nella Media","Scommessa/Riserva")))),"")</f>
        <v>Scommessa/Riserva</v>
      </c>
      <c r="Q436" s="29" t="n">
        <f aca="false">IF($D436="",COUNTIF($D$2:$D436,""),"")</f>
        <v>435</v>
      </c>
      <c r="R436" s="29" t="str">
        <f aca="false">IF($D436='Info Lega'!$B$28,COUNTIFS($D$2:$D436,'Info Lega'!$B$28),"")</f>
        <v/>
      </c>
      <c r="S436" s="30" t="str">
        <f aca="false">IFERROR(INDEX('Input Statistiche 2025_26'!$G$3:$G$665,MATCH($A436,'Input Statistiche 2025_26'!$A$3:$A$665,0)),"")</f>
        <v/>
      </c>
      <c r="T436" s="30" t="str">
        <f aca="false">IFERROR(INDEX('Input Statistiche 2025_26'!$H$3:$H$665,MATCH($A436,'Input Statistiche 2025_26'!$A$3:$A$665,0)),"")</f>
        <v/>
      </c>
      <c r="U436" s="26" t="str">
        <f aca="false">IF(OR('La Mia Rosa'!$O$12="",$D436&lt;&gt;""),"",IF($F436&lt;='La Mia Rosa'!$O$12*'Parametri Modello'!$B$24,"OK",IF($F436&lt;='La Mia Rosa'!$O$12*'Parametri Modello'!$B$25,"Attenzione","Rischio Alto")))</f>
        <v>OK</v>
      </c>
      <c r="V436" s="26" t="n">
        <f aca="false">IFERROR(COUNTIFS($B$2:$B$492,$B436,$O$2:$O$492,"&gt;"&amp;$O436)+1,"")</f>
        <v>163</v>
      </c>
      <c r="W436" s="21" t="n">
        <f aca="false">'Info Lega'!$B$4-SUMIFS($M$2:$M$492,$D$2:$D$492,'Info Lega'!$B$28)</f>
        <v>1000</v>
      </c>
      <c r="X436" s="21" t="n">
        <f aca="false">('Info Lega'!$B$5-COUNTIFS($D$2:$D$492,'Info Lega'!$B$28,$B$2:$B$492,"P"))+('Info Lega'!$B$6-COUNTIFS($D$2:$D$492,'Info Lega'!$B$28,$B$2:$B$492,"D"))+('Info Lega'!$B$7-COUNTIFS($D$2:$D$492,'Info Lega'!$B$28,$B$2:$B$492,"C"))+('Info Lega'!$B$8-COUNTIFS($D$2:$D$492,'Info Lega'!$B$28,$B$2:$B$492,"A"))</f>
        <v>25</v>
      </c>
      <c r="Y436" s="21" t="n">
        <f aca="false">X436*'Parametri Modello'!$B$30</f>
        <v>25</v>
      </c>
      <c r="Z436" s="21" t="n">
        <f aca="false">MAX(0,W436-Y436)</f>
        <v>975</v>
      </c>
      <c r="AA436" s="21" t="n">
        <f aca="false">MIN(F436,Z436)</f>
        <v>0</v>
      </c>
      <c r="AB436" s="21"/>
      <c r="AC436" s="21" t="str">
        <f aca="false">IF(AB436="","",IF(AB436&gt;AA436,"PASS",IF(AB436&lt;=AA436*0.85,"BID","ATTENZIONE")))</f>
        <v/>
      </c>
      <c r="AD436" s="31" t="str">
        <f aca="false">IF(I436="","",ROUND(100*(1-EXP(-I436/30)),0))</f>
        <v/>
      </c>
      <c r="AE436" s="7" t="str">
        <f aca="false">IFERROR(INDEX('Stato Asta'!$G$9:$G$12,MATCH($B436,'Stato Asta'!$A$9:$A$12,0)),"")</f>
        <v>🟡 Attesa rischiosa</v>
      </c>
    </row>
    <row r="437" customFormat="false" ht="14.25" hidden="false" customHeight="true" outlineLevel="0" collapsed="false">
      <c r="A437" s="21" t="n">
        <v>7260</v>
      </c>
      <c r="B437" s="21" t="s">
        <v>44</v>
      </c>
      <c r="C437" s="21" t="s">
        <v>360</v>
      </c>
      <c r="E437" s="26" t="str">
        <f aca="false">IF(COUNTIF('Info Strategia'!$D$2:$D$51,$C437)&gt;0,"SI","NO")</f>
        <v>NO</v>
      </c>
      <c r="F437" s="27" t="n">
        <f aca="false">IFERROR(ROUND(($G437+($H437-$G437)*'Info Strategia'!$B$6)*(1+IF($E437="SI",'Parametri Modello'!$B$7*'Info Strategia'!$B$6,0)),0),"")</f>
        <v>0</v>
      </c>
      <c r="G437" s="27" t="n">
        <f aca="false">IFERROR(ROUND(MAX(1,(IF($V437&lt;=INDEX('Parametri Modello'!$C$57:$C$60,MATCH($B437,'Parametri Modello'!$A$57:$A$60,0)),IF(INDEX('Parametri Modello'!$E$57:$E$60,MATCH($B437,'Parametri Modello'!$A$57:$A$60,0))=0,0,($O437/INDEX('Parametri Modello'!$E$57:$E$60,MATCH($B437,'Parametri Modello'!$A$57:$A$60,0)))*(INDEX('Parametri Modello'!$D$57:$D$60,MATCH($B437,'Parametri Modello'!$A$57:$A$60,0))*(INDEX('Parametri Modello'!$B$50:$B$53,MATCH($B437,'Parametri Modello'!$A$50:$A$53,0))*'Parametri Modello'!$B$44))),IF(INDEX('Parametri Modello'!$F$57:$F$60,MATCH($B437,'Parametri Modello'!$A$57:$A$60,0))=0,0,($O437/INDEX('Parametri Modello'!$F$57:$F$60,MATCH($B437,'Parametri Modello'!$A$57:$A$60,0)))*((1-INDEX('Parametri Modello'!$D$57:$D$60,MATCH($B437,'Parametri Modello'!$A$57:$A$60,0)))*(INDEX('Parametri Modello'!$B$50:$B$53,MATCH($B437,'Parametri Modello'!$A$50:$A$53,0))*'Parametri Modello'!$B$44))))*(1+IF(IF($B437="D",'Info Lega'!$B$25,IF($B437="C",'Info Lega'!$B$26,"No"))="Si",'Parametri Modello'!$B$5,0))*(1+MAX(-0.25,MIN(0.25,IF(OR($T437="",$I437="",$I437=0,INDEX('Parametri Modello'!$B$19:$B$22,MATCH($B437,'Parametri Modello'!$A$19:$A$22,0))="",INDEX('Parametri Modello'!$B$19:$B$22,MATCH($B437,'Parametri Modello'!$A$19:$A$22,0))=0),0,(($T437-INDEX('Parametri Modello'!$B$19:$B$22,MATCH($B437,'Parametri Modello'!$A$19:$A$22,0)))/INDEX('Parametri Modello'!$B$19:$B$22,MATCH($B437,'Parametri Modello'!$A$19:$A$22,0)))*'Parametri Modello'!$B$9))))*(1+IF('Parametri Modello'!$B$27="Si",MAX(-'Parametri Modello'!$B$28,MIN('Parametri Modello'!$B$28*1.5,IF(OR(INDEX('Parametri Modello'!$F$32:$F$35,MATCH($B437,'Parametri Modello'!$A$32:$A$35,0))="",INDEX('Parametri Modello'!$F$32:$F$35,MATCH($B437,'Parametri Modello'!$A$32:$A$35,0))=0),0,(1/INDEX('Parametri Modello'!$F$32:$F$35,MATCH($B437,'Parametri Modello'!$A$32:$A$35,0))-1)*'Parametri Modello'!$B$28))),0)))*(1-INDEX('Parametri Modello'!$B$12:$B$15,MATCH($B437,'Parametri Modello'!$A$12:$A$15,0)))),0),"")</f>
        <v>1</v>
      </c>
      <c r="H437" s="27" t="n">
        <f aca="false">IFERROR(ROUND((IF($V437&lt;=INDEX('Parametri Modello'!$C$57:$C$60,MATCH($B437,'Parametri Modello'!$A$57:$A$60,0)),IF(INDEX('Parametri Modello'!$E$57:$E$60,MATCH($B437,'Parametri Modello'!$A$57:$A$60,0))=0,0,($O437/INDEX('Parametri Modello'!$E$57:$E$60,MATCH($B437,'Parametri Modello'!$A$57:$A$60,0)))*(INDEX('Parametri Modello'!$D$57:$D$60,MATCH($B437,'Parametri Modello'!$A$57:$A$60,0))*(INDEX('Parametri Modello'!$B$50:$B$53,MATCH($B437,'Parametri Modello'!$A$50:$A$53,0))*'Parametri Modello'!$B$44))),IF(INDEX('Parametri Modello'!$F$57:$F$60,MATCH($B437,'Parametri Modello'!$A$57:$A$60,0))=0,0,($O437/INDEX('Parametri Modello'!$F$57:$F$60,MATCH($B437,'Parametri Modello'!$A$57:$A$60,0)))*((1-INDEX('Parametri Modello'!$D$57:$D$60,MATCH($B437,'Parametri Modello'!$A$57:$A$60,0)))*(INDEX('Parametri Modello'!$B$50:$B$53,MATCH($B437,'Parametri Modello'!$A$50:$A$53,0))*'Parametri Modello'!$B$44))))*(1+IF(IF($B437="D",'Info Lega'!$B$25,IF($B437="C",'Info Lega'!$B$26,"No"))="Si",'Parametri Modello'!$B$5,0))*(1+MAX(-0.25,MIN(0.25,IF(OR($T437="",$I437="",$I437=0,INDEX('Parametri Modello'!$B$19:$B$22,MATCH($B437,'Parametri Modello'!$A$19:$A$22,0))="",INDEX('Parametri Modello'!$B$19:$B$22,MATCH($B437,'Parametri Modello'!$A$19:$A$22,0))=0),0,(($T437-INDEX('Parametri Modello'!$B$19:$B$22,MATCH($B437,'Parametri Modello'!$A$19:$A$22,0)))/INDEX('Parametri Modello'!$B$19:$B$22,MATCH($B437,'Parametri Modello'!$A$19:$A$22,0)))*'Parametri Modello'!$B$9))))*(1+IF('Parametri Modello'!$B$27="Si",MAX(-'Parametri Modello'!$B$28,MIN('Parametri Modello'!$B$28*1.5,IF(OR(INDEX('Parametri Modello'!$F$32:$F$35,MATCH($B437,'Parametri Modello'!$A$32:$A$35,0))="",INDEX('Parametri Modello'!$F$32:$F$35,MATCH($B437,'Parametri Modello'!$A$32:$A$35,0))=0),0,(1/INDEX('Parametri Modello'!$F$32:$F$35,MATCH($B437,'Parametri Modello'!$A$32:$A$35,0))-1)*'Parametri Modello'!$B$28))),0)))*(1+INDEX('Parametri Modello'!$B$12:$B$15,MATCH($B437,'Parametri Modello'!$A$12:$A$15,0))),0),"")</f>
        <v>0</v>
      </c>
      <c r="I437" s="26" t="n">
        <f aca="false">IFERROR(INDEX('Input Statistiche 2025_26'!$F$3:$F$665,MATCH($A437,'Input Statistiche 2025_26'!$A$3:$A$665,0)),"")</f>
        <v>9</v>
      </c>
      <c r="J437" s="26" t="n">
        <f aca="false">IFERROR(IF($I437="","",MAX(0,38-$I437)),"")</f>
        <v>29</v>
      </c>
      <c r="K437" s="26" t="n">
        <f aca="false">IFERROR(INDEX('Input Statistiche 2025_26'!$I$3:$I$665,MATCH($A437,'Input Statistiche 2025_26'!$A$3:$A$665,0)),"")</f>
        <v>0</v>
      </c>
      <c r="L437" s="26" t="n">
        <f aca="false">IFERROR(INDEX('Input Statistiche 2025_26'!$O$3:$O$665,MATCH($A437,'Input Statistiche 2025_26'!$A$3:$A$665,0)),"")</f>
        <v>0</v>
      </c>
      <c r="M437" s="28"/>
      <c r="N437" s="27" t="n">
        <f aca="false">IFERROR(INDEX('Input Giocatori 2026_27'!$E$3:$E$493,MATCH($A437,'Input Giocatori 2026_27'!$A$3:$A$493,0)),"")</f>
        <v>1</v>
      </c>
      <c r="O437" s="27" t="n">
        <f aca="false">IFERROR(INDEX('Input Giocatori 2026_27'!$G$3:$G$493,MATCH($A437,'Input Giocatori 2026_27'!$A$3:$A$493,0)),"")</f>
        <v>2</v>
      </c>
      <c r="P437" s="26" t="str">
        <f aca="false">IFERROR(IF($O437="","",IF((1-(COUNTIFS($B$2:$B$492,$B437,$O$2:$O$492,"&gt;"&amp;$O437)+1-1)/COUNTIF($B$2:$B$492,$B437))&gt;=0.85,"Top",IF((1-(COUNTIFS($B$2:$B$492,$B437,$O$2:$O$492,"&gt;"&amp;$O437)+1-1)/COUNTIF($B$2:$B$492,$B437))&gt;=0.6,"Buono",IF((1-(COUNTIFS($B$2:$B$492,$B437,$O$2:$O$492,"&gt;"&amp;$O437)+1-1)/COUNTIF($B$2:$B$492,$B437))&gt;=0.3,"Nella Media","Scommessa/Riserva")))),"")</f>
        <v>Scommessa/Riserva</v>
      </c>
      <c r="Q437" s="29" t="n">
        <f aca="false">IF($D437="",COUNTIF($D$2:$D437,""),"")</f>
        <v>436</v>
      </c>
      <c r="R437" s="29" t="str">
        <f aca="false">IF($D437='Info Lega'!$B$28,COUNTIFS($D$2:$D437,'Info Lega'!$B$28),"")</f>
        <v/>
      </c>
      <c r="S437" s="30" t="n">
        <f aca="false">IFERROR(INDEX('Input Statistiche 2025_26'!$G$3:$G$665,MATCH($A437,'Input Statistiche 2025_26'!$A$3:$A$665,0)),"")</f>
        <v>5.94</v>
      </c>
      <c r="T437" s="30" t="n">
        <f aca="false">IFERROR(INDEX('Input Statistiche 2025_26'!$H$3:$H$665,MATCH($A437,'Input Statistiche 2025_26'!$A$3:$A$665,0)),"")</f>
        <v>5.78</v>
      </c>
      <c r="U437" s="26" t="str">
        <f aca="false">IF(OR('La Mia Rosa'!$O$12="",$D437&lt;&gt;""),"",IF($F437&lt;='La Mia Rosa'!$O$12*'Parametri Modello'!$B$24,"OK",IF($F437&lt;='La Mia Rosa'!$O$12*'Parametri Modello'!$B$25,"Attenzione","Rischio Alto")))</f>
        <v>OK</v>
      </c>
      <c r="V437" s="26" t="n">
        <f aca="false">IFERROR(COUNTIFS($B$2:$B$492,$B437,$O$2:$O$492,"&gt;"&amp;$O437)+1,"")</f>
        <v>163</v>
      </c>
      <c r="W437" s="21" t="n">
        <f aca="false">'Info Lega'!$B$4-SUMIFS($M$2:$M$492,$D$2:$D$492,'Info Lega'!$B$28)</f>
        <v>1000</v>
      </c>
      <c r="X437" s="21" t="n">
        <f aca="false">('Info Lega'!$B$5-COUNTIFS($D$2:$D$492,'Info Lega'!$B$28,$B$2:$B$492,"P"))+('Info Lega'!$B$6-COUNTIFS($D$2:$D$492,'Info Lega'!$B$28,$B$2:$B$492,"D"))+('Info Lega'!$B$7-COUNTIFS($D$2:$D$492,'Info Lega'!$B$28,$B$2:$B$492,"C"))+('Info Lega'!$B$8-COUNTIFS($D$2:$D$492,'Info Lega'!$B$28,$B$2:$B$492,"A"))</f>
        <v>25</v>
      </c>
      <c r="Y437" s="21" t="n">
        <f aca="false">X437*'Parametri Modello'!$B$30</f>
        <v>25</v>
      </c>
      <c r="Z437" s="21" t="n">
        <f aca="false">MAX(0,W437-Y437)</f>
        <v>975</v>
      </c>
      <c r="AA437" s="21" t="n">
        <f aca="false">MIN(F437,Z437)</f>
        <v>0</v>
      </c>
      <c r="AB437" s="21"/>
      <c r="AC437" s="21" t="str">
        <f aca="false">IF(AB437="","",IF(AB437&gt;AA437,"PASS",IF(AB437&lt;=AA437*0.85,"BID","ATTENZIONE")))</f>
        <v/>
      </c>
      <c r="AD437" s="31" t="n">
        <f aca="false">IF(I437="","",ROUND(100*(1-EXP(-I437/30)),0))</f>
        <v>26</v>
      </c>
      <c r="AE437" s="7" t="str">
        <f aca="false">IFERROR(INDEX('Stato Asta'!$G$9:$G$12,MATCH($B437,'Stato Asta'!$A$9:$A$12,0)),"")</f>
        <v>🟡 Attesa rischiosa</v>
      </c>
    </row>
    <row r="438" customFormat="false" ht="14.25" hidden="false" customHeight="true" outlineLevel="0" collapsed="false">
      <c r="A438" s="21" t="n">
        <v>6189</v>
      </c>
      <c r="B438" s="21" t="s">
        <v>44</v>
      </c>
      <c r="C438" s="21" t="s">
        <v>361</v>
      </c>
      <c r="E438" s="26" t="str">
        <f aca="false">IF(COUNTIF('Info Strategia'!$D$2:$D$51,$C438)&gt;0,"SI","NO")</f>
        <v>NO</v>
      </c>
      <c r="F438" s="27" t="n">
        <f aca="false">IFERROR(ROUND(($G438+($H438-$G438)*'Info Strategia'!$B$6)*(1+IF($E438="SI",'Parametri Modello'!$B$7*'Info Strategia'!$B$6,0)),0),"")</f>
        <v>0</v>
      </c>
      <c r="G438" s="27" t="n">
        <f aca="false">IFERROR(ROUND(MAX(1,(IF($V438&lt;=INDEX('Parametri Modello'!$C$57:$C$60,MATCH($B438,'Parametri Modello'!$A$57:$A$60,0)),IF(INDEX('Parametri Modello'!$E$57:$E$60,MATCH($B438,'Parametri Modello'!$A$57:$A$60,0))=0,0,($O438/INDEX('Parametri Modello'!$E$57:$E$60,MATCH($B438,'Parametri Modello'!$A$57:$A$60,0)))*(INDEX('Parametri Modello'!$D$57:$D$60,MATCH($B438,'Parametri Modello'!$A$57:$A$60,0))*(INDEX('Parametri Modello'!$B$50:$B$53,MATCH($B438,'Parametri Modello'!$A$50:$A$53,0))*'Parametri Modello'!$B$44))),IF(INDEX('Parametri Modello'!$F$57:$F$60,MATCH($B438,'Parametri Modello'!$A$57:$A$60,0))=0,0,($O438/INDEX('Parametri Modello'!$F$57:$F$60,MATCH($B438,'Parametri Modello'!$A$57:$A$60,0)))*((1-INDEX('Parametri Modello'!$D$57:$D$60,MATCH($B438,'Parametri Modello'!$A$57:$A$60,0)))*(INDEX('Parametri Modello'!$B$50:$B$53,MATCH($B438,'Parametri Modello'!$A$50:$A$53,0))*'Parametri Modello'!$B$44))))*(1+IF(IF($B438="D",'Info Lega'!$B$25,IF($B438="C",'Info Lega'!$B$26,"No"))="Si",'Parametri Modello'!$B$5,0))*(1+MAX(-0.25,MIN(0.25,IF(OR($T438="",$I438="",$I438=0,INDEX('Parametri Modello'!$B$19:$B$22,MATCH($B438,'Parametri Modello'!$A$19:$A$22,0))="",INDEX('Parametri Modello'!$B$19:$B$22,MATCH($B438,'Parametri Modello'!$A$19:$A$22,0))=0),0,(($T438-INDEX('Parametri Modello'!$B$19:$B$22,MATCH($B438,'Parametri Modello'!$A$19:$A$22,0)))/INDEX('Parametri Modello'!$B$19:$B$22,MATCH($B438,'Parametri Modello'!$A$19:$A$22,0)))*'Parametri Modello'!$B$9))))*(1+IF('Parametri Modello'!$B$27="Si",MAX(-'Parametri Modello'!$B$28,MIN('Parametri Modello'!$B$28*1.5,IF(OR(INDEX('Parametri Modello'!$F$32:$F$35,MATCH($B438,'Parametri Modello'!$A$32:$A$35,0))="",INDEX('Parametri Modello'!$F$32:$F$35,MATCH($B438,'Parametri Modello'!$A$32:$A$35,0))=0),0,(1/INDEX('Parametri Modello'!$F$32:$F$35,MATCH($B438,'Parametri Modello'!$A$32:$A$35,0))-1)*'Parametri Modello'!$B$28))),0)))*(1-INDEX('Parametri Modello'!$B$12:$B$15,MATCH($B438,'Parametri Modello'!$A$12:$A$15,0)))),0),"")</f>
        <v>1</v>
      </c>
      <c r="H438" s="27" t="n">
        <f aca="false">IFERROR(ROUND((IF($V438&lt;=INDEX('Parametri Modello'!$C$57:$C$60,MATCH($B438,'Parametri Modello'!$A$57:$A$60,0)),IF(INDEX('Parametri Modello'!$E$57:$E$60,MATCH($B438,'Parametri Modello'!$A$57:$A$60,0))=0,0,($O438/INDEX('Parametri Modello'!$E$57:$E$60,MATCH($B438,'Parametri Modello'!$A$57:$A$60,0)))*(INDEX('Parametri Modello'!$D$57:$D$60,MATCH($B438,'Parametri Modello'!$A$57:$A$60,0))*(INDEX('Parametri Modello'!$B$50:$B$53,MATCH($B438,'Parametri Modello'!$A$50:$A$53,0))*'Parametri Modello'!$B$44))),IF(INDEX('Parametri Modello'!$F$57:$F$60,MATCH($B438,'Parametri Modello'!$A$57:$A$60,0))=0,0,($O438/INDEX('Parametri Modello'!$F$57:$F$60,MATCH($B438,'Parametri Modello'!$A$57:$A$60,0)))*((1-INDEX('Parametri Modello'!$D$57:$D$60,MATCH($B438,'Parametri Modello'!$A$57:$A$60,0)))*(INDEX('Parametri Modello'!$B$50:$B$53,MATCH($B438,'Parametri Modello'!$A$50:$A$53,0))*'Parametri Modello'!$B$44))))*(1+IF(IF($B438="D",'Info Lega'!$B$25,IF($B438="C",'Info Lega'!$B$26,"No"))="Si",'Parametri Modello'!$B$5,0))*(1+MAX(-0.25,MIN(0.25,IF(OR($T438="",$I438="",$I438=0,INDEX('Parametri Modello'!$B$19:$B$22,MATCH($B438,'Parametri Modello'!$A$19:$A$22,0))="",INDEX('Parametri Modello'!$B$19:$B$22,MATCH($B438,'Parametri Modello'!$A$19:$A$22,0))=0),0,(($T438-INDEX('Parametri Modello'!$B$19:$B$22,MATCH($B438,'Parametri Modello'!$A$19:$A$22,0)))/INDEX('Parametri Modello'!$B$19:$B$22,MATCH($B438,'Parametri Modello'!$A$19:$A$22,0)))*'Parametri Modello'!$B$9))))*(1+IF('Parametri Modello'!$B$27="Si",MAX(-'Parametri Modello'!$B$28,MIN('Parametri Modello'!$B$28*1.5,IF(OR(INDEX('Parametri Modello'!$F$32:$F$35,MATCH($B438,'Parametri Modello'!$A$32:$A$35,0))="",INDEX('Parametri Modello'!$F$32:$F$35,MATCH($B438,'Parametri Modello'!$A$32:$A$35,0))=0),0,(1/INDEX('Parametri Modello'!$F$32:$F$35,MATCH($B438,'Parametri Modello'!$A$32:$A$35,0))-1)*'Parametri Modello'!$B$28))),0)))*(1+INDEX('Parametri Modello'!$B$12:$B$15,MATCH($B438,'Parametri Modello'!$A$12:$A$15,0))),0),"")</f>
        <v>0</v>
      </c>
      <c r="I438" s="26" t="n">
        <f aca="false">IFERROR(INDEX('Input Statistiche 2025_26'!$F$3:$F$665,MATCH($A438,'Input Statistiche 2025_26'!$A$3:$A$665,0)),"")</f>
        <v>0</v>
      </c>
      <c r="J438" s="26" t="n">
        <f aca="false">IFERROR(IF($I438="","",MAX(0,38-$I438)),"")</f>
        <v>38</v>
      </c>
      <c r="K438" s="26" t="n">
        <f aca="false">IFERROR(INDEX('Input Statistiche 2025_26'!$I$3:$I$665,MATCH($A438,'Input Statistiche 2025_26'!$A$3:$A$665,0)),"")</f>
        <v>0</v>
      </c>
      <c r="L438" s="26" t="n">
        <f aca="false">IFERROR(INDEX('Input Statistiche 2025_26'!$O$3:$O$665,MATCH($A438,'Input Statistiche 2025_26'!$A$3:$A$665,0)),"")</f>
        <v>0</v>
      </c>
      <c r="M438" s="28"/>
      <c r="N438" s="27" t="n">
        <f aca="false">IFERROR(INDEX('Input Giocatori 2026_27'!$E$3:$E$493,MATCH($A438,'Input Giocatori 2026_27'!$A$3:$A$493,0)),"")</f>
        <v>1</v>
      </c>
      <c r="O438" s="27" t="n">
        <f aca="false">IFERROR(INDEX('Input Giocatori 2026_27'!$G$3:$G$493,MATCH($A438,'Input Giocatori 2026_27'!$A$3:$A$493,0)),"")</f>
        <v>2</v>
      </c>
      <c r="P438" s="26" t="str">
        <f aca="false">IFERROR(IF($O438="","",IF((1-(COUNTIFS($B$2:$B$492,$B438,$O$2:$O$492,"&gt;"&amp;$O438)+1-1)/COUNTIF($B$2:$B$492,$B438))&gt;=0.85,"Top",IF((1-(COUNTIFS($B$2:$B$492,$B438,$O$2:$O$492,"&gt;"&amp;$O438)+1-1)/COUNTIF($B$2:$B$492,$B438))&gt;=0.6,"Buono",IF((1-(COUNTIFS($B$2:$B$492,$B438,$O$2:$O$492,"&gt;"&amp;$O438)+1-1)/COUNTIF($B$2:$B$492,$B438))&gt;=0.3,"Nella Media","Scommessa/Riserva")))),"")</f>
        <v>Scommessa/Riserva</v>
      </c>
      <c r="Q438" s="29" t="n">
        <f aca="false">IF($D438="",COUNTIF($D$2:$D438,""),"")</f>
        <v>437</v>
      </c>
      <c r="R438" s="29" t="str">
        <f aca="false">IF($D438='Info Lega'!$B$28,COUNTIFS($D$2:$D438,'Info Lega'!$B$28),"")</f>
        <v/>
      </c>
      <c r="S438" s="30" t="n">
        <f aca="false">IFERROR(INDEX('Input Statistiche 2025_26'!$G$3:$G$665,MATCH($A438,'Input Statistiche 2025_26'!$A$3:$A$665,0)),"")</f>
        <v>0</v>
      </c>
      <c r="T438" s="30" t="n">
        <f aca="false">IFERROR(INDEX('Input Statistiche 2025_26'!$H$3:$H$665,MATCH($A438,'Input Statistiche 2025_26'!$A$3:$A$665,0)),"")</f>
        <v>0</v>
      </c>
      <c r="U438" s="26" t="str">
        <f aca="false">IF(OR('La Mia Rosa'!$O$12="",$D438&lt;&gt;""),"",IF($F438&lt;='La Mia Rosa'!$O$12*'Parametri Modello'!$B$24,"OK",IF($F438&lt;='La Mia Rosa'!$O$12*'Parametri Modello'!$B$25,"Attenzione","Rischio Alto")))</f>
        <v>OK</v>
      </c>
      <c r="V438" s="26" t="n">
        <f aca="false">IFERROR(COUNTIFS($B$2:$B$492,$B438,$O$2:$O$492,"&gt;"&amp;$O438)+1,"")</f>
        <v>163</v>
      </c>
      <c r="W438" s="21" t="n">
        <f aca="false">'Info Lega'!$B$4-SUMIFS($M$2:$M$492,$D$2:$D$492,'Info Lega'!$B$28)</f>
        <v>1000</v>
      </c>
      <c r="X438" s="21" t="n">
        <f aca="false">('Info Lega'!$B$5-COUNTIFS($D$2:$D$492,'Info Lega'!$B$28,$B$2:$B$492,"P"))+('Info Lega'!$B$6-COUNTIFS($D$2:$D$492,'Info Lega'!$B$28,$B$2:$B$492,"D"))+('Info Lega'!$B$7-COUNTIFS($D$2:$D$492,'Info Lega'!$B$28,$B$2:$B$492,"C"))+('Info Lega'!$B$8-COUNTIFS($D$2:$D$492,'Info Lega'!$B$28,$B$2:$B$492,"A"))</f>
        <v>25</v>
      </c>
      <c r="Y438" s="21" t="n">
        <f aca="false">X438*'Parametri Modello'!$B$30</f>
        <v>25</v>
      </c>
      <c r="Z438" s="21" t="n">
        <f aca="false">MAX(0,W438-Y438)</f>
        <v>975</v>
      </c>
      <c r="AA438" s="21" t="n">
        <f aca="false">MIN(F438,Z438)</f>
        <v>0</v>
      </c>
      <c r="AB438" s="21"/>
      <c r="AC438" s="21" t="str">
        <f aca="false">IF(AB438="","",IF(AB438&gt;AA438,"PASS",IF(AB438&lt;=AA438*0.85,"BID","ATTENZIONE")))</f>
        <v/>
      </c>
      <c r="AD438" s="31" t="n">
        <f aca="false">IF(I438="","",ROUND(100*(1-EXP(-I438/30)),0))</f>
        <v>0</v>
      </c>
      <c r="AE438" s="7" t="str">
        <f aca="false">IFERROR(INDEX('Stato Asta'!$G$9:$G$12,MATCH($B438,'Stato Asta'!$A$9:$A$12,0)),"")</f>
        <v>🟡 Attesa rischiosa</v>
      </c>
    </row>
    <row r="439" customFormat="false" ht="14.25" hidden="false" customHeight="true" outlineLevel="0" collapsed="false">
      <c r="A439" s="21" t="n">
        <v>6410</v>
      </c>
      <c r="B439" s="21" t="s">
        <v>45</v>
      </c>
      <c r="C439" s="21" t="s">
        <v>528</v>
      </c>
      <c r="E439" s="26" t="str">
        <f aca="false">IF(COUNTIF('Info Strategia'!$D$2:$D$51,$C439)&gt;0,"SI","NO")</f>
        <v>NO</v>
      </c>
      <c r="F439" s="27" t="n">
        <f aca="false">IFERROR(ROUND(($G439+($H439-$G439)*'Info Strategia'!$B$6)*(1+IF($E439="SI",'Parametri Modello'!$B$7*'Info Strategia'!$B$6,0)),0),"")</f>
        <v>0</v>
      </c>
      <c r="G439" s="27" t="n">
        <f aca="false">IFERROR(ROUND(MAX(1,(IF($V439&lt;=INDEX('Parametri Modello'!$C$57:$C$60,MATCH($B439,'Parametri Modello'!$A$57:$A$60,0)),IF(INDEX('Parametri Modello'!$E$57:$E$60,MATCH($B439,'Parametri Modello'!$A$57:$A$60,0))=0,0,($O439/INDEX('Parametri Modello'!$E$57:$E$60,MATCH($B439,'Parametri Modello'!$A$57:$A$60,0)))*(INDEX('Parametri Modello'!$D$57:$D$60,MATCH($B439,'Parametri Modello'!$A$57:$A$60,0))*(INDEX('Parametri Modello'!$B$50:$B$53,MATCH($B439,'Parametri Modello'!$A$50:$A$53,0))*'Parametri Modello'!$B$44))),IF(INDEX('Parametri Modello'!$F$57:$F$60,MATCH($B439,'Parametri Modello'!$A$57:$A$60,0))=0,0,($O439/INDEX('Parametri Modello'!$F$57:$F$60,MATCH($B439,'Parametri Modello'!$A$57:$A$60,0)))*((1-INDEX('Parametri Modello'!$D$57:$D$60,MATCH($B439,'Parametri Modello'!$A$57:$A$60,0)))*(INDEX('Parametri Modello'!$B$50:$B$53,MATCH($B439,'Parametri Modello'!$A$50:$A$53,0))*'Parametri Modello'!$B$44))))*(1+IF(IF($B439="D",'Info Lega'!$B$25,IF($B439="C",'Info Lega'!$B$26,"No"))="Si",'Parametri Modello'!$B$5,0))*(1+MAX(-0.25,MIN(0.25,IF(OR($T439="",$I439="",$I439=0,INDEX('Parametri Modello'!$B$19:$B$22,MATCH($B439,'Parametri Modello'!$A$19:$A$22,0))="",INDEX('Parametri Modello'!$B$19:$B$22,MATCH($B439,'Parametri Modello'!$A$19:$A$22,0))=0),0,(($T439-INDEX('Parametri Modello'!$B$19:$B$22,MATCH($B439,'Parametri Modello'!$A$19:$A$22,0)))/INDEX('Parametri Modello'!$B$19:$B$22,MATCH($B439,'Parametri Modello'!$A$19:$A$22,0)))*'Parametri Modello'!$B$9))))*(1+IF('Parametri Modello'!$B$27="Si",MAX(-'Parametri Modello'!$B$28,MIN('Parametri Modello'!$B$28*1.5,IF(OR(INDEX('Parametri Modello'!$F$32:$F$35,MATCH($B439,'Parametri Modello'!$A$32:$A$35,0))="",INDEX('Parametri Modello'!$F$32:$F$35,MATCH($B439,'Parametri Modello'!$A$32:$A$35,0))=0),0,(1/INDEX('Parametri Modello'!$F$32:$F$35,MATCH($B439,'Parametri Modello'!$A$32:$A$35,0))-1)*'Parametri Modello'!$B$28))),0)))*(1-INDEX('Parametri Modello'!$B$12:$B$15,MATCH($B439,'Parametri Modello'!$A$12:$A$15,0)))),0),"")</f>
        <v>1</v>
      </c>
      <c r="H439" s="27" t="n">
        <f aca="false">IFERROR(ROUND((IF($V439&lt;=INDEX('Parametri Modello'!$C$57:$C$60,MATCH($B439,'Parametri Modello'!$A$57:$A$60,0)),IF(INDEX('Parametri Modello'!$E$57:$E$60,MATCH($B439,'Parametri Modello'!$A$57:$A$60,0))=0,0,($O439/INDEX('Parametri Modello'!$E$57:$E$60,MATCH($B439,'Parametri Modello'!$A$57:$A$60,0)))*(INDEX('Parametri Modello'!$D$57:$D$60,MATCH($B439,'Parametri Modello'!$A$57:$A$60,0))*(INDEX('Parametri Modello'!$B$50:$B$53,MATCH($B439,'Parametri Modello'!$A$50:$A$53,0))*'Parametri Modello'!$B$44))),IF(INDEX('Parametri Modello'!$F$57:$F$60,MATCH($B439,'Parametri Modello'!$A$57:$A$60,0))=0,0,($O439/INDEX('Parametri Modello'!$F$57:$F$60,MATCH($B439,'Parametri Modello'!$A$57:$A$60,0)))*((1-INDEX('Parametri Modello'!$D$57:$D$60,MATCH($B439,'Parametri Modello'!$A$57:$A$60,0)))*(INDEX('Parametri Modello'!$B$50:$B$53,MATCH($B439,'Parametri Modello'!$A$50:$A$53,0))*'Parametri Modello'!$B$44))))*(1+IF(IF($B439="D",'Info Lega'!$B$25,IF($B439="C",'Info Lega'!$B$26,"No"))="Si",'Parametri Modello'!$B$5,0))*(1+MAX(-0.25,MIN(0.25,IF(OR($T439="",$I439="",$I439=0,INDEX('Parametri Modello'!$B$19:$B$22,MATCH($B439,'Parametri Modello'!$A$19:$A$22,0))="",INDEX('Parametri Modello'!$B$19:$B$22,MATCH($B439,'Parametri Modello'!$A$19:$A$22,0))=0),0,(($T439-INDEX('Parametri Modello'!$B$19:$B$22,MATCH($B439,'Parametri Modello'!$A$19:$A$22,0)))/INDEX('Parametri Modello'!$B$19:$B$22,MATCH($B439,'Parametri Modello'!$A$19:$A$22,0)))*'Parametri Modello'!$B$9))))*(1+IF('Parametri Modello'!$B$27="Si",MAX(-'Parametri Modello'!$B$28,MIN('Parametri Modello'!$B$28*1.5,IF(OR(INDEX('Parametri Modello'!$F$32:$F$35,MATCH($B439,'Parametri Modello'!$A$32:$A$35,0))="",INDEX('Parametri Modello'!$F$32:$F$35,MATCH($B439,'Parametri Modello'!$A$32:$A$35,0))=0),0,(1/INDEX('Parametri Modello'!$F$32:$F$35,MATCH($B439,'Parametri Modello'!$A$32:$A$35,0))-1)*'Parametri Modello'!$B$28))),0)))*(1+INDEX('Parametri Modello'!$B$12:$B$15,MATCH($B439,'Parametri Modello'!$A$12:$A$15,0))),0),"")</f>
        <v>0</v>
      </c>
      <c r="I439" s="26" t="n">
        <f aca="false">IFERROR(INDEX('Input Statistiche 2025_26'!$F$3:$F$665,MATCH($A439,'Input Statistiche 2025_26'!$A$3:$A$665,0)),"")</f>
        <v>11</v>
      </c>
      <c r="J439" s="26" t="n">
        <f aca="false">IFERROR(IF($I439="","",MAX(0,38-$I439)),"")</f>
        <v>27</v>
      </c>
      <c r="K439" s="26" t="n">
        <f aca="false">IFERROR(INDEX('Input Statistiche 2025_26'!$I$3:$I$665,MATCH($A439,'Input Statistiche 2025_26'!$A$3:$A$665,0)),"")</f>
        <v>0</v>
      </c>
      <c r="L439" s="26" t="n">
        <f aca="false">IFERROR(INDEX('Input Statistiche 2025_26'!$O$3:$O$665,MATCH($A439,'Input Statistiche 2025_26'!$A$3:$A$665,0)),"")</f>
        <v>0</v>
      </c>
      <c r="M439" s="28"/>
      <c r="N439" s="27" t="n">
        <f aca="false">IFERROR(INDEX('Input Giocatori 2026_27'!$E$3:$E$493,MATCH($A439,'Input Giocatori 2026_27'!$A$3:$A$493,0)),"")</f>
        <v>1</v>
      </c>
      <c r="O439" s="27" t="n">
        <f aca="false">IFERROR(INDEX('Input Giocatori 2026_27'!$G$3:$G$493,MATCH($A439,'Input Giocatori 2026_27'!$A$3:$A$493,0)),"")</f>
        <v>2</v>
      </c>
      <c r="P439" s="26" t="str">
        <f aca="false">IFERROR(IF($O439="","",IF((1-(COUNTIFS($B$2:$B$492,$B439,$O$2:$O$492,"&gt;"&amp;$O439)+1-1)/COUNTIF($B$2:$B$492,$B439))&gt;=0.85,"Top",IF((1-(COUNTIFS($B$2:$B$492,$B439,$O$2:$O$492,"&gt;"&amp;$O439)+1-1)/COUNTIF($B$2:$B$492,$B439))&gt;=0.6,"Buono",IF((1-(COUNTIFS($B$2:$B$492,$B439,$O$2:$O$492,"&gt;"&amp;$O439)+1-1)/COUNTIF($B$2:$B$492,$B439))&gt;=0.3,"Nella Media","Scommessa/Riserva")))),"")</f>
        <v>Scommessa/Riserva</v>
      </c>
      <c r="Q439" s="29" t="n">
        <f aca="false">IF($D439="",COUNTIF($D$2:$D439,""),"")</f>
        <v>438</v>
      </c>
      <c r="R439" s="29" t="str">
        <f aca="false">IF($D439='Info Lega'!$B$28,COUNTIFS($D$2:$D439,'Info Lega'!$B$28),"")</f>
        <v/>
      </c>
      <c r="S439" s="30" t="n">
        <f aca="false">IFERROR(INDEX('Input Statistiche 2025_26'!$G$3:$G$665,MATCH($A439,'Input Statistiche 2025_26'!$A$3:$A$665,0)),"")</f>
        <v>5.77</v>
      </c>
      <c r="T439" s="30" t="n">
        <f aca="false">IFERROR(INDEX('Input Statistiche 2025_26'!$H$3:$H$665,MATCH($A439,'Input Statistiche 2025_26'!$A$3:$A$665,0)),"")</f>
        <v>5.73</v>
      </c>
      <c r="U439" s="26" t="str">
        <f aca="false">IF(OR('La Mia Rosa'!$O$12="",$D439&lt;&gt;""),"",IF($F439&lt;='La Mia Rosa'!$O$12*'Parametri Modello'!$B$24,"OK",IF($F439&lt;='La Mia Rosa'!$O$12*'Parametri Modello'!$B$25,"Attenzione","Rischio Alto")))</f>
        <v>OK</v>
      </c>
      <c r="V439" s="26" t="n">
        <f aca="false">IFERROR(COUNTIFS($B$2:$B$492,$B439,$O$2:$O$492,"&gt;"&amp;$O439)+1,"")</f>
        <v>167</v>
      </c>
      <c r="W439" s="21" t="n">
        <f aca="false">'Info Lega'!$B$4-SUMIFS($M$2:$M$492,$D$2:$D$492,'Info Lega'!$B$28)</f>
        <v>1000</v>
      </c>
      <c r="X439" s="21" t="n">
        <f aca="false">('Info Lega'!$B$5-COUNTIFS($D$2:$D$492,'Info Lega'!$B$28,$B$2:$B$492,"P"))+('Info Lega'!$B$6-COUNTIFS($D$2:$D$492,'Info Lega'!$B$28,$B$2:$B$492,"D"))+('Info Lega'!$B$7-COUNTIFS($D$2:$D$492,'Info Lega'!$B$28,$B$2:$B$492,"C"))+('Info Lega'!$B$8-COUNTIFS($D$2:$D$492,'Info Lega'!$B$28,$B$2:$B$492,"A"))</f>
        <v>25</v>
      </c>
      <c r="Y439" s="21" t="n">
        <f aca="false">X439*'Parametri Modello'!$B$30</f>
        <v>25</v>
      </c>
      <c r="Z439" s="21" t="n">
        <f aca="false">MAX(0,W439-Y439)</f>
        <v>975</v>
      </c>
      <c r="AA439" s="21" t="n">
        <f aca="false">MIN(F439,Z439)</f>
        <v>0</v>
      </c>
      <c r="AB439" s="21"/>
      <c r="AC439" s="21" t="str">
        <f aca="false">IF(AB439="","",IF(AB439&gt;AA439,"PASS",IF(AB439&lt;=AA439*0.85,"BID","ATTENZIONE")))</f>
        <v/>
      </c>
      <c r="AD439" s="31" t="n">
        <f aca="false">IF(I439="","",ROUND(100*(1-EXP(-I439/30)),0))</f>
        <v>31</v>
      </c>
      <c r="AE439" s="7" t="str">
        <f aca="false">IFERROR(INDEX('Stato Asta'!$G$9:$G$12,MATCH($B439,'Stato Asta'!$A$9:$A$12,0)),"")</f>
        <v>🟡 Attesa rischiosa</v>
      </c>
    </row>
    <row r="440" customFormat="false" ht="14.25" hidden="false" customHeight="true" outlineLevel="0" collapsed="false">
      <c r="A440" s="21" t="n">
        <v>7317</v>
      </c>
      <c r="B440" s="21" t="s">
        <v>46</v>
      </c>
      <c r="C440" s="21" t="s">
        <v>616</v>
      </c>
      <c r="E440" s="26" t="str">
        <f aca="false">IF(COUNTIF('Info Strategia'!$D$2:$D$51,$C440)&gt;0,"SI","NO")</f>
        <v>NO</v>
      </c>
      <c r="F440" s="27" t="n">
        <f aca="false">IFERROR(ROUND(($G440+($H440-$G440)*'Info Strategia'!$B$6)*(1+IF($E440="SI",'Parametri Modello'!$B$7*'Info Strategia'!$B$6,0)),0),"")</f>
        <v>1</v>
      </c>
      <c r="G440" s="27" t="n">
        <f aca="false">IFERROR(ROUND(MAX(1,(IF($V440&lt;=INDEX('Parametri Modello'!$C$57:$C$60,MATCH($B440,'Parametri Modello'!$A$57:$A$60,0)),IF(INDEX('Parametri Modello'!$E$57:$E$60,MATCH($B440,'Parametri Modello'!$A$57:$A$60,0))=0,0,($O440/INDEX('Parametri Modello'!$E$57:$E$60,MATCH($B440,'Parametri Modello'!$A$57:$A$60,0)))*(INDEX('Parametri Modello'!$D$57:$D$60,MATCH($B440,'Parametri Modello'!$A$57:$A$60,0))*(INDEX('Parametri Modello'!$B$50:$B$53,MATCH($B440,'Parametri Modello'!$A$50:$A$53,0))*'Parametri Modello'!$B$44))),IF(INDEX('Parametri Modello'!$F$57:$F$60,MATCH($B440,'Parametri Modello'!$A$57:$A$60,0))=0,0,($O440/INDEX('Parametri Modello'!$F$57:$F$60,MATCH($B440,'Parametri Modello'!$A$57:$A$60,0)))*((1-INDEX('Parametri Modello'!$D$57:$D$60,MATCH($B440,'Parametri Modello'!$A$57:$A$60,0)))*(INDEX('Parametri Modello'!$B$50:$B$53,MATCH($B440,'Parametri Modello'!$A$50:$A$53,0))*'Parametri Modello'!$B$44))))*(1+IF(IF($B440="D",'Info Lega'!$B$25,IF($B440="C",'Info Lega'!$B$26,"No"))="Si",'Parametri Modello'!$B$5,0))*(1+MAX(-0.25,MIN(0.25,IF(OR($T440="",$I440="",$I440=0,INDEX('Parametri Modello'!$B$19:$B$22,MATCH($B440,'Parametri Modello'!$A$19:$A$22,0))="",INDEX('Parametri Modello'!$B$19:$B$22,MATCH($B440,'Parametri Modello'!$A$19:$A$22,0))=0),0,(($T440-INDEX('Parametri Modello'!$B$19:$B$22,MATCH($B440,'Parametri Modello'!$A$19:$A$22,0)))/INDEX('Parametri Modello'!$B$19:$B$22,MATCH($B440,'Parametri Modello'!$A$19:$A$22,0)))*'Parametri Modello'!$B$9))))*(1+IF('Parametri Modello'!$B$27="Si",MAX(-'Parametri Modello'!$B$28,MIN('Parametri Modello'!$B$28*1.5,IF(OR(INDEX('Parametri Modello'!$F$32:$F$35,MATCH($B440,'Parametri Modello'!$A$32:$A$35,0))="",INDEX('Parametri Modello'!$F$32:$F$35,MATCH($B440,'Parametri Modello'!$A$32:$A$35,0))=0),0,(1/INDEX('Parametri Modello'!$F$32:$F$35,MATCH($B440,'Parametri Modello'!$A$32:$A$35,0))-1)*'Parametri Modello'!$B$28))),0)))*(1-INDEX('Parametri Modello'!$B$12:$B$15,MATCH($B440,'Parametri Modello'!$A$12:$A$15,0)))),0),"")</f>
        <v>1</v>
      </c>
      <c r="H440" s="27" t="n">
        <f aca="false">IFERROR(ROUND((IF($V440&lt;=INDEX('Parametri Modello'!$C$57:$C$60,MATCH($B440,'Parametri Modello'!$A$57:$A$60,0)),IF(INDEX('Parametri Modello'!$E$57:$E$60,MATCH($B440,'Parametri Modello'!$A$57:$A$60,0))=0,0,($O440/INDEX('Parametri Modello'!$E$57:$E$60,MATCH($B440,'Parametri Modello'!$A$57:$A$60,0)))*(INDEX('Parametri Modello'!$D$57:$D$60,MATCH($B440,'Parametri Modello'!$A$57:$A$60,0))*(INDEX('Parametri Modello'!$B$50:$B$53,MATCH($B440,'Parametri Modello'!$A$50:$A$53,0))*'Parametri Modello'!$B$44))),IF(INDEX('Parametri Modello'!$F$57:$F$60,MATCH($B440,'Parametri Modello'!$A$57:$A$60,0))=0,0,($O440/INDEX('Parametri Modello'!$F$57:$F$60,MATCH($B440,'Parametri Modello'!$A$57:$A$60,0)))*((1-INDEX('Parametri Modello'!$D$57:$D$60,MATCH($B440,'Parametri Modello'!$A$57:$A$60,0)))*(INDEX('Parametri Modello'!$B$50:$B$53,MATCH($B440,'Parametri Modello'!$A$50:$A$53,0))*'Parametri Modello'!$B$44))))*(1+IF(IF($B440="D",'Info Lega'!$B$25,IF($B440="C",'Info Lega'!$B$26,"No"))="Si",'Parametri Modello'!$B$5,0))*(1+MAX(-0.25,MIN(0.25,IF(OR($T440="",$I440="",$I440=0,INDEX('Parametri Modello'!$B$19:$B$22,MATCH($B440,'Parametri Modello'!$A$19:$A$22,0))="",INDEX('Parametri Modello'!$B$19:$B$22,MATCH($B440,'Parametri Modello'!$A$19:$A$22,0))=0),0,(($T440-INDEX('Parametri Modello'!$B$19:$B$22,MATCH($B440,'Parametri Modello'!$A$19:$A$22,0)))/INDEX('Parametri Modello'!$B$19:$B$22,MATCH($B440,'Parametri Modello'!$A$19:$A$22,0)))*'Parametri Modello'!$B$9))))*(1+IF('Parametri Modello'!$B$27="Si",MAX(-'Parametri Modello'!$B$28,MIN('Parametri Modello'!$B$28*1.5,IF(OR(INDEX('Parametri Modello'!$F$32:$F$35,MATCH($B440,'Parametri Modello'!$A$32:$A$35,0))="",INDEX('Parametri Modello'!$F$32:$F$35,MATCH($B440,'Parametri Modello'!$A$32:$A$35,0))=0),0,(1/INDEX('Parametri Modello'!$F$32:$F$35,MATCH($B440,'Parametri Modello'!$A$32:$A$35,0))-1)*'Parametri Modello'!$B$28))),0)))*(1+INDEX('Parametri Modello'!$B$12:$B$15,MATCH($B440,'Parametri Modello'!$A$12:$A$15,0))),0),"")</f>
        <v>1</v>
      </c>
      <c r="I440" s="26" t="n">
        <f aca="false">IFERROR(INDEX('Input Statistiche 2025_26'!$F$3:$F$665,MATCH($A440,'Input Statistiche 2025_26'!$A$3:$A$665,0)),"")</f>
        <v>3</v>
      </c>
      <c r="J440" s="26" t="n">
        <f aca="false">IFERROR(IF($I440="","",MAX(0,38-$I440)),"")</f>
        <v>35</v>
      </c>
      <c r="K440" s="26" t="n">
        <f aca="false">IFERROR(INDEX('Input Statistiche 2025_26'!$I$3:$I$665,MATCH($A440,'Input Statistiche 2025_26'!$A$3:$A$665,0)),"")</f>
        <v>0</v>
      </c>
      <c r="L440" s="26" t="n">
        <f aca="false">IFERROR(INDEX('Input Statistiche 2025_26'!$O$3:$O$665,MATCH($A440,'Input Statistiche 2025_26'!$A$3:$A$665,0)),"")</f>
        <v>0</v>
      </c>
      <c r="M440" s="28"/>
      <c r="N440" s="27" t="n">
        <f aca="false">IFERROR(INDEX('Input Giocatori 2026_27'!$E$3:$E$493,MATCH($A440,'Input Giocatori 2026_27'!$A$3:$A$493,0)),"")</f>
        <v>1</v>
      </c>
      <c r="O440" s="27" t="n">
        <f aca="false">IFERROR(INDEX('Input Giocatori 2026_27'!$G$3:$G$493,MATCH($A440,'Input Giocatori 2026_27'!$A$3:$A$493,0)),"")</f>
        <v>2</v>
      </c>
      <c r="P440" s="26" t="str">
        <f aca="false">IFERROR(IF($O440="","",IF((1-(COUNTIFS($B$2:$B$492,$B440,$O$2:$O$492,"&gt;"&amp;$O440)+1-1)/COUNTIF($B$2:$B$492,$B440))&gt;=0.85,"Top",IF((1-(COUNTIFS($B$2:$B$492,$B440,$O$2:$O$492,"&gt;"&amp;$O440)+1-1)/COUNTIF($B$2:$B$492,$B440))&gt;=0.6,"Buono",IF((1-(COUNTIFS($B$2:$B$492,$B440,$O$2:$O$492,"&gt;"&amp;$O440)+1-1)/COUNTIF($B$2:$B$492,$B440))&gt;=0.3,"Nella Media","Scommessa/Riserva")))),"")</f>
        <v>Scommessa/Riserva</v>
      </c>
      <c r="Q440" s="29" t="n">
        <f aca="false">IF($D440="",COUNTIF($D$2:$D440,""),"")</f>
        <v>439</v>
      </c>
      <c r="R440" s="29" t="str">
        <f aca="false">IF($D440='Info Lega'!$B$28,COUNTIFS($D$2:$D440,'Info Lega'!$B$28),"")</f>
        <v/>
      </c>
      <c r="S440" s="30" t="n">
        <f aca="false">IFERROR(INDEX('Input Statistiche 2025_26'!$G$3:$G$665,MATCH($A440,'Input Statistiche 2025_26'!$A$3:$A$665,0)),"")</f>
        <v>5.67</v>
      </c>
      <c r="T440" s="30" t="n">
        <f aca="false">IFERROR(INDEX('Input Statistiche 2025_26'!$H$3:$H$665,MATCH($A440,'Input Statistiche 2025_26'!$A$3:$A$665,0)),"")</f>
        <v>5.67</v>
      </c>
      <c r="U440" s="26" t="str">
        <f aca="false">IF(OR('La Mia Rosa'!$O$12="",$D440&lt;&gt;""),"",IF($F440&lt;='La Mia Rosa'!$O$12*'Parametri Modello'!$B$24,"OK",IF($F440&lt;='La Mia Rosa'!$O$12*'Parametri Modello'!$B$25,"Attenzione","Rischio Alto")))</f>
        <v>OK</v>
      </c>
      <c r="V440" s="26" t="n">
        <f aca="false">IFERROR(COUNTIFS($B$2:$B$492,$B440,$O$2:$O$492,"&gt;"&amp;$O440)+1,"")</f>
        <v>80</v>
      </c>
      <c r="W440" s="21" t="n">
        <f aca="false">'Info Lega'!$B$4-SUMIFS($M$2:$M$492,$D$2:$D$492,'Info Lega'!$B$28)</f>
        <v>1000</v>
      </c>
      <c r="X440" s="21" t="n">
        <f aca="false">('Info Lega'!$B$5-COUNTIFS($D$2:$D$492,'Info Lega'!$B$28,$B$2:$B$492,"P"))+('Info Lega'!$B$6-COUNTIFS($D$2:$D$492,'Info Lega'!$B$28,$B$2:$B$492,"D"))+('Info Lega'!$B$7-COUNTIFS($D$2:$D$492,'Info Lega'!$B$28,$B$2:$B$492,"C"))+('Info Lega'!$B$8-COUNTIFS($D$2:$D$492,'Info Lega'!$B$28,$B$2:$B$492,"A"))</f>
        <v>25</v>
      </c>
      <c r="Y440" s="21" t="n">
        <f aca="false">X440*'Parametri Modello'!$B$30</f>
        <v>25</v>
      </c>
      <c r="Z440" s="21" t="n">
        <f aca="false">MAX(0,W440-Y440)</f>
        <v>975</v>
      </c>
      <c r="AA440" s="21" t="n">
        <f aca="false">MIN(F440,Z440)</f>
        <v>1</v>
      </c>
      <c r="AB440" s="21"/>
      <c r="AC440" s="21" t="str">
        <f aca="false">IF(AB440="","",IF(AB440&gt;AA440,"PASS",IF(AB440&lt;=AA440*0.85,"BID","ATTENZIONE")))</f>
        <v/>
      </c>
      <c r="AD440" s="31" t="n">
        <f aca="false">IF(I440="","",ROUND(100*(1-EXP(-I440/30)),0))</f>
        <v>10</v>
      </c>
      <c r="AE440" s="7" t="str">
        <f aca="false">IFERROR(INDEX('Stato Asta'!$G$9:$G$12,MATCH($B440,'Stato Asta'!$A$9:$A$12,0)),"")</f>
        <v>🔴 Non aspettare</v>
      </c>
    </row>
    <row r="441" customFormat="false" ht="14.25" hidden="false" customHeight="true" outlineLevel="0" collapsed="false">
      <c r="A441" s="21" t="n">
        <v>2297</v>
      </c>
      <c r="B441" s="21" t="s">
        <v>43</v>
      </c>
      <c r="C441" s="21" t="s">
        <v>155</v>
      </c>
      <c r="E441" s="26" t="str">
        <f aca="false">IF(COUNTIF('Info Strategia'!$D$2:$D$51,$C441)&gt;0,"SI","NO")</f>
        <v>NO</v>
      </c>
      <c r="F441" s="27" t="n">
        <f aca="false">IFERROR(ROUND(($G441+($H441-$G441)*'Info Strategia'!$B$6)*(1+IF($E441="SI",'Parametri Modello'!$B$7*'Info Strategia'!$B$6,0)),0),"")</f>
        <v>0</v>
      </c>
      <c r="G441" s="27" t="n">
        <f aca="false">IFERROR(ROUND(MAX(1,(IF($V441&lt;=INDEX('Parametri Modello'!$C$57:$C$60,MATCH($B441,'Parametri Modello'!$A$57:$A$60,0)),IF(INDEX('Parametri Modello'!$E$57:$E$60,MATCH($B441,'Parametri Modello'!$A$57:$A$60,0))=0,0,($O441/INDEX('Parametri Modello'!$E$57:$E$60,MATCH($B441,'Parametri Modello'!$A$57:$A$60,0)))*(INDEX('Parametri Modello'!$D$57:$D$60,MATCH($B441,'Parametri Modello'!$A$57:$A$60,0))*(INDEX('Parametri Modello'!$B$50:$B$53,MATCH($B441,'Parametri Modello'!$A$50:$A$53,0))*'Parametri Modello'!$B$44))),IF(INDEX('Parametri Modello'!$F$57:$F$60,MATCH($B441,'Parametri Modello'!$A$57:$A$60,0))=0,0,($O441/INDEX('Parametri Modello'!$F$57:$F$60,MATCH($B441,'Parametri Modello'!$A$57:$A$60,0)))*((1-INDEX('Parametri Modello'!$D$57:$D$60,MATCH($B441,'Parametri Modello'!$A$57:$A$60,0)))*(INDEX('Parametri Modello'!$B$50:$B$53,MATCH($B441,'Parametri Modello'!$A$50:$A$53,0))*'Parametri Modello'!$B$44))))*(1+IF(IF($B441="D",'Info Lega'!$B$25,IF($B441="C",'Info Lega'!$B$26,"No"))="Si",'Parametri Modello'!$B$5,0))*(1+MAX(-0.25,MIN(0.25,IF(OR($T441="",$I441="",$I441=0,INDEX('Parametri Modello'!$B$19:$B$22,MATCH($B441,'Parametri Modello'!$A$19:$A$22,0))="",INDEX('Parametri Modello'!$B$19:$B$22,MATCH($B441,'Parametri Modello'!$A$19:$A$22,0))=0),0,(($T441-INDEX('Parametri Modello'!$B$19:$B$22,MATCH($B441,'Parametri Modello'!$A$19:$A$22,0)))/INDEX('Parametri Modello'!$B$19:$B$22,MATCH($B441,'Parametri Modello'!$A$19:$A$22,0)))*'Parametri Modello'!$B$9))))*(1+IF('Parametri Modello'!$B$27="Si",MAX(-'Parametri Modello'!$B$28,MIN('Parametri Modello'!$B$28*1.5,IF(OR(INDEX('Parametri Modello'!$F$32:$F$35,MATCH($B441,'Parametri Modello'!$A$32:$A$35,0))="",INDEX('Parametri Modello'!$F$32:$F$35,MATCH($B441,'Parametri Modello'!$A$32:$A$35,0))=0),0,(1/INDEX('Parametri Modello'!$F$32:$F$35,MATCH($B441,'Parametri Modello'!$A$32:$A$35,0))-1)*'Parametri Modello'!$B$28))),0)))*(1-INDEX('Parametri Modello'!$B$12:$B$15,MATCH($B441,'Parametri Modello'!$A$12:$A$15,0)))),0),"")</f>
        <v>1</v>
      </c>
      <c r="H441" s="27" t="n">
        <f aca="false">IFERROR(ROUND((IF($V441&lt;=INDEX('Parametri Modello'!$C$57:$C$60,MATCH($B441,'Parametri Modello'!$A$57:$A$60,0)),IF(INDEX('Parametri Modello'!$E$57:$E$60,MATCH($B441,'Parametri Modello'!$A$57:$A$60,0))=0,0,($O441/INDEX('Parametri Modello'!$E$57:$E$60,MATCH($B441,'Parametri Modello'!$A$57:$A$60,0)))*(INDEX('Parametri Modello'!$D$57:$D$60,MATCH($B441,'Parametri Modello'!$A$57:$A$60,0))*(INDEX('Parametri Modello'!$B$50:$B$53,MATCH($B441,'Parametri Modello'!$A$50:$A$53,0))*'Parametri Modello'!$B$44))),IF(INDEX('Parametri Modello'!$F$57:$F$60,MATCH($B441,'Parametri Modello'!$A$57:$A$60,0))=0,0,($O441/INDEX('Parametri Modello'!$F$57:$F$60,MATCH($B441,'Parametri Modello'!$A$57:$A$60,0)))*((1-INDEX('Parametri Modello'!$D$57:$D$60,MATCH($B441,'Parametri Modello'!$A$57:$A$60,0)))*(INDEX('Parametri Modello'!$B$50:$B$53,MATCH($B441,'Parametri Modello'!$A$50:$A$53,0))*'Parametri Modello'!$B$44))))*(1+IF(IF($B441="D",'Info Lega'!$B$25,IF($B441="C",'Info Lega'!$B$26,"No"))="Si",'Parametri Modello'!$B$5,0))*(1+MAX(-0.25,MIN(0.25,IF(OR($T441="",$I441="",$I441=0,INDEX('Parametri Modello'!$B$19:$B$22,MATCH($B441,'Parametri Modello'!$A$19:$A$22,0))="",INDEX('Parametri Modello'!$B$19:$B$22,MATCH($B441,'Parametri Modello'!$A$19:$A$22,0))=0),0,(($T441-INDEX('Parametri Modello'!$B$19:$B$22,MATCH($B441,'Parametri Modello'!$A$19:$A$22,0)))/INDEX('Parametri Modello'!$B$19:$B$22,MATCH($B441,'Parametri Modello'!$A$19:$A$22,0)))*'Parametri Modello'!$B$9))))*(1+IF('Parametri Modello'!$B$27="Si",MAX(-'Parametri Modello'!$B$28,MIN('Parametri Modello'!$B$28*1.5,IF(OR(INDEX('Parametri Modello'!$F$32:$F$35,MATCH($B441,'Parametri Modello'!$A$32:$A$35,0))="",INDEX('Parametri Modello'!$F$32:$F$35,MATCH($B441,'Parametri Modello'!$A$32:$A$35,0))=0),0,(1/INDEX('Parametri Modello'!$F$32:$F$35,MATCH($B441,'Parametri Modello'!$A$32:$A$35,0))-1)*'Parametri Modello'!$B$28))),0)))*(1+INDEX('Parametri Modello'!$B$12:$B$15,MATCH($B441,'Parametri Modello'!$A$12:$A$15,0))),0),"")</f>
        <v>0</v>
      </c>
      <c r="I441" s="26" t="n">
        <f aca="false">IFERROR(INDEX('Input Statistiche 2025_26'!$F$3:$F$665,MATCH($A441,'Input Statistiche 2025_26'!$A$3:$A$665,0)),"")</f>
        <v>0</v>
      </c>
      <c r="J441" s="26" t="n">
        <f aca="false">IFERROR(IF($I441="","",MAX(0,38-$I441)),"")</f>
        <v>38</v>
      </c>
      <c r="K441" s="26" t="n">
        <f aca="false">IFERROR(INDEX('Input Statistiche 2025_26'!$I$3:$I$665,MATCH($A441,'Input Statistiche 2025_26'!$A$3:$A$665,0)),"")</f>
        <v>0</v>
      </c>
      <c r="L441" s="26" t="n">
        <f aca="false">IFERROR(INDEX('Input Statistiche 2025_26'!$O$3:$O$665,MATCH($A441,'Input Statistiche 2025_26'!$A$3:$A$665,0)),"")</f>
        <v>0</v>
      </c>
      <c r="M441" s="28"/>
      <c r="N441" s="27" t="n">
        <f aca="false">IFERROR(INDEX('Input Giocatori 2026_27'!$E$3:$E$493,MATCH($A441,'Input Giocatori 2026_27'!$A$3:$A$493,0)),"")</f>
        <v>1</v>
      </c>
      <c r="O441" s="27" t="n">
        <f aca="false">IFERROR(INDEX('Input Giocatori 2026_27'!$G$3:$G$493,MATCH($A441,'Input Giocatori 2026_27'!$A$3:$A$493,0)),"")</f>
        <v>1</v>
      </c>
      <c r="P441" s="26" t="str">
        <f aca="false">IFERROR(IF($O441="","",IF((1-(COUNTIFS($B$2:$B$492,$B441,$O$2:$O$492,"&gt;"&amp;$O441)+1-1)/COUNTIF($B$2:$B$492,$B441))&gt;=0.85,"Top",IF((1-(COUNTIFS($B$2:$B$492,$B441,$O$2:$O$492,"&gt;"&amp;$O441)+1-1)/COUNTIF($B$2:$B$492,$B441))&gt;=0.6,"Buono",IF((1-(COUNTIFS($B$2:$B$492,$B441,$O$2:$O$492,"&gt;"&amp;$O441)+1-1)/COUNTIF($B$2:$B$492,$B441))&gt;=0.3,"Nella Media","Scommessa/Riserva")))),"")</f>
        <v>Nella Media</v>
      </c>
      <c r="Q441" s="29" t="n">
        <f aca="false">IF($D441="",COUNTIF($D$2:$D441,""),"")</f>
        <v>440</v>
      </c>
      <c r="R441" s="29" t="str">
        <f aca="false">IF($D441='Info Lega'!$B$28,COUNTIFS($D$2:$D441,'Info Lega'!$B$28),"")</f>
        <v/>
      </c>
      <c r="S441" s="30" t="n">
        <f aca="false">IFERROR(INDEX('Input Statistiche 2025_26'!$G$3:$G$665,MATCH($A441,'Input Statistiche 2025_26'!$A$3:$A$665,0)),"")</f>
        <v>0</v>
      </c>
      <c r="T441" s="30" t="n">
        <f aca="false">IFERROR(INDEX('Input Statistiche 2025_26'!$H$3:$H$665,MATCH($A441,'Input Statistiche 2025_26'!$A$3:$A$665,0)),"")</f>
        <v>0</v>
      </c>
      <c r="U441" s="26" t="str">
        <f aca="false">IF(OR('La Mia Rosa'!$O$12="",$D441&lt;&gt;""),"",IF($F441&lt;='La Mia Rosa'!$O$12*'Parametri Modello'!$B$24,"OK",IF($F441&lt;='La Mia Rosa'!$O$12*'Parametri Modello'!$B$25,"Attenzione","Rischio Alto")))</f>
        <v>OK</v>
      </c>
      <c r="V441" s="26" t="n">
        <f aca="false">IFERROR(COUNTIFS($B$2:$B$492,$B441,$O$2:$O$492,"&gt;"&amp;$O441)+1,"")</f>
        <v>26</v>
      </c>
      <c r="W441" s="21" t="n">
        <f aca="false">'Info Lega'!$B$4-SUMIFS($M$2:$M$492,$D$2:$D$492,'Info Lega'!$B$28)</f>
        <v>1000</v>
      </c>
      <c r="X441" s="21" t="n">
        <f aca="false">('Info Lega'!$B$5-COUNTIFS($D$2:$D$492,'Info Lega'!$B$28,$B$2:$B$492,"P"))+('Info Lega'!$B$6-COUNTIFS($D$2:$D$492,'Info Lega'!$B$28,$B$2:$B$492,"D"))+('Info Lega'!$B$7-COUNTIFS($D$2:$D$492,'Info Lega'!$B$28,$B$2:$B$492,"C"))+('Info Lega'!$B$8-COUNTIFS($D$2:$D$492,'Info Lega'!$B$28,$B$2:$B$492,"A"))</f>
        <v>25</v>
      </c>
      <c r="Y441" s="21" t="n">
        <f aca="false">X441*'Parametri Modello'!$B$30</f>
        <v>25</v>
      </c>
      <c r="Z441" s="21" t="n">
        <f aca="false">MAX(0,W441-Y441)</f>
        <v>975</v>
      </c>
      <c r="AA441" s="21" t="n">
        <f aca="false">MIN(F441,Z441)</f>
        <v>0</v>
      </c>
      <c r="AB441" s="21"/>
      <c r="AC441" s="21" t="str">
        <f aca="false">IF(AB441="","",IF(AB441&gt;AA441,"PASS",IF(AB441&lt;=AA441*0.85,"BID","ATTENZIONE")))</f>
        <v/>
      </c>
      <c r="AD441" s="31" t="n">
        <f aca="false">IF(I441="","",ROUND(100*(1-EXP(-I441/30)),0))</f>
        <v>0</v>
      </c>
      <c r="AE441" s="7" t="str">
        <f aca="false">IFERROR(INDEX('Stato Asta'!$G$9:$G$12,MATCH($B441,'Stato Asta'!$A$9:$A$12,0)),"")</f>
        <v>🟡 Attesa rischiosa</v>
      </c>
    </row>
    <row r="442" customFormat="false" ht="14.25" hidden="false" customHeight="true" outlineLevel="0" collapsed="false">
      <c r="A442" s="21" t="n">
        <v>4</v>
      </c>
      <c r="B442" s="21" t="s">
        <v>43</v>
      </c>
      <c r="C442" s="21" t="s">
        <v>156</v>
      </c>
      <c r="E442" s="26" t="str">
        <f aca="false">IF(COUNTIF('Info Strategia'!$D$2:$D$51,$C442)&gt;0,"SI","NO")</f>
        <v>NO</v>
      </c>
      <c r="F442" s="27" t="n">
        <f aca="false">IFERROR(ROUND(($G442+($H442-$G442)*'Info Strategia'!$B$6)*(1+IF($E442="SI",'Parametri Modello'!$B$7*'Info Strategia'!$B$6,0)),0),"")</f>
        <v>0</v>
      </c>
      <c r="G442" s="27" t="n">
        <f aca="false">IFERROR(ROUND(MAX(1,(IF($V442&lt;=INDEX('Parametri Modello'!$C$57:$C$60,MATCH($B442,'Parametri Modello'!$A$57:$A$60,0)),IF(INDEX('Parametri Modello'!$E$57:$E$60,MATCH($B442,'Parametri Modello'!$A$57:$A$60,0))=0,0,($O442/INDEX('Parametri Modello'!$E$57:$E$60,MATCH($B442,'Parametri Modello'!$A$57:$A$60,0)))*(INDEX('Parametri Modello'!$D$57:$D$60,MATCH($B442,'Parametri Modello'!$A$57:$A$60,0))*(INDEX('Parametri Modello'!$B$50:$B$53,MATCH($B442,'Parametri Modello'!$A$50:$A$53,0))*'Parametri Modello'!$B$44))),IF(INDEX('Parametri Modello'!$F$57:$F$60,MATCH($B442,'Parametri Modello'!$A$57:$A$60,0))=0,0,($O442/INDEX('Parametri Modello'!$F$57:$F$60,MATCH($B442,'Parametri Modello'!$A$57:$A$60,0)))*((1-INDEX('Parametri Modello'!$D$57:$D$60,MATCH($B442,'Parametri Modello'!$A$57:$A$60,0)))*(INDEX('Parametri Modello'!$B$50:$B$53,MATCH($B442,'Parametri Modello'!$A$50:$A$53,0))*'Parametri Modello'!$B$44))))*(1+IF(IF($B442="D",'Info Lega'!$B$25,IF($B442="C",'Info Lega'!$B$26,"No"))="Si",'Parametri Modello'!$B$5,0))*(1+MAX(-0.25,MIN(0.25,IF(OR($T442="",$I442="",$I442=0,INDEX('Parametri Modello'!$B$19:$B$22,MATCH($B442,'Parametri Modello'!$A$19:$A$22,0))="",INDEX('Parametri Modello'!$B$19:$B$22,MATCH($B442,'Parametri Modello'!$A$19:$A$22,0))=0),0,(($T442-INDEX('Parametri Modello'!$B$19:$B$22,MATCH($B442,'Parametri Modello'!$A$19:$A$22,0)))/INDEX('Parametri Modello'!$B$19:$B$22,MATCH($B442,'Parametri Modello'!$A$19:$A$22,0)))*'Parametri Modello'!$B$9))))*(1+IF('Parametri Modello'!$B$27="Si",MAX(-'Parametri Modello'!$B$28,MIN('Parametri Modello'!$B$28*1.5,IF(OR(INDEX('Parametri Modello'!$F$32:$F$35,MATCH($B442,'Parametri Modello'!$A$32:$A$35,0))="",INDEX('Parametri Modello'!$F$32:$F$35,MATCH($B442,'Parametri Modello'!$A$32:$A$35,0))=0),0,(1/INDEX('Parametri Modello'!$F$32:$F$35,MATCH($B442,'Parametri Modello'!$A$32:$A$35,0))-1)*'Parametri Modello'!$B$28))),0)))*(1-INDEX('Parametri Modello'!$B$12:$B$15,MATCH($B442,'Parametri Modello'!$A$12:$A$15,0)))),0),"")</f>
        <v>1</v>
      </c>
      <c r="H442" s="27" t="n">
        <f aca="false">IFERROR(ROUND((IF($V442&lt;=INDEX('Parametri Modello'!$C$57:$C$60,MATCH($B442,'Parametri Modello'!$A$57:$A$60,0)),IF(INDEX('Parametri Modello'!$E$57:$E$60,MATCH($B442,'Parametri Modello'!$A$57:$A$60,0))=0,0,($O442/INDEX('Parametri Modello'!$E$57:$E$60,MATCH($B442,'Parametri Modello'!$A$57:$A$60,0)))*(INDEX('Parametri Modello'!$D$57:$D$60,MATCH($B442,'Parametri Modello'!$A$57:$A$60,0))*(INDEX('Parametri Modello'!$B$50:$B$53,MATCH($B442,'Parametri Modello'!$A$50:$A$53,0))*'Parametri Modello'!$B$44))),IF(INDEX('Parametri Modello'!$F$57:$F$60,MATCH($B442,'Parametri Modello'!$A$57:$A$60,0))=0,0,($O442/INDEX('Parametri Modello'!$F$57:$F$60,MATCH($B442,'Parametri Modello'!$A$57:$A$60,0)))*((1-INDEX('Parametri Modello'!$D$57:$D$60,MATCH($B442,'Parametri Modello'!$A$57:$A$60,0)))*(INDEX('Parametri Modello'!$B$50:$B$53,MATCH($B442,'Parametri Modello'!$A$50:$A$53,0))*'Parametri Modello'!$B$44))))*(1+IF(IF($B442="D",'Info Lega'!$B$25,IF($B442="C",'Info Lega'!$B$26,"No"))="Si",'Parametri Modello'!$B$5,0))*(1+MAX(-0.25,MIN(0.25,IF(OR($T442="",$I442="",$I442=0,INDEX('Parametri Modello'!$B$19:$B$22,MATCH($B442,'Parametri Modello'!$A$19:$A$22,0))="",INDEX('Parametri Modello'!$B$19:$B$22,MATCH($B442,'Parametri Modello'!$A$19:$A$22,0))=0),0,(($T442-INDEX('Parametri Modello'!$B$19:$B$22,MATCH($B442,'Parametri Modello'!$A$19:$A$22,0)))/INDEX('Parametri Modello'!$B$19:$B$22,MATCH($B442,'Parametri Modello'!$A$19:$A$22,0)))*'Parametri Modello'!$B$9))))*(1+IF('Parametri Modello'!$B$27="Si",MAX(-'Parametri Modello'!$B$28,MIN('Parametri Modello'!$B$28*1.5,IF(OR(INDEX('Parametri Modello'!$F$32:$F$35,MATCH($B442,'Parametri Modello'!$A$32:$A$35,0))="",INDEX('Parametri Modello'!$F$32:$F$35,MATCH($B442,'Parametri Modello'!$A$32:$A$35,0))=0),0,(1/INDEX('Parametri Modello'!$F$32:$F$35,MATCH($B442,'Parametri Modello'!$A$32:$A$35,0))-1)*'Parametri Modello'!$B$28))),0)))*(1+INDEX('Parametri Modello'!$B$12:$B$15,MATCH($B442,'Parametri Modello'!$A$12:$A$15,0))),0),"")</f>
        <v>0</v>
      </c>
      <c r="I442" s="26" t="n">
        <f aca="false">IFERROR(INDEX('Input Statistiche 2025_26'!$F$3:$F$665,MATCH($A442,'Input Statistiche 2025_26'!$A$3:$A$665,0)),"")</f>
        <v>1</v>
      </c>
      <c r="J442" s="26" t="n">
        <f aca="false">IFERROR(IF($I442="","",MAX(0,38-$I442)),"")</f>
        <v>37</v>
      </c>
      <c r="K442" s="26" t="n">
        <f aca="false">IFERROR(INDEX('Input Statistiche 2025_26'!$I$3:$I$665,MATCH($A442,'Input Statistiche 2025_26'!$A$3:$A$665,0)),"")</f>
        <v>0</v>
      </c>
      <c r="L442" s="26" t="n">
        <f aca="false">IFERROR(INDEX('Input Statistiche 2025_26'!$O$3:$O$665,MATCH($A442,'Input Statistiche 2025_26'!$A$3:$A$665,0)),"")</f>
        <v>0</v>
      </c>
      <c r="M442" s="28"/>
      <c r="N442" s="27" t="n">
        <f aca="false">IFERROR(INDEX('Input Giocatori 2026_27'!$E$3:$E$493,MATCH($A442,'Input Giocatori 2026_27'!$A$3:$A$493,0)),"")</f>
        <v>1</v>
      </c>
      <c r="O442" s="27" t="n">
        <f aca="false">IFERROR(INDEX('Input Giocatori 2026_27'!$G$3:$G$493,MATCH($A442,'Input Giocatori 2026_27'!$A$3:$A$493,0)),"")</f>
        <v>1</v>
      </c>
      <c r="P442" s="26" t="str">
        <f aca="false">IFERROR(IF($O442="","",IF((1-(COUNTIFS($B$2:$B$492,$B442,$O$2:$O$492,"&gt;"&amp;$O442)+1-1)/COUNTIF($B$2:$B$492,$B442))&gt;=0.85,"Top",IF((1-(COUNTIFS($B$2:$B$492,$B442,$O$2:$O$492,"&gt;"&amp;$O442)+1-1)/COUNTIF($B$2:$B$492,$B442))&gt;=0.6,"Buono",IF((1-(COUNTIFS($B$2:$B$492,$B442,$O$2:$O$492,"&gt;"&amp;$O442)+1-1)/COUNTIF($B$2:$B$492,$B442))&gt;=0.3,"Nella Media","Scommessa/Riserva")))),"")</f>
        <v>Nella Media</v>
      </c>
      <c r="Q442" s="29" t="n">
        <f aca="false">IF($D442="",COUNTIF($D$2:$D442,""),"")</f>
        <v>441</v>
      </c>
      <c r="R442" s="29" t="str">
        <f aca="false">IF($D442='Info Lega'!$B$28,COUNTIFS($D$2:$D442,'Info Lega'!$B$28),"")</f>
        <v/>
      </c>
      <c r="S442" s="30" t="n">
        <f aca="false">IFERROR(INDEX('Input Statistiche 2025_26'!$G$3:$G$665,MATCH($A442,'Input Statistiche 2025_26'!$A$3:$A$665,0)),"")</f>
        <v>5.5</v>
      </c>
      <c r="T442" s="30" t="n">
        <f aca="false">IFERROR(INDEX('Input Statistiche 2025_26'!$H$3:$H$665,MATCH($A442,'Input Statistiche 2025_26'!$A$3:$A$665,0)),"")</f>
        <v>4.5</v>
      </c>
      <c r="U442" s="26" t="str">
        <f aca="false">IF(OR('La Mia Rosa'!$O$12="",$D442&lt;&gt;""),"",IF($F442&lt;='La Mia Rosa'!$O$12*'Parametri Modello'!$B$24,"OK",IF($F442&lt;='La Mia Rosa'!$O$12*'Parametri Modello'!$B$25,"Attenzione","Rischio Alto")))</f>
        <v>OK</v>
      </c>
      <c r="V442" s="26" t="n">
        <f aca="false">IFERROR(COUNTIFS($B$2:$B$492,$B442,$O$2:$O$492,"&gt;"&amp;$O442)+1,"")</f>
        <v>26</v>
      </c>
      <c r="W442" s="21" t="n">
        <f aca="false">'Info Lega'!$B$4-SUMIFS($M$2:$M$492,$D$2:$D$492,'Info Lega'!$B$28)</f>
        <v>1000</v>
      </c>
      <c r="X442" s="21" t="n">
        <f aca="false">('Info Lega'!$B$5-COUNTIFS($D$2:$D$492,'Info Lega'!$B$28,$B$2:$B$492,"P"))+('Info Lega'!$B$6-COUNTIFS($D$2:$D$492,'Info Lega'!$B$28,$B$2:$B$492,"D"))+('Info Lega'!$B$7-COUNTIFS($D$2:$D$492,'Info Lega'!$B$28,$B$2:$B$492,"C"))+('Info Lega'!$B$8-COUNTIFS($D$2:$D$492,'Info Lega'!$B$28,$B$2:$B$492,"A"))</f>
        <v>25</v>
      </c>
      <c r="Y442" s="21" t="n">
        <f aca="false">X442*'Parametri Modello'!$B$30</f>
        <v>25</v>
      </c>
      <c r="Z442" s="21" t="n">
        <f aca="false">MAX(0,W442-Y442)</f>
        <v>975</v>
      </c>
      <c r="AA442" s="21" t="n">
        <f aca="false">MIN(F442,Z442)</f>
        <v>0</v>
      </c>
      <c r="AB442" s="21"/>
      <c r="AC442" s="21" t="str">
        <f aca="false">IF(AB442="","",IF(AB442&gt;AA442,"PASS",IF(AB442&lt;=AA442*0.85,"BID","ATTENZIONE")))</f>
        <v/>
      </c>
      <c r="AD442" s="31" t="n">
        <f aca="false">IF(I442="","",ROUND(100*(1-EXP(-I442/30)),0))</f>
        <v>3</v>
      </c>
      <c r="AE442" s="7" t="str">
        <f aca="false">IFERROR(INDEX('Stato Asta'!$G$9:$G$12,MATCH($B442,'Stato Asta'!$A$9:$A$12,0)),"")</f>
        <v>🟡 Attesa rischiosa</v>
      </c>
    </row>
    <row r="443" customFormat="false" ht="14.25" hidden="false" customHeight="true" outlineLevel="0" collapsed="false">
      <c r="A443" s="21" t="n">
        <v>7533</v>
      </c>
      <c r="B443" s="21" t="s">
        <v>43</v>
      </c>
      <c r="C443" s="21" t="s">
        <v>157</v>
      </c>
      <c r="E443" s="26" t="str">
        <f aca="false">IF(COUNTIF('Info Strategia'!$D$2:$D$51,$C443)&gt;0,"SI","NO")</f>
        <v>NO</v>
      </c>
      <c r="F443" s="27" t="n">
        <f aca="false">IFERROR(ROUND(($G443+($H443-$G443)*'Info Strategia'!$B$6)*(1+IF($E443="SI",'Parametri Modello'!$B$7*'Info Strategia'!$B$6,0)),0),"")</f>
        <v>0</v>
      </c>
      <c r="G443" s="27" t="n">
        <f aca="false">IFERROR(ROUND(MAX(1,(IF($V443&lt;=INDEX('Parametri Modello'!$C$57:$C$60,MATCH($B443,'Parametri Modello'!$A$57:$A$60,0)),IF(INDEX('Parametri Modello'!$E$57:$E$60,MATCH($B443,'Parametri Modello'!$A$57:$A$60,0))=0,0,($O443/INDEX('Parametri Modello'!$E$57:$E$60,MATCH($B443,'Parametri Modello'!$A$57:$A$60,0)))*(INDEX('Parametri Modello'!$D$57:$D$60,MATCH($B443,'Parametri Modello'!$A$57:$A$60,0))*(INDEX('Parametri Modello'!$B$50:$B$53,MATCH($B443,'Parametri Modello'!$A$50:$A$53,0))*'Parametri Modello'!$B$44))),IF(INDEX('Parametri Modello'!$F$57:$F$60,MATCH($B443,'Parametri Modello'!$A$57:$A$60,0))=0,0,($O443/INDEX('Parametri Modello'!$F$57:$F$60,MATCH($B443,'Parametri Modello'!$A$57:$A$60,0)))*((1-INDEX('Parametri Modello'!$D$57:$D$60,MATCH($B443,'Parametri Modello'!$A$57:$A$60,0)))*(INDEX('Parametri Modello'!$B$50:$B$53,MATCH($B443,'Parametri Modello'!$A$50:$A$53,0))*'Parametri Modello'!$B$44))))*(1+IF(IF($B443="D",'Info Lega'!$B$25,IF($B443="C",'Info Lega'!$B$26,"No"))="Si",'Parametri Modello'!$B$5,0))*(1+MAX(-0.25,MIN(0.25,IF(OR($T443="",$I443="",$I443=0,INDEX('Parametri Modello'!$B$19:$B$22,MATCH($B443,'Parametri Modello'!$A$19:$A$22,0))="",INDEX('Parametri Modello'!$B$19:$B$22,MATCH($B443,'Parametri Modello'!$A$19:$A$22,0))=0),0,(($T443-INDEX('Parametri Modello'!$B$19:$B$22,MATCH($B443,'Parametri Modello'!$A$19:$A$22,0)))/INDEX('Parametri Modello'!$B$19:$B$22,MATCH($B443,'Parametri Modello'!$A$19:$A$22,0)))*'Parametri Modello'!$B$9))))*(1+IF('Parametri Modello'!$B$27="Si",MAX(-'Parametri Modello'!$B$28,MIN('Parametri Modello'!$B$28*1.5,IF(OR(INDEX('Parametri Modello'!$F$32:$F$35,MATCH($B443,'Parametri Modello'!$A$32:$A$35,0))="",INDEX('Parametri Modello'!$F$32:$F$35,MATCH($B443,'Parametri Modello'!$A$32:$A$35,0))=0),0,(1/INDEX('Parametri Modello'!$F$32:$F$35,MATCH($B443,'Parametri Modello'!$A$32:$A$35,0))-1)*'Parametri Modello'!$B$28))),0)))*(1-INDEX('Parametri Modello'!$B$12:$B$15,MATCH($B443,'Parametri Modello'!$A$12:$A$15,0)))),0),"")</f>
        <v>1</v>
      </c>
      <c r="H443" s="27" t="n">
        <f aca="false">IFERROR(ROUND((IF($V443&lt;=INDEX('Parametri Modello'!$C$57:$C$60,MATCH($B443,'Parametri Modello'!$A$57:$A$60,0)),IF(INDEX('Parametri Modello'!$E$57:$E$60,MATCH($B443,'Parametri Modello'!$A$57:$A$60,0))=0,0,($O443/INDEX('Parametri Modello'!$E$57:$E$60,MATCH($B443,'Parametri Modello'!$A$57:$A$60,0)))*(INDEX('Parametri Modello'!$D$57:$D$60,MATCH($B443,'Parametri Modello'!$A$57:$A$60,0))*(INDEX('Parametri Modello'!$B$50:$B$53,MATCH($B443,'Parametri Modello'!$A$50:$A$53,0))*'Parametri Modello'!$B$44))),IF(INDEX('Parametri Modello'!$F$57:$F$60,MATCH($B443,'Parametri Modello'!$A$57:$A$60,0))=0,0,($O443/INDEX('Parametri Modello'!$F$57:$F$60,MATCH($B443,'Parametri Modello'!$A$57:$A$60,0)))*((1-INDEX('Parametri Modello'!$D$57:$D$60,MATCH($B443,'Parametri Modello'!$A$57:$A$60,0)))*(INDEX('Parametri Modello'!$B$50:$B$53,MATCH($B443,'Parametri Modello'!$A$50:$A$53,0))*'Parametri Modello'!$B$44))))*(1+IF(IF($B443="D",'Info Lega'!$B$25,IF($B443="C",'Info Lega'!$B$26,"No"))="Si",'Parametri Modello'!$B$5,0))*(1+MAX(-0.25,MIN(0.25,IF(OR($T443="",$I443="",$I443=0,INDEX('Parametri Modello'!$B$19:$B$22,MATCH($B443,'Parametri Modello'!$A$19:$A$22,0))="",INDEX('Parametri Modello'!$B$19:$B$22,MATCH($B443,'Parametri Modello'!$A$19:$A$22,0))=0),0,(($T443-INDEX('Parametri Modello'!$B$19:$B$22,MATCH($B443,'Parametri Modello'!$A$19:$A$22,0)))/INDEX('Parametri Modello'!$B$19:$B$22,MATCH($B443,'Parametri Modello'!$A$19:$A$22,0)))*'Parametri Modello'!$B$9))))*(1+IF('Parametri Modello'!$B$27="Si",MAX(-'Parametri Modello'!$B$28,MIN('Parametri Modello'!$B$28*1.5,IF(OR(INDEX('Parametri Modello'!$F$32:$F$35,MATCH($B443,'Parametri Modello'!$A$32:$A$35,0))="",INDEX('Parametri Modello'!$F$32:$F$35,MATCH($B443,'Parametri Modello'!$A$32:$A$35,0))=0),0,(1/INDEX('Parametri Modello'!$F$32:$F$35,MATCH($B443,'Parametri Modello'!$A$32:$A$35,0))-1)*'Parametri Modello'!$B$28))),0)))*(1+INDEX('Parametri Modello'!$B$12:$B$15,MATCH($B443,'Parametri Modello'!$A$12:$A$15,0))),0),"")</f>
        <v>0</v>
      </c>
      <c r="I443" s="26" t="str">
        <f aca="false">IFERROR(INDEX('Input Statistiche 2025_26'!$F$3:$F$665,MATCH($A443,'Input Statistiche 2025_26'!$A$3:$A$665,0)),"")</f>
        <v/>
      </c>
      <c r="J443" s="26" t="str">
        <f aca="false">IFERROR(IF($I443="","",MAX(0,38-$I443)),"")</f>
        <v/>
      </c>
      <c r="K443" s="26" t="str">
        <f aca="false">IFERROR(INDEX('Input Statistiche 2025_26'!$I$3:$I$665,MATCH($A443,'Input Statistiche 2025_26'!$A$3:$A$665,0)),"")</f>
        <v/>
      </c>
      <c r="L443" s="26" t="str">
        <f aca="false">IFERROR(INDEX('Input Statistiche 2025_26'!$O$3:$O$665,MATCH($A443,'Input Statistiche 2025_26'!$A$3:$A$665,0)),"")</f>
        <v/>
      </c>
      <c r="M443" s="28"/>
      <c r="N443" s="27" t="n">
        <f aca="false">IFERROR(INDEX('Input Giocatori 2026_27'!$E$3:$E$493,MATCH($A443,'Input Giocatori 2026_27'!$A$3:$A$493,0)),"")</f>
        <v>1</v>
      </c>
      <c r="O443" s="27" t="n">
        <f aca="false">IFERROR(INDEX('Input Giocatori 2026_27'!$G$3:$G$493,MATCH($A443,'Input Giocatori 2026_27'!$A$3:$A$493,0)),"")</f>
        <v>1</v>
      </c>
      <c r="P443" s="26" t="str">
        <f aca="false">IFERROR(IF($O443="","",IF((1-(COUNTIFS($B$2:$B$492,$B443,$O$2:$O$492,"&gt;"&amp;$O443)+1-1)/COUNTIF($B$2:$B$492,$B443))&gt;=0.85,"Top",IF((1-(COUNTIFS($B$2:$B$492,$B443,$O$2:$O$492,"&gt;"&amp;$O443)+1-1)/COUNTIF($B$2:$B$492,$B443))&gt;=0.6,"Buono",IF((1-(COUNTIFS($B$2:$B$492,$B443,$O$2:$O$492,"&gt;"&amp;$O443)+1-1)/COUNTIF($B$2:$B$492,$B443))&gt;=0.3,"Nella Media","Scommessa/Riserva")))),"")</f>
        <v>Nella Media</v>
      </c>
      <c r="Q443" s="29" t="n">
        <f aca="false">IF($D443="",COUNTIF($D$2:$D443,""),"")</f>
        <v>442</v>
      </c>
      <c r="R443" s="29" t="str">
        <f aca="false">IF($D443='Info Lega'!$B$28,COUNTIFS($D$2:$D443,'Info Lega'!$B$28),"")</f>
        <v/>
      </c>
      <c r="S443" s="30" t="str">
        <f aca="false">IFERROR(INDEX('Input Statistiche 2025_26'!$G$3:$G$665,MATCH($A443,'Input Statistiche 2025_26'!$A$3:$A$665,0)),"")</f>
        <v/>
      </c>
      <c r="T443" s="30" t="str">
        <f aca="false">IFERROR(INDEX('Input Statistiche 2025_26'!$H$3:$H$665,MATCH($A443,'Input Statistiche 2025_26'!$A$3:$A$665,0)),"")</f>
        <v/>
      </c>
      <c r="U443" s="26" t="str">
        <f aca="false">IF(OR('La Mia Rosa'!$O$12="",$D443&lt;&gt;""),"",IF($F443&lt;='La Mia Rosa'!$O$12*'Parametri Modello'!$B$24,"OK",IF($F443&lt;='La Mia Rosa'!$O$12*'Parametri Modello'!$B$25,"Attenzione","Rischio Alto")))</f>
        <v>OK</v>
      </c>
      <c r="V443" s="26" t="n">
        <f aca="false">IFERROR(COUNTIFS($B$2:$B$492,$B443,$O$2:$O$492,"&gt;"&amp;$O443)+1,"")</f>
        <v>26</v>
      </c>
      <c r="W443" s="21" t="n">
        <f aca="false">'Info Lega'!$B$4-SUMIFS($M$2:$M$492,$D$2:$D$492,'Info Lega'!$B$28)</f>
        <v>1000</v>
      </c>
      <c r="X443" s="21" t="n">
        <f aca="false">('Info Lega'!$B$5-COUNTIFS($D$2:$D$492,'Info Lega'!$B$28,$B$2:$B$492,"P"))+('Info Lega'!$B$6-COUNTIFS($D$2:$D$492,'Info Lega'!$B$28,$B$2:$B$492,"D"))+('Info Lega'!$B$7-COUNTIFS($D$2:$D$492,'Info Lega'!$B$28,$B$2:$B$492,"C"))+('Info Lega'!$B$8-COUNTIFS($D$2:$D$492,'Info Lega'!$B$28,$B$2:$B$492,"A"))</f>
        <v>25</v>
      </c>
      <c r="Y443" s="21" t="n">
        <f aca="false">X443*'Parametri Modello'!$B$30</f>
        <v>25</v>
      </c>
      <c r="Z443" s="21" t="n">
        <f aca="false">MAX(0,W443-Y443)</f>
        <v>975</v>
      </c>
      <c r="AA443" s="21" t="n">
        <f aca="false">MIN(F443,Z443)</f>
        <v>0</v>
      </c>
      <c r="AB443" s="21"/>
      <c r="AC443" s="21" t="str">
        <f aca="false">IF(AB443="","",IF(AB443&gt;AA443,"PASS",IF(AB443&lt;=AA443*0.85,"BID","ATTENZIONE")))</f>
        <v/>
      </c>
      <c r="AD443" s="31" t="str">
        <f aca="false">IF(I443="","",ROUND(100*(1-EXP(-I443/30)),0))</f>
        <v/>
      </c>
      <c r="AE443" s="7" t="str">
        <f aca="false">IFERROR(INDEX('Stato Asta'!$G$9:$G$12,MATCH($B443,'Stato Asta'!$A$9:$A$12,0)),"")</f>
        <v>🟡 Attesa rischiosa</v>
      </c>
    </row>
    <row r="444" customFormat="false" ht="14.25" hidden="false" customHeight="true" outlineLevel="0" collapsed="false">
      <c r="A444" s="21" t="n">
        <v>7172</v>
      </c>
      <c r="B444" s="21" t="s">
        <v>43</v>
      </c>
      <c r="C444" s="21" t="s">
        <v>158</v>
      </c>
      <c r="E444" s="26" t="str">
        <f aca="false">IF(COUNTIF('Info Strategia'!$D$2:$D$51,$C444)&gt;0,"SI","NO")</f>
        <v>NO</v>
      </c>
      <c r="F444" s="27" t="n">
        <f aca="false">IFERROR(ROUND(($G444+($H444-$G444)*'Info Strategia'!$B$6)*(1+IF($E444="SI",'Parametri Modello'!$B$7*'Info Strategia'!$B$6,0)),0),"")</f>
        <v>0</v>
      </c>
      <c r="G444" s="27" t="n">
        <f aca="false">IFERROR(ROUND(MAX(1,(IF($V444&lt;=INDEX('Parametri Modello'!$C$57:$C$60,MATCH($B444,'Parametri Modello'!$A$57:$A$60,0)),IF(INDEX('Parametri Modello'!$E$57:$E$60,MATCH($B444,'Parametri Modello'!$A$57:$A$60,0))=0,0,($O444/INDEX('Parametri Modello'!$E$57:$E$60,MATCH($B444,'Parametri Modello'!$A$57:$A$60,0)))*(INDEX('Parametri Modello'!$D$57:$D$60,MATCH($B444,'Parametri Modello'!$A$57:$A$60,0))*(INDEX('Parametri Modello'!$B$50:$B$53,MATCH($B444,'Parametri Modello'!$A$50:$A$53,0))*'Parametri Modello'!$B$44))),IF(INDEX('Parametri Modello'!$F$57:$F$60,MATCH($B444,'Parametri Modello'!$A$57:$A$60,0))=0,0,($O444/INDEX('Parametri Modello'!$F$57:$F$60,MATCH($B444,'Parametri Modello'!$A$57:$A$60,0)))*((1-INDEX('Parametri Modello'!$D$57:$D$60,MATCH($B444,'Parametri Modello'!$A$57:$A$60,0)))*(INDEX('Parametri Modello'!$B$50:$B$53,MATCH($B444,'Parametri Modello'!$A$50:$A$53,0))*'Parametri Modello'!$B$44))))*(1+IF(IF($B444="D",'Info Lega'!$B$25,IF($B444="C",'Info Lega'!$B$26,"No"))="Si",'Parametri Modello'!$B$5,0))*(1+MAX(-0.25,MIN(0.25,IF(OR($T444="",$I444="",$I444=0,INDEX('Parametri Modello'!$B$19:$B$22,MATCH($B444,'Parametri Modello'!$A$19:$A$22,0))="",INDEX('Parametri Modello'!$B$19:$B$22,MATCH($B444,'Parametri Modello'!$A$19:$A$22,0))=0),0,(($T444-INDEX('Parametri Modello'!$B$19:$B$22,MATCH($B444,'Parametri Modello'!$A$19:$A$22,0)))/INDEX('Parametri Modello'!$B$19:$B$22,MATCH($B444,'Parametri Modello'!$A$19:$A$22,0)))*'Parametri Modello'!$B$9))))*(1+IF('Parametri Modello'!$B$27="Si",MAX(-'Parametri Modello'!$B$28,MIN('Parametri Modello'!$B$28*1.5,IF(OR(INDEX('Parametri Modello'!$F$32:$F$35,MATCH($B444,'Parametri Modello'!$A$32:$A$35,0))="",INDEX('Parametri Modello'!$F$32:$F$35,MATCH($B444,'Parametri Modello'!$A$32:$A$35,0))=0),0,(1/INDEX('Parametri Modello'!$F$32:$F$35,MATCH($B444,'Parametri Modello'!$A$32:$A$35,0))-1)*'Parametri Modello'!$B$28))),0)))*(1-INDEX('Parametri Modello'!$B$12:$B$15,MATCH($B444,'Parametri Modello'!$A$12:$A$15,0)))),0),"")</f>
        <v>1</v>
      </c>
      <c r="H444" s="27" t="n">
        <f aca="false">IFERROR(ROUND((IF($V444&lt;=INDEX('Parametri Modello'!$C$57:$C$60,MATCH($B444,'Parametri Modello'!$A$57:$A$60,0)),IF(INDEX('Parametri Modello'!$E$57:$E$60,MATCH($B444,'Parametri Modello'!$A$57:$A$60,0))=0,0,($O444/INDEX('Parametri Modello'!$E$57:$E$60,MATCH($B444,'Parametri Modello'!$A$57:$A$60,0)))*(INDEX('Parametri Modello'!$D$57:$D$60,MATCH($B444,'Parametri Modello'!$A$57:$A$60,0))*(INDEX('Parametri Modello'!$B$50:$B$53,MATCH($B444,'Parametri Modello'!$A$50:$A$53,0))*'Parametri Modello'!$B$44))),IF(INDEX('Parametri Modello'!$F$57:$F$60,MATCH($B444,'Parametri Modello'!$A$57:$A$60,0))=0,0,($O444/INDEX('Parametri Modello'!$F$57:$F$60,MATCH($B444,'Parametri Modello'!$A$57:$A$60,0)))*((1-INDEX('Parametri Modello'!$D$57:$D$60,MATCH($B444,'Parametri Modello'!$A$57:$A$60,0)))*(INDEX('Parametri Modello'!$B$50:$B$53,MATCH($B444,'Parametri Modello'!$A$50:$A$53,0))*'Parametri Modello'!$B$44))))*(1+IF(IF($B444="D",'Info Lega'!$B$25,IF($B444="C",'Info Lega'!$B$26,"No"))="Si",'Parametri Modello'!$B$5,0))*(1+MAX(-0.25,MIN(0.25,IF(OR($T444="",$I444="",$I444=0,INDEX('Parametri Modello'!$B$19:$B$22,MATCH($B444,'Parametri Modello'!$A$19:$A$22,0))="",INDEX('Parametri Modello'!$B$19:$B$22,MATCH($B444,'Parametri Modello'!$A$19:$A$22,0))=0),0,(($T444-INDEX('Parametri Modello'!$B$19:$B$22,MATCH($B444,'Parametri Modello'!$A$19:$A$22,0)))/INDEX('Parametri Modello'!$B$19:$B$22,MATCH($B444,'Parametri Modello'!$A$19:$A$22,0)))*'Parametri Modello'!$B$9))))*(1+IF('Parametri Modello'!$B$27="Si",MAX(-'Parametri Modello'!$B$28,MIN('Parametri Modello'!$B$28*1.5,IF(OR(INDEX('Parametri Modello'!$F$32:$F$35,MATCH($B444,'Parametri Modello'!$A$32:$A$35,0))="",INDEX('Parametri Modello'!$F$32:$F$35,MATCH($B444,'Parametri Modello'!$A$32:$A$35,0))=0),0,(1/INDEX('Parametri Modello'!$F$32:$F$35,MATCH($B444,'Parametri Modello'!$A$32:$A$35,0))-1)*'Parametri Modello'!$B$28))),0)))*(1+INDEX('Parametri Modello'!$B$12:$B$15,MATCH($B444,'Parametri Modello'!$A$12:$A$15,0))),0),"")</f>
        <v>0</v>
      </c>
      <c r="I444" s="26" t="n">
        <f aca="false">IFERROR(INDEX('Input Statistiche 2025_26'!$F$3:$F$665,MATCH($A444,'Input Statistiche 2025_26'!$A$3:$A$665,0)),"")</f>
        <v>4</v>
      </c>
      <c r="J444" s="26" t="n">
        <f aca="false">IFERROR(IF($I444="","",MAX(0,38-$I444)),"")</f>
        <v>34</v>
      </c>
      <c r="K444" s="26" t="n">
        <f aca="false">IFERROR(INDEX('Input Statistiche 2025_26'!$I$3:$I$665,MATCH($A444,'Input Statistiche 2025_26'!$A$3:$A$665,0)),"")</f>
        <v>0</v>
      </c>
      <c r="L444" s="26" t="n">
        <f aca="false">IFERROR(INDEX('Input Statistiche 2025_26'!$O$3:$O$665,MATCH($A444,'Input Statistiche 2025_26'!$A$3:$A$665,0)),"")</f>
        <v>0</v>
      </c>
      <c r="M444" s="28"/>
      <c r="N444" s="27" t="n">
        <f aca="false">IFERROR(INDEX('Input Giocatori 2026_27'!$E$3:$E$493,MATCH($A444,'Input Giocatori 2026_27'!$A$3:$A$493,0)),"")</f>
        <v>1</v>
      </c>
      <c r="O444" s="27" t="n">
        <f aca="false">IFERROR(INDEX('Input Giocatori 2026_27'!$G$3:$G$493,MATCH($A444,'Input Giocatori 2026_27'!$A$3:$A$493,0)),"")</f>
        <v>1</v>
      </c>
      <c r="P444" s="26" t="str">
        <f aca="false">IFERROR(IF($O444="","",IF((1-(COUNTIFS($B$2:$B$492,$B444,$O$2:$O$492,"&gt;"&amp;$O444)+1-1)/COUNTIF($B$2:$B$492,$B444))&gt;=0.85,"Top",IF((1-(COUNTIFS($B$2:$B$492,$B444,$O$2:$O$492,"&gt;"&amp;$O444)+1-1)/COUNTIF($B$2:$B$492,$B444))&gt;=0.6,"Buono",IF((1-(COUNTIFS($B$2:$B$492,$B444,$O$2:$O$492,"&gt;"&amp;$O444)+1-1)/COUNTIF($B$2:$B$492,$B444))&gt;=0.3,"Nella Media","Scommessa/Riserva")))),"")</f>
        <v>Nella Media</v>
      </c>
      <c r="Q444" s="29" t="n">
        <f aca="false">IF($D444="",COUNTIF($D$2:$D444,""),"")</f>
        <v>443</v>
      </c>
      <c r="R444" s="29" t="str">
        <f aca="false">IF($D444='Info Lega'!$B$28,COUNTIFS($D$2:$D444,'Info Lega'!$B$28),"")</f>
        <v/>
      </c>
      <c r="S444" s="30" t="n">
        <f aca="false">IFERROR(INDEX('Input Statistiche 2025_26'!$G$3:$G$665,MATCH($A444,'Input Statistiche 2025_26'!$A$3:$A$665,0)),"")</f>
        <v>6.12</v>
      </c>
      <c r="T444" s="30" t="n">
        <f aca="false">IFERROR(INDEX('Input Statistiche 2025_26'!$H$3:$H$665,MATCH($A444,'Input Statistiche 2025_26'!$A$3:$A$665,0)),"")</f>
        <v>5.62</v>
      </c>
      <c r="U444" s="26" t="str">
        <f aca="false">IF(OR('La Mia Rosa'!$O$12="",$D444&lt;&gt;""),"",IF($F444&lt;='La Mia Rosa'!$O$12*'Parametri Modello'!$B$24,"OK",IF($F444&lt;='La Mia Rosa'!$O$12*'Parametri Modello'!$B$25,"Attenzione","Rischio Alto")))</f>
        <v>OK</v>
      </c>
      <c r="V444" s="26" t="n">
        <f aca="false">IFERROR(COUNTIFS($B$2:$B$492,$B444,$O$2:$O$492,"&gt;"&amp;$O444)+1,"")</f>
        <v>26</v>
      </c>
      <c r="W444" s="21" t="n">
        <f aca="false">'Info Lega'!$B$4-SUMIFS($M$2:$M$492,$D$2:$D$492,'Info Lega'!$B$28)</f>
        <v>1000</v>
      </c>
      <c r="X444" s="21" t="n">
        <f aca="false">('Info Lega'!$B$5-COUNTIFS($D$2:$D$492,'Info Lega'!$B$28,$B$2:$B$492,"P"))+('Info Lega'!$B$6-COUNTIFS($D$2:$D$492,'Info Lega'!$B$28,$B$2:$B$492,"D"))+('Info Lega'!$B$7-COUNTIFS($D$2:$D$492,'Info Lega'!$B$28,$B$2:$B$492,"C"))+('Info Lega'!$B$8-COUNTIFS($D$2:$D$492,'Info Lega'!$B$28,$B$2:$B$492,"A"))</f>
        <v>25</v>
      </c>
      <c r="Y444" s="21" t="n">
        <f aca="false">X444*'Parametri Modello'!$B$30</f>
        <v>25</v>
      </c>
      <c r="Z444" s="21" t="n">
        <f aca="false">MAX(0,W444-Y444)</f>
        <v>975</v>
      </c>
      <c r="AA444" s="21" t="n">
        <f aca="false">MIN(F444,Z444)</f>
        <v>0</v>
      </c>
      <c r="AB444" s="21"/>
      <c r="AC444" s="21" t="str">
        <f aca="false">IF(AB444="","",IF(AB444&gt;AA444,"PASS",IF(AB444&lt;=AA444*0.85,"BID","ATTENZIONE")))</f>
        <v/>
      </c>
      <c r="AD444" s="31" t="n">
        <f aca="false">IF(I444="","",ROUND(100*(1-EXP(-I444/30)),0))</f>
        <v>12</v>
      </c>
      <c r="AE444" s="7" t="str">
        <f aca="false">IFERROR(INDEX('Stato Asta'!$G$9:$G$12,MATCH($B444,'Stato Asta'!$A$9:$A$12,0)),"")</f>
        <v>🟡 Attesa rischiosa</v>
      </c>
    </row>
    <row r="445" customFormat="false" ht="14.25" hidden="false" customHeight="true" outlineLevel="0" collapsed="false">
      <c r="A445" s="21" t="n">
        <v>4929</v>
      </c>
      <c r="B445" s="21" t="s">
        <v>43</v>
      </c>
      <c r="C445" s="21" t="s">
        <v>159</v>
      </c>
      <c r="E445" s="26" t="str">
        <f aca="false">IF(COUNTIF('Info Strategia'!$D$2:$D$51,$C445)&gt;0,"SI","NO")</f>
        <v>NO</v>
      </c>
      <c r="F445" s="27" t="n">
        <f aca="false">IFERROR(ROUND(($G445+($H445-$G445)*'Info Strategia'!$B$6)*(1+IF($E445="SI",'Parametri Modello'!$B$7*'Info Strategia'!$B$6,0)),0),"")</f>
        <v>0</v>
      </c>
      <c r="G445" s="27" t="n">
        <f aca="false">IFERROR(ROUND(MAX(1,(IF($V445&lt;=INDEX('Parametri Modello'!$C$57:$C$60,MATCH($B445,'Parametri Modello'!$A$57:$A$60,0)),IF(INDEX('Parametri Modello'!$E$57:$E$60,MATCH($B445,'Parametri Modello'!$A$57:$A$60,0))=0,0,($O445/INDEX('Parametri Modello'!$E$57:$E$60,MATCH($B445,'Parametri Modello'!$A$57:$A$60,0)))*(INDEX('Parametri Modello'!$D$57:$D$60,MATCH($B445,'Parametri Modello'!$A$57:$A$60,0))*(INDEX('Parametri Modello'!$B$50:$B$53,MATCH($B445,'Parametri Modello'!$A$50:$A$53,0))*'Parametri Modello'!$B$44))),IF(INDEX('Parametri Modello'!$F$57:$F$60,MATCH($B445,'Parametri Modello'!$A$57:$A$60,0))=0,0,($O445/INDEX('Parametri Modello'!$F$57:$F$60,MATCH($B445,'Parametri Modello'!$A$57:$A$60,0)))*((1-INDEX('Parametri Modello'!$D$57:$D$60,MATCH($B445,'Parametri Modello'!$A$57:$A$60,0)))*(INDEX('Parametri Modello'!$B$50:$B$53,MATCH($B445,'Parametri Modello'!$A$50:$A$53,0))*'Parametri Modello'!$B$44))))*(1+IF(IF($B445="D",'Info Lega'!$B$25,IF($B445="C",'Info Lega'!$B$26,"No"))="Si",'Parametri Modello'!$B$5,0))*(1+MAX(-0.25,MIN(0.25,IF(OR($T445="",$I445="",$I445=0,INDEX('Parametri Modello'!$B$19:$B$22,MATCH($B445,'Parametri Modello'!$A$19:$A$22,0))="",INDEX('Parametri Modello'!$B$19:$B$22,MATCH($B445,'Parametri Modello'!$A$19:$A$22,0))=0),0,(($T445-INDEX('Parametri Modello'!$B$19:$B$22,MATCH($B445,'Parametri Modello'!$A$19:$A$22,0)))/INDEX('Parametri Modello'!$B$19:$B$22,MATCH($B445,'Parametri Modello'!$A$19:$A$22,0)))*'Parametri Modello'!$B$9))))*(1+IF('Parametri Modello'!$B$27="Si",MAX(-'Parametri Modello'!$B$28,MIN('Parametri Modello'!$B$28*1.5,IF(OR(INDEX('Parametri Modello'!$F$32:$F$35,MATCH($B445,'Parametri Modello'!$A$32:$A$35,0))="",INDEX('Parametri Modello'!$F$32:$F$35,MATCH($B445,'Parametri Modello'!$A$32:$A$35,0))=0),0,(1/INDEX('Parametri Modello'!$F$32:$F$35,MATCH($B445,'Parametri Modello'!$A$32:$A$35,0))-1)*'Parametri Modello'!$B$28))),0)))*(1-INDEX('Parametri Modello'!$B$12:$B$15,MATCH($B445,'Parametri Modello'!$A$12:$A$15,0)))),0),"")</f>
        <v>1</v>
      </c>
      <c r="H445" s="27" t="n">
        <f aca="false">IFERROR(ROUND((IF($V445&lt;=INDEX('Parametri Modello'!$C$57:$C$60,MATCH($B445,'Parametri Modello'!$A$57:$A$60,0)),IF(INDEX('Parametri Modello'!$E$57:$E$60,MATCH($B445,'Parametri Modello'!$A$57:$A$60,0))=0,0,($O445/INDEX('Parametri Modello'!$E$57:$E$60,MATCH($B445,'Parametri Modello'!$A$57:$A$60,0)))*(INDEX('Parametri Modello'!$D$57:$D$60,MATCH($B445,'Parametri Modello'!$A$57:$A$60,0))*(INDEX('Parametri Modello'!$B$50:$B$53,MATCH($B445,'Parametri Modello'!$A$50:$A$53,0))*'Parametri Modello'!$B$44))),IF(INDEX('Parametri Modello'!$F$57:$F$60,MATCH($B445,'Parametri Modello'!$A$57:$A$60,0))=0,0,($O445/INDEX('Parametri Modello'!$F$57:$F$60,MATCH($B445,'Parametri Modello'!$A$57:$A$60,0)))*((1-INDEX('Parametri Modello'!$D$57:$D$60,MATCH($B445,'Parametri Modello'!$A$57:$A$60,0)))*(INDEX('Parametri Modello'!$B$50:$B$53,MATCH($B445,'Parametri Modello'!$A$50:$A$53,0))*'Parametri Modello'!$B$44))))*(1+IF(IF($B445="D",'Info Lega'!$B$25,IF($B445="C",'Info Lega'!$B$26,"No"))="Si",'Parametri Modello'!$B$5,0))*(1+MAX(-0.25,MIN(0.25,IF(OR($T445="",$I445="",$I445=0,INDEX('Parametri Modello'!$B$19:$B$22,MATCH($B445,'Parametri Modello'!$A$19:$A$22,0))="",INDEX('Parametri Modello'!$B$19:$B$22,MATCH($B445,'Parametri Modello'!$A$19:$A$22,0))=0),0,(($T445-INDEX('Parametri Modello'!$B$19:$B$22,MATCH($B445,'Parametri Modello'!$A$19:$A$22,0)))/INDEX('Parametri Modello'!$B$19:$B$22,MATCH($B445,'Parametri Modello'!$A$19:$A$22,0)))*'Parametri Modello'!$B$9))))*(1+IF('Parametri Modello'!$B$27="Si",MAX(-'Parametri Modello'!$B$28,MIN('Parametri Modello'!$B$28*1.5,IF(OR(INDEX('Parametri Modello'!$F$32:$F$35,MATCH($B445,'Parametri Modello'!$A$32:$A$35,0))="",INDEX('Parametri Modello'!$F$32:$F$35,MATCH($B445,'Parametri Modello'!$A$32:$A$35,0))=0),0,(1/INDEX('Parametri Modello'!$F$32:$F$35,MATCH($B445,'Parametri Modello'!$A$32:$A$35,0))-1)*'Parametri Modello'!$B$28))),0)))*(1+INDEX('Parametri Modello'!$B$12:$B$15,MATCH($B445,'Parametri Modello'!$A$12:$A$15,0))),0),"")</f>
        <v>0</v>
      </c>
      <c r="I445" s="26" t="n">
        <f aca="false">IFERROR(INDEX('Input Statistiche 2025_26'!$F$3:$F$665,MATCH($A445,'Input Statistiche 2025_26'!$A$3:$A$665,0)),"")</f>
        <v>0</v>
      </c>
      <c r="J445" s="26" t="n">
        <f aca="false">IFERROR(IF($I445="","",MAX(0,38-$I445)),"")</f>
        <v>38</v>
      </c>
      <c r="K445" s="26" t="n">
        <f aca="false">IFERROR(INDEX('Input Statistiche 2025_26'!$I$3:$I$665,MATCH($A445,'Input Statistiche 2025_26'!$A$3:$A$665,0)),"")</f>
        <v>0</v>
      </c>
      <c r="L445" s="26" t="n">
        <f aca="false">IFERROR(INDEX('Input Statistiche 2025_26'!$O$3:$O$665,MATCH($A445,'Input Statistiche 2025_26'!$A$3:$A$665,0)),"")</f>
        <v>0</v>
      </c>
      <c r="M445" s="28"/>
      <c r="N445" s="27" t="n">
        <f aca="false">IFERROR(INDEX('Input Giocatori 2026_27'!$E$3:$E$493,MATCH($A445,'Input Giocatori 2026_27'!$A$3:$A$493,0)),"")</f>
        <v>1</v>
      </c>
      <c r="O445" s="27" t="n">
        <f aca="false">IFERROR(INDEX('Input Giocatori 2026_27'!$G$3:$G$493,MATCH($A445,'Input Giocatori 2026_27'!$A$3:$A$493,0)),"")</f>
        <v>1</v>
      </c>
      <c r="P445" s="26" t="str">
        <f aca="false">IFERROR(IF($O445="","",IF((1-(COUNTIFS($B$2:$B$492,$B445,$O$2:$O$492,"&gt;"&amp;$O445)+1-1)/COUNTIF($B$2:$B$492,$B445))&gt;=0.85,"Top",IF((1-(COUNTIFS($B$2:$B$492,$B445,$O$2:$O$492,"&gt;"&amp;$O445)+1-1)/COUNTIF($B$2:$B$492,$B445))&gt;=0.6,"Buono",IF((1-(COUNTIFS($B$2:$B$492,$B445,$O$2:$O$492,"&gt;"&amp;$O445)+1-1)/COUNTIF($B$2:$B$492,$B445))&gt;=0.3,"Nella Media","Scommessa/Riserva")))),"")</f>
        <v>Nella Media</v>
      </c>
      <c r="Q445" s="29" t="n">
        <f aca="false">IF($D445="",COUNTIF($D$2:$D445,""),"")</f>
        <v>444</v>
      </c>
      <c r="R445" s="29" t="str">
        <f aca="false">IF($D445='Info Lega'!$B$28,COUNTIFS($D$2:$D445,'Info Lega'!$B$28),"")</f>
        <v/>
      </c>
      <c r="S445" s="30" t="n">
        <f aca="false">IFERROR(INDEX('Input Statistiche 2025_26'!$G$3:$G$665,MATCH($A445,'Input Statistiche 2025_26'!$A$3:$A$665,0)),"")</f>
        <v>0</v>
      </c>
      <c r="T445" s="30" t="n">
        <f aca="false">IFERROR(INDEX('Input Statistiche 2025_26'!$H$3:$H$665,MATCH($A445,'Input Statistiche 2025_26'!$A$3:$A$665,0)),"")</f>
        <v>0</v>
      </c>
      <c r="U445" s="26" t="str">
        <f aca="false">IF(OR('La Mia Rosa'!$O$12="",$D445&lt;&gt;""),"",IF($F445&lt;='La Mia Rosa'!$O$12*'Parametri Modello'!$B$24,"OK",IF($F445&lt;='La Mia Rosa'!$O$12*'Parametri Modello'!$B$25,"Attenzione","Rischio Alto")))</f>
        <v>OK</v>
      </c>
      <c r="V445" s="26" t="n">
        <f aca="false">IFERROR(COUNTIFS($B$2:$B$492,$B445,$O$2:$O$492,"&gt;"&amp;$O445)+1,"")</f>
        <v>26</v>
      </c>
      <c r="W445" s="21" t="n">
        <f aca="false">'Info Lega'!$B$4-SUMIFS($M$2:$M$492,$D$2:$D$492,'Info Lega'!$B$28)</f>
        <v>1000</v>
      </c>
      <c r="X445" s="21" t="n">
        <f aca="false">('Info Lega'!$B$5-COUNTIFS($D$2:$D$492,'Info Lega'!$B$28,$B$2:$B$492,"P"))+('Info Lega'!$B$6-COUNTIFS($D$2:$D$492,'Info Lega'!$B$28,$B$2:$B$492,"D"))+('Info Lega'!$B$7-COUNTIFS($D$2:$D$492,'Info Lega'!$B$28,$B$2:$B$492,"C"))+('Info Lega'!$B$8-COUNTIFS($D$2:$D$492,'Info Lega'!$B$28,$B$2:$B$492,"A"))</f>
        <v>25</v>
      </c>
      <c r="Y445" s="21" t="n">
        <f aca="false">X445*'Parametri Modello'!$B$30</f>
        <v>25</v>
      </c>
      <c r="Z445" s="21" t="n">
        <f aca="false">MAX(0,W445-Y445)</f>
        <v>975</v>
      </c>
      <c r="AA445" s="21" t="n">
        <f aca="false">MIN(F445,Z445)</f>
        <v>0</v>
      </c>
      <c r="AB445" s="21"/>
      <c r="AC445" s="21" t="str">
        <f aca="false">IF(AB445="","",IF(AB445&gt;AA445,"PASS",IF(AB445&lt;=AA445*0.85,"BID","ATTENZIONE")))</f>
        <v/>
      </c>
      <c r="AD445" s="31" t="n">
        <f aca="false">IF(I445="","",ROUND(100*(1-EXP(-I445/30)),0))</f>
        <v>0</v>
      </c>
      <c r="AE445" s="7" t="str">
        <f aca="false">IFERROR(INDEX('Stato Asta'!$G$9:$G$12,MATCH($B445,'Stato Asta'!$A$9:$A$12,0)),"")</f>
        <v>🟡 Attesa rischiosa</v>
      </c>
    </row>
    <row r="446" customFormat="false" ht="14.25" hidden="false" customHeight="true" outlineLevel="0" collapsed="false">
      <c r="A446" s="21" t="n">
        <v>6650</v>
      </c>
      <c r="B446" s="21" t="s">
        <v>43</v>
      </c>
      <c r="C446" s="21" t="s">
        <v>160</v>
      </c>
      <c r="E446" s="26" t="str">
        <f aca="false">IF(COUNTIF('Info Strategia'!$D$2:$D$51,$C446)&gt;0,"SI","NO")</f>
        <v>NO</v>
      </c>
      <c r="F446" s="27" t="n">
        <f aca="false">IFERROR(ROUND(($G446+($H446-$G446)*'Info Strategia'!$B$6)*(1+IF($E446="SI",'Parametri Modello'!$B$7*'Info Strategia'!$B$6,0)),0),"")</f>
        <v>0</v>
      </c>
      <c r="G446" s="27" t="n">
        <f aca="false">IFERROR(ROUND(MAX(1,(IF($V446&lt;=INDEX('Parametri Modello'!$C$57:$C$60,MATCH($B446,'Parametri Modello'!$A$57:$A$60,0)),IF(INDEX('Parametri Modello'!$E$57:$E$60,MATCH($B446,'Parametri Modello'!$A$57:$A$60,0))=0,0,($O446/INDEX('Parametri Modello'!$E$57:$E$60,MATCH($B446,'Parametri Modello'!$A$57:$A$60,0)))*(INDEX('Parametri Modello'!$D$57:$D$60,MATCH($B446,'Parametri Modello'!$A$57:$A$60,0))*(INDEX('Parametri Modello'!$B$50:$B$53,MATCH($B446,'Parametri Modello'!$A$50:$A$53,0))*'Parametri Modello'!$B$44))),IF(INDEX('Parametri Modello'!$F$57:$F$60,MATCH($B446,'Parametri Modello'!$A$57:$A$60,0))=0,0,($O446/INDEX('Parametri Modello'!$F$57:$F$60,MATCH($B446,'Parametri Modello'!$A$57:$A$60,0)))*((1-INDEX('Parametri Modello'!$D$57:$D$60,MATCH($B446,'Parametri Modello'!$A$57:$A$60,0)))*(INDEX('Parametri Modello'!$B$50:$B$53,MATCH($B446,'Parametri Modello'!$A$50:$A$53,0))*'Parametri Modello'!$B$44))))*(1+IF(IF($B446="D",'Info Lega'!$B$25,IF($B446="C",'Info Lega'!$B$26,"No"))="Si",'Parametri Modello'!$B$5,0))*(1+MAX(-0.25,MIN(0.25,IF(OR($T446="",$I446="",$I446=0,INDEX('Parametri Modello'!$B$19:$B$22,MATCH($B446,'Parametri Modello'!$A$19:$A$22,0))="",INDEX('Parametri Modello'!$B$19:$B$22,MATCH($B446,'Parametri Modello'!$A$19:$A$22,0))=0),0,(($T446-INDEX('Parametri Modello'!$B$19:$B$22,MATCH($B446,'Parametri Modello'!$A$19:$A$22,0)))/INDEX('Parametri Modello'!$B$19:$B$22,MATCH($B446,'Parametri Modello'!$A$19:$A$22,0)))*'Parametri Modello'!$B$9))))*(1+IF('Parametri Modello'!$B$27="Si",MAX(-'Parametri Modello'!$B$28,MIN('Parametri Modello'!$B$28*1.5,IF(OR(INDEX('Parametri Modello'!$F$32:$F$35,MATCH($B446,'Parametri Modello'!$A$32:$A$35,0))="",INDEX('Parametri Modello'!$F$32:$F$35,MATCH($B446,'Parametri Modello'!$A$32:$A$35,0))=0),0,(1/INDEX('Parametri Modello'!$F$32:$F$35,MATCH($B446,'Parametri Modello'!$A$32:$A$35,0))-1)*'Parametri Modello'!$B$28))),0)))*(1-INDEX('Parametri Modello'!$B$12:$B$15,MATCH($B446,'Parametri Modello'!$A$12:$A$15,0)))),0),"")</f>
        <v>1</v>
      </c>
      <c r="H446" s="27" t="n">
        <f aca="false">IFERROR(ROUND((IF($V446&lt;=INDEX('Parametri Modello'!$C$57:$C$60,MATCH($B446,'Parametri Modello'!$A$57:$A$60,0)),IF(INDEX('Parametri Modello'!$E$57:$E$60,MATCH($B446,'Parametri Modello'!$A$57:$A$60,0))=0,0,($O446/INDEX('Parametri Modello'!$E$57:$E$60,MATCH($B446,'Parametri Modello'!$A$57:$A$60,0)))*(INDEX('Parametri Modello'!$D$57:$D$60,MATCH($B446,'Parametri Modello'!$A$57:$A$60,0))*(INDEX('Parametri Modello'!$B$50:$B$53,MATCH($B446,'Parametri Modello'!$A$50:$A$53,0))*'Parametri Modello'!$B$44))),IF(INDEX('Parametri Modello'!$F$57:$F$60,MATCH($B446,'Parametri Modello'!$A$57:$A$60,0))=0,0,($O446/INDEX('Parametri Modello'!$F$57:$F$60,MATCH($B446,'Parametri Modello'!$A$57:$A$60,0)))*((1-INDEX('Parametri Modello'!$D$57:$D$60,MATCH($B446,'Parametri Modello'!$A$57:$A$60,0)))*(INDEX('Parametri Modello'!$B$50:$B$53,MATCH($B446,'Parametri Modello'!$A$50:$A$53,0))*'Parametri Modello'!$B$44))))*(1+IF(IF($B446="D",'Info Lega'!$B$25,IF($B446="C",'Info Lega'!$B$26,"No"))="Si",'Parametri Modello'!$B$5,0))*(1+MAX(-0.25,MIN(0.25,IF(OR($T446="",$I446="",$I446=0,INDEX('Parametri Modello'!$B$19:$B$22,MATCH($B446,'Parametri Modello'!$A$19:$A$22,0))="",INDEX('Parametri Modello'!$B$19:$B$22,MATCH($B446,'Parametri Modello'!$A$19:$A$22,0))=0),0,(($T446-INDEX('Parametri Modello'!$B$19:$B$22,MATCH($B446,'Parametri Modello'!$A$19:$A$22,0)))/INDEX('Parametri Modello'!$B$19:$B$22,MATCH($B446,'Parametri Modello'!$A$19:$A$22,0)))*'Parametri Modello'!$B$9))))*(1+IF('Parametri Modello'!$B$27="Si",MAX(-'Parametri Modello'!$B$28,MIN('Parametri Modello'!$B$28*1.5,IF(OR(INDEX('Parametri Modello'!$F$32:$F$35,MATCH($B446,'Parametri Modello'!$A$32:$A$35,0))="",INDEX('Parametri Modello'!$F$32:$F$35,MATCH($B446,'Parametri Modello'!$A$32:$A$35,0))=0),0,(1/INDEX('Parametri Modello'!$F$32:$F$35,MATCH($B446,'Parametri Modello'!$A$32:$A$35,0))-1)*'Parametri Modello'!$B$28))),0)))*(1+INDEX('Parametri Modello'!$B$12:$B$15,MATCH($B446,'Parametri Modello'!$A$12:$A$15,0))),0),"")</f>
        <v>0</v>
      </c>
      <c r="I446" s="26" t="n">
        <f aca="false">IFERROR(INDEX('Input Statistiche 2025_26'!$F$3:$F$665,MATCH($A446,'Input Statistiche 2025_26'!$A$3:$A$665,0)),"")</f>
        <v>0</v>
      </c>
      <c r="J446" s="26" t="n">
        <f aca="false">IFERROR(IF($I446="","",MAX(0,38-$I446)),"")</f>
        <v>38</v>
      </c>
      <c r="K446" s="26" t="n">
        <f aca="false">IFERROR(INDEX('Input Statistiche 2025_26'!$I$3:$I$665,MATCH($A446,'Input Statistiche 2025_26'!$A$3:$A$665,0)),"")</f>
        <v>0</v>
      </c>
      <c r="L446" s="26" t="n">
        <f aca="false">IFERROR(INDEX('Input Statistiche 2025_26'!$O$3:$O$665,MATCH($A446,'Input Statistiche 2025_26'!$A$3:$A$665,0)),"")</f>
        <v>0</v>
      </c>
      <c r="M446" s="28"/>
      <c r="N446" s="27" t="n">
        <f aca="false">IFERROR(INDEX('Input Giocatori 2026_27'!$E$3:$E$493,MATCH($A446,'Input Giocatori 2026_27'!$A$3:$A$493,0)),"")</f>
        <v>1</v>
      </c>
      <c r="O446" s="27" t="n">
        <f aca="false">IFERROR(INDEX('Input Giocatori 2026_27'!$G$3:$G$493,MATCH($A446,'Input Giocatori 2026_27'!$A$3:$A$493,0)),"")</f>
        <v>1</v>
      </c>
      <c r="P446" s="26" t="str">
        <f aca="false">IFERROR(IF($O446="","",IF((1-(COUNTIFS($B$2:$B$492,$B446,$O$2:$O$492,"&gt;"&amp;$O446)+1-1)/COUNTIF($B$2:$B$492,$B446))&gt;=0.85,"Top",IF((1-(COUNTIFS($B$2:$B$492,$B446,$O$2:$O$492,"&gt;"&amp;$O446)+1-1)/COUNTIF($B$2:$B$492,$B446))&gt;=0.6,"Buono",IF((1-(COUNTIFS($B$2:$B$492,$B446,$O$2:$O$492,"&gt;"&amp;$O446)+1-1)/COUNTIF($B$2:$B$492,$B446))&gt;=0.3,"Nella Media","Scommessa/Riserva")))),"")</f>
        <v>Nella Media</v>
      </c>
      <c r="Q446" s="29" t="n">
        <f aca="false">IF($D446="",COUNTIF($D$2:$D446,""),"")</f>
        <v>445</v>
      </c>
      <c r="R446" s="29" t="str">
        <f aca="false">IF($D446='Info Lega'!$B$28,COUNTIFS($D$2:$D446,'Info Lega'!$B$28),"")</f>
        <v/>
      </c>
      <c r="S446" s="30" t="n">
        <f aca="false">IFERROR(INDEX('Input Statistiche 2025_26'!$G$3:$G$665,MATCH($A446,'Input Statistiche 2025_26'!$A$3:$A$665,0)),"")</f>
        <v>0</v>
      </c>
      <c r="T446" s="30" t="n">
        <f aca="false">IFERROR(INDEX('Input Statistiche 2025_26'!$H$3:$H$665,MATCH($A446,'Input Statistiche 2025_26'!$A$3:$A$665,0)),"")</f>
        <v>0</v>
      </c>
      <c r="U446" s="26" t="str">
        <f aca="false">IF(OR('La Mia Rosa'!$O$12="",$D446&lt;&gt;""),"",IF($F446&lt;='La Mia Rosa'!$O$12*'Parametri Modello'!$B$24,"OK",IF($F446&lt;='La Mia Rosa'!$O$12*'Parametri Modello'!$B$25,"Attenzione","Rischio Alto")))</f>
        <v>OK</v>
      </c>
      <c r="V446" s="26" t="n">
        <f aca="false">IFERROR(COUNTIFS($B$2:$B$492,$B446,$O$2:$O$492,"&gt;"&amp;$O446)+1,"")</f>
        <v>26</v>
      </c>
      <c r="W446" s="21" t="n">
        <f aca="false">'Info Lega'!$B$4-SUMIFS($M$2:$M$492,$D$2:$D$492,'Info Lega'!$B$28)</f>
        <v>1000</v>
      </c>
      <c r="X446" s="21" t="n">
        <f aca="false">('Info Lega'!$B$5-COUNTIFS($D$2:$D$492,'Info Lega'!$B$28,$B$2:$B$492,"P"))+('Info Lega'!$B$6-COUNTIFS($D$2:$D$492,'Info Lega'!$B$28,$B$2:$B$492,"D"))+('Info Lega'!$B$7-COUNTIFS($D$2:$D$492,'Info Lega'!$B$28,$B$2:$B$492,"C"))+('Info Lega'!$B$8-COUNTIFS($D$2:$D$492,'Info Lega'!$B$28,$B$2:$B$492,"A"))</f>
        <v>25</v>
      </c>
      <c r="Y446" s="21" t="n">
        <f aca="false">X446*'Parametri Modello'!$B$30</f>
        <v>25</v>
      </c>
      <c r="Z446" s="21" t="n">
        <f aca="false">MAX(0,W446-Y446)</f>
        <v>975</v>
      </c>
      <c r="AA446" s="21" t="n">
        <f aca="false">MIN(F446,Z446)</f>
        <v>0</v>
      </c>
      <c r="AB446" s="21"/>
      <c r="AC446" s="21" t="str">
        <f aca="false">IF(AB446="","",IF(AB446&gt;AA446,"PASS",IF(AB446&lt;=AA446*0.85,"BID","ATTENZIONE")))</f>
        <v/>
      </c>
      <c r="AD446" s="31" t="n">
        <f aca="false">IF(I446="","",ROUND(100*(1-EXP(-I446/30)),0))</f>
        <v>0</v>
      </c>
      <c r="AE446" s="7" t="str">
        <f aca="false">IFERROR(INDEX('Stato Asta'!$G$9:$G$12,MATCH($B446,'Stato Asta'!$A$9:$A$12,0)),"")</f>
        <v>🟡 Attesa rischiosa</v>
      </c>
    </row>
    <row r="447" customFormat="false" ht="14.25" hidden="false" customHeight="true" outlineLevel="0" collapsed="false">
      <c r="A447" s="21" t="n">
        <v>7301</v>
      </c>
      <c r="B447" s="21" t="s">
        <v>43</v>
      </c>
      <c r="C447" s="21" t="s">
        <v>161</v>
      </c>
      <c r="E447" s="26" t="str">
        <f aca="false">IF(COUNTIF('Info Strategia'!$D$2:$D$51,$C447)&gt;0,"SI","NO")</f>
        <v>NO</v>
      </c>
      <c r="F447" s="27" t="n">
        <f aca="false">IFERROR(ROUND(($G447+($H447-$G447)*'Info Strategia'!$B$6)*(1+IF($E447="SI",'Parametri Modello'!$B$7*'Info Strategia'!$B$6,0)),0),"")</f>
        <v>0</v>
      </c>
      <c r="G447" s="27" t="n">
        <f aca="false">IFERROR(ROUND(MAX(1,(IF($V447&lt;=INDEX('Parametri Modello'!$C$57:$C$60,MATCH($B447,'Parametri Modello'!$A$57:$A$60,0)),IF(INDEX('Parametri Modello'!$E$57:$E$60,MATCH($B447,'Parametri Modello'!$A$57:$A$60,0))=0,0,($O447/INDEX('Parametri Modello'!$E$57:$E$60,MATCH($B447,'Parametri Modello'!$A$57:$A$60,0)))*(INDEX('Parametri Modello'!$D$57:$D$60,MATCH($B447,'Parametri Modello'!$A$57:$A$60,0))*(INDEX('Parametri Modello'!$B$50:$B$53,MATCH($B447,'Parametri Modello'!$A$50:$A$53,0))*'Parametri Modello'!$B$44))),IF(INDEX('Parametri Modello'!$F$57:$F$60,MATCH($B447,'Parametri Modello'!$A$57:$A$60,0))=0,0,($O447/INDEX('Parametri Modello'!$F$57:$F$60,MATCH($B447,'Parametri Modello'!$A$57:$A$60,0)))*((1-INDEX('Parametri Modello'!$D$57:$D$60,MATCH($B447,'Parametri Modello'!$A$57:$A$60,0)))*(INDEX('Parametri Modello'!$B$50:$B$53,MATCH($B447,'Parametri Modello'!$A$50:$A$53,0))*'Parametri Modello'!$B$44))))*(1+IF(IF($B447="D",'Info Lega'!$B$25,IF($B447="C",'Info Lega'!$B$26,"No"))="Si",'Parametri Modello'!$B$5,0))*(1+MAX(-0.25,MIN(0.25,IF(OR($T447="",$I447="",$I447=0,INDEX('Parametri Modello'!$B$19:$B$22,MATCH($B447,'Parametri Modello'!$A$19:$A$22,0))="",INDEX('Parametri Modello'!$B$19:$B$22,MATCH($B447,'Parametri Modello'!$A$19:$A$22,0))=0),0,(($T447-INDEX('Parametri Modello'!$B$19:$B$22,MATCH($B447,'Parametri Modello'!$A$19:$A$22,0)))/INDEX('Parametri Modello'!$B$19:$B$22,MATCH($B447,'Parametri Modello'!$A$19:$A$22,0)))*'Parametri Modello'!$B$9))))*(1+IF('Parametri Modello'!$B$27="Si",MAX(-'Parametri Modello'!$B$28,MIN('Parametri Modello'!$B$28*1.5,IF(OR(INDEX('Parametri Modello'!$F$32:$F$35,MATCH($B447,'Parametri Modello'!$A$32:$A$35,0))="",INDEX('Parametri Modello'!$F$32:$F$35,MATCH($B447,'Parametri Modello'!$A$32:$A$35,0))=0),0,(1/INDEX('Parametri Modello'!$F$32:$F$35,MATCH($B447,'Parametri Modello'!$A$32:$A$35,0))-1)*'Parametri Modello'!$B$28))),0)))*(1-INDEX('Parametri Modello'!$B$12:$B$15,MATCH($B447,'Parametri Modello'!$A$12:$A$15,0)))),0),"")</f>
        <v>1</v>
      </c>
      <c r="H447" s="27" t="n">
        <f aca="false">IFERROR(ROUND((IF($V447&lt;=INDEX('Parametri Modello'!$C$57:$C$60,MATCH($B447,'Parametri Modello'!$A$57:$A$60,0)),IF(INDEX('Parametri Modello'!$E$57:$E$60,MATCH($B447,'Parametri Modello'!$A$57:$A$60,0))=0,0,($O447/INDEX('Parametri Modello'!$E$57:$E$60,MATCH($B447,'Parametri Modello'!$A$57:$A$60,0)))*(INDEX('Parametri Modello'!$D$57:$D$60,MATCH($B447,'Parametri Modello'!$A$57:$A$60,0))*(INDEX('Parametri Modello'!$B$50:$B$53,MATCH($B447,'Parametri Modello'!$A$50:$A$53,0))*'Parametri Modello'!$B$44))),IF(INDEX('Parametri Modello'!$F$57:$F$60,MATCH($B447,'Parametri Modello'!$A$57:$A$60,0))=0,0,($O447/INDEX('Parametri Modello'!$F$57:$F$60,MATCH($B447,'Parametri Modello'!$A$57:$A$60,0)))*((1-INDEX('Parametri Modello'!$D$57:$D$60,MATCH($B447,'Parametri Modello'!$A$57:$A$60,0)))*(INDEX('Parametri Modello'!$B$50:$B$53,MATCH($B447,'Parametri Modello'!$A$50:$A$53,0))*'Parametri Modello'!$B$44))))*(1+IF(IF($B447="D",'Info Lega'!$B$25,IF($B447="C",'Info Lega'!$B$26,"No"))="Si",'Parametri Modello'!$B$5,0))*(1+MAX(-0.25,MIN(0.25,IF(OR($T447="",$I447="",$I447=0,INDEX('Parametri Modello'!$B$19:$B$22,MATCH($B447,'Parametri Modello'!$A$19:$A$22,0))="",INDEX('Parametri Modello'!$B$19:$B$22,MATCH($B447,'Parametri Modello'!$A$19:$A$22,0))=0),0,(($T447-INDEX('Parametri Modello'!$B$19:$B$22,MATCH($B447,'Parametri Modello'!$A$19:$A$22,0)))/INDEX('Parametri Modello'!$B$19:$B$22,MATCH($B447,'Parametri Modello'!$A$19:$A$22,0)))*'Parametri Modello'!$B$9))))*(1+IF('Parametri Modello'!$B$27="Si",MAX(-'Parametri Modello'!$B$28,MIN('Parametri Modello'!$B$28*1.5,IF(OR(INDEX('Parametri Modello'!$F$32:$F$35,MATCH($B447,'Parametri Modello'!$A$32:$A$35,0))="",INDEX('Parametri Modello'!$F$32:$F$35,MATCH($B447,'Parametri Modello'!$A$32:$A$35,0))=0),0,(1/INDEX('Parametri Modello'!$F$32:$F$35,MATCH($B447,'Parametri Modello'!$A$32:$A$35,0))-1)*'Parametri Modello'!$B$28))),0)))*(1+INDEX('Parametri Modello'!$B$12:$B$15,MATCH($B447,'Parametri Modello'!$A$12:$A$15,0))),0),"")</f>
        <v>0</v>
      </c>
      <c r="I447" s="26" t="n">
        <f aca="false">IFERROR(INDEX('Input Statistiche 2025_26'!$F$3:$F$665,MATCH($A447,'Input Statistiche 2025_26'!$A$3:$A$665,0)),"")</f>
        <v>0</v>
      </c>
      <c r="J447" s="26" t="n">
        <f aca="false">IFERROR(IF($I447="","",MAX(0,38-$I447)),"")</f>
        <v>38</v>
      </c>
      <c r="K447" s="26" t="n">
        <f aca="false">IFERROR(INDEX('Input Statistiche 2025_26'!$I$3:$I$665,MATCH($A447,'Input Statistiche 2025_26'!$A$3:$A$665,0)),"")</f>
        <v>0</v>
      </c>
      <c r="L447" s="26" t="n">
        <f aca="false">IFERROR(INDEX('Input Statistiche 2025_26'!$O$3:$O$665,MATCH($A447,'Input Statistiche 2025_26'!$A$3:$A$665,0)),"")</f>
        <v>0</v>
      </c>
      <c r="M447" s="28"/>
      <c r="N447" s="27" t="n">
        <f aca="false">IFERROR(INDEX('Input Giocatori 2026_27'!$E$3:$E$493,MATCH($A447,'Input Giocatori 2026_27'!$A$3:$A$493,0)),"")</f>
        <v>1</v>
      </c>
      <c r="O447" s="27" t="n">
        <f aca="false">IFERROR(INDEX('Input Giocatori 2026_27'!$G$3:$G$493,MATCH($A447,'Input Giocatori 2026_27'!$A$3:$A$493,0)),"")</f>
        <v>1</v>
      </c>
      <c r="P447" s="26" t="str">
        <f aca="false">IFERROR(IF($O447="","",IF((1-(COUNTIFS($B$2:$B$492,$B447,$O$2:$O$492,"&gt;"&amp;$O447)+1-1)/COUNTIF($B$2:$B$492,$B447))&gt;=0.85,"Top",IF((1-(COUNTIFS($B$2:$B$492,$B447,$O$2:$O$492,"&gt;"&amp;$O447)+1-1)/COUNTIF($B$2:$B$492,$B447))&gt;=0.6,"Buono",IF((1-(COUNTIFS($B$2:$B$492,$B447,$O$2:$O$492,"&gt;"&amp;$O447)+1-1)/COUNTIF($B$2:$B$492,$B447))&gt;=0.3,"Nella Media","Scommessa/Riserva")))),"")</f>
        <v>Nella Media</v>
      </c>
      <c r="Q447" s="29" t="n">
        <f aca="false">IF($D447="",COUNTIF($D$2:$D447,""),"")</f>
        <v>446</v>
      </c>
      <c r="R447" s="29" t="str">
        <f aca="false">IF($D447='Info Lega'!$B$28,COUNTIFS($D$2:$D447,'Info Lega'!$B$28),"")</f>
        <v/>
      </c>
      <c r="S447" s="30" t="n">
        <f aca="false">IFERROR(INDEX('Input Statistiche 2025_26'!$G$3:$G$665,MATCH($A447,'Input Statistiche 2025_26'!$A$3:$A$665,0)),"")</f>
        <v>0</v>
      </c>
      <c r="T447" s="30" t="n">
        <f aca="false">IFERROR(INDEX('Input Statistiche 2025_26'!$H$3:$H$665,MATCH($A447,'Input Statistiche 2025_26'!$A$3:$A$665,0)),"")</f>
        <v>0</v>
      </c>
      <c r="U447" s="26" t="str">
        <f aca="false">IF(OR('La Mia Rosa'!$O$12="",$D447&lt;&gt;""),"",IF($F447&lt;='La Mia Rosa'!$O$12*'Parametri Modello'!$B$24,"OK",IF($F447&lt;='La Mia Rosa'!$O$12*'Parametri Modello'!$B$25,"Attenzione","Rischio Alto")))</f>
        <v>OK</v>
      </c>
      <c r="V447" s="26" t="n">
        <f aca="false">IFERROR(COUNTIFS($B$2:$B$492,$B447,$O$2:$O$492,"&gt;"&amp;$O447)+1,"")</f>
        <v>26</v>
      </c>
      <c r="W447" s="21" t="n">
        <f aca="false">'Info Lega'!$B$4-SUMIFS($M$2:$M$492,$D$2:$D$492,'Info Lega'!$B$28)</f>
        <v>1000</v>
      </c>
      <c r="X447" s="21" t="n">
        <f aca="false">('Info Lega'!$B$5-COUNTIFS($D$2:$D$492,'Info Lega'!$B$28,$B$2:$B$492,"P"))+('Info Lega'!$B$6-COUNTIFS($D$2:$D$492,'Info Lega'!$B$28,$B$2:$B$492,"D"))+('Info Lega'!$B$7-COUNTIFS($D$2:$D$492,'Info Lega'!$B$28,$B$2:$B$492,"C"))+('Info Lega'!$B$8-COUNTIFS($D$2:$D$492,'Info Lega'!$B$28,$B$2:$B$492,"A"))</f>
        <v>25</v>
      </c>
      <c r="Y447" s="21" t="n">
        <f aca="false">X447*'Parametri Modello'!$B$30</f>
        <v>25</v>
      </c>
      <c r="Z447" s="21" t="n">
        <f aca="false">MAX(0,W447-Y447)</f>
        <v>975</v>
      </c>
      <c r="AA447" s="21" t="n">
        <f aca="false">MIN(F447,Z447)</f>
        <v>0</v>
      </c>
      <c r="AB447" s="21"/>
      <c r="AC447" s="21" t="str">
        <f aca="false">IF(AB447="","",IF(AB447&gt;AA447,"PASS",IF(AB447&lt;=AA447*0.85,"BID","ATTENZIONE")))</f>
        <v/>
      </c>
      <c r="AD447" s="31" t="n">
        <f aca="false">IF(I447="","",ROUND(100*(1-EXP(-I447/30)),0))</f>
        <v>0</v>
      </c>
      <c r="AE447" s="7" t="str">
        <f aca="false">IFERROR(INDEX('Stato Asta'!$G$9:$G$12,MATCH($B447,'Stato Asta'!$A$9:$A$12,0)),"")</f>
        <v>🟡 Attesa rischiosa</v>
      </c>
    </row>
    <row r="448" customFormat="false" ht="14.25" hidden="false" customHeight="true" outlineLevel="0" collapsed="false">
      <c r="A448" s="21" t="n">
        <v>2809</v>
      </c>
      <c r="B448" s="21" t="s">
        <v>43</v>
      </c>
      <c r="C448" s="21" t="s">
        <v>162</v>
      </c>
      <c r="E448" s="26" t="str">
        <f aca="false">IF(COUNTIF('Info Strategia'!$D$2:$D$51,$C448)&gt;0,"SI","NO")</f>
        <v>NO</v>
      </c>
      <c r="F448" s="27" t="n">
        <f aca="false">IFERROR(ROUND(($G448+($H448-$G448)*'Info Strategia'!$B$6)*(1+IF($E448="SI",'Parametri Modello'!$B$7*'Info Strategia'!$B$6,0)),0),"")</f>
        <v>0</v>
      </c>
      <c r="G448" s="27" t="n">
        <f aca="false">IFERROR(ROUND(MAX(1,(IF($V448&lt;=INDEX('Parametri Modello'!$C$57:$C$60,MATCH($B448,'Parametri Modello'!$A$57:$A$60,0)),IF(INDEX('Parametri Modello'!$E$57:$E$60,MATCH($B448,'Parametri Modello'!$A$57:$A$60,0))=0,0,($O448/INDEX('Parametri Modello'!$E$57:$E$60,MATCH($B448,'Parametri Modello'!$A$57:$A$60,0)))*(INDEX('Parametri Modello'!$D$57:$D$60,MATCH($B448,'Parametri Modello'!$A$57:$A$60,0))*(INDEX('Parametri Modello'!$B$50:$B$53,MATCH($B448,'Parametri Modello'!$A$50:$A$53,0))*'Parametri Modello'!$B$44))),IF(INDEX('Parametri Modello'!$F$57:$F$60,MATCH($B448,'Parametri Modello'!$A$57:$A$60,0))=0,0,($O448/INDEX('Parametri Modello'!$F$57:$F$60,MATCH($B448,'Parametri Modello'!$A$57:$A$60,0)))*((1-INDEX('Parametri Modello'!$D$57:$D$60,MATCH($B448,'Parametri Modello'!$A$57:$A$60,0)))*(INDEX('Parametri Modello'!$B$50:$B$53,MATCH($B448,'Parametri Modello'!$A$50:$A$53,0))*'Parametri Modello'!$B$44))))*(1+IF(IF($B448="D",'Info Lega'!$B$25,IF($B448="C",'Info Lega'!$B$26,"No"))="Si",'Parametri Modello'!$B$5,0))*(1+MAX(-0.25,MIN(0.25,IF(OR($T448="",$I448="",$I448=0,INDEX('Parametri Modello'!$B$19:$B$22,MATCH($B448,'Parametri Modello'!$A$19:$A$22,0))="",INDEX('Parametri Modello'!$B$19:$B$22,MATCH($B448,'Parametri Modello'!$A$19:$A$22,0))=0),0,(($T448-INDEX('Parametri Modello'!$B$19:$B$22,MATCH($B448,'Parametri Modello'!$A$19:$A$22,0)))/INDEX('Parametri Modello'!$B$19:$B$22,MATCH($B448,'Parametri Modello'!$A$19:$A$22,0)))*'Parametri Modello'!$B$9))))*(1+IF('Parametri Modello'!$B$27="Si",MAX(-'Parametri Modello'!$B$28,MIN('Parametri Modello'!$B$28*1.5,IF(OR(INDEX('Parametri Modello'!$F$32:$F$35,MATCH($B448,'Parametri Modello'!$A$32:$A$35,0))="",INDEX('Parametri Modello'!$F$32:$F$35,MATCH($B448,'Parametri Modello'!$A$32:$A$35,0))=0),0,(1/INDEX('Parametri Modello'!$F$32:$F$35,MATCH($B448,'Parametri Modello'!$A$32:$A$35,0))-1)*'Parametri Modello'!$B$28))),0)))*(1-INDEX('Parametri Modello'!$B$12:$B$15,MATCH($B448,'Parametri Modello'!$A$12:$A$15,0)))),0),"")</f>
        <v>1</v>
      </c>
      <c r="H448" s="27" t="n">
        <f aca="false">IFERROR(ROUND((IF($V448&lt;=INDEX('Parametri Modello'!$C$57:$C$60,MATCH($B448,'Parametri Modello'!$A$57:$A$60,0)),IF(INDEX('Parametri Modello'!$E$57:$E$60,MATCH($B448,'Parametri Modello'!$A$57:$A$60,0))=0,0,($O448/INDEX('Parametri Modello'!$E$57:$E$60,MATCH($B448,'Parametri Modello'!$A$57:$A$60,0)))*(INDEX('Parametri Modello'!$D$57:$D$60,MATCH($B448,'Parametri Modello'!$A$57:$A$60,0))*(INDEX('Parametri Modello'!$B$50:$B$53,MATCH($B448,'Parametri Modello'!$A$50:$A$53,0))*'Parametri Modello'!$B$44))),IF(INDEX('Parametri Modello'!$F$57:$F$60,MATCH($B448,'Parametri Modello'!$A$57:$A$60,0))=0,0,($O448/INDEX('Parametri Modello'!$F$57:$F$60,MATCH($B448,'Parametri Modello'!$A$57:$A$60,0)))*((1-INDEX('Parametri Modello'!$D$57:$D$60,MATCH($B448,'Parametri Modello'!$A$57:$A$60,0)))*(INDEX('Parametri Modello'!$B$50:$B$53,MATCH($B448,'Parametri Modello'!$A$50:$A$53,0))*'Parametri Modello'!$B$44))))*(1+IF(IF($B448="D",'Info Lega'!$B$25,IF($B448="C",'Info Lega'!$B$26,"No"))="Si",'Parametri Modello'!$B$5,0))*(1+MAX(-0.25,MIN(0.25,IF(OR($T448="",$I448="",$I448=0,INDEX('Parametri Modello'!$B$19:$B$22,MATCH($B448,'Parametri Modello'!$A$19:$A$22,0))="",INDEX('Parametri Modello'!$B$19:$B$22,MATCH($B448,'Parametri Modello'!$A$19:$A$22,0))=0),0,(($T448-INDEX('Parametri Modello'!$B$19:$B$22,MATCH($B448,'Parametri Modello'!$A$19:$A$22,0)))/INDEX('Parametri Modello'!$B$19:$B$22,MATCH($B448,'Parametri Modello'!$A$19:$A$22,0)))*'Parametri Modello'!$B$9))))*(1+IF('Parametri Modello'!$B$27="Si",MAX(-'Parametri Modello'!$B$28,MIN('Parametri Modello'!$B$28*1.5,IF(OR(INDEX('Parametri Modello'!$F$32:$F$35,MATCH($B448,'Parametri Modello'!$A$32:$A$35,0))="",INDEX('Parametri Modello'!$F$32:$F$35,MATCH($B448,'Parametri Modello'!$A$32:$A$35,0))=0),0,(1/INDEX('Parametri Modello'!$F$32:$F$35,MATCH($B448,'Parametri Modello'!$A$32:$A$35,0))-1)*'Parametri Modello'!$B$28))),0)))*(1+INDEX('Parametri Modello'!$B$12:$B$15,MATCH($B448,'Parametri Modello'!$A$12:$A$15,0))),0),"")</f>
        <v>0</v>
      </c>
      <c r="I448" s="26" t="n">
        <f aca="false">IFERROR(INDEX('Input Statistiche 2025_26'!$F$3:$F$665,MATCH($A448,'Input Statistiche 2025_26'!$A$3:$A$665,0)),"")</f>
        <v>0</v>
      </c>
      <c r="J448" s="26" t="n">
        <f aca="false">IFERROR(IF($I448="","",MAX(0,38-$I448)),"")</f>
        <v>38</v>
      </c>
      <c r="K448" s="26" t="n">
        <f aca="false">IFERROR(INDEX('Input Statistiche 2025_26'!$I$3:$I$665,MATCH($A448,'Input Statistiche 2025_26'!$A$3:$A$665,0)),"")</f>
        <v>0</v>
      </c>
      <c r="L448" s="26" t="n">
        <f aca="false">IFERROR(INDEX('Input Statistiche 2025_26'!$O$3:$O$665,MATCH($A448,'Input Statistiche 2025_26'!$A$3:$A$665,0)),"")</f>
        <v>0</v>
      </c>
      <c r="M448" s="28"/>
      <c r="N448" s="27" t="n">
        <f aca="false">IFERROR(INDEX('Input Giocatori 2026_27'!$E$3:$E$493,MATCH($A448,'Input Giocatori 2026_27'!$A$3:$A$493,0)),"")</f>
        <v>1</v>
      </c>
      <c r="O448" s="27" t="n">
        <f aca="false">IFERROR(INDEX('Input Giocatori 2026_27'!$G$3:$G$493,MATCH($A448,'Input Giocatori 2026_27'!$A$3:$A$493,0)),"")</f>
        <v>1</v>
      </c>
      <c r="P448" s="26" t="str">
        <f aca="false">IFERROR(IF($O448="","",IF((1-(COUNTIFS($B$2:$B$492,$B448,$O$2:$O$492,"&gt;"&amp;$O448)+1-1)/COUNTIF($B$2:$B$492,$B448))&gt;=0.85,"Top",IF((1-(COUNTIFS($B$2:$B$492,$B448,$O$2:$O$492,"&gt;"&amp;$O448)+1-1)/COUNTIF($B$2:$B$492,$B448))&gt;=0.6,"Buono",IF((1-(COUNTIFS($B$2:$B$492,$B448,$O$2:$O$492,"&gt;"&amp;$O448)+1-1)/COUNTIF($B$2:$B$492,$B448))&gt;=0.3,"Nella Media","Scommessa/Riserva")))),"")</f>
        <v>Nella Media</v>
      </c>
      <c r="Q448" s="29" t="n">
        <f aca="false">IF($D448="",COUNTIF($D$2:$D448,""),"")</f>
        <v>447</v>
      </c>
      <c r="R448" s="29" t="str">
        <f aca="false">IF($D448='Info Lega'!$B$28,COUNTIFS($D$2:$D448,'Info Lega'!$B$28),"")</f>
        <v/>
      </c>
      <c r="S448" s="30" t="n">
        <f aca="false">IFERROR(INDEX('Input Statistiche 2025_26'!$G$3:$G$665,MATCH($A448,'Input Statistiche 2025_26'!$A$3:$A$665,0)),"")</f>
        <v>0</v>
      </c>
      <c r="T448" s="30" t="n">
        <f aca="false">IFERROR(INDEX('Input Statistiche 2025_26'!$H$3:$H$665,MATCH($A448,'Input Statistiche 2025_26'!$A$3:$A$665,0)),"")</f>
        <v>0</v>
      </c>
      <c r="U448" s="26" t="str">
        <f aca="false">IF(OR('La Mia Rosa'!$O$12="",$D448&lt;&gt;""),"",IF($F448&lt;='La Mia Rosa'!$O$12*'Parametri Modello'!$B$24,"OK",IF($F448&lt;='La Mia Rosa'!$O$12*'Parametri Modello'!$B$25,"Attenzione","Rischio Alto")))</f>
        <v>OK</v>
      </c>
      <c r="V448" s="26" t="n">
        <f aca="false">IFERROR(COUNTIFS($B$2:$B$492,$B448,$O$2:$O$492,"&gt;"&amp;$O448)+1,"")</f>
        <v>26</v>
      </c>
      <c r="W448" s="21" t="n">
        <f aca="false">'Info Lega'!$B$4-SUMIFS($M$2:$M$492,$D$2:$D$492,'Info Lega'!$B$28)</f>
        <v>1000</v>
      </c>
      <c r="X448" s="21" t="n">
        <f aca="false">('Info Lega'!$B$5-COUNTIFS($D$2:$D$492,'Info Lega'!$B$28,$B$2:$B$492,"P"))+('Info Lega'!$B$6-COUNTIFS($D$2:$D$492,'Info Lega'!$B$28,$B$2:$B$492,"D"))+('Info Lega'!$B$7-COUNTIFS($D$2:$D$492,'Info Lega'!$B$28,$B$2:$B$492,"C"))+('Info Lega'!$B$8-COUNTIFS($D$2:$D$492,'Info Lega'!$B$28,$B$2:$B$492,"A"))</f>
        <v>25</v>
      </c>
      <c r="Y448" s="21" t="n">
        <f aca="false">X448*'Parametri Modello'!$B$30</f>
        <v>25</v>
      </c>
      <c r="Z448" s="21" t="n">
        <f aca="false">MAX(0,W448-Y448)</f>
        <v>975</v>
      </c>
      <c r="AA448" s="21" t="n">
        <f aca="false">MIN(F448,Z448)</f>
        <v>0</v>
      </c>
      <c r="AB448" s="21"/>
      <c r="AC448" s="21" t="str">
        <f aca="false">IF(AB448="","",IF(AB448&gt;AA448,"PASS",IF(AB448&lt;=AA448*0.85,"BID","ATTENZIONE")))</f>
        <v/>
      </c>
      <c r="AD448" s="31" t="n">
        <f aca="false">IF(I448="","",ROUND(100*(1-EXP(-I448/30)),0))</f>
        <v>0</v>
      </c>
      <c r="AE448" s="7" t="str">
        <f aca="false">IFERROR(INDEX('Stato Asta'!$G$9:$G$12,MATCH($B448,'Stato Asta'!$A$9:$A$12,0)),"")</f>
        <v>🟡 Attesa rischiosa</v>
      </c>
    </row>
    <row r="449" customFormat="false" ht="14.25" hidden="false" customHeight="true" outlineLevel="0" collapsed="false">
      <c r="A449" s="21" t="n">
        <v>6403</v>
      </c>
      <c r="B449" s="21" t="s">
        <v>43</v>
      </c>
      <c r="C449" s="21" t="s">
        <v>163</v>
      </c>
      <c r="E449" s="26" t="str">
        <f aca="false">IF(COUNTIF('Info Strategia'!$D$2:$D$51,$C449)&gt;0,"SI","NO")</f>
        <v>NO</v>
      </c>
      <c r="F449" s="27" t="n">
        <f aca="false">IFERROR(ROUND(($G449+($H449-$G449)*'Info Strategia'!$B$6)*(1+IF($E449="SI",'Parametri Modello'!$B$7*'Info Strategia'!$B$6,0)),0),"")</f>
        <v>0</v>
      </c>
      <c r="G449" s="27" t="n">
        <f aca="false">IFERROR(ROUND(MAX(1,(IF($V449&lt;=INDEX('Parametri Modello'!$C$57:$C$60,MATCH($B449,'Parametri Modello'!$A$57:$A$60,0)),IF(INDEX('Parametri Modello'!$E$57:$E$60,MATCH($B449,'Parametri Modello'!$A$57:$A$60,0))=0,0,($O449/INDEX('Parametri Modello'!$E$57:$E$60,MATCH($B449,'Parametri Modello'!$A$57:$A$60,0)))*(INDEX('Parametri Modello'!$D$57:$D$60,MATCH($B449,'Parametri Modello'!$A$57:$A$60,0))*(INDEX('Parametri Modello'!$B$50:$B$53,MATCH($B449,'Parametri Modello'!$A$50:$A$53,0))*'Parametri Modello'!$B$44))),IF(INDEX('Parametri Modello'!$F$57:$F$60,MATCH($B449,'Parametri Modello'!$A$57:$A$60,0))=0,0,($O449/INDEX('Parametri Modello'!$F$57:$F$60,MATCH($B449,'Parametri Modello'!$A$57:$A$60,0)))*((1-INDEX('Parametri Modello'!$D$57:$D$60,MATCH($B449,'Parametri Modello'!$A$57:$A$60,0)))*(INDEX('Parametri Modello'!$B$50:$B$53,MATCH($B449,'Parametri Modello'!$A$50:$A$53,0))*'Parametri Modello'!$B$44))))*(1+IF(IF($B449="D",'Info Lega'!$B$25,IF($B449="C",'Info Lega'!$B$26,"No"))="Si",'Parametri Modello'!$B$5,0))*(1+MAX(-0.25,MIN(0.25,IF(OR($T449="",$I449="",$I449=0,INDEX('Parametri Modello'!$B$19:$B$22,MATCH($B449,'Parametri Modello'!$A$19:$A$22,0))="",INDEX('Parametri Modello'!$B$19:$B$22,MATCH($B449,'Parametri Modello'!$A$19:$A$22,0))=0),0,(($T449-INDEX('Parametri Modello'!$B$19:$B$22,MATCH($B449,'Parametri Modello'!$A$19:$A$22,0)))/INDEX('Parametri Modello'!$B$19:$B$22,MATCH($B449,'Parametri Modello'!$A$19:$A$22,0)))*'Parametri Modello'!$B$9))))*(1+IF('Parametri Modello'!$B$27="Si",MAX(-'Parametri Modello'!$B$28,MIN('Parametri Modello'!$B$28*1.5,IF(OR(INDEX('Parametri Modello'!$F$32:$F$35,MATCH($B449,'Parametri Modello'!$A$32:$A$35,0))="",INDEX('Parametri Modello'!$F$32:$F$35,MATCH($B449,'Parametri Modello'!$A$32:$A$35,0))=0),0,(1/INDEX('Parametri Modello'!$F$32:$F$35,MATCH($B449,'Parametri Modello'!$A$32:$A$35,0))-1)*'Parametri Modello'!$B$28))),0)))*(1-INDEX('Parametri Modello'!$B$12:$B$15,MATCH($B449,'Parametri Modello'!$A$12:$A$15,0)))),0),"")</f>
        <v>1</v>
      </c>
      <c r="H449" s="27" t="n">
        <f aca="false">IFERROR(ROUND((IF($V449&lt;=INDEX('Parametri Modello'!$C$57:$C$60,MATCH($B449,'Parametri Modello'!$A$57:$A$60,0)),IF(INDEX('Parametri Modello'!$E$57:$E$60,MATCH($B449,'Parametri Modello'!$A$57:$A$60,0))=0,0,($O449/INDEX('Parametri Modello'!$E$57:$E$60,MATCH($B449,'Parametri Modello'!$A$57:$A$60,0)))*(INDEX('Parametri Modello'!$D$57:$D$60,MATCH($B449,'Parametri Modello'!$A$57:$A$60,0))*(INDEX('Parametri Modello'!$B$50:$B$53,MATCH($B449,'Parametri Modello'!$A$50:$A$53,0))*'Parametri Modello'!$B$44))),IF(INDEX('Parametri Modello'!$F$57:$F$60,MATCH($B449,'Parametri Modello'!$A$57:$A$60,0))=0,0,($O449/INDEX('Parametri Modello'!$F$57:$F$60,MATCH($B449,'Parametri Modello'!$A$57:$A$60,0)))*((1-INDEX('Parametri Modello'!$D$57:$D$60,MATCH($B449,'Parametri Modello'!$A$57:$A$60,0)))*(INDEX('Parametri Modello'!$B$50:$B$53,MATCH($B449,'Parametri Modello'!$A$50:$A$53,0))*'Parametri Modello'!$B$44))))*(1+IF(IF($B449="D",'Info Lega'!$B$25,IF($B449="C",'Info Lega'!$B$26,"No"))="Si",'Parametri Modello'!$B$5,0))*(1+MAX(-0.25,MIN(0.25,IF(OR($T449="",$I449="",$I449=0,INDEX('Parametri Modello'!$B$19:$B$22,MATCH($B449,'Parametri Modello'!$A$19:$A$22,0))="",INDEX('Parametri Modello'!$B$19:$B$22,MATCH($B449,'Parametri Modello'!$A$19:$A$22,0))=0),0,(($T449-INDEX('Parametri Modello'!$B$19:$B$22,MATCH($B449,'Parametri Modello'!$A$19:$A$22,0)))/INDEX('Parametri Modello'!$B$19:$B$22,MATCH($B449,'Parametri Modello'!$A$19:$A$22,0)))*'Parametri Modello'!$B$9))))*(1+IF('Parametri Modello'!$B$27="Si",MAX(-'Parametri Modello'!$B$28,MIN('Parametri Modello'!$B$28*1.5,IF(OR(INDEX('Parametri Modello'!$F$32:$F$35,MATCH($B449,'Parametri Modello'!$A$32:$A$35,0))="",INDEX('Parametri Modello'!$F$32:$F$35,MATCH($B449,'Parametri Modello'!$A$32:$A$35,0))=0),0,(1/INDEX('Parametri Modello'!$F$32:$F$35,MATCH($B449,'Parametri Modello'!$A$32:$A$35,0))-1)*'Parametri Modello'!$B$28))),0)))*(1+INDEX('Parametri Modello'!$B$12:$B$15,MATCH($B449,'Parametri Modello'!$A$12:$A$15,0))),0),"")</f>
        <v>0</v>
      </c>
      <c r="I449" s="26" t="n">
        <f aca="false">IFERROR(INDEX('Input Statistiche 2025_26'!$F$3:$F$665,MATCH($A449,'Input Statistiche 2025_26'!$A$3:$A$665,0)),"")</f>
        <v>1</v>
      </c>
      <c r="J449" s="26" t="n">
        <f aca="false">IFERROR(IF($I449="","",MAX(0,38-$I449)),"")</f>
        <v>37</v>
      </c>
      <c r="K449" s="26" t="n">
        <f aca="false">IFERROR(INDEX('Input Statistiche 2025_26'!$I$3:$I$665,MATCH($A449,'Input Statistiche 2025_26'!$A$3:$A$665,0)),"")</f>
        <v>0</v>
      </c>
      <c r="L449" s="26" t="n">
        <f aca="false">IFERROR(INDEX('Input Statistiche 2025_26'!$O$3:$O$665,MATCH($A449,'Input Statistiche 2025_26'!$A$3:$A$665,0)),"")</f>
        <v>0</v>
      </c>
      <c r="M449" s="28"/>
      <c r="N449" s="27" t="n">
        <f aca="false">IFERROR(INDEX('Input Giocatori 2026_27'!$E$3:$E$493,MATCH($A449,'Input Giocatori 2026_27'!$A$3:$A$493,0)),"")</f>
        <v>1</v>
      </c>
      <c r="O449" s="27" t="n">
        <f aca="false">IFERROR(INDEX('Input Giocatori 2026_27'!$G$3:$G$493,MATCH($A449,'Input Giocatori 2026_27'!$A$3:$A$493,0)),"")</f>
        <v>1</v>
      </c>
      <c r="P449" s="26" t="str">
        <f aca="false">IFERROR(IF($O449="","",IF((1-(COUNTIFS($B$2:$B$492,$B449,$O$2:$O$492,"&gt;"&amp;$O449)+1-1)/COUNTIF($B$2:$B$492,$B449))&gt;=0.85,"Top",IF((1-(COUNTIFS($B$2:$B$492,$B449,$O$2:$O$492,"&gt;"&amp;$O449)+1-1)/COUNTIF($B$2:$B$492,$B449))&gt;=0.6,"Buono",IF((1-(COUNTIFS($B$2:$B$492,$B449,$O$2:$O$492,"&gt;"&amp;$O449)+1-1)/COUNTIF($B$2:$B$492,$B449))&gt;=0.3,"Nella Media","Scommessa/Riserva")))),"")</f>
        <v>Nella Media</v>
      </c>
      <c r="Q449" s="29" t="n">
        <f aca="false">IF($D449="",COUNTIF($D$2:$D449,""),"")</f>
        <v>448</v>
      </c>
      <c r="R449" s="29" t="str">
        <f aca="false">IF($D449='Info Lega'!$B$28,COUNTIFS($D$2:$D449,'Info Lega'!$B$28),"")</f>
        <v/>
      </c>
      <c r="S449" s="30" t="n">
        <f aca="false">IFERROR(INDEX('Input Statistiche 2025_26'!$G$3:$G$665,MATCH($A449,'Input Statistiche 2025_26'!$A$3:$A$665,0)),"")</f>
        <v>7.5</v>
      </c>
      <c r="T449" s="30" t="n">
        <f aca="false">IFERROR(INDEX('Input Statistiche 2025_26'!$H$3:$H$665,MATCH($A449,'Input Statistiche 2025_26'!$A$3:$A$665,0)),"")</f>
        <v>6.5</v>
      </c>
      <c r="U449" s="26" t="str">
        <f aca="false">IF(OR('La Mia Rosa'!$O$12="",$D449&lt;&gt;""),"",IF($F449&lt;='La Mia Rosa'!$O$12*'Parametri Modello'!$B$24,"OK",IF($F449&lt;='La Mia Rosa'!$O$12*'Parametri Modello'!$B$25,"Attenzione","Rischio Alto")))</f>
        <v>OK</v>
      </c>
      <c r="V449" s="26" t="n">
        <f aca="false">IFERROR(COUNTIFS($B$2:$B$492,$B449,$O$2:$O$492,"&gt;"&amp;$O449)+1,"")</f>
        <v>26</v>
      </c>
      <c r="W449" s="21" t="n">
        <f aca="false">'Info Lega'!$B$4-SUMIFS($M$2:$M$492,$D$2:$D$492,'Info Lega'!$B$28)</f>
        <v>1000</v>
      </c>
      <c r="X449" s="21" t="n">
        <f aca="false">('Info Lega'!$B$5-COUNTIFS($D$2:$D$492,'Info Lega'!$B$28,$B$2:$B$492,"P"))+('Info Lega'!$B$6-COUNTIFS($D$2:$D$492,'Info Lega'!$B$28,$B$2:$B$492,"D"))+('Info Lega'!$B$7-COUNTIFS($D$2:$D$492,'Info Lega'!$B$28,$B$2:$B$492,"C"))+('Info Lega'!$B$8-COUNTIFS($D$2:$D$492,'Info Lega'!$B$28,$B$2:$B$492,"A"))</f>
        <v>25</v>
      </c>
      <c r="Y449" s="21" t="n">
        <f aca="false">X449*'Parametri Modello'!$B$30</f>
        <v>25</v>
      </c>
      <c r="Z449" s="21" t="n">
        <f aca="false">MAX(0,W449-Y449)</f>
        <v>975</v>
      </c>
      <c r="AA449" s="21" t="n">
        <f aca="false">MIN(F449,Z449)</f>
        <v>0</v>
      </c>
      <c r="AB449" s="21"/>
      <c r="AC449" s="21" t="str">
        <f aca="false">IF(AB449="","",IF(AB449&gt;AA449,"PASS",IF(AB449&lt;=AA449*0.85,"BID","ATTENZIONE")))</f>
        <v/>
      </c>
      <c r="AD449" s="31" t="n">
        <f aca="false">IF(I449="","",ROUND(100*(1-EXP(-I449/30)),0))</f>
        <v>3</v>
      </c>
      <c r="AE449" s="7" t="str">
        <f aca="false">IFERROR(INDEX('Stato Asta'!$G$9:$G$12,MATCH($B449,'Stato Asta'!$A$9:$A$12,0)),"")</f>
        <v>🟡 Attesa rischiosa</v>
      </c>
    </row>
    <row r="450" customFormat="false" ht="14.25" hidden="false" customHeight="true" outlineLevel="0" collapsed="false">
      <c r="A450" s="21" t="n">
        <v>158</v>
      </c>
      <c r="B450" s="21" t="s">
        <v>43</v>
      </c>
      <c r="C450" s="21" t="s">
        <v>164</v>
      </c>
      <c r="E450" s="26" t="str">
        <f aca="false">IF(COUNTIF('Info Strategia'!$D$2:$D$51,$C450)&gt;0,"SI","NO")</f>
        <v>NO</v>
      </c>
      <c r="F450" s="27" t="n">
        <f aca="false">IFERROR(ROUND(($G450+($H450-$G450)*'Info Strategia'!$B$6)*(1+IF($E450="SI",'Parametri Modello'!$B$7*'Info Strategia'!$B$6,0)),0),"")</f>
        <v>0</v>
      </c>
      <c r="G450" s="27" t="n">
        <f aca="false">IFERROR(ROUND(MAX(1,(IF($V450&lt;=INDEX('Parametri Modello'!$C$57:$C$60,MATCH($B450,'Parametri Modello'!$A$57:$A$60,0)),IF(INDEX('Parametri Modello'!$E$57:$E$60,MATCH($B450,'Parametri Modello'!$A$57:$A$60,0))=0,0,($O450/INDEX('Parametri Modello'!$E$57:$E$60,MATCH($B450,'Parametri Modello'!$A$57:$A$60,0)))*(INDEX('Parametri Modello'!$D$57:$D$60,MATCH($B450,'Parametri Modello'!$A$57:$A$60,0))*(INDEX('Parametri Modello'!$B$50:$B$53,MATCH($B450,'Parametri Modello'!$A$50:$A$53,0))*'Parametri Modello'!$B$44))),IF(INDEX('Parametri Modello'!$F$57:$F$60,MATCH($B450,'Parametri Modello'!$A$57:$A$60,0))=0,0,($O450/INDEX('Parametri Modello'!$F$57:$F$60,MATCH($B450,'Parametri Modello'!$A$57:$A$60,0)))*((1-INDEX('Parametri Modello'!$D$57:$D$60,MATCH($B450,'Parametri Modello'!$A$57:$A$60,0)))*(INDEX('Parametri Modello'!$B$50:$B$53,MATCH($B450,'Parametri Modello'!$A$50:$A$53,0))*'Parametri Modello'!$B$44))))*(1+IF(IF($B450="D",'Info Lega'!$B$25,IF($B450="C",'Info Lega'!$B$26,"No"))="Si",'Parametri Modello'!$B$5,0))*(1+MAX(-0.25,MIN(0.25,IF(OR($T450="",$I450="",$I450=0,INDEX('Parametri Modello'!$B$19:$B$22,MATCH($B450,'Parametri Modello'!$A$19:$A$22,0))="",INDEX('Parametri Modello'!$B$19:$B$22,MATCH($B450,'Parametri Modello'!$A$19:$A$22,0))=0),0,(($T450-INDEX('Parametri Modello'!$B$19:$B$22,MATCH($B450,'Parametri Modello'!$A$19:$A$22,0)))/INDEX('Parametri Modello'!$B$19:$B$22,MATCH($B450,'Parametri Modello'!$A$19:$A$22,0)))*'Parametri Modello'!$B$9))))*(1+IF('Parametri Modello'!$B$27="Si",MAX(-'Parametri Modello'!$B$28,MIN('Parametri Modello'!$B$28*1.5,IF(OR(INDEX('Parametri Modello'!$F$32:$F$35,MATCH($B450,'Parametri Modello'!$A$32:$A$35,0))="",INDEX('Parametri Modello'!$F$32:$F$35,MATCH($B450,'Parametri Modello'!$A$32:$A$35,0))=0),0,(1/INDEX('Parametri Modello'!$F$32:$F$35,MATCH($B450,'Parametri Modello'!$A$32:$A$35,0))-1)*'Parametri Modello'!$B$28))),0)))*(1-INDEX('Parametri Modello'!$B$12:$B$15,MATCH($B450,'Parametri Modello'!$A$12:$A$15,0)))),0),"")</f>
        <v>1</v>
      </c>
      <c r="H450" s="27" t="n">
        <f aca="false">IFERROR(ROUND((IF($V450&lt;=INDEX('Parametri Modello'!$C$57:$C$60,MATCH($B450,'Parametri Modello'!$A$57:$A$60,0)),IF(INDEX('Parametri Modello'!$E$57:$E$60,MATCH($B450,'Parametri Modello'!$A$57:$A$60,0))=0,0,($O450/INDEX('Parametri Modello'!$E$57:$E$60,MATCH($B450,'Parametri Modello'!$A$57:$A$60,0)))*(INDEX('Parametri Modello'!$D$57:$D$60,MATCH($B450,'Parametri Modello'!$A$57:$A$60,0))*(INDEX('Parametri Modello'!$B$50:$B$53,MATCH($B450,'Parametri Modello'!$A$50:$A$53,0))*'Parametri Modello'!$B$44))),IF(INDEX('Parametri Modello'!$F$57:$F$60,MATCH($B450,'Parametri Modello'!$A$57:$A$60,0))=0,0,($O450/INDEX('Parametri Modello'!$F$57:$F$60,MATCH($B450,'Parametri Modello'!$A$57:$A$60,0)))*((1-INDEX('Parametri Modello'!$D$57:$D$60,MATCH($B450,'Parametri Modello'!$A$57:$A$60,0)))*(INDEX('Parametri Modello'!$B$50:$B$53,MATCH($B450,'Parametri Modello'!$A$50:$A$53,0))*'Parametri Modello'!$B$44))))*(1+IF(IF($B450="D",'Info Lega'!$B$25,IF($B450="C",'Info Lega'!$B$26,"No"))="Si",'Parametri Modello'!$B$5,0))*(1+MAX(-0.25,MIN(0.25,IF(OR($T450="",$I450="",$I450=0,INDEX('Parametri Modello'!$B$19:$B$22,MATCH($B450,'Parametri Modello'!$A$19:$A$22,0))="",INDEX('Parametri Modello'!$B$19:$B$22,MATCH($B450,'Parametri Modello'!$A$19:$A$22,0))=0),0,(($T450-INDEX('Parametri Modello'!$B$19:$B$22,MATCH($B450,'Parametri Modello'!$A$19:$A$22,0)))/INDEX('Parametri Modello'!$B$19:$B$22,MATCH($B450,'Parametri Modello'!$A$19:$A$22,0)))*'Parametri Modello'!$B$9))))*(1+IF('Parametri Modello'!$B$27="Si",MAX(-'Parametri Modello'!$B$28,MIN('Parametri Modello'!$B$28*1.5,IF(OR(INDEX('Parametri Modello'!$F$32:$F$35,MATCH($B450,'Parametri Modello'!$A$32:$A$35,0))="",INDEX('Parametri Modello'!$F$32:$F$35,MATCH($B450,'Parametri Modello'!$A$32:$A$35,0))=0),0,(1/INDEX('Parametri Modello'!$F$32:$F$35,MATCH($B450,'Parametri Modello'!$A$32:$A$35,0))-1)*'Parametri Modello'!$B$28))),0)))*(1+INDEX('Parametri Modello'!$B$12:$B$15,MATCH($B450,'Parametri Modello'!$A$12:$A$15,0))),0),"")</f>
        <v>0</v>
      </c>
      <c r="I450" s="26" t="n">
        <f aca="false">IFERROR(INDEX('Input Statistiche 2025_26'!$F$3:$F$665,MATCH($A450,'Input Statistiche 2025_26'!$A$3:$A$665,0)),"")</f>
        <v>0</v>
      </c>
      <c r="J450" s="26" t="n">
        <f aca="false">IFERROR(IF($I450="","",MAX(0,38-$I450)),"")</f>
        <v>38</v>
      </c>
      <c r="K450" s="26" t="n">
        <f aca="false">IFERROR(INDEX('Input Statistiche 2025_26'!$I$3:$I$665,MATCH($A450,'Input Statistiche 2025_26'!$A$3:$A$665,0)),"")</f>
        <v>0</v>
      </c>
      <c r="L450" s="26" t="n">
        <f aca="false">IFERROR(INDEX('Input Statistiche 2025_26'!$O$3:$O$665,MATCH($A450,'Input Statistiche 2025_26'!$A$3:$A$665,0)),"")</f>
        <v>0</v>
      </c>
      <c r="M450" s="28"/>
      <c r="N450" s="27" t="n">
        <f aca="false">IFERROR(INDEX('Input Giocatori 2026_27'!$E$3:$E$493,MATCH($A450,'Input Giocatori 2026_27'!$A$3:$A$493,0)),"")</f>
        <v>1</v>
      </c>
      <c r="O450" s="27" t="n">
        <f aca="false">IFERROR(INDEX('Input Giocatori 2026_27'!$G$3:$G$493,MATCH($A450,'Input Giocatori 2026_27'!$A$3:$A$493,0)),"")</f>
        <v>1</v>
      </c>
      <c r="P450" s="26" t="str">
        <f aca="false">IFERROR(IF($O450="","",IF((1-(COUNTIFS($B$2:$B$492,$B450,$O$2:$O$492,"&gt;"&amp;$O450)+1-1)/COUNTIF($B$2:$B$492,$B450))&gt;=0.85,"Top",IF((1-(COUNTIFS($B$2:$B$492,$B450,$O$2:$O$492,"&gt;"&amp;$O450)+1-1)/COUNTIF($B$2:$B$492,$B450))&gt;=0.6,"Buono",IF((1-(COUNTIFS($B$2:$B$492,$B450,$O$2:$O$492,"&gt;"&amp;$O450)+1-1)/COUNTIF($B$2:$B$492,$B450))&gt;=0.3,"Nella Media","Scommessa/Riserva")))),"")</f>
        <v>Nella Media</v>
      </c>
      <c r="Q450" s="29" t="n">
        <f aca="false">IF($D450="",COUNTIF($D$2:$D450,""),"")</f>
        <v>449</v>
      </c>
      <c r="R450" s="29" t="str">
        <f aca="false">IF($D450='Info Lega'!$B$28,COUNTIFS($D$2:$D450,'Info Lega'!$B$28),"")</f>
        <v/>
      </c>
      <c r="S450" s="30" t="n">
        <f aca="false">IFERROR(INDEX('Input Statistiche 2025_26'!$G$3:$G$665,MATCH($A450,'Input Statistiche 2025_26'!$A$3:$A$665,0)),"")</f>
        <v>0</v>
      </c>
      <c r="T450" s="30" t="n">
        <f aca="false">IFERROR(INDEX('Input Statistiche 2025_26'!$H$3:$H$665,MATCH($A450,'Input Statistiche 2025_26'!$A$3:$A$665,0)),"")</f>
        <v>0</v>
      </c>
      <c r="U450" s="26" t="str">
        <f aca="false">IF(OR('La Mia Rosa'!$O$12="",$D450&lt;&gt;""),"",IF($F450&lt;='La Mia Rosa'!$O$12*'Parametri Modello'!$B$24,"OK",IF($F450&lt;='La Mia Rosa'!$O$12*'Parametri Modello'!$B$25,"Attenzione","Rischio Alto")))</f>
        <v>OK</v>
      </c>
      <c r="V450" s="26" t="n">
        <f aca="false">IFERROR(COUNTIFS($B$2:$B$492,$B450,$O$2:$O$492,"&gt;"&amp;$O450)+1,"")</f>
        <v>26</v>
      </c>
      <c r="W450" s="21" t="n">
        <f aca="false">'Info Lega'!$B$4-SUMIFS($M$2:$M$492,$D$2:$D$492,'Info Lega'!$B$28)</f>
        <v>1000</v>
      </c>
      <c r="X450" s="21" t="n">
        <f aca="false">('Info Lega'!$B$5-COUNTIFS($D$2:$D$492,'Info Lega'!$B$28,$B$2:$B$492,"P"))+('Info Lega'!$B$6-COUNTIFS($D$2:$D$492,'Info Lega'!$B$28,$B$2:$B$492,"D"))+('Info Lega'!$B$7-COUNTIFS($D$2:$D$492,'Info Lega'!$B$28,$B$2:$B$492,"C"))+('Info Lega'!$B$8-COUNTIFS($D$2:$D$492,'Info Lega'!$B$28,$B$2:$B$492,"A"))</f>
        <v>25</v>
      </c>
      <c r="Y450" s="21" t="n">
        <f aca="false">X450*'Parametri Modello'!$B$30</f>
        <v>25</v>
      </c>
      <c r="Z450" s="21" t="n">
        <f aca="false">MAX(0,W450-Y450)</f>
        <v>975</v>
      </c>
      <c r="AA450" s="21" t="n">
        <f aca="false">MIN(F450,Z450)</f>
        <v>0</v>
      </c>
      <c r="AB450" s="21"/>
      <c r="AC450" s="21" t="str">
        <f aca="false">IF(AB450="","",IF(AB450&gt;AA450,"PASS",IF(AB450&lt;=AA450*0.85,"BID","ATTENZIONE")))</f>
        <v/>
      </c>
      <c r="AD450" s="31" t="n">
        <f aca="false">IF(I450="","",ROUND(100*(1-EXP(-I450/30)),0))</f>
        <v>0</v>
      </c>
      <c r="AE450" s="7" t="str">
        <f aca="false">IFERROR(INDEX('Stato Asta'!$G$9:$G$12,MATCH($B450,'Stato Asta'!$A$9:$A$12,0)),"")</f>
        <v>🟡 Attesa rischiosa</v>
      </c>
    </row>
    <row r="451" customFormat="false" ht="14.25" hidden="false" customHeight="true" outlineLevel="0" collapsed="false">
      <c r="A451" s="21" t="n">
        <v>7466</v>
      </c>
      <c r="B451" s="21" t="s">
        <v>43</v>
      </c>
      <c r="C451" s="21" t="s">
        <v>165</v>
      </c>
      <c r="E451" s="26" t="str">
        <f aca="false">IF(COUNTIF('Info Strategia'!$D$2:$D$51,$C451)&gt;0,"SI","NO")</f>
        <v>NO</v>
      </c>
      <c r="F451" s="27" t="n">
        <f aca="false">IFERROR(ROUND(($G451+($H451-$G451)*'Info Strategia'!$B$6)*(1+IF($E451="SI",'Parametri Modello'!$B$7*'Info Strategia'!$B$6,0)),0),"")</f>
        <v>0</v>
      </c>
      <c r="G451" s="27" t="n">
        <f aca="false">IFERROR(ROUND(MAX(1,(IF($V451&lt;=INDEX('Parametri Modello'!$C$57:$C$60,MATCH($B451,'Parametri Modello'!$A$57:$A$60,0)),IF(INDEX('Parametri Modello'!$E$57:$E$60,MATCH($B451,'Parametri Modello'!$A$57:$A$60,0))=0,0,($O451/INDEX('Parametri Modello'!$E$57:$E$60,MATCH($B451,'Parametri Modello'!$A$57:$A$60,0)))*(INDEX('Parametri Modello'!$D$57:$D$60,MATCH($B451,'Parametri Modello'!$A$57:$A$60,0))*(INDEX('Parametri Modello'!$B$50:$B$53,MATCH($B451,'Parametri Modello'!$A$50:$A$53,0))*'Parametri Modello'!$B$44))),IF(INDEX('Parametri Modello'!$F$57:$F$60,MATCH($B451,'Parametri Modello'!$A$57:$A$60,0))=0,0,($O451/INDEX('Parametri Modello'!$F$57:$F$60,MATCH($B451,'Parametri Modello'!$A$57:$A$60,0)))*((1-INDEX('Parametri Modello'!$D$57:$D$60,MATCH($B451,'Parametri Modello'!$A$57:$A$60,0)))*(INDEX('Parametri Modello'!$B$50:$B$53,MATCH($B451,'Parametri Modello'!$A$50:$A$53,0))*'Parametri Modello'!$B$44))))*(1+IF(IF($B451="D",'Info Lega'!$B$25,IF($B451="C",'Info Lega'!$B$26,"No"))="Si",'Parametri Modello'!$B$5,0))*(1+MAX(-0.25,MIN(0.25,IF(OR($T451="",$I451="",$I451=0,INDEX('Parametri Modello'!$B$19:$B$22,MATCH($B451,'Parametri Modello'!$A$19:$A$22,0))="",INDEX('Parametri Modello'!$B$19:$B$22,MATCH($B451,'Parametri Modello'!$A$19:$A$22,0))=0),0,(($T451-INDEX('Parametri Modello'!$B$19:$B$22,MATCH($B451,'Parametri Modello'!$A$19:$A$22,0)))/INDEX('Parametri Modello'!$B$19:$B$22,MATCH($B451,'Parametri Modello'!$A$19:$A$22,0)))*'Parametri Modello'!$B$9))))*(1+IF('Parametri Modello'!$B$27="Si",MAX(-'Parametri Modello'!$B$28,MIN('Parametri Modello'!$B$28*1.5,IF(OR(INDEX('Parametri Modello'!$F$32:$F$35,MATCH($B451,'Parametri Modello'!$A$32:$A$35,0))="",INDEX('Parametri Modello'!$F$32:$F$35,MATCH($B451,'Parametri Modello'!$A$32:$A$35,0))=0),0,(1/INDEX('Parametri Modello'!$F$32:$F$35,MATCH($B451,'Parametri Modello'!$A$32:$A$35,0))-1)*'Parametri Modello'!$B$28))),0)))*(1-INDEX('Parametri Modello'!$B$12:$B$15,MATCH($B451,'Parametri Modello'!$A$12:$A$15,0)))),0),"")</f>
        <v>1</v>
      </c>
      <c r="H451" s="27" t="n">
        <f aca="false">IFERROR(ROUND((IF($V451&lt;=INDEX('Parametri Modello'!$C$57:$C$60,MATCH($B451,'Parametri Modello'!$A$57:$A$60,0)),IF(INDEX('Parametri Modello'!$E$57:$E$60,MATCH($B451,'Parametri Modello'!$A$57:$A$60,0))=0,0,($O451/INDEX('Parametri Modello'!$E$57:$E$60,MATCH($B451,'Parametri Modello'!$A$57:$A$60,0)))*(INDEX('Parametri Modello'!$D$57:$D$60,MATCH($B451,'Parametri Modello'!$A$57:$A$60,0))*(INDEX('Parametri Modello'!$B$50:$B$53,MATCH($B451,'Parametri Modello'!$A$50:$A$53,0))*'Parametri Modello'!$B$44))),IF(INDEX('Parametri Modello'!$F$57:$F$60,MATCH($B451,'Parametri Modello'!$A$57:$A$60,0))=0,0,($O451/INDEX('Parametri Modello'!$F$57:$F$60,MATCH($B451,'Parametri Modello'!$A$57:$A$60,0)))*((1-INDEX('Parametri Modello'!$D$57:$D$60,MATCH($B451,'Parametri Modello'!$A$57:$A$60,0)))*(INDEX('Parametri Modello'!$B$50:$B$53,MATCH($B451,'Parametri Modello'!$A$50:$A$53,0))*'Parametri Modello'!$B$44))))*(1+IF(IF($B451="D",'Info Lega'!$B$25,IF($B451="C",'Info Lega'!$B$26,"No"))="Si",'Parametri Modello'!$B$5,0))*(1+MAX(-0.25,MIN(0.25,IF(OR($T451="",$I451="",$I451=0,INDEX('Parametri Modello'!$B$19:$B$22,MATCH($B451,'Parametri Modello'!$A$19:$A$22,0))="",INDEX('Parametri Modello'!$B$19:$B$22,MATCH($B451,'Parametri Modello'!$A$19:$A$22,0))=0),0,(($T451-INDEX('Parametri Modello'!$B$19:$B$22,MATCH($B451,'Parametri Modello'!$A$19:$A$22,0)))/INDEX('Parametri Modello'!$B$19:$B$22,MATCH($B451,'Parametri Modello'!$A$19:$A$22,0)))*'Parametri Modello'!$B$9))))*(1+IF('Parametri Modello'!$B$27="Si",MAX(-'Parametri Modello'!$B$28,MIN('Parametri Modello'!$B$28*1.5,IF(OR(INDEX('Parametri Modello'!$F$32:$F$35,MATCH($B451,'Parametri Modello'!$A$32:$A$35,0))="",INDEX('Parametri Modello'!$F$32:$F$35,MATCH($B451,'Parametri Modello'!$A$32:$A$35,0))=0),0,(1/INDEX('Parametri Modello'!$F$32:$F$35,MATCH($B451,'Parametri Modello'!$A$32:$A$35,0))-1)*'Parametri Modello'!$B$28))),0)))*(1+INDEX('Parametri Modello'!$B$12:$B$15,MATCH($B451,'Parametri Modello'!$A$12:$A$15,0))),0),"")</f>
        <v>0</v>
      </c>
      <c r="I451" s="26" t="str">
        <f aca="false">IFERROR(INDEX('Input Statistiche 2025_26'!$F$3:$F$665,MATCH($A451,'Input Statistiche 2025_26'!$A$3:$A$665,0)),"")</f>
        <v/>
      </c>
      <c r="J451" s="26" t="str">
        <f aca="false">IFERROR(IF($I451="","",MAX(0,38-$I451)),"")</f>
        <v/>
      </c>
      <c r="K451" s="26" t="str">
        <f aca="false">IFERROR(INDEX('Input Statistiche 2025_26'!$I$3:$I$665,MATCH($A451,'Input Statistiche 2025_26'!$A$3:$A$665,0)),"")</f>
        <v/>
      </c>
      <c r="L451" s="26" t="str">
        <f aca="false">IFERROR(INDEX('Input Statistiche 2025_26'!$O$3:$O$665,MATCH($A451,'Input Statistiche 2025_26'!$A$3:$A$665,0)),"")</f>
        <v/>
      </c>
      <c r="M451" s="28"/>
      <c r="N451" s="27" t="n">
        <f aca="false">IFERROR(INDEX('Input Giocatori 2026_27'!$E$3:$E$493,MATCH($A451,'Input Giocatori 2026_27'!$A$3:$A$493,0)),"")</f>
        <v>1</v>
      </c>
      <c r="O451" s="27" t="n">
        <f aca="false">IFERROR(INDEX('Input Giocatori 2026_27'!$G$3:$G$493,MATCH($A451,'Input Giocatori 2026_27'!$A$3:$A$493,0)),"")</f>
        <v>1</v>
      </c>
      <c r="P451" s="26" t="str">
        <f aca="false">IFERROR(IF($O451="","",IF((1-(COUNTIFS($B$2:$B$492,$B451,$O$2:$O$492,"&gt;"&amp;$O451)+1-1)/COUNTIF($B$2:$B$492,$B451))&gt;=0.85,"Top",IF((1-(COUNTIFS($B$2:$B$492,$B451,$O$2:$O$492,"&gt;"&amp;$O451)+1-1)/COUNTIF($B$2:$B$492,$B451))&gt;=0.6,"Buono",IF((1-(COUNTIFS($B$2:$B$492,$B451,$O$2:$O$492,"&gt;"&amp;$O451)+1-1)/COUNTIF($B$2:$B$492,$B451))&gt;=0.3,"Nella Media","Scommessa/Riserva")))),"")</f>
        <v>Nella Media</v>
      </c>
      <c r="Q451" s="29" t="n">
        <f aca="false">IF($D451="",COUNTIF($D$2:$D451,""),"")</f>
        <v>450</v>
      </c>
      <c r="R451" s="29" t="str">
        <f aca="false">IF($D451='Info Lega'!$B$28,COUNTIFS($D$2:$D451,'Info Lega'!$B$28),"")</f>
        <v/>
      </c>
      <c r="S451" s="30" t="str">
        <f aca="false">IFERROR(INDEX('Input Statistiche 2025_26'!$G$3:$G$665,MATCH($A451,'Input Statistiche 2025_26'!$A$3:$A$665,0)),"")</f>
        <v/>
      </c>
      <c r="T451" s="30" t="str">
        <f aca="false">IFERROR(INDEX('Input Statistiche 2025_26'!$H$3:$H$665,MATCH($A451,'Input Statistiche 2025_26'!$A$3:$A$665,0)),"")</f>
        <v/>
      </c>
      <c r="U451" s="26" t="str">
        <f aca="false">IF(OR('La Mia Rosa'!$O$12="",$D451&lt;&gt;""),"",IF($F451&lt;='La Mia Rosa'!$O$12*'Parametri Modello'!$B$24,"OK",IF($F451&lt;='La Mia Rosa'!$O$12*'Parametri Modello'!$B$25,"Attenzione","Rischio Alto")))</f>
        <v>OK</v>
      </c>
      <c r="V451" s="26" t="n">
        <f aca="false">IFERROR(COUNTIFS($B$2:$B$492,$B451,$O$2:$O$492,"&gt;"&amp;$O451)+1,"")</f>
        <v>26</v>
      </c>
      <c r="W451" s="21" t="n">
        <f aca="false">'Info Lega'!$B$4-SUMIFS($M$2:$M$492,$D$2:$D$492,'Info Lega'!$B$28)</f>
        <v>1000</v>
      </c>
      <c r="X451" s="21" t="n">
        <f aca="false">('Info Lega'!$B$5-COUNTIFS($D$2:$D$492,'Info Lega'!$B$28,$B$2:$B$492,"P"))+('Info Lega'!$B$6-COUNTIFS($D$2:$D$492,'Info Lega'!$B$28,$B$2:$B$492,"D"))+('Info Lega'!$B$7-COUNTIFS($D$2:$D$492,'Info Lega'!$B$28,$B$2:$B$492,"C"))+('Info Lega'!$B$8-COUNTIFS($D$2:$D$492,'Info Lega'!$B$28,$B$2:$B$492,"A"))</f>
        <v>25</v>
      </c>
      <c r="Y451" s="21" t="n">
        <f aca="false">X451*'Parametri Modello'!$B$30</f>
        <v>25</v>
      </c>
      <c r="Z451" s="21" t="n">
        <f aca="false">MAX(0,W451-Y451)</f>
        <v>975</v>
      </c>
      <c r="AA451" s="21" t="n">
        <f aca="false">MIN(F451,Z451)</f>
        <v>0</v>
      </c>
      <c r="AB451" s="21"/>
      <c r="AC451" s="21" t="str">
        <f aca="false">IF(AB451="","",IF(AB451&gt;AA451,"PASS",IF(AB451&lt;=AA451*0.85,"BID","ATTENZIONE")))</f>
        <v/>
      </c>
      <c r="AD451" s="31" t="str">
        <f aca="false">IF(I451="","",ROUND(100*(1-EXP(-I451/30)),0))</f>
        <v/>
      </c>
      <c r="AE451" s="7" t="str">
        <f aca="false">IFERROR(INDEX('Stato Asta'!$G$9:$G$12,MATCH($B451,'Stato Asta'!$A$9:$A$12,0)),"")</f>
        <v>🟡 Attesa rischiosa</v>
      </c>
    </row>
    <row r="452" customFormat="false" ht="14.25" hidden="false" customHeight="true" outlineLevel="0" collapsed="false">
      <c r="A452" s="21" t="n">
        <v>219</v>
      </c>
      <c r="B452" s="21" t="s">
        <v>43</v>
      </c>
      <c r="C452" s="21" t="s">
        <v>166</v>
      </c>
      <c r="E452" s="26" t="str">
        <f aca="false">IF(COUNTIF('Info Strategia'!$D$2:$D$51,$C452)&gt;0,"SI","NO")</f>
        <v>NO</v>
      </c>
      <c r="F452" s="27" t="n">
        <f aca="false">IFERROR(ROUND(($G452+($H452-$G452)*'Info Strategia'!$B$6)*(1+IF($E452="SI",'Parametri Modello'!$B$7*'Info Strategia'!$B$6,0)),0),"")</f>
        <v>0</v>
      </c>
      <c r="G452" s="27" t="n">
        <f aca="false">IFERROR(ROUND(MAX(1,(IF($V452&lt;=INDEX('Parametri Modello'!$C$57:$C$60,MATCH($B452,'Parametri Modello'!$A$57:$A$60,0)),IF(INDEX('Parametri Modello'!$E$57:$E$60,MATCH($B452,'Parametri Modello'!$A$57:$A$60,0))=0,0,($O452/INDEX('Parametri Modello'!$E$57:$E$60,MATCH($B452,'Parametri Modello'!$A$57:$A$60,0)))*(INDEX('Parametri Modello'!$D$57:$D$60,MATCH($B452,'Parametri Modello'!$A$57:$A$60,0))*(INDEX('Parametri Modello'!$B$50:$B$53,MATCH($B452,'Parametri Modello'!$A$50:$A$53,0))*'Parametri Modello'!$B$44))),IF(INDEX('Parametri Modello'!$F$57:$F$60,MATCH($B452,'Parametri Modello'!$A$57:$A$60,0))=0,0,($O452/INDEX('Parametri Modello'!$F$57:$F$60,MATCH($B452,'Parametri Modello'!$A$57:$A$60,0)))*((1-INDEX('Parametri Modello'!$D$57:$D$60,MATCH($B452,'Parametri Modello'!$A$57:$A$60,0)))*(INDEX('Parametri Modello'!$B$50:$B$53,MATCH($B452,'Parametri Modello'!$A$50:$A$53,0))*'Parametri Modello'!$B$44))))*(1+IF(IF($B452="D",'Info Lega'!$B$25,IF($B452="C",'Info Lega'!$B$26,"No"))="Si",'Parametri Modello'!$B$5,0))*(1+MAX(-0.25,MIN(0.25,IF(OR($T452="",$I452="",$I452=0,INDEX('Parametri Modello'!$B$19:$B$22,MATCH($B452,'Parametri Modello'!$A$19:$A$22,0))="",INDEX('Parametri Modello'!$B$19:$B$22,MATCH($B452,'Parametri Modello'!$A$19:$A$22,0))=0),0,(($T452-INDEX('Parametri Modello'!$B$19:$B$22,MATCH($B452,'Parametri Modello'!$A$19:$A$22,0)))/INDEX('Parametri Modello'!$B$19:$B$22,MATCH($B452,'Parametri Modello'!$A$19:$A$22,0)))*'Parametri Modello'!$B$9))))*(1+IF('Parametri Modello'!$B$27="Si",MAX(-'Parametri Modello'!$B$28,MIN('Parametri Modello'!$B$28*1.5,IF(OR(INDEX('Parametri Modello'!$F$32:$F$35,MATCH($B452,'Parametri Modello'!$A$32:$A$35,0))="",INDEX('Parametri Modello'!$F$32:$F$35,MATCH($B452,'Parametri Modello'!$A$32:$A$35,0))=0),0,(1/INDEX('Parametri Modello'!$F$32:$F$35,MATCH($B452,'Parametri Modello'!$A$32:$A$35,0))-1)*'Parametri Modello'!$B$28))),0)))*(1-INDEX('Parametri Modello'!$B$12:$B$15,MATCH($B452,'Parametri Modello'!$A$12:$A$15,0)))),0),"")</f>
        <v>1</v>
      </c>
      <c r="H452" s="27" t="n">
        <f aca="false">IFERROR(ROUND((IF($V452&lt;=INDEX('Parametri Modello'!$C$57:$C$60,MATCH($B452,'Parametri Modello'!$A$57:$A$60,0)),IF(INDEX('Parametri Modello'!$E$57:$E$60,MATCH($B452,'Parametri Modello'!$A$57:$A$60,0))=0,0,($O452/INDEX('Parametri Modello'!$E$57:$E$60,MATCH($B452,'Parametri Modello'!$A$57:$A$60,0)))*(INDEX('Parametri Modello'!$D$57:$D$60,MATCH($B452,'Parametri Modello'!$A$57:$A$60,0))*(INDEX('Parametri Modello'!$B$50:$B$53,MATCH($B452,'Parametri Modello'!$A$50:$A$53,0))*'Parametri Modello'!$B$44))),IF(INDEX('Parametri Modello'!$F$57:$F$60,MATCH($B452,'Parametri Modello'!$A$57:$A$60,0))=0,0,($O452/INDEX('Parametri Modello'!$F$57:$F$60,MATCH($B452,'Parametri Modello'!$A$57:$A$60,0)))*((1-INDEX('Parametri Modello'!$D$57:$D$60,MATCH($B452,'Parametri Modello'!$A$57:$A$60,0)))*(INDEX('Parametri Modello'!$B$50:$B$53,MATCH($B452,'Parametri Modello'!$A$50:$A$53,0))*'Parametri Modello'!$B$44))))*(1+IF(IF($B452="D",'Info Lega'!$B$25,IF($B452="C",'Info Lega'!$B$26,"No"))="Si",'Parametri Modello'!$B$5,0))*(1+MAX(-0.25,MIN(0.25,IF(OR($T452="",$I452="",$I452=0,INDEX('Parametri Modello'!$B$19:$B$22,MATCH($B452,'Parametri Modello'!$A$19:$A$22,0))="",INDEX('Parametri Modello'!$B$19:$B$22,MATCH($B452,'Parametri Modello'!$A$19:$A$22,0))=0),0,(($T452-INDEX('Parametri Modello'!$B$19:$B$22,MATCH($B452,'Parametri Modello'!$A$19:$A$22,0)))/INDEX('Parametri Modello'!$B$19:$B$22,MATCH($B452,'Parametri Modello'!$A$19:$A$22,0)))*'Parametri Modello'!$B$9))))*(1+IF('Parametri Modello'!$B$27="Si",MAX(-'Parametri Modello'!$B$28,MIN('Parametri Modello'!$B$28*1.5,IF(OR(INDEX('Parametri Modello'!$F$32:$F$35,MATCH($B452,'Parametri Modello'!$A$32:$A$35,0))="",INDEX('Parametri Modello'!$F$32:$F$35,MATCH($B452,'Parametri Modello'!$A$32:$A$35,0))=0),0,(1/INDEX('Parametri Modello'!$F$32:$F$35,MATCH($B452,'Parametri Modello'!$A$32:$A$35,0))-1)*'Parametri Modello'!$B$28))),0)))*(1+INDEX('Parametri Modello'!$B$12:$B$15,MATCH($B452,'Parametri Modello'!$A$12:$A$15,0))),0),"")</f>
        <v>0</v>
      </c>
      <c r="I452" s="26" t="n">
        <f aca="false">IFERROR(INDEX('Input Statistiche 2025_26'!$F$3:$F$665,MATCH($A452,'Input Statistiche 2025_26'!$A$3:$A$665,0)),"")</f>
        <v>2</v>
      </c>
      <c r="J452" s="26" t="n">
        <f aca="false">IFERROR(IF($I452="","",MAX(0,38-$I452)),"")</f>
        <v>36</v>
      </c>
      <c r="K452" s="26" t="n">
        <f aca="false">IFERROR(INDEX('Input Statistiche 2025_26'!$I$3:$I$665,MATCH($A452,'Input Statistiche 2025_26'!$A$3:$A$665,0)),"")</f>
        <v>0</v>
      </c>
      <c r="L452" s="26" t="n">
        <f aca="false">IFERROR(INDEX('Input Statistiche 2025_26'!$O$3:$O$665,MATCH($A452,'Input Statistiche 2025_26'!$A$3:$A$665,0)),"")</f>
        <v>0</v>
      </c>
      <c r="M452" s="28"/>
      <c r="N452" s="27" t="n">
        <f aca="false">IFERROR(INDEX('Input Giocatori 2026_27'!$E$3:$E$493,MATCH($A452,'Input Giocatori 2026_27'!$A$3:$A$493,0)),"")</f>
        <v>1</v>
      </c>
      <c r="O452" s="27" t="n">
        <f aca="false">IFERROR(INDEX('Input Giocatori 2026_27'!$G$3:$G$493,MATCH($A452,'Input Giocatori 2026_27'!$A$3:$A$493,0)),"")</f>
        <v>1</v>
      </c>
      <c r="P452" s="26" t="str">
        <f aca="false">IFERROR(IF($O452="","",IF((1-(COUNTIFS($B$2:$B$492,$B452,$O$2:$O$492,"&gt;"&amp;$O452)+1-1)/COUNTIF($B$2:$B$492,$B452))&gt;=0.85,"Top",IF((1-(COUNTIFS($B$2:$B$492,$B452,$O$2:$O$492,"&gt;"&amp;$O452)+1-1)/COUNTIF($B$2:$B$492,$B452))&gt;=0.6,"Buono",IF((1-(COUNTIFS($B$2:$B$492,$B452,$O$2:$O$492,"&gt;"&amp;$O452)+1-1)/COUNTIF($B$2:$B$492,$B452))&gt;=0.3,"Nella Media","Scommessa/Riserva")))),"")</f>
        <v>Nella Media</v>
      </c>
      <c r="Q452" s="29" t="n">
        <f aca="false">IF($D452="",COUNTIF($D$2:$D452,""),"")</f>
        <v>451</v>
      </c>
      <c r="R452" s="29" t="str">
        <f aca="false">IF($D452='Info Lega'!$B$28,COUNTIFS($D$2:$D452,'Info Lega'!$B$28),"")</f>
        <v/>
      </c>
      <c r="S452" s="30" t="n">
        <f aca="false">IFERROR(INDEX('Input Statistiche 2025_26'!$G$3:$G$665,MATCH($A452,'Input Statistiche 2025_26'!$A$3:$A$665,0)),"")</f>
        <v>5.75</v>
      </c>
      <c r="T452" s="30" t="n">
        <f aca="false">IFERROR(INDEX('Input Statistiche 2025_26'!$H$3:$H$665,MATCH($A452,'Input Statistiche 2025_26'!$A$3:$A$665,0)),"")</f>
        <v>3.75</v>
      </c>
      <c r="U452" s="26" t="str">
        <f aca="false">IF(OR('La Mia Rosa'!$O$12="",$D452&lt;&gt;""),"",IF($F452&lt;='La Mia Rosa'!$O$12*'Parametri Modello'!$B$24,"OK",IF($F452&lt;='La Mia Rosa'!$O$12*'Parametri Modello'!$B$25,"Attenzione","Rischio Alto")))</f>
        <v>OK</v>
      </c>
      <c r="V452" s="26" t="n">
        <f aca="false">IFERROR(COUNTIFS($B$2:$B$492,$B452,$O$2:$O$492,"&gt;"&amp;$O452)+1,"")</f>
        <v>26</v>
      </c>
      <c r="W452" s="21" t="n">
        <f aca="false">'Info Lega'!$B$4-SUMIFS($M$2:$M$492,$D$2:$D$492,'Info Lega'!$B$28)</f>
        <v>1000</v>
      </c>
      <c r="X452" s="21" t="n">
        <f aca="false">('Info Lega'!$B$5-COUNTIFS($D$2:$D$492,'Info Lega'!$B$28,$B$2:$B$492,"P"))+('Info Lega'!$B$6-COUNTIFS($D$2:$D$492,'Info Lega'!$B$28,$B$2:$B$492,"D"))+('Info Lega'!$B$7-COUNTIFS($D$2:$D$492,'Info Lega'!$B$28,$B$2:$B$492,"C"))+('Info Lega'!$B$8-COUNTIFS($D$2:$D$492,'Info Lega'!$B$28,$B$2:$B$492,"A"))</f>
        <v>25</v>
      </c>
      <c r="Y452" s="21" t="n">
        <f aca="false">X452*'Parametri Modello'!$B$30</f>
        <v>25</v>
      </c>
      <c r="Z452" s="21" t="n">
        <f aca="false">MAX(0,W452-Y452)</f>
        <v>975</v>
      </c>
      <c r="AA452" s="21" t="n">
        <f aca="false">MIN(F452,Z452)</f>
        <v>0</v>
      </c>
      <c r="AB452" s="21"/>
      <c r="AC452" s="21" t="str">
        <f aca="false">IF(AB452="","",IF(AB452&gt;AA452,"PASS",IF(AB452&lt;=AA452*0.85,"BID","ATTENZIONE")))</f>
        <v/>
      </c>
      <c r="AD452" s="31" t="n">
        <f aca="false">IF(I452="","",ROUND(100*(1-EXP(-I452/30)),0))</f>
        <v>6</v>
      </c>
      <c r="AE452" s="7" t="str">
        <f aca="false">IFERROR(INDEX('Stato Asta'!$G$9:$G$12,MATCH($B452,'Stato Asta'!$A$9:$A$12,0)),"")</f>
        <v>🟡 Attesa rischiosa</v>
      </c>
    </row>
    <row r="453" customFormat="false" ht="14.25" hidden="false" customHeight="true" outlineLevel="0" collapsed="false">
      <c r="A453" s="21" t="n">
        <v>6569</v>
      </c>
      <c r="B453" s="21" t="s">
        <v>43</v>
      </c>
      <c r="C453" s="21" t="s">
        <v>167</v>
      </c>
      <c r="E453" s="26" t="str">
        <f aca="false">IF(COUNTIF('Info Strategia'!$D$2:$D$51,$C453)&gt;0,"SI","NO")</f>
        <v>NO</v>
      </c>
      <c r="F453" s="27" t="n">
        <f aca="false">IFERROR(ROUND(($G453+($H453-$G453)*'Info Strategia'!$B$6)*(1+IF($E453="SI",'Parametri Modello'!$B$7*'Info Strategia'!$B$6,0)),0),"")</f>
        <v>0</v>
      </c>
      <c r="G453" s="27" t="n">
        <f aca="false">IFERROR(ROUND(MAX(1,(IF($V453&lt;=INDEX('Parametri Modello'!$C$57:$C$60,MATCH($B453,'Parametri Modello'!$A$57:$A$60,0)),IF(INDEX('Parametri Modello'!$E$57:$E$60,MATCH($B453,'Parametri Modello'!$A$57:$A$60,0))=0,0,($O453/INDEX('Parametri Modello'!$E$57:$E$60,MATCH($B453,'Parametri Modello'!$A$57:$A$60,0)))*(INDEX('Parametri Modello'!$D$57:$D$60,MATCH($B453,'Parametri Modello'!$A$57:$A$60,0))*(INDEX('Parametri Modello'!$B$50:$B$53,MATCH($B453,'Parametri Modello'!$A$50:$A$53,0))*'Parametri Modello'!$B$44))),IF(INDEX('Parametri Modello'!$F$57:$F$60,MATCH($B453,'Parametri Modello'!$A$57:$A$60,0))=0,0,($O453/INDEX('Parametri Modello'!$F$57:$F$60,MATCH($B453,'Parametri Modello'!$A$57:$A$60,0)))*((1-INDEX('Parametri Modello'!$D$57:$D$60,MATCH($B453,'Parametri Modello'!$A$57:$A$60,0)))*(INDEX('Parametri Modello'!$B$50:$B$53,MATCH($B453,'Parametri Modello'!$A$50:$A$53,0))*'Parametri Modello'!$B$44))))*(1+IF(IF($B453="D",'Info Lega'!$B$25,IF($B453="C",'Info Lega'!$B$26,"No"))="Si",'Parametri Modello'!$B$5,0))*(1+MAX(-0.25,MIN(0.25,IF(OR($T453="",$I453="",$I453=0,INDEX('Parametri Modello'!$B$19:$B$22,MATCH($B453,'Parametri Modello'!$A$19:$A$22,0))="",INDEX('Parametri Modello'!$B$19:$B$22,MATCH($B453,'Parametri Modello'!$A$19:$A$22,0))=0),0,(($T453-INDEX('Parametri Modello'!$B$19:$B$22,MATCH($B453,'Parametri Modello'!$A$19:$A$22,0)))/INDEX('Parametri Modello'!$B$19:$B$22,MATCH($B453,'Parametri Modello'!$A$19:$A$22,0)))*'Parametri Modello'!$B$9))))*(1+IF('Parametri Modello'!$B$27="Si",MAX(-'Parametri Modello'!$B$28,MIN('Parametri Modello'!$B$28*1.5,IF(OR(INDEX('Parametri Modello'!$F$32:$F$35,MATCH($B453,'Parametri Modello'!$A$32:$A$35,0))="",INDEX('Parametri Modello'!$F$32:$F$35,MATCH($B453,'Parametri Modello'!$A$32:$A$35,0))=0),0,(1/INDEX('Parametri Modello'!$F$32:$F$35,MATCH($B453,'Parametri Modello'!$A$32:$A$35,0))-1)*'Parametri Modello'!$B$28))),0)))*(1-INDEX('Parametri Modello'!$B$12:$B$15,MATCH($B453,'Parametri Modello'!$A$12:$A$15,0)))),0),"")</f>
        <v>1</v>
      </c>
      <c r="H453" s="27" t="n">
        <f aca="false">IFERROR(ROUND((IF($V453&lt;=INDEX('Parametri Modello'!$C$57:$C$60,MATCH($B453,'Parametri Modello'!$A$57:$A$60,0)),IF(INDEX('Parametri Modello'!$E$57:$E$60,MATCH($B453,'Parametri Modello'!$A$57:$A$60,0))=0,0,($O453/INDEX('Parametri Modello'!$E$57:$E$60,MATCH($B453,'Parametri Modello'!$A$57:$A$60,0)))*(INDEX('Parametri Modello'!$D$57:$D$60,MATCH($B453,'Parametri Modello'!$A$57:$A$60,0))*(INDEX('Parametri Modello'!$B$50:$B$53,MATCH($B453,'Parametri Modello'!$A$50:$A$53,0))*'Parametri Modello'!$B$44))),IF(INDEX('Parametri Modello'!$F$57:$F$60,MATCH($B453,'Parametri Modello'!$A$57:$A$60,0))=0,0,($O453/INDEX('Parametri Modello'!$F$57:$F$60,MATCH($B453,'Parametri Modello'!$A$57:$A$60,0)))*((1-INDEX('Parametri Modello'!$D$57:$D$60,MATCH($B453,'Parametri Modello'!$A$57:$A$60,0)))*(INDEX('Parametri Modello'!$B$50:$B$53,MATCH($B453,'Parametri Modello'!$A$50:$A$53,0))*'Parametri Modello'!$B$44))))*(1+IF(IF($B453="D",'Info Lega'!$B$25,IF($B453="C",'Info Lega'!$B$26,"No"))="Si",'Parametri Modello'!$B$5,0))*(1+MAX(-0.25,MIN(0.25,IF(OR($T453="",$I453="",$I453=0,INDEX('Parametri Modello'!$B$19:$B$22,MATCH($B453,'Parametri Modello'!$A$19:$A$22,0))="",INDEX('Parametri Modello'!$B$19:$B$22,MATCH($B453,'Parametri Modello'!$A$19:$A$22,0))=0),0,(($T453-INDEX('Parametri Modello'!$B$19:$B$22,MATCH($B453,'Parametri Modello'!$A$19:$A$22,0)))/INDEX('Parametri Modello'!$B$19:$B$22,MATCH($B453,'Parametri Modello'!$A$19:$A$22,0)))*'Parametri Modello'!$B$9))))*(1+IF('Parametri Modello'!$B$27="Si",MAX(-'Parametri Modello'!$B$28,MIN('Parametri Modello'!$B$28*1.5,IF(OR(INDEX('Parametri Modello'!$F$32:$F$35,MATCH($B453,'Parametri Modello'!$A$32:$A$35,0))="",INDEX('Parametri Modello'!$F$32:$F$35,MATCH($B453,'Parametri Modello'!$A$32:$A$35,0))=0),0,(1/INDEX('Parametri Modello'!$F$32:$F$35,MATCH($B453,'Parametri Modello'!$A$32:$A$35,0))-1)*'Parametri Modello'!$B$28))),0)))*(1+INDEX('Parametri Modello'!$B$12:$B$15,MATCH($B453,'Parametri Modello'!$A$12:$A$15,0))),0),"")</f>
        <v>0</v>
      </c>
      <c r="I453" s="26" t="str">
        <f aca="false">IFERROR(INDEX('Input Statistiche 2025_26'!$F$3:$F$665,MATCH($A453,'Input Statistiche 2025_26'!$A$3:$A$665,0)),"")</f>
        <v/>
      </c>
      <c r="J453" s="26" t="str">
        <f aca="false">IFERROR(IF($I453="","",MAX(0,38-$I453)),"")</f>
        <v/>
      </c>
      <c r="K453" s="26" t="str">
        <f aca="false">IFERROR(INDEX('Input Statistiche 2025_26'!$I$3:$I$665,MATCH($A453,'Input Statistiche 2025_26'!$A$3:$A$665,0)),"")</f>
        <v/>
      </c>
      <c r="L453" s="26" t="str">
        <f aca="false">IFERROR(INDEX('Input Statistiche 2025_26'!$O$3:$O$665,MATCH($A453,'Input Statistiche 2025_26'!$A$3:$A$665,0)),"")</f>
        <v/>
      </c>
      <c r="M453" s="28"/>
      <c r="N453" s="27" t="n">
        <f aca="false">IFERROR(INDEX('Input Giocatori 2026_27'!$E$3:$E$493,MATCH($A453,'Input Giocatori 2026_27'!$A$3:$A$493,0)),"")</f>
        <v>1</v>
      </c>
      <c r="O453" s="27" t="n">
        <f aca="false">IFERROR(INDEX('Input Giocatori 2026_27'!$G$3:$G$493,MATCH($A453,'Input Giocatori 2026_27'!$A$3:$A$493,0)),"")</f>
        <v>1</v>
      </c>
      <c r="P453" s="26" t="str">
        <f aca="false">IFERROR(IF($O453="","",IF((1-(COUNTIFS($B$2:$B$492,$B453,$O$2:$O$492,"&gt;"&amp;$O453)+1-1)/COUNTIF($B$2:$B$492,$B453))&gt;=0.85,"Top",IF((1-(COUNTIFS($B$2:$B$492,$B453,$O$2:$O$492,"&gt;"&amp;$O453)+1-1)/COUNTIF($B$2:$B$492,$B453))&gt;=0.6,"Buono",IF((1-(COUNTIFS($B$2:$B$492,$B453,$O$2:$O$492,"&gt;"&amp;$O453)+1-1)/COUNTIF($B$2:$B$492,$B453))&gt;=0.3,"Nella Media","Scommessa/Riserva")))),"")</f>
        <v>Nella Media</v>
      </c>
      <c r="Q453" s="29" t="n">
        <f aca="false">IF($D453="",COUNTIF($D$2:$D453,""),"")</f>
        <v>452</v>
      </c>
      <c r="R453" s="29" t="str">
        <f aca="false">IF($D453='Info Lega'!$B$28,COUNTIFS($D$2:$D453,'Info Lega'!$B$28),"")</f>
        <v/>
      </c>
      <c r="S453" s="30" t="str">
        <f aca="false">IFERROR(INDEX('Input Statistiche 2025_26'!$G$3:$G$665,MATCH($A453,'Input Statistiche 2025_26'!$A$3:$A$665,0)),"")</f>
        <v/>
      </c>
      <c r="T453" s="30" t="str">
        <f aca="false">IFERROR(INDEX('Input Statistiche 2025_26'!$H$3:$H$665,MATCH($A453,'Input Statistiche 2025_26'!$A$3:$A$665,0)),"")</f>
        <v/>
      </c>
      <c r="U453" s="26" t="str">
        <f aca="false">IF(OR('La Mia Rosa'!$O$12="",$D453&lt;&gt;""),"",IF($F453&lt;='La Mia Rosa'!$O$12*'Parametri Modello'!$B$24,"OK",IF($F453&lt;='La Mia Rosa'!$O$12*'Parametri Modello'!$B$25,"Attenzione","Rischio Alto")))</f>
        <v>OK</v>
      </c>
      <c r="V453" s="26" t="n">
        <f aca="false">IFERROR(COUNTIFS($B$2:$B$492,$B453,$O$2:$O$492,"&gt;"&amp;$O453)+1,"")</f>
        <v>26</v>
      </c>
      <c r="W453" s="21" t="n">
        <f aca="false">'Info Lega'!$B$4-SUMIFS($M$2:$M$492,$D$2:$D$492,'Info Lega'!$B$28)</f>
        <v>1000</v>
      </c>
      <c r="X453" s="21" t="n">
        <f aca="false">('Info Lega'!$B$5-COUNTIFS($D$2:$D$492,'Info Lega'!$B$28,$B$2:$B$492,"P"))+('Info Lega'!$B$6-COUNTIFS($D$2:$D$492,'Info Lega'!$B$28,$B$2:$B$492,"D"))+('Info Lega'!$B$7-COUNTIFS($D$2:$D$492,'Info Lega'!$B$28,$B$2:$B$492,"C"))+('Info Lega'!$B$8-COUNTIFS($D$2:$D$492,'Info Lega'!$B$28,$B$2:$B$492,"A"))</f>
        <v>25</v>
      </c>
      <c r="Y453" s="21" t="n">
        <f aca="false">X453*'Parametri Modello'!$B$30</f>
        <v>25</v>
      </c>
      <c r="Z453" s="21" t="n">
        <f aca="false">MAX(0,W453-Y453)</f>
        <v>975</v>
      </c>
      <c r="AA453" s="21" t="n">
        <f aca="false">MIN(F453,Z453)</f>
        <v>0</v>
      </c>
      <c r="AB453" s="21"/>
      <c r="AC453" s="21" t="str">
        <f aca="false">IF(AB453="","",IF(AB453&gt;AA453,"PASS",IF(AB453&lt;=AA453*0.85,"BID","ATTENZIONE")))</f>
        <v/>
      </c>
      <c r="AD453" s="31" t="str">
        <f aca="false">IF(I453="","",ROUND(100*(1-EXP(-I453/30)),0))</f>
        <v/>
      </c>
      <c r="AE453" s="7" t="str">
        <f aca="false">IFERROR(INDEX('Stato Asta'!$G$9:$G$12,MATCH($B453,'Stato Asta'!$A$9:$A$12,0)),"")</f>
        <v>🟡 Attesa rischiosa</v>
      </c>
    </row>
    <row r="454" customFormat="false" ht="14.25" hidden="false" customHeight="true" outlineLevel="0" collapsed="false">
      <c r="A454" s="21" t="n">
        <v>1926</v>
      </c>
      <c r="B454" s="21" t="s">
        <v>43</v>
      </c>
      <c r="C454" s="21" t="s">
        <v>168</v>
      </c>
      <c r="E454" s="26" t="str">
        <f aca="false">IF(COUNTIF('Info Strategia'!$D$2:$D$51,$C454)&gt;0,"SI","NO")</f>
        <v>NO</v>
      </c>
      <c r="F454" s="27" t="n">
        <f aca="false">IFERROR(ROUND(($G454+($H454-$G454)*'Info Strategia'!$B$6)*(1+IF($E454="SI",'Parametri Modello'!$B$7*'Info Strategia'!$B$6,0)),0),"")</f>
        <v>0</v>
      </c>
      <c r="G454" s="27" t="n">
        <f aca="false">IFERROR(ROUND(MAX(1,(IF($V454&lt;=INDEX('Parametri Modello'!$C$57:$C$60,MATCH($B454,'Parametri Modello'!$A$57:$A$60,0)),IF(INDEX('Parametri Modello'!$E$57:$E$60,MATCH($B454,'Parametri Modello'!$A$57:$A$60,0))=0,0,($O454/INDEX('Parametri Modello'!$E$57:$E$60,MATCH($B454,'Parametri Modello'!$A$57:$A$60,0)))*(INDEX('Parametri Modello'!$D$57:$D$60,MATCH($B454,'Parametri Modello'!$A$57:$A$60,0))*(INDEX('Parametri Modello'!$B$50:$B$53,MATCH($B454,'Parametri Modello'!$A$50:$A$53,0))*'Parametri Modello'!$B$44))),IF(INDEX('Parametri Modello'!$F$57:$F$60,MATCH($B454,'Parametri Modello'!$A$57:$A$60,0))=0,0,($O454/INDEX('Parametri Modello'!$F$57:$F$60,MATCH($B454,'Parametri Modello'!$A$57:$A$60,0)))*((1-INDEX('Parametri Modello'!$D$57:$D$60,MATCH($B454,'Parametri Modello'!$A$57:$A$60,0)))*(INDEX('Parametri Modello'!$B$50:$B$53,MATCH($B454,'Parametri Modello'!$A$50:$A$53,0))*'Parametri Modello'!$B$44))))*(1+IF(IF($B454="D",'Info Lega'!$B$25,IF($B454="C",'Info Lega'!$B$26,"No"))="Si",'Parametri Modello'!$B$5,0))*(1+MAX(-0.25,MIN(0.25,IF(OR($T454="",$I454="",$I454=0,INDEX('Parametri Modello'!$B$19:$B$22,MATCH($B454,'Parametri Modello'!$A$19:$A$22,0))="",INDEX('Parametri Modello'!$B$19:$B$22,MATCH($B454,'Parametri Modello'!$A$19:$A$22,0))=0),0,(($T454-INDEX('Parametri Modello'!$B$19:$B$22,MATCH($B454,'Parametri Modello'!$A$19:$A$22,0)))/INDEX('Parametri Modello'!$B$19:$B$22,MATCH($B454,'Parametri Modello'!$A$19:$A$22,0)))*'Parametri Modello'!$B$9))))*(1+IF('Parametri Modello'!$B$27="Si",MAX(-'Parametri Modello'!$B$28,MIN('Parametri Modello'!$B$28*1.5,IF(OR(INDEX('Parametri Modello'!$F$32:$F$35,MATCH($B454,'Parametri Modello'!$A$32:$A$35,0))="",INDEX('Parametri Modello'!$F$32:$F$35,MATCH($B454,'Parametri Modello'!$A$32:$A$35,0))=0),0,(1/INDEX('Parametri Modello'!$F$32:$F$35,MATCH($B454,'Parametri Modello'!$A$32:$A$35,0))-1)*'Parametri Modello'!$B$28))),0)))*(1-INDEX('Parametri Modello'!$B$12:$B$15,MATCH($B454,'Parametri Modello'!$A$12:$A$15,0)))),0),"")</f>
        <v>1</v>
      </c>
      <c r="H454" s="27" t="n">
        <f aca="false">IFERROR(ROUND((IF($V454&lt;=INDEX('Parametri Modello'!$C$57:$C$60,MATCH($B454,'Parametri Modello'!$A$57:$A$60,0)),IF(INDEX('Parametri Modello'!$E$57:$E$60,MATCH($B454,'Parametri Modello'!$A$57:$A$60,0))=0,0,($O454/INDEX('Parametri Modello'!$E$57:$E$60,MATCH($B454,'Parametri Modello'!$A$57:$A$60,0)))*(INDEX('Parametri Modello'!$D$57:$D$60,MATCH($B454,'Parametri Modello'!$A$57:$A$60,0))*(INDEX('Parametri Modello'!$B$50:$B$53,MATCH($B454,'Parametri Modello'!$A$50:$A$53,0))*'Parametri Modello'!$B$44))),IF(INDEX('Parametri Modello'!$F$57:$F$60,MATCH($B454,'Parametri Modello'!$A$57:$A$60,0))=0,0,($O454/INDEX('Parametri Modello'!$F$57:$F$60,MATCH($B454,'Parametri Modello'!$A$57:$A$60,0)))*((1-INDEX('Parametri Modello'!$D$57:$D$60,MATCH($B454,'Parametri Modello'!$A$57:$A$60,0)))*(INDEX('Parametri Modello'!$B$50:$B$53,MATCH($B454,'Parametri Modello'!$A$50:$A$53,0))*'Parametri Modello'!$B$44))))*(1+IF(IF($B454="D",'Info Lega'!$B$25,IF($B454="C",'Info Lega'!$B$26,"No"))="Si",'Parametri Modello'!$B$5,0))*(1+MAX(-0.25,MIN(0.25,IF(OR($T454="",$I454="",$I454=0,INDEX('Parametri Modello'!$B$19:$B$22,MATCH($B454,'Parametri Modello'!$A$19:$A$22,0))="",INDEX('Parametri Modello'!$B$19:$B$22,MATCH($B454,'Parametri Modello'!$A$19:$A$22,0))=0),0,(($T454-INDEX('Parametri Modello'!$B$19:$B$22,MATCH($B454,'Parametri Modello'!$A$19:$A$22,0)))/INDEX('Parametri Modello'!$B$19:$B$22,MATCH($B454,'Parametri Modello'!$A$19:$A$22,0)))*'Parametri Modello'!$B$9))))*(1+IF('Parametri Modello'!$B$27="Si",MAX(-'Parametri Modello'!$B$28,MIN('Parametri Modello'!$B$28*1.5,IF(OR(INDEX('Parametri Modello'!$F$32:$F$35,MATCH($B454,'Parametri Modello'!$A$32:$A$35,0))="",INDEX('Parametri Modello'!$F$32:$F$35,MATCH($B454,'Parametri Modello'!$A$32:$A$35,0))=0),0,(1/INDEX('Parametri Modello'!$F$32:$F$35,MATCH($B454,'Parametri Modello'!$A$32:$A$35,0))-1)*'Parametri Modello'!$B$28))),0)))*(1+INDEX('Parametri Modello'!$B$12:$B$15,MATCH($B454,'Parametri Modello'!$A$12:$A$15,0))),0),"")</f>
        <v>0</v>
      </c>
      <c r="I454" s="26" t="n">
        <f aca="false">IFERROR(INDEX('Input Statistiche 2025_26'!$F$3:$F$665,MATCH($A454,'Input Statistiche 2025_26'!$A$3:$A$665,0)),"")</f>
        <v>1</v>
      </c>
      <c r="J454" s="26" t="n">
        <f aca="false">IFERROR(IF($I454="","",MAX(0,38-$I454)),"")</f>
        <v>37</v>
      </c>
      <c r="K454" s="26" t="n">
        <f aca="false">IFERROR(INDEX('Input Statistiche 2025_26'!$I$3:$I$665,MATCH($A454,'Input Statistiche 2025_26'!$A$3:$A$665,0)),"")</f>
        <v>0</v>
      </c>
      <c r="L454" s="26" t="n">
        <f aca="false">IFERROR(INDEX('Input Statistiche 2025_26'!$O$3:$O$665,MATCH($A454,'Input Statistiche 2025_26'!$A$3:$A$665,0)),"")</f>
        <v>0</v>
      </c>
      <c r="M454" s="28"/>
      <c r="N454" s="27" t="n">
        <f aca="false">IFERROR(INDEX('Input Giocatori 2026_27'!$E$3:$E$493,MATCH($A454,'Input Giocatori 2026_27'!$A$3:$A$493,0)),"")</f>
        <v>1</v>
      </c>
      <c r="O454" s="27" t="n">
        <f aca="false">IFERROR(INDEX('Input Giocatori 2026_27'!$G$3:$G$493,MATCH($A454,'Input Giocatori 2026_27'!$A$3:$A$493,0)),"")</f>
        <v>1</v>
      </c>
      <c r="P454" s="26" t="str">
        <f aca="false">IFERROR(IF($O454="","",IF((1-(COUNTIFS($B$2:$B$492,$B454,$O$2:$O$492,"&gt;"&amp;$O454)+1-1)/COUNTIF($B$2:$B$492,$B454))&gt;=0.85,"Top",IF((1-(COUNTIFS($B$2:$B$492,$B454,$O$2:$O$492,"&gt;"&amp;$O454)+1-1)/COUNTIF($B$2:$B$492,$B454))&gt;=0.6,"Buono",IF((1-(COUNTIFS($B$2:$B$492,$B454,$O$2:$O$492,"&gt;"&amp;$O454)+1-1)/COUNTIF($B$2:$B$492,$B454))&gt;=0.3,"Nella Media","Scommessa/Riserva")))),"")</f>
        <v>Nella Media</v>
      </c>
      <c r="Q454" s="29" t="n">
        <f aca="false">IF($D454="",COUNTIF($D$2:$D454,""),"")</f>
        <v>453</v>
      </c>
      <c r="R454" s="29" t="str">
        <f aca="false">IF($D454='Info Lega'!$B$28,COUNTIFS($D$2:$D454,'Info Lega'!$B$28),"")</f>
        <v/>
      </c>
      <c r="S454" s="30" t="n">
        <f aca="false">IFERROR(INDEX('Input Statistiche 2025_26'!$G$3:$G$665,MATCH($A454,'Input Statistiche 2025_26'!$A$3:$A$665,0)),"")</f>
        <v>6</v>
      </c>
      <c r="T454" s="30" t="n">
        <f aca="false">IFERROR(INDEX('Input Statistiche 2025_26'!$H$3:$H$665,MATCH($A454,'Input Statistiche 2025_26'!$A$3:$A$665,0)),"")</f>
        <v>5</v>
      </c>
      <c r="U454" s="26" t="str">
        <f aca="false">IF(OR('La Mia Rosa'!$O$12="",$D454&lt;&gt;""),"",IF($F454&lt;='La Mia Rosa'!$O$12*'Parametri Modello'!$B$24,"OK",IF($F454&lt;='La Mia Rosa'!$O$12*'Parametri Modello'!$B$25,"Attenzione","Rischio Alto")))</f>
        <v>OK</v>
      </c>
      <c r="V454" s="26" t="n">
        <f aca="false">IFERROR(COUNTIFS($B$2:$B$492,$B454,$O$2:$O$492,"&gt;"&amp;$O454)+1,"")</f>
        <v>26</v>
      </c>
      <c r="W454" s="21" t="n">
        <f aca="false">'Info Lega'!$B$4-SUMIFS($M$2:$M$492,$D$2:$D$492,'Info Lega'!$B$28)</f>
        <v>1000</v>
      </c>
      <c r="X454" s="21" t="n">
        <f aca="false">('Info Lega'!$B$5-COUNTIFS($D$2:$D$492,'Info Lega'!$B$28,$B$2:$B$492,"P"))+('Info Lega'!$B$6-COUNTIFS($D$2:$D$492,'Info Lega'!$B$28,$B$2:$B$492,"D"))+('Info Lega'!$B$7-COUNTIFS($D$2:$D$492,'Info Lega'!$B$28,$B$2:$B$492,"C"))+('Info Lega'!$B$8-COUNTIFS($D$2:$D$492,'Info Lega'!$B$28,$B$2:$B$492,"A"))</f>
        <v>25</v>
      </c>
      <c r="Y454" s="21" t="n">
        <f aca="false">X454*'Parametri Modello'!$B$30</f>
        <v>25</v>
      </c>
      <c r="Z454" s="21" t="n">
        <f aca="false">MAX(0,W454-Y454)</f>
        <v>975</v>
      </c>
      <c r="AA454" s="21" t="n">
        <f aca="false">MIN(F454,Z454)</f>
        <v>0</v>
      </c>
      <c r="AB454" s="21"/>
      <c r="AC454" s="21" t="str">
        <f aca="false">IF(AB454="","",IF(AB454&gt;AA454,"PASS",IF(AB454&lt;=AA454*0.85,"BID","ATTENZIONE")))</f>
        <v/>
      </c>
      <c r="AD454" s="31" t="n">
        <f aca="false">IF(I454="","",ROUND(100*(1-EXP(-I454/30)),0))</f>
        <v>3</v>
      </c>
      <c r="AE454" s="7" t="str">
        <f aca="false">IFERROR(INDEX('Stato Asta'!$G$9:$G$12,MATCH($B454,'Stato Asta'!$A$9:$A$12,0)),"")</f>
        <v>🟡 Attesa rischiosa</v>
      </c>
    </row>
    <row r="455" customFormat="false" ht="14.25" hidden="false" customHeight="true" outlineLevel="0" collapsed="false">
      <c r="A455" s="21" t="n">
        <v>1930</v>
      </c>
      <c r="B455" s="21" t="s">
        <v>43</v>
      </c>
      <c r="C455" s="21" t="s">
        <v>169</v>
      </c>
      <c r="E455" s="26" t="str">
        <f aca="false">IF(COUNTIF('Info Strategia'!$D$2:$D$51,$C455)&gt;0,"SI","NO")</f>
        <v>NO</v>
      </c>
      <c r="F455" s="27" t="n">
        <f aca="false">IFERROR(ROUND(($G455+($H455-$G455)*'Info Strategia'!$B$6)*(1+IF($E455="SI",'Parametri Modello'!$B$7*'Info Strategia'!$B$6,0)),0),"")</f>
        <v>0</v>
      </c>
      <c r="G455" s="27" t="n">
        <f aca="false">IFERROR(ROUND(MAX(1,(IF($V455&lt;=INDEX('Parametri Modello'!$C$57:$C$60,MATCH($B455,'Parametri Modello'!$A$57:$A$60,0)),IF(INDEX('Parametri Modello'!$E$57:$E$60,MATCH($B455,'Parametri Modello'!$A$57:$A$60,0))=0,0,($O455/INDEX('Parametri Modello'!$E$57:$E$60,MATCH($B455,'Parametri Modello'!$A$57:$A$60,0)))*(INDEX('Parametri Modello'!$D$57:$D$60,MATCH($B455,'Parametri Modello'!$A$57:$A$60,0))*(INDEX('Parametri Modello'!$B$50:$B$53,MATCH($B455,'Parametri Modello'!$A$50:$A$53,0))*'Parametri Modello'!$B$44))),IF(INDEX('Parametri Modello'!$F$57:$F$60,MATCH($B455,'Parametri Modello'!$A$57:$A$60,0))=0,0,($O455/INDEX('Parametri Modello'!$F$57:$F$60,MATCH($B455,'Parametri Modello'!$A$57:$A$60,0)))*((1-INDEX('Parametri Modello'!$D$57:$D$60,MATCH($B455,'Parametri Modello'!$A$57:$A$60,0)))*(INDEX('Parametri Modello'!$B$50:$B$53,MATCH($B455,'Parametri Modello'!$A$50:$A$53,0))*'Parametri Modello'!$B$44))))*(1+IF(IF($B455="D",'Info Lega'!$B$25,IF($B455="C",'Info Lega'!$B$26,"No"))="Si",'Parametri Modello'!$B$5,0))*(1+MAX(-0.25,MIN(0.25,IF(OR($T455="",$I455="",$I455=0,INDEX('Parametri Modello'!$B$19:$B$22,MATCH($B455,'Parametri Modello'!$A$19:$A$22,0))="",INDEX('Parametri Modello'!$B$19:$B$22,MATCH($B455,'Parametri Modello'!$A$19:$A$22,0))=0),0,(($T455-INDEX('Parametri Modello'!$B$19:$B$22,MATCH($B455,'Parametri Modello'!$A$19:$A$22,0)))/INDEX('Parametri Modello'!$B$19:$B$22,MATCH($B455,'Parametri Modello'!$A$19:$A$22,0)))*'Parametri Modello'!$B$9))))*(1+IF('Parametri Modello'!$B$27="Si",MAX(-'Parametri Modello'!$B$28,MIN('Parametri Modello'!$B$28*1.5,IF(OR(INDEX('Parametri Modello'!$F$32:$F$35,MATCH($B455,'Parametri Modello'!$A$32:$A$35,0))="",INDEX('Parametri Modello'!$F$32:$F$35,MATCH($B455,'Parametri Modello'!$A$32:$A$35,0))=0),0,(1/INDEX('Parametri Modello'!$F$32:$F$35,MATCH($B455,'Parametri Modello'!$A$32:$A$35,0))-1)*'Parametri Modello'!$B$28))),0)))*(1-INDEX('Parametri Modello'!$B$12:$B$15,MATCH($B455,'Parametri Modello'!$A$12:$A$15,0)))),0),"")</f>
        <v>1</v>
      </c>
      <c r="H455" s="27" t="n">
        <f aca="false">IFERROR(ROUND((IF($V455&lt;=INDEX('Parametri Modello'!$C$57:$C$60,MATCH($B455,'Parametri Modello'!$A$57:$A$60,0)),IF(INDEX('Parametri Modello'!$E$57:$E$60,MATCH($B455,'Parametri Modello'!$A$57:$A$60,0))=0,0,($O455/INDEX('Parametri Modello'!$E$57:$E$60,MATCH($B455,'Parametri Modello'!$A$57:$A$60,0)))*(INDEX('Parametri Modello'!$D$57:$D$60,MATCH($B455,'Parametri Modello'!$A$57:$A$60,0))*(INDEX('Parametri Modello'!$B$50:$B$53,MATCH($B455,'Parametri Modello'!$A$50:$A$53,0))*'Parametri Modello'!$B$44))),IF(INDEX('Parametri Modello'!$F$57:$F$60,MATCH($B455,'Parametri Modello'!$A$57:$A$60,0))=0,0,($O455/INDEX('Parametri Modello'!$F$57:$F$60,MATCH($B455,'Parametri Modello'!$A$57:$A$60,0)))*((1-INDEX('Parametri Modello'!$D$57:$D$60,MATCH($B455,'Parametri Modello'!$A$57:$A$60,0)))*(INDEX('Parametri Modello'!$B$50:$B$53,MATCH($B455,'Parametri Modello'!$A$50:$A$53,0))*'Parametri Modello'!$B$44))))*(1+IF(IF($B455="D",'Info Lega'!$B$25,IF($B455="C",'Info Lega'!$B$26,"No"))="Si",'Parametri Modello'!$B$5,0))*(1+MAX(-0.25,MIN(0.25,IF(OR($T455="",$I455="",$I455=0,INDEX('Parametri Modello'!$B$19:$B$22,MATCH($B455,'Parametri Modello'!$A$19:$A$22,0))="",INDEX('Parametri Modello'!$B$19:$B$22,MATCH($B455,'Parametri Modello'!$A$19:$A$22,0))=0),0,(($T455-INDEX('Parametri Modello'!$B$19:$B$22,MATCH($B455,'Parametri Modello'!$A$19:$A$22,0)))/INDEX('Parametri Modello'!$B$19:$B$22,MATCH($B455,'Parametri Modello'!$A$19:$A$22,0)))*'Parametri Modello'!$B$9))))*(1+IF('Parametri Modello'!$B$27="Si",MAX(-'Parametri Modello'!$B$28,MIN('Parametri Modello'!$B$28*1.5,IF(OR(INDEX('Parametri Modello'!$F$32:$F$35,MATCH($B455,'Parametri Modello'!$A$32:$A$35,0))="",INDEX('Parametri Modello'!$F$32:$F$35,MATCH($B455,'Parametri Modello'!$A$32:$A$35,0))=0),0,(1/INDEX('Parametri Modello'!$F$32:$F$35,MATCH($B455,'Parametri Modello'!$A$32:$A$35,0))-1)*'Parametri Modello'!$B$28))),0)))*(1+INDEX('Parametri Modello'!$B$12:$B$15,MATCH($B455,'Parametri Modello'!$A$12:$A$15,0))),0),"")</f>
        <v>0</v>
      </c>
      <c r="I455" s="26" t="n">
        <f aca="false">IFERROR(INDEX('Input Statistiche 2025_26'!$F$3:$F$665,MATCH($A455,'Input Statistiche 2025_26'!$A$3:$A$665,0)),"")</f>
        <v>0</v>
      </c>
      <c r="J455" s="26" t="n">
        <f aca="false">IFERROR(IF($I455="","",MAX(0,38-$I455)),"")</f>
        <v>38</v>
      </c>
      <c r="K455" s="26" t="n">
        <f aca="false">IFERROR(INDEX('Input Statistiche 2025_26'!$I$3:$I$665,MATCH($A455,'Input Statistiche 2025_26'!$A$3:$A$665,0)),"")</f>
        <v>0</v>
      </c>
      <c r="L455" s="26" t="n">
        <f aca="false">IFERROR(INDEX('Input Statistiche 2025_26'!$O$3:$O$665,MATCH($A455,'Input Statistiche 2025_26'!$A$3:$A$665,0)),"")</f>
        <v>0</v>
      </c>
      <c r="M455" s="28"/>
      <c r="N455" s="27" t="n">
        <f aca="false">IFERROR(INDEX('Input Giocatori 2026_27'!$E$3:$E$493,MATCH($A455,'Input Giocatori 2026_27'!$A$3:$A$493,0)),"")</f>
        <v>1</v>
      </c>
      <c r="O455" s="27" t="n">
        <f aca="false">IFERROR(INDEX('Input Giocatori 2026_27'!$G$3:$G$493,MATCH($A455,'Input Giocatori 2026_27'!$A$3:$A$493,0)),"")</f>
        <v>1</v>
      </c>
      <c r="P455" s="26" t="str">
        <f aca="false">IFERROR(IF($O455="","",IF((1-(COUNTIFS($B$2:$B$492,$B455,$O$2:$O$492,"&gt;"&amp;$O455)+1-1)/COUNTIF($B$2:$B$492,$B455))&gt;=0.85,"Top",IF((1-(COUNTIFS($B$2:$B$492,$B455,$O$2:$O$492,"&gt;"&amp;$O455)+1-1)/COUNTIF($B$2:$B$492,$B455))&gt;=0.6,"Buono",IF((1-(COUNTIFS($B$2:$B$492,$B455,$O$2:$O$492,"&gt;"&amp;$O455)+1-1)/COUNTIF($B$2:$B$492,$B455))&gt;=0.3,"Nella Media","Scommessa/Riserva")))),"")</f>
        <v>Nella Media</v>
      </c>
      <c r="Q455" s="29" t="n">
        <f aca="false">IF($D455="",COUNTIF($D$2:$D455,""),"")</f>
        <v>454</v>
      </c>
      <c r="R455" s="29" t="str">
        <f aca="false">IF($D455='Info Lega'!$B$28,COUNTIFS($D$2:$D455,'Info Lega'!$B$28),"")</f>
        <v/>
      </c>
      <c r="S455" s="30" t="n">
        <f aca="false">IFERROR(INDEX('Input Statistiche 2025_26'!$G$3:$G$665,MATCH($A455,'Input Statistiche 2025_26'!$A$3:$A$665,0)),"")</f>
        <v>0</v>
      </c>
      <c r="T455" s="30" t="n">
        <f aca="false">IFERROR(INDEX('Input Statistiche 2025_26'!$H$3:$H$665,MATCH($A455,'Input Statistiche 2025_26'!$A$3:$A$665,0)),"")</f>
        <v>0</v>
      </c>
      <c r="U455" s="26" t="str">
        <f aca="false">IF(OR('La Mia Rosa'!$O$12="",$D455&lt;&gt;""),"",IF($F455&lt;='La Mia Rosa'!$O$12*'Parametri Modello'!$B$24,"OK",IF($F455&lt;='La Mia Rosa'!$O$12*'Parametri Modello'!$B$25,"Attenzione","Rischio Alto")))</f>
        <v>OK</v>
      </c>
      <c r="V455" s="26" t="n">
        <f aca="false">IFERROR(COUNTIFS($B$2:$B$492,$B455,$O$2:$O$492,"&gt;"&amp;$O455)+1,"")</f>
        <v>26</v>
      </c>
      <c r="W455" s="21" t="n">
        <f aca="false">'Info Lega'!$B$4-SUMIFS($M$2:$M$492,$D$2:$D$492,'Info Lega'!$B$28)</f>
        <v>1000</v>
      </c>
      <c r="X455" s="21" t="n">
        <f aca="false">('Info Lega'!$B$5-COUNTIFS($D$2:$D$492,'Info Lega'!$B$28,$B$2:$B$492,"P"))+('Info Lega'!$B$6-COUNTIFS($D$2:$D$492,'Info Lega'!$B$28,$B$2:$B$492,"D"))+('Info Lega'!$B$7-COUNTIFS($D$2:$D$492,'Info Lega'!$B$28,$B$2:$B$492,"C"))+('Info Lega'!$B$8-COUNTIFS($D$2:$D$492,'Info Lega'!$B$28,$B$2:$B$492,"A"))</f>
        <v>25</v>
      </c>
      <c r="Y455" s="21" t="n">
        <f aca="false">X455*'Parametri Modello'!$B$30</f>
        <v>25</v>
      </c>
      <c r="Z455" s="21" t="n">
        <f aca="false">MAX(0,W455-Y455)</f>
        <v>975</v>
      </c>
      <c r="AA455" s="21" t="n">
        <f aca="false">MIN(F455,Z455)</f>
        <v>0</v>
      </c>
      <c r="AB455" s="21"/>
      <c r="AC455" s="21" t="str">
        <f aca="false">IF(AB455="","",IF(AB455&gt;AA455,"PASS",IF(AB455&lt;=AA455*0.85,"BID","ATTENZIONE")))</f>
        <v/>
      </c>
      <c r="AD455" s="31" t="n">
        <f aca="false">IF(I455="","",ROUND(100*(1-EXP(-I455/30)),0))</f>
        <v>0</v>
      </c>
      <c r="AE455" s="7" t="str">
        <f aca="false">IFERROR(INDEX('Stato Asta'!$G$9:$G$12,MATCH($B455,'Stato Asta'!$A$9:$A$12,0)),"")</f>
        <v>🟡 Attesa rischiosa</v>
      </c>
    </row>
    <row r="456" customFormat="false" ht="14.25" hidden="false" customHeight="true" outlineLevel="0" collapsed="false">
      <c r="A456" s="21" t="n">
        <v>7337</v>
      </c>
      <c r="B456" s="21" t="s">
        <v>43</v>
      </c>
      <c r="C456" s="21" t="s">
        <v>170</v>
      </c>
      <c r="E456" s="26" t="str">
        <f aca="false">IF(COUNTIF('Info Strategia'!$D$2:$D$51,$C456)&gt;0,"SI","NO")</f>
        <v>NO</v>
      </c>
      <c r="F456" s="27" t="n">
        <f aca="false">IFERROR(ROUND(($G456+($H456-$G456)*'Info Strategia'!$B$6)*(1+IF($E456="SI",'Parametri Modello'!$B$7*'Info Strategia'!$B$6,0)),0),"")</f>
        <v>0</v>
      </c>
      <c r="G456" s="27" t="n">
        <f aca="false">IFERROR(ROUND(MAX(1,(IF($V456&lt;=INDEX('Parametri Modello'!$C$57:$C$60,MATCH($B456,'Parametri Modello'!$A$57:$A$60,0)),IF(INDEX('Parametri Modello'!$E$57:$E$60,MATCH($B456,'Parametri Modello'!$A$57:$A$60,0))=0,0,($O456/INDEX('Parametri Modello'!$E$57:$E$60,MATCH($B456,'Parametri Modello'!$A$57:$A$60,0)))*(INDEX('Parametri Modello'!$D$57:$D$60,MATCH($B456,'Parametri Modello'!$A$57:$A$60,0))*(INDEX('Parametri Modello'!$B$50:$B$53,MATCH($B456,'Parametri Modello'!$A$50:$A$53,0))*'Parametri Modello'!$B$44))),IF(INDEX('Parametri Modello'!$F$57:$F$60,MATCH($B456,'Parametri Modello'!$A$57:$A$60,0))=0,0,($O456/INDEX('Parametri Modello'!$F$57:$F$60,MATCH($B456,'Parametri Modello'!$A$57:$A$60,0)))*((1-INDEX('Parametri Modello'!$D$57:$D$60,MATCH($B456,'Parametri Modello'!$A$57:$A$60,0)))*(INDEX('Parametri Modello'!$B$50:$B$53,MATCH($B456,'Parametri Modello'!$A$50:$A$53,0))*'Parametri Modello'!$B$44))))*(1+IF(IF($B456="D",'Info Lega'!$B$25,IF($B456="C",'Info Lega'!$B$26,"No"))="Si",'Parametri Modello'!$B$5,0))*(1+MAX(-0.25,MIN(0.25,IF(OR($T456="",$I456="",$I456=0,INDEX('Parametri Modello'!$B$19:$B$22,MATCH($B456,'Parametri Modello'!$A$19:$A$22,0))="",INDEX('Parametri Modello'!$B$19:$B$22,MATCH($B456,'Parametri Modello'!$A$19:$A$22,0))=0),0,(($T456-INDEX('Parametri Modello'!$B$19:$B$22,MATCH($B456,'Parametri Modello'!$A$19:$A$22,0)))/INDEX('Parametri Modello'!$B$19:$B$22,MATCH($B456,'Parametri Modello'!$A$19:$A$22,0)))*'Parametri Modello'!$B$9))))*(1+IF('Parametri Modello'!$B$27="Si",MAX(-'Parametri Modello'!$B$28,MIN('Parametri Modello'!$B$28*1.5,IF(OR(INDEX('Parametri Modello'!$F$32:$F$35,MATCH($B456,'Parametri Modello'!$A$32:$A$35,0))="",INDEX('Parametri Modello'!$F$32:$F$35,MATCH($B456,'Parametri Modello'!$A$32:$A$35,0))=0),0,(1/INDEX('Parametri Modello'!$F$32:$F$35,MATCH($B456,'Parametri Modello'!$A$32:$A$35,0))-1)*'Parametri Modello'!$B$28))),0)))*(1-INDEX('Parametri Modello'!$B$12:$B$15,MATCH($B456,'Parametri Modello'!$A$12:$A$15,0)))),0),"")</f>
        <v>1</v>
      </c>
      <c r="H456" s="27" t="n">
        <f aca="false">IFERROR(ROUND((IF($V456&lt;=INDEX('Parametri Modello'!$C$57:$C$60,MATCH($B456,'Parametri Modello'!$A$57:$A$60,0)),IF(INDEX('Parametri Modello'!$E$57:$E$60,MATCH($B456,'Parametri Modello'!$A$57:$A$60,0))=0,0,($O456/INDEX('Parametri Modello'!$E$57:$E$60,MATCH($B456,'Parametri Modello'!$A$57:$A$60,0)))*(INDEX('Parametri Modello'!$D$57:$D$60,MATCH($B456,'Parametri Modello'!$A$57:$A$60,0))*(INDEX('Parametri Modello'!$B$50:$B$53,MATCH($B456,'Parametri Modello'!$A$50:$A$53,0))*'Parametri Modello'!$B$44))),IF(INDEX('Parametri Modello'!$F$57:$F$60,MATCH($B456,'Parametri Modello'!$A$57:$A$60,0))=0,0,($O456/INDEX('Parametri Modello'!$F$57:$F$60,MATCH($B456,'Parametri Modello'!$A$57:$A$60,0)))*((1-INDEX('Parametri Modello'!$D$57:$D$60,MATCH($B456,'Parametri Modello'!$A$57:$A$60,0)))*(INDEX('Parametri Modello'!$B$50:$B$53,MATCH($B456,'Parametri Modello'!$A$50:$A$53,0))*'Parametri Modello'!$B$44))))*(1+IF(IF($B456="D",'Info Lega'!$B$25,IF($B456="C",'Info Lega'!$B$26,"No"))="Si",'Parametri Modello'!$B$5,0))*(1+MAX(-0.25,MIN(0.25,IF(OR($T456="",$I456="",$I456=0,INDEX('Parametri Modello'!$B$19:$B$22,MATCH($B456,'Parametri Modello'!$A$19:$A$22,0))="",INDEX('Parametri Modello'!$B$19:$B$22,MATCH($B456,'Parametri Modello'!$A$19:$A$22,0))=0),0,(($T456-INDEX('Parametri Modello'!$B$19:$B$22,MATCH($B456,'Parametri Modello'!$A$19:$A$22,0)))/INDEX('Parametri Modello'!$B$19:$B$22,MATCH($B456,'Parametri Modello'!$A$19:$A$22,0)))*'Parametri Modello'!$B$9))))*(1+IF('Parametri Modello'!$B$27="Si",MAX(-'Parametri Modello'!$B$28,MIN('Parametri Modello'!$B$28*1.5,IF(OR(INDEX('Parametri Modello'!$F$32:$F$35,MATCH($B456,'Parametri Modello'!$A$32:$A$35,0))="",INDEX('Parametri Modello'!$F$32:$F$35,MATCH($B456,'Parametri Modello'!$A$32:$A$35,0))=0),0,(1/INDEX('Parametri Modello'!$F$32:$F$35,MATCH($B456,'Parametri Modello'!$A$32:$A$35,0))-1)*'Parametri Modello'!$B$28))),0)))*(1+INDEX('Parametri Modello'!$B$12:$B$15,MATCH($B456,'Parametri Modello'!$A$12:$A$15,0))),0),"")</f>
        <v>0</v>
      </c>
      <c r="I456" s="26" t="n">
        <f aca="false">IFERROR(INDEX('Input Statistiche 2025_26'!$F$3:$F$665,MATCH($A456,'Input Statistiche 2025_26'!$A$3:$A$665,0)),"")</f>
        <v>9</v>
      </c>
      <c r="J456" s="26" t="n">
        <f aca="false">IFERROR(IF($I456="","",MAX(0,38-$I456)),"")</f>
        <v>29</v>
      </c>
      <c r="K456" s="26" t="n">
        <f aca="false">IFERROR(INDEX('Input Statistiche 2025_26'!$I$3:$I$665,MATCH($A456,'Input Statistiche 2025_26'!$A$3:$A$665,0)),"")</f>
        <v>0</v>
      </c>
      <c r="L456" s="26" t="n">
        <f aca="false">IFERROR(INDEX('Input Statistiche 2025_26'!$O$3:$O$665,MATCH($A456,'Input Statistiche 2025_26'!$A$3:$A$665,0)),"")</f>
        <v>0</v>
      </c>
      <c r="M456" s="28"/>
      <c r="N456" s="27" t="n">
        <f aca="false">IFERROR(INDEX('Input Giocatori 2026_27'!$E$3:$E$493,MATCH($A456,'Input Giocatori 2026_27'!$A$3:$A$493,0)),"")</f>
        <v>1</v>
      </c>
      <c r="O456" s="27" t="n">
        <f aca="false">IFERROR(INDEX('Input Giocatori 2026_27'!$G$3:$G$493,MATCH($A456,'Input Giocatori 2026_27'!$A$3:$A$493,0)),"")</f>
        <v>1</v>
      </c>
      <c r="P456" s="26" t="str">
        <f aca="false">IFERROR(IF($O456="","",IF((1-(COUNTIFS($B$2:$B$492,$B456,$O$2:$O$492,"&gt;"&amp;$O456)+1-1)/COUNTIF($B$2:$B$492,$B456))&gt;=0.85,"Top",IF((1-(COUNTIFS($B$2:$B$492,$B456,$O$2:$O$492,"&gt;"&amp;$O456)+1-1)/COUNTIF($B$2:$B$492,$B456))&gt;=0.6,"Buono",IF((1-(COUNTIFS($B$2:$B$492,$B456,$O$2:$O$492,"&gt;"&amp;$O456)+1-1)/COUNTIF($B$2:$B$492,$B456))&gt;=0.3,"Nella Media","Scommessa/Riserva")))),"")</f>
        <v>Nella Media</v>
      </c>
      <c r="Q456" s="29" t="n">
        <f aca="false">IF($D456="",COUNTIF($D$2:$D456,""),"")</f>
        <v>455</v>
      </c>
      <c r="R456" s="29" t="str">
        <f aca="false">IF($D456='Info Lega'!$B$28,COUNTIFS($D$2:$D456,'Info Lega'!$B$28),"")</f>
        <v/>
      </c>
      <c r="S456" s="30" t="n">
        <f aca="false">IFERROR(INDEX('Input Statistiche 2025_26'!$G$3:$G$665,MATCH($A456,'Input Statistiche 2025_26'!$A$3:$A$665,0)),"")</f>
        <v>6</v>
      </c>
      <c r="T456" s="30" t="n">
        <f aca="false">IFERROR(INDEX('Input Statistiche 2025_26'!$H$3:$H$665,MATCH($A456,'Input Statistiche 2025_26'!$A$3:$A$665,0)),"")</f>
        <v>5.17</v>
      </c>
      <c r="U456" s="26" t="str">
        <f aca="false">IF(OR('La Mia Rosa'!$O$12="",$D456&lt;&gt;""),"",IF($F456&lt;='La Mia Rosa'!$O$12*'Parametri Modello'!$B$24,"OK",IF($F456&lt;='La Mia Rosa'!$O$12*'Parametri Modello'!$B$25,"Attenzione","Rischio Alto")))</f>
        <v>OK</v>
      </c>
      <c r="V456" s="26" t="n">
        <f aca="false">IFERROR(COUNTIFS($B$2:$B$492,$B456,$O$2:$O$492,"&gt;"&amp;$O456)+1,"")</f>
        <v>26</v>
      </c>
      <c r="W456" s="21" t="n">
        <f aca="false">'Info Lega'!$B$4-SUMIFS($M$2:$M$492,$D$2:$D$492,'Info Lega'!$B$28)</f>
        <v>1000</v>
      </c>
      <c r="X456" s="21" t="n">
        <f aca="false">('Info Lega'!$B$5-COUNTIFS($D$2:$D$492,'Info Lega'!$B$28,$B$2:$B$492,"P"))+('Info Lega'!$B$6-COUNTIFS($D$2:$D$492,'Info Lega'!$B$28,$B$2:$B$492,"D"))+('Info Lega'!$B$7-COUNTIFS($D$2:$D$492,'Info Lega'!$B$28,$B$2:$B$492,"C"))+('Info Lega'!$B$8-COUNTIFS($D$2:$D$492,'Info Lega'!$B$28,$B$2:$B$492,"A"))</f>
        <v>25</v>
      </c>
      <c r="Y456" s="21" t="n">
        <f aca="false">X456*'Parametri Modello'!$B$30</f>
        <v>25</v>
      </c>
      <c r="Z456" s="21" t="n">
        <f aca="false">MAX(0,W456-Y456)</f>
        <v>975</v>
      </c>
      <c r="AA456" s="21" t="n">
        <f aca="false">MIN(F456,Z456)</f>
        <v>0</v>
      </c>
      <c r="AB456" s="21"/>
      <c r="AC456" s="21" t="str">
        <f aca="false">IF(AB456="","",IF(AB456&gt;AA456,"PASS",IF(AB456&lt;=AA456*0.85,"BID","ATTENZIONE")))</f>
        <v/>
      </c>
      <c r="AD456" s="31" t="n">
        <f aca="false">IF(I456="","",ROUND(100*(1-EXP(-I456/30)),0))</f>
        <v>26</v>
      </c>
      <c r="AE456" s="7" t="str">
        <f aca="false">IFERROR(INDEX('Stato Asta'!$G$9:$G$12,MATCH($B456,'Stato Asta'!$A$9:$A$12,0)),"")</f>
        <v>🟡 Attesa rischiosa</v>
      </c>
    </row>
    <row r="457" customFormat="false" ht="14.25" hidden="false" customHeight="true" outlineLevel="0" collapsed="false">
      <c r="A457" s="21" t="n">
        <v>7534</v>
      </c>
      <c r="B457" s="21" t="s">
        <v>43</v>
      </c>
      <c r="C457" s="21" t="s">
        <v>171</v>
      </c>
      <c r="E457" s="26" t="str">
        <f aca="false">IF(COUNTIF('Info Strategia'!$D$2:$D$51,$C457)&gt;0,"SI","NO")</f>
        <v>NO</v>
      </c>
      <c r="F457" s="27" t="n">
        <f aca="false">IFERROR(ROUND(($G457+($H457-$G457)*'Info Strategia'!$B$6)*(1+IF($E457="SI",'Parametri Modello'!$B$7*'Info Strategia'!$B$6,0)),0),"")</f>
        <v>0</v>
      </c>
      <c r="G457" s="27" t="n">
        <f aca="false">IFERROR(ROUND(MAX(1,(IF($V457&lt;=INDEX('Parametri Modello'!$C$57:$C$60,MATCH($B457,'Parametri Modello'!$A$57:$A$60,0)),IF(INDEX('Parametri Modello'!$E$57:$E$60,MATCH($B457,'Parametri Modello'!$A$57:$A$60,0))=0,0,($O457/INDEX('Parametri Modello'!$E$57:$E$60,MATCH($B457,'Parametri Modello'!$A$57:$A$60,0)))*(INDEX('Parametri Modello'!$D$57:$D$60,MATCH($B457,'Parametri Modello'!$A$57:$A$60,0))*(INDEX('Parametri Modello'!$B$50:$B$53,MATCH($B457,'Parametri Modello'!$A$50:$A$53,0))*'Parametri Modello'!$B$44))),IF(INDEX('Parametri Modello'!$F$57:$F$60,MATCH($B457,'Parametri Modello'!$A$57:$A$60,0))=0,0,($O457/INDEX('Parametri Modello'!$F$57:$F$60,MATCH($B457,'Parametri Modello'!$A$57:$A$60,0)))*((1-INDEX('Parametri Modello'!$D$57:$D$60,MATCH($B457,'Parametri Modello'!$A$57:$A$60,0)))*(INDEX('Parametri Modello'!$B$50:$B$53,MATCH($B457,'Parametri Modello'!$A$50:$A$53,0))*'Parametri Modello'!$B$44))))*(1+IF(IF($B457="D",'Info Lega'!$B$25,IF($B457="C",'Info Lega'!$B$26,"No"))="Si",'Parametri Modello'!$B$5,0))*(1+MAX(-0.25,MIN(0.25,IF(OR($T457="",$I457="",$I457=0,INDEX('Parametri Modello'!$B$19:$B$22,MATCH($B457,'Parametri Modello'!$A$19:$A$22,0))="",INDEX('Parametri Modello'!$B$19:$B$22,MATCH($B457,'Parametri Modello'!$A$19:$A$22,0))=0),0,(($T457-INDEX('Parametri Modello'!$B$19:$B$22,MATCH($B457,'Parametri Modello'!$A$19:$A$22,0)))/INDEX('Parametri Modello'!$B$19:$B$22,MATCH($B457,'Parametri Modello'!$A$19:$A$22,0)))*'Parametri Modello'!$B$9))))*(1+IF('Parametri Modello'!$B$27="Si",MAX(-'Parametri Modello'!$B$28,MIN('Parametri Modello'!$B$28*1.5,IF(OR(INDEX('Parametri Modello'!$F$32:$F$35,MATCH($B457,'Parametri Modello'!$A$32:$A$35,0))="",INDEX('Parametri Modello'!$F$32:$F$35,MATCH($B457,'Parametri Modello'!$A$32:$A$35,0))=0),0,(1/INDEX('Parametri Modello'!$F$32:$F$35,MATCH($B457,'Parametri Modello'!$A$32:$A$35,0))-1)*'Parametri Modello'!$B$28))),0)))*(1-INDEX('Parametri Modello'!$B$12:$B$15,MATCH($B457,'Parametri Modello'!$A$12:$A$15,0)))),0),"")</f>
        <v>1</v>
      </c>
      <c r="H457" s="27" t="n">
        <f aca="false">IFERROR(ROUND((IF($V457&lt;=INDEX('Parametri Modello'!$C$57:$C$60,MATCH($B457,'Parametri Modello'!$A$57:$A$60,0)),IF(INDEX('Parametri Modello'!$E$57:$E$60,MATCH($B457,'Parametri Modello'!$A$57:$A$60,0))=0,0,($O457/INDEX('Parametri Modello'!$E$57:$E$60,MATCH($B457,'Parametri Modello'!$A$57:$A$60,0)))*(INDEX('Parametri Modello'!$D$57:$D$60,MATCH($B457,'Parametri Modello'!$A$57:$A$60,0))*(INDEX('Parametri Modello'!$B$50:$B$53,MATCH($B457,'Parametri Modello'!$A$50:$A$53,0))*'Parametri Modello'!$B$44))),IF(INDEX('Parametri Modello'!$F$57:$F$60,MATCH($B457,'Parametri Modello'!$A$57:$A$60,0))=0,0,($O457/INDEX('Parametri Modello'!$F$57:$F$60,MATCH($B457,'Parametri Modello'!$A$57:$A$60,0)))*((1-INDEX('Parametri Modello'!$D$57:$D$60,MATCH($B457,'Parametri Modello'!$A$57:$A$60,0)))*(INDEX('Parametri Modello'!$B$50:$B$53,MATCH($B457,'Parametri Modello'!$A$50:$A$53,0))*'Parametri Modello'!$B$44))))*(1+IF(IF($B457="D",'Info Lega'!$B$25,IF($B457="C",'Info Lega'!$B$26,"No"))="Si",'Parametri Modello'!$B$5,0))*(1+MAX(-0.25,MIN(0.25,IF(OR($T457="",$I457="",$I457=0,INDEX('Parametri Modello'!$B$19:$B$22,MATCH($B457,'Parametri Modello'!$A$19:$A$22,0))="",INDEX('Parametri Modello'!$B$19:$B$22,MATCH($B457,'Parametri Modello'!$A$19:$A$22,0))=0),0,(($T457-INDEX('Parametri Modello'!$B$19:$B$22,MATCH($B457,'Parametri Modello'!$A$19:$A$22,0)))/INDEX('Parametri Modello'!$B$19:$B$22,MATCH($B457,'Parametri Modello'!$A$19:$A$22,0)))*'Parametri Modello'!$B$9))))*(1+IF('Parametri Modello'!$B$27="Si",MAX(-'Parametri Modello'!$B$28,MIN('Parametri Modello'!$B$28*1.5,IF(OR(INDEX('Parametri Modello'!$F$32:$F$35,MATCH($B457,'Parametri Modello'!$A$32:$A$35,0))="",INDEX('Parametri Modello'!$F$32:$F$35,MATCH($B457,'Parametri Modello'!$A$32:$A$35,0))=0),0,(1/INDEX('Parametri Modello'!$F$32:$F$35,MATCH($B457,'Parametri Modello'!$A$32:$A$35,0))-1)*'Parametri Modello'!$B$28))),0)))*(1+INDEX('Parametri Modello'!$B$12:$B$15,MATCH($B457,'Parametri Modello'!$A$12:$A$15,0))),0),"")</f>
        <v>0</v>
      </c>
      <c r="I457" s="26" t="str">
        <f aca="false">IFERROR(INDEX('Input Statistiche 2025_26'!$F$3:$F$665,MATCH($A457,'Input Statistiche 2025_26'!$A$3:$A$665,0)),"")</f>
        <v/>
      </c>
      <c r="J457" s="26" t="str">
        <f aca="false">IFERROR(IF($I457="","",MAX(0,38-$I457)),"")</f>
        <v/>
      </c>
      <c r="K457" s="26" t="str">
        <f aca="false">IFERROR(INDEX('Input Statistiche 2025_26'!$I$3:$I$665,MATCH($A457,'Input Statistiche 2025_26'!$A$3:$A$665,0)),"")</f>
        <v/>
      </c>
      <c r="L457" s="26" t="str">
        <f aca="false">IFERROR(INDEX('Input Statistiche 2025_26'!$O$3:$O$665,MATCH($A457,'Input Statistiche 2025_26'!$A$3:$A$665,0)),"")</f>
        <v/>
      </c>
      <c r="M457" s="28"/>
      <c r="N457" s="27" t="n">
        <f aca="false">IFERROR(INDEX('Input Giocatori 2026_27'!$E$3:$E$493,MATCH($A457,'Input Giocatori 2026_27'!$A$3:$A$493,0)),"")</f>
        <v>1</v>
      </c>
      <c r="O457" s="27" t="n">
        <f aca="false">IFERROR(INDEX('Input Giocatori 2026_27'!$G$3:$G$493,MATCH($A457,'Input Giocatori 2026_27'!$A$3:$A$493,0)),"")</f>
        <v>1</v>
      </c>
      <c r="P457" s="26" t="str">
        <f aca="false">IFERROR(IF($O457="","",IF((1-(COUNTIFS($B$2:$B$492,$B457,$O$2:$O$492,"&gt;"&amp;$O457)+1-1)/COUNTIF($B$2:$B$492,$B457))&gt;=0.85,"Top",IF((1-(COUNTIFS($B$2:$B$492,$B457,$O$2:$O$492,"&gt;"&amp;$O457)+1-1)/COUNTIF($B$2:$B$492,$B457))&gt;=0.6,"Buono",IF((1-(COUNTIFS($B$2:$B$492,$B457,$O$2:$O$492,"&gt;"&amp;$O457)+1-1)/COUNTIF($B$2:$B$492,$B457))&gt;=0.3,"Nella Media","Scommessa/Riserva")))),"")</f>
        <v>Nella Media</v>
      </c>
      <c r="Q457" s="29" t="n">
        <f aca="false">IF($D457="",COUNTIF($D$2:$D457,""),"")</f>
        <v>456</v>
      </c>
      <c r="R457" s="29" t="str">
        <f aca="false">IF($D457='Info Lega'!$B$28,COUNTIFS($D$2:$D457,'Info Lega'!$B$28),"")</f>
        <v/>
      </c>
      <c r="S457" s="30" t="str">
        <f aca="false">IFERROR(INDEX('Input Statistiche 2025_26'!$G$3:$G$665,MATCH($A457,'Input Statistiche 2025_26'!$A$3:$A$665,0)),"")</f>
        <v/>
      </c>
      <c r="T457" s="30" t="str">
        <f aca="false">IFERROR(INDEX('Input Statistiche 2025_26'!$H$3:$H$665,MATCH($A457,'Input Statistiche 2025_26'!$A$3:$A$665,0)),"")</f>
        <v/>
      </c>
      <c r="U457" s="26" t="str">
        <f aca="false">IF(OR('La Mia Rosa'!$O$12="",$D457&lt;&gt;""),"",IF($F457&lt;='La Mia Rosa'!$O$12*'Parametri Modello'!$B$24,"OK",IF($F457&lt;='La Mia Rosa'!$O$12*'Parametri Modello'!$B$25,"Attenzione","Rischio Alto")))</f>
        <v>OK</v>
      </c>
      <c r="V457" s="26" t="n">
        <f aca="false">IFERROR(COUNTIFS($B$2:$B$492,$B457,$O$2:$O$492,"&gt;"&amp;$O457)+1,"")</f>
        <v>26</v>
      </c>
      <c r="W457" s="21" t="n">
        <f aca="false">'Info Lega'!$B$4-SUMIFS($M$2:$M$492,$D$2:$D$492,'Info Lega'!$B$28)</f>
        <v>1000</v>
      </c>
      <c r="X457" s="21" t="n">
        <f aca="false">('Info Lega'!$B$5-COUNTIFS($D$2:$D$492,'Info Lega'!$B$28,$B$2:$B$492,"P"))+('Info Lega'!$B$6-COUNTIFS($D$2:$D$492,'Info Lega'!$B$28,$B$2:$B$492,"D"))+('Info Lega'!$B$7-COUNTIFS($D$2:$D$492,'Info Lega'!$B$28,$B$2:$B$492,"C"))+('Info Lega'!$B$8-COUNTIFS($D$2:$D$492,'Info Lega'!$B$28,$B$2:$B$492,"A"))</f>
        <v>25</v>
      </c>
      <c r="Y457" s="21" t="n">
        <f aca="false">X457*'Parametri Modello'!$B$30</f>
        <v>25</v>
      </c>
      <c r="Z457" s="21" t="n">
        <f aca="false">MAX(0,W457-Y457)</f>
        <v>975</v>
      </c>
      <c r="AA457" s="21" t="n">
        <f aca="false">MIN(F457,Z457)</f>
        <v>0</v>
      </c>
      <c r="AB457" s="21"/>
      <c r="AC457" s="21" t="str">
        <f aca="false">IF(AB457="","",IF(AB457&gt;AA457,"PASS",IF(AB457&lt;=AA457*0.85,"BID","ATTENZIONE")))</f>
        <v/>
      </c>
      <c r="AD457" s="31" t="str">
        <f aca="false">IF(I457="","",ROUND(100*(1-EXP(-I457/30)),0))</f>
        <v/>
      </c>
      <c r="AE457" s="7" t="str">
        <f aca="false">IFERROR(INDEX('Stato Asta'!$G$9:$G$12,MATCH($B457,'Stato Asta'!$A$9:$A$12,0)),"")</f>
        <v>🟡 Attesa rischiosa</v>
      </c>
    </row>
    <row r="458" customFormat="false" ht="14.25" hidden="false" customHeight="true" outlineLevel="0" collapsed="false">
      <c r="A458" s="21" t="n">
        <v>6523</v>
      </c>
      <c r="B458" s="21" t="s">
        <v>43</v>
      </c>
      <c r="C458" s="21" t="s">
        <v>172</v>
      </c>
      <c r="E458" s="26" t="str">
        <f aca="false">IF(COUNTIF('Info Strategia'!$D$2:$D$51,$C458)&gt;0,"SI","NO")</f>
        <v>NO</v>
      </c>
      <c r="F458" s="27" t="n">
        <f aca="false">IFERROR(ROUND(($G458+($H458-$G458)*'Info Strategia'!$B$6)*(1+IF($E458="SI",'Parametri Modello'!$B$7*'Info Strategia'!$B$6,0)),0),"")</f>
        <v>0</v>
      </c>
      <c r="G458" s="27" t="n">
        <f aca="false">IFERROR(ROUND(MAX(1,(IF($V458&lt;=INDEX('Parametri Modello'!$C$57:$C$60,MATCH($B458,'Parametri Modello'!$A$57:$A$60,0)),IF(INDEX('Parametri Modello'!$E$57:$E$60,MATCH($B458,'Parametri Modello'!$A$57:$A$60,0))=0,0,($O458/INDEX('Parametri Modello'!$E$57:$E$60,MATCH($B458,'Parametri Modello'!$A$57:$A$60,0)))*(INDEX('Parametri Modello'!$D$57:$D$60,MATCH($B458,'Parametri Modello'!$A$57:$A$60,0))*(INDEX('Parametri Modello'!$B$50:$B$53,MATCH($B458,'Parametri Modello'!$A$50:$A$53,0))*'Parametri Modello'!$B$44))),IF(INDEX('Parametri Modello'!$F$57:$F$60,MATCH($B458,'Parametri Modello'!$A$57:$A$60,0))=0,0,($O458/INDEX('Parametri Modello'!$F$57:$F$60,MATCH($B458,'Parametri Modello'!$A$57:$A$60,0)))*((1-INDEX('Parametri Modello'!$D$57:$D$60,MATCH($B458,'Parametri Modello'!$A$57:$A$60,0)))*(INDEX('Parametri Modello'!$B$50:$B$53,MATCH($B458,'Parametri Modello'!$A$50:$A$53,0))*'Parametri Modello'!$B$44))))*(1+IF(IF($B458="D",'Info Lega'!$B$25,IF($B458="C",'Info Lega'!$B$26,"No"))="Si",'Parametri Modello'!$B$5,0))*(1+MAX(-0.25,MIN(0.25,IF(OR($T458="",$I458="",$I458=0,INDEX('Parametri Modello'!$B$19:$B$22,MATCH($B458,'Parametri Modello'!$A$19:$A$22,0))="",INDEX('Parametri Modello'!$B$19:$B$22,MATCH($B458,'Parametri Modello'!$A$19:$A$22,0))=0),0,(($T458-INDEX('Parametri Modello'!$B$19:$B$22,MATCH($B458,'Parametri Modello'!$A$19:$A$22,0)))/INDEX('Parametri Modello'!$B$19:$B$22,MATCH($B458,'Parametri Modello'!$A$19:$A$22,0)))*'Parametri Modello'!$B$9))))*(1+IF('Parametri Modello'!$B$27="Si",MAX(-'Parametri Modello'!$B$28,MIN('Parametri Modello'!$B$28*1.5,IF(OR(INDEX('Parametri Modello'!$F$32:$F$35,MATCH($B458,'Parametri Modello'!$A$32:$A$35,0))="",INDEX('Parametri Modello'!$F$32:$F$35,MATCH($B458,'Parametri Modello'!$A$32:$A$35,0))=0),0,(1/INDEX('Parametri Modello'!$F$32:$F$35,MATCH($B458,'Parametri Modello'!$A$32:$A$35,0))-1)*'Parametri Modello'!$B$28))),0)))*(1-INDEX('Parametri Modello'!$B$12:$B$15,MATCH($B458,'Parametri Modello'!$A$12:$A$15,0)))),0),"")</f>
        <v>1</v>
      </c>
      <c r="H458" s="27" t="n">
        <f aca="false">IFERROR(ROUND((IF($V458&lt;=INDEX('Parametri Modello'!$C$57:$C$60,MATCH($B458,'Parametri Modello'!$A$57:$A$60,0)),IF(INDEX('Parametri Modello'!$E$57:$E$60,MATCH($B458,'Parametri Modello'!$A$57:$A$60,0))=0,0,($O458/INDEX('Parametri Modello'!$E$57:$E$60,MATCH($B458,'Parametri Modello'!$A$57:$A$60,0)))*(INDEX('Parametri Modello'!$D$57:$D$60,MATCH($B458,'Parametri Modello'!$A$57:$A$60,0))*(INDEX('Parametri Modello'!$B$50:$B$53,MATCH($B458,'Parametri Modello'!$A$50:$A$53,0))*'Parametri Modello'!$B$44))),IF(INDEX('Parametri Modello'!$F$57:$F$60,MATCH($B458,'Parametri Modello'!$A$57:$A$60,0))=0,0,($O458/INDEX('Parametri Modello'!$F$57:$F$60,MATCH($B458,'Parametri Modello'!$A$57:$A$60,0)))*((1-INDEX('Parametri Modello'!$D$57:$D$60,MATCH($B458,'Parametri Modello'!$A$57:$A$60,0)))*(INDEX('Parametri Modello'!$B$50:$B$53,MATCH($B458,'Parametri Modello'!$A$50:$A$53,0))*'Parametri Modello'!$B$44))))*(1+IF(IF($B458="D",'Info Lega'!$B$25,IF($B458="C",'Info Lega'!$B$26,"No"))="Si",'Parametri Modello'!$B$5,0))*(1+MAX(-0.25,MIN(0.25,IF(OR($T458="",$I458="",$I458=0,INDEX('Parametri Modello'!$B$19:$B$22,MATCH($B458,'Parametri Modello'!$A$19:$A$22,0))="",INDEX('Parametri Modello'!$B$19:$B$22,MATCH($B458,'Parametri Modello'!$A$19:$A$22,0))=0),0,(($T458-INDEX('Parametri Modello'!$B$19:$B$22,MATCH($B458,'Parametri Modello'!$A$19:$A$22,0)))/INDEX('Parametri Modello'!$B$19:$B$22,MATCH($B458,'Parametri Modello'!$A$19:$A$22,0)))*'Parametri Modello'!$B$9))))*(1+IF('Parametri Modello'!$B$27="Si",MAX(-'Parametri Modello'!$B$28,MIN('Parametri Modello'!$B$28*1.5,IF(OR(INDEX('Parametri Modello'!$F$32:$F$35,MATCH($B458,'Parametri Modello'!$A$32:$A$35,0))="",INDEX('Parametri Modello'!$F$32:$F$35,MATCH($B458,'Parametri Modello'!$A$32:$A$35,0))=0),0,(1/INDEX('Parametri Modello'!$F$32:$F$35,MATCH($B458,'Parametri Modello'!$A$32:$A$35,0))-1)*'Parametri Modello'!$B$28))),0)))*(1+INDEX('Parametri Modello'!$B$12:$B$15,MATCH($B458,'Parametri Modello'!$A$12:$A$15,0))),0),"")</f>
        <v>0</v>
      </c>
      <c r="I458" s="26" t="n">
        <f aca="false">IFERROR(INDEX('Input Statistiche 2025_26'!$F$3:$F$665,MATCH($A458,'Input Statistiche 2025_26'!$A$3:$A$665,0)),"")</f>
        <v>0</v>
      </c>
      <c r="J458" s="26" t="n">
        <f aca="false">IFERROR(IF($I458="","",MAX(0,38-$I458)),"")</f>
        <v>38</v>
      </c>
      <c r="K458" s="26" t="n">
        <f aca="false">IFERROR(INDEX('Input Statistiche 2025_26'!$I$3:$I$665,MATCH($A458,'Input Statistiche 2025_26'!$A$3:$A$665,0)),"")</f>
        <v>0</v>
      </c>
      <c r="L458" s="26" t="n">
        <f aca="false">IFERROR(INDEX('Input Statistiche 2025_26'!$O$3:$O$665,MATCH($A458,'Input Statistiche 2025_26'!$A$3:$A$665,0)),"")</f>
        <v>0</v>
      </c>
      <c r="M458" s="28"/>
      <c r="N458" s="27" t="n">
        <f aca="false">IFERROR(INDEX('Input Giocatori 2026_27'!$E$3:$E$493,MATCH($A458,'Input Giocatori 2026_27'!$A$3:$A$493,0)),"")</f>
        <v>1</v>
      </c>
      <c r="O458" s="27" t="n">
        <f aca="false">IFERROR(INDEX('Input Giocatori 2026_27'!$G$3:$G$493,MATCH($A458,'Input Giocatori 2026_27'!$A$3:$A$493,0)),"")</f>
        <v>1</v>
      </c>
      <c r="P458" s="26" t="str">
        <f aca="false">IFERROR(IF($O458="","",IF((1-(COUNTIFS($B$2:$B$492,$B458,$O$2:$O$492,"&gt;"&amp;$O458)+1-1)/COUNTIF($B$2:$B$492,$B458))&gt;=0.85,"Top",IF((1-(COUNTIFS($B$2:$B$492,$B458,$O$2:$O$492,"&gt;"&amp;$O458)+1-1)/COUNTIF($B$2:$B$492,$B458))&gt;=0.6,"Buono",IF((1-(COUNTIFS($B$2:$B$492,$B458,$O$2:$O$492,"&gt;"&amp;$O458)+1-1)/COUNTIF($B$2:$B$492,$B458))&gt;=0.3,"Nella Media","Scommessa/Riserva")))),"")</f>
        <v>Nella Media</v>
      </c>
      <c r="Q458" s="29" t="n">
        <f aca="false">IF($D458="",COUNTIF($D$2:$D458,""),"")</f>
        <v>457</v>
      </c>
      <c r="R458" s="29" t="str">
        <f aca="false">IF($D458='Info Lega'!$B$28,COUNTIFS($D$2:$D458,'Info Lega'!$B$28),"")</f>
        <v/>
      </c>
      <c r="S458" s="30" t="n">
        <f aca="false">IFERROR(INDEX('Input Statistiche 2025_26'!$G$3:$G$665,MATCH($A458,'Input Statistiche 2025_26'!$A$3:$A$665,0)),"")</f>
        <v>0</v>
      </c>
      <c r="T458" s="30" t="n">
        <f aca="false">IFERROR(INDEX('Input Statistiche 2025_26'!$H$3:$H$665,MATCH($A458,'Input Statistiche 2025_26'!$A$3:$A$665,0)),"")</f>
        <v>0</v>
      </c>
      <c r="U458" s="26" t="str">
        <f aca="false">IF(OR('La Mia Rosa'!$O$12="",$D458&lt;&gt;""),"",IF($F458&lt;='La Mia Rosa'!$O$12*'Parametri Modello'!$B$24,"OK",IF($F458&lt;='La Mia Rosa'!$O$12*'Parametri Modello'!$B$25,"Attenzione","Rischio Alto")))</f>
        <v>OK</v>
      </c>
      <c r="V458" s="26" t="n">
        <f aca="false">IFERROR(COUNTIFS($B$2:$B$492,$B458,$O$2:$O$492,"&gt;"&amp;$O458)+1,"")</f>
        <v>26</v>
      </c>
      <c r="W458" s="21" t="n">
        <f aca="false">'Info Lega'!$B$4-SUMIFS($M$2:$M$492,$D$2:$D$492,'Info Lega'!$B$28)</f>
        <v>1000</v>
      </c>
      <c r="X458" s="21" t="n">
        <f aca="false">('Info Lega'!$B$5-COUNTIFS($D$2:$D$492,'Info Lega'!$B$28,$B$2:$B$492,"P"))+('Info Lega'!$B$6-COUNTIFS($D$2:$D$492,'Info Lega'!$B$28,$B$2:$B$492,"D"))+('Info Lega'!$B$7-COUNTIFS($D$2:$D$492,'Info Lega'!$B$28,$B$2:$B$492,"C"))+('Info Lega'!$B$8-COUNTIFS($D$2:$D$492,'Info Lega'!$B$28,$B$2:$B$492,"A"))</f>
        <v>25</v>
      </c>
      <c r="Y458" s="21" t="n">
        <f aca="false">X458*'Parametri Modello'!$B$30</f>
        <v>25</v>
      </c>
      <c r="Z458" s="21" t="n">
        <f aca="false">MAX(0,W458-Y458)</f>
        <v>975</v>
      </c>
      <c r="AA458" s="21" t="n">
        <f aca="false">MIN(F458,Z458)</f>
        <v>0</v>
      </c>
      <c r="AB458" s="21"/>
      <c r="AC458" s="21" t="str">
        <f aca="false">IF(AB458="","",IF(AB458&gt;AA458,"PASS",IF(AB458&lt;=AA458*0.85,"BID","ATTENZIONE")))</f>
        <v/>
      </c>
      <c r="AD458" s="31" t="n">
        <f aca="false">IF(I458="","",ROUND(100*(1-EXP(-I458/30)),0))</f>
        <v>0</v>
      </c>
      <c r="AE458" s="7" t="str">
        <f aca="false">IFERROR(INDEX('Stato Asta'!$G$9:$G$12,MATCH($B458,'Stato Asta'!$A$9:$A$12,0)),"")</f>
        <v>🟡 Attesa rischiosa</v>
      </c>
    </row>
    <row r="459" customFormat="false" ht="14.25" hidden="false" customHeight="true" outlineLevel="0" collapsed="false">
      <c r="A459" s="21" t="n">
        <v>2815</v>
      </c>
      <c r="B459" s="21" t="s">
        <v>43</v>
      </c>
      <c r="C459" s="21" t="s">
        <v>173</v>
      </c>
      <c r="E459" s="26" t="str">
        <f aca="false">IF(COUNTIF('Info Strategia'!$D$2:$D$51,$C459)&gt;0,"SI","NO")</f>
        <v>NO</v>
      </c>
      <c r="F459" s="27" t="n">
        <f aca="false">IFERROR(ROUND(($G459+($H459-$G459)*'Info Strategia'!$B$6)*(1+IF($E459="SI",'Parametri Modello'!$B$7*'Info Strategia'!$B$6,0)),0),"")</f>
        <v>0</v>
      </c>
      <c r="G459" s="27" t="n">
        <f aca="false">IFERROR(ROUND(MAX(1,(IF($V459&lt;=INDEX('Parametri Modello'!$C$57:$C$60,MATCH($B459,'Parametri Modello'!$A$57:$A$60,0)),IF(INDEX('Parametri Modello'!$E$57:$E$60,MATCH($B459,'Parametri Modello'!$A$57:$A$60,0))=0,0,($O459/INDEX('Parametri Modello'!$E$57:$E$60,MATCH($B459,'Parametri Modello'!$A$57:$A$60,0)))*(INDEX('Parametri Modello'!$D$57:$D$60,MATCH($B459,'Parametri Modello'!$A$57:$A$60,0))*(INDEX('Parametri Modello'!$B$50:$B$53,MATCH($B459,'Parametri Modello'!$A$50:$A$53,0))*'Parametri Modello'!$B$44))),IF(INDEX('Parametri Modello'!$F$57:$F$60,MATCH($B459,'Parametri Modello'!$A$57:$A$60,0))=0,0,($O459/INDEX('Parametri Modello'!$F$57:$F$60,MATCH($B459,'Parametri Modello'!$A$57:$A$60,0)))*((1-INDEX('Parametri Modello'!$D$57:$D$60,MATCH($B459,'Parametri Modello'!$A$57:$A$60,0)))*(INDEX('Parametri Modello'!$B$50:$B$53,MATCH($B459,'Parametri Modello'!$A$50:$A$53,0))*'Parametri Modello'!$B$44))))*(1+IF(IF($B459="D",'Info Lega'!$B$25,IF($B459="C",'Info Lega'!$B$26,"No"))="Si",'Parametri Modello'!$B$5,0))*(1+MAX(-0.25,MIN(0.25,IF(OR($T459="",$I459="",$I459=0,INDEX('Parametri Modello'!$B$19:$B$22,MATCH($B459,'Parametri Modello'!$A$19:$A$22,0))="",INDEX('Parametri Modello'!$B$19:$B$22,MATCH($B459,'Parametri Modello'!$A$19:$A$22,0))=0),0,(($T459-INDEX('Parametri Modello'!$B$19:$B$22,MATCH($B459,'Parametri Modello'!$A$19:$A$22,0)))/INDEX('Parametri Modello'!$B$19:$B$22,MATCH($B459,'Parametri Modello'!$A$19:$A$22,0)))*'Parametri Modello'!$B$9))))*(1+IF('Parametri Modello'!$B$27="Si",MAX(-'Parametri Modello'!$B$28,MIN('Parametri Modello'!$B$28*1.5,IF(OR(INDEX('Parametri Modello'!$F$32:$F$35,MATCH($B459,'Parametri Modello'!$A$32:$A$35,0))="",INDEX('Parametri Modello'!$F$32:$F$35,MATCH($B459,'Parametri Modello'!$A$32:$A$35,0))=0),0,(1/INDEX('Parametri Modello'!$F$32:$F$35,MATCH($B459,'Parametri Modello'!$A$32:$A$35,0))-1)*'Parametri Modello'!$B$28))),0)))*(1-INDEX('Parametri Modello'!$B$12:$B$15,MATCH($B459,'Parametri Modello'!$A$12:$A$15,0)))),0),"")</f>
        <v>1</v>
      </c>
      <c r="H459" s="27" t="n">
        <f aca="false">IFERROR(ROUND((IF($V459&lt;=INDEX('Parametri Modello'!$C$57:$C$60,MATCH($B459,'Parametri Modello'!$A$57:$A$60,0)),IF(INDEX('Parametri Modello'!$E$57:$E$60,MATCH($B459,'Parametri Modello'!$A$57:$A$60,0))=0,0,($O459/INDEX('Parametri Modello'!$E$57:$E$60,MATCH($B459,'Parametri Modello'!$A$57:$A$60,0)))*(INDEX('Parametri Modello'!$D$57:$D$60,MATCH($B459,'Parametri Modello'!$A$57:$A$60,0))*(INDEX('Parametri Modello'!$B$50:$B$53,MATCH($B459,'Parametri Modello'!$A$50:$A$53,0))*'Parametri Modello'!$B$44))),IF(INDEX('Parametri Modello'!$F$57:$F$60,MATCH($B459,'Parametri Modello'!$A$57:$A$60,0))=0,0,($O459/INDEX('Parametri Modello'!$F$57:$F$60,MATCH($B459,'Parametri Modello'!$A$57:$A$60,0)))*((1-INDEX('Parametri Modello'!$D$57:$D$60,MATCH($B459,'Parametri Modello'!$A$57:$A$60,0)))*(INDEX('Parametri Modello'!$B$50:$B$53,MATCH($B459,'Parametri Modello'!$A$50:$A$53,0))*'Parametri Modello'!$B$44))))*(1+IF(IF($B459="D",'Info Lega'!$B$25,IF($B459="C",'Info Lega'!$B$26,"No"))="Si",'Parametri Modello'!$B$5,0))*(1+MAX(-0.25,MIN(0.25,IF(OR($T459="",$I459="",$I459=0,INDEX('Parametri Modello'!$B$19:$B$22,MATCH($B459,'Parametri Modello'!$A$19:$A$22,0))="",INDEX('Parametri Modello'!$B$19:$B$22,MATCH($B459,'Parametri Modello'!$A$19:$A$22,0))=0),0,(($T459-INDEX('Parametri Modello'!$B$19:$B$22,MATCH($B459,'Parametri Modello'!$A$19:$A$22,0)))/INDEX('Parametri Modello'!$B$19:$B$22,MATCH($B459,'Parametri Modello'!$A$19:$A$22,0)))*'Parametri Modello'!$B$9))))*(1+IF('Parametri Modello'!$B$27="Si",MAX(-'Parametri Modello'!$B$28,MIN('Parametri Modello'!$B$28*1.5,IF(OR(INDEX('Parametri Modello'!$F$32:$F$35,MATCH($B459,'Parametri Modello'!$A$32:$A$35,0))="",INDEX('Parametri Modello'!$F$32:$F$35,MATCH($B459,'Parametri Modello'!$A$32:$A$35,0))=0),0,(1/INDEX('Parametri Modello'!$F$32:$F$35,MATCH($B459,'Parametri Modello'!$A$32:$A$35,0))-1)*'Parametri Modello'!$B$28))),0)))*(1+INDEX('Parametri Modello'!$B$12:$B$15,MATCH($B459,'Parametri Modello'!$A$12:$A$15,0))),0),"")</f>
        <v>0</v>
      </c>
      <c r="I459" s="26" t="n">
        <f aca="false">IFERROR(INDEX('Input Statistiche 2025_26'!$F$3:$F$665,MATCH($A459,'Input Statistiche 2025_26'!$A$3:$A$665,0)),"")</f>
        <v>2</v>
      </c>
      <c r="J459" s="26" t="n">
        <f aca="false">IFERROR(IF($I459="","",MAX(0,38-$I459)),"")</f>
        <v>36</v>
      </c>
      <c r="K459" s="26" t="n">
        <f aca="false">IFERROR(INDEX('Input Statistiche 2025_26'!$I$3:$I$665,MATCH($A459,'Input Statistiche 2025_26'!$A$3:$A$665,0)),"")</f>
        <v>0</v>
      </c>
      <c r="L459" s="26" t="n">
        <f aca="false">IFERROR(INDEX('Input Statistiche 2025_26'!$O$3:$O$665,MATCH($A459,'Input Statistiche 2025_26'!$A$3:$A$665,0)),"")</f>
        <v>0</v>
      </c>
      <c r="M459" s="28"/>
      <c r="N459" s="27" t="n">
        <f aca="false">IFERROR(INDEX('Input Giocatori 2026_27'!$E$3:$E$493,MATCH($A459,'Input Giocatori 2026_27'!$A$3:$A$493,0)),"")</f>
        <v>1</v>
      </c>
      <c r="O459" s="27" t="n">
        <f aca="false">IFERROR(INDEX('Input Giocatori 2026_27'!$G$3:$G$493,MATCH($A459,'Input Giocatori 2026_27'!$A$3:$A$493,0)),"")</f>
        <v>1</v>
      </c>
      <c r="P459" s="26" t="str">
        <f aca="false">IFERROR(IF($O459="","",IF((1-(COUNTIFS($B$2:$B$492,$B459,$O$2:$O$492,"&gt;"&amp;$O459)+1-1)/COUNTIF($B$2:$B$492,$B459))&gt;=0.85,"Top",IF((1-(COUNTIFS($B$2:$B$492,$B459,$O$2:$O$492,"&gt;"&amp;$O459)+1-1)/COUNTIF($B$2:$B$492,$B459))&gt;=0.6,"Buono",IF((1-(COUNTIFS($B$2:$B$492,$B459,$O$2:$O$492,"&gt;"&amp;$O459)+1-1)/COUNTIF($B$2:$B$492,$B459))&gt;=0.3,"Nella Media","Scommessa/Riserva")))),"")</f>
        <v>Nella Media</v>
      </c>
      <c r="Q459" s="29" t="n">
        <f aca="false">IF($D459="",COUNTIF($D$2:$D459,""),"")</f>
        <v>458</v>
      </c>
      <c r="R459" s="29" t="str">
        <f aca="false">IF($D459='Info Lega'!$B$28,COUNTIFS($D$2:$D459,'Info Lega'!$B$28),"")</f>
        <v/>
      </c>
      <c r="S459" s="30" t="n">
        <f aca="false">IFERROR(INDEX('Input Statistiche 2025_26'!$G$3:$G$665,MATCH($A459,'Input Statistiche 2025_26'!$A$3:$A$665,0)),"")</f>
        <v>6</v>
      </c>
      <c r="T459" s="30" t="n">
        <f aca="false">IFERROR(INDEX('Input Statistiche 2025_26'!$H$3:$H$665,MATCH($A459,'Input Statistiche 2025_26'!$A$3:$A$665,0)),"")</f>
        <v>6</v>
      </c>
      <c r="U459" s="26" t="str">
        <f aca="false">IF(OR('La Mia Rosa'!$O$12="",$D459&lt;&gt;""),"",IF($F459&lt;='La Mia Rosa'!$O$12*'Parametri Modello'!$B$24,"OK",IF($F459&lt;='La Mia Rosa'!$O$12*'Parametri Modello'!$B$25,"Attenzione","Rischio Alto")))</f>
        <v>OK</v>
      </c>
      <c r="V459" s="26" t="n">
        <f aca="false">IFERROR(COUNTIFS($B$2:$B$492,$B459,$O$2:$O$492,"&gt;"&amp;$O459)+1,"")</f>
        <v>26</v>
      </c>
      <c r="W459" s="21" t="n">
        <f aca="false">'Info Lega'!$B$4-SUMIFS($M$2:$M$492,$D$2:$D$492,'Info Lega'!$B$28)</f>
        <v>1000</v>
      </c>
      <c r="X459" s="21" t="n">
        <f aca="false">('Info Lega'!$B$5-COUNTIFS($D$2:$D$492,'Info Lega'!$B$28,$B$2:$B$492,"P"))+('Info Lega'!$B$6-COUNTIFS($D$2:$D$492,'Info Lega'!$B$28,$B$2:$B$492,"D"))+('Info Lega'!$B$7-COUNTIFS($D$2:$D$492,'Info Lega'!$B$28,$B$2:$B$492,"C"))+('Info Lega'!$B$8-COUNTIFS($D$2:$D$492,'Info Lega'!$B$28,$B$2:$B$492,"A"))</f>
        <v>25</v>
      </c>
      <c r="Y459" s="21" t="n">
        <f aca="false">X459*'Parametri Modello'!$B$30</f>
        <v>25</v>
      </c>
      <c r="Z459" s="21" t="n">
        <f aca="false">MAX(0,W459-Y459)</f>
        <v>975</v>
      </c>
      <c r="AA459" s="21" t="n">
        <f aca="false">MIN(F459,Z459)</f>
        <v>0</v>
      </c>
      <c r="AB459" s="21"/>
      <c r="AC459" s="21" t="str">
        <f aca="false">IF(AB459="","",IF(AB459&gt;AA459,"PASS",IF(AB459&lt;=AA459*0.85,"BID","ATTENZIONE")))</f>
        <v/>
      </c>
      <c r="AD459" s="31" t="n">
        <f aca="false">IF(I459="","",ROUND(100*(1-EXP(-I459/30)),0))</f>
        <v>6</v>
      </c>
      <c r="AE459" s="7" t="str">
        <f aca="false">IFERROR(INDEX('Stato Asta'!$G$9:$G$12,MATCH($B459,'Stato Asta'!$A$9:$A$12,0)),"")</f>
        <v>🟡 Attesa rischiosa</v>
      </c>
    </row>
    <row r="460" customFormat="false" ht="14.25" hidden="false" customHeight="true" outlineLevel="0" collapsed="false">
      <c r="A460" s="21" t="n">
        <v>6813</v>
      </c>
      <c r="B460" s="21" t="s">
        <v>43</v>
      </c>
      <c r="C460" s="21" t="s">
        <v>174</v>
      </c>
      <c r="E460" s="26" t="str">
        <f aca="false">IF(COUNTIF('Info Strategia'!$D$2:$D$51,$C460)&gt;0,"SI","NO")</f>
        <v>NO</v>
      </c>
      <c r="F460" s="27" t="n">
        <f aca="false">IFERROR(ROUND(($G460+($H460-$G460)*'Info Strategia'!$B$6)*(1+IF($E460="SI",'Parametri Modello'!$B$7*'Info Strategia'!$B$6,0)),0),"")</f>
        <v>0</v>
      </c>
      <c r="G460" s="27" t="n">
        <f aca="false">IFERROR(ROUND(MAX(1,(IF($V460&lt;=INDEX('Parametri Modello'!$C$57:$C$60,MATCH($B460,'Parametri Modello'!$A$57:$A$60,0)),IF(INDEX('Parametri Modello'!$E$57:$E$60,MATCH($B460,'Parametri Modello'!$A$57:$A$60,0))=0,0,($O460/INDEX('Parametri Modello'!$E$57:$E$60,MATCH($B460,'Parametri Modello'!$A$57:$A$60,0)))*(INDEX('Parametri Modello'!$D$57:$D$60,MATCH($B460,'Parametri Modello'!$A$57:$A$60,0))*(INDEX('Parametri Modello'!$B$50:$B$53,MATCH($B460,'Parametri Modello'!$A$50:$A$53,0))*'Parametri Modello'!$B$44))),IF(INDEX('Parametri Modello'!$F$57:$F$60,MATCH($B460,'Parametri Modello'!$A$57:$A$60,0))=0,0,($O460/INDEX('Parametri Modello'!$F$57:$F$60,MATCH($B460,'Parametri Modello'!$A$57:$A$60,0)))*((1-INDEX('Parametri Modello'!$D$57:$D$60,MATCH($B460,'Parametri Modello'!$A$57:$A$60,0)))*(INDEX('Parametri Modello'!$B$50:$B$53,MATCH($B460,'Parametri Modello'!$A$50:$A$53,0))*'Parametri Modello'!$B$44))))*(1+IF(IF($B460="D",'Info Lega'!$B$25,IF($B460="C",'Info Lega'!$B$26,"No"))="Si",'Parametri Modello'!$B$5,0))*(1+MAX(-0.25,MIN(0.25,IF(OR($T460="",$I460="",$I460=0,INDEX('Parametri Modello'!$B$19:$B$22,MATCH($B460,'Parametri Modello'!$A$19:$A$22,0))="",INDEX('Parametri Modello'!$B$19:$B$22,MATCH($B460,'Parametri Modello'!$A$19:$A$22,0))=0),0,(($T460-INDEX('Parametri Modello'!$B$19:$B$22,MATCH($B460,'Parametri Modello'!$A$19:$A$22,0)))/INDEX('Parametri Modello'!$B$19:$B$22,MATCH($B460,'Parametri Modello'!$A$19:$A$22,0)))*'Parametri Modello'!$B$9))))*(1+IF('Parametri Modello'!$B$27="Si",MAX(-'Parametri Modello'!$B$28,MIN('Parametri Modello'!$B$28*1.5,IF(OR(INDEX('Parametri Modello'!$F$32:$F$35,MATCH($B460,'Parametri Modello'!$A$32:$A$35,0))="",INDEX('Parametri Modello'!$F$32:$F$35,MATCH($B460,'Parametri Modello'!$A$32:$A$35,0))=0),0,(1/INDEX('Parametri Modello'!$F$32:$F$35,MATCH($B460,'Parametri Modello'!$A$32:$A$35,0))-1)*'Parametri Modello'!$B$28))),0)))*(1-INDEX('Parametri Modello'!$B$12:$B$15,MATCH($B460,'Parametri Modello'!$A$12:$A$15,0)))),0),"")</f>
        <v>1</v>
      </c>
      <c r="H460" s="27" t="n">
        <f aca="false">IFERROR(ROUND((IF($V460&lt;=INDEX('Parametri Modello'!$C$57:$C$60,MATCH($B460,'Parametri Modello'!$A$57:$A$60,0)),IF(INDEX('Parametri Modello'!$E$57:$E$60,MATCH($B460,'Parametri Modello'!$A$57:$A$60,0))=0,0,($O460/INDEX('Parametri Modello'!$E$57:$E$60,MATCH($B460,'Parametri Modello'!$A$57:$A$60,0)))*(INDEX('Parametri Modello'!$D$57:$D$60,MATCH($B460,'Parametri Modello'!$A$57:$A$60,0))*(INDEX('Parametri Modello'!$B$50:$B$53,MATCH($B460,'Parametri Modello'!$A$50:$A$53,0))*'Parametri Modello'!$B$44))),IF(INDEX('Parametri Modello'!$F$57:$F$60,MATCH($B460,'Parametri Modello'!$A$57:$A$60,0))=0,0,($O460/INDEX('Parametri Modello'!$F$57:$F$60,MATCH($B460,'Parametri Modello'!$A$57:$A$60,0)))*((1-INDEX('Parametri Modello'!$D$57:$D$60,MATCH($B460,'Parametri Modello'!$A$57:$A$60,0)))*(INDEX('Parametri Modello'!$B$50:$B$53,MATCH($B460,'Parametri Modello'!$A$50:$A$53,0))*'Parametri Modello'!$B$44))))*(1+IF(IF($B460="D",'Info Lega'!$B$25,IF($B460="C",'Info Lega'!$B$26,"No"))="Si",'Parametri Modello'!$B$5,0))*(1+MAX(-0.25,MIN(0.25,IF(OR($T460="",$I460="",$I460=0,INDEX('Parametri Modello'!$B$19:$B$22,MATCH($B460,'Parametri Modello'!$A$19:$A$22,0))="",INDEX('Parametri Modello'!$B$19:$B$22,MATCH($B460,'Parametri Modello'!$A$19:$A$22,0))=0),0,(($T460-INDEX('Parametri Modello'!$B$19:$B$22,MATCH($B460,'Parametri Modello'!$A$19:$A$22,0)))/INDEX('Parametri Modello'!$B$19:$B$22,MATCH($B460,'Parametri Modello'!$A$19:$A$22,0)))*'Parametri Modello'!$B$9))))*(1+IF('Parametri Modello'!$B$27="Si",MAX(-'Parametri Modello'!$B$28,MIN('Parametri Modello'!$B$28*1.5,IF(OR(INDEX('Parametri Modello'!$F$32:$F$35,MATCH($B460,'Parametri Modello'!$A$32:$A$35,0))="",INDEX('Parametri Modello'!$F$32:$F$35,MATCH($B460,'Parametri Modello'!$A$32:$A$35,0))=0),0,(1/INDEX('Parametri Modello'!$F$32:$F$35,MATCH($B460,'Parametri Modello'!$A$32:$A$35,0))-1)*'Parametri Modello'!$B$28))),0)))*(1+INDEX('Parametri Modello'!$B$12:$B$15,MATCH($B460,'Parametri Modello'!$A$12:$A$15,0))),0),"")</f>
        <v>0</v>
      </c>
      <c r="I460" s="26" t="n">
        <f aca="false">IFERROR(INDEX('Input Statistiche 2025_26'!$F$3:$F$665,MATCH($A460,'Input Statistiche 2025_26'!$A$3:$A$665,0)),"")</f>
        <v>0</v>
      </c>
      <c r="J460" s="26" t="n">
        <f aca="false">IFERROR(IF($I460="","",MAX(0,38-$I460)),"")</f>
        <v>38</v>
      </c>
      <c r="K460" s="26" t="n">
        <f aca="false">IFERROR(INDEX('Input Statistiche 2025_26'!$I$3:$I$665,MATCH($A460,'Input Statistiche 2025_26'!$A$3:$A$665,0)),"")</f>
        <v>0</v>
      </c>
      <c r="L460" s="26" t="n">
        <f aca="false">IFERROR(INDEX('Input Statistiche 2025_26'!$O$3:$O$665,MATCH($A460,'Input Statistiche 2025_26'!$A$3:$A$665,0)),"")</f>
        <v>0</v>
      </c>
      <c r="M460" s="28"/>
      <c r="N460" s="27" t="n">
        <f aca="false">IFERROR(INDEX('Input Giocatori 2026_27'!$E$3:$E$493,MATCH($A460,'Input Giocatori 2026_27'!$A$3:$A$493,0)),"")</f>
        <v>1</v>
      </c>
      <c r="O460" s="27" t="n">
        <f aca="false">IFERROR(INDEX('Input Giocatori 2026_27'!$G$3:$G$493,MATCH($A460,'Input Giocatori 2026_27'!$A$3:$A$493,0)),"")</f>
        <v>1</v>
      </c>
      <c r="P460" s="26" t="str">
        <f aca="false">IFERROR(IF($O460="","",IF((1-(COUNTIFS($B$2:$B$492,$B460,$O$2:$O$492,"&gt;"&amp;$O460)+1-1)/COUNTIF($B$2:$B$492,$B460))&gt;=0.85,"Top",IF((1-(COUNTIFS($B$2:$B$492,$B460,$O$2:$O$492,"&gt;"&amp;$O460)+1-1)/COUNTIF($B$2:$B$492,$B460))&gt;=0.6,"Buono",IF((1-(COUNTIFS($B$2:$B$492,$B460,$O$2:$O$492,"&gt;"&amp;$O460)+1-1)/COUNTIF($B$2:$B$492,$B460))&gt;=0.3,"Nella Media","Scommessa/Riserva")))),"")</f>
        <v>Nella Media</v>
      </c>
      <c r="Q460" s="29" t="n">
        <f aca="false">IF($D460="",COUNTIF($D$2:$D460,""),"")</f>
        <v>459</v>
      </c>
      <c r="R460" s="29" t="str">
        <f aca="false">IF($D460='Info Lega'!$B$28,COUNTIFS($D$2:$D460,'Info Lega'!$B$28),"")</f>
        <v/>
      </c>
      <c r="S460" s="30" t="n">
        <f aca="false">IFERROR(INDEX('Input Statistiche 2025_26'!$G$3:$G$665,MATCH($A460,'Input Statistiche 2025_26'!$A$3:$A$665,0)),"")</f>
        <v>0</v>
      </c>
      <c r="T460" s="30" t="n">
        <f aca="false">IFERROR(INDEX('Input Statistiche 2025_26'!$H$3:$H$665,MATCH($A460,'Input Statistiche 2025_26'!$A$3:$A$665,0)),"")</f>
        <v>0</v>
      </c>
      <c r="U460" s="26" t="str">
        <f aca="false">IF(OR('La Mia Rosa'!$O$12="",$D460&lt;&gt;""),"",IF($F460&lt;='La Mia Rosa'!$O$12*'Parametri Modello'!$B$24,"OK",IF($F460&lt;='La Mia Rosa'!$O$12*'Parametri Modello'!$B$25,"Attenzione","Rischio Alto")))</f>
        <v>OK</v>
      </c>
      <c r="V460" s="26" t="n">
        <f aca="false">IFERROR(COUNTIFS($B$2:$B$492,$B460,$O$2:$O$492,"&gt;"&amp;$O460)+1,"")</f>
        <v>26</v>
      </c>
      <c r="W460" s="21" t="n">
        <f aca="false">'Info Lega'!$B$4-SUMIFS($M$2:$M$492,$D$2:$D$492,'Info Lega'!$B$28)</f>
        <v>1000</v>
      </c>
      <c r="X460" s="21" t="n">
        <f aca="false">('Info Lega'!$B$5-COUNTIFS($D$2:$D$492,'Info Lega'!$B$28,$B$2:$B$492,"P"))+('Info Lega'!$B$6-COUNTIFS($D$2:$D$492,'Info Lega'!$B$28,$B$2:$B$492,"D"))+('Info Lega'!$B$7-COUNTIFS($D$2:$D$492,'Info Lega'!$B$28,$B$2:$B$492,"C"))+('Info Lega'!$B$8-COUNTIFS($D$2:$D$492,'Info Lega'!$B$28,$B$2:$B$492,"A"))</f>
        <v>25</v>
      </c>
      <c r="Y460" s="21" t="n">
        <f aca="false">X460*'Parametri Modello'!$B$30</f>
        <v>25</v>
      </c>
      <c r="Z460" s="21" t="n">
        <f aca="false">MAX(0,W460-Y460)</f>
        <v>975</v>
      </c>
      <c r="AA460" s="21" t="n">
        <f aca="false">MIN(F460,Z460)</f>
        <v>0</v>
      </c>
      <c r="AB460" s="21"/>
      <c r="AC460" s="21" t="str">
        <f aca="false">IF(AB460="","",IF(AB460&gt;AA460,"PASS",IF(AB460&lt;=AA460*0.85,"BID","ATTENZIONE")))</f>
        <v/>
      </c>
      <c r="AD460" s="31" t="n">
        <f aca="false">IF(I460="","",ROUND(100*(1-EXP(-I460/30)),0))</f>
        <v>0</v>
      </c>
      <c r="AE460" s="7" t="str">
        <f aca="false">IFERROR(INDEX('Stato Asta'!$G$9:$G$12,MATCH($B460,'Stato Asta'!$A$9:$A$12,0)),"")</f>
        <v>🟡 Attesa rischiosa</v>
      </c>
    </row>
    <row r="461" customFormat="false" ht="14.25" hidden="false" customHeight="true" outlineLevel="0" collapsed="false">
      <c r="A461" s="21" t="n">
        <v>6682</v>
      </c>
      <c r="B461" s="21" t="s">
        <v>43</v>
      </c>
      <c r="C461" s="21" t="s">
        <v>175</v>
      </c>
      <c r="E461" s="26" t="str">
        <f aca="false">IF(COUNTIF('Info Strategia'!$D$2:$D$51,$C461)&gt;0,"SI","NO")</f>
        <v>NO</v>
      </c>
      <c r="F461" s="27" t="n">
        <f aca="false">IFERROR(ROUND(($G461+($H461-$G461)*'Info Strategia'!$B$6)*(1+IF($E461="SI",'Parametri Modello'!$B$7*'Info Strategia'!$B$6,0)),0),"")</f>
        <v>0</v>
      </c>
      <c r="G461" s="27" t="n">
        <f aca="false">IFERROR(ROUND(MAX(1,(IF($V461&lt;=INDEX('Parametri Modello'!$C$57:$C$60,MATCH($B461,'Parametri Modello'!$A$57:$A$60,0)),IF(INDEX('Parametri Modello'!$E$57:$E$60,MATCH($B461,'Parametri Modello'!$A$57:$A$60,0))=0,0,($O461/INDEX('Parametri Modello'!$E$57:$E$60,MATCH($B461,'Parametri Modello'!$A$57:$A$60,0)))*(INDEX('Parametri Modello'!$D$57:$D$60,MATCH($B461,'Parametri Modello'!$A$57:$A$60,0))*(INDEX('Parametri Modello'!$B$50:$B$53,MATCH($B461,'Parametri Modello'!$A$50:$A$53,0))*'Parametri Modello'!$B$44))),IF(INDEX('Parametri Modello'!$F$57:$F$60,MATCH($B461,'Parametri Modello'!$A$57:$A$60,0))=0,0,($O461/INDEX('Parametri Modello'!$F$57:$F$60,MATCH($B461,'Parametri Modello'!$A$57:$A$60,0)))*((1-INDEX('Parametri Modello'!$D$57:$D$60,MATCH($B461,'Parametri Modello'!$A$57:$A$60,0)))*(INDEX('Parametri Modello'!$B$50:$B$53,MATCH($B461,'Parametri Modello'!$A$50:$A$53,0))*'Parametri Modello'!$B$44))))*(1+IF(IF($B461="D",'Info Lega'!$B$25,IF($B461="C",'Info Lega'!$B$26,"No"))="Si",'Parametri Modello'!$B$5,0))*(1+MAX(-0.25,MIN(0.25,IF(OR($T461="",$I461="",$I461=0,INDEX('Parametri Modello'!$B$19:$B$22,MATCH($B461,'Parametri Modello'!$A$19:$A$22,0))="",INDEX('Parametri Modello'!$B$19:$B$22,MATCH($B461,'Parametri Modello'!$A$19:$A$22,0))=0),0,(($T461-INDEX('Parametri Modello'!$B$19:$B$22,MATCH($B461,'Parametri Modello'!$A$19:$A$22,0)))/INDEX('Parametri Modello'!$B$19:$B$22,MATCH($B461,'Parametri Modello'!$A$19:$A$22,0)))*'Parametri Modello'!$B$9))))*(1+IF('Parametri Modello'!$B$27="Si",MAX(-'Parametri Modello'!$B$28,MIN('Parametri Modello'!$B$28*1.5,IF(OR(INDEX('Parametri Modello'!$F$32:$F$35,MATCH($B461,'Parametri Modello'!$A$32:$A$35,0))="",INDEX('Parametri Modello'!$F$32:$F$35,MATCH($B461,'Parametri Modello'!$A$32:$A$35,0))=0),0,(1/INDEX('Parametri Modello'!$F$32:$F$35,MATCH($B461,'Parametri Modello'!$A$32:$A$35,0))-1)*'Parametri Modello'!$B$28))),0)))*(1-INDEX('Parametri Modello'!$B$12:$B$15,MATCH($B461,'Parametri Modello'!$A$12:$A$15,0)))),0),"")</f>
        <v>1</v>
      </c>
      <c r="H461" s="27" t="n">
        <f aca="false">IFERROR(ROUND((IF($V461&lt;=INDEX('Parametri Modello'!$C$57:$C$60,MATCH($B461,'Parametri Modello'!$A$57:$A$60,0)),IF(INDEX('Parametri Modello'!$E$57:$E$60,MATCH($B461,'Parametri Modello'!$A$57:$A$60,0))=0,0,($O461/INDEX('Parametri Modello'!$E$57:$E$60,MATCH($B461,'Parametri Modello'!$A$57:$A$60,0)))*(INDEX('Parametri Modello'!$D$57:$D$60,MATCH($B461,'Parametri Modello'!$A$57:$A$60,0))*(INDEX('Parametri Modello'!$B$50:$B$53,MATCH($B461,'Parametri Modello'!$A$50:$A$53,0))*'Parametri Modello'!$B$44))),IF(INDEX('Parametri Modello'!$F$57:$F$60,MATCH($B461,'Parametri Modello'!$A$57:$A$60,0))=0,0,($O461/INDEX('Parametri Modello'!$F$57:$F$60,MATCH($B461,'Parametri Modello'!$A$57:$A$60,0)))*((1-INDEX('Parametri Modello'!$D$57:$D$60,MATCH($B461,'Parametri Modello'!$A$57:$A$60,0)))*(INDEX('Parametri Modello'!$B$50:$B$53,MATCH($B461,'Parametri Modello'!$A$50:$A$53,0))*'Parametri Modello'!$B$44))))*(1+IF(IF($B461="D",'Info Lega'!$B$25,IF($B461="C",'Info Lega'!$B$26,"No"))="Si",'Parametri Modello'!$B$5,0))*(1+MAX(-0.25,MIN(0.25,IF(OR($T461="",$I461="",$I461=0,INDEX('Parametri Modello'!$B$19:$B$22,MATCH($B461,'Parametri Modello'!$A$19:$A$22,0))="",INDEX('Parametri Modello'!$B$19:$B$22,MATCH($B461,'Parametri Modello'!$A$19:$A$22,0))=0),0,(($T461-INDEX('Parametri Modello'!$B$19:$B$22,MATCH($B461,'Parametri Modello'!$A$19:$A$22,0)))/INDEX('Parametri Modello'!$B$19:$B$22,MATCH($B461,'Parametri Modello'!$A$19:$A$22,0)))*'Parametri Modello'!$B$9))))*(1+IF('Parametri Modello'!$B$27="Si",MAX(-'Parametri Modello'!$B$28,MIN('Parametri Modello'!$B$28*1.5,IF(OR(INDEX('Parametri Modello'!$F$32:$F$35,MATCH($B461,'Parametri Modello'!$A$32:$A$35,0))="",INDEX('Parametri Modello'!$F$32:$F$35,MATCH($B461,'Parametri Modello'!$A$32:$A$35,0))=0),0,(1/INDEX('Parametri Modello'!$F$32:$F$35,MATCH($B461,'Parametri Modello'!$A$32:$A$35,0))-1)*'Parametri Modello'!$B$28))),0)))*(1+INDEX('Parametri Modello'!$B$12:$B$15,MATCH($B461,'Parametri Modello'!$A$12:$A$15,0))),0),"")</f>
        <v>0</v>
      </c>
      <c r="I461" s="26" t="str">
        <f aca="false">IFERROR(INDEX('Input Statistiche 2025_26'!$F$3:$F$665,MATCH($A461,'Input Statistiche 2025_26'!$A$3:$A$665,0)),"")</f>
        <v/>
      </c>
      <c r="J461" s="26" t="str">
        <f aca="false">IFERROR(IF($I461="","",MAX(0,38-$I461)),"")</f>
        <v/>
      </c>
      <c r="K461" s="26" t="str">
        <f aca="false">IFERROR(INDEX('Input Statistiche 2025_26'!$I$3:$I$665,MATCH($A461,'Input Statistiche 2025_26'!$A$3:$A$665,0)),"")</f>
        <v/>
      </c>
      <c r="L461" s="26" t="str">
        <f aca="false">IFERROR(INDEX('Input Statistiche 2025_26'!$O$3:$O$665,MATCH($A461,'Input Statistiche 2025_26'!$A$3:$A$665,0)),"")</f>
        <v/>
      </c>
      <c r="M461" s="28"/>
      <c r="N461" s="27" t="n">
        <f aca="false">IFERROR(INDEX('Input Giocatori 2026_27'!$E$3:$E$493,MATCH($A461,'Input Giocatori 2026_27'!$A$3:$A$493,0)),"")</f>
        <v>1</v>
      </c>
      <c r="O461" s="27" t="n">
        <f aca="false">IFERROR(INDEX('Input Giocatori 2026_27'!$G$3:$G$493,MATCH($A461,'Input Giocatori 2026_27'!$A$3:$A$493,0)),"")</f>
        <v>1</v>
      </c>
      <c r="P461" s="26" t="str">
        <f aca="false">IFERROR(IF($O461="","",IF((1-(COUNTIFS($B$2:$B$492,$B461,$O$2:$O$492,"&gt;"&amp;$O461)+1-1)/COUNTIF($B$2:$B$492,$B461))&gt;=0.85,"Top",IF((1-(COUNTIFS($B$2:$B$492,$B461,$O$2:$O$492,"&gt;"&amp;$O461)+1-1)/COUNTIF($B$2:$B$492,$B461))&gt;=0.6,"Buono",IF((1-(COUNTIFS($B$2:$B$492,$B461,$O$2:$O$492,"&gt;"&amp;$O461)+1-1)/COUNTIF($B$2:$B$492,$B461))&gt;=0.3,"Nella Media","Scommessa/Riserva")))),"")</f>
        <v>Nella Media</v>
      </c>
      <c r="Q461" s="29" t="n">
        <f aca="false">IF($D461="",COUNTIF($D$2:$D461,""),"")</f>
        <v>460</v>
      </c>
      <c r="R461" s="29" t="str">
        <f aca="false">IF($D461='Info Lega'!$B$28,COUNTIFS($D$2:$D461,'Info Lega'!$B$28),"")</f>
        <v/>
      </c>
      <c r="S461" s="30" t="str">
        <f aca="false">IFERROR(INDEX('Input Statistiche 2025_26'!$G$3:$G$665,MATCH($A461,'Input Statistiche 2025_26'!$A$3:$A$665,0)),"")</f>
        <v/>
      </c>
      <c r="T461" s="30" t="str">
        <f aca="false">IFERROR(INDEX('Input Statistiche 2025_26'!$H$3:$H$665,MATCH($A461,'Input Statistiche 2025_26'!$A$3:$A$665,0)),"")</f>
        <v/>
      </c>
      <c r="U461" s="26" t="str">
        <f aca="false">IF(OR('La Mia Rosa'!$O$12="",$D461&lt;&gt;""),"",IF($F461&lt;='La Mia Rosa'!$O$12*'Parametri Modello'!$B$24,"OK",IF($F461&lt;='La Mia Rosa'!$O$12*'Parametri Modello'!$B$25,"Attenzione","Rischio Alto")))</f>
        <v>OK</v>
      </c>
      <c r="V461" s="26" t="n">
        <f aca="false">IFERROR(COUNTIFS($B$2:$B$492,$B461,$O$2:$O$492,"&gt;"&amp;$O461)+1,"")</f>
        <v>26</v>
      </c>
      <c r="W461" s="21" t="n">
        <f aca="false">'Info Lega'!$B$4-SUMIFS($M$2:$M$492,$D$2:$D$492,'Info Lega'!$B$28)</f>
        <v>1000</v>
      </c>
      <c r="X461" s="21" t="n">
        <f aca="false">('Info Lega'!$B$5-COUNTIFS($D$2:$D$492,'Info Lega'!$B$28,$B$2:$B$492,"P"))+('Info Lega'!$B$6-COUNTIFS($D$2:$D$492,'Info Lega'!$B$28,$B$2:$B$492,"D"))+('Info Lega'!$B$7-COUNTIFS($D$2:$D$492,'Info Lega'!$B$28,$B$2:$B$492,"C"))+('Info Lega'!$B$8-COUNTIFS($D$2:$D$492,'Info Lega'!$B$28,$B$2:$B$492,"A"))</f>
        <v>25</v>
      </c>
      <c r="Y461" s="21" t="n">
        <f aca="false">X461*'Parametri Modello'!$B$30</f>
        <v>25</v>
      </c>
      <c r="Z461" s="21" t="n">
        <f aca="false">MAX(0,W461-Y461)</f>
        <v>975</v>
      </c>
      <c r="AA461" s="21" t="n">
        <f aca="false">MIN(F461,Z461)</f>
        <v>0</v>
      </c>
      <c r="AB461" s="21"/>
      <c r="AC461" s="21" t="str">
        <f aca="false">IF(AB461="","",IF(AB461&gt;AA461,"PASS",IF(AB461&lt;=AA461*0.85,"BID","ATTENZIONE")))</f>
        <v/>
      </c>
      <c r="AD461" s="31" t="str">
        <f aca="false">IF(I461="","",ROUND(100*(1-EXP(-I461/30)),0))</f>
        <v/>
      </c>
      <c r="AE461" s="7" t="str">
        <f aca="false">IFERROR(INDEX('Stato Asta'!$G$9:$G$12,MATCH($B461,'Stato Asta'!$A$9:$A$12,0)),"")</f>
        <v>🟡 Attesa rischiosa</v>
      </c>
    </row>
    <row r="462" customFormat="false" ht="14.25" hidden="false" customHeight="true" outlineLevel="0" collapsed="false">
      <c r="A462" s="21" t="n">
        <v>7475</v>
      </c>
      <c r="B462" s="21" t="s">
        <v>43</v>
      </c>
      <c r="C462" s="21" t="s">
        <v>176</v>
      </c>
      <c r="E462" s="26" t="str">
        <f aca="false">IF(COUNTIF('Info Strategia'!$D$2:$D$51,$C462)&gt;0,"SI","NO")</f>
        <v>NO</v>
      </c>
      <c r="F462" s="27" t="n">
        <f aca="false">IFERROR(ROUND(($G462+($H462-$G462)*'Info Strategia'!$B$6)*(1+IF($E462="SI",'Parametri Modello'!$B$7*'Info Strategia'!$B$6,0)),0),"")</f>
        <v>0</v>
      </c>
      <c r="G462" s="27" t="n">
        <f aca="false">IFERROR(ROUND(MAX(1,(IF($V462&lt;=INDEX('Parametri Modello'!$C$57:$C$60,MATCH($B462,'Parametri Modello'!$A$57:$A$60,0)),IF(INDEX('Parametri Modello'!$E$57:$E$60,MATCH($B462,'Parametri Modello'!$A$57:$A$60,0))=0,0,($O462/INDEX('Parametri Modello'!$E$57:$E$60,MATCH($B462,'Parametri Modello'!$A$57:$A$60,0)))*(INDEX('Parametri Modello'!$D$57:$D$60,MATCH($B462,'Parametri Modello'!$A$57:$A$60,0))*(INDEX('Parametri Modello'!$B$50:$B$53,MATCH($B462,'Parametri Modello'!$A$50:$A$53,0))*'Parametri Modello'!$B$44))),IF(INDEX('Parametri Modello'!$F$57:$F$60,MATCH($B462,'Parametri Modello'!$A$57:$A$60,0))=0,0,($O462/INDEX('Parametri Modello'!$F$57:$F$60,MATCH($B462,'Parametri Modello'!$A$57:$A$60,0)))*((1-INDEX('Parametri Modello'!$D$57:$D$60,MATCH($B462,'Parametri Modello'!$A$57:$A$60,0)))*(INDEX('Parametri Modello'!$B$50:$B$53,MATCH($B462,'Parametri Modello'!$A$50:$A$53,0))*'Parametri Modello'!$B$44))))*(1+IF(IF($B462="D",'Info Lega'!$B$25,IF($B462="C",'Info Lega'!$B$26,"No"))="Si",'Parametri Modello'!$B$5,0))*(1+MAX(-0.25,MIN(0.25,IF(OR($T462="",$I462="",$I462=0,INDEX('Parametri Modello'!$B$19:$B$22,MATCH($B462,'Parametri Modello'!$A$19:$A$22,0))="",INDEX('Parametri Modello'!$B$19:$B$22,MATCH($B462,'Parametri Modello'!$A$19:$A$22,0))=0),0,(($T462-INDEX('Parametri Modello'!$B$19:$B$22,MATCH($B462,'Parametri Modello'!$A$19:$A$22,0)))/INDEX('Parametri Modello'!$B$19:$B$22,MATCH($B462,'Parametri Modello'!$A$19:$A$22,0)))*'Parametri Modello'!$B$9))))*(1+IF('Parametri Modello'!$B$27="Si",MAX(-'Parametri Modello'!$B$28,MIN('Parametri Modello'!$B$28*1.5,IF(OR(INDEX('Parametri Modello'!$F$32:$F$35,MATCH($B462,'Parametri Modello'!$A$32:$A$35,0))="",INDEX('Parametri Modello'!$F$32:$F$35,MATCH($B462,'Parametri Modello'!$A$32:$A$35,0))=0),0,(1/INDEX('Parametri Modello'!$F$32:$F$35,MATCH($B462,'Parametri Modello'!$A$32:$A$35,0))-1)*'Parametri Modello'!$B$28))),0)))*(1-INDEX('Parametri Modello'!$B$12:$B$15,MATCH($B462,'Parametri Modello'!$A$12:$A$15,0)))),0),"")</f>
        <v>1</v>
      </c>
      <c r="H462" s="27" t="n">
        <f aca="false">IFERROR(ROUND((IF($V462&lt;=INDEX('Parametri Modello'!$C$57:$C$60,MATCH($B462,'Parametri Modello'!$A$57:$A$60,0)),IF(INDEX('Parametri Modello'!$E$57:$E$60,MATCH($B462,'Parametri Modello'!$A$57:$A$60,0))=0,0,($O462/INDEX('Parametri Modello'!$E$57:$E$60,MATCH($B462,'Parametri Modello'!$A$57:$A$60,0)))*(INDEX('Parametri Modello'!$D$57:$D$60,MATCH($B462,'Parametri Modello'!$A$57:$A$60,0))*(INDEX('Parametri Modello'!$B$50:$B$53,MATCH($B462,'Parametri Modello'!$A$50:$A$53,0))*'Parametri Modello'!$B$44))),IF(INDEX('Parametri Modello'!$F$57:$F$60,MATCH($B462,'Parametri Modello'!$A$57:$A$60,0))=0,0,($O462/INDEX('Parametri Modello'!$F$57:$F$60,MATCH($B462,'Parametri Modello'!$A$57:$A$60,0)))*((1-INDEX('Parametri Modello'!$D$57:$D$60,MATCH($B462,'Parametri Modello'!$A$57:$A$60,0)))*(INDEX('Parametri Modello'!$B$50:$B$53,MATCH($B462,'Parametri Modello'!$A$50:$A$53,0))*'Parametri Modello'!$B$44))))*(1+IF(IF($B462="D",'Info Lega'!$B$25,IF($B462="C",'Info Lega'!$B$26,"No"))="Si",'Parametri Modello'!$B$5,0))*(1+MAX(-0.25,MIN(0.25,IF(OR($T462="",$I462="",$I462=0,INDEX('Parametri Modello'!$B$19:$B$22,MATCH($B462,'Parametri Modello'!$A$19:$A$22,0))="",INDEX('Parametri Modello'!$B$19:$B$22,MATCH($B462,'Parametri Modello'!$A$19:$A$22,0))=0),0,(($T462-INDEX('Parametri Modello'!$B$19:$B$22,MATCH($B462,'Parametri Modello'!$A$19:$A$22,0)))/INDEX('Parametri Modello'!$B$19:$B$22,MATCH($B462,'Parametri Modello'!$A$19:$A$22,0)))*'Parametri Modello'!$B$9))))*(1+IF('Parametri Modello'!$B$27="Si",MAX(-'Parametri Modello'!$B$28,MIN('Parametri Modello'!$B$28*1.5,IF(OR(INDEX('Parametri Modello'!$F$32:$F$35,MATCH($B462,'Parametri Modello'!$A$32:$A$35,0))="",INDEX('Parametri Modello'!$F$32:$F$35,MATCH($B462,'Parametri Modello'!$A$32:$A$35,0))=0),0,(1/INDEX('Parametri Modello'!$F$32:$F$35,MATCH($B462,'Parametri Modello'!$A$32:$A$35,0))-1)*'Parametri Modello'!$B$28))),0)))*(1+INDEX('Parametri Modello'!$B$12:$B$15,MATCH($B462,'Parametri Modello'!$A$12:$A$15,0))),0),"")</f>
        <v>0</v>
      </c>
      <c r="I462" s="26" t="str">
        <f aca="false">IFERROR(INDEX('Input Statistiche 2025_26'!$F$3:$F$665,MATCH($A462,'Input Statistiche 2025_26'!$A$3:$A$665,0)),"")</f>
        <v/>
      </c>
      <c r="J462" s="26" t="str">
        <f aca="false">IFERROR(IF($I462="","",MAX(0,38-$I462)),"")</f>
        <v/>
      </c>
      <c r="K462" s="26" t="str">
        <f aca="false">IFERROR(INDEX('Input Statistiche 2025_26'!$I$3:$I$665,MATCH($A462,'Input Statistiche 2025_26'!$A$3:$A$665,0)),"")</f>
        <v/>
      </c>
      <c r="L462" s="26" t="str">
        <f aca="false">IFERROR(INDEX('Input Statistiche 2025_26'!$O$3:$O$665,MATCH($A462,'Input Statistiche 2025_26'!$A$3:$A$665,0)),"")</f>
        <v/>
      </c>
      <c r="M462" s="28"/>
      <c r="N462" s="27" t="n">
        <f aca="false">IFERROR(INDEX('Input Giocatori 2026_27'!$E$3:$E$493,MATCH($A462,'Input Giocatori 2026_27'!$A$3:$A$493,0)),"")</f>
        <v>1</v>
      </c>
      <c r="O462" s="27" t="n">
        <f aca="false">IFERROR(INDEX('Input Giocatori 2026_27'!$G$3:$G$493,MATCH($A462,'Input Giocatori 2026_27'!$A$3:$A$493,0)),"")</f>
        <v>1</v>
      </c>
      <c r="P462" s="26" t="str">
        <f aca="false">IFERROR(IF($O462="","",IF((1-(COUNTIFS($B$2:$B$492,$B462,$O$2:$O$492,"&gt;"&amp;$O462)+1-1)/COUNTIF($B$2:$B$492,$B462))&gt;=0.85,"Top",IF((1-(COUNTIFS($B$2:$B$492,$B462,$O$2:$O$492,"&gt;"&amp;$O462)+1-1)/COUNTIF($B$2:$B$492,$B462))&gt;=0.6,"Buono",IF((1-(COUNTIFS($B$2:$B$492,$B462,$O$2:$O$492,"&gt;"&amp;$O462)+1-1)/COUNTIF($B$2:$B$492,$B462))&gt;=0.3,"Nella Media","Scommessa/Riserva")))),"")</f>
        <v>Nella Media</v>
      </c>
      <c r="Q462" s="29" t="n">
        <f aca="false">IF($D462="",COUNTIF($D$2:$D462,""),"")</f>
        <v>461</v>
      </c>
      <c r="R462" s="29" t="str">
        <f aca="false">IF($D462='Info Lega'!$B$28,COUNTIFS($D$2:$D462,'Info Lega'!$B$28),"")</f>
        <v/>
      </c>
      <c r="S462" s="30" t="str">
        <f aca="false">IFERROR(INDEX('Input Statistiche 2025_26'!$G$3:$G$665,MATCH($A462,'Input Statistiche 2025_26'!$A$3:$A$665,0)),"")</f>
        <v/>
      </c>
      <c r="T462" s="30" t="str">
        <f aca="false">IFERROR(INDEX('Input Statistiche 2025_26'!$H$3:$H$665,MATCH($A462,'Input Statistiche 2025_26'!$A$3:$A$665,0)),"")</f>
        <v/>
      </c>
      <c r="U462" s="26" t="str">
        <f aca="false">IF(OR('La Mia Rosa'!$O$12="",$D462&lt;&gt;""),"",IF($F462&lt;='La Mia Rosa'!$O$12*'Parametri Modello'!$B$24,"OK",IF($F462&lt;='La Mia Rosa'!$O$12*'Parametri Modello'!$B$25,"Attenzione","Rischio Alto")))</f>
        <v>OK</v>
      </c>
      <c r="V462" s="26" t="n">
        <f aca="false">IFERROR(COUNTIFS($B$2:$B$492,$B462,$O$2:$O$492,"&gt;"&amp;$O462)+1,"")</f>
        <v>26</v>
      </c>
      <c r="W462" s="21" t="n">
        <f aca="false">'Info Lega'!$B$4-SUMIFS($M$2:$M$492,$D$2:$D$492,'Info Lega'!$B$28)</f>
        <v>1000</v>
      </c>
      <c r="X462" s="21" t="n">
        <f aca="false">('Info Lega'!$B$5-COUNTIFS($D$2:$D$492,'Info Lega'!$B$28,$B$2:$B$492,"P"))+('Info Lega'!$B$6-COUNTIFS($D$2:$D$492,'Info Lega'!$B$28,$B$2:$B$492,"D"))+('Info Lega'!$B$7-COUNTIFS($D$2:$D$492,'Info Lega'!$B$28,$B$2:$B$492,"C"))+('Info Lega'!$B$8-COUNTIFS($D$2:$D$492,'Info Lega'!$B$28,$B$2:$B$492,"A"))</f>
        <v>25</v>
      </c>
      <c r="Y462" s="21" t="n">
        <f aca="false">X462*'Parametri Modello'!$B$30</f>
        <v>25</v>
      </c>
      <c r="Z462" s="21" t="n">
        <f aca="false">MAX(0,W462-Y462)</f>
        <v>975</v>
      </c>
      <c r="AA462" s="21" t="n">
        <f aca="false">MIN(F462,Z462)</f>
        <v>0</v>
      </c>
      <c r="AB462" s="21"/>
      <c r="AC462" s="21" t="str">
        <f aca="false">IF(AB462="","",IF(AB462&gt;AA462,"PASS",IF(AB462&lt;=AA462*0.85,"BID","ATTENZIONE")))</f>
        <v/>
      </c>
      <c r="AD462" s="31" t="str">
        <f aca="false">IF(I462="","",ROUND(100*(1-EXP(-I462/30)),0))</f>
        <v/>
      </c>
      <c r="AE462" s="7" t="str">
        <f aca="false">IFERROR(INDEX('Stato Asta'!$G$9:$G$12,MATCH($B462,'Stato Asta'!$A$9:$A$12,0)),"")</f>
        <v>🟡 Attesa rischiosa</v>
      </c>
    </row>
    <row r="463" customFormat="false" ht="14.25" hidden="false" customHeight="true" outlineLevel="0" collapsed="false">
      <c r="A463" s="21" t="n">
        <v>2845</v>
      </c>
      <c r="B463" s="21" t="s">
        <v>43</v>
      </c>
      <c r="C463" s="21" t="s">
        <v>177</v>
      </c>
      <c r="E463" s="26" t="str">
        <f aca="false">IF(COUNTIF('Info Strategia'!$D$2:$D$51,$C463)&gt;0,"SI","NO")</f>
        <v>NO</v>
      </c>
      <c r="F463" s="27" t="n">
        <f aca="false">IFERROR(ROUND(($G463+($H463-$G463)*'Info Strategia'!$B$6)*(1+IF($E463="SI",'Parametri Modello'!$B$7*'Info Strategia'!$B$6,0)),0),"")</f>
        <v>0</v>
      </c>
      <c r="G463" s="27" t="n">
        <f aca="false">IFERROR(ROUND(MAX(1,(IF($V463&lt;=INDEX('Parametri Modello'!$C$57:$C$60,MATCH($B463,'Parametri Modello'!$A$57:$A$60,0)),IF(INDEX('Parametri Modello'!$E$57:$E$60,MATCH($B463,'Parametri Modello'!$A$57:$A$60,0))=0,0,($O463/INDEX('Parametri Modello'!$E$57:$E$60,MATCH($B463,'Parametri Modello'!$A$57:$A$60,0)))*(INDEX('Parametri Modello'!$D$57:$D$60,MATCH($B463,'Parametri Modello'!$A$57:$A$60,0))*(INDEX('Parametri Modello'!$B$50:$B$53,MATCH($B463,'Parametri Modello'!$A$50:$A$53,0))*'Parametri Modello'!$B$44))),IF(INDEX('Parametri Modello'!$F$57:$F$60,MATCH($B463,'Parametri Modello'!$A$57:$A$60,0))=0,0,($O463/INDEX('Parametri Modello'!$F$57:$F$60,MATCH($B463,'Parametri Modello'!$A$57:$A$60,0)))*((1-INDEX('Parametri Modello'!$D$57:$D$60,MATCH($B463,'Parametri Modello'!$A$57:$A$60,0)))*(INDEX('Parametri Modello'!$B$50:$B$53,MATCH($B463,'Parametri Modello'!$A$50:$A$53,0))*'Parametri Modello'!$B$44))))*(1+IF(IF($B463="D",'Info Lega'!$B$25,IF($B463="C",'Info Lega'!$B$26,"No"))="Si",'Parametri Modello'!$B$5,0))*(1+MAX(-0.25,MIN(0.25,IF(OR($T463="",$I463="",$I463=0,INDEX('Parametri Modello'!$B$19:$B$22,MATCH($B463,'Parametri Modello'!$A$19:$A$22,0))="",INDEX('Parametri Modello'!$B$19:$B$22,MATCH($B463,'Parametri Modello'!$A$19:$A$22,0))=0),0,(($T463-INDEX('Parametri Modello'!$B$19:$B$22,MATCH($B463,'Parametri Modello'!$A$19:$A$22,0)))/INDEX('Parametri Modello'!$B$19:$B$22,MATCH($B463,'Parametri Modello'!$A$19:$A$22,0)))*'Parametri Modello'!$B$9))))*(1+IF('Parametri Modello'!$B$27="Si",MAX(-'Parametri Modello'!$B$28,MIN('Parametri Modello'!$B$28*1.5,IF(OR(INDEX('Parametri Modello'!$F$32:$F$35,MATCH($B463,'Parametri Modello'!$A$32:$A$35,0))="",INDEX('Parametri Modello'!$F$32:$F$35,MATCH($B463,'Parametri Modello'!$A$32:$A$35,0))=0),0,(1/INDEX('Parametri Modello'!$F$32:$F$35,MATCH($B463,'Parametri Modello'!$A$32:$A$35,0))-1)*'Parametri Modello'!$B$28))),0)))*(1-INDEX('Parametri Modello'!$B$12:$B$15,MATCH($B463,'Parametri Modello'!$A$12:$A$15,0)))),0),"")</f>
        <v>1</v>
      </c>
      <c r="H463" s="27" t="n">
        <f aca="false">IFERROR(ROUND((IF($V463&lt;=INDEX('Parametri Modello'!$C$57:$C$60,MATCH($B463,'Parametri Modello'!$A$57:$A$60,0)),IF(INDEX('Parametri Modello'!$E$57:$E$60,MATCH($B463,'Parametri Modello'!$A$57:$A$60,0))=0,0,($O463/INDEX('Parametri Modello'!$E$57:$E$60,MATCH($B463,'Parametri Modello'!$A$57:$A$60,0)))*(INDEX('Parametri Modello'!$D$57:$D$60,MATCH($B463,'Parametri Modello'!$A$57:$A$60,0))*(INDEX('Parametri Modello'!$B$50:$B$53,MATCH($B463,'Parametri Modello'!$A$50:$A$53,0))*'Parametri Modello'!$B$44))),IF(INDEX('Parametri Modello'!$F$57:$F$60,MATCH($B463,'Parametri Modello'!$A$57:$A$60,0))=0,0,($O463/INDEX('Parametri Modello'!$F$57:$F$60,MATCH($B463,'Parametri Modello'!$A$57:$A$60,0)))*((1-INDEX('Parametri Modello'!$D$57:$D$60,MATCH($B463,'Parametri Modello'!$A$57:$A$60,0)))*(INDEX('Parametri Modello'!$B$50:$B$53,MATCH($B463,'Parametri Modello'!$A$50:$A$53,0))*'Parametri Modello'!$B$44))))*(1+IF(IF($B463="D",'Info Lega'!$B$25,IF($B463="C",'Info Lega'!$B$26,"No"))="Si",'Parametri Modello'!$B$5,0))*(1+MAX(-0.25,MIN(0.25,IF(OR($T463="",$I463="",$I463=0,INDEX('Parametri Modello'!$B$19:$B$22,MATCH($B463,'Parametri Modello'!$A$19:$A$22,0))="",INDEX('Parametri Modello'!$B$19:$B$22,MATCH($B463,'Parametri Modello'!$A$19:$A$22,0))=0),0,(($T463-INDEX('Parametri Modello'!$B$19:$B$22,MATCH($B463,'Parametri Modello'!$A$19:$A$22,0)))/INDEX('Parametri Modello'!$B$19:$B$22,MATCH($B463,'Parametri Modello'!$A$19:$A$22,0)))*'Parametri Modello'!$B$9))))*(1+IF('Parametri Modello'!$B$27="Si",MAX(-'Parametri Modello'!$B$28,MIN('Parametri Modello'!$B$28*1.5,IF(OR(INDEX('Parametri Modello'!$F$32:$F$35,MATCH($B463,'Parametri Modello'!$A$32:$A$35,0))="",INDEX('Parametri Modello'!$F$32:$F$35,MATCH($B463,'Parametri Modello'!$A$32:$A$35,0))=0),0,(1/INDEX('Parametri Modello'!$F$32:$F$35,MATCH($B463,'Parametri Modello'!$A$32:$A$35,0))-1)*'Parametri Modello'!$B$28))),0)))*(1+INDEX('Parametri Modello'!$B$12:$B$15,MATCH($B463,'Parametri Modello'!$A$12:$A$15,0))),0),"")</f>
        <v>0</v>
      </c>
      <c r="I463" s="26" t="n">
        <f aca="false">IFERROR(INDEX('Input Statistiche 2025_26'!$F$3:$F$665,MATCH($A463,'Input Statistiche 2025_26'!$A$3:$A$665,0)),"")</f>
        <v>0</v>
      </c>
      <c r="J463" s="26" t="n">
        <f aca="false">IFERROR(IF($I463="","",MAX(0,38-$I463)),"")</f>
        <v>38</v>
      </c>
      <c r="K463" s="26" t="n">
        <f aca="false">IFERROR(INDEX('Input Statistiche 2025_26'!$I$3:$I$665,MATCH($A463,'Input Statistiche 2025_26'!$A$3:$A$665,0)),"")</f>
        <v>0</v>
      </c>
      <c r="L463" s="26" t="n">
        <f aca="false">IFERROR(INDEX('Input Statistiche 2025_26'!$O$3:$O$665,MATCH($A463,'Input Statistiche 2025_26'!$A$3:$A$665,0)),"")</f>
        <v>0</v>
      </c>
      <c r="M463" s="28"/>
      <c r="N463" s="27" t="n">
        <f aca="false">IFERROR(INDEX('Input Giocatori 2026_27'!$E$3:$E$493,MATCH($A463,'Input Giocatori 2026_27'!$A$3:$A$493,0)),"")</f>
        <v>1</v>
      </c>
      <c r="O463" s="27" t="n">
        <f aca="false">IFERROR(INDEX('Input Giocatori 2026_27'!$G$3:$G$493,MATCH($A463,'Input Giocatori 2026_27'!$A$3:$A$493,0)),"")</f>
        <v>1</v>
      </c>
      <c r="P463" s="26" t="str">
        <f aca="false">IFERROR(IF($O463="","",IF((1-(COUNTIFS($B$2:$B$492,$B463,$O$2:$O$492,"&gt;"&amp;$O463)+1-1)/COUNTIF($B$2:$B$492,$B463))&gt;=0.85,"Top",IF((1-(COUNTIFS($B$2:$B$492,$B463,$O$2:$O$492,"&gt;"&amp;$O463)+1-1)/COUNTIF($B$2:$B$492,$B463))&gt;=0.6,"Buono",IF((1-(COUNTIFS($B$2:$B$492,$B463,$O$2:$O$492,"&gt;"&amp;$O463)+1-1)/COUNTIF($B$2:$B$492,$B463))&gt;=0.3,"Nella Media","Scommessa/Riserva")))),"")</f>
        <v>Nella Media</v>
      </c>
      <c r="Q463" s="29" t="n">
        <f aca="false">IF($D463="",COUNTIF($D$2:$D463,""),"")</f>
        <v>462</v>
      </c>
      <c r="R463" s="29" t="str">
        <f aca="false">IF($D463='Info Lega'!$B$28,COUNTIFS($D$2:$D463,'Info Lega'!$B$28),"")</f>
        <v/>
      </c>
      <c r="S463" s="30" t="n">
        <f aca="false">IFERROR(INDEX('Input Statistiche 2025_26'!$G$3:$G$665,MATCH($A463,'Input Statistiche 2025_26'!$A$3:$A$665,0)),"")</f>
        <v>0</v>
      </c>
      <c r="T463" s="30" t="n">
        <f aca="false">IFERROR(INDEX('Input Statistiche 2025_26'!$H$3:$H$665,MATCH($A463,'Input Statistiche 2025_26'!$A$3:$A$665,0)),"")</f>
        <v>0</v>
      </c>
      <c r="U463" s="26" t="str">
        <f aca="false">IF(OR('La Mia Rosa'!$O$12="",$D463&lt;&gt;""),"",IF($F463&lt;='La Mia Rosa'!$O$12*'Parametri Modello'!$B$24,"OK",IF($F463&lt;='La Mia Rosa'!$O$12*'Parametri Modello'!$B$25,"Attenzione","Rischio Alto")))</f>
        <v>OK</v>
      </c>
      <c r="V463" s="26" t="n">
        <f aca="false">IFERROR(COUNTIFS($B$2:$B$492,$B463,$O$2:$O$492,"&gt;"&amp;$O463)+1,"")</f>
        <v>26</v>
      </c>
      <c r="W463" s="21" t="n">
        <f aca="false">'Info Lega'!$B$4-SUMIFS($M$2:$M$492,$D$2:$D$492,'Info Lega'!$B$28)</f>
        <v>1000</v>
      </c>
      <c r="X463" s="21" t="n">
        <f aca="false">('Info Lega'!$B$5-COUNTIFS($D$2:$D$492,'Info Lega'!$B$28,$B$2:$B$492,"P"))+('Info Lega'!$B$6-COUNTIFS($D$2:$D$492,'Info Lega'!$B$28,$B$2:$B$492,"D"))+('Info Lega'!$B$7-COUNTIFS($D$2:$D$492,'Info Lega'!$B$28,$B$2:$B$492,"C"))+('Info Lega'!$B$8-COUNTIFS($D$2:$D$492,'Info Lega'!$B$28,$B$2:$B$492,"A"))</f>
        <v>25</v>
      </c>
      <c r="Y463" s="21" t="n">
        <f aca="false">X463*'Parametri Modello'!$B$30</f>
        <v>25</v>
      </c>
      <c r="Z463" s="21" t="n">
        <f aca="false">MAX(0,W463-Y463)</f>
        <v>975</v>
      </c>
      <c r="AA463" s="21" t="n">
        <f aca="false">MIN(F463,Z463)</f>
        <v>0</v>
      </c>
      <c r="AB463" s="21"/>
      <c r="AC463" s="21" t="str">
        <f aca="false">IF(AB463="","",IF(AB463&gt;AA463,"PASS",IF(AB463&lt;=AA463*0.85,"BID","ATTENZIONE")))</f>
        <v/>
      </c>
      <c r="AD463" s="31" t="n">
        <f aca="false">IF(I463="","",ROUND(100*(1-EXP(-I463/30)),0))</f>
        <v>0</v>
      </c>
      <c r="AE463" s="7" t="str">
        <f aca="false">IFERROR(INDEX('Stato Asta'!$G$9:$G$12,MATCH($B463,'Stato Asta'!$A$9:$A$12,0)),"")</f>
        <v>🟡 Attesa rischiosa</v>
      </c>
    </row>
    <row r="464" customFormat="false" ht="14.25" hidden="false" customHeight="true" outlineLevel="0" collapsed="false">
      <c r="A464" s="21" t="n">
        <v>6662</v>
      </c>
      <c r="B464" s="21" t="s">
        <v>43</v>
      </c>
      <c r="C464" s="21" t="s">
        <v>178</v>
      </c>
      <c r="E464" s="26" t="str">
        <f aca="false">IF(COUNTIF('Info Strategia'!$D$2:$D$51,$C464)&gt;0,"SI","NO")</f>
        <v>NO</v>
      </c>
      <c r="F464" s="27" t="n">
        <f aca="false">IFERROR(ROUND(($G464+($H464-$G464)*'Info Strategia'!$B$6)*(1+IF($E464="SI",'Parametri Modello'!$B$7*'Info Strategia'!$B$6,0)),0),"")</f>
        <v>0</v>
      </c>
      <c r="G464" s="27" t="n">
        <f aca="false">IFERROR(ROUND(MAX(1,(IF($V464&lt;=INDEX('Parametri Modello'!$C$57:$C$60,MATCH($B464,'Parametri Modello'!$A$57:$A$60,0)),IF(INDEX('Parametri Modello'!$E$57:$E$60,MATCH($B464,'Parametri Modello'!$A$57:$A$60,0))=0,0,($O464/INDEX('Parametri Modello'!$E$57:$E$60,MATCH($B464,'Parametri Modello'!$A$57:$A$60,0)))*(INDEX('Parametri Modello'!$D$57:$D$60,MATCH($B464,'Parametri Modello'!$A$57:$A$60,0))*(INDEX('Parametri Modello'!$B$50:$B$53,MATCH($B464,'Parametri Modello'!$A$50:$A$53,0))*'Parametri Modello'!$B$44))),IF(INDEX('Parametri Modello'!$F$57:$F$60,MATCH($B464,'Parametri Modello'!$A$57:$A$60,0))=0,0,($O464/INDEX('Parametri Modello'!$F$57:$F$60,MATCH($B464,'Parametri Modello'!$A$57:$A$60,0)))*((1-INDEX('Parametri Modello'!$D$57:$D$60,MATCH($B464,'Parametri Modello'!$A$57:$A$60,0)))*(INDEX('Parametri Modello'!$B$50:$B$53,MATCH($B464,'Parametri Modello'!$A$50:$A$53,0))*'Parametri Modello'!$B$44))))*(1+IF(IF($B464="D",'Info Lega'!$B$25,IF($B464="C",'Info Lega'!$B$26,"No"))="Si",'Parametri Modello'!$B$5,0))*(1+MAX(-0.25,MIN(0.25,IF(OR($T464="",$I464="",$I464=0,INDEX('Parametri Modello'!$B$19:$B$22,MATCH($B464,'Parametri Modello'!$A$19:$A$22,0))="",INDEX('Parametri Modello'!$B$19:$B$22,MATCH($B464,'Parametri Modello'!$A$19:$A$22,0))=0),0,(($T464-INDEX('Parametri Modello'!$B$19:$B$22,MATCH($B464,'Parametri Modello'!$A$19:$A$22,0)))/INDEX('Parametri Modello'!$B$19:$B$22,MATCH($B464,'Parametri Modello'!$A$19:$A$22,0)))*'Parametri Modello'!$B$9))))*(1+IF('Parametri Modello'!$B$27="Si",MAX(-'Parametri Modello'!$B$28,MIN('Parametri Modello'!$B$28*1.5,IF(OR(INDEX('Parametri Modello'!$F$32:$F$35,MATCH($B464,'Parametri Modello'!$A$32:$A$35,0))="",INDEX('Parametri Modello'!$F$32:$F$35,MATCH($B464,'Parametri Modello'!$A$32:$A$35,0))=0),0,(1/INDEX('Parametri Modello'!$F$32:$F$35,MATCH($B464,'Parametri Modello'!$A$32:$A$35,0))-1)*'Parametri Modello'!$B$28))),0)))*(1-INDEX('Parametri Modello'!$B$12:$B$15,MATCH($B464,'Parametri Modello'!$A$12:$A$15,0)))),0),"")</f>
        <v>1</v>
      </c>
      <c r="H464" s="27" t="n">
        <f aca="false">IFERROR(ROUND((IF($V464&lt;=INDEX('Parametri Modello'!$C$57:$C$60,MATCH($B464,'Parametri Modello'!$A$57:$A$60,0)),IF(INDEX('Parametri Modello'!$E$57:$E$60,MATCH($B464,'Parametri Modello'!$A$57:$A$60,0))=0,0,($O464/INDEX('Parametri Modello'!$E$57:$E$60,MATCH($B464,'Parametri Modello'!$A$57:$A$60,0)))*(INDEX('Parametri Modello'!$D$57:$D$60,MATCH($B464,'Parametri Modello'!$A$57:$A$60,0))*(INDEX('Parametri Modello'!$B$50:$B$53,MATCH($B464,'Parametri Modello'!$A$50:$A$53,0))*'Parametri Modello'!$B$44))),IF(INDEX('Parametri Modello'!$F$57:$F$60,MATCH($B464,'Parametri Modello'!$A$57:$A$60,0))=0,0,($O464/INDEX('Parametri Modello'!$F$57:$F$60,MATCH($B464,'Parametri Modello'!$A$57:$A$60,0)))*((1-INDEX('Parametri Modello'!$D$57:$D$60,MATCH($B464,'Parametri Modello'!$A$57:$A$60,0)))*(INDEX('Parametri Modello'!$B$50:$B$53,MATCH($B464,'Parametri Modello'!$A$50:$A$53,0))*'Parametri Modello'!$B$44))))*(1+IF(IF($B464="D",'Info Lega'!$B$25,IF($B464="C",'Info Lega'!$B$26,"No"))="Si",'Parametri Modello'!$B$5,0))*(1+MAX(-0.25,MIN(0.25,IF(OR($T464="",$I464="",$I464=0,INDEX('Parametri Modello'!$B$19:$B$22,MATCH($B464,'Parametri Modello'!$A$19:$A$22,0))="",INDEX('Parametri Modello'!$B$19:$B$22,MATCH($B464,'Parametri Modello'!$A$19:$A$22,0))=0),0,(($T464-INDEX('Parametri Modello'!$B$19:$B$22,MATCH($B464,'Parametri Modello'!$A$19:$A$22,0)))/INDEX('Parametri Modello'!$B$19:$B$22,MATCH($B464,'Parametri Modello'!$A$19:$A$22,0)))*'Parametri Modello'!$B$9))))*(1+IF('Parametri Modello'!$B$27="Si",MAX(-'Parametri Modello'!$B$28,MIN('Parametri Modello'!$B$28*1.5,IF(OR(INDEX('Parametri Modello'!$F$32:$F$35,MATCH($B464,'Parametri Modello'!$A$32:$A$35,0))="",INDEX('Parametri Modello'!$F$32:$F$35,MATCH($B464,'Parametri Modello'!$A$32:$A$35,0))=0),0,(1/INDEX('Parametri Modello'!$F$32:$F$35,MATCH($B464,'Parametri Modello'!$A$32:$A$35,0))-1)*'Parametri Modello'!$B$28))),0)))*(1+INDEX('Parametri Modello'!$B$12:$B$15,MATCH($B464,'Parametri Modello'!$A$12:$A$15,0))),0),"")</f>
        <v>0</v>
      </c>
      <c r="I464" s="26" t="n">
        <f aca="false">IFERROR(INDEX('Input Statistiche 2025_26'!$F$3:$F$665,MATCH($A464,'Input Statistiche 2025_26'!$A$3:$A$665,0)),"")</f>
        <v>17</v>
      </c>
      <c r="J464" s="26" t="n">
        <f aca="false">IFERROR(IF($I464="","",MAX(0,38-$I464)),"")</f>
        <v>21</v>
      </c>
      <c r="K464" s="26" t="n">
        <f aca="false">IFERROR(INDEX('Input Statistiche 2025_26'!$I$3:$I$665,MATCH($A464,'Input Statistiche 2025_26'!$A$3:$A$665,0)),"")</f>
        <v>0</v>
      </c>
      <c r="L464" s="26" t="n">
        <f aca="false">IFERROR(INDEX('Input Statistiche 2025_26'!$O$3:$O$665,MATCH($A464,'Input Statistiche 2025_26'!$A$3:$A$665,0)),"")</f>
        <v>0</v>
      </c>
      <c r="M464" s="28"/>
      <c r="N464" s="27" t="n">
        <f aca="false">IFERROR(INDEX('Input Giocatori 2026_27'!$E$3:$E$493,MATCH($A464,'Input Giocatori 2026_27'!$A$3:$A$493,0)),"")</f>
        <v>1</v>
      </c>
      <c r="O464" s="27" t="n">
        <f aca="false">IFERROR(INDEX('Input Giocatori 2026_27'!$G$3:$G$493,MATCH($A464,'Input Giocatori 2026_27'!$A$3:$A$493,0)),"")</f>
        <v>1</v>
      </c>
      <c r="P464" s="26" t="str">
        <f aca="false">IFERROR(IF($O464="","",IF((1-(COUNTIFS($B$2:$B$492,$B464,$O$2:$O$492,"&gt;"&amp;$O464)+1-1)/COUNTIF($B$2:$B$492,$B464))&gt;=0.85,"Top",IF((1-(COUNTIFS($B$2:$B$492,$B464,$O$2:$O$492,"&gt;"&amp;$O464)+1-1)/COUNTIF($B$2:$B$492,$B464))&gt;=0.6,"Buono",IF((1-(COUNTIFS($B$2:$B$492,$B464,$O$2:$O$492,"&gt;"&amp;$O464)+1-1)/COUNTIF($B$2:$B$492,$B464))&gt;=0.3,"Nella Media","Scommessa/Riserva")))),"")</f>
        <v>Nella Media</v>
      </c>
      <c r="Q464" s="29" t="n">
        <f aca="false">IF($D464="",COUNTIF($D$2:$D464,""),"")</f>
        <v>463</v>
      </c>
      <c r="R464" s="29" t="str">
        <f aca="false">IF($D464='Info Lega'!$B$28,COUNTIFS($D$2:$D464,'Info Lega'!$B$28),"")</f>
        <v/>
      </c>
      <c r="S464" s="30" t="n">
        <f aca="false">IFERROR(INDEX('Input Statistiche 2025_26'!$G$3:$G$665,MATCH($A464,'Input Statistiche 2025_26'!$A$3:$A$665,0)),"")</f>
        <v>6.18</v>
      </c>
      <c r="T464" s="30" t="n">
        <f aca="false">IFERROR(INDEX('Input Statistiche 2025_26'!$H$3:$H$665,MATCH($A464,'Input Statistiche 2025_26'!$A$3:$A$665,0)),"")</f>
        <v>5.09</v>
      </c>
      <c r="U464" s="26" t="str">
        <f aca="false">IF(OR('La Mia Rosa'!$O$12="",$D464&lt;&gt;""),"",IF($F464&lt;='La Mia Rosa'!$O$12*'Parametri Modello'!$B$24,"OK",IF($F464&lt;='La Mia Rosa'!$O$12*'Parametri Modello'!$B$25,"Attenzione","Rischio Alto")))</f>
        <v>OK</v>
      </c>
      <c r="V464" s="26" t="n">
        <f aca="false">IFERROR(COUNTIFS($B$2:$B$492,$B464,$O$2:$O$492,"&gt;"&amp;$O464)+1,"")</f>
        <v>26</v>
      </c>
      <c r="W464" s="21" t="n">
        <f aca="false">'Info Lega'!$B$4-SUMIFS($M$2:$M$492,$D$2:$D$492,'Info Lega'!$B$28)</f>
        <v>1000</v>
      </c>
      <c r="X464" s="21" t="n">
        <f aca="false">('Info Lega'!$B$5-COUNTIFS($D$2:$D$492,'Info Lega'!$B$28,$B$2:$B$492,"P"))+('Info Lega'!$B$6-COUNTIFS($D$2:$D$492,'Info Lega'!$B$28,$B$2:$B$492,"D"))+('Info Lega'!$B$7-COUNTIFS($D$2:$D$492,'Info Lega'!$B$28,$B$2:$B$492,"C"))+('Info Lega'!$B$8-COUNTIFS($D$2:$D$492,'Info Lega'!$B$28,$B$2:$B$492,"A"))</f>
        <v>25</v>
      </c>
      <c r="Y464" s="21" t="n">
        <f aca="false">X464*'Parametri Modello'!$B$30</f>
        <v>25</v>
      </c>
      <c r="Z464" s="21" t="n">
        <f aca="false">MAX(0,W464-Y464)</f>
        <v>975</v>
      </c>
      <c r="AA464" s="21" t="n">
        <f aca="false">MIN(F464,Z464)</f>
        <v>0</v>
      </c>
      <c r="AB464" s="21"/>
      <c r="AC464" s="21" t="str">
        <f aca="false">IF(AB464="","",IF(AB464&gt;AA464,"PASS",IF(AB464&lt;=AA464*0.85,"BID","ATTENZIONE")))</f>
        <v/>
      </c>
      <c r="AD464" s="31" t="n">
        <f aca="false">IF(I464="","",ROUND(100*(1-EXP(-I464/30)),0))</f>
        <v>43</v>
      </c>
      <c r="AE464" s="7" t="str">
        <f aca="false">IFERROR(INDEX('Stato Asta'!$G$9:$G$12,MATCH($B464,'Stato Asta'!$A$9:$A$12,0)),"")</f>
        <v>🟡 Attesa rischiosa</v>
      </c>
    </row>
    <row r="465" customFormat="false" ht="14.25" hidden="false" customHeight="true" outlineLevel="0" collapsed="false">
      <c r="A465" s="21" t="n">
        <v>7048</v>
      </c>
      <c r="B465" s="21" t="s">
        <v>43</v>
      </c>
      <c r="C465" s="21" t="s">
        <v>179</v>
      </c>
      <c r="E465" s="26" t="str">
        <f aca="false">IF(COUNTIF('Info Strategia'!$D$2:$D$51,$C465)&gt;0,"SI","NO")</f>
        <v>NO</v>
      </c>
      <c r="F465" s="27" t="n">
        <f aca="false">IFERROR(ROUND(($G465+($H465-$G465)*'Info Strategia'!$B$6)*(1+IF($E465="SI",'Parametri Modello'!$B$7*'Info Strategia'!$B$6,0)),0),"")</f>
        <v>0</v>
      </c>
      <c r="G465" s="27" t="n">
        <f aca="false">IFERROR(ROUND(MAX(1,(IF($V465&lt;=INDEX('Parametri Modello'!$C$57:$C$60,MATCH($B465,'Parametri Modello'!$A$57:$A$60,0)),IF(INDEX('Parametri Modello'!$E$57:$E$60,MATCH($B465,'Parametri Modello'!$A$57:$A$60,0))=0,0,($O465/INDEX('Parametri Modello'!$E$57:$E$60,MATCH($B465,'Parametri Modello'!$A$57:$A$60,0)))*(INDEX('Parametri Modello'!$D$57:$D$60,MATCH($B465,'Parametri Modello'!$A$57:$A$60,0))*(INDEX('Parametri Modello'!$B$50:$B$53,MATCH($B465,'Parametri Modello'!$A$50:$A$53,0))*'Parametri Modello'!$B$44))),IF(INDEX('Parametri Modello'!$F$57:$F$60,MATCH($B465,'Parametri Modello'!$A$57:$A$60,0))=0,0,($O465/INDEX('Parametri Modello'!$F$57:$F$60,MATCH($B465,'Parametri Modello'!$A$57:$A$60,0)))*((1-INDEX('Parametri Modello'!$D$57:$D$60,MATCH($B465,'Parametri Modello'!$A$57:$A$60,0)))*(INDEX('Parametri Modello'!$B$50:$B$53,MATCH($B465,'Parametri Modello'!$A$50:$A$53,0))*'Parametri Modello'!$B$44))))*(1+IF(IF($B465="D",'Info Lega'!$B$25,IF($B465="C",'Info Lega'!$B$26,"No"))="Si",'Parametri Modello'!$B$5,0))*(1+MAX(-0.25,MIN(0.25,IF(OR($T465="",$I465="",$I465=0,INDEX('Parametri Modello'!$B$19:$B$22,MATCH($B465,'Parametri Modello'!$A$19:$A$22,0))="",INDEX('Parametri Modello'!$B$19:$B$22,MATCH($B465,'Parametri Modello'!$A$19:$A$22,0))=0),0,(($T465-INDEX('Parametri Modello'!$B$19:$B$22,MATCH($B465,'Parametri Modello'!$A$19:$A$22,0)))/INDEX('Parametri Modello'!$B$19:$B$22,MATCH($B465,'Parametri Modello'!$A$19:$A$22,0)))*'Parametri Modello'!$B$9))))*(1+IF('Parametri Modello'!$B$27="Si",MAX(-'Parametri Modello'!$B$28,MIN('Parametri Modello'!$B$28*1.5,IF(OR(INDEX('Parametri Modello'!$F$32:$F$35,MATCH($B465,'Parametri Modello'!$A$32:$A$35,0))="",INDEX('Parametri Modello'!$F$32:$F$35,MATCH($B465,'Parametri Modello'!$A$32:$A$35,0))=0),0,(1/INDEX('Parametri Modello'!$F$32:$F$35,MATCH($B465,'Parametri Modello'!$A$32:$A$35,0))-1)*'Parametri Modello'!$B$28))),0)))*(1-INDEX('Parametri Modello'!$B$12:$B$15,MATCH($B465,'Parametri Modello'!$A$12:$A$15,0)))),0),"")</f>
        <v>1</v>
      </c>
      <c r="H465" s="27" t="n">
        <f aca="false">IFERROR(ROUND((IF($V465&lt;=INDEX('Parametri Modello'!$C$57:$C$60,MATCH($B465,'Parametri Modello'!$A$57:$A$60,0)),IF(INDEX('Parametri Modello'!$E$57:$E$60,MATCH($B465,'Parametri Modello'!$A$57:$A$60,0))=0,0,($O465/INDEX('Parametri Modello'!$E$57:$E$60,MATCH($B465,'Parametri Modello'!$A$57:$A$60,0)))*(INDEX('Parametri Modello'!$D$57:$D$60,MATCH($B465,'Parametri Modello'!$A$57:$A$60,0))*(INDEX('Parametri Modello'!$B$50:$B$53,MATCH($B465,'Parametri Modello'!$A$50:$A$53,0))*'Parametri Modello'!$B$44))),IF(INDEX('Parametri Modello'!$F$57:$F$60,MATCH($B465,'Parametri Modello'!$A$57:$A$60,0))=0,0,($O465/INDEX('Parametri Modello'!$F$57:$F$60,MATCH($B465,'Parametri Modello'!$A$57:$A$60,0)))*((1-INDEX('Parametri Modello'!$D$57:$D$60,MATCH($B465,'Parametri Modello'!$A$57:$A$60,0)))*(INDEX('Parametri Modello'!$B$50:$B$53,MATCH($B465,'Parametri Modello'!$A$50:$A$53,0))*'Parametri Modello'!$B$44))))*(1+IF(IF($B465="D",'Info Lega'!$B$25,IF($B465="C",'Info Lega'!$B$26,"No"))="Si",'Parametri Modello'!$B$5,0))*(1+MAX(-0.25,MIN(0.25,IF(OR($T465="",$I465="",$I465=0,INDEX('Parametri Modello'!$B$19:$B$22,MATCH($B465,'Parametri Modello'!$A$19:$A$22,0))="",INDEX('Parametri Modello'!$B$19:$B$22,MATCH($B465,'Parametri Modello'!$A$19:$A$22,0))=0),0,(($T465-INDEX('Parametri Modello'!$B$19:$B$22,MATCH($B465,'Parametri Modello'!$A$19:$A$22,0)))/INDEX('Parametri Modello'!$B$19:$B$22,MATCH($B465,'Parametri Modello'!$A$19:$A$22,0)))*'Parametri Modello'!$B$9))))*(1+IF('Parametri Modello'!$B$27="Si",MAX(-'Parametri Modello'!$B$28,MIN('Parametri Modello'!$B$28*1.5,IF(OR(INDEX('Parametri Modello'!$F$32:$F$35,MATCH($B465,'Parametri Modello'!$A$32:$A$35,0))="",INDEX('Parametri Modello'!$F$32:$F$35,MATCH($B465,'Parametri Modello'!$A$32:$A$35,0))=0),0,(1/INDEX('Parametri Modello'!$F$32:$F$35,MATCH($B465,'Parametri Modello'!$A$32:$A$35,0))-1)*'Parametri Modello'!$B$28))),0)))*(1+INDEX('Parametri Modello'!$B$12:$B$15,MATCH($B465,'Parametri Modello'!$A$12:$A$15,0))),0),"")</f>
        <v>0</v>
      </c>
      <c r="I465" s="26" t="str">
        <f aca="false">IFERROR(INDEX('Input Statistiche 2025_26'!$F$3:$F$665,MATCH($A465,'Input Statistiche 2025_26'!$A$3:$A$665,0)),"")</f>
        <v/>
      </c>
      <c r="J465" s="26" t="str">
        <f aca="false">IFERROR(IF($I465="","",MAX(0,38-$I465)),"")</f>
        <v/>
      </c>
      <c r="K465" s="26" t="str">
        <f aca="false">IFERROR(INDEX('Input Statistiche 2025_26'!$I$3:$I$665,MATCH($A465,'Input Statistiche 2025_26'!$A$3:$A$665,0)),"")</f>
        <v/>
      </c>
      <c r="L465" s="26" t="str">
        <f aca="false">IFERROR(INDEX('Input Statistiche 2025_26'!$O$3:$O$665,MATCH($A465,'Input Statistiche 2025_26'!$A$3:$A$665,0)),"")</f>
        <v/>
      </c>
      <c r="M465" s="28"/>
      <c r="N465" s="27" t="n">
        <f aca="false">IFERROR(INDEX('Input Giocatori 2026_27'!$E$3:$E$493,MATCH($A465,'Input Giocatori 2026_27'!$A$3:$A$493,0)),"")</f>
        <v>1</v>
      </c>
      <c r="O465" s="27" t="n">
        <f aca="false">IFERROR(INDEX('Input Giocatori 2026_27'!$G$3:$G$493,MATCH($A465,'Input Giocatori 2026_27'!$A$3:$A$493,0)),"")</f>
        <v>1</v>
      </c>
      <c r="P465" s="26" t="str">
        <f aca="false">IFERROR(IF($O465="","",IF((1-(COUNTIFS($B$2:$B$492,$B465,$O$2:$O$492,"&gt;"&amp;$O465)+1-1)/COUNTIF($B$2:$B$492,$B465))&gt;=0.85,"Top",IF((1-(COUNTIFS($B$2:$B$492,$B465,$O$2:$O$492,"&gt;"&amp;$O465)+1-1)/COUNTIF($B$2:$B$492,$B465))&gt;=0.6,"Buono",IF((1-(COUNTIFS($B$2:$B$492,$B465,$O$2:$O$492,"&gt;"&amp;$O465)+1-1)/COUNTIF($B$2:$B$492,$B465))&gt;=0.3,"Nella Media","Scommessa/Riserva")))),"")</f>
        <v>Nella Media</v>
      </c>
      <c r="Q465" s="29" t="n">
        <f aca="false">IF($D465="",COUNTIF($D$2:$D465,""),"")</f>
        <v>464</v>
      </c>
      <c r="R465" s="29" t="str">
        <f aca="false">IF($D465='Info Lega'!$B$28,COUNTIFS($D$2:$D465,'Info Lega'!$B$28),"")</f>
        <v/>
      </c>
      <c r="S465" s="30" t="str">
        <f aca="false">IFERROR(INDEX('Input Statistiche 2025_26'!$G$3:$G$665,MATCH($A465,'Input Statistiche 2025_26'!$A$3:$A$665,0)),"")</f>
        <v/>
      </c>
      <c r="T465" s="30" t="str">
        <f aca="false">IFERROR(INDEX('Input Statistiche 2025_26'!$H$3:$H$665,MATCH($A465,'Input Statistiche 2025_26'!$A$3:$A$665,0)),"")</f>
        <v/>
      </c>
      <c r="U465" s="26" t="str">
        <f aca="false">IF(OR('La Mia Rosa'!$O$12="",$D465&lt;&gt;""),"",IF($F465&lt;='La Mia Rosa'!$O$12*'Parametri Modello'!$B$24,"OK",IF($F465&lt;='La Mia Rosa'!$O$12*'Parametri Modello'!$B$25,"Attenzione","Rischio Alto")))</f>
        <v>OK</v>
      </c>
      <c r="V465" s="26" t="n">
        <f aca="false">IFERROR(COUNTIFS($B$2:$B$492,$B465,$O$2:$O$492,"&gt;"&amp;$O465)+1,"")</f>
        <v>26</v>
      </c>
      <c r="W465" s="21" t="n">
        <f aca="false">'Info Lega'!$B$4-SUMIFS($M$2:$M$492,$D$2:$D$492,'Info Lega'!$B$28)</f>
        <v>1000</v>
      </c>
      <c r="X465" s="21" t="n">
        <f aca="false">('Info Lega'!$B$5-COUNTIFS($D$2:$D$492,'Info Lega'!$B$28,$B$2:$B$492,"P"))+('Info Lega'!$B$6-COUNTIFS($D$2:$D$492,'Info Lega'!$B$28,$B$2:$B$492,"D"))+('Info Lega'!$B$7-COUNTIFS($D$2:$D$492,'Info Lega'!$B$28,$B$2:$B$492,"C"))+('Info Lega'!$B$8-COUNTIFS($D$2:$D$492,'Info Lega'!$B$28,$B$2:$B$492,"A"))</f>
        <v>25</v>
      </c>
      <c r="Y465" s="21" t="n">
        <f aca="false">X465*'Parametri Modello'!$B$30</f>
        <v>25</v>
      </c>
      <c r="Z465" s="21" t="n">
        <f aca="false">MAX(0,W465-Y465)</f>
        <v>975</v>
      </c>
      <c r="AA465" s="21" t="n">
        <f aca="false">MIN(F465,Z465)</f>
        <v>0</v>
      </c>
      <c r="AB465" s="21"/>
      <c r="AC465" s="21" t="str">
        <f aca="false">IF(AB465="","",IF(AB465&gt;AA465,"PASS",IF(AB465&lt;=AA465*0.85,"BID","ATTENZIONE")))</f>
        <v/>
      </c>
      <c r="AD465" s="31" t="str">
        <f aca="false">IF(I465="","",ROUND(100*(1-EXP(-I465/30)),0))</f>
        <v/>
      </c>
      <c r="AE465" s="7" t="str">
        <f aca="false">IFERROR(INDEX('Stato Asta'!$G$9:$G$12,MATCH($B465,'Stato Asta'!$A$9:$A$12,0)),"")</f>
        <v>🟡 Attesa rischiosa</v>
      </c>
    </row>
    <row r="466" customFormat="false" ht="14.25" hidden="false" customHeight="true" outlineLevel="0" collapsed="false">
      <c r="A466" s="21" t="n">
        <v>610</v>
      </c>
      <c r="B466" s="21" t="s">
        <v>43</v>
      </c>
      <c r="C466" s="21" t="s">
        <v>180</v>
      </c>
      <c r="E466" s="26" t="str">
        <f aca="false">IF(COUNTIF('Info Strategia'!$D$2:$D$51,$C466)&gt;0,"SI","NO")</f>
        <v>NO</v>
      </c>
      <c r="F466" s="27" t="n">
        <f aca="false">IFERROR(ROUND(($G466+($H466-$G466)*'Info Strategia'!$B$6)*(1+IF($E466="SI",'Parametri Modello'!$B$7*'Info Strategia'!$B$6,0)),0),"")</f>
        <v>0</v>
      </c>
      <c r="G466" s="27" t="n">
        <f aca="false">IFERROR(ROUND(MAX(1,(IF($V466&lt;=INDEX('Parametri Modello'!$C$57:$C$60,MATCH($B466,'Parametri Modello'!$A$57:$A$60,0)),IF(INDEX('Parametri Modello'!$E$57:$E$60,MATCH($B466,'Parametri Modello'!$A$57:$A$60,0))=0,0,($O466/INDEX('Parametri Modello'!$E$57:$E$60,MATCH($B466,'Parametri Modello'!$A$57:$A$60,0)))*(INDEX('Parametri Modello'!$D$57:$D$60,MATCH($B466,'Parametri Modello'!$A$57:$A$60,0))*(INDEX('Parametri Modello'!$B$50:$B$53,MATCH($B466,'Parametri Modello'!$A$50:$A$53,0))*'Parametri Modello'!$B$44))),IF(INDEX('Parametri Modello'!$F$57:$F$60,MATCH($B466,'Parametri Modello'!$A$57:$A$60,0))=0,0,($O466/INDEX('Parametri Modello'!$F$57:$F$60,MATCH($B466,'Parametri Modello'!$A$57:$A$60,0)))*((1-INDEX('Parametri Modello'!$D$57:$D$60,MATCH($B466,'Parametri Modello'!$A$57:$A$60,0)))*(INDEX('Parametri Modello'!$B$50:$B$53,MATCH($B466,'Parametri Modello'!$A$50:$A$53,0))*'Parametri Modello'!$B$44))))*(1+IF(IF($B466="D",'Info Lega'!$B$25,IF($B466="C",'Info Lega'!$B$26,"No"))="Si",'Parametri Modello'!$B$5,0))*(1+MAX(-0.25,MIN(0.25,IF(OR($T466="",$I466="",$I466=0,INDEX('Parametri Modello'!$B$19:$B$22,MATCH($B466,'Parametri Modello'!$A$19:$A$22,0))="",INDEX('Parametri Modello'!$B$19:$B$22,MATCH($B466,'Parametri Modello'!$A$19:$A$22,0))=0),0,(($T466-INDEX('Parametri Modello'!$B$19:$B$22,MATCH($B466,'Parametri Modello'!$A$19:$A$22,0)))/INDEX('Parametri Modello'!$B$19:$B$22,MATCH($B466,'Parametri Modello'!$A$19:$A$22,0)))*'Parametri Modello'!$B$9))))*(1+IF('Parametri Modello'!$B$27="Si",MAX(-'Parametri Modello'!$B$28,MIN('Parametri Modello'!$B$28*1.5,IF(OR(INDEX('Parametri Modello'!$F$32:$F$35,MATCH($B466,'Parametri Modello'!$A$32:$A$35,0))="",INDEX('Parametri Modello'!$F$32:$F$35,MATCH($B466,'Parametri Modello'!$A$32:$A$35,0))=0),0,(1/INDEX('Parametri Modello'!$F$32:$F$35,MATCH($B466,'Parametri Modello'!$A$32:$A$35,0))-1)*'Parametri Modello'!$B$28))),0)))*(1-INDEX('Parametri Modello'!$B$12:$B$15,MATCH($B466,'Parametri Modello'!$A$12:$A$15,0)))),0),"")</f>
        <v>1</v>
      </c>
      <c r="H466" s="27" t="n">
        <f aca="false">IFERROR(ROUND((IF($V466&lt;=INDEX('Parametri Modello'!$C$57:$C$60,MATCH($B466,'Parametri Modello'!$A$57:$A$60,0)),IF(INDEX('Parametri Modello'!$E$57:$E$60,MATCH($B466,'Parametri Modello'!$A$57:$A$60,0))=0,0,($O466/INDEX('Parametri Modello'!$E$57:$E$60,MATCH($B466,'Parametri Modello'!$A$57:$A$60,0)))*(INDEX('Parametri Modello'!$D$57:$D$60,MATCH($B466,'Parametri Modello'!$A$57:$A$60,0))*(INDEX('Parametri Modello'!$B$50:$B$53,MATCH($B466,'Parametri Modello'!$A$50:$A$53,0))*'Parametri Modello'!$B$44))),IF(INDEX('Parametri Modello'!$F$57:$F$60,MATCH($B466,'Parametri Modello'!$A$57:$A$60,0))=0,0,($O466/INDEX('Parametri Modello'!$F$57:$F$60,MATCH($B466,'Parametri Modello'!$A$57:$A$60,0)))*((1-INDEX('Parametri Modello'!$D$57:$D$60,MATCH($B466,'Parametri Modello'!$A$57:$A$60,0)))*(INDEX('Parametri Modello'!$B$50:$B$53,MATCH($B466,'Parametri Modello'!$A$50:$A$53,0))*'Parametri Modello'!$B$44))))*(1+IF(IF($B466="D",'Info Lega'!$B$25,IF($B466="C",'Info Lega'!$B$26,"No"))="Si",'Parametri Modello'!$B$5,0))*(1+MAX(-0.25,MIN(0.25,IF(OR($T466="",$I466="",$I466=0,INDEX('Parametri Modello'!$B$19:$B$22,MATCH($B466,'Parametri Modello'!$A$19:$A$22,0))="",INDEX('Parametri Modello'!$B$19:$B$22,MATCH($B466,'Parametri Modello'!$A$19:$A$22,0))=0),0,(($T466-INDEX('Parametri Modello'!$B$19:$B$22,MATCH($B466,'Parametri Modello'!$A$19:$A$22,0)))/INDEX('Parametri Modello'!$B$19:$B$22,MATCH($B466,'Parametri Modello'!$A$19:$A$22,0)))*'Parametri Modello'!$B$9))))*(1+IF('Parametri Modello'!$B$27="Si",MAX(-'Parametri Modello'!$B$28,MIN('Parametri Modello'!$B$28*1.5,IF(OR(INDEX('Parametri Modello'!$F$32:$F$35,MATCH($B466,'Parametri Modello'!$A$32:$A$35,0))="",INDEX('Parametri Modello'!$F$32:$F$35,MATCH($B466,'Parametri Modello'!$A$32:$A$35,0))=0),0,(1/INDEX('Parametri Modello'!$F$32:$F$35,MATCH($B466,'Parametri Modello'!$A$32:$A$35,0))-1)*'Parametri Modello'!$B$28))),0)))*(1+INDEX('Parametri Modello'!$B$12:$B$15,MATCH($B466,'Parametri Modello'!$A$12:$A$15,0))),0),"")</f>
        <v>0</v>
      </c>
      <c r="I466" s="26" t="n">
        <f aca="false">IFERROR(INDEX('Input Statistiche 2025_26'!$F$3:$F$665,MATCH($A466,'Input Statistiche 2025_26'!$A$3:$A$665,0)),"")</f>
        <v>0</v>
      </c>
      <c r="J466" s="26" t="n">
        <f aca="false">IFERROR(IF($I466="","",MAX(0,38-$I466)),"")</f>
        <v>38</v>
      </c>
      <c r="K466" s="26" t="n">
        <f aca="false">IFERROR(INDEX('Input Statistiche 2025_26'!$I$3:$I$665,MATCH($A466,'Input Statistiche 2025_26'!$A$3:$A$665,0)),"")</f>
        <v>0</v>
      </c>
      <c r="L466" s="26" t="n">
        <f aca="false">IFERROR(INDEX('Input Statistiche 2025_26'!$O$3:$O$665,MATCH($A466,'Input Statistiche 2025_26'!$A$3:$A$665,0)),"")</f>
        <v>0</v>
      </c>
      <c r="M466" s="28"/>
      <c r="N466" s="27" t="n">
        <f aca="false">IFERROR(INDEX('Input Giocatori 2026_27'!$E$3:$E$493,MATCH($A466,'Input Giocatori 2026_27'!$A$3:$A$493,0)),"")</f>
        <v>1</v>
      </c>
      <c r="O466" s="27" t="n">
        <f aca="false">IFERROR(INDEX('Input Giocatori 2026_27'!$G$3:$G$493,MATCH($A466,'Input Giocatori 2026_27'!$A$3:$A$493,0)),"")</f>
        <v>1</v>
      </c>
      <c r="P466" s="26" t="str">
        <f aca="false">IFERROR(IF($O466="","",IF((1-(COUNTIFS($B$2:$B$492,$B466,$O$2:$O$492,"&gt;"&amp;$O466)+1-1)/COUNTIF($B$2:$B$492,$B466))&gt;=0.85,"Top",IF((1-(COUNTIFS($B$2:$B$492,$B466,$O$2:$O$492,"&gt;"&amp;$O466)+1-1)/COUNTIF($B$2:$B$492,$B466))&gt;=0.6,"Buono",IF((1-(COUNTIFS($B$2:$B$492,$B466,$O$2:$O$492,"&gt;"&amp;$O466)+1-1)/COUNTIF($B$2:$B$492,$B466))&gt;=0.3,"Nella Media","Scommessa/Riserva")))),"")</f>
        <v>Nella Media</v>
      </c>
      <c r="Q466" s="29" t="n">
        <f aca="false">IF($D466="",COUNTIF($D$2:$D466,""),"")</f>
        <v>465</v>
      </c>
      <c r="R466" s="29" t="str">
        <f aca="false">IF($D466='Info Lega'!$B$28,COUNTIFS($D$2:$D466,'Info Lega'!$B$28),"")</f>
        <v/>
      </c>
      <c r="S466" s="30" t="n">
        <f aca="false">IFERROR(INDEX('Input Statistiche 2025_26'!$G$3:$G$665,MATCH($A466,'Input Statistiche 2025_26'!$A$3:$A$665,0)),"")</f>
        <v>0</v>
      </c>
      <c r="T466" s="30" t="n">
        <f aca="false">IFERROR(INDEX('Input Statistiche 2025_26'!$H$3:$H$665,MATCH($A466,'Input Statistiche 2025_26'!$A$3:$A$665,0)),"")</f>
        <v>0</v>
      </c>
      <c r="U466" s="26" t="str">
        <f aca="false">IF(OR('La Mia Rosa'!$O$12="",$D466&lt;&gt;""),"",IF($F466&lt;='La Mia Rosa'!$O$12*'Parametri Modello'!$B$24,"OK",IF($F466&lt;='La Mia Rosa'!$O$12*'Parametri Modello'!$B$25,"Attenzione","Rischio Alto")))</f>
        <v>OK</v>
      </c>
      <c r="V466" s="26" t="n">
        <f aca="false">IFERROR(COUNTIFS($B$2:$B$492,$B466,$O$2:$O$492,"&gt;"&amp;$O466)+1,"")</f>
        <v>26</v>
      </c>
      <c r="W466" s="21" t="n">
        <f aca="false">'Info Lega'!$B$4-SUMIFS($M$2:$M$492,$D$2:$D$492,'Info Lega'!$B$28)</f>
        <v>1000</v>
      </c>
      <c r="X466" s="21" t="n">
        <f aca="false">('Info Lega'!$B$5-COUNTIFS($D$2:$D$492,'Info Lega'!$B$28,$B$2:$B$492,"P"))+('Info Lega'!$B$6-COUNTIFS($D$2:$D$492,'Info Lega'!$B$28,$B$2:$B$492,"D"))+('Info Lega'!$B$7-COUNTIFS($D$2:$D$492,'Info Lega'!$B$28,$B$2:$B$492,"C"))+('Info Lega'!$B$8-COUNTIFS($D$2:$D$492,'Info Lega'!$B$28,$B$2:$B$492,"A"))</f>
        <v>25</v>
      </c>
      <c r="Y466" s="21" t="n">
        <f aca="false">X466*'Parametri Modello'!$B$30</f>
        <v>25</v>
      </c>
      <c r="Z466" s="21" t="n">
        <f aca="false">MAX(0,W466-Y466)</f>
        <v>975</v>
      </c>
      <c r="AA466" s="21" t="n">
        <f aca="false">MIN(F466,Z466)</f>
        <v>0</v>
      </c>
      <c r="AB466" s="21"/>
      <c r="AC466" s="21" t="str">
        <f aca="false">IF(AB466="","",IF(AB466&gt;AA466,"PASS",IF(AB466&lt;=AA466*0.85,"BID","ATTENZIONE")))</f>
        <v/>
      </c>
      <c r="AD466" s="31" t="n">
        <f aca="false">IF(I466="","",ROUND(100*(1-EXP(-I466/30)),0))</f>
        <v>0</v>
      </c>
      <c r="AE466" s="7" t="str">
        <f aca="false">IFERROR(INDEX('Stato Asta'!$G$9:$G$12,MATCH($B466,'Stato Asta'!$A$9:$A$12,0)),"")</f>
        <v>🟡 Attesa rischiosa</v>
      </c>
    </row>
    <row r="467" customFormat="false" ht="14.25" hidden="false" customHeight="true" outlineLevel="0" collapsed="false">
      <c r="A467" s="21" t="n">
        <v>4518</v>
      </c>
      <c r="B467" s="21" t="s">
        <v>43</v>
      </c>
      <c r="C467" s="21" t="s">
        <v>181</v>
      </c>
      <c r="E467" s="26" t="str">
        <f aca="false">IF(COUNTIF('Info Strategia'!$D$2:$D$51,$C467)&gt;0,"SI","NO")</f>
        <v>NO</v>
      </c>
      <c r="F467" s="27" t="n">
        <f aca="false">IFERROR(ROUND(($G467+($H467-$G467)*'Info Strategia'!$B$6)*(1+IF($E467="SI",'Parametri Modello'!$B$7*'Info Strategia'!$B$6,0)),0),"")</f>
        <v>0</v>
      </c>
      <c r="G467" s="27" t="n">
        <f aca="false">IFERROR(ROUND(MAX(1,(IF($V467&lt;=INDEX('Parametri Modello'!$C$57:$C$60,MATCH($B467,'Parametri Modello'!$A$57:$A$60,0)),IF(INDEX('Parametri Modello'!$E$57:$E$60,MATCH($B467,'Parametri Modello'!$A$57:$A$60,0))=0,0,($O467/INDEX('Parametri Modello'!$E$57:$E$60,MATCH($B467,'Parametri Modello'!$A$57:$A$60,0)))*(INDEX('Parametri Modello'!$D$57:$D$60,MATCH($B467,'Parametri Modello'!$A$57:$A$60,0))*(INDEX('Parametri Modello'!$B$50:$B$53,MATCH($B467,'Parametri Modello'!$A$50:$A$53,0))*'Parametri Modello'!$B$44))),IF(INDEX('Parametri Modello'!$F$57:$F$60,MATCH($B467,'Parametri Modello'!$A$57:$A$60,0))=0,0,($O467/INDEX('Parametri Modello'!$F$57:$F$60,MATCH($B467,'Parametri Modello'!$A$57:$A$60,0)))*((1-INDEX('Parametri Modello'!$D$57:$D$60,MATCH($B467,'Parametri Modello'!$A$57:$A$60,0)))*(INDEX('Parametri Modello'!$B$50:$B$53,MATCH($B467,'Parametri Modello'!$A$50:$A$53,0))*'Parametri Modello'!$B$44))))*(1+IF(IF($B467="D",'Info Lega'!$B$25,IF($B467="C",'Info Lega'!$B$26,"No"))="Si",'Parametri Modello'!$B$5,0))*(1+MAX(-0.25,MIN(0.25,IF(OR($T467="",$I467="",$I467=0,INDEX('Parametri Modello'!$B$19:$B$22,MATCH($B467,'Parametri Modello'!$A$19:$A$22,0))="",INDEX('Parametri Modello'!$B$19:$B$22,MATCH($B467,'Parametri Modello'!$A$19:$A$22,0))=0),0,(($T467-INDEX('Parametri Modello'!$B$19:$B$22,MATCH($B467,'Parametri Modello'!$A$19:$A$22,0)))/INDEX('Parametri Modello'!$B$19:$B$22,MATCH($B467,'Parametri Modello'!$A$19:$A$22,0)))*'Parametri Modello'!$B$9))))*(1+IF('Parametri Modello'!$B$27="Si",MAX(-'Parametri Modello'!$B$28,MIN('Parametri Modello'!$B$28*1.5,IF(OR(INDEX('Parametri Modello'!$F$32:$F$35,MATCH($B467,'Parametri Modello'!$A$32:$A$35,0))="",INDEX('Parametri Modello'!$F$32:$F$35,MATCH($B467,'Parametri Modello'!$A$32:$A$35,0))=0),0,(1/INDEX('Parametri Modello'!$F$32:$F$35,MATCH($B467,'Parametri Modello'!$A$32:$A$35,0))-1)*'Parametri Modello'!$B$28))),0)))*(1-INDEX('Parametri Modello'!$B$12:$B$15,MATCH($B467,'Parametri Modello'!$A$12:$A$15,0)))),0),"")</f>
        <v>1</v>
      </c>
      <c r="H467" s="27" t="n">
        <f aca="false">IFERROR(ROUND((IF($V467&lt;=INDEX('Parametri Modello'!$C$57:$C$60,MATCH($B467,'Parametri Modello'!$A$57:$A$60,0)),IF(INDEX('Parametri Modello'!$E$57:$E$60,MATCH($B467,'Parametri Modello'!$A$57:$A$60,0))=0,0,($O467/INDEX('Parametri Modello'!$E$57:$E$60,MATCH($B467,'Parametri Modello'!$A$57:$A$60,0)))*(INDEX('Parametri Modello'!$D$57:$D$60,MATCH($B467,'Parametri Modello'!$A$57:$A$60,0))*(INDEX('Parametri Modello'!$B$50:$B$53,MATCH($B467,'Parametri Modello'!$A$50:$A$53,0))*'Parametri Modello'!$B$44))),IF(INDEX('Parametri Modello'!$F$57:$F$60,MATCH($B467,'Parametri Modello'!$A$57:$A$60,0))=0,0,($O467/INDEX('Parametri Modello'!$F$57:$F$60,MATCH($B467,'Parametri Modello'!$A$57:$A$60,0)))*((1-INDEX('Parametri Modello'!$D$57:$D$60,MATCH($B467,'Parametri Modello'!$A$57:$A$60,0)))*(INDEX('Parametri Modello'!$B$50:$B$53,MATCH($B467,'Parametri Modello'!$A$50:$A$53,0))*'Parametri Modello'!$B$44))))*(1+IF(IF($B467="D",'Info Lega'!$B$25,IF($B467="C",'Info Lega'!$B$26,"No"))="Si",'Parametri Modello'!$B$5,0))*(1+MAX(-0.25,MIN(0.25,IF(OR($T467="",$I467="",$I467=0,INDEX('Parametri Modello'!$B$19:$B$22,MATCH($B467,'Parametri Modello'!$A$19:$A$22,0))="",INDEX('Parametri Modello'!$B$19:$B$22,MATCH($B467,'Parametri Modello'!$A$19:$A$22,0))=0),0,(($T467-INDEX('Parametri Modello'!$B$19:$B$22,MATCH($B467,'Parametri Modello'!$A$19:$A$22,0)))/INDEX('Parametri Modello'!$B$19:$B$22,MATCH($B467,'Parametri Modello'!$A$19:$A$22,0)))*'Parametri Modello'!$B$9))))*(1+IF('Parametri Modello'!$B$27="Si",MAX(-'Parametri Modello'!$B$28,MIN('Parametri Modello'!$B$28*1.5,IF(OR(INDEX('Parametri Modello'!$F$32:$F$35,MATCH($B467,'Parametri Modello'!$A$32:$A$35,0))="",INDEX('Parametri Modello'!$F$32:$F$35,MATCH($B467,'Parametri Modello'!$A$32:$A$35,0))=0),0,(1/INDEX('Parametri Modello'!$F$32:$F$35,MATCH($B467,'Parametri Modello'!$A$32:$A$35,0))-1)*'Parametri Modello'!$B$28))),0)))*(1+INDEX('Parametri Modello'!$B$12:$B$15,MATCH($B467,'Parametri Modello'!$A$12:$A$15,0))),0),"")</f>
        <v>0</v>
      </c>
      <c r="I467" s="26" t="n">
        <f aca="false">IFERROR(INDEX('Input Statistiche 2025_26'!$F$3:$F$665,MATCH($A467,'Input Statistiche 2025_26'!$A$3:$A$665,0)),"")</f>
        <v>0</v>
      </c>
      <c r="J467" s="26" t="n">
        <f aca="false">IFERROR(IF($I467="","",MAX(0,38-$I467)),"")</f>
        <v>38</v>
      </c>
      <c r="K467" s="26" t="n">
        <f aca="false">IFERROR(INDEX('Input Statistiche 2025_26'!$I$3:$I$665,MATCH($A467,'Input Statistiche 2025_26'!$A$3:$A$665,0)),"")</f>
        <v>0</v>
      </c>
      <c r="L467" s="26" t="n">
        <f aca="false">IFERROR(INDEX('Input Statistiche 2025_26'!$O$3:$O$665,MATCH($A467,'Input Statistiche 2025_26'!$A$3:$A$665,0)),"")</f>
        <v>0</v>
      </c>
      <c r="M467" s="28"/>
      <c r="N467" s="27" t="n">
        <f aca="false">IFERROR(INDEX('Input Giocatori 2026_27'!$E$3:$E$493,MATCH($A467,'Input Giocatori 2026_27'!$A$3:$A$493,0)),"")</f>
        <v>1</v>
      </c>
      <c r="O467" s="27" t="n">
        <f aca="false">IFERROR(INDEX('Input Giocatori 2026_27'!$G$3:$G$493,MATCH($A467,'Input Giocatori 2026_27'!$A$3:$A$493,0)),"")</f>
        <v>1</v>
      </c>
      <c r="P467" s="26" t="str">
        <f aca="false">IFERROR(IF($O467="","",IF((1-(COUNTIFS($B$2:$B$492,$B467,$O$2:$O$492,"&gt;"&amp;$O467)+1-1)/COUNTIF($B$2:$B$492,$B467))&gt;=0.85,"Top",IF((1-(COUNTIFS($B$2:$B$492,$B467,$O$2:$O$492,"&gt;"&amp;$O467)+1-1)/COUNTIF($B$2:$B$492,$B467))&gt;=0.6,"Buono",IF((1-(COUNTIFS($B$2:$B$492,$B467,$O$2:$O$492,"&gt;"&amp;$O467)+1-1)/COUNTIF($B$2:$B$492,$B467))&gt;=0.3,"Nella Media","Scommessa/Riserva")))),"")</f>
        <v>Nella Media</v>
      </c>
      <c r="Q467" s="29" t="n">
        <f aca="false">IF($D467="",COUNTIF($D$2:$D467,""),"")</f>
        <v>466</v>
      </c>
      <c r="R467" s="29" t="str">
        <f aca="false">IF($D467='Info Lega'!$B$28,COUNTIFS($D$2:$D467,'Info Lega'!$B$28),"")</f>
        <v/>
      </c>
      <c r="S467" s="30" t="n">
        <f aca="false">IFERROR(INDEX('Input Statistiche 2025_26'!$G$3:$G$665,MATCH($A467,'Input Statistiche 2025_26'!$A$3:$A$665,0)),"")</f>
        <v>0</v>
      </c>
      <c r="T467" s="30" t="n">
        <f aca="false">IFERROR(INDEX('Input Statistiche 2025_26'!$H$3:$H$665,MATCH($A467,'Input Statistiche 2025_26'!$A$3:$A$665,0)),"")</f>
        <v>0</v>
      </c>
      <c r="U467" s="26" t="str">
        <f aca="false">IF(OR('La Mia Rosa'!$O$12="",$D467&lt;&gt;""),"",IF($F467&lt;='La Mia Rosa'!$O$12*'Parametri Modello'!$B$24,"OK",IF($F467&lt;='La Mia Rosa'!$O$12*'Parametri Modello'!$B$25,"Attenzione","Rischio Alto")))</f>
        <v>OK</v>
      </c>
      <c r="V467" s="26" t="n">
        <f aca="false">IFERROR(COUNTIFS($B$2:$B$492,$B467,$O$2:$O$492,"&gt;"&amp;$O467)+1,"")</f>
        <v>26</v>
      </c>
      <c r="W467" s="21" t="n">
        <f aca="false">'Info Lega'!$B$4-SUMIFS($M$2:$M$492,$D$2:$D$492,'Info Lega'!$B$28)</f>
        <v>1000</v>
      </c>
      <c r="X467" s="21" t="n">
        <f aca="false">('Info Lega'!$B$5-COUNTIFS($D$2:$D$492,'Info Lega'!$B$28,$B$2:$B$492,"P"))+('Info Lega'!$B$6-COUNTIFS($D$2:$D$492,'Info Lega'!$B$28,$B$2:$B$492,"D"))+('Info Lega'!$B$7-COUNTIFS($D$2:$D$492,'Info Lega'!$B$28,$B$2:$B$492,"C"))+('Info Lega'!$B$8-COUNTIFS($D$2:$D$492,'Info Lega'!$B$28,$B$2:$B$492,"A"))</f>
        <v>25</v>
      </c>
      <c r="Y467" s="21" t="n">
        <f aca="false">X467*'Parametri Modello'!$B$30</f>
        <v>25</v>
      </c>
      <c r="Z467" s="21" t="n">
        <f aca="false">MAX(0,W467-Y467)</f>
        <v>975</v>
      </c>
      <c r="AA467" s="21" t="n">
        <f aca="false">MIN(F467,Z467)</f>
        <v>0</v>
      </c>
      <c r="AB467" s="21"/>
      <c r="AC467" s="21" t="str">
        <f aca="false">IF(AB467="","",IF(AB467&gt;AA467,"PASS",IF(AB467&lt;=AA467*0.85,"BID","ATTENZIONE")))</f>
        <v/>
      </c>
      <c r="AD467" s="31" t="n">
        <f aca="false">IF(I467="","",ROUND(100*(1-EXP(-I467/30)),0))</f>
        <v>0</v>
      </c>
      <c r="AE467" s="7" t="str">
        <f aca="false">IFERROR(INDEX('Stato Asta'!$G$9:$G$12,MATCH($B467,'Stato Asta'!$A$9:$A$12,0)),"")</f>
        <v>🟡 Attesa rischiosa</v>
      </c>
    </row>
    <row r="468" customFormat="false" ht="14.25" hidden="false" customHeight="true" outlineLevel="0" collapsed="false">
      <c r="A468" s="21" t="n">
        <v>7457</v>
      </c>
      <c r="B468" s="21" t="s">
        <v>43</v>
      </c>
      <c r="C468" s="21" t="s">
        <v>183</v>
      </c>
      <c r="E468" s="26" t="str">
        <f aca="false">IF(COUNTIF('Info Strategia'!$D$2:$D$51,$C468)&gt;0,"SI","NO")</f>
        <v>NO</v>
      </c>
      <c r="F468" s="27" t="n">
        <f aca="false">IFERROR(ROUND(($G468+($H468-$G468)*'Info Strategia'!$B$6)*(1+IF($E468="SI",'Parametri Modello'!$B$7*'Info Strategia'!$B$6,0)),0),"")</f>
        <v>0</v>
      </c>
      <c r="G468" s="27" t="n">
        <f aca="false">IFERROR(ROUND(MAX(1,(IF($V468&lt;=INDEX('Parametri Modello'!$C$57:$C$60,MATCH($B468,'Parametri Modello'!$A$57:$A$60,0)),IF(INDEX('Parametri Modello'!$E$57:$E$60,MATCH($B468,'Parametri Modello'!$A$57:$A$60,0))=0,0,($O468/INDEX('Parametri Modello'!$E$57:$E$60,MATCH($B468,'Parametri Modello'!$A$57:$A$60,0)))*(INDEX('Parametri Modello'!$D$57:$D$60,MATCH($B468,'Parametri Modello'!$A$57:$A$60,0))*(INDEX('Parametri Modello'!$B$50:$B$53,MATCH($B468,'Parametri Modello'!$A$50:$A$53,0))*'Parametri Modello'!$B$44))),IF(INDEX('Parametri Modello'!$F$57:$F$60,MATCH($B468,'Parametri Modello'!$A$57:$A$60,0))=0,0,($O468/INDEX('Parametri Modello'!$F$57:$F$60,MATCH($B468,'Parametri Modello'!$A$57:$A$60,0)))*((1-INDEX('Parametri Modello'!$D$57:$D$60,MATCH($B468,'Parametri Modello'!$A$57:$A$60,0)))*(INDEX('Parametri Modello'!$B$50:$B$53,MATCH($B468,'Parametri Modello'!$A$50:$A$53,0))*'Parametri Modello'!$B$44))))*(1+IF(IF($B468="D",'Info Lega'!$B$25,IF($B468="C",'Info Lega'!$B$26,"No"))="Si",'Parametri Modello'!$B$5,0))*(1+MAX(-0.25,MIN(0.25,IF(OR($T468="",$I468="",$I468=0,INDEX('Parametri Modello'!$B$19:$B$22,MATCH($B468,'Parametri Modello'!$A$19:$A$22,0))="",INDEX('Parametri Modello'!$B$19:$B$22,MATCH($B468,'Parametri Modello'!$A$19:$A$22,0))=0),0,(($T468-INDEX('Parametri Modello'!$B$19:$B$22,MATCH($B468,'Parametri Modello'!$A$19:$A$22,0)))/INDEX('Parametri Modello'!$B$19:$B$22,MATCH($B468,'Parametri Modello'!$A$19:$A$22,0)))*'Parametri Modello'!$B$9))))*(1+IF('Parametri Modello'!$B$27="Si",MAX(-'Parametri Modello'!$B$28,MIN('Parametri Modello'!$B$28*1.5,IF(OR(INDEX('Parametri Modello'!$F$32:$F$35,MATCH($B468,'Parametri Modello'!$A$32:$A$35,0))="",INDEX('Parametri Modello'!$F$32:$F$35,MATCH($B468,'Parametri Modello'!$A$32:$A$35,0))=0),0,(1/INDEX('Parametri Modello'!$F$32:$F$35,MATCH($B468,'Parametri Modello'!$A$32:$A$35,0))-1)*'Parametri Modello'!$B$28))),0)))*(1-INDEX('Parametri Modello'!$B$12:$B$15,MATCH($B468,'Parametri Modello'!$A$12:$A$15,0)))),0),"")</f>
        <v>1</v>
      </c>
      <c r="H468" s="27" t="n">
        <f aca="false">IFERROR(ROUND((IF($V468&lt;=INDEX('Parametri Modello'!$C$57:$C$60,MATCH($B468,'Parametri Modello'!$A$57:$A$60,0)),IF(INDEX('Parametri Modello'!$E$57:$E$60,MATCH($B468,'Parametri Modello'!$A$57:$A$60,0))=0,0,($O468/INDEX('Parametri Modello'!$E$57:$E$60,MATCH($B468,'Parametri Modello'!$A$57:$A$60,0)))*(INDEX('Parametri Modello'!$D$57:$D$60,MATCH($B468,'Parametri Modello'!$A$57:$A$60,0))*(INDEX('Parametri Modello'!$B$50:$B$53,MATCH($B468,'Parametri Modello'!$A$50:$A$53,0))*'Parametri Modello'!$B$44))),IF(INDEX('Parametri Modello'!$F$57:$F$60,MATCH($B468,'Parametri Modello'!$A$57:$A$60,0))=0,0,($O468/INDEX('Parametri Modello'!$F$57:$F$60,MATCH($B468,'Parametri Modello'!$A$57:$A$60,0)))*((1-INDEX('Parametri Modello'!$D$57:$D$60,MATCH($B468,'Parametri Modello'!$A$57:$A$60,0)))*(INDEX('Parametri Modello'!$B$50:$B$53,MATCH($B468,'Parametri Modello'!$A$50:$A$53,0))*'Parametri Modello'!$B$44))))*(1+IF(IF($B468="D",'Info Lega'!$B$25,IF($B468="C",'Info Lega'!$B$26,"No"))="Si",'Parametri Modello'!$B$5,0))*(1+MAX(-0.25,MIN(0.25,IF(OR($T468="",$I468="",$I468=0,INDEX('Parametri Modello'!$B$19:$B$22,MATCH($B468,'Parametri Modello'!$A$19:$A$22,0))="",INDEX('Parametri Modello'!$B$19:$B$22,MATCH($B468,'Parametri Modello'!$A$19:$A$22,0))=0),0,(($T468-INDEX('Parametri Modello'!$B$19:$B$22,MATCH($B468,'Parametri Modello'!$A$19:$A$22,0)))/INDEX('Parametri Modello'!$B$19:$B$22,MATCH($B468,'Parametri Modello'!$A$19:$A$22,0)))*'Parametri Modello'!$B$9))))*(1+IF('Parametri Modello'!$B$27="Si",MAX(-'Parametri Modello'!$B$28,MIN('Parametri Modello'!$B$28*1.5,IF(OR(INDEX('Parametri Modello'!$F$32:$F$35,MATCH($B468,'Parametri Modello'!$A$32:$A$35,0))="",INDEX('Parametri Modello'!$F$32:$F$35,MATCH($B468,'Parametri Modello'!$A$32:$A$35,0))=0),0,(1/INDEX('Parametri Modello'!$F$32:$F$35,MATCH($B468,'Parametri Modello'!$A$32:$A$35,0))-1)*'Parametri Modello'!$B$28))),0)))*(1+INDEX('Parametri Modello'!$B$12:$B$15,MATCH($B468,'Parametri Modello'!$A$12:$A$15,0))),0),"")</f>
        <v>0</v>
      </c>
      <c r="I468" s="26" t="str">
        <f aca="false">IFERROR(INDEX('Input Statistiche 2025_26'!$F$3:$F$665,MATCH($A468,'Input Statistiche 2025_26'!$A$3:$A$665,0)),"")</f>
        <v/>
      </c>
      <c r="J468" s="26" t="str">
        <f aca="false">IFERROR(IF($I468="","",MAX(0,38-$I468)),"")</f>
        <v/>
      </c>
      <c r="K468" s="26" t="str">
        <f aca="false">IFERROR(INDEX('Input Statistiche 2025_26'!$I$3:$I$665,MATCH($A468,'Input Statistiche 2025_26'!$A$3:$A$665,0)),"")</f>
        <v/>
      </c>
      <c r="L468" s="26" t="str">
        <f aca="false">IFERROR(INDEX('Input Statistiche 2025_26'!$O$3:$O$665,MATCH($A468,'Input Statistiche 2025_26'!$A$3:$A$665,0)),"")</f>
        <v/>
      </c>
      <c r="M468" s="28"/>
      <c r="N468" s="27" t="n">
        <f aca="false">IFERROR(INDEX('Input Giocatori 2026_27'!$E$3:$E$493,MATCH($A468,'Input Giocatori 2026_27'!$A$3:$A$493,0)),"")</f>
        <v>1</v>
      </c>
      <c r="O468" s="27" t="n">
        <f aca="false">IFERROR(INDEX('Input Giocatori 2026_27'!$G$3:$G$493,MATCH($A468,'Input Giocatori 2026_27'!$A$3:$A$493,0)),"")</f>
        <v>1</v>
      </c>
      <c r="P468" s="26" t="str">
        <f aca="false">IFERROR(IF($O468="","",IF((1-(COUNTIFS($B$2:$B$492,$B468,$O$2:$O$492,"&gt;"&amp;$O468)+1-1)/COUNTIF($B$2:$B$492,$B468))&gt;=0.85,"Top",IF((1-(COUNTIFS($B$2:$B$492,$B468,$O$2:$O$492,"&gt;"&amp;$O468)+1-1)/COUNTIF($B$2:$B$492,$B468))&gt;=0.6,"Buono",IF((1-(COUNTIFS($B$2:$B$492,$B468,$O$2:$O$492,"&gt;"&amp;$O468)+1-1)/COUNTIF($B$2:$B$492,$B468))&gt;=0.3,"Nella Media","Scommessa/Riserva")))),"")</f>
        <v>Nella Media</v>
      </c>
      <c r="Q468" s="29" t="n">
        <f aca="false">IF($D468="",COUNTIF($D$2:$D468,""),"")</f>
        <v>467</v>
      </c>
      <c r="R468" s="29" t="str">
        <f aca="false">IF($D468='Info Lega'!$B$28,COUNTIFS($D$2:$D468,'Info Lega'!$B$28),"")</f>
        <v/>
      </c>
      <c r="S468" s="30" t="str">
        <f aca="false">IFERROR(INDEX('Input Statistiche 2025_26'!$G$3:$G$665,MATCH($A468,'Input Statistiche 2025_26'!$A$3:$A$665,0)),"")</f>
        <v/>
      </c>
      <c r="T468" s="30" t="str">
        <f aca="false">IFERROR(INDEX('Input Statistiche 2025_26'!$H$3:$H$665,MATCH($A468,'Input Statistiche 2025_26'!$A$3:$A$665,0)),"")</f>
        <v/>
      </c>
      <c r="U468" s="26" t="str">
        <f aca="false">IF(OR('La Mia Rosa'!$O$12="",$D468&lt;&gt;""),"",IF($F468&lt;='La Mia Rosa'!$O$12*'Parametri Modello'!$B$24,"OK",IF($F468&lt;='La Mia Rosa'!$O$12*'Parametri Modello'!$B$25,"Attenzione","Rischio Alto")))</f>
        <v>OK</v>
      </c>
      <c r="V468" s="26" t="n">
        <f aca="false">IFERROR(COUNTIFS($B$2:$B$492,$B468,$O$2:$O$492,"&gt;"&amp;$O468)+1,"")</f>
        <v>26</v>
      </c>
      <c r="W468" s="21" t="n">
        <f aca="false">'Info Lega'!$B$4-SUMIFS($M$2:$M$492,$D$2:$D$492,'Info Lega'!$B$28)</f>
        <v>1000</v>
      </c>
      <c r="X468" s="21" t="n">
        <f aca="false">('Info Lega'!$B$5-COUNTIFS($D$2:$D$492,'Info Lega'!$B$28,$B$2:$B$492,"P"))+('Info Lega'!$B$6-COUNTIFS($D$2:$D$492,'Info Lega'!$B$28,$B$2:$B$492,"D"))+('Info Lega'!$B$7-COUNTIFS($D$2:$D$492,'Info Lega'!$B$28,$B$2:$B$492,"C"))+('Info Lega'!$B$8-COUNTIFS($D$2:$D$492,'Info Lega'!$B$28,$B$2:$B$492,"A"))</f>
        <v>25</v>
      </c>
      <c r="Y468" s="21" t="n">
        <f aca="false">X468*'Parametri Modello'!$B$30</f>
        <v>25</v>
      </c>
      <c r="Z468" s="21" t="n">
        <f aca="false">MAX(0,W468-Y468)</f>
        <v>975</v>
      </c>
      <c r="AA468" s="21" t="n">
        <f aca="false">MIN(F468,Z468)</f>
        <v>0</v>
      </c>
      <c r="AB468" s="21"/>
      <c r="AC468" s="21" t="str">
        <f aca="false">IF(AB468="","",IF(AB468&gt;AA468,"PASS",IF(AB468&lt;=AA468*0.85,"BID","ATTENZIONE")))</f>
        <v/>
      </c>
      <c r="AD468" s="31" t="str">
        <f aca="false">IF(I468="","",ROUND(100*(1-EXP(-I468/30)),0))</f>
        <v/>
      </c>
      <c r="AE468" s="7" t="str">
        <f aca="false">IFERROR(INDEX('Stato Asta'!$G$9:$G$12,MATCH($B468,'Stato Asta'!$A$9:$A$12,0)),"")</f>
        <v>🟡 Attesa rischiosa</v>
      </c>
    </row>
    <row r="469" customFormat="false" ht="14.25" hidden="false" customHeight="true" outlineLevel="0" collapsed="false">
      <c r="A469" s="21" t="n">
        <v>5320</v>
      </c>
      <c r="B469" s="21" t="s">
        <v>43</v>
      </c>
      <c r="C469" s="21" t="s">
        <v>185</v>
      </c>
      <c r="E469" s="26" t="str">
        <f aca="false">IF(COUNTIF('Info Strategia'!$D$2:$D$51,$C469)&gt;0,"SI","NO")</f>
        <v>NO</v>
      </c>
      <c r="F469" s="27" t="n">
        <f aca="false">IFERROR(ROUND(($G469+($H469-$G469)*'Info Strategia'!$B$6)*(1+IF($E469="SI",'Parametri Modello'!$B$7*'Info Strategia'!$B$6,0)),0),"")</f>
        <v>0</v>
      </c>
      <c r="G469" s="27" t="n">
        <f aca="false">IFERROR(ROUND(MAX(1,(IF($V469&lt;=INDEX('Parametri Modello'!$C$57:$C$60,MATCH($B469,'Parametri Modello'!$A$57:$A$60,0)),IF(INDEX('Parametri Modello'!$E$57:$E$60,MATCH($B469,'Parametri Modello'!$A$57:$A$60,0))=0,0,($O469/INDEX('Parametri Modello'!$E$57:$E$60,MATCH($B469,'Parametri Modello'!$A$57:$A$60,0)))*(INDEX('Parametri Modello'!$D$57:$D$60,MATCH($B469,'Parametri Modello'!$A$57:$A$60,0))*(INDEX('Parametri Modello'!$B$50:$B$53,MATCH($B469,'Parametri Modello'!$A$50:$A$53,0))*'Parametri Modello'!$B$44))),IF(INDEX('Parametri Modello'!$F$57:$F$60,MATCH($B469,'Parametri Modello'!$A$57:$A$60,0))=0,0,($O469/INDEX('Parametri Modello'!$F$57:$F$60,MATCH($B469,'Parametri Modello'!$A$57:$A$60,0)))*((1-INDEX('Parametri Modello'!$D$57:$D$60,MATCH($B469,'Parametri Modello'!$A$57:$A$60,0)))*(INDEX('Parametri Modello'!$B$50:$B$53,MATCH($B469,'Parametri Modello'!$A$50:$A$53,0))*'Parametri Modello'!$B$44))))*(1+IF(IF($B469="D",'Info Lega'!$B$25,IF($B469="C",'Info Lega'!$B$26,"No"))="Si",'Parametri Modello'!$B$5,0))*(1+MAX(-0.25,MIN(0.25,IF(OR($T469="",$I469="",$I469=0,INDEX('Parametri Modello'!$B$19:$B$22,MATCH($B469,'Parametri Modello'!$A$19:$A$22,0))="",INDEX('Parametri Modello'!$B$19:$B$22,MATCH($B469,'Parametri Modello'!$A$19:$A$22,0))=0),0,(($T469-INDEX('Parametri Modello'!$B$19:$B$22,MATCH($B469,'Parametri Modello'!$A$19:$A$22,0)))/INDEX('Parametri Modello'!$B$19:$B$22,MATCH($B469,'Parametri Modello'!$A$19:$A$22,0)))*'Parametri Modello'!$B$9))))*(1+IF('Parametri Modello'!$B$27="Si",MAX(-'Parametri Modello'!$B$28,MIN('Parametri Modello'!$B$28*1.5,IF(OR(INDEX('Parametri Modello'!$F$32:$F$35,MATCH($B469,'Parametri Modello'!$A$32:$A$35,0))="",INDEX('Parametri Modello'!$F$32:$F$35,MATCH($B469,'Parametri Modello'!$A$32:$A$35,0))=0),0,(1/INDEX('Parametri Modello'!$F$32:$F$35,MATCH($B469,'Parametri Modello'!$A$32:$A$35,0))-1)*'Parametri Modello'!$B$28))),0)))*(1-INDEX('Parametri Modello'!$B$12:$B$15,MATCH($B469,'Parametri Modello'!$A$12:$A$15,0)))),0),"")</f>
        <v>1</v>
      </c>
      <c r="H469" s="27" t="n">
        <f aca="false">IFERROR(ROUND((IF($V469&lt;=INDEX('Parametri Modello'!$C$57:$C$60,MATCH($B469,'Parametri Modello'!$A$57:$A$60,0)),IF(INDEX('Parametri Modello'!$E$57:$E$60,MATCH($B469,'Parametri Modello'!$A$57:$A$60,0))=0,0,($O469/INDEX('Parametri Modello'!$E$57:$E$60,MATCH($B469,'Parametri Modello'!$A$57:$A$60,0)))*(INDEX('Parametri Modello'!$D$57:$D$60,MATCH($B469,'Parametri Modello'!$A$57:$A$60,0))*(INDEX('Parametri Modello'!$B$50:$B$53,MATCH($B469,'Parametri Modello'!$A$50:$A$53,0))*'Parametri Modello'!$B$44))),IF(INDEX('Parametri Modello'!$F$57:$F$60,MATCH($B469,'Parametri Modello'!$A$57:$A$60,0))=0,0,($O469/INDEX('Parametri Modello'!$F$57:$F$60,MATCH($B469,'Parametri Modello'!$A$57:$A$60,0)))*((1-INDEX('Parametri Modello'!$D$57:$D$60,MATCH($B469,'Parametri Modello'!$A$57:$A$60,0)))*(INDEX('Parametri Modello'!$B$50:$B$53,MATCH($B469,'Parametri Modello'!$A$50:$A$53,0))*'Parametri Modello'!$B$44))))*(1+IF(IF($B469="D",'Info Lega'!$B$25,IF($B469="C",'Info Lega'!$B$26,"No"))="Si",'Parametri Modello'!$B$5,0))*(1+MAX(-0.25,MIN(0.25,IF(OR($T469="",$I469="",$I469=0,INDEX('Parametri Modello'!$B$19:$B$22,MATCH($B469,'Parametri Modello'!$A$19:$A$22,0))="",INDEX('Parametri Modello'!$B$19:$B$22,MATCH($B469,'Parametri Modello'!$A$19:$A$22,0))=0),0,(($T469-INDEX('Parametri Modello'!$B$19:$B$22,MATCH($B469,'Parametri Modello'!$A$19:$A$22,0)))/INDEX('Parametri Modello'!$B$19:$B$22,MATCH($B469,'Parametri Modello'!$A$19:$A$22,0)))*'Parametri Modello'!$B$9))))*(1+IF('Parametri Modello'!$B$27="Si",MAX(-'Parametri Modello'!$B$28,MIN('Parametri Modello'!$B$28*1.5,IF(OR(INDEX('Parametri Modello'!$F$32:$F$35,MATCH($B469,'Parametri Modello'!$A$32:$A$35,0))="",INDEX('Parametri Modello'!$F$32:$F$35,MATCH($B469,'Parametri Modello'!$A$32:$A$35,0))=0),0,(1/INDEX('Parametri Modello'!$F$32:$F$35,MATCH($B469,'Parametri Modello'!$A$32:$A$35,0))-1)*'Parametri Modello'!$B$28))),0)))*(1+INDEX('Parametri Modello'!$B$12:$B$15,MATCH($B469,'Parametri Modello'!$A$12:$A$15,0))),0),"")</f>
        <v>0</v>
      </c>
      <c r="I469" s="26" t="n">
        <f aca="false">IFERROR(INDEX('Input Statistiche 2025_26'!$F$3:$F$665,MATCH($A469,'Input Statistiche 2025_26'!$A$3:$A$665,0)),"")</f>
        <v>29</v>
      </c>
      <c r="J469" s="26" t="n">
        <f aca="false">IFERROR(IF($I469="","",MAX(0,38-$I469)),"")</f>
        <v>9</v>
      </c>
      <c r="K469" s="26" t="n">
        <f aca="false">IFERROR(INDEX('Input Statistiche 2025_26'!$I$3:$I$665,MATCH($A469,'Input Statistiche 2025_26'!$A$3:$A$665,0)),"")</f>
        <v>0</v>
      </c>
      <c r="L469" s="26" t="n">
        <f aca="false">IFERROR(INDEX('Input Statistiche 2025_26'!$O$3:$O$665,MATCH($A469,'Input Statistiche 2025_26'!$A$3:$A$665,0)),"")</f>
        <v>0</v>
      </c>
      <c r="M469" s="28"/>
      <c r="N469" s="27" t="n">
        <f aca="false">IFERROR(INDEX('Input Giocatori 2026_27'!$E$3:$E$493,MATCH($A469,'Input Giocatori 2026_27'!$A$3:$A$493,0)),"")</f>
        <v>1</v>
      </c>
      <c r="O469" s="27" t="n">
        <f aca="false">IFERROR(INDEX('Input Giocatori 2026_27'!$G$3:$G$493,MATCH($A469,'Input Giocatori 2026_27'!$A$3:$A$493,0)),"")</f>
        <v>1</v>
      </c>
      <c r="P469" s="26" t="str">
        <f aca="false">IFERROR(IF($O469="","",IF((1-(COUNTIFS($B$2:$B$492,$B469,$O$2:$O$492,"&gt;"&amp;$O469)+1-1)/COUNTIF($B$2:$B$492,$B469))&gt;=0.85,"Top",IF((1-(COUNTIFS($B$2:$B$492,$B469,$O$2:$O$492,"&gt;"&amp;$O469)+1-1)/COUNTIF($B$2:$B$492,$B469))&gt;=0.6,"Buono",IF((1-(COUNTIFS($B$2:$B$492,$B469,$O$2:$O$492,"&gt;"&amp;$O469)+1-1)/COUNTIF($B$2:$B$492,$B469))&gt;=0.3,"Nella Media","Scommessa/Riserva")))),"")</f>
        <v>Nella Media</v>
      </c>
      <c r="Q469" s="29" t="n">
        <f aca="false">IF($D469="",COUNTIF($D$2:$D469,""),"")</f>
        <v>468</v>
      </c>
      <c r="R469" s="29" t="str">
        <f aca="false">IF($D469='Info Lega'!$B$28,COUNTIFS($D$2:$D469,'Info Lega'!$B$28),"")</f>
        <v/>
      </c>
      <c r="S469" s="30" t="n">
        <f aca="false">IFERROR(INDEX('Input Statistiche 2025_26'!$G$3:$G$665,MATCH($A469,'Input Statistiche 2025_26'!$A$3:$A$665,0)),"")</f>
        <v>6.09</v>
      </c>
      <c r="T469" s="30" t="n">
        <f aca="false">IFERROR(INDEX('Input Statistiche 2025_26'!$H$3:$H$665,MATCH($A469,'Input Statistiche 2025_26'!$A$3:$A$665,0)),"")</f>
        <v>4.52</v>
      </c>
      <c r="U469" s="26" t="str">
        <f aca="false">IF(OR('La Mia Rosa'!$O$12="",$D469&lt;&gt;""),"",IF($F469&lt;='La Mia Rosa'!$O$12*'Parametri Modello'!$B$24,"OK",IF($F469&lt;='La Mia Rosa'!$O$12*'Parametri Modello'!$B$25,"Attenzione","Rischio Alto")))</f>
        <v>OK</v>
      </c>
      <c r="V469" s="26" t="n">
        <f aca="false">IFERROR(COUNTIFS($B$2:$B$492,$B469,$O$2:$O$492,"&gt;"&amp;$O469)+1,"")</f>
        <v>26</v>
      </c>
      <c r="W469" s="21" t="n">
        <f aca="false">'Info Lega'!$B$4-SUMIFS($M$2:$M$492,$D$2:$D$492,'Info Lega'!$B$28)</f>
        <v>1000</v>
      </c>
      <c r="X469" s="21" t="n">
        <f aca="false">('Info Lega'!$B$5-COUNTIFS($D$2:$D$492,'Info Lega'!$B$28,$B$2:$B$492,"P"))+('Info Lega'!$B$6-COUNTIFS($D$2:$D$492,'Info Lega'!$B$28,$B$2:$B$492,"D"))+('Info Lega'!$B$7-COUNTIFS($D$2:$D$492,'Info Lega'!$B$28,$B$2:$B$492,"C"))+('Info Lega'!$B$8-COUNTIFS($D$2:$D$492,'Info Lega'!$B$28,$B$2:$B$492,"A"))</f>
        <v>25</v>
      </c>
      <c r="Y469" s="21" t="n">
        <f aca="false">X469*'Parametri Modello'!$B$30</f>
        <v>25</v>
      </c>
      <c r="Z469" s="21" t="n">
        <f aca="false">MAX(0,W469-Y469)</f>
        <v>975</v>
      </c>
      <c r="AA469" s="21" t="n">
        <f aca="false">MIN(F469,Z469)</f>
        <v>0</v>
      </c>
      <c r="AB469" s="21"/>
      <c r="AC469" s="21" t="str">
        <f aca="false">IF(AB469="","",IF(AB469&gt;AA469,"PASS",IF(AB469&lt;=AA469*0.85,"BID","ATTENZIONE")))</f>
        <v/>
      </c>
      <c r="AD469" s="31" t="n">
        <f aca="false">IF(I469="","",ROUND(100*(1-EXP(-I469/30)),0))</f>
        <v>62</v>
      </c>
      <c r="AE469" s="7" t="str">
        <f aca="false">IFERROR(INDEX('Stato Asta'!$G$9:$G$12,MATCH($B469,'Stato Asta'!$A$9:$A$12,0)),"")</f>
        <v>🟡 Attesa rischiosa</v>
      </c>
    </row>
    <row r="470" customFormat="false" ht="14.25" hidden="false" customHeight="true" outlineLevel="0" collapsed="false">
      <c r="A470" s="21" t="n">
        <v>7363</v>
      </c>
      <c r="B470" s="21" t="s">
        <v>43</v>
      </c>
      <c r="C470" s="21" t="s">
        <v>186</v>
      </c>
      <c r="E470" s="26" t="str">
        <f aca="false">IF(COUNTIF('Info Strategia'!$D$2:$D$51,$C470)&gt;0,"SI","NO")</f>
        <v>NO</v>
      </c>
      <c r="F470" s="27" t="n">
        <f aca="false">IFERROR(ROUND(($G470+($H470-$G470)*'Info Strategia'!$B$6)*(1+IF($E470="SI",'Parametri Modello'!$B$7*'Info Strategia'!$B$6,0)),0),"")</f>
        <v>0</v>
      </c>
      <c r="G470" s="27" t="n">
        <f aca="false">IFERROR(ROUND(MAX(1,(IF($V470&lt;=INDEX('Parametri Modello'!$C$57:$C$60,MATCH($B470,'Parametri Modello'!$A$57:$A$60,0)),IF(INDEX('Parametri Modello'!$E$57:$E$60,MATCH($B470,'Parametri Modello'!$A$57:$A$60,0))=0,0,($O470/INDEX('Parametri Modello'!$E$57:$E$60,MATCH($B470,'Parametri Modello'!$A$57:$A$60,0)))*(INDEX('Parametri Modello'!$D$57:$D$60,MATCH($B470,'Parametri Modello'!$A$57:$A$60,0))*(INDEX('Parametri Modello'!$B$50:$B$53,MATCH($B470,'Parametri Modello'!$A$50:$A$53,0))*'Parametri Modello'!$B$44))),IF(INDEX('Parametri Modello'!$F$57:$F$60,MATCH($B470,'Parametri Modello'!$A$57:$A$60,0))=0,0,($O470/INDEX('Parametri Modello'!$F$57:$F$60,MATCH($B470,'Parametri Modello'!$A$57:$A$60,0)))*((1-INDEX('Parametri Modello'!$D$57:$D$60,MATCH($B470,'Parametri Modello'!$A$57:$A$60,0)))*(INDEX('Parametri Modello'!$B$50:$B$53,MATCH($B470,'Parametri Modello'!$A$50:$A$53,0))*'Parametri Modello'!$B$44))))*(1+IF(IF($B470="D",'Info Lega'!$B$25,IF($B470="C",'Info Lega'!$B$26,"No"))="Si",'Parametri Modello'!$B$5,0))*(1+MAX(-0.25,MIN(0.25,IF(OR($T470="",$I470="",$I470=0,INDEX('Parametri Modello'!$B$19:$B$22,MATCH($B470,'Parametri Modello'!$A$19:$A$22,0))="",INDEX('Parametri Modello'!$B$19:$B$22,MATCH($B470,'Parametri Modello'!$A$19:$A$22,0))=0),0,(($T470-INDEX('Parametri Modello'!$B$19:$B$22,MATCH($B470,'Parametri Modello'!$A$19:$A$22,0)))/INDEX('Parametri Modello'!$B$19:$B$22,MATCH($B470,'Parametri Modello'!$A$19:$A$22,0)))*'Parametri Modello'!$B$9))))*(1+IF('Parametri Modello'!$B$27="Si",MAX(-'Parametri Modello'!$B$28,MIN('Parametri Modello'!$B$28*1.5,IF(OR(INDEX('Parametri Modello'!$F$32:$F$35,MATCH($B470,'Parametri Modello'!$A$32:$A$35,0))="",INDEX('Parametri Modello'!$F$32:$F$35,MATCH($B470,'Parametri Modello'!$A$32:$A$35,0))=0),0,(1/INDEX('Parametri Modello'!$F$32:$F$35,MATCH($B470,'Parametri Modello'!$A$32:$A$35,0))-1)*'Parametri Modello'!$B$28))),0)))*(1-INDEX('Parametri Modello'!$B$12:$B$15,MATCH($B470,'Parametri Modello'!$A$12:$A$15,0)))),0),"")</f>
        <v>1</v>
      </c>
      <c r="H470" s="27" t="n">
        <f aca="false">IFERROR(ROUND((IF($V470&lt;=INDEX('Parametri Modello'!$C$57:$C$60,MATCH($B470,'Parametri Modello'!$A$57:$A$60,0)),IF(INDEX('Parametri Modello'!$E$57:$E$60,MATCH($B470,'Parametri Modello'!$A$57:$A$60,0))=0,0,($O470/INDEX('Parametri Modello'!$E$57:$E$60,MATCH($B470,'Parametri Modello'!$A$57:$A$60,0)))*(INDEX('Parametri Modello'!$D$57:$D$60,MATCH($B470,'Parametri Modello'!$A$57:$A$60,0))*(INDEX('Parametri Modello'!$B$50:$B$53,MATCH($B470,'Parametri Modello'!$A$50:$A$53,0))*'Parametri Modello'!$B$44))),IF(INDEX('Parametri Modello'!$F$57:$F$60,MATCH($B470,'Parametri Modello'!$A$57:$A$60,0))=0,0,($O470/INDEX('Parametri Modello'!$F$57:$F$60,MATCH($B470,'Parametri Modello'!$A$57:$A$60,0)))*((1-INDEX('Parametri Modello'!$D$57:$D$60,MATCH($B470,'Parametri Modello'!$A$57:$A$60,0)))*(INDEX('Parametri Modello'!$B$50:$B$53,MATCH($B470,'Parametri Modello'!$A$50:$A$53,0))*'Parametri Modello'!$B$44))))*(1+IF(IF($B470="D",'Info Lega'!$B$25,IF($B470="C",'Info Lega'!$B$26,"No"))="Si",'Parametri Modello'!$B$5,0))*(1+MAX(-0.25,MIN(0.25,IF(OR($T470="",$I470="",$I470=0,INDEX('Parametri Modello'!$B$19:$B$22,MATCH($B470,'Parametri Modello'!$A$19:$A$22,0))="",INDEX('Parametri Modello'!$B$19:$B$22,MATCH($B470,'Parametri Modello'!$A$19:$A$22,0))=0),0,(($T470-INDEX('Parametri Modello'!$B$19:$B$22,MATCH($B470,'Parametri Modello'!$A$19:$A$22,0)))/INDEX('Parametri Modello'!$B$19:$B$22,MATCH($B470,'Parametri Modello'!$A$19:$A$22,0)))*'Parametri Modello'!$B$9))))*(1+IF('Parametri Modello'!$B$27="Si",MAX(-'Parametri Modello'!$B$28,MIN('Parametri Modello'!$B$28*1.5,IF(OR(INDEX('Parametri Modello'!$F$32:$F$35,MATCH($B470,'Parametri Modello'!$A$32:$A$35,0))="",INDEX('Parametri Modello'!$F$32:$F$35,MATCH($B470,'Parametri Modello'!$A$32:$A$35,0))=0),0,(1/INDEX('Parametri Modello'!$F$32:$F$35,MATCH($B470,'Parametri Modello'!$A$32:$A$35,0))-1)*'Parametri Modello'!$B$28))),0)))*(1+INDEX('Parametri Modello'!$B$12:$B$15,MATCH($B470,'Parametri Modello'!$A$12:$A$15,0))),0),"")</f>
        <v>0</v>
      </c>
      <c r="I470" s="26" t="n">
        <f aca="false">IFERROR(INDEX('Input Statistiche 2025_26'!$F$3:$F$665,MATCH($A470,'Input Statistiche 2025_26'!$A$3:$A$665,0)),"")</f>
        <v>0</v>
      </c>
      <c r="J470" s="26" t="n">
        <f aca="false">IFERROR(IF($I470="","",MAX(0,38-$I470)),"")</f>
        <v>38</v>
      </c>
      <c r="K470" s="26" t="n">
        <f aca="false">IFERROR(INDEX('Input Statistiche 2025_26'!$I$3:$I$665,MATCH($A470,'Input Statistiche 2025_26'!$A$3:$A$665,0)),"")</f>
        <v>0</v>
      </c>
      <c r="L470" s="26" t="n">
        <f aca="false">IFERROR(INDEX('Input Statistiche 2025_26'!$O$3:$O$665,MATCH($A470,'Input Statistiche 2025_26'!$A$3:$A$665,0)),"")</f>
        <v>0</v>
      </c>
      <c r="M470" s="28"/>
      <c r="N470" s="27" t="n">
        <f aca="false">IFERROR(INDEX('Input Giocatori 2026_27'!$E$3:$E$493,MATCH($A470,'Input Giocatori 2026_27'!$A$3:$A$493,0)),"")</f>
        <v>1</v>
      </c>
      <c r="O470" s="27" t="n">
        <f aca="false">IFERROR(INDEX('Input Giocatori 2026_27'!$G$3:$G$493,MATCH($A470,'Input Giocatori 2026_27'!$A$3:$A$493,0)),"")</f>
        <v>1</v>
      </c>
      <c r="P470" s="26" t="str">
        <f aca="false">IFERROR(IF($O470="","",IF((1-(COUNTIFS($B$2:$B$492,$B470,$O$2:$O$492,"&gt;"&amp;$O470)+1-1)/COUNTIF($B$2:$B$492,$B470))&gt;=0.85,"Top",IF((1-(COUNTIFS($B$2:$B$492,$B470,$O$2:$O$492,"&gt;"&amp;$O470)+1-1)/COUNTIF($B$2:$B$492,$B470))&gt;=0.6,"Buono",IF((1-(COUNTIFS($B$2:$B$492,$B470,$O$2:$O$492,"&gt;"&amp;$O470)+1-1)/COUNTIF($B$2:$B$492,$B470))&gt;=0.3,"Nella Media","Scommessa/Riserva")))),"")</f>
        <v>Nella Media</v>
      </c>
      <c r="Q470" s="29" t="n">
        <f aca="false">IF($D470="",COUNTIF($D$2:$D470,""),"")</f>
        <v>469</v>
      </c>
      <c r="R470" s="29" t="str">
        <f aca="false">IF($D470='Info Lega'!$B$28,COUNTIFS($D$2:$D470,'Info Lega'!$B$28),"")</f>
        <v/>
      </c>
      <c r="S470" s="30" t="n">
        <f aca="false">IFERROR(INDEX('Input Statistiche 2025_26'!$G$3:$G$665,MATCH($A470,'Input Statistiche 2025_26'!$A$3:$A$665,0)),"")</f>
        <v>0</v>
      </c>
      <c r="T470" s="30" t="n">
        <f aca="false">IFERROR(INDEX('Input Statistiche 2025_26'!$H$3:$H$665,MATCH($A470,'Input Statistiche 2025_26'!$A$3:$A$665,0)),"")</f>
        <v>0</v>
      </c>
      <c r="U470" s="26" t="str">
        <f aca="false">IF(OR('La Mia Rosa'!$O$12="",$D470&lt;&gt;""),"",IF($F470&lt;='La Mia Rosa'!$O$12*'Parametri Modello'!$B$24,"OK",IF($F470&lt;='La Mia Rosa'!$O$12*'Parametri Modello'!$B$25,"Attenzione","Rischio Alto")))</f>
        <v>OK</v>
      </c>
      <c r="V470" s="26" t="n">
        <f aca="false">IFERROR(COUNTIFS($B$2:$B$492,$B470,$O$2:$O$492,"&gt;"&amp;$O470)+1,"")</f>
        <v>26</v>
      </c>
      <c r="W470" s="21" t="n">
        <f aca="false">'Info Lega'!$B$4-SUMIFS($M$2:$M$492,$D$2:$D$492,'Info Lega'!$B$28)</f>
        <v>1000</v>
      </c>
      <c r="X470" s="21" t="n">
        <f aca="false">('Info Lega'!$B$5-COUNTIFS($D$2:$D$492,'Info Lega'!$B$28,$B$2:$B$492,"P"))+('Info Lega'!$B$6-COUNTIFS($D$2:$D$492,'Info Lega'!$B$28,$B$2:$B$492,"D"))+('Info Lega'!$B$7-COUNTIFS($D$2:$D$492,'Info Lega'!$B$28,$B$2:$B$492,"C"))+('Info Lega'!$B$8-COUNTIFS($D$2:$D$492,'Info Lega'!$B$28,$B$2:$B$492,"A"))</f>
        <v>25</v>
      </c>
      <c r="Y470" s="21" t="n">
        <f aca="false">X470*'Parametri Modello'!$B$30</f>
        <v>25</v>
      </c>
      <c r="Z470" s="21" t="n">
        <f aca="false">MAX(0,W470-Y470)</f>
        <v>975</v>
      </c>
      <c r="AA470" s="21" t="n">
        <f aca="false">MIN(F470,Z470)</f>
        <v>0</v>
      </c>
      <c r="AB470" s="21"/>
      <c r="AC470" s="21" t="str">
        <f aca="false">IF(AB470="","",IF(AB470&gt;AA470,"PASS",IF(AB470&lt;=AA470*0.85,"BID","ATTENZIONE")))</f>
        <v/>
      </c>
      <c r="AD470" s="31" t="n">
        <f aca="false">IF(I470="","",ROUND(100*(1-EXP(-I470/30)),0))</f>
        <v>0</v>
      </c>
      <c r="AE470" s="7" t="str">
        <f aca="false">IFERROR(INDEX('Stato Asta'!$G$9:$G$12,MATCH($B470,'Stato Asta'!$A$9:$A$12,0)),"")</f>
        <v>🟡 Attesa rischiosa</v>
      </c>
    </row>
    <row r="471" customFormat="false" ht="14.25" hidden="false" customHeight="true" outlineLevel="0" collapsed="false">
      <c r="A471" s="21" t="n">
        <v>543</v>
      </c>
      <c r="B471" s="21" t="s">
        <v>43</v>
      </c>
      <c r="C471" s="21" t="s">
        <v>187</v>
      </c>
      <c r="E471" s="26" t="str">
        <f aca="false">IF(COUNTIF('Info Strategia'!$D$2:$D$51,$C471)&gt;0,"SI","NO")</f>
        <v>NO</v>
      </c>
      <c r="F471" s="27" t="n">
        <f aca="false">IFERROR(ROUND(($G471+($H471-$G471)*'Info Strategia'!$B$6)*(1+IF($E471="SI",'Parametri Modello'!$B$7*'Info Strategia'!$B$6,0)),0),"")</f>
        <v>0</v>
      </c>
      <c r="G471" s="27" t="n">
        <f aca="false">IFERROR(ROUND(MAX(1,(IF($V471&lt;=INDEX('Parametri Modello'!$C$57:$C$60,MATCH($B471,'Parametri Modello'!$A$57:$A$60,0)),IF(INDEX('Parametri Modello'!$E$57:$E$60,MATCH($B471,'Parametri Modello'!$A$57:$A$60,0))=0,0,($O471/INDEX('Parametri Modello'!$E$57:$E$60,MATCH($B471,'Parametri Modello'!$A$57:$A$60,0)))*(INDEX('Parametri Modello'!$D$57:$D$60,MATCH($B471,'Parametri Modello'!$A$57:$A$60,0))*(INDEX('Parametri Modello'!$B$50:$B$53,MATCH($B471,'Parametri Modello'!$A$50:$A$53,0))*'Parametri Modello'!$B$44))),IF(INDEX('Parametri Modello'!$F$57:$F$60,MATCH($B471,'Parametri Modello'!$A$57:$A$60,0))=0,0,($O471/INDEX('Parametri Modello'!$F$57:$F$60,MATCH($B471,'Parametri Modello'!$A$57:$A$60,0)))*((1-INDEX('Parametri Modello'!$D$57:$D$60,MATCH($B471,'Parametri Modello'!$A$57:$A$60,0)))*(INDEX('Parametri Modello'!$B$50:$B$53,MATCH($B471,'Parametri Modello'!$A$50:$A$53,0))*'Parametri Modello'!$B$44))))*(1+IF(IF($B471="D",'Info Lega'!$B$25,IF($B471="C",'Info Lega'!$B$26,"No"))="Si",'Parametri Modello'!$B$5,0))*(1+MAX(-0.25,MIN(0.25,IF(OR($T471="",$I471="",$I471=0,INDEX('Parametri Modello'!$B$19:$B$22,MATCH($B471,'Parametri Modello'!$A$19:$A$22,0))="",INDEX('Parametri Modello'!$B$19:$B$22,MATCH($B471,'Parametri Modello'!$A$19:$A$22,0))=0),0,(($T471-INDEX('Parametri Modello'!$B$19:$B$22,MATCH($B471,'Parametri Modello'!$A$19:$A$22,0)))/INDEX('Parametri Modello'!$B$19:$B$22,MATCH($B471,'Parametri Modello'!$A$19:$A$22,0)))*'Parametri Modello'!$B$9))))*(1+IF('Parametri Modello'!$B$27="Si",MAX(-'Parametri Modello'!$B$28,MIN('Parametri Modello'!$B$28*1.5,IF(OR(INDEX('Parametri Modello'!$F$32:$F$35,MATCH($B471,'Parametri Modello'!$A$32:$A$35,0))="",INDEX('Parametri Modello'!$F$32:$F$35,MATCH($B471,'Parametri Modello'!$A$32:$A$35,0))=0),0,(1/INDEX('Parametri Modello'!$F$32:$F$35,MATCH($B471,'Parametri Modello'!$A$32:$A$35,0))-1)*'Parametri Modello'!$B$28))),0)))*(1-INDEX('Parametri Modello'!$B$12:$B$15,MATCH($B471,'Parametri Modello'!$A$12:$A$15,0)))),0),"")</f>
        <v>1</v>
      </c>
      <c r="H471" s="27" t="n">
        <f aca="false">IFERROR(ROUND((IF($V471&lt;=INDEX('Parametri Modello'!$C$57:$C$60,MATCH($B471,'Parametri Modello'!$A$57:$A$60,0)),IF(INDEX('Parametri Modello'!$E$57:$E$60,MATCH($B471,'Parametri Modello'!$A$57:$A$60,0))=0,0,($O471/INDEX('Parametri Modello'!$E$57:$E$60,MATCH($B471,'Parametri Modello'!$A$57:$A$60,0)))*(INDEX('Parametri Modello'!$D$57:$D$60,MATCH($B471,'Parametri Modello'!$A$57:$A$60,0))*(INDEX('Parametri Modello'!$B$50:$B$53,MATCH($B471,'Parametri Modello'!$A$50:$A$53,0))*'Parametri Modello'!$B$44))),IF(INDEX('Parametri Modello'!$F$57:$F$60,MATCH($B471,'Parametri Modello'!$A$57:$A$60,0))=0,0,($O471/INDEX('Parametri Modello'!$F$57:$F$60,MATCH($B471,'Parametri Modello'!$A$57:$A$60,0)))*((1-INDEX('Parametri Modello'!$D$57:$D$60,MATCH($B471,'Parametri Modello'!$A$57:$A$60,0)))*(INDEX('Parametri Modello'!$B$50:$B$53,MATCH($B471,'Parametri Modello'!$A$50:$A$53,0))*'Parametri Modello'!$B$44))))*(1+IF(IF($B471="D",'Info Lega'!$B$25,IF($B471="C",'Info Lega'!$B$26,"No"))="Si",'Parametri Modello'!$B$5,0))*(1+MAX(-0.25,MIN(0.25,IF(OR($T471="",$I471="",$I471=0,INDEX('Parametri Modello'!$B$19:$B$22,MATCH($B471,'Parametri Modello'!$A$19:$A$22,0))="",INDEX('Parametri Modello'!$B$19:$B$22,MATCH($B471,'Parametri Modello'!$A$19:$A$22,0))=0),0,(($T471-INDEX('Parametri Modello'!$B$19:$B$22,MATCH($B471,'Parametri Modello'!$A$19:$A$22,0)))/INDEX('Parametri Modello'!$B$19:$B$22,MATCH($B471,'Parametri Modello'!$A$19:$A$22,0)))*'Parametri Modello'!$B$9))))*(1+IF('Parametri Modello'!$B$27="Si",MAX(-'Parametri Modello'!$B$28,MIN('Parametri Modello'!$B$28*1.5,IF(OR(INDEX('Parametri Modello'!$F$32:$F$35,MATCH($B471,'Parametri Modello'!$A$32:$A$35,0))="",INDEX('Parametri Modello'!$F$32:$F$35,MATCH($B471,'Parametri Modello'!$A$32:$A$35,0))=0),0,(1/INDEX('Parametri Modello'!$F$32:$F$35,MATCH($B471,'Parametri Modello'!$A$32:$A$35,0))-1)*'Parametri Modello'!$B$28))),0)))*(1+INDEX('Parametri Modello'!$B$12:$B$15,MATCH($B471,'Parametri Modello'!$A$12:$A$15,0))),0),"")</f>
        <v>0</v>
      </c>
      <c r="I471" s="26" t="n">
        <f aca="false">IFERROR(INDEX('Input Statistiche 2025_26'!$F$3:$F$665,MATCH($A471,'Input Statistiche 2025_26'!$A$3:$A$665,0)),"")</f>
        <v>2</v>
      </c>
      <c r="J471" s="26" t="n">
        <f aca="false">IFERROR(IF($I471="","",MAX(0,38-$I471)),"")</f>
        <v>36</v>
      </c>
      <c r="K471" s="26" t="n">
        <f aca="false">IFERROR(INDEX('Input Statistiche 2025_26'!$I$3:$I$665,MATCH($A471,'Input Statistiche 2025_26'!$A$3:$A$665,0)),"")</f>
        <v>0</v>
      </c>
      <c r="L471" s="26" t="n">
        <f aca="false">IFERROR(INDEX('Input Statistiche 2025_26'!$O$3:$O$665,MATCH($A471,'Input Statistiche 2025_26'!$A$3:$A$665,0)),"")</f>
        <v>0</v>
      </c>
      <c r="M471" s="28"/>
      <c r="N471" s="27" t="n">
        <f aca="false">IFERROR(INDEX('Input Giocatori 2026_27'!$E$3:$E$493,MATCH($A471,'Input Giocatori 2026_27'!$A$3:$A$493,0)),"")</f>
        <v>1</v>
      </c>
      <c r="O471" s="27" t="n">
        <f aca="false">IFERROR(INDEX('Input Giocatori 2026_27'!$G$3:$G$493,MATCH($A471,'Input Giocatori 2026_27'!$A$3:$A$493,0)),"")</f>
        <v>1</v>
      </c>
      <c r="P471" s="26" t="str">
        <f aca="false">IFERROR(IF($O471="","",IF((1-(COUNTIFS($B$2:$B$492,$B471,$O$2:$O$492,"&gt;"&amp;$O471)+1-1)/COUNTIF($B$2:$B$492,$B471))&gt;=0.85,"Top",IF((1-(COUNTIFS($B$2:$B$492,$B471,$O$2:$O$492,"&gt;"&amp;$O471)+1-1)/COUNTIF($B$2:$B$492,$B471))&gt;=0.6,"Buono",IF((1-(COUNTIFS($B$2:$B$492,$B471,$O$2:$O$492,"&gt;"&amp;$O471)+1-1)/COUNTIF($B$2:$B$492,$B471))&gt;=0.3,"Nella Media","Scommessa/Riserva")))),"")</f>
        <v>Nella Media</v>
      </c>
      <c r="Q471" s="29" t="n">
        <f aca="false">IF($D471="",COUNTIF($D$2:$D471,""),"")</f>
        <v>470</v>
      </c>
      <c r="R471" s="29" t="str">
        <f aca="false">IF($D471='Info Lega'!$B$28,COUNTIFS($D$2:$D471,'Info Lega'!$B$28),"")</f>
        <v/>
      </c>
      <c r="S471" s="30" t="n">
        <f aca="false">IFERROR(INDEX('Input Statistiche 2025_26'!$G$3:$G$665,MATCH($A471,'Input Statistiche 2025_26'!$A$3:$A$665,0)),"")</f>
        <v>6.25</v>
      </c>
      <c r="T471" s="30" t="n">
        <f aca="false">IFERROR(INDEX('Input Statistiche 2025_26'!$H$3:$H$665,MATCH($A471,'Input Statistiche 2025_26'!$A$3:$A$665,0)),"")</f>
        <v>5.25</v>
      </c>
      <c r="U471" s="26" t="str">
        <f aca="false">IF(OR('La Mia Rosa'!$O$12="",$D471&lt;&gt;""),"",IF($F471&lt;='La Mia Rosa'!$O$12*'Parametri Modello'!$B$24,"OK",IF($F471&lt;='La Mia Rosa'!$O$12*'Parametri Modello'!$B$25,"Attenzione","Rischio Alto")))</f>
        <v>OK</v>
      </c>
      <c r="V471" s="26" t="n">
        <f aca="false">IFERROR(COUNTIFS($B$2:$B$492,$B471,$O$2:$O$492,"&gt;"&amp;$O471)+1,"")</f>
        <v>26</v>
      </c>
      <c r="W471" s="21" t="n">
        <f aca="false">'Info Lega'!$B$4-SUMIFS($M$2:$M$492,$D$2:$D$492,'Info Lega'!$B$28)</f>
        <v>1000</v>
      </c>
      <c r="X471" s="21" t="n">
        <f aca="false">('Info Lega'!$B$5-COUNTIFS($D$2:$D$492,'Info Lega'!$B$28,$B$2:$B$492,"P"))+('Info Lega'!$B$6-COUNTIFS($D$2:$D$492,'Info Lega'!$B$28,$B$2:$B$492,"D"))+('Info Lega'!$B$7-COUNTIFS($D$2:$D$492,'Info Lega'!$B$28,$B$2:$B$492,"C"))+('Info Lega'!$B$8-COUNTIFS($D$2:$D$492,'Info Lega'!$B$28,$B$2:$B$492,"A"))</f>
        <v>25</v>
      </c>
      <c r="Y471" s="21" t="n">
        <f aca="false">X471*'Parametri Modello'!$B$30</f>
        <v>25</v>
      </c>
      <c r="Z471" s="21" t="n">
        <f aca="false">MAX(0,W471-Y471)</f>
        <v>975</v>
      </c>
      <c r="AA471" s="21" t="n">
        <f aca="false">MIN(F471,Z471)</f>
        <v>0</v>
      </c>
      <c r="AB471" s="21"/>
      <c r="AC471" s="21" t="str">
        <f aca="false">IF(AB471="","",IF(AB471&gt;AA471,"PASS",IF(AB471&lt;=AA471*0.85,"BID","ATTENZIONE")))</f>
        <v/>
      </c>
      <c r="AD471" s="31" t="n">
        <f aca="false">IF(I471="","",ROUND(100*(1-EXP(-I471/30)),0))</f>
        <v>6</v>
      </c>
      <c r="AE471" s="7" t="str">
        <f aca="false">IFERROR(INDEX('Stato Asta'!$G$9:$G$12,MATCH($B471,'Stato Asta'!$A$9:$A$12,0)),"")</f>
        <v>🟡 Attesa rischiosa</v>
      </c>
    </row>
    <row r="472" customFormat="false" ht="14.25" hidden="false" customHeight="true" outlineLevel="0" collapsed="false">
      <c r="A472" s="21" t="n">
        <v>5707</v>
      </c>
      <c r="B472" s="21" t="s">
        <v>43</v>
      </c>
      <c r="C472" s="21" t="s">
        <v>188</v>
      </c>
      <c r="E472" s="26" t="str">
        <f aca="false">IF(COUNTIF('Info Strategia'!$D$2:$D$51,$C472)&gt;0,"SI","NO")</f>
        <v>NO</v>
      </c>
      <c r="F472" s="27" t="n">
        <f aca="false">IFERROR(ROUND(($G472+($H472-$G472)*'Info Strategia'!$B$6)*(1+IF($E472="SI",'Parametri Modello'!$B$7*'Info Strategia'!$B$6,0)),0),"")</f>
        <v>0</v>
      </c>
      <c r="G472" s="27" t="n">
        <f aca="false">IFERROR(ROUND(MAX(1,(IF($V472&lt;=INDEX('Parametri Modello'!$C$57:$C$60,MATCH($B472,'Parametri Modello'!$A$57:$A$60,0)),IF(INDEX('Parametri Modello'!$E$57:$E$60,MATCH($B472,'Parametri Modello'!$A$57:$A$60,0))=0,0,($O472/INDEX('Parametri Modello'!$E$57:$E$60,MATCH($B472,'Parametri Modello'!$A$57:$A$60,0)))*(INDEX('Parametri Modello'!$D$57:$D$60,MATCH($B472,'Parametri Modello'!$A$57:$A$60,0))*(INDEX('Parametri Modello'!$B$50:$B$53,MATCH($B472,'Parametri Modello'!$A$50:$A$53,0))*'Parametri Modello'!$B$44))),IF(INDEX('Parametri Modello'!$F$57:$F$60,MATCH($B472,'Parametri Modello'!$A$57:$A$60,0))=0,0,($O472/INDEX('Parametri Modello'!$F$57:$F$60,MATCH($B472,'Parametri Modello'!$A$57:$A$60,0)))*((1-INDEX('Parametri Modello'!$D$57:$D$60,MATCH($B472,'Parametri Modello'!$A$57:$A$60,0)))*(INDEX('Parametri Modello'!$B$50:$B$53,MATCH($B472,'Parametri Modello'!$A$50:$A$53,0))*'Parametri Modello'!$B$44))))*(1+IF(IF($B472="D",'Info Lega'!$B$25,IF($B472="C",'Info Lega'!$B$26,"No"))="Si",'Parametri Modello'!$B$5,0))*(1+MAX(-0.25,MIN(0.25,IF(OR($T472="",$I472="",$I472=0,INDEX('Parametri Modello'!$B$19:$B$22,MATCH($B472,'Parametri Modello'!$A$19:$A$22,0))="",INDEX('Parametri Modello'!$B$19:$B$22,MATCH($B472,'Parametri Modello'!$A$19:$A$22,0))=0),0,(($T472-INDEX('Parametri Modello'!$B$19:$B$22,MATCH($B472,'Parametri Modello'!$A$19:$A$22,0)))/INDEX('Parametri Modello'!$B$19:$B$22,MATCH($B472,'Parametri Modello'!$A$19:$A$22,0)))*'Parametri Modello'!$B$9))))*(1+IF('Parametri Modello'!$B$27="Si",MAX(-'Parametri Modello'!$B$28,MIN('Parametri Modello'!$B$28*1.5,IF(OR(INDEX('Parametri Modello'!$F$32:$F$35,MATCH($B472,'Parametri Modello'!$A$32:$A$35,0))="",INDEX('Parametri Modello'!$F$32:$F$35,MATCH($B472,'Parametri Modello'!$A$32:$A$35,0))=0),0,(1/INDEX('Parametri Modello'!$F$32:$F$35,MATCH($B472,'Parametri Modello'!$A$32:$A$35,0))-1)*'Parametri Modello'!$B$28))),0)))*(1-INDEX('Parametri Modello'!$B$12:$B$15,MATCH($B472,'Parametri Modello'!$A$12:$A$15,0)))),0),"")</f>
        <v>1</v>
      </c>
      <c r="H472" s="27" t="n">
        <f aca="false">IFERROR(ROUND((IF($V472&lt;=INDEX('Parametri Modello'!$C$57:$C$60,MATCH($B472,'Parametri Modello'!$A$57:$A$60,0)),IF(INDEX('Parametri Modello'!$E$57:$E$60,MATCH($B472,'Parametri Modello'!$A$57:$A$60,0))=0,0,($O472/INDEX('Parametri Modello'!$E$57:$E$60,MATCH($B472,'Parametri Modello'!$A$57:$A$60,0)))*(INDEX('Parametri Modello'!$D$57:$D$60,MATCH($B472,'Parametri Modello'!$A$57:$A$60,0))*(INDEX('Parametri Modello'!$B$50:$B$53,MATCH($B472,'Parametri Modello'!$A$50:$A$53,0))*'Parametri Modello'!$B$44))),IF(INDEX('Parametri Modello'!$F$57:$F$60,MATCH($B472,'Parametri Modello'!$A$57:$A$60,0))=0,0,($O472/INDEX('Parametri Modello'!$F$57:$F$60,MATCH($B472,'Parametri Modello'!$A$57:$A$60,0)))*((1-INDEX('Parametri Modello'!$D$57:$D$60,MATCH($B472,'Parametri Modello'!$A$57:$A$60,0)))*(INDEX('Parametri Modello'!$B$50:$B$53,MATCH($B472,'Parametri Modello'!$A$50:$A$53,0))*'Parametri Modello'!$B$44))))*(1+IF(IF($B472="D",'Info Lega'!$B$25,IF($B472="C",'Info Lega'!$B$26,"No"))="Si",'Parametri Modello'!$B$5,0))*(1+MAX(-0.25,MIN(0.25,IF(OR($T472="",$I472="",$I472=0,INDEX('Parametri Modello'!$B$19:$B$22,MATCH($B472,'Parametri Modello'!$A$19:$A$22,0))="",INDEX('Parametri Modello'!$B$19:$B$22,MATCH($B472,'Parametri Modello'!$A$19:$A$22,0))=0),0,(($T472-INDEX('Parametri Modello'!$B$19:$B$22,MATCH($B472,'Parametri Modello'!$A$19:$A$22,0)))/INDEX('Parametri Modello'!$B$19:$B$22,MATCH($B472,'Parametri Modello'!$A$19:$A$22,0)))*'Parametri Modello'!$B$9))))*(1+IF('Parametri Modello'!$B$27="Si",MAX(-'Parametri Modello'!$B$28,MIN('Parametri Modello'!$B$28*1.5,IF(OR(INDEX('Parametri Modello'!$F$32:$F$35,MATCH($B472,'Parametri Modello'!$A$32:$A$35,0))="",INDEX('Parametri Modello'!$F$32:$F$35,MATCH($B472,'Parametri Modello'!$A$32:$A$35,0))=0),0,(1/INDEX('Parametri Modello'!$F$32:$F$35,MATCH($B472,'Parametri Modello'!$A$32:$A$35,0))-1)*'Parametri Modello'!$B$28))),0)))*(1+INDEX('Parametri Modello'!$B$12:$B$15,MATCH($B472,'Parametri Modello'!$A$12:$A$15,0))),0),"")</f>
        <v>0</v>
      </c>
      <c r="I472" s="26" t="str">
        <f aca="false">IFERROR(INDEX('Input Statistiche 2025_26'!$F$3:$F$665,MATCH($A472,'Input Statistiche 2025_26'!$A$3:$A$665,0)),"")</f>
        <v/>
      </c>
      <c r="J472" s="26" t="str">
        <f aca="false">IFERROR(IF($I472="","",MAX(0,38-$I472)),"")</f>
        <v/>
      </c>
      <c r="K472" s="26" t="str">
        <f aca="false">IFERROR(INDEX('Input Statistiche 2025_26'!$I$3:$I$665,MATCH($A472,'Input Statistiche 2025_26'!$A$3:$A$665,0)),"")</f>
        <v/>
      </c>
      <c r="L472" s="26" t="str">
        <f aca="false">IFERROR(INDEX('Input Statistiche 2025_26'!$O$3:$O$665,MATCH($A472,'Input Statistiche 2025_26'!$A$3:$A$665,0)),"")</f>
        <v/>
      </c>
      <c r="M472" s="28"/>
      <c r="N472" s="27" t="n">
        <f aca="false">IFERROR(INDEX('Input Giocatori 2026_27'!$E$3:$E$493,MATCH($A472,'Input Giocatori 2026_27'!$A$3:$A$493,0)),"")</f>
        <v>1</v>
      </c>
      <c r="O472" s="27" t="n">
        <f aca="false">IFERROR(INDEX('Input Giocatori 2026_27'!$G$3:$G$493,MATCH($A472,'Input Giocatori 2026_27'!$A$3:$A$493,0)),"")</f>
        <v>1</v>
      </c>
      <c r="P472" s="26" t="str">
        <f aca="false">IFERROR(IF($O472="","",IF((1-(COUNTIFS($B$2:$B$492,$B472,$O$2:$O$492,"&gt;"&amp;$O472)+1-1)/COUNTIF($B$2:$B$492,$B472))&gt;=0.85,"Top",IF((1-(COUNTIFS($B$2:$B$492,$B472,$O$2:$O$492,"&gt;"&amp;$O472)+1-1)/COUNTIF($B$2:$B$492,$B472))&gt;=0.6,"Buono",IF((1-(COUNTIFS($B$2:$B$492,$B472,$O$2:$O$492,"&gt;"&amp;$O472)+1-1)/COUNTIF($B$2:$B$492,$B472))&gt;=0.3,"Nella Media","Scommessa/Riserva")))),"")</f>
        <v>Nella Media</v>
      </c>
      <c r="Q472" s="29" t="n">
        <f aca="false">IF($D472="",COUNTIF($D$2:$D472,""),"")</f>
        <v>471</v>
      </c>
      <c r="R472" s="29" t="str">
        <f aca="false">IF($D472='Info Lega'!$B$28,COUNTIFS($D$2:$D472,'Info Lega'!$B$28),"")</f>
        <v/>
      </c>
      <c r="S472" s="30" t="str">
        <f aca="false">IFERROR(INDEX('Input Statistiche 2025_26'!$G$3:$G$665,MATCH($A472,'Input Statistiche 2025_26'!$A$3:$A$665,0)),"")</f>
        <v/>
      </c>
      <c r="T472" s="30" t="str">
        <f aca="false">IFERROR(INDEX('Input Statistiche 2025_26'!$H$3:$H$665,MATCH($A472,'Input Statistiche 2025_26'!$A$3:$A$665,0)),"")</f>
        <v/>
      </c>
      <c r="U472" s="26" t="str">
        <f aca="false">IF(OR('La Mia Rosa'!$O$12="",$D472&lt;&gt;""),"",IF($F472&lt;='La Mia Rosa'!$O$12*'Parametri Modello'!$B$24,"OK",IF($F472&lt;='La Mia Rosa'!$O$12*'Parametri Modello'!$B$25,"Attenzione","Rischio Alto")))</f>
        <v>OK</v>
      </c>
      <c r="V472" s="26" t="n">
        <f aca="false">IFERROR(COUNTIFS($B$2:$B$492,$B472,$O$2:$O$492,"&gt;"&amp;$O472)+1,"")</f>
        <v>26</v>
      </c>
      <c r="W472" s="21" t="n">
        <f aca="false">'Info Lega'!$B$4-SUMIFS($M$2:$M$492,$D$2:$D$492,'Info Lega'!$B$28)</f>
        <v>1000</v>
      </c>
      <c r="X472" s="21" t="n">
        <f aca="false">('Info Lega'!$B$5-COUNTIFS($D$2:$D$492,'Info Lega'!$B$28,$B$2:$B$492,"P"))+('Info Lega'!$B$6-COUNTIFS($D$2:$D$492,'Info Lega'!$B$28,$B$2:$B$492,"D"))+('Info Lega'!$B$7-COUNTIFS($D$2:$D$492,'Info Lega'!$B$28,$B$2:$B$492,"C"))+('Info Lega'!$B$8-COUNTIFS($D$2:$D$492,'Info Lega'!$B$28,$B$2:$B$492,"A"))</f>
        <v>25</v>
      </c>
      <c r="Y472" s="21" t="n">
        <f aca="false">X472*'Parametri Modello'!$B$30</f>
        <v>25</v>
      </c>
      <c r="Z472" s="21" t="n">
        <f aca="false">MAX(0,W472-Y472)</f>
        <v>975</v>
      </c>
      <c r="AA472" s="21" t="n">
        <f aca="false">MIN(F472,Z472)</f>
        <v>0</v>
      </c>
      <c r="AB472" s="21"/>
      <c r="AC472" s="21" t="str">
        <f aca="false">IF(AB472="","",IF(AB472&gt;AA472,"PASS",IF(AB472&lt;=AA472*0.85,"BID","ATTENZIONE")))</f>
        <v/>
      </c>
      <c r="AD472" s="31" t="str">
        <f aca="false">IF(I472="","",ROUND(100*(1-EXP(-I472/30)),0))</f>
        <v/>
      </c>
      <c r="AE472" s="7" t="str">
        <f aca="false">IFERROR(INDEX('Stato Asta'!$G$9:$G$12,MATCH($B472,'Stato Asta'!$A$9:$A$12,0)),"")</f>
        <v>🟡 Attesa rischiosa</v>
      </c>
    </row>
    <row r="473" customFormat="false" ht="14.25" hidden="false" customHeight="true" outlineLevel="0" collapsed="false">
      <c r="A473" s="21" t="n">
        <v>6671</v>
      </c>
      <c r="B473" s="21" t="s">
        <v>43</v>
      </c>
      <c r="C473" s="21" t="s">
        <v>189</v>
      </c>
      <c r="E473" s="26" t="str">
        <f aca="false">IF(COUNTIF('Info Strategia'!$D$2:$D$51,$C473)&gt;0,"SI","NO")</f>
        <v>NO</v>
      </c>
      <c r="F473" s="27" t="n">
        <f aca="false">IFERROR(ROUND(($G473+($H473-$G473)*'Info Strategia'!$B$6)*(1+IF($E473="SI",'Parametri Modello'!$B$7*'Info Strategia'!$B$6,0)),0),"")</f>
        <v>0</v>
      </c>
      <c r="G473" s="27" t="n">
        <f aca="false">IFERROR(ROUND(MAX(1,(IF($V473&lt;=INDEX('Parametri Modello'!$C$57:$C$60,MATCH($B473,'Parametri Modello'!$A$57:$A$60,0)),IF(INDEX('Parametri Modello'!$E$57:$E$60,MATCH($B473,'Parametri Modello'!$A$57:$A$60,0))=0,0,($O473/INDEX('Parametri Modello'!$E$57:$E$60,MATCH($B473,'Parametri Modello'!$A$57:$A$60,0)))*(INDEX('Parametri Modello'!$D$57:$D$60,MATCH($B473,'Parametri Modello'!$A$57:$A$60,0))*(INDEX('Parametri Modello'!$B$50:$B$53,MATCH($B473,'Parametri Modello'!$A$50:$A$53,0))*'Parametri Modello'!$B$44))),IF(INDEX('Parametri Modello'!$F$57:$F$60,MATCH($B473,'Parametri Modello'!$A$57:$A$60,0))=0,0,($O473/INDEX('Parametri Modello'!$F$57:$F$60,MATCH($B473,'Parametri Modello'!$A$57:$A$60,0)))*((1-INDEX('Parametri Modello'!$D$57:$D$60,MATCH($B473,'Parametri Modello'!$A$57:$A$60,0)))*(INDEX('Parametri Modello'!$B$50:$B$53,MATCH($B473,'Parametri Modello'!$A$50:$A$53,0))*'Parametri Modello'!$B$44))))*(1+IF(IF($B473="D",'Info Lega'!$B$25,IF($B473="C",'Info Lega'!$B$26,"No"))="Si",'Parametri Modello'!$B$5,0))*(1+MAX(-0.25,MIN(0.25,IF(OR($T473="",$I473="",$I473=0,INDEX('Parametri Modello'!$B$19:$B$22,MATCH($B473,'Parametri Modello'!$A$19:$A$22,0))="",INDEX('Parametri Modello'!$B$19:$B$22,MATCH($B473,'Parametri Modello'!$A$19:$A$22,0))=0),0,(($T473-INDEX('Parametri Modello'!$B$19:$B$22,MATCH($B473,'Parametri Modello'!$A$19:$A$22,0)))/INDEX('Parametri Modello'!$B$19:$B$22,MATCH($B473,'Parametri Modello'!$A$19:$A$22,0)))*'Parametri Modello'!$B$9))))*(1+IF('Parametri Modello'!$B$27="Si",MAX(-'Parametri Modello'!$B$28,MIN('Parametri Modello'!$B$28*1.5,IF(OR(INDEX('Parametri Modello'!$F$32:$F$35,MATCH($B473,'Parametri Modello'!$A$32:$A$35,0))="",INDEX('Parametri Modello'!$F$32:$F$35,MATCH($B473,'Parametri Modello'!$A$32:$A$35,0))=0),0,(1/INDEX('Parametri Modello'!$F$32:$F$35,MATCH($B473,'Parametri Modello'!$A$32:$A$35,0))-1)*'Parametri Modello'!$B$28))),0)))*(1-INDEX('Parametri Modello'!$B$12:$B$15,MATCH($B473,'Parametri Modello'!$A$12:$A$15,0)))),0),"")</f>
        <v>1</v>
      </c>
      <c r="H473" s="27" t="n">
        <f aca="false">IFERROR(ROUND((IF($V473&lt;=INDEX('Parametri Modello'!$C$57:$C$60,MATCH($B473,'Parametri Modello'!$A$57:$A$60,0)),IF(INDEX('Parametri Modello'!$E$57:$E$60,MATCH($B473,'Parametri Modello'!$A$57:$A$60,0))=0,0,($O473/INDEX('Parametri Modello'!$E$57:$E$60,MATCH($B473,'Parametri Modello'!$A$57:$A$60,0)))*(INDEX('Parametri Modello'!$D$57:$D$60,MATCH($B473,'Parametri Modello'!$A$57:$A$60,0))*(INDEX('Parametri Modello'!$B$50:$B$53,MATCH($B473,'Parametri Modello'!$A$50:$A$53,0))*'Parametri Modello'!$B$44))),IF(INDEX('Parametri Modello'!$F$57:$F$60,MATCH($B473,'Parametri Modello'!$A$57:$A$60,0))=0,0,($O473/INDEX('Parametri Modello'!$F$57:$F$60,MATCH($B473,'Parametri Modello'!$A$57:$A$60,0)))*((1-INDEX('Parametri Modello'!$D$57:$D$60,MATCH($B473,'Parametri Modello'!$A$57:$A$60,0)))*(INDEX('Parametri Modello'!$B$50:$B$53,MATCH($B473,'Parametri Modello'!$A$50:$A$53,0))*'Parametri Modello'!$B$44))))*(1+IF(IF($B473="D",'Info Lega'!$B$25,IF($B473="C",'Info Lega'!$B$26,"No"))="Si",'Parametri Modello'!$B$5,0))*(1+MAX(-0.25,MIN(0.25,IF(OR($T473="",$I473="",$I473=0,INDEX('Parametri Modello'!$B$19:$B$22,MATCH($B473,'Parametri Modello'!$A$19:$A$22,0))="",INDEX('Parametri Modello'!$B$19:$B$22,MATCH($B473,'Parametri Modello'!$A$19:$A$22,0))=0),0,(($T473-INDEX('Parametri Modello'!$B$19:$B$22,MATCH($B473,'Parametri Modello'!$A$19:$A$22,0)))/INDEX('Parametri Modello'!$B$19:$B$22,MATCH($B473,'Parametri Modello'!$A$19:$A$22,0)))*'Parametri Modello'!$B$9))))*(1+IF('Parametri Modello'!$B$27="Si",MAX(-'Parametri Modello'!$B$28,MIN('Parametri Modello'!$B$28*1.5,IF(OR(INDEX('Parametri Modello'!$F$32:$F$35,MATCH($B473,'Parametri Modello'!$A$32:$A$35,0))="",INDEX('Parametri Modello'!$F$32:$F$35,MATCH($B473,'Parametri Modello'!$A$32:$A$35,0))=0),0,(1/INDEX('Parametri Modello'!$F$32:$F$35,MATCH($B473,'Parametri Modello'!$A$32:$A$35,0))-1)*'Parametri Modello'!$B$28))),0)))*(1+INDEX('Parametri Modello'!$B$12:$B$15,MATCH($B473,'Parametri Modello'!$A$12:$A$15,0))),0),"")</f>
        <v>0</v>
      </c>
      <c r="I473" s="26" t="str">
        <f aca="false">IFERROR(INDEX('Input Statistiche 2025_26'!$F$3:$F$665,MATCH($A473,'Input Statistiche 2025_26'!$A$3:$A$665,0)),"")</f>
        <v/>
      </c>
      <c r="J473" s="26" t="str">
        <f aca="false">IFERROR(IF($I473="","",MAX(0,38-$I473)),"")</f>
        <v/>
      </c>
      <c r="K473" s="26" t="str">
        <f aca="false">IFERROR(INDEX('Input Statistiche 2025_26'!$I$3:$I$665,MATCH($A473,'Input Statistiche 2025_26'!$A$3:$A$665,0)),"")</f>
        <v/>
      </c>
      <c r="L473" s="26" t="str">
        <f aca="false">IFERROR(INDEX('Input Statistiche 2025_26'!$O$3:$O$665,MATCH($A473,'Input Statistiche 2025_26'!$A$3:$A$665,0)),"")</f>
        <v/>
      </c>
      <c r="M473" s="28"/>
      <c r="N473" s="27" t="n">
        <f aca="false">IFERROR(INDEX('Input Giocatori 2026_27'!$E$3:$E$493,MATCH($A473,'Input Giocatori 2026_27'!$A$3:$A$493,0)),"")</f>
        <v>1</v>
      </c>
      <c r="O473" s="27" t="n">
        <f aca="false">IFERROR(INDEX('Input Giocatori 2026_27'!$G$3:$G$493,MATCH($A473,'Input Giocatori 2026_27'!$A$3:$A$493,0)),"")</f>
        <v>1</v>
      </c>
      <c r="P473" s="26" t="str">
        <f aca="false">IFERROR(IF($O473="","",IF((1-(COUNTIFS($B$2:$B$492,$B473,$O$2:$O$492,"&gt;"&amp;$O473)+1-1)/COUNTIF($B$2:$B$492,$B473))&gt;=0.85,"Top",IF((1-(COUNTIFS($B$2:$B$492,$B473,$O$2:$O$492,"&gt;"&amp;$O473)+1-1)/COUNTIF($B$2:$B$492,$B473))&gt;=0.6,"Buono",IF((1-(COUNTIFS($B$2:$B$492,$B473,$O$2:$O$492,"&gt;"&amp;$O473)+1-1)/COUNTIF($B$2:$B$492,$B473))&gt;=0.3,"Nella Media","Scommessa/Riserva")))),"")</f>
        <v>Nella Media</v>
      </c>
      <c r="Q473" s="29" t="n">
        <f aca="false">IF($D473="",COUNTIF($D$2:$D473,""),"")</f>
        <v>472</v>
      </c>
      <c r="R473" s="29" t="str">
        <f aca="false">IF($D473='Info Lega'!$B$28,COUNTIFS($D$2:$D473,'Info Lega'!$B$28),"")</f>
        <v/>
      </c>
      <c r="S473" s="30" t="str">
        <f aca="false">IFERROR(INDEX('Input Statistiche 2025_26'!$G$3:$G$665,MATCH($A473,'Input Statistiche 2025_26'!$A$3:$A$665,0)),"")</f>
        <v/>
      </c>
      <c r="T473" s="30" t="str">
        <f aca="false">IFERROR(INDEX('Input Statistiche 2025_26'!$H$3:$H$665,MATCH($A473,'Input Statistiche 2025_26'!$A$3:$A$665,0)),"")</f>
        <v/>
      </c>
      <c r="U473" s="26" t="str">
        <f aca="false">IF(OR('La Mia Rosa'!$O$12="",$D473&lt;&gt;""),"",IF($F473&lt;='La Mia Rosa'!$O$12*'Parametri Modello'!$B$24,"OK",IF($F473&lt;='La Mia Rosa'!$O$12*'Parametri Modello'!$B$25,"Attenzione","Rischio Alto")))</f>
        <v>OK</v>
      </c>
      <c r="V473" s="26" t="n">
        <f aca="false">IFERROR(COUNTIFS($B$2:$B$492,$B473,$O$2:$O$492,"&gt;"&amp;$O473)+1,"")</f>
        <v>26</v>
      </c>
      <c r="W473" s="21" t="n">
        <f aca="false">'Info Lega'!$B$4-SUMIFS($M$2:$M$492,$D$2:$D$492,'Info Lega'!$B$28)</f>
        <v>1000</v>
      </c>
      <c r="X473" s="21" t="n">
        <f aca="false">('Info Lega'!$B$5-COUNTIFS($D$2:$D$492,'Info Lega'!$B$28,$B$2:$B$492,"P"))+('Info Lega'!$B$6-COUNTIFS($D$2:$D$492,'Info Lega'!$B$28,$B$2:$B$492,"D"))+('Info Lega'!$B$7-COUNTIFS($D$2:$D$492,'Info Lega'!$B$28,$B$2:$B$492,"C"))+('Info Lega'!$B$8-COUNTIFS($D$2:$D$492,'Info Lega'!$B$28,$B$2:$B$492,"A"))</f>
        <v>25</v>
      </c>
      <c r="Y473" s="21" t="n">
        <f aca="false">X473*'Parametri Modello'!$B$30</f>
        <v>25</v>
      </c>
      <c r="Z473" s="21" t="n">
        <f aca="false">MAX(0,W473-Y473)</f>
        <v>975</v>
      </c>
      <c r="AA473" s="21" t="n">
        <f aca="false">MIN(F473,Z473)</f>
        <v>0</v>
      </c>
      <c r="AB473" s="21"/>
      <c r="AC473" s="21" t="str">
        <f aca="false">IF(AB473="","",IF(AB473&gt;AA473,"PASS",IF(AB473&lt;=AA473*0.85,"BID","ATTENZIONE")))</f>
        <v/>
      </c>
      <c r="AD473" s="31" t="str">
        <f aca="false">IF(I473="","",ROUND(100*(1-EXP(-I473/30)),0))</f>
        <v/>
      </c>
      <c r="AE473" s="7" t="str">
        <f aca="false">IFERROR(INDEX('Stato Asta'!$G$9:$G$12,MATCH($B473,'Stato Asta'!$A$9:$A$12,0)),"")</f>
        <v>🟡 Attesa rischiosa</v>
      </c>
    </row>
    <row r="474" customFormat="false" ht="14.25" hidden="false" customHeight="true" outlineLevel="0" collapsed="false">
      <c r="A474" s="21" t="n">
        <v>7531</v>
      </c>
      <c r="B474" s="21" t="s">
        <v>43</v>
      </c>
      <c r="C474" s="21" t="s">
        <v>190</v>
      </c>
      <c r="E474" s="26" t="str">
        <f aca="false">IF(COUNTIF('Info Strategia'!$D$2:$D$51,$C474)&gt;0,"SI","NO")</f>
        <v>NO</v>
      </c>
      <c r="F474" s="27" t="n">
        <f aca="false">IFERROR(ROUND(($G474+($H474-$G474)*'Info Strategia'!$B$6)*(1+IF($E474="SI",'Parametri Modello'!$B$7*'Info Strategia'!$B$6,0)),0),"")</f>
        <v>0</v>
      </c>
      <c r="G474" s="27" t="n">
        <f aca="false">IFERROR(ROUND(MAX(1,(IF($V474&lt;=INDEX('Parametri Modello'!$C$57:$C$60,MATCH($B474,'Parametri Modello'!$A$57:$A$60,0)),IF(INDEX('Parametri Modello'!$E$57:$E$60,MATCH($B474,'Parametri Modello'!$A$57:$A$60,0))=0,0,($O474/INDEX('Parametri Modello'!$E$57:$E$60,MATCH($B474,'Parametri Modello'!$A$57:$A$60,0)))*(INDEX('Parametri Modello'!$D$57:$D$60,MATCH($B474,'Parametri Modello'!$A$57:$A$60,0))*(INDEX('Parametri Modello'!$B$50:$B$53,MATCH($B474,'Parametri Modello'!$A$50:$A$53,0))*'Parametri Modello'!$B$44))),IF(INDEX('Parametri Modello'!$F$57:$F$60,MATCH($B474,'Parametri Modello'!$A$57:$A$60,0))=0,0,($O474/INDEX('Parametri Modello'!$F$57:$F$60,MATCH($B474,'Parametri Modello'!$A$57:$A$60,0)))*((1-INDEX('Parametri Modello'!$D$57:$D$60,MATCH($B474,'Parametri Modello'!$A$57:$A$60,0)))*(INDEX('Parametri Modello'!$B$50:$B$53,MATCH($B474,'Parametri Modello'!$A$50:$A$53,0))*'Parametri Modello'!$B$44))))*(1+IF(IF($B474="D",'Info Lega'!$B$25,IF($B474="C",'Info Lega'!$B$26,"No"))="Si",'Parametri Modello'!$B$5,0))*(1+MAX(-0.25,MIN(0.25,IF(OR($T474="",$I474="",$I474=0,INDEX('Parametri Modello'!$B$19:$B$22,MATCH($B474,'Parametri Modello'!$A$19:$A$22,0))="",INDEX('Parametri Modello'!$B$19:$B$22,MATCH($B474,'Parametri Modello'!$A$19:$A$22,0))=0),0,(($T474-INDEX('Parametri Modello'!$B$19:$B$22,MATCH($B474,'Parametri Modello'!$A$19:$A$22,0)))/INDEX('Parametri Modello'!$B$19:$B$22,MATCH($B474,'Parametri Modello'!$A$19:$A$22,0)))*'Parametri Modello'!$B$9))))*(1+IF('Parametri Modello'!$B$27="Si",MAX(-'Parametri Modello'!$B$28,MIN('Parametri Modello'!$B$28*1.5,IF(OR(INDEX('Parametri Modello'!$F$32:$F$35,MATCH($B474,'Parametri Modello'!$A$32:$A$35,0))="",INDEX('Parametri Modello'!$F$32:$F$35,MATCH($B474,'Parametri Modello'!$A$32:$A$35,0))=0),0,(1/INDEX('Parametri Modello'!$F$32:$F$35,MATCH($B474,'Parametri Modello'!$A$32:$A$35,0))-1)*'Parametri Modello'!$B$28))),0)))*(1-INDEX('Parametri Modello'!$B$12:$B$15,MATCH($B474,'Parametri Modello'!$A$12:$A$15,0)))),0),"")</f>
        <v>1</v>
      </c>
      <c r="H474" s="27" t="n">
        <f aca="false">IFERROR(ROUND((IF($V474&lt;=INDEX('Parametri Modello'!$C$57:$C$60,MATCH($B474,'Parametri Modello'!$A$57:$A$60,0)),IF(INDEX('Parametri Modello'!$E$57:$E$60,MATCH($B474,'Parametri Modello'!$A$57:$A$60,0))=0,0,($O474/INDEX('Parametri Modello'!$E$57:$E$60,MATCH($B474,'Parametri Modello'!$A$57:$A$60,0)))*(INDEX('Parametri Modello'!$D$57:$D$60,MATCH($B474,'Parametri Modello'!$A$57:$A$60,0))*(INDEX('Parametri Modello'!$B$50:$B$53,MATCH($B474,'Parametri Modello'!$A$50:$A$53,0))*'Parametri Modello'!$B$44))),IF(INDEX('Parametri Modello'!$F$57:$F$60,MATCH($B474,'Parametri Modello'!$A$57:$A$60,0))=0,0,($O474/INDEX('Parametri Modello'!$F$57:$F$60,MATCH($B474,'Parametri Modello'!$A$57:$A$60,0)))*((1-INDEX('Parametri Modello'!$D$57:$D$60,MATCH($B474,'Parametri Modello'!$A$57:$A$60,0)))*(INDEX('Parametri Modello'!$B$50:$B$53,MATCH($B474,'Parametri Modello'!$A$50:$A$53,0))*'Parametri Modello'!$B$44))))*(1+IF(IF($B474="D",'Info Lega'!$B$25,IF($B474="C",'Info Lega'!$B$26,"No"))="Si",'Parametri Modello'!$B$5,0))*(1+MAX(-0.25,MIN(0.25,IF(OR($T474="",$I474="",$I474=0,INDEX('Parametri Modello'!$B$19:$B$22,MATCH($B474,'Parametri Modello'!$A$19:$A$22,0))="",INDEX('Parametri Modello'!$B$19:$B$22,MATCH($B474,'Parametri Modello'!$A$19:$A$22,0))=0),0,(($T474-INDEX('Parametri Modello'!$B$19:$B$22,MATCH($B474,'Parametri Modello'!$A$19:$A$22,0)))/INDEX('Parametri Modello'!$B$19:$B$22,MATCH($B474,'Parametri Modello'!$A$19:$A$22,0)))*'Parametri Modello'!$B$9))))*(1+IF('Parametri Modello'!$B$27="Si",MAX(-'Parametri Modello'!$B$28,MIN('Parametri Modello'!$B$28*1.5,IF(OR(INDEX('Parametri Modello'!$F$32:$F$35,MATCH($B474,'Parametri Modello'!$A$32:$A$35,0))="",INDEX('Parametri Modello'!$F$32:$F$35,MATCH($B474,'Parametri Modello'!$A$32:$A$35,0))=0),0,(1/INDEX('Parametri Modello'!$F$32:$F$35,MATCH($B474,'Parametri Modello'!$A$32:$A$35,0))-1)*'Parametri Modello'!$B$28))),0)))*(1+INDEX('Parametri Modello'!$B$12:$B$15,MATCH($B474,'Parametri Modello'!$A$12:$A$15,0))),0),"")</f>
        <v>0</v>
      </c>
      <c r="I474" s="26" t="str">
        <f aca="false">IFERROR(INDEX('Input Statistiche 2025_26'!$F$3:$F$665,MATCH($A474,'Input Statistiche 2025_26'!$A$3:$A$665,0)),"")</f>
        <v/>
      </c>
      <c r="J474" s="26" t="str">
        <f aca="false">IFERROR(IF($I474="","",MAX(0,38-$I474)),"")</f>
        <v/>
      </c>
      <c r="K474" s="26" t="str">
        <f aca="false">IFERROR(INDEX('Input Statistiche 2025_26'!$I$3:$I$665,MATCH($A474,'Input Statistiche 2025_26'!$A$3:$A$665,0)),"")</f>
        <v/>
      </c>
      <c r="L474" s="26" t="str">
        <f aca="false">IFERROR(INDEX('Input Statistiche 2025_26'!$O$3:$O$665,MATCH($A474,'Input Statistiche 2025_26'!$A$3:$A$665,0)),"")</f>
        <v/>
      </c>
      <c r="M474" s="28"/>
      <c r="N474" s="27" t="n">
        <f aca="false">IFERROR(INDEX('Input Giocatori 2026_27'!$E$3:$E$493,MATCH($A474,'Input Giocatori 2026_27'!$A$3:$A$493,0)),"")</f>
        <v>1</v>
      </c>
      <c r="O474" s="27" t="n">
        <f aca="false">IFERROR(INDEX('Input Giocatori 2026_27'!$G$3:$G$493,MATCH($A474,'Input Giocatori 2026_27'!$A$3:$A$493,0)),"")</f>
        <v>1</v>
      </c>
      <c r="P474" s="26" t="str">
        <f aca="false">IFERROR(IF($O474="","",IF((1-(COUNTIFS($B$2:$B$492,$B474,$O$2:$O$492,"&gt;"&amp;$O474)+1-1)/COUNTIF($B$2:$B$492,$B474))&gt;=0.85,"Top",IF((1-(COUNTIFS($B$2:$B$492,$B474,$O$2:$O$492,"&gt;"&amp;$O474)+1-1)/COUNTIF($B$2:$B$492,$B474))&gt;=0.6,"Buono",IF((1-(COUNTIFS($B$2:$B$492,$B474,$O$2:$O$492,"&gt;"&amp;$O474)+1-1)/COUNTIF($B$2:$B$492,$B474))&gt;=0.3,"Nella Media","Scommessa/Riserva")))),"")</f>
        <v>Nella Media</v>
      </c>
      <c r="Q474" s="29" t="n">
        <f aca="false">IF($D474="",COUNTIF($D$2:$D474,""),"")</f>
        <v>473</v>
      </c>
      <c r="R474" s="29" t="str">
        <f aca="false">IF($D474='Info Lega'!$B$28,COUNTIFS($D$2:$D474,'Info Lega'!$B$28),"")</f>
        <v/>
      </c>
      <c r="S474" s="30" t="str">
        <f aca="false">IFERROR(INDEX('Input Statistiche 2025_26'!$G$3:$G$665,MATCH($A474,'Input Statistiche 2025_26'!$A$3:$A$665,0)),"")</f>
        <v/>
      </c>
      <c r="T474" s="30" t="str">
        <f aca="false">IFERROR(INDEX('Input Statistiche 2025_26'!$H$3:$H$665,MATCH($A474,'Input Statistiche 2025_26'!$A$3:$A$665,0)),"")</f>
        <v/>
      </c>
      <c r="U474" s="26" t="str">
        <f aca="false">IF(OR('La Mia Rosa'!$O$12="",$D474&lt;&gt;""),"",IF($F474&lt;='La Mia Rosa'!$O$12*'Parametri Modello'!$B$24,"OK",IF($F474&lt;='La Mia Rosa'!$O$12*'Parametri Modello'!$B$25,"Attenzione","Rischio Alto")))</f>
        <v>OK</v>
      </c>
      <c r="V474" s="26" t="n">
        <f aca="false">IFERROR(COUNTIFS($B$2:$B$492,$B474,$O$2:$O$492,"&gt;"&amp;$O474)+1,"")</f>
        <v>26</v>
      </c>
      <c r="W474" s="21" t="n">
        <f aca="false">'Info Lega'!$B$4-SUMIFS($M$2:$M$492,$D$2:$D$492,'Info Lega'!$B$28)</f>
        <v>1000</v>
      </c>
      <c r="X474" s="21" t="n">
        <f aca="false">('Info Lega'!$B$5-COUNTIFS($D$2:$D$492,'Info Lega'!$B$28,$B$2:$B$492,"P"))+('Info Lega'!$B$6-COUNTIFS($D$2:$D$492,'Info Lega'!$B$28,$B$2:$B$492,"D"))+('Info Lega'!$B$7-COUNTIFS($D$2:$D$492,'Info Lega'!$B$28,$B$2:$B$492,"C"))+('Info Lega'!$B$8-COUNTIFS($D$2:$D$492,'Info Lega'!$B$28,$B$2:$B$492,"A"))</f>
        <v>25</v>
      </c>
      <c r="Y474" s="21" t="n">
        <f aca="false">X474*'Parametri Modello'!$B$30</f>
        <v>25</v>
      </c>
      <c r="Z474" s="21" t="n">
        <f aca="false">MAX(0,W474-Y474)</f>
        <v>975</v>
      </c>
      <c r="AA474" s="21" t="n">
        <f aca="false">MIN(F474,Z474)</f>
        <v>0</v>
      </c>
      <c r="AB474" s="21"/>
      <c r="AC474" s="21" t="str">
        <f aca="false">IF(AB474="","",IF(AB474&gt;AA474,"PASS",IF(AB474&lt;=AA474*0.85,"BID","ATTENZIONE")))</f>
        <v/>
      </c>
      <c r="AD474" s="31" t="str">
        <f aca="false">IF(I474="","",ROUND(100*(1-EXP(-I474/30)),0))</f>
        <v/>
      </c>
      <c r="AE474" s="7" t="str">
        <f aca="false">IFERROR(INDEX('Stato Asta'!$G$9:$G$12,MATCH($B474,'Stato Asta'!$A$9:$A$12,0)),"")</f>
        <v>🟡 Attesa rischiosa</v>
      </c>
    </row>
    <row r="475" customFormat="false" ht="14.25" hidden="false" customHeight="true" outlineLevel="0" collapsed="false">
      <c r="A475" s="21" t="n">
        <v>6672</v>
      </c>
      <c r="B475" s="21" t="s">
        <v>44</v>
      </c>
      <c r="C475" s="21" t="s">
        <v>238</v>
      </c>
      <c r="E475" s="26" t="str">
        <f aca="false">IF(COUNTIF('Info Strategia'!$D$2:$D$51,$C475)&gt;0,"SI","NO")</f>
        <v>NO</v>
      </c>
      <c r="F475" s="27" t="n">
        <f aca="false">IFERROR(ROUND(($G475+($H475-$G475)*'Info Strategia'!$B$6)*(1+IF($E475="SI",'Parametri Modello'!$B$7*'Info Strategia'!$B$6,0)),0),"")</f>
        <v>0</v>
      </c>
      <c r="G475" s="27" t="n">
        <f aca="false">IFERROR(ROUND(MAX(1,(IF($V475&lt;=INDEX('Parametri Modello'!$C$57:$C$60,MATCH($B475,'Parametri Modello'!$A$57:$A$60,0)),IF(INDEX('Parametri Modello'!$E$57:$E$60,MATCH($B475,'Parametri Modello'!$A$57:$A$60,0))=0,0,($O475/INDEX('Parametri Modello'!$E$57:$E$60,MATCH($B475,'Parametri Modello'!$A$57:$A$60,0)))*(INDEX('Parametri Modello'!$D$57:$D$60,MATCH($B475,'Parametri Modello'!$A$57:$A$60,0))*(INDEX('Parametri Modello'!$B$50:$B$53,MATCH($B475,'Parametri Modello'!$A$50:$A$53,0))*'Parametri Modello'!$B$44))),IF(INDEX('Parametri Modello'!$F$57:$F$60,MATCH($B475,'Parametri Modello'!$A$57:$A$60,0))=0,0,($O475/INDEX('Parametri Modello'!$F$57:$F$60,MATCH($B475,'Parametri Modello'!$A$57:$A$60,0)))*((1-INDEX('Parametri Modello'!$D$57:$D$60,MATCH($B475,'Parametri Modello'!$A$57:$A$60,0)))*(INDEX('Parametri Modello'!$B$50:$B$53,MATCH($B475,'Parametri Modello'!$A$50:$A$53,0))*'Parametri Modello'!$B$44))))*(1+IF(IF($B475="D",'Info Lega'!$B$25,IF($B475="C",'Info Lega'!$B$26,"No"))="Si",'Parametri Modello'!$B$5,0))*(1+MAX(-0.25,MIN(0.25,IF(OR($T475="",$I475="",$I475=0,INDEX('Parametri Modello'!$B$19:$B$22,MATCH($B475,'Parametri Modello'!$A$19:$A$22,0))="",INDEX('Parametri Modello'!$B$19:$B$22,MATCH($B475,'Parametri Modello'!$A$19:$A$22,0))=0),0,(($T475-INDEX('Parametri Modello'!$B$19:$B$22,MATCH($B475,'Parametri Modello'!$A$19:$A$22,0)))/INDEX('Parametri Modello'!$B$19:$B$22,MATCH($B475,'Parametri Modello'!$A$19:$A$22,0)))*'Parametri Modello'!$B$9))))*(1+IF('Parametri Modello'!$B$27="Si",MAX(-'Parametri Modello'!$B$28,MIN('Parametri Modello'!$B$28*1.5,IF(OR(INDEX('Parametri Modello'!$F$32:$F$35,MATCH($B475,'Parametri Modello'!$A$32:$A$35,0))="",INDEX('Parametri Modello'!$F$32:$F$35,MATCH($B475,'Parametri Modello'!$A$32:$A$35,0))=0),0,(1/INDEX('Parametri Modello'!$F$32:$F$35,MATCH($B475,'Parametri Modello'!$A$32:$A$35,0))-1)*'Parametri Modello'!$B$28))),0)))*(1-INDEX('Parametri Modello'!$B$12:$B$15,MATCH($B475,'Parametri Modello'!$A$12:$A$15,0)))),0),"")</f>
        <v>1</v>
      </c>
      <c r="H475" s="27" t="n">
        <f aca="false">IFERROR(ROUND((IF($V475&lt;=INDEX('Parametri Modello'!$C$57:$C$60,MATCH($B475,'Parametri Modello'!$A$57:$A$60,0)),IF(INDEX('Parametri Modello'!$E$57:$E$60,MATCH($B475,'Parametri Modello'!$A$57:$A$60,0))=0,0,($O475/INDEX('Parametri Modello'!$E$57:$E$60,MATCH($B475,'Parametri Modello'!$A$57:$A$60,0)))*(INDEX('Parametri Modello'!$D$57:$D$60,MATCH($B475,'Parametri Modello'!$A$57:$A$60,0))*(INDEX('Parametri Modello'!$B$50:$B$53,MATCH($B475,'Parametri Modello'!$A$50:$A$53,0))*'Parametri Modello'!$B$44))),IF(INDEX('Parametri Modello'!$F$57:$F$60,MATCH($B475,'Parametri Modello'!$A$57:$A$60,0))=0,0,($O475/INDEX('Parametri Modello'!$F$57:$F$60,MATCH($B475,'Parametri Modello'!$A$57:$A$60,0)))*((1-INDEX('Parametri Modello'!$D$57:$D$60,MATCH($B475,'Parametri Modello'!$A$57:$A$60,0)))*(INDEX('Parametri Modello'!$B$50:$B$53,MATCH($B475,'Parametri Modello'!$A$50:$A$53,0))*'Parametri Modello'!$B$44))))*(1+IF(IF($B475="D",'Info Lega'!$B$25,IF($B475="C",'Info Lega'!$B$26,"No"))="Si",'Parametri Modello'!$B$5,0))*(1+MAX(-0.25,MIN(0.25,IF(OR($T475="",$I475="",$I475=0,INDEX('Parametri Modello'!$B$19:$B$22,MATCH($B475,'Parametri Modello'!$A$19:$A$22,0))="",INDEX('Parametri Modello'!$B$19:$B$22,MATCH($B475,'Parametri Modello'!$A$19:$A$22,0))=0),0,(($T475-INDEX('Parametri Modello'!$B$19:$B$22,MATCH($B475,'Parametri Modello'!$A$19:$A$22,0)))/INDEX('Parametri Modello'!$B$19:$B$22,MATCH($B475,'Parametri Modello'!$A$19:$A$22,0)))*'Parametri Modello'!$B$9))))*(1+IF('Parametri Modello'!$B$27="Si",MAX(-'Parametri Modello'!$B$28,MIN('Parametri Modello'!$B$28*1.5,IF(OR(INDEX('Parametri Modello'!$F$32:$F$35,MATCH($B475,'Parametri Modello'!$A$32:$A$35,0))="",INDEX('Parametri Modello'!$F$32:$F$35,MATCH($B475,'Parametri Modello'!$A$32:$A$35,0))=0),0,(1/INDEX('Parametri Modello'!$F$32:$F$35,MATCH($B475,'Parametri Modello'!$A$32:$A$35,0))-1)*'Parametri Modello'!$B$28))),0)))*(1+INDEX('Parametri Modello'!$B$12:$B$15,MATCH($B475,'Parametri Modello'!$A$12:$A$15,0))),0),"")</f>
        <v>0</v>
      </c>
      <c r="I475" s="26" t="n">
        <f aca="false">IFERROR(INDEX('Input Statistiche 2025_26'!$F$3:$F$665,MATCH($A475,'Input Statistiche 2025_26'!$A$3:$A$665,0)),"")</f>
        <v>35</v>
      </c>
      <c r="J475" s="26" t="n">
        <f aca="false">IFERROR(IF($I475="","",MAX(0,38-$I475)),"")</f>
        <v>3</v>
      </c>
      <c r="K475" s="26" t="n">
        <f aca="false">IFERROR(INDEX('Input Statistiche 2025_26'!$I$3:$I$665,MATCH($A475,'Input Statistiche 2025_26'!$A$3:$A$665,0)),"")</f>
        <v>0</v>
      </c>
      <c r="L475" s="26" t="n">
        <f aca="false">IFERROR(INDEX('Input Statistiche 2025_26'!$O$3:$O$665,MATCH($A475,'Input Statistiche 2025_26'!$A$3:$A$665,0)),"")</f>
        <v>0</v>
      </c>
      <c r="M475" s="28"/>
      <c r="N475" s="27" t="n">
        <f aca="false">IFERROR(INDEX('Input Giocatori 2026_27'!$E$3:$E$493,MATCH($A475,'Input Giocatori 2026_27'!$A$3:$A$493,0)),"")</f>
        <v>7</v>
      </c>
      <c r="O475" s="27" t="n">
        <f aca="false">IFERROR(INDEX('Input Giocatori 2026_27'!$G$3:$G$493,MATCH($A475,'Input Giocatori 2026_27'!$A$3:$A$493,0)),"")</f>
        <v>1</v>
      </c>
      <c r="P475" s="26" t="str">
        <f aca="false">IFERROR(IF($O475="","",IF((1-(COUNTIFS($B$2:$B$492,$B475,$O$2:$O$492,"&gt;"&amp;$O475)+1-1)/COUNTIF($B$2:$B$492,$B475))&gt;=0.85,"Top",IF((1-(COUNTIFS($B$2:$B$492,$B475,$O$2:$O$492,"&gt;"&amp;$O475)+1-1)/COUNTIF($B$2:$B$492,$B475))&gt;=0.6,"Buono",IF((1-(COUNTIFS($B$2:$B$492,$B475,$O$2:$O$492,"&gt;"&amp;$O475)+1-1)/COUNTIF($B$2:$B$492,$B475))&gt;=0.3,"Nella Media","Scommessa/Riserva")))),"")</f>
        <v>Scommessa/Riserva</v>
      </c>
      <c r="Q475" s="29" t="n">
        <f aca="false">IF($D475="",COUNTIF($D$2:$D475,""),"")</f>
        <v>474</v>
      </c>
      <c r="R475" s="29" t="str">
        <f aca="false">IF($D475='Info Lega'!$B$28,COUNTIFS($D$2:$D475,'Info Lega'!$B$28),"")</f>
        <v/>
      </c>
      <c r="S475" s="30" t="n">
        <f aca="false">IFERROR(INDEX('Input Statistiche 2025_26'!$G$3:$G$665,MATCH($A475,'Input Statistiche 2025_26'!$A$3:$A$665,0)),"")</f>
        <v>5.94</v>
      </c>
      <c r="T475" s="30" t="n">
        <f aca="false">IFERROR(INDEX('Input Statistiche 2025_26'!$H$3:$H$665,MATCH($A475,'Input Statistiche 2025_26'!$A$3:$A$665,0)),"")</f>
        <v>5.9</v>
      </c>
      <c r="U475" s="26" t="str">
        <f aca="false">IF(OR('La Mia Rosa'!$O$12="",$D475&lt;&gt;""),"",IF($F475&lt;='La Mia Rosa'!$O$12*'Parametri Modello'!$B$24,"OK",IF($F475&lt;='La Mia Rosa'!$O$12*'Parametri Modello'!$B$25,"Attenzione","Rischio Alto")))</f>
        <v>OK</v>
      </c>
      <c r="V475" s="26" t="n">
        <f aca="false">IFERROR(COUNTIFS($B$2:$B$492,$B475,$O$2:$O$492,"&gt;"&amp;$O475)+1,"")</f>
        <v>168</v>
      </c>
      <c r="W475" s="21" t="n">
        <f aca="false">'Info Lega'!$B$4-SUMIFS($M$2:$M$492,$D$2:$D$492,'Info Lega'!$B$28)</f>
        <v>1000</v>
      </c>
      <c r="X475" s="21" t="n">
        <f aca="false">('Info Lega'!$B$5-COUNTIFS($D$2:$D$492,'Info Lega'!$B$28,$B$2:$B$492,"P"))+('Info Lega'!$B$6-COUNTIFS($D$2:$D$492,'Info Lega'!$B$28,$B$2:$B$492,"D"))+('Info Lega'!$B$7-COUNTIFS($D$2:$D$492,'Info Lega'!$B$28,$B$2:$B$492,"C"))+('Info Lega'!$B$8-COUNTIFS($D$2:$D$492,'Info Lega'!$B$28,$B$2:$B$492,"A"))</f>
        <v>25</v>
      </c>
      <c r="Y475" s="21" t="n">
        <f aca="false">X475*'Parametri Modello'!$B$30</f>
        <v>25</v>
      </c>
      <c r="Z475" s="21" t="n">
        <f aca="false">MAX(0,W475-Y475)</f>
        <v>975</v>
      </c>
      <c r="AA475" s="21" t="n">
        <f aca="false">MIN(F475,Z475)</f>
        <v>0</v>
      </c>
      <c r="AB475" s="21"/>
      <c r="AC475" s="21" t="str">
        <f aca="false">IF(AB475="","",IF(AB475&gt;AA475,"PASS",IF(AB475&lt;=AA475*0.85,"BID","ATTENZIONE")))</f>
        <v/>
      </c>
      <c r="AD475" s="31" t="n">
        <f aca="false">IF(I475="","",ROUND(100*(1-EXP(-I475/30)),0))</f>
        <v>69</v>
      </c>
      <c r="AE475" s="7" t="str">
        <f aca="false">IFERROR(INDEX('Stato Asta'!$G$9:$G$12,MATCH($B475,'Stato Asta'!$A$9:$A$12,0)),"")</f>
        <v>🟡 Attesa rischiosa</v>
      </c>
    </row>
    <row r="476" customFormat="false" ht="14.25" hidden="false" customHeight="true" outlineLevel="0" collapsed="false">
      <c r="A476" s="21" t="n">
        <v>7346</v>
      </c>
      <c r="B476" s="21" t="s">
        <v>44</v>
      </c>
      <c r="C476" s="21" t="s">
        <v>340</v>
      </c>
      <c r="E476" s="26" t="str">
        <f aca="false">IF(COUNTIF('Info Strategia'!$D$2:$D$51,$C476)&gt;0,"SI","NO")</f>
        <v>NO</v>
      </c>
      <c r="F476" s="27" t="n">
        <f aca="false">IFERROR(ROUND(($G476+($H476-$G476)*'Info Strategia'!$B$6)*(1+IF($E476="SI",'Parametri Modello'!$B$7*'Info Strategia'!$B$6,0)),0),"")</f>
        <v>0</v>
      </c>
      <c r="G476" s="27" t="n">
        <f aca="false">IFERROR(ROUND(MAX(1,(IF($V476&lt;=INDEX('Parametri Modello'!$C$57:$C$60,MATCH($B476,'Parametri Modello'!$A$57:$A$60,0)),IF(INDEX('Parametri Modello'!$E$57:$E$60,MATCH($B476,'Parametri Modello'!$A$57:$A$60,0))=0,0,($O476/INDEX('Parametri Modello'!$E$57:$E$60,MATCH($B476,'Parametri Modello'!$A$57:$A$60,0)))*(INDEX('Parametri Modello'!$D$57:$D$60,MATCH($B476,'Parametri Modello'!$A$57:$A$60,0))*(INDEX('Parametri Modello'!$B$50:$B$53,MATCH($B476,'Parametri Modello'!$A$50:$A$53,0))*'Parametri Modello'!$B$44))),IF(INDEX('Parametri Modello'!$F$57:$F$60,MATCH($B476,'Parametri Modello'!$A$57:$A$60,0))=0,0,($O476/INDEX('Parametri Modello'!$F$57:$F$60,MATCH($B476,'Parametri Modello'!$A$57:$A$60,0)))*((1-INDEX('Parametri Modello'!$D$57:$D$60,MATCH($B476,'Parametri Modello'!$A$57:$A$60,0)))*(INDEX('Parametri Modello'!$B$50:$B$53,MATCH($B476,'Parametri Modello'!$A$50:$A$53,0))*'Parametri Modello'!$B$44))))*(1+IF(IF($B476="D",'Info Lega'!$B$25,IF($B476="C",'Info Lega'!$B$26,"No"))="Si",'Parametri Modello'!$B$5,0))*(1+MAX(-0.25,MIN(0.25,IF(OR($T476="",$I476="",$I476=0,INDEX('Parametri Modello'!$B$19:$B$22,MATCH($B476,'Parametri Modello'!$A$19:$A$22,0))="",INDEX('Parametri Modello'!$B$19:$B$22,MATCH($B476,'Parametri Modello'!$A$19:$A$22,0))=0),0,(($T476-INDEX('Parametri Modello'!$B$19:$B$22,MATCH($B476,'Parametri Modello'!$A$19:$A$22,0)))/INDEX('Parametri Modello'!$B$19:$B$22,MATCH($B476,'Parametri Modello'!$A$19:$A$22,0)))*'Parametri Modello'!$B$9))))*(1+IF('Parametri Modello'!$B$27="Si",MAX(-'Parametri Modello'!$B$28,MIN('Parametri Modello'!$B$28*1.5,IF(OR(INDEX('Parametri Modello'!$F$32:$F$35,MATCH($B476,'Parametri Modello'!$A$32:$A$35,0))="",INDEX('Parametri Modello'!$F$32:$F$35,MATCH($B476,'Parametri Modello'!$A$32:$A$35,0))=0),0,(1/INDEX('Parametri Modello'!$F$32:$F$35,MATCH($B476,'Parametri Modello'!$A$32:$A$35,0))-1)*'Parametri Modello'!$B$28))),0)))*(1-INDEX('Parametri Modello'!$B$12:$B$15,MATCH($B476,'Parametri Modello'!$A$12:$A$15,0)))),0),"")</f>
        <v>1</v>
      </c>
      <c r="H476" s="27" t="n">
        <f aca="false">IFERROR(ROUND((IF($V476&lt;=INDEX('Parametri Modello'!$C$57:$C$60,MATCH($B476,'Parametri Modello'!$A$57:$A$60,0)),IF(INDEX('Parametri Modello'!$E$57:$E$60,MATCH($B476,'Parametri Modello'!$A$57:$A$60,0))=0,0,($O476/INDEX('Parametri Modello'!$E$57:$E$60,MATCH($B476,'Parametri Modello'!$A$57:$A$60,0)))*(INDEX('Parametri Modello'!$D$57:$D$60,MATCH($B476,'Parametri Modello'!$A$57:$A$60,0))*(INDEX('Parametri Modello'!$B$50:$B$53,MATCH($B476,'Parametri Modello'!$A$50:$A$53,0))*'Parametri Modello'!$B$44))),IF(INDEX('Parametri Modello'!$F$57:$F$60,MATCH($B476,'Parametri Modello'!$A$57:$A$60,0))=0,0,($O476/INDEX('Parametri Modello'!$F$57:$F$60,MATCH($B476,'Parametri Modello'!$A$57:$A$60,0)))*((1-INDEX('Parametri Modello'!$D$57:$D$60,MATCH($B476,'Parametri Modello'!$A$57:$A$60,0)))*(INDEX('Parametri Modello'!$B$50:$B$53,MATCH($B476,'Parametri Modello'!$A$50:$A$53,0))*'Parametri Modello'!$B$44))))*(1+IF(IF($B476="D",'Info Lega'!$B$25,IF($B476="C",'Info Lega'!$B$26,"No"))="Si",'Parametri Modello'!$B$5,0))*(1+MAX(-0.25,MIN(0.25,IF(OR($T476="",$I476="",$I476=0,INDEX('Parametri Modello'!$B$19:$B$22,MATCH($B476,'Parametri Modello'!$A$19:$A$22,0))="",INDEX('Parametri Modello'!$B$19:$B$22,MATCH($B476,'Parametri Modello'!$A$19:$A$22,0))=0),0,(($T476-INDEX('Parametri Modello'!$B$19:$B$22,MATCH($B476,'Parametri Modello'!$A$19:$A$22,0)))/INDEX('Parametri Modello'!$B$19:$B$22,MATCH($B476,'Parametri Modello'!$A$19:$A$22,0)))*'Parametri Modello'!$B$9))))*(1+IF('Parametri Modello'!$B$27="Si",MAX(-'Parametri Modello'!$B$28,MIN('Parametri Modello'!$B$28*1.5,IF(OR(INDEX('Parametri Modello'!$F$32:$F$35,MATCH($B476,'Parametri Modello'!$A$32:$A$35,0))="",INDEX('Parametri Modello'!$F$32:$F$35,MATCH($B476,'Parametri Modello'!$A$32:$A$35,0))=0),0,(1/INDEX('Parametri Modello'!$F$32:$F$35,MATCH($B476,'Parametri Modello'!$A$32:$A$35,0))-1)*'Parametri Modello'!$B$28))),0)))*(1+INDEX('Parametri Modello'!$B$12:$B$15,MATCH($B476,'Parametri Modello'!$A$12:$A$15,0))),0),"")</f>
        <v>0</v>
      </c>
      <c r="I476" s="26" t="n">
        <f aca="false">IFERROR(INDEX('Input Statistiche 2025_26'!$F$3:$F$665,MATCH($A476,'Input Statistiche 2025_26'!$A$3:$A$665,0)),"")</f>
        <v>0</v>
      </c>
      <c r="J476" s="26" t="n">
        <f aca="false">IFERROR(IF($I476="","",MAX(0,38-$I476)),"")</f>
        <v>38</v>
      </c>
      <c r="K476" s="26" t="n">
        <f aca="false">IFERROR(INDEX('Input Statistiche 2025_26'!$I$3:$I$665,MATCH($A476,'Input Statistiche 2025_26'!$A$3:$A$665,0)),"")</f>
        <v>0</v>
      </c>
      <c r="L476" s="26" t="n">
        <f aca="false">IFERROR(INDEX('Input Statistiche 2025_26'!$O$3:$O$665,MATCH($A476,'Input Statistiche 2025_26'!$A$3:$A$665,0)),"")</f>
        <v>0</v>
      </c>
      <c r="M476" s="28"/>
      <c r="N476" s="27" t="n">
        <f aca="false">IFERROR(INDEX('Input Giocatori 2026_27'!$E$3:$E$493,MATCH($A476,'Input Giocatori 2026_27'!$A$3:$A$493,0)),"")</f>
        <v>1</v>
      </c>
      <c r="O476" s="27" t="n">
        <f aca="false">IFERROR(INDEX('Input Giocatori 2026_27'!$G$3:$G$493,MATCH($A476,'Input Giocatori 2026_27'!$A$3:$A$493,0)),"")</f>
        <v>1</v>
      </c>
      <c r="P476" s="26" t="str">
        <f aca="false">IFERROR(IF($O476="","",IF((1-(COUNTIFS($B$2:$B$492,$B476,$O$2:$O$492,"&gt;"&amp;$O476)+1-1)/COUNTIF($B$2:$B$492,$B476))&gt;=0.85,"Top",IF((1-(COUNTIFS($B$2:$B$492,$B476,$O$2:$O$492,"&gt;"&amp;$O476)+1-1)/COUNTIF($B$2:$B$492,$B476))&gt;=0.6,"Buono",IF((1-(COUNTIFS($B$2:$B$492,$B476,$O$2:$O$492,"&gt;"&amp;$O476)+1-1)/COUNTIF($B$2:$B$492,$B476))&gt;=0.3,"Nella Media","Scommessa/Riserva")))),"")</f>
        <v>Scommessa/Riserva</v>
      </c>
      <c r="Q476" s="29" t="n">
        <f aca="false">IF($D476="",COUNTIF($D$2:$D476,""),"")</f>
        <v>475</v>
      </c>
      <c r="R476" s="29" t="str">
        <f aca="false">IF($D476='Info Lega'!$B$28,COUNTIFS($D$2:$D476,'Info Lega'!$B$28),"")</f>
        <v/>
      </c>
      <c r="S476" s="30" t="n">
        <f aca="false">IFERROR(INDEX('Input Statistiche 2025_26'!$G$3:$G$665,MATCH($A476,'Input Statistiche 2025_26'!$A$3:$A$665,0)),"")</f>
        <v>0</v>
      </c>
      <c r="T476" s="30" t="n">
        <f aca="false">IFERROR(INDEX('Input Statistiche 2025_26'!$H$3:$H$665,MATCH($A476,'Input Statistiche 2025_26'!$A$3:$A$665,0)),"")</f>
        <v>0</v>
      </c>
      <c r="U476" s="26" t="str">
        <f aca="false">IF(OR('La Mia Rosa'!$O$12="",$D476&lt;&gt;""),"",IF($F476&lt;='La Mia Rosa'!$O$12*'Parametri Modello'!$B$24,"OK",IF($F476&lt;='La Mia Rosa'!$O$12*'Parametri Modello'!$B$25,"Attenzione","Rischio Alto")))</f>
        <v>OK</v>
      </c>
      <c r="V476" s="26" t="n">
        <f aca="false">IFERROR(COUNTIFS($B$2:$B$492,$B476,$O$2:$O$492,"&gt;"&amp;$O476)+1,"")</f>
        <v>168</v>
      </c>
      <c r="W476" s="21" t="n">
        <f aca="false">'Info Lega'!$B$4-SUMIFS($M$2:$M$492,$D$2:$D$492,'Info Lega'!$B$28)</f>
        <v>1000</v>
      </c>
      <c r="X476" s="21" t="n">
        <f aca="false">('Info Lega'!$B$5-COUNTIFS($D$2:$D$492,'Info Lega'!$B$28,$B$2:$B$492,"P"))+('Info Lega'!$B$6-COUNTIFS($D$2:$D$492,'Info Lega'!$B$28,$B$2:$B$492,"D"))+('Info Lega'!$B$7-COUNTIFS($D$2:$D$492,'Info Lega'!$B$28,$B$2:$B$492,"C"))+('Info Lega'!$B$8-COUNTIFS($D$2:$D$492,'Info Lega'!$B$28,$B$2:$B$492,"A"))</f>
        <v>25</v>
      </c>
      <c r="Y476" s="21" t="n">
        <f aca="false">X476*'Parametri Modello'!$B$30</f>
        <v>25</v>
      </c>
      <c r="Z476" s="21" t="n">
        <f aca="false">MAX(0,W476-Y476)</f>
        <v>975</v>
      </c>
      <c r="AA476" s="21" t="n">
        <f aca="false">MIN(F476,Z476)</f>
        <v>0</v>
      </c>
      <c r="AB476" s="21"/>
      <c r="AC476" s="21" t="str">
        <f aca="false">IF(AB476="","",IF(AB476&gt;AA476,"PASS",IF(AB476&lt;=AA476*0.85,"BID","ATTENZIONE")))</f>
        <v/>
      </c>
      <c r="AD476" s="31" t="n">
        <f aca="false">IF(I476="","",ROUND(100*(1-EXP(-I476/30)),0))</f>
        <v>0</v>
      </c>
      <c r="AE476" s="7" t="str">
        <f aca="false">IFERROR(INDEX('Stato Asta'!$G$9:$G$12,MATCH($B476,'Stato Asta'!$A$9:$A$12,0)),"")</f>
        <v>🟡 Attesa rischiosa</v>
      </c>
    </row>
    <row r="477" customFormat="false" ht="14.25" hidden="false" customHeight="true" outlineLevel="0" collapsed="false">
      <c r="A477" s="21" t="n">
        <v>418</v>
      </c>
      <c r="B477" s="21" t="s">
        <v>44</v>
      </c>
      <c r="C477" s="21" t="s">
        <v>341</v>
      </c>
      <c r="E477" s="26" t="str">
        <f aca="false">IF(COUNTIF('Info Strategia'!$D$2:$D$51,$C477)&gt;0,"SI","NO")</f>
        <v>NO</v>
      </c>
      <c r="F477" s="27" t="n">
        <f aca="false">IFERROR(ROUND(($G477+($H477-$G477)*'Info Strategia'!$B$6)*(1+IF($E477="SI",'Parametri Modello'!$B$7*'Info Strategia'!$B$6,0)),0),"")</f>
        <v>0</v>
      </c>
      <c r="G477" s="27" t="n">
        <f aca="false">IFERROR(ROUND(MAX(1,(IF($V477&lt;=INDEX('Parametri Modello'!$C$57:$C$60,MATCH($B477,'Parametri Modello'!$A$57:$A$60,0)),IF(INDEX('Parametri Modello'!$E$57:$E$60,MATCH($B477,'Parametri Modello'!$A$57:$A$60,0))=0,0,($O477/INDEX('Parametri Modello'!$E$57:$E$60,MATCH($B477,'Parametri Modello'!$A$57:$A$60,0)))*(INDEX('Parametri Modello'!$D$57:$D$60,MATCH($B477,'Parametri Modello'!$A$57:$A$60,0))*(INDEX('Parametri Modello'!$B$50:$B$53,MATCH($B477,'Parametri Modello'!$A$50:$A$53,0))*'Parametri Modello'!$B$44))),IF(INDEX('Parametri Modello'!$F$57:$F$60,MATCH($B477,'Parametri Modello'!$A$57:$A$60,0))=0,0,($O477/INDEX('Parametri Modello'!$F$57:$F$60,MATCH($B477,'Parametri Modello'!$A$57:$A$60,0)))*((1-INDEX('Parametri Modello'!$D$57:$D$60,MATCH($B477,'Parametri Modello'!$A$57:$A$60,0)))*(INDEX('Parametri Modello'!$B$50:$B$53,MATCH($B477,'Parametri Modello'!$A$50:$A$53,0))*'Parametri Modello'!$B$44))))*(1+IF(IF($B477="D",'Info Lega'!$B$25,IF($B477="C",'Info Lega'!$B$26,"No"))="Si",'Parametri Modello'!$B$5,0))*(1+MAX(-0.25,MIN(0.25,IF(OR($T477="",$I477="",$I477=0,INDEX('Parametri Modello'!$B$19:$B$22,MATCH($B477,'Parametri Modello'!$A$19:$A$22,0))="",INDEX('Parametri Modello'!$B$19:$B$22,MATCH($B477,'Parametri Modello'!$A$19:$A$22,0))=0),0,(($T477-INDEX('Parametri Modello'!$B$19:$B$22,MATCH($B477,'Parametri Modello'!$A$19:$A$22,0)))/INDEX('Parametri Modello'!$B$19:$B$22,MATCH($B477,'Parametri Modello'!$A$19:$A$22,0)))*'Parametri Modello'!$B$9))))*(1+IF('Parametri Modello'!$B$27="Si",MAX(-'Parametri Modello'!$B$28,MIN('Parametri Modello'!$B$28*1.5,IF(OR(INDEX('Parametri Modello'!$F$32:$F$35,MATCH($B477,'Parametri Modello'!$A$32:$A$35,0))="",INDEX('Parametri Modello'!$F$32:$F$35,MATCH($B477,'Parametri Modello'!$A$32:$A$35,0))=0),0,(1/INDEX('Parametri Modello'!$F$32:$F$35,MATCH($B477,'Parametri Modello'!$A$32:$A$35,0))-1)*'Parametri Modello'!$B$28))),0)))*(1-INDEX('Parametri Modello'!$B$12:$B$15,MATCH($B477,'Parametri Modello'!$A$12:$A$15,0)))),0),"")</f>
        <v>1</v>
      </c>
      <c r="H477" s="27" t="n">
        <f aca="false">IFERROR(ROUND((IF($V477&lt;=INDEX('Parametri Modello'!$C$57:$C$60,MATCH($B477,'Parametri Modello'!$A$57:$A$60,0)),IF(INDEX('Parametri Modello'!$E$57:$E$60,MATCH($B477,'Parametri Modello'!$A$57:$A$60,0))=0,0,($O477/INDEX('Parametri Modello'!$E$57:$E$60,MATCH($B477,'Parametri Modello'!$A$57:$A$60,0)))*(INDEX('Parametri Modello'!$D$57:$D$60,MATCH($B477,'Parametri Modello'!$A$57:$A$60,0))*(INDEX('Parametri Modello'!$B$50:$B$53,MATCH($B477,'Parametri Modello'!$A$50:$A$53,0))*'Parametri Modello'!$B$44))),IF(INDEX('Parametri Modello'!$F$57:$F$60,MATCH($B477,'Parametri Modello'!$A$57:$A$60,0))=0,0,($O477/INDEX('Parametri Modello'!$F$57:$F$60,MATCH($B477,'Parametri Modello'!$A$57:$A$60,0)))*((1-INDEX('Parametri Modello'!$D$57:$D$60,MATCH($B477,'Parametri Modello'!$A$57:$A$60,0)))*(INDEX('Parametri Modello'!$B$50:$B$53,MATCH($B477,'Parametri Modello'!$A$50:$A$53,0))*'Parametri Modello'!$B$44))))*(1+IF(IF($B477="D",'Info Lega'!$B$25,IF($B477="C",'Info Lega'!$B$26,"No"))="Si",'Parametri Modello'!$B$5,0))*(1+MAX(-0.25,MIN(0.25,IF(OR($T477="",$I477="",$I477=0,INDEX('Parametri Modello'!$B$19:$B$22,MATCH($B477,'Parametri Modello'!$A$19:$A$22,0))="",INDEX('Parametri Modello'!$B$19:$B$22,MATCH($B477,'Parametri Modello'!$A$19:$A$22,0))=0),0,(($T477-INDEX('Parametri Modello'!$B$19:$B$22,MATCH($B477,'Parametri Modello'!$A$19:$A$22,0)))/INDEX('Parametri Modello'!$B$19:$B$22,MATCH($B477,'Parametri Modello'!$A$19:$A$22,0)))*'Parametri Modello'!$B$9))))*(1+IF('Parametri Modello'!$B$27="Si",MAX(-'Parametri Modello'!$B$28,MIN('Parametri Modello'!$B$28*1.5,IF(OR(INDEX('Parametri Modello'!$F$32:$F$35,MATCH($B477,'Parametri Modello'!$A$32:$A$35,0))="",INDEX('Parametri Modello'!$F$32:$F$35,MATCH($B477,'Parametri Modello'!$A$32:$A$35,0))=0),0,(1/INDEX('Parametri Modello'!$F$32:$F$35,MATCH($B477,'Parametri Modello'!$A$32:$A$35,0))-1)*'Parametri Modello'!$B$28))),0)))*(1+INDEX('Parametri Modello'!$B$12:$B$15,MATCH($B477,'Parametri Modello'!$A$12:$A$15,0))),0),"")</f>
        <v>0</v>
      </c>
      <c r="I477" s="26" t="n">
        <f aca="false">IFERROR(INDEX('Input Statistiche 2025_26'!$F$3:$F$665,MATCH($A477,'Input Statistiche 2025_26'!$A$3:$A$665,0)),"")</f>
        <v>0</v>
      </c>
      <c r="J477" s="26" t="n">
        <f aca="false">IFERROR(IF($I477="","",MAX(0,38-$I477)),"")</f>
        <v>38</v>
      </c>
      <c r="K477" s="26" t="n">
        <f aca="false">IFERROR(INDEX('Input Statistiche 2025_26'!$I$3:$I$665,MATCH($A477,'Input Statistiche 2025_26'!$A$3:$A$665,0)),"")</f>
        <v>0</v>
      </c>
      <c r="L477" s="26" t="n">
        <f aca="false">IFERROR(INDEX('Input Statistiche 2025_26'!$O$3:$O$665,MATCH($A477,'Input Statistiche 2025_26'!$A$3:$A$665,0)),"")</f>
        <v>0</v>
      </c>
      <c r="M477" s="28"/>
      <c r="N477" s="27" t="n">
        <f aca="false">IFERROR(INDEX('Input Giocatori 2026_27'!$E$3:$E$493,MATCH($A477,'Input Giocatori 2026_27'!$A$3:$A$493,0)),"")</f>
        <v>1</v>
      </c>
      <c r="O477" s="27" t="n">
        <f aca="false">IFERROR(INDEX('Input Giocatori 2026_27'!$G$3:$G$493,MATCH($A477,'Input Giocatori 2026_27'!$A$3:$A$493,0)),"")</f>
        <v>1</v>
      </c>
      <c r="P477" s="26" t="str">
        <f aca="false">IFERROR(IF($O477="","",IF((1-(COUNTIFS($B$2:$B$492,$B477,$O$2:$O$492,"&gt;"&amp;$O477)+1-1)/COUNTIF($B$2:$B$492,$B477))&gt;=0.85,"Top",IF((1-(COUNTIFS($B$2:$B$492,$B477,$O$2:$O$492,"&gt;"&amp;$O477)+1-1)/COUNTIF($B$2:$B$492,$B477))&gt;=0.6,"Buono",IF((1-(COUNTIFS($B$2:$B$492,$B477,$O$2:$O$492,"&gt;"&amp;$O477)+1-1)/COUNTIF($B$2:$B$492,$B477))&gt;=0.3,"Nella Media","Scommessa/Riserva")))),"")</f>
        <v>Scommessa/Riserva</v>
      </c>
      <c r="Q477" s="29" t="n">
        <f aca="false">IF($D477="",COUNTIF($D$2:$D477,""),"")</f>
        <v>476</v>
      </c>
      <c r="R477" s="29" t="str">
        <f aca="false">IF($D477='Info Lega'!$B$28,COUNTIFS($D$2:$D477,'Info Lega'!$B$28),"")</f>
        <v/>
      </c>
      <c r="S477" s="30" t="n">
        <f aca="false">IFERROR(INDEX('Input Statistiche 2025_26'!$G$3:$G$665,MATCH($A477,'Input Statistiche 2025_26'!$A$3:$A$665,0)),"")</f>
        <v>0</v>
      </c>
      <c r="T477" s="30" t="n">
        <f aca="false">IFERROR(INDEX('Input Statistiche 2025_26'!$H$3:$H$665,MATCH($A477,'Input Statistiche 2025_26'!$A$3:$A$665,0)),"")</f>
        <v>0</v>
      </c>
      <c r="U477" s="26" t="str">
        <f aca="false">IF(OR('La Mia Rosa'!$O$12="",$D477&lt;&gt;""),"",IF($F477&lt;='La Mia Rosa'!$O$12*'Parametri Modello'!$B$24,"OK",IF($F477&lt;='La Mia Rosa'!$O$12*'Parametri Modello'!$B$25,"Attenzione","Rischio Alto")))</f>
        <v>OK</v>
      </c>
      <c r="V477" s="26" t="n">
        <f aca="false">IFERROR(COUNTIFS($B$2:$B$492,$B477,$O$2:$O$492,"&gt;"&amp;$O477)+1,"")</f>
        <v>168</v>
      </c>
      <c r="W477" s="21" t="n">
        <f aca="false">'Info Lega'!$B$4-SUMIFS($M$2:$M$492,$D$2:$D$492,'Info Lega'!$B$28)</f>
        <v>1000</v>
      </c>
      <c r="X477" s="21" t="n">
        <f aca="false">('Info Lega'!$B$5-COUNTIFS($D$2:$D$492,'Info Lega'!$B$28,$B$2:$B$492,"P"))+('Info Lega'!$B$6-COUNTIFS($D$2:$D$492,'Info Lega'!$B$28,$B$2:$B$492,"D"))+('Info Lega'!$B$7-COUNTIFS($D$2:$D$492,'Info Lega'!$B$28,$B$2:$B$492,"C"))+('Info Lega'!$B$8-COUNTIFS($D$2:$D$492,'Info Lega'!$B$28,$B$2:$B$492,"A"))</f>
        <v>25</v>
      </c>
      <c r="Y477" s="21" t="n">
        <f aca="false">X477*'Parametri Modello'!$B$30</f>
        <v>25</v>
      </c>
      <c r="Z477" s="21" t="n">
        <f aca="false">MAX(0,W477-Y477)</f>
        <v>975</v>
      </c>
      <c r="AA477" s="21" t="n">
        <f aca="false">MIN(F477,Z477)</f>
        <v>0</v>
      </c>
      <c r="AB477" s="21"/>
      <c r="AC477" s="21" t="str">
        <f aca="false">IF(AB477="","",IF(AB477&gt;AA477,"PASS",IF(AB477&lt;=AA477*0.85,"BID","ATTENZIONE")))</f>
        <v/>
      </c>
      <c r="AD477" s="31" t="n">
        <f aca="false">IF(I477="","",ROUND(100*(1-EXP(-I477/30)),0))</f>
        <v>0</v>
      </c>
      <c r="AE477" s="7" t="str">
        <f aca="false">IFERROR(INDEX('Stato Asta'!$G$9:$G$12,MATCH($B477,'Stato Asta'!$A$9:$A$12,0)),"")</f>
        <v>🟡 Attesa rischiosa</v>
      </c>
    </row>
    <row r="478" customFormat="false" ht="14.25" hidden="false" customHeight="true" outlineLevel="0" collapsed="false">
      <c r="A478" s="21" t="n">
        <v>5424</v>
      </c>
      <c r="B478" s="21" t="s">
        <v>44</v>
      </c>
      <c r="C478" s="21" t="s">
        <v>343</v>
      </c>
      <c r="E478" s="26" t="str">
        <f aca="false">IF(COUNTIF('Info Strategia'!$D$2:$D$51,$C478)&gt;0,"SI","NO")</f>
        <v>NO</v>
      </c>
      <c r="F478" s="27" t="n">
        <f aca="false">IFERROR(ROUND(($G478+($H478-$G478)*'Info Strategia'!$B$6)*(1+IF($E478="SI",'Parametri Modello'!$B$7*'Info Strategia'!$B$6,0)),0),"")</f>
        <v>0</v>
      </c>
      <c r="G478" s="27" t="n">
        <f aca="false">IFERROR(ROUND(MAX(1,(IF($V478&lt;=INDEX('Parametri Modello'!$C$57:$C$60,MATCH($B478,'Parametri Modello'!$A$57:$A$60,0)),IF(INDEX('Parametri Modello'!$E$57:$E$60,MATCH($B478,'Parametri Modello'!$A$57:$A$60,0))=0,0,($O478/INDEX('Parametri Modello'!$E$57:$E$60,MATCH($B478,'Parametri Modello'!$A$57:$A$60,0)))*(INDEX('Parametri Modello'!$D$57:$D$60,MATCH($B478,'Parametri Modello'!$A$57:$A$60,0))*(INDEX('Parametri Modello'!$B$50:$B$53,MATCH($B478,'Parametri Modello'!$A$50:$A$53,0))*'Parametri Modello'!$B$44))),IF(INDEX('Parametri Modello'!$F$57:$F$60,MATCH($B478,'Parametri Modello'!$A$57:$A$60,0))=0,0,($O478/INDEX('Parametri Modello'!$F$57:$F$60,MATCH($B478,'Parametri Modello'!$A$57:$A$60,0)))*((1-INDEX('Parametri Modello'!$D$57:$D$60,MATCH($B478,'Parametri Modello'!$A$57:$A$60,0)))*(INDEX('Parametri Modello'!$B$50:$B$53,MATCH($B478,'Parametri Modello'!$A$50:$A$53,0))*'Parametri Modello'!$B$44))))*(1+IF(IF($B478="D",'Info Lega'!$B$25,IF($B478="C",'Info Lega'!$B$26,"No"))="Si",'Parametri Modello'!$B$5,0))*(1+MAX(-0.25,MIN(0.25,IF(OR($T478="",$I478="",$I478=0,INDEX('Parametri Modello'!$B$19:$B$22,MATCH($B478,'Parametri Modello'!$A$19:$A$22,0))="",INDEX('Parametri Modello'!$B$19:$B$22,MATCH($B478,'Parametri Modello'!$A$19:$A$22,0))=0),0,(($T478-INDEX('Parametri Modello'!$B$19:$B$22,MATCH($B478,'Parametri Modello'!$A$19:$A$22,0)))/INDEX('Parametri Modello'!$B$19:$B$22,MATCH($B478,'Parametri Modello'!$A$19:$A$22,0)))*'Parametri Modello'!$B$9))))*(1+IF('Parametri Modello'!$B$27="Si",MAX(-'Parametri Modello'!$B$28,MIN('Parametri Modello'!$B$28*1.5,IF(OR(INDEX('Parametri Modello'!$F$32:$F$35,MATCH($B478,'Parametri Modello'!$A$32:$A$35,0))="",INDEX('Parametri Modello'!$F$32:$F$35,MATCH($B478,'Parametri Modello'!$A$32:$A$35,0))=0),0,(1/INDEX('Parametri Modello'!$F$32:$F$35,MATCH($B478,'Parametri Modello'!$A$32:$A$35,0))-1)*'Parametri Modello'!$B$28))),0)))*(1-INDEX('Parametri Modello'!$B$12:$B$15,MATCH($B478,'Parametri Modello'!$A$12:$A$15,0)))),0),"")</f>
        <v>1</v>
      </c>
      <c r="H478" s="27" t="n">
        <f aca="false">IFERROR(ROUND((IF($V478&lt;=INDEX('Parametri Modello'!$C$57:$C$60,MATCH($B478,'Parametri Modello'!$A$57:$A$60,0)),IF(INDEX('Parametri Modello'!$E$57:$E$60,MATCH($B478,'Parametri Modello'!$A$57:$A$60,0))=0,0,($O478/INDEX('Parametri Modello'!$E$57:$E$60,MATCH($B478,'Parametri Modello'!$A$57:$A$60,0)))*(INDEX('Parametri Modello'!$D$57:$D$60,MATCH($B478,'Parametri Modello'!$A$57:$A$60,0))*(INDEX('Parametri Modello'!$B$50:$B$53,MATCH($B478,'Parametri Modello'!$A$50:$A$53,0))*'Parametri Modello'!$B$44))),IF(INDEX('Parametri Modello'!$F$57:$F$60,MATCH($B478,'Parametri Modello'!$A$57:$A$60,0))=0,0,($O478/INDEX('Parametri Modello'!$F$57:$F$60,MATCH($B478,'Parametri Modello'!$A$57:$A$60,0)))*((1-INDEX('Parametri Modello'!$D$57:$D$60,MATCH($B478,'Parametri Modello'!$A$57:$A$60,0)))*(INDEX('Parametri Modello'!$B$50:$B$53,MATCH($B478,'Parametri Modello'!$A$50:$A$53,0))*'Parametri Modello'!$B$44))))*(1+IF(IF($B478="D",'Info Lega'!$B$25,IF($B478="C",'Info Lega'!$B$26,"No"))="Si",'Parametri Modello'!$B$5,0))*(1+MAX(-0.25,MIN(0.25,IF(OR($T478="",$I478="",$I478=0,INDEX('Parametri Modello'!$B$19:$B$22,MATCH($B478,'Parametri Modello'!$A$19:$A$22,0))="",INDEX('Parametri Modello'!$B$19:$B$22,MATCH($B478,'Parametri Modello'!$A$19:$A$22,0))=0),0,(($T478-INDEX('Parametri Modello'!$B$19:$B$22,MATCH($B478,'Parametri Modello'!$A$19:$A$22,0)))/INDEX('Parametri Modello'!$B$19:$B$22,MATCH($B478,'Parametri Modello'!$A$19:$A$22,0)))*'Parametri Modello'!$B$9))))*(1+IF('Parametri Modello'!$B$27="Si",MAX(-'Parametri Modello'!$B$28,MIN('Parametri Modello'!$B$28*1.5,IF(OR(INDEX('Parametri Modello'!$F$32:$F$35,MATCH($B478,'Parametri Modello'!$A$32:$A$35,0))="",INDEX('Parametri Modello'!$F$32:$F$35,MATCH($B478,'Parametri Modello'!$A$32:$A$35,0))=0),0,(1/INDEX('Parametri Modello'!$F$32:$F$35,MATCH($B478,'Parametri Modello'!$A$32:$A$35,0))-1)*'Parametri Modello'!$B$28))),0)))*(1+INDEX('Parametri Modello'!$B$12:$B$15,MATCH($B478,'Parametri Modello'!$A$12:$A$15,0))),0),"")</f>
        <v>0</v>
      </c>
      <c r="I478" s="26" t="str">
        <f aca="false">IFERROR(INDEX('Input Statistiche 2025_26'!$F$3:$F$665,MATCH($A478,'Input Statistiche 2025_26'!$A$3:$A$665,0)),"")</f>
        <v/>
      </c>
      <c r="J478" s="26" t="str">
        <f aca="false">IFERROR(IF($I478="","",MAX(0,38-$I478)),"")</f>
        <v/>
      </c>
      <c r="K478" s="26" t="str">
        <f aca="false">IFERROR(INDEX('Input Statistiche 2025_26'!$I$3:$I$665,MATCH($A478,'Input Statistiche 2025_26'!$A$3:$A$665,0)),"")</f>
        <v/>
      </c>
      <c r="L478" s="26" t="str">
        <f aca="false">IFERROR(INDEX('Input Statistiche 2025_26'!$O$3:$O$665,MATCH($A478,'Input Statistiche 2025_26'!$A$3:$A$665,0)),"")</f>
        <v/>
      </c>
      <c r="M478" s="28"/>
      <c r="N478" s="27" t="n">
        <f aca="false">IFERROR(INDEX('Input Giocatori 2026_27'!$E$3:$E$493,MATCH($A478,'Input Giocatori 2026_27'!$A$3:$A$493,0)),"")</f>
        <v>1</v>
      </c>
      <c r="O478" s="27" t="n">
        <f aca="false">IFERROR(INDEX('Input Giocatori 2026_27'!$G$3:$G$493,MATCH($A478,'Input Giocatori 2026_27'!$A$3:$A$493,0)),"")</f>
        <v>1</v>
      </c>
      <c r="P478" s="26" t="str">
        <f aca="false">IFERROR(IF($O478="","",IF((1-(COUNTIFS($B$2:$B$492,$B478,$O$2:$O$492,"&gt;"&amp;$O478)+1-1)/COUNTIF($B$2:$B$492,$B478))&gt;=0.85,"Top",IF((1-(COUNTIFS($B$2:$B$492,$B478,$O$2:$O$492,"&gt;"&amp;$O478)+1-1)/COUNTIF($B$2:$B$492,$B478))&gt;=0.6,"Buono",IF((1-(COUNTIFS($B$2:$B$492,$B478,$O$2:$O$492,"&gt;"&amp;$O478)+1-1)/COUNTIF($B$2:$B$492,$B478))&gt;=0.3,"Nella Media","Scommessa/Riserva")))),"")</f>
        <v>Scommessa/Riserva</v>
      </c>
      <c r="Q478" s="29" t="n">
        <f aca="false">IF($D478="",COUNTIF($D$2:$D478,""),"")</f>
        <v>477</v>
      </c>
      <c r="R478" s="29" t="str">
        <f aca="false">IF($D478='Info Lega'!$B$28,COUNTIFS($D$2:$D478,'Info Lega'!$B$28),"")</f>
        <v/>
      </c>
      <c r="S478" s="30" t="str">
        <f aca="false">IFERROR(INDEX('Input Statistiche 2025_26'!$G$3:$G$665,MATCH($A478,'Input Statistiche 2025_26'!$A$3:$A$665,0)),"")</f>
        <v/>
      </c>
      <c r="T478" s="30" t="str">
        <f aca="false">IFERROR(INDEX('Input Statistiche 2025_26'!$H$3:$H$665,MATCH($A478,'Input Statistiche 2025_26'!$A$3:$A$665,0)),"")</f>
        <v/>
      </c>
      <c r="U478" s="26" t="str">
        <f aca="false">IF(OR('La Mia Rosa'!$O$12="",$D478&lt;&gt;""),"",IF($F478&lt;='La Mia Rosa'!$O$12*'Parametri Modello'!$B$24,"OK",IF($F478&lt;='La Mia Rosa'!$O$12*'Parametri Modello'!$B$25,"Attenzione","Rischio Alto")))</f>
        <v>OK</v>
      </c>
      <c r="V478" s="26" t="n">
        <f aca="false">IFERROR(COUNTIFS($B$2:$B$492,$B478,$O$2:$O$492,"&gt;"&amp;$O478)+1,"")</f>
        <v>168</v>
      </c>
      <c r="W478" s="21" t="n">
        <f aca="false">'Info Lega'!$B$4-SUMIFS($M$2:$M$492,$D$2:$D$492,'Info Lega'!$B$28)</f>
        <v>1000</v>
      </c>
      <c r="X478" s="21" t="n">
        <f aca="false">('Info Lega'!$B$5-COUNTIFS($D$2:$D$492,'Info Lega'!$B$28,$B$2:$B$492,"P"))+('Info Lega'!$B$6-COUNTIFS($D$2:$D$492,'Info Lega'!$B$28,$B$2:$B$492,"D"))+('Info Lega'!$B$7-COUNTIFS($D$2:$D$492,'Info Lega'!$B$28,$B$2:$B$492,"C"))+('Info Lega'!$B$8-COUNTIFS($D$2:$D$492,'Info Lega'!$B$28,$B$2:$B$492,"A"))</f>
        <v>25</v>
      </c>
      <c r="Y478" s="21" t="n">
        <f aca="false">X478*'Parametri Modello'!$B$30</f>
        <v>25</v>
      </c>
      <c r="Z478" s="21" t="n">
        <f aca="false">MAX(0,W478-Y478)</f>
        <v>975</v>
      </c>
      <c r="AA478" s="21" t="n">
        <f aca="false">MIN(F478,Z478)</f>
        <v>0</v>
      </c>
      <c r="AB478" s="21"/>
      <c r="AC478" s="21" t="str">
        <f aca="false">IF(AB478="","",IF(AB478&gt;AA478,"PASS",IF(AB478&lt;=AA478*0.85,"BID","ATTENZIONE")))</f>
        <v/>
      </c>
      <c r="AD478" s="31" t="str">
        <f aca="false">IF(I478="","",ROUND(100*(1-EXP(-I478/30)),0))</f>
        <v/>
      </c>
      <c r="AE478" s="7" t="str">
        <f aca="false">IFERROR(INDEX('Stato Asta'!$G$9:$G$12,MATCH($B478,'Stato Asta'!$A$9:$A$12,0)),"")</f>
        <v>🟡 Attesa rischiosa</v>
      </c>
    </row>
    <row r="479" customFormat="false" ht="14.25" hidden="false" customHeight="true" outlineLevel="0" collapsed="false">
      <c r="A479" s="21" t="n">
        <v>7468</v>
      </c>
      <c r="B479" s="21" t="s">
        <v>44</v>
      </c>
      <c r="C479" s="21" t="s">
        <v>344</v>
      </c>
      <c r="E479" s="26" t="str">
        <f aca="false">IF(COUNTIF('Info Strategia'!$D$2:$D$51,$C479)&gt;0,"SI","NO")</f>
        <v>NO</v>
      </c>
      <c r="F479" s="27" t="n">
        <f aca="false">IFERROR(ROUND(($G479+($H479-$G479)*'Info Strategia'!$B$6)*(1+IF($E479="SI",'Parametri Modello'!$B$7*'Info Strategia'!$B$6,0)),0),"")</f>
        <v>0</v>
      </c>
      <c r="G479" s="27" t="n">
        <f aca="false">IFERROR(ROUND(MAX(1,(IF($V479&lt;=INDEX('Parametri Modello'!$C$57:$C$60,MATCH($B479,'Parametri Modello'!$A$57:$A$60,0)),IF(INDEX('Parametri Modello'!$E$57:$E$60,MATCH($B479,'Parametri Modello'!$A$57:$A$60,0))=0,0,($O479/INDEX('Parametri Modello'!$E$57:$E$60,MATCH($B479,'Parametri Modello'!$A$57:$A$60,0)))*(INDEX('Parametri Modello'!$D$57:$D$60,MATCH($B479,'Parametri Modello'!$A$57:$A$60,0))*(INDEX('Parametri Modello'!$B$50:$B$53,MATCH($B479,'Parametri Modello'!$A$50:$A$53,0))*'Parametri Modello'!$B$44))),IF(INDEX('Parametri Modello'!$F$57:$F$60,MATCH($B479,'Parametri Modello'!$A$57:$A$60,0))=0,0,($O479/INDEX('Parametri Modello'!$F$57:$F$60,MATCH($B479,'Parametri Modello'!$A$57:$A$60,0)))*((1-INDEX('Parametri Modello'!$D$57:$D$60,MATCH($B479,'Parametri Modello'!$A$57:$A$60,0)))*(INDEX('Parametri Modello'!$B$50:$B$53,MATCH($B479,'Parametri Modello'!$A$50:$A$53,0))*'Parametri Modello'!$B$44))))*(1+IF(IF($B479="D",'Info Lega'!$B$25,IF($B479="C",'Info Lega'!$B$26,"No"))="Si",'Parametri Modello'!$B$5,0))*(1+MAX(-0.25,MIN(0.25,IF(OR($T479="",$I479="",$I479=0,INDEX('Parametri Modello'!$B$19:$B$22,MATCH($B479,'Parametri Modello'!$A$19:$A$22,0))="",INDEX('Parametri Modello'!$B$19:$B$22,MATCH($B479,'Parametri Modello'!$A$19:$A$22,0))=0),0,(($T479-INDEX('Parametri Modello'!$B$19:$B$22,MATCH($B479,'Parametri Modello'!$A$19:$A$22,0)))/INDEX('Parametri Modello'!$B$19:$B$22,MATCH($B479,'Parametri Modello'!$A$19:$A$22,0)))*'Parametri Modello'!$B$9))))*(1+IF('Parametri Modello'!$B$27="Si",MAX(-'Parametri Modello'!$B$28,MIN('Parametri Modello'!$B$28*1.5,IF(OR(INDEX('Parametri Modello'!$F$32:$F$35,MATCH($B479,'Parametri Modello'!$A$32:$A$35,0))="",INDEX('Parametri Modello'!$F$32:$F$35,MATCH($B479,'Parametri Modello'!$A$32:$A$35,0))=0),0,(1/INDEX('Parametri Modello'!$F$32:$F$35,MATCH($B479,'Parametri Modello'!$A$32:$A$35,0))-1)*'Parametri Modello'!$B$28))),0)))*(1-INDEX('Parametri Modello'!$B$12:$B$15,MATCH($B479,'Parametri Modello'!$A$12:$A$15,0)))),0),"")</f>
        <v>1</v>
      </c>
      <c r="H479" s="27" t="n">
        <f aca="false">IFERROR(ROUND((IF($V479&lt;=INDEX('Parametri Modello'!$C$57:$C$60,MATCH($B479,'Parametri Modello'!$A$57:$A$60,0)),IF(INDEX('Parametri Modello'!$E$57:$E$60,MATCH($B479,'Parametri Modello'!$A$57:$A$60,0))=0,0,($O479/INDEX('Parametri Modello'!$E$57:$E$60,MATCH($B479,'Parametri Modello'!$A$57:$A$60,0)))*(INDEX('Parametri Modello'!$D$57:$D$60,MATCH($B479,'Parametri Modello'!$A$57:$A$60,0))*(INDEX('Parametri Modello'!$B$50:$B$53,MATCH($B479,'Parametri Modello'!$A$50:$A$53,0))*'Parametri Modello'!$B$44))),IF(INDEX('Parametri Modello'!$F$57:$F$60,MATCH($B479,'Parametri Modello'!$A$57:$A$60,0))=0,0,($O479/INDEX('Parametri Modello'!$F$57:$F$60,MATCH($B479,'Parametri Modello'!$A$57:$A$60,0)))*((1-INDEX('Parametri Modello'!$D$57:$D$60,MATCH($B479,'Parametri Modello'!$A$57:$A$60,0)))*(INDEX('Parametri Modello'!$B$50:$B$53,MATCH($B479,'Parametri Modello'!$A$50:$A$53,0))*'Parametri Modello'!$B$44))))*(1+IF(IF($B479="D",'Info Lega'!$B$25,IF($B479="C",'Info Lega'!$B$26,"No"))="Si",'Parametri Modello'!$B$5,0))*(1+MAX(-0.25,MIN(0.25,IF(OR($T479="",$I479="",$I479=0,INDEX('Parametri Modello'!$B$19:$B$22,MATCH($B479,'Parametri Modello'!$A$19:$A$22,0))="",INDEX('Parametri Modello'!$B$19:$B$22,MATCH($B479,'Parametri Modello'!$A$19:$A$22,0))=0),0,(($T479-INDEX('Parametri Modello'!$B$19:$B$22,MATCH($B479,'Parametri Modello'!$A$19:$A$22,0)))/INDEX('Parametri Modello'!$B$19:$B$22,MATCH($B479,'Parametri Modello'!$A$19:$A$22,0)))*'Parametri Modello'!$B$9))))*(1+IF('Parametri Modello'!$B$27="Si",MAX(-'Parametri Modello'!$B$28,MIN('Parametri Modello'!$B$28*1.5,IF(OR(INDEX('Parametri Modello'!$F$32:$F$35,MATCH($B479,'Parametri Modello'!$A$32:$A$35,0))="",INDEX('Parametri Modello'!$F$32:$F$35,MATCH($B479,'Parametri Modello'!$A$32:$A$35,0))=0),0,(1/INDEX('Parametri Modello'!$F$32:$F$35,MATCH($B479,'Parametri Modello'!$A$32:$A$35,0))-1)*'Parametri Modello'!$B$28))),0)))*(1+INDEX('Parametri Modello'!$B$12:$B$15,MATCH($B479,'Parametri Modello'!$A$12:$A$15,0))),0),"")</f>
        <v>0</v>
      </c>
      <c r="I479" s="26" t="str">
        <f aca="false">IFERROR(INDEX('Input Statistiche 2025_26'!$F$3:$F$665,MATCH($A479,'Input Statistiche 2025_26'!$A$3:$A$665,0)),"")</f>
        <v/>
      </c>
      <c r="J479" s="26" t="str">
        <f aca="false">IFERROR(IF($I479="","",MAX(0,38-$I479)),"")</f>
        <v/>
      </c>
      <c r="K479" s="26" t="str">
        <f aca="false">IFERROR(INDEX('Input Statistiche 2025_26'!$I$3:$I$665,MATCH($A479,'Input Statistiche 2025_26'!$A$3:$A$665,0)),"")</f>
        <v/>
      </c>
      <c r="L479" s="26" t="str">
        <f aca="false">IFERROR(INDEX('Input Statistiche 2025_26'!$O$3:$O$665,MATCH($A479,'Input Statistiche 2025_26'!$A$3:$A$665,0)),"")</f>
        <v/>
      </c>
      <c r="M479" s="28"/>
      <c r="N479" s="27" t="n">
        <f aca="false">IFERROR(INDEX('Input Giocatori 2026_27'!$E$3:$E$493,MATCH($A479,'Input Giocatori 2026_27'!$A$3:$A$493,0)),"")</f>
        <v>1</v>
      </c>
      <c r="O479" s="27" t="n">
        <f aca="false">IFERROR(INDEX('Input Giocatori 2026_27'!$G$3:$G$493,MATCH($A479,'Input Giocatori 2026_27'!$A$3:$A$493,0)),"")</f>
        <v>1</v>
      </c>
      <c r="P479" s="26" t="str">
        <f aca="false">IFERROR(IF($O479="","",IF((1-(COUNTIFS($B$2:$B$492,$B479,$O$2:$O$492,"&gt;"&amp;$O479)+1-1)/COUNTIF($B$2:$B$492,$B479))&gt;=0.85,"Top",IF((1-(COUNTIFS($B$2:$B$492,$B479,$O$2:$O$492,"&gt;"&amp;$O479)+1-1)/COUNTIF($B$2:$B$492,$B479))&gt;=0.6,"Buono",IF((1-(COUNTIFS($B$2:$B$492,$B479,$O$2:$O$492,"&gt;"&amp;$O479)+1-1)/COUNTIF($B$2:$B$492,$B479))&gt;=0.3,"Nella Media","Scommessa/Riserva")))),"")</f>
        <v>Scommessa/Riserva</v>
      </c>
      <c r="Q479" s="29" t="n">
        <f aca="false">IF($D479="",COUNTIF($D$2:$D479,""),"")</f>
        <v>478</v>
      </c>
      <c r="R479" s="29" t="str">
        <f aca="false">IF($D479='Info Lega'!$B$28,COUNTIFS($D$2:$D479,'Info Lega'!$B$28),"")</f>
        <v/>
      </c>
      <c r="S479" s="30" t="str">
        <f aca="false">IFERROR(INDEX('Input Statistiche 2025_26'!$G$3:$G$665,MATCH($A479,'Input Statistiche 2025_26'!$A$3:$A$665,0)),"")</f>
        <v/>
      </c>
      <c r="T479" s="30" t="str">
        <f aca="false">IFERROR(INDEX('Input Statistiche 2025_26'!$H$3:$H$665,MATCH($A479,'Input Statistiche 2025_26'!$A$3:$A$665,0)),"")</f>
        <v/>
      </c>
      <c r="U479" s="26" t="str">
        <f aca="false">IF(OR('La Mia Rosa'!$O$12="",$D479&lt;&gt;""),"",IF($F479&lt;='La Mia Rosa'!$O$12*'Parametri Modello'!$B$24,"OK",IF($F479&lt;='La Mia Rosa'!$O$12*'Parametri Modello'!$B$25,"Attenzione","Rischio Alto")))</f>
        <v>OK</v>
      </c>
      <c r="V479" s="26" t="n">
        <f aca="false">IFERROR(COUNTIFS($B$2:$B$492,$B479,$O$2:$O$492,"&gt;"&amp;$O479)+1,"")</f>
        <v>168</v>
      </c>
      <c r="W479" s="21" t="n">
        <f aca="false">'Info Lega'!$B$4-SUMIFS($M$2:$M$492,$D$2:$D$492,'Info Lega'!$B$28)</f>
        <v>1000</v>
      </c>
      <c r="X479" s="21" t="n">
        <f aca="false">('Info Lega'!$B$5-COUNTIFS($D$2:$D$492,'Info Lega'!$B$28,$B$2:$B$492,"P"))+('Info Lega'!$B$6-COUNTIFS($D$2:$D$492,'Info Lega'!$B$28,$B$2:$B$492,"D"))+('Info Lega'!$B$7-COUNTIFS($D$2:$D$492,'Info Lega'!$B$28,$B$2:$B$492,"C"))+('Info Lega'!$B$8-COUNTIFS($D$2:$D$492,'Info Lega'!$B$28,$B$2:$B$492,"A"))</f>
        <v>25</v>
      </c>
      <c r="Y479" s="21" t="n">
        <f aca="false">X479*'Parametri Modello'!$B$30</f>
        <v>25</v>
      </c>
      <c r="Z479" s="21" t="n">
        <f aca="false">MAX(0,W479-Y479)</f>
        <v>975</v>
      </c>
      <c r="AA479" s="21" t="n">
        <f aca="false">MIN(F479,Z479)</f>
        <v>0</v>
      </c>
      <c r="AB479" s="21"/>
      <c r="AC479" s="21" t="str">
        <f aca="false">IF(AB479="","",IF(AB479&gt;AA479,"PASS",IF(AB479&lt;=AA479*0.85,"BID","ATTENZIONE")))</f>
        <v/>
      </c>
      <c r="AD479" s="31" t="str">
        <f aca="false">IF(I479="","",ROUND(100*(1-EXP(-I479/30)),0))</f>
        <v/>
      </c>
      <c r="AE479" s="7" t="str">
        <f aca="false">IFERROR(INDEX('Stato Asta'!$G$9:$G$12,MATCH($B479,'Stato Asta'!$A$9:$A$12,0)),"")</f>
        <v>🟡 Attesa rischiosa</v>
      </c>
    </row>
    <row r="480" customFormat="false" ht="14.25" hidden="false" customHeight="true" outlineLevel="0" collapsed="false">
      <c r="A480" s="21" t="n">
        <v>7164</v>
      </c>
      <c r="B480" s="21" t="s">
        <v>44</v>
      </c>
      <c r="C480" s="21" t="s">
        <v>352</v>
      </c>
      <c r="E480" s="26" t="str">
        <f aca="false">IF(COUNTIF('Info Strategia'!$D$2:$D$51,$C480)&gt;0,"SI","NO")</f>
        <v>NO</v>
      </c>
      <c r="F480" s="27" t="n">
        <f aca="false">IFERROR(ROUND(($G480+($H480-$G480)*'Info Strategia'!$B$6)*(1+IF($E480="SI",'Parametri Modello'!$B$7*'Info Strategia'!$B$6,0)),0),"")</f>
        <v>0</v>
      </c>
      <c r="G480" s="27" t="n">
        <f aca="false">IFERROR(ROUND(MAX(1,(IF($V480&lt;=INDEX('Parametri Modello'!$C$57:$C$60,MATCH($B480,'Parametri Modello'!$A$57:$A$60,0)),IF(INDEX('Parametri Modello'!$E$57:$E$60,MATCH($B480,'Parametri Modello'!$A$57:$A$60,0))=0,0,($O480/INDEX('Parametri Modello'!$E$57:$E$60,MATCH($B480,'Parametri Modello'!$A$57:$A$60,0)))*(INDEX('Parametri Modello'!$D$57:$D$60,MATCH($B480,'Parametri Modello'!$A$57:$A$60,0))*(INDEX('Parametri Modello'!$B$50:$B$53,MATCH($B480,'Parametri Modello'!$A$50:$A$53,0))*'Parametri Modello'!$B$44))),IF(INDEX('Parametri Modello'!$F$57:$F$60,MATCH($B480,'Parametri Modello'!$A$57:$A$60,0))=0,0,($O480/INDEX('Parametri Modello'!$F$57:$F$60,MATCH($B480,'Parametri Modello'!$A$57:$A$60,0)))*((1-INDEX('Parametri Modello'!$D$57:$D$60,MATCH($B480,'Parametri Modello'!$A$57:$A$60,0)))*(INDEX('Parametri Modello'!$B$50:$B$53,MATCH($B480,'Parametri Modello'!$A$50:$A$53,0))*'Parametri Modello'!$B$44))))*(1+IF(IF($B480="D",'Info Lega'!$B$25,IF($B480="C",'Info Lega'!$B$26,"No"))="Si",'Parametri Modello'!$B$5,0))*(1+MAX(-0.25,MIN(0.25,IF(OR($T480="",$I480="",$I480=0,INDEX('Parametri Modello'!$B$19:$B$22,MATCH($B480,'Parametri Modello'!$A$19:$A$22,0))="",INDEX('Parametri Modello'!$B$19:$B$22,MATCH($B480,'Parametri Modello'!$A$19:$A$22,0))=0),0,(($T480-INDEX('Parametri Modello'!$B$19:$B$22,MATCH($B480,'Parametri Modello'!$A$19:$A$22,0)))/INDEX('Parametri Modello'!$B$19:$B$22,MATCH($B480,'Parametri Modello'!$A$19:$A$22,0)))*'Parametri Modello'!$B$9))))*(1+IF('Parametri Modello'!$B$27="Si",MAX(-'Parametri Modello'!$B$28,MIN('Parametri Modello'!$B$28*1.5,IF(OR(INDEX('Parametri Modello'!$F$32:$F$35,MATCH($B480,'Parametri Modello'!$A$32:$A$35,0))="",INDEX('Parametri Modello'!$F$32:$F$35,MATCH($B480,'Parametri Modello'!$A$32:$A$35,0))=0),0,(1/INDEX('Parametri Modello'!$F$32:$F$35,MATCH($B480,'Parametri Modello'!$A$32:$A$35,0))-1)*'Parametri Modello'!$B$28))),0)))*(1-INDEX('Parametri Modello'!$B$12:$B$15,MATCH($B480,'Parametri Modello'!$A$12:$A$15,0)))),0),"")</f>
        <v>1</v>
      </c>
      <c r="H480" s="27" t="n">
        <f aca="false">IFERROR(ROUND((IF($V480&lt;=INDEX('Parametri Modello'!$C$57:$C$60,MATCH($B480,'Parametri Modello'!$A$57:$A$60,0)),IF(INDEX('Parametri Modello'!$E$57:$E$60,MATCH($B480,'Parametri Modello'!$A$57:$A$60,0))=0,0,($O480/INDEX('Parametri Modello'!$E$57:$E$60,MATCH($B480,'Parametri Modello'!$A$57:$A$60,0)))*(INDEX('Parametri Modello'!$D$57:$D$60,MATCH($B480,'Parametri Modello'!$A$57:$A$60,0))*(INDEX('Parametri Modello'!$B$50:$B$53,MATCH($B480,'Parametri Modello'!$A$50:$A$53,0))*'Parametri Modello'!$B$44))),IF(INDEX('Parametri Modello'!$F$57:$F$60,MATCH($B480,'Parametri Modello'!$A$57:$A$60,0))=0,0,($O480/INDEX('Parametri Modello'!$F$57:$F$60,MATCH($B480,'Parametri Modello'!$A$57:$A$60,0)))*((1-INDEX('Parametri Modello'!$D$57:$D$60,MATCH($B480,'Parametri Modello'!$A$57:$A$60,0)))*(INDEX('Parametri Modello'!$B$50:$B$53,MATCH($B480,'Parametri Modello'!$A$50:$A$53,0))*'Parametri Modello'!$B$44))))*(1+IF(IF($B480="D",'Info Lega'!$B$25,IF($B480="C",'Info Lega'!$B$26,"No"))="Si",'Parametri Modello'!$B$5,0))*(1+MAX(-0.25,MIN(0.25,IF(OR($T480="",$I480="",$I480=0,INDEX('Parametri Modello'!$B$19:$B$22,MATCH($B480,'Parametri Modello'!$A$19:$A$22,0))="",INDEX('Parametri Modello'!$B$19:$B$22,MATCH($B480,'Parametri Modello'!$A$19:$A$22,0))=0),0,(($T480-INDEX('Parametri Modello'!$B$19:$B$22,MATCH($B480,'Parametri Modello'!$A$19:$A$22,0)))/INDEX('Parametri Modello'!$B$19:$B$22,MATCH($B480,'Parametri Modello'!$A$19:$A$22,0)))*'Parametri Modello'!$B$9))))*(1+IF('Parametri Modello'!$B$27="Si",MAX(-'Parametri Modello'!$B$28,MIN('Parametri Modello'!$B$28*1.5,IF(OR(INDEX('Parametri Modello'!$F$32:$F$35,MATCH($B480,'Parametri Modello'!$A$32:$A$35,0))="",INDEX('Parametri Modello'!$F$32:$F$35,MATCH($B480,'Parametri Modello'!$A$32:$A$35,0))=0),0,(1/INDEX('Parametri Modello'!$F$32:$F$35,MATCH($B480,'Parametri Modello'!$A$32:$A$35,0))-1)*'Parametri Modello'!$B$28))),0)))*(1+INDEX('Parametri Modello'!$B$12:$B$15,MATCH($B480,'Parametri Modello'!$A$12:$A$15,0))),0),"")</f>
        <v>0</v>
      </c>
      <c r="I480" s="26" t="n">
        <f aca="false">IFERROR(INDEX('Input Statistiche 2025_26'!$F$3:$F$665,MATCH($A480,'Input Statistiche 2025_26'!$A$3:$A$665,0)),"")</f>
        <v>1</v>
      </c>
      <c r="J480" s="26" t="n">
        <f aca="false">IFERROR(IF($I480="","",MAX(0,38-$I480)),"")</f>
        <v>37</v>
      </c>
      <c r="K480" s="26" t="n">
        <f aca="false">IFERROR(INDEX('Input Statistiche 2025_26'!$I$3:$I$665,MATCH($A480,'Input Statistiche 2025_26'!$A$3:$A$665,0)),"")</f>
        <v>0</v>
      </c>
      <c r="L480" s="26" t="n">
        <f aca="false">IFERROR(INDEX('Input Statistiche 2025_26'!$O$3:$O$665,MATCH($A480,'Input Statistiche 2025_26'!$A$3:$A$665,0)),"")</f>
        <v>0</v>
      </c>
      <c r="M480" s="28"/>
      <c r="N480" s="27" t="n">
        <f aca="false">IFERROR(INDEX('Input Giocatori 2026_27'!$E$3:$E$493,MATCH($A480,'Input Giocatori 2026_27'!$A$3:$A$493,0)),"")</f>
        <v>1</v>
      </c>
      <c r="O480" s="27" t="n">
        <f aca="false">IFERROR(INDEX('Input Giocatori 2026_27'!$G$3:$G$493,MATCH($A480,'Input Giocatori 2026_27'!$A$3:$A$493,0)),"")</f>
        <v>1</v>
      </c>
      <c r="P480" s="26" t="str">
        <f aca="false">IFERROR(IF($O480="","",IF((1-(COUNTIFS($B$2:$B$492,$B480,$O$2:$O$492,"&gt;"&amp;$O480)+1-1)/COUNTIF($B$2:$B$492,$B480))&gt;=0.85,"Top",IF((1-(COUNTIFS($B$2:$B$492,$B480,$O$2:$O$492,"&gt;"&amp;$O480)+1-1)/COUNTIF($B$2:$B$492,$B480))&gt;=0.6,"Buono",IF((1-(COUNTIFS($B$2:$B$492,$B480,$O$2:$O$492,"&gt;"&amp;$O480)+1-1)/COUNTIF($B$2:$B$492,$B480))&gt;=0.3,"Nella Media","Scommessa/Riserva")))),"")</f>
        <v>Scommessa/Riserva</v>
      </c>
      <c r="Q480" s="29" t="n">
        <f aca="false">IF($D480="",COUNTIF($D$2:$D480,""),"")</f>
        <v>479</v>
      </c>
      <c r="R480" s="29" t="str">
        <f aca="false">IF($D480='Info Lega'!$B$28,COUNTIFS($D$2:$D480,'Info Lega'!$B$28),"")</f>
        <v/>
      </c>
      <c r="S480" s="30" t="n">
        <f aca="false">IFERROR(INDEX('Input Statistiche 2025_26'!$G$3:$G$665,MATCH($A480,'Input Statistiche 2025_26'!$A$3:$A$665,0)),"")</f>
        <v>5</v>
      </c>
      <c r="T480" s="30" t="n">
        <f aca="false">IFERROR(INDEX('Input Statistiche 2025_26'!$H$3:$H$665,MATCH($A480,'Input Statistiche 2025_26'!$A$3:$A$665,0)),"")</f>
        <v>5</v>
      </c>
      <c r="U480" s="26" t="str">
        <f aca="false">IF(OR('La Mia Rosa'!$O$12="",$D480&lt;&gt;""),"",IF($F480&lt;='La Mia Rosa'!$O$12*'Parametri Modello'!$B$24,"OK",IF($F480&lt;='La Mia Rosa'!$O$12*'Parametri Modello'!$B$25,"Attenzione","Rischio Alto")))</f>
        <v>OK</v>
      </c>
      <c r="V480" s="26" t="n">
        <f aca="false">IFERROR(COUNTIFS($B$2:$B$492,$B480,$O$2:$O$492,"&gt;"&amp;$O480)+1,"")</f>
        <v>168</v>
      </c>
      <c r="W480" s="21" t="n">
        <f aca="false">'Info Lega'!$B$4-SUMIFS($M$2:$M$492,$D$2:$D$492,'Info Lega'!$B$28)</f>
        <v>1000</v>
      </c>
      <c r="X480" s="21" t="n">
        <f aca="false">('Info Lega'!$B$5-COUNTIFS($D$2:$D$492,'Info Lega'!$B$28,$B$2:$B$492,"P"))+('Info Lega'!$B$6-COUNTIFS($D$2:$D$492,'Info Lega'!$B$28,$B$2:$B$492,"D"))+('Info Lega'!$B$7-COUNTIFS($D$2:$D$492,'Info Lega'!$B$28,$B$2:$B$492,"C"))+('Info Lega'!$B$8-COUNTIFS($D$2:$D$492,'Info Lega'!$B$28,$B$2:$B$492,"A"))</f>
        <v>25</v>
      </c>
      <c r="Y480" s="21" t="n">
        <f aca="false">X480*'Parametri Modello'!$B$30</f>
        <v>25</v>
      </c>
      <c r="Z480" s="21" t="n">
        <f aca="false">MAX(0,W480-Y480)</f>
        <v>975</v>
      </c>
      <c r="AA480" s="21" t="n">
        <f aca="false">MIN(F480,Z480)</f>
        <v>0</v>
      </c>
      <c r="AB480" s="21"/>
      <c r="AC480" s="21" t="str">
        <f aca="false">IF(AB480="","",IF(AB480&gt;AA480,"PASS",IF(AB480&lt;=AA480*0.85,"BID","ATTENZIONE")))</f>
        <v/>
      </c>
      <c r="AD480" s="31" t="n">
        <f aca="false">IF(I480="","",ROUND(100*(1-EXP(-I480/30)),0))</f>
        <v>3</v>
      </c>
      <c r="AE480" s="7" t="str">
        <f aca="false">IFERROR(INDEX('Stato Asta'!$G$9:$G$12,MATCH($B480,'Stato Asta'!$A$9:$A$12,0)),"")</f>
        <v>🟡 Attesa rischiosa</v>
      </c>
    </row>
    <row r="481" customFormat="false" ht="14.25" hidden="false" customHeight="true" outlineLevel="0" collapsed="false">
      <c r="A481" s="21" t="n">
        <v>7156</v>
      </c>
      <c r="B481" s="21" t="s">
        <v>44</v>
      </c>
      <c r="C481" s="21" t="s">
        <v>362</v>
      </c>
      <c r="E481" s="26" t="str">
        <f aca="false">IF(COUNTIF('Info Strategia'!$D$2:$D$51,$C481)&gt;0,"SI","NO")</f>
        <v>NO</v>
      </c>
      <c r="F481" s="27" t="n">
        <f aca="false">IFERROR(ROUND(($G481+($H481-$G481)*'Info Strategia'!$B$6)*(1+IF($E481="SI",'Parametri Modello'!$B$7*'Info Strategia'!$B$6,0)),0),"")</f>
        <v>0</v>
      </c>
      <c r="G481" s="27" t="n">
        <f aca="false">IFERROR(ROUND(MAX(1,(IF($V481&lt;=INDEX('Parametri Modello'!$C$57:$C$60,MATCH($B481,'Parametri Modello'!$A$57:$A$60,0)),IF(INDEX('Parametri Modello'!$E$57:$E$60,MATCH($B481,'Parametri Modello'!$A$57:$A$60,0))=0,0,($O481/INDEX('Parametri Modello'!$E$57:$E$60,MATCH($B481,'Parametri Modello'!$A$57:$A$60,0)))*(INDEX('Parametri Modello'!$D$57:$D$60,MATCH($B481,'Parametri Modello'!$A$57:$A$60,0))*(INDEX('Parametri Modello'!$B$50:$B$53,MATCH($B481,'Parametri Modello'!$A$50:$A$53,0))*'Parametri Modello'!$B$44))),IF(INDEX('Parametri Modello'!$F$57:$F$60,MATCH($B481,'Parametri Modello'!$A$57:$A$60,0))=0,0,($O481/INDEX('Parametri Modello'!$F$57:$F$60,MATCH($B481,'Parametri Modello'!$A$57:$A$60,0)))*((1-INDEX('Parametri Modello'!$D$57:$D$60,MATCH($B481,'Parametri Modello'!$A$57:$A$60,0)))*(INDEX('Parametri Modello'!$B$50:$B$53,MATCH($B481,'Parametri Modello'!$A$50:$A$53,0))*'Parametri Modello'!$B$44))))*(1+IF(IF($B481="D",'Info Lega'!$B$25,IF($B481="C",'Info Lega'!$B$26,"No"))="Si",'Parametri Modello'!$B$5,0))*(1+MAX(-0.25,MIN(0.25,IF(OR($T481="",$I481="",$I481=0,INDEX('Parametri Modello'!$B$19:$B$22,MATCH($B481,'Parametri Modello'!$A$19:$A$22,0))="",INDEX('Parametri Modello'!$B$19:$B$22,MATCH($B481,'Parametri Modello'!$A$19:$A$22,0))=0),0,(($T481-INDEX('Parametri Modello'!$B$19:$B$22,MATCH($B481,'Parametri Modello'!$A$19:$A$22,0)))/INDEX('Parametri Modello'!$B$19:$B$22,MATCH($B481,'Parametri Modello'!$A$19:$A$22,0)))*'Parametri Modello'!$B$9))))*(1+IF('Parametri Modello'!$B$27="Si",MAX(-'Parametri Modello'!$B$28,MIN('Parametri Modello'!$B$28*1.5,IF(OR(INDEX('Parametri Modello'!$F$32:$F$35,MATCH($B481,'Parametri Modello'!$A$32:$A$35,0))="",INDEX('Parametri Modello'!$F$32:$F$35,MATCH($B481,'Parametri Modello'!$A$32:$A$35,0))=0),0,(1/INDEX('Parametri Modello'!$F$32:$F$35,MATCH($B481,'Parametri Modello'!$A$32:$A$35,0))-1)*'Parametri Modello'!$B$28))),0)))*(1-INDEX('Parametri Modello'!$B$12:$B$15,MATCH($B481,'Parametri Modello'!$A$12:$A$15,0)))),0),"")</f>
        <v>1</v>
      </c>
      <c r="H481" s="27" t="n">
        <f aca="false">IFERROR(ROUND((IF($V481&lt;=INDEX('Parametri Modello'!$C$57:$C$60,MATCH($B481,'Parametri Modello'!$A$57:$A$60,0)),IF(INDEX('Parametri Modello'!$E$57:$E$60,MATCH($B481,'Parametri Modello'!$A$57:$A$60,0))=0,0,($O481/INDEX('Parametri Modello'!$E$57:$E$60,MATCH($B481,'Parametri Modello'!$A$57:$A$60,0)))*(INDEX('Parametri Modello'!$D$57:$D$60,MATCH($B481,'Parametri Modello'!$A$57:$A$60,0))*(INDEX('Parametri Modello'!$B$50:$B$53,MATCH($B481,'Parametri Modello'!$A$50:$A$53,0))*'Parametri Modello'!$B$44))),IF(INDEX('Parametri Modello'!$F$57:$F$60,MATCH($B481,'Parametri Modello'!$A$57:$A$60,0))=0,0,($O481/INDEX('Parametri Modello'!$F$57:$F$60,MATCH($B481,'Parametri Modello'!$A$57:$A$60,0)))*((1-INDEX('Parametri Modello'!$D$57:$D$60,MATCH($B481,'Parametri Modello'!$A$57:$A$60,0)))*(INDEX('Parametri Modello'!$B$50:$B$53,MATCH($B481,'Parametri Modello'!$A$50:$A$53,0))*'Parametri Modello'!$B$44))))*(1+IF(IF($B481="D",'Info Lega'!$B$25,IF($B481="C",'Info Lega'!$B$26,"No"))="Si",'Parametri Modello'!$B$5,0))*(1+MAX(-0.25,MIN(0.25,IF(OR($T481="",$I481="",$I481=0,INDEX('Parametri Modello'!$B$19:$B$22,MATCH($B481,'Parametri Modello'!$A$19:$A$22,0))="",INDEX('Parametri Modello'!$B$19:$B$22,MATCH($B481,'Parametri Modello'!$A$19:$A$22,0))=0),0,(($T481-INDEX('Parametri Modello'!$B$19:$B$22,MATCH($B481,'Parametri Modello'!$A$19:$A$22,0)))/INDEX('Parametri Modello'!$B$19:$B$22,MATCH($B481,'Parametri Modello'!$A$19:$A$22,0)))*'Parametri Modello'!$B$9))))*(1+IF('Parametri Modello'!$B$27="Si",MAX(-'Parametri Modello'!$B$28,MIN('Parametri Modello'!$B$28*1.5,IF(OR(INDEX('Parametri Modello'!$F$32:$F$35,MATCH($B481,'Parametri Modello'!$A$32:$A$35,0))="",INDEX('Parametri Modello'!$F$32:$F$35,MATCH($B481,'Parametri Modello'!$A$32:$A$35,0))=0),0,(1/INDEX('Parametri Modello'!$F$32:$F$35,MATCH($B481,'Parametri Modello'!$A$32:$A$35,0))-1)*'Parametri Modello'!$B$28))),0)))*(1+INDEX('Parametri Modello'!$B$12:$B$15,MATCH($B481,'Parametri Modello'!$A$12:$A$15,0))),0),"")</f>
        <v>0</v>
      </c>
      <c r="I481" s="26" t="n">
        <f aca="false">IFERROR(INDEX('Input Statistiche 2025_26'!$F$3:$F$665,MATCH($A481,'Input Statistiche 2025_26'!$A$3:$A$665,0)),"")</f>
        <v>0</v>
      </c>
      <c r="J481" s="26" t="n">
        <f aca="false">IFERROR(IF($I481="","",MAX(0,38-$I481)),"")</f>
        <v>38</v>
      </c>
      <c r="K481" s="26" t="n">
        <f aca="false">IFERROR(INDEX('Input Statistiche 2025_26'!$I$3:$I$665,MATCH($A481,'Input Statistiche 2025_26'!$A$3:$A$665,0)),"")</f>
        <v>0</v>
      </c>
      <c r="L481" s="26" t="n">
        <f aca="false">IFERROR(INDEX('Input Statistiche 2025_26'!$O$3:$O$665,MATCH($A481,'Input Statistiche 2025_26'!$A$3:$A$665,0)),"")</f>
        <v>0</v>
      </c>
      <c r="M481" s="28"/>
      <c r="N481" s="27" t="n">
        <f aca="false">IFERROR(INDEX('Input Giocatori 2026_27'!$E$3:$E$493,MATCH($A481,'Input Giocatori 2026_27'!$A$3:$A$493,0)),"")</f>
        <v>1</v>
      </c>
      <c r="O481" s="27" t="n">
        <f aca="false">IFERROR(INDEX('Input Giocatori 2026_27'!$G$3:$G$493,MATCH($A481,'Input Giocatori 2026_27'!$A$3:$A$493,0)),"")</f>
        <v>1</v>
      </c>
      <c r="P481" s="26" t="str">
        <f aca="false">IFERROR(IF($O481="","",IF((1-(COUNTIFS($B$2:$B$492,$B481,$O$2:$O$492,"&gt;"&amp;$O481)+1-1)/COUNTIF($B$2:$B$492,$B481))&gt;=0.85,"Top",IF((1-(COUNTIFS($B$2:$B$492,$B481,$O$2:$O$492,"&gt;"&amp;$O481)+1-1)/COUNTIF($B$2:$B$492,$B481))&gt;=0.6,"Buono",IF((1-(COUNTIFS($B$2:$B$492,$B481,$O$2:$O$492,"&gt;"&amp;$O481)+1-1)/COUNTIF($B$2:$B$492,$B481))&gt;=0.3,"Nella Media","Scommessa/Riserva")))),"")</f>
        <v>Scommessa/Riserva</v>
      </c>
      <c r="Q481" s="29" t="n">
        <f aca="false">IF($D481="",COUNTIF($D$2:$D481,""),"")</f>
        <v>480</v>
      </c>
      <c r="R481" s="29" t="str">
        <f aca="false">IF($D481='Info Lega'!$B$28,COUNTIFS($D$2:$D481,'Info Lega'!$B$28),"")</f>
        <v/>
      </c>
      <c r="S481" s="30" t="n">
        <f aca="false">IFERROR(INDEX('Input Statistiche 2025_26'!$G$3:$G$665,MATCH($A481,'Input Statistiche 2025_26'!$A$3:$A$665,0)),"")</f>
        <v>0</v>
      </c>
      <c r="T481" s="30" t="n">
        <f aca="false">IFERROR(INDEX('Input Statistiche 2025_26'!$H$3:$H$665,MATCH($A481,'Input Statistiche 2025_26'!$A$3:$A$665,0)),"")</f>
        <v>0</v>
      </c>
      <c r="U481" s="26" t="str">
        <f aca="false">IF(OR('La Mia Rosa'!$O$12="",$D481&lt;&gt;""),"",IF($F481&lt;='La Mia Rosa'!$O$12*'Parametri Modello'!$B$24,"OK",IF($F481&lt;='La Mia Rosa'!$O$12*'Parametri Modello'!$B$25,"Attenzione","Rischio Alto")))</f>
        <v>OK</v>
      </c>
      <c r="V481" s="26" t="n">
        <f aca="false">IFERROR(COUNTIFS($B$2:$B$492,$B481,$O$2:$O$492,"&gt;"&amp;$O481)+1,"")</f>
        <v>168</v>
      </c>
      <c r="W481" s="21" t="n">
        <f aca="false">'Info Lega'!$B$4-SUMIFS($M$2:$M$492,$D$2:$D$492,'Info Lega'!$B$28)</f>
        <v>1000</v>
      </c>
      <c r="X481" s="21" t="n">
        <f aca="false">('Info Lega'!$B$5-COUNTIFS($D$2:$D$492,'Info Lega'!$B$28,$B$2:$B$492,"P"))+('Info Lega'!$B$6-COUNTIFS($D$2:$D$492,'Info Lega'!$B$28,$B$2:$B$492,"D"))+('Info Lega'!$B$7-COUNTIFS($D$2:$D$492,'Info Lega'!$B$28,$B$2:$B$492,"C"))+('Info Lega'!$B$8-COUNTIFS($D$2:$D$492,'Info Lega'!$B$28,$B$2:$B$492,"A"))</f>
        <v>25</v>
      </c>
      <c r="Y481" s="21" t="n">
        <f aca="false">X481*'Parametri Modello'!$B$30</f>
        <v>25</v>
      </c>
      <c r="Z481" s="21" t="n">
        <f aca="false">MAX(0,W481-Y481)</f>
        <v>975</v>
      </c>
      <c r="AA481" s="21" t="n">
        <f aca="false">MIN(F481,Z481)</f>
        <v>0</v>
      </c>
      <c r="AB481" s="21"/>
      <c r="AC481" s="21" t="str">
        <f aca="false">IF(AB481="","",IF(AB481&gt;AA481,"PASS",IF(AB481&lt;=AA481*0.85,"BID","ATTENZIONE")))</f>
        <v/>
      </c>
      <c r="AD481" s="31" t="n">
        <f aca="false">IF(I481="","",ROUND(100*(1-EXP(-I481/30)),0))</f>
        <v>0</v>
      </c>
      <c r="AE481" s="7" t="str">
        <f aca="false">IFERROR(INDEX('Stato Asta'!$G$9:$G$12,MATCH($B481,'Stato Asta'!$A$9:$A$12,0)),"")</f>
        <v>🟡 Attesa rischiosa</v>
      </c>
    </row>
    <row r="482" customFormat="false" ht="14.25" hidden="false" customHeight="true" outlineLevel="0" collapsed="false">
      <c r="A482" s="21" t="n">
        <v>7454</v>
      </c>
      <c r="B482" s="21" t="s">
        <v>44</v>
      </c>
      <c r="C482" s="21" t="s">
        <v>365</v>
      </c>
      <c r="E482" s="26" t="str">
        <f aca="false">IF(COUNTIF('Info Strategia'!$D$2:$D$51,$C482)&gt;0,"SI","NO")</f>
        <v>NO</v>
      </c>
      <c r="F482" s="27" t="n">
        <f aca="false">IFERROR(ROUND(($G482+($H482-$G482)*'Info Strategia'!$B$6)*(1+IF($E482="SI",'Parametri Modello'!$B$7*'Info Strategia'!$B$6,0)),0),"")</f>
        <v>0</v>
      </c>
      <c r="G482" s="27" t="n">
        <f aca="false">IFERROR(ROUND(MAX(1,(IF($V482&lt;=INDEX('Parametri Modello'!$C$57:$C$60,MATCH($B482,'Parametri Modello'!$A$57:$A$60,0)),IF(INDEX('Parametri Modello'!$E$57:$E$60,MATCH($B482,'Parametri Modello'!$A$57:$A$60,0))=0,0,($O482/INDEX('Parametri Modello'!$E$57:$E$60,MATCH($B482,'Parametri Modello'!$A$57:$A$60,0)))*(INDEX('Parametri Modello'!$D$57:$D$60,MATCH($B482,'Parametri Modello'!$A$57:$A$60,0))*(INDEX('Parametri Modello'!$B$50:$B$53,MATCH($B482,'Parametri Modello'!$A$50:$A$53,0))*'Parametri Modello'!$B$44))),IF(INDEX('Parametri Modello'!$F$57:$F$60,MATCH($B482,'Parametri Modello'!$A$57:$A$60,0))=0,0,($O482/INDEX('Parametri Modello'!$F$57:$F$60,MATCH($B482,'Parametri Modello'!$A$57:$A$60,0)))*((1-INDEX('Parametri Modello'!$D$57:$D$60,MATCH($B482,'Parametri Modello'!$A$57:$A$60,0)))*(INDEX('Parametri Modello'!$B$50:$B$53,MATCH($B482,'Parametri Modello'!$A$50:$A$53,0))*'Parametri Modello'!$B$44))))*(1+IF(IF($B482="D",'Info Lega'!$B$25,IF($B482="C",'Info Lega'!$B$26,"No"))="Si",'Parametri Modello'!$B$5,0))*(1+MAX(-0.25,MIN(0.25,IF(OR($T482="",$I482="",$I482=0,INDEX('Parametri Modello'!$B$19:$B$22,MATCH($B482,'Parametri Modello'!$A$19:$A$22,0))="",INDEX('Parametri Modello'!$B$19:$B$22,MATCH($B482,'Parametri Modello'!$A$19:$A$22,0))=0),0,(($T482-INDEX('Parametri Modello'!$B$19:$B$22,MATCH($B482,'Parametri Modello'!$A$19:$A$22,0)))/INDEX('Parametri Modello'!$B$19:$B$22,MATCH($B482,'Parametri Modello'!$A$19:$A$22,0)))*'Parametri Modello'!$B$9))))*(1+IF('Parametri Modello'!$B$27="Si",MAX(-'Parametri Modello'!$B$28,MIN('Parametri Modello'!$B$28*1.5,IF(OR(INDEX('Parametri Modello'!$F$32:$F$35,MATCH($B482,'Parametri Modello'!$A$32:$A$35,0))="",INDEX('Parametri Modello'!$F$32:$F$35,MATCH($B482,'Parametri Modello'!$A$32:$A$35,0))=0),0,(1/INDEX('Parametri Modello'!$F$32:$F$35,MATCH($B482,'Parametri Modello'!$A$32:$A$35,0))-1)*'Parametri Modello'!$B$28))),0)))*(1-INDEX('Parametri Modello'!$B$12:$B$15,MATCH($B482,'Parametri Modello'!$A$12:$A$15,0)))),0),"")</f>
        <v>1</v>
      </c>
      <c r="H482" s="27" t="n">
        <f aca="false">IFERROR(ROUND((IF($V482&lt;=INDEX('Parametri Modello'!$C$57:$C$60,MATCH($B482,'Parametri Modello'!$A$57:$A$60,0)),IF(INDEX('Parametri Modello'!$E$57:$E$60,MATCH($B482,'Parametri Modello'!$A$57:$A$60,0))=0,0,($O482/INDEX('Parametri Modello'!$E$57:$E$60,MATCH($B482,'Parametri Modello'!$A$57:$A$60,0)))*(INDEX('Parametri Modello'!$D$57:$D$60,MATCH($B482,'Parametri Modello'!$A$57:$A$60,0))*(INDEX('Parametri Modello'!$B$50:$B$53,MATCH($B482,'Parametri Modello'!$A$50:$A$53,0))*'Parametri Modello'!$B$44))),IF(INDEX('Parametri Modello'!$F$57:$F$60,MATCH($B482,'Parametri Modello'!$A$57:$A$60,0))=0,0,($O482/INDEX('Parametri Modello'!$F$57:$F$60,MATCH($B482,'Parametri Modello'!$A$57:$A$60,0)))*((1-INDEX('Parametri Modello'!$D$57:$D$60,MATCH($B482,'Parametri Modello'!$A$57:$A$60,0)))*(INDEX('Parametri Modello'!$B$50:$B$53,MATCH($B482,'Parametri Modello'!$A$50:$A$53,0))*'Parametri Modello'!$B$44))))*(1+IF(IF($B482="D",'Info Lega'!$B$25,IF($B482="C",'Info Lega'!$B$26,"No"))="Si",'Parametri Modello'!$B$5,0))*(1+MAX(-0.25,MIN(0.25,IF(OR($T482="",$I482="",$I482=0,INDEX('Parametri Modello'!$B$19:$B$22,MATCH($B482,'Parametri Modello'!$A$19:$A$22,0))="",INDEX('Parametri Modello'!$B$19:$B$22,MATCH($B482,'Parametri Modello'!$A$19:$A$22,0))=0),0,(($T482-INDEX('Parametri Modello'!$B$19:$B$22,MATCH($B482,'Parametri Modello'!$A$19:$A$22,0)))/INDEX('Parametri Modello'!$B$19:$B$22,MATCH($B482,'Parametri Modello'!$A$19:$A$22,0)))*'Parametri Modello'!$B$9))))*(1+IF('Parametri Modello'!$B$27="Si",MAX(-'Parametri Modello'!$B$28,MIN('Parametri Modello'!$B$28*1.5,IF(OR(INDEX('Parametri Modello'!$F$32:$F$35,MATCH($B482,'Parametri Modello'!$A$32:$A$35,0))="",INDEX('Parametri Modello'!$F$32:$F$35,MATCH($B482,'Parametri Modello'!$A$32:$A$35,0))=0),0,(1/INDEX('Parametri Modello'!$F$32:$F$35,MATCH($B482,'Parametri Modello'!$A$32:$A$35,0))-1)*'Parametri Modello'!$B$28))),0)))*(1+INDEX('Parametri Modello'!$B$12:$B$15,MATCH($B482,'Parametri Modello'!$A$12:$A$15,0))),0),"")</f>
        <v>0</v>
      </c>
      <c r="I482" s="26" t="str">
        <f aca="false">IFERROR(INDEX('Input Statistiche 2025_26'!$F$3:$F$665,MATCH($A482,'Input Statistiche 2025_26'!$A$3:$A$665,0)),"")</f>
        <v/>
      </c>
      <c r="J482" s="26" t="str">
        <f aca="false">IFERROR(IF($I482="","",MAX(0,38-$I482)),"")</f>
        <v/>
      </c>
      <c r="K482" s="26" t="str">
        <f aca="false">IFERROR(INDEX('Input Statistiche 2025_26'!$I$3:$I$665,MATCH($A482,'Input Statistiche 2025_26'!$A$3:$A$665,0)),"")</f>
        <v/>
      </c>
      <c r="L482" s="26" t="str">
        <f aca="false">IFERROR(INDEX('Input Statistiche 2025_26'!$O$3:$O$665,MATCH($A482,'Input Statistiche 2025_26'!$A$3:$A$665,0)),"")</f>
        <v/>
      </c>
      <c r="M482" s="28"/>
      <c r="N482" s="27" t="n">
        <f aca="false">IFERROR(INDEX('Input Giocatori 2026_27'!$E$3:$E$493,MATCH($A482,'Input Giocatori 2026_27'!$A$3:$A$493,0)),"")</f>
        <v>1</v>
      </c>
      <c r="O482" s="27" t="n">
        <f aca="false">IFERROR(INDEX('Input Giocatori 2026_27'!$G$3:$G$493,MATCH($A482,'Input Giocatori 2026_27'!$A$3:$A$493,0)),"")</f>
        <v>1</v>
      </c>
      <c r="P482" s="26" t="str">
        <f aca="false">IFERROR(IF($O482="","",IF((1-(COUNTIFS($B$2:$B$492,$B482,$O$2:$O$492,"&gt;"&amp;$O482)+1-1)/COUNTIF($B$2:$B$492,$B482))&gt;=0.85,"Top",IF((1-(COUNTIFS($B$2:$B$492,$B482,$O$2:$O$492,"&gt;"&amp;$O482)+1-1)/COUNTIF($B$2:$B$492,$B482))&gt;=0.6,"Buono",IF((1-(COUNTIFS($B$2:$B$492,$B482,$O$2:$O$492,"&gt;"&amp;$O482)+1-1)/COUNTIF($B$2:$B$492,$B482))&gt;=0.3,"Nella Media","Scommessa/Riserva")))),"")</f>
        <v>Scommessa/Riserva</v>
      </c>
      <c r="Q482" s="29" t="n">
        <f aca="false">IF($D482="",COUNTIF($D$2:$D482,""),"")</f>
        <v>481</v>
      </c>
      <c r="R482" s="29" t="str">
        <f aca="false">IF($D482='Info Lega'!$B$28,COUNTIFS($D$2:$D482,'Info Lega'!$B$28),"")</f>
        <v/>
      </c>
      <c r="S482" s="30" t="str">
        <f aca="false">IFERROR(INDEX('Input Statistiche 2025_26'!$G$3:$G$665,MATCH($A482,'Input Statistiche 2025_26'!$A$3:$A$665,0)),"")</f>
        <v/>
      </c>
      <c r="T482" s="30" t="str">
        <f aca="false">IFERROR(INDEX('Input Statistiche 2025_26'!$H$3:$H$665,MATCH($A482,'Input Statistiche 2025_26'!$A$3:$A$665,0)),"")</f>
        <v/>
      </c>
      <c r="U482" s="26" t="str">
        <f aca="false">IF(OR('La Mia Rosa'!$O$12="",$D482&lt;&gt;""),"",IF($F482&lt;='La Mia Rosa'!$O$12*'Parametri Modello'!$B$24,"OK",IF($F482&lt;='La Mia Rosa'!$O$12*'Parametri Modello'!$B$25,"Attenzione","Rischio Alto")))</f>
        <v>OK</v>
      </c>
      <c r="V482" s="26" t="n">
        <f aca="false">IFERROR(COUNTIFS($B$2:$B$492,$B482,$O$2:$O$492,"&gt;"&amp;$O482)+1,"")</f>
        <v>168</v>
      </c>
      <c r="W482" s="21" t="n">
        <f aca="false">'Info Lega'!$B$4-SUMIFS($M$2:$M$492,$D$2:$D$492,'Info Lega'!$B$28)</f>
        <v>1000</v>
      </c>
      <c r="X482" s="21" t="n">
        <f aca="false">('Info Lega'!$B$5-COUNTIFS($D$2:$D$492,'Info Lega'!$B$28,$B$2:$B$492,"P"))+('Info Lega'!$B$6-COUNTIFS($D$2:$D$492,'Info Lega'!$B$28,$B$2:$B$492,"D"))+('Info Lega'!$B$7-COUNTIFS($D$2:$D$492,'Info Lega'!$B$28,$B$2:$B$492,"C"))+('Info Lega'!$B$8-COUNTIFS($D$2:$D$492,'Info Lega'!$B$28,$B$2:$B$492,"A"))</f>
        <v>25</v>
      </c>
      <c r="Y482" s="21" t="n">
        <f aca="false">X482*'Parametri Modello'!$B$30</f>
        <v>25</v>
      </c>
      <c r="Z482" s="21" t="n">
        <f aca="false">MAX(0,W482-Y482)</f>
        <v>975</v>
      </c>
      <c r="AA482" s="21" t="n">
        <f aca="false">MIN(F482,Z482)</f>
        <v>0</v>
      </c>
      <c r="AB482" s="21"/>
      <c r="AC482" s="21" t="str">
        <f aca="false">IF(AB482="","",IF(AB482&gt;AA482,"PASS",IF(AB482&lt;=AA482*0.85,"BID","ATTENZIONE")))</f>
        <v/>
      </c>
      <c r="AD482" s="31" t="str">
        <f aca="false">IF(I482="","",ROUND(100*(1-EXP(-I482/30)),0))</f>
        <v/>
      </c>
      <c r="AE482" s="7" t="str">
        <f aca="false">IFERROR(INDEX('Stato Asta'!$G$9:$G$12,MATCH($B482,'Stato Asta'!$A$9:$A$12,0)),"")</f>
        <v>🟡 Attesa rischiosa</v>
      </c>
    </row>
    <row r="483" customFormat="false" ht="14.25" hidden="false" customHeight="true" outlineLevel="0" collapsed="false">
      <c r="A483" s="21" t="n">
        <v>7165</v>
      </c>
      <c r="B483" s="21" t="s">
        <v>45</v>
      </c>
      <c r="C483" s="21" t="s">
        <v>521</v>
      </c>
      <c r="E483" s="26" t="str">
        <f aca="false">IF(COUNTIF('Info Strategia'!$D$2:$D$51,$C483)&gt;0,"SI","NO")</f>
        <v>NO</v>
      </c>
      <c r="F483" s="27" t="n">
        <f aca="false">IFERROR(ROUND(($G483+($H483-$G483)*'Info Strategia'!$B$6)*(1+IF($E483="SI",'Parametri Modello'!$B$7*'Info Strategia'!$B$6,0)),0),"")</f>
        <v>0</v>
      </c>
      <c r="G483" s="27" t="n">
        <f aca="false">IFERROR(ROUND(MAX(1,(IF($V483&lt;=INDEX('Parametri Modello'!$C$57:$C$60,MATCH($B483,'Parametri Modello'!$A$57:$A$60,0)),IF(INDEX('Parametri Modello'!$E$57:$E$60,MATCH($B483,'Parametri Modello'!$A$57:$A$60,0))=0,0,($O483/INDEX('Parametri Modello'!$E$57:$E$60,MATCH($B483,'Parametri Modello'!$A$57:$A$60,0)))*(INDEX('Parametri Modello'!$D$57:$D$60,MATCH($B483,'Parametri Modello'!$A$57:$A$60,0))*(INDEX('Parametri Modello'!$B$50:$B$53,MATCH($B483,'Parametri Modello'!$A$50:$A$53,0))*'Parametri Modello'!$B$44))),IF(INDEX('Parametri Modello'!$F$57:$F$60,MATCH($B483,'Parametri Modello'!$A$57:$A$60,0))=0,0,($O483/INDEX('Parametri Modello'!$F$57:$F$60,MATCH($B483,'Parametri Modello'!$A$57:$A$60,0)))*((1-INDEX('Parametri Modello'!$D$57:$D$60,MATCH($B483,'Parametri Modello'!$A$57:$A$60,0)))*(INDEX('Parametri Modello'!$B$50:$B$53,MATCH($B483,'Parametri Modello'!$A$50:$A$53,0))*'Parametri Modello'!$B$44))))*(1+IF(IF($B483="D",'Info Lega'!$B$25,IF($B483="C",'Info Lega'!$B$26,"No"))="Si",'Parametri Modello'!$B$5,0))*(1+MAX(-0.25,MIN(0.25,IF(OR($T483="",$I483="",$I483=0,INDEX('Parametri Modello'!$B$19:$B$22,MATCH($B483,'Parametri Modello'!$A$19:$A$22,0))="",INDEX('Parametri Modello'!$B$19:$B$22,MATCH($B483,'Parametri Modello'!$A$19:$A$22,0))=0),0,(($T483-INDEX('Parametri Modello'!$B$19:$B$22,MATCH($B483,'Parametri Modello'!$A$19:$A$22,0)))/INDEX('Parametri Modello'!$B$19:$B$22,MATCH($B483,'Parametri Modello'!$A$19:$A$22,0)))*'Parametri Modello'!$B$9))))*(1+IF('Parametri Modello'!$B$27="Si",MAX(-'Parametri Modello'!$B$28,MIN('Parametri Modello'!$B$28*1.5,IF(OR(INDEX('Parametri Modello'!$F$32:$F$35,MATCH($B483,'Parametri Modello'!$A$32:$A$35,0))="",INDEX('Parametri Modello'!$F$32:$F$35,MATCH($B483,'Parametri Modello'!$A$32:$A$35,0))=0),0,(1/INDEX('Parametri Modello'!$F$32:$F$35,MATCH($B483,'Parametri Modello'!$A$32:$A$35,0))-1)*'Parametri Modello'!$B$28))),0)))*(1-INDEX('Parametri Modello'!$B$12:$B$15,MATCH($B483,'Parametri Modello'!$A$12:$A$15,0)))),0),"")</f>
        <v>1</v>
      </c>
      <c r="H483" s="27" t="n">
        <f aca="false">IFERROR(ROUND((IF($V483&lt;=INDEX('Parametri Modello'!$C$57:$C$60,MATCH($B483,'Parametri Modello'!$A$57:$A$60,0)),IF(INDEX('Parametri Modello'!$E$57:$E$60,MATCH($B483,'Parametri Modello'!$A$57:$A$60,0))=0,0,($O483/INDEX('Parametri Modello'!$E$57:$E$60,MATCH($B483,'Parametri Modello'!$A$57:$A$60,0)))*(INDEX('Parametri Modello'!$D$57:$D$60,MATCH($B483,'Parametri Modello'!$A$57:$A$60,0))*(INDEX('Parametri Modello'!$B$50:$B$53,MATCH($B483,'Parametri Modello'!$A$50:$A$53,0))*'Parametri Modello'!$B$44))),IF(INDEX('Parametri Modello'!$F$57:$F$60,MATCH($B483,'Parametri Modello'!$A$57:$A$60,0))=0,0,($O483/INDEX('Parametri Modello'!$F$57:$F$60,MATCH($B483,'Parametri Modello'!$A$57:$A$60,0)))*((1-INDEX('Parametri Modello'!$D$57:$D$60,MATCH($B483,'Parametri Modello'!$A$57:$A$60,0)))*(INDEX('Parametri Modello'!$B$50:$B$53,MATCH($B483,'Parametri Modello'!$A$50:$A$53,0))*'Parametri Modello'!$B$44))))*(1+IF(IF($B483="D",'Info Lega'!$B$25,IF($B483="C",'Info Lega'!$B$26,"No"))="Si",'Parametri Modello'!$B$5,0))*(1+MAX(-0.25,MIN(0.25,IF(OR($T483="",$I483="",$I483=0,INDEX('Parametri Modello'!$B$19:$B$22,MATCH($B483,'Parametri Modello'!$A$19:$A$22,0))="",INDEX('Parametri Modello'!$B$19:$B$22,MATCH($B483,'Parametri Modello'!$A$19:$A$22,0))=0),0,(($T483-INDEX('Parametri Modello'!$B$19:$B$22,MATCH($B483,'Parametri Modello'!$A$19:$A$22,0)))/INDEX('Parametri Modello'!$B$19:$B$22,MATCH($B483,'Parametri Modello'!$A$19:$A$22,0)))*'Parametri Modello'!$B$9))))*(1+IF('Parametri Modello'!$B$27="Si",MAX(-'Parametri Modello'!$B$28,MIN('Parametri Modello'!$B$28*1.5,IF(OR(INDEX('Parametri Modello'!$F$32:$F$35,MATCH($B483,'Parametri Modello'!$A$32:$A$35,0))="",INDEX('Parametri Modello'!$F$32:$F$35,MATCH($B483,'Parametri Modello'!$A$32:$A$35,0))=0),0,(1/INDEX('Parametri Modello'!$F$32:$F$35,MATCH($B483,'Parametri Modello'!$A$32:$A$35,0))-1)*'Parametri Modello'!$B$28))),0)))*(1+INDEX('Parametri Modello'!$B$12:$B$15,MATCH($B483,'Parametri Modello'!$A$12:$A$15,0))),0),"")</f>
        <v>0</v>
      </c>
      <c r="I483" s="26" t="n">
        <f aca="false">IFERROR(INDEX('Input Statistiche 2025_26'!$F$3:$F$665,MATCH($A483,'Input Statistiche 2025_26'!$A$3:$A$665,0)),"")</f>
        <v>4</v>
      </c>
      <c r="J483" s="26" t="n">
        <f aca="false">IFERROR(IF($I483="","",MAX(0,38-$I483)),"")</f>
        <v>34</v>
      </c>
      <c r="K483" s="26" t="n">
        <f aca="false">IFERROR(INDEX('Input Statistiche 2025_26'!$I$3:$I$665,MATCH($A483,'Input Statistiche 2025_26'!$A$3:$A$665,0)),"")</f>
        <v>0</v>
      </c>
      <c r="L483" s="26" t="n">
        <f aca="false">IFERROR(INDEX('Input Statistiche 2025_26'!$O$3:$O$665,MATCH($A483,'Input Statistiche 2025_26'!$A$3:$A$665,0)),"")</f>
        <v>0</v>
      </c>
      <c r="M483" s="28"/>
      <c r="N483" s="27" t="n">
        <f aca="false">IFERROR(INDEX('Input Giocatori 2026_27'!$E$3:$E$493,MATCH($A483,'Input Giocatori 2026_27'!$A$3:$A$493,0)),"")</f>
        <v>1</v>
      </c>
      <c r="O483" s="27" t="n">
        <f aca="false">IFERROR(INDEX('Input Giocatori 2026_27'!$G$3:$G$493,MATCH($A483,'Input Giocatori 2026_27'!$A$3:$A$493,0)),"")</f>
        <v>1</v>
      </c>
      <c r="P483" s="26" t="str">
        <f aca="false">IFERROR(IF($O483="","",IF((1-(COUNTIFS($B$2:$B$492,$B483,$O$2:$O$492,"&gt;"&amp;$O483)+1-1)/COUNTIF($B$2:$B$492,$B483))&gt;=0.85,"Top",IF((1-(COUNTIFS($B$2:$B$492,$B483,$O$2:$O$492,"&gt;"&amp;$O483)+1-1)/COUNTIF($B$2:$B$492,$B483))&gt;=0.6,"Buono",IF((1-(COUNTIFS($B$2:$B$492,$B483,$O$2:$O$492,"&gt;"&amp;$O483)+1-1)/COUNTIF($B$2:$B$492,$B483))&gt;=0.3,"Nella Media","Scommessa/Riserva")))),"")</f>
        <v>Scommessa/Riserva</v>
      </c>
      <c r="Q483" s="29" t="n">
        <f aca="false">IF($D483="",COUNTIF($D$2:$D483,""),"")</f>
        <v>482</v>
      </c>
      <c r="R483" s="29" t="str">
        <f aca="false">IF($D483='Info Lega'!$B$28,COUNTIFS($D$2:$D483,'Info Lega'!$B$28),"")</f>
        <v/>
      </c>
      <c r="S483" s="30" t="n">
        <f aca="false">IFERROR(INDEX('Input Statistiche 2025_26'!$G$3:$G$665,MATCH($A483,'Input Statistiche 2025_26'!$A$3:$A$665,0)),"")</f>
        <v>5.75</v>
      </c>
      <c r="T483" s="30" t="n">
        <f aca="false">IFERROR(INDEX('Input Statistiche 2025_26'!$H$3:$H$665,MATCH($A483,'Input Statistiche 2025_26'!$A$3:$A$665,0)),"")</f>
        <v>5.75</v>
      </c>
      <c r="U483" s="26" t="str">
        <f aca="false">IF(OR('La Mia Rosa'!$O$12="",$D483&lt;&gt;""),"",IF($F483&lt;='La Mia Rosa'!$O$12*'Parametri Modello'!$B$24,"OK",IF($F483&lt;='La Mia Rosa'!$O$12*'Parametri Modello'!$B$25,"Attenzione","Rischio Alto")))</f>
        <v>OK</v>
      </c>
      <c r="V483" s="26" t="n">
        <f aca="false">IFERROR(COUNTIFS($B$2:$B$492,$B483,$O$2:$O$492,"&gt;"&amp;$O483)+1,"")</f>
        <v>168</v>
      </c>
      <c r="W483" s="21" t="n">
        <f aca="false">'Info Lega'!$B$4-SUMIFS($M$2:$M$492,$D$2:$D$492,'Info Lega'!$B$28)</f>
        <v>1000</v>
      </c>
      <c r="X483" s="21" t="n">
        <f aca="false">('Info Lega'!$B$5-COUNTIFS($D$2:$D$492,'Info Lega'!$B$28,$B$2:$B$492,"P"))+('Info Lega'!$B$6-COUNTIFS($D$2:$D$492,'Info Lega'!$B$28,$B$2:$B$492,"D"))+('Info Lega'!$B$7-COUNTIFS($D$2:$D$492,'Info Lega'!$B$28,$B$2:$B$492,"C"))+('Info Lega'!$B$8-COUNTIFS($D$2:$D$492,'Info Lega'!$B$28,$B$2:$B$492,"A"))</f>
        <v>25</v>
      </c>
      <c r="Y483" s="21" t="n">
        <f aca="false">X483*'Parametri Modello'!$B$30</f>
        <v>25</v>
      </c>
      <c r="Z483" s="21" t="n">
        <f aca="false">MAX(0,W483-Y483)</f>
        <v>975</v>
      </c>
      <c r="AA483" s="21" t="n">
        <f aca="false">MIN(F483,Z483)</f>
        <v>0</v>
      </c>
      <c r="AB483" s="21"/>
      <c r="AC483" s="21" t="str">
        <f aca="false">IF(AB483="","",IF(AB483&gt;AA483,"PASS",IF(AB483&lt;=AA483*0.85,"BID","ATTENZIONE")))</f>
        <v/>
      </c>
      <c r="AD483" s="31" t="n">
        <f aca="false">IF(I483="","",ROUND(100*(1-EXP(-I483/30)),0))</f>
        <v>12</v>
      </c>
      <c r="AE483" s="7" t="str">
        <f aca="false">IFERROR(INDEX('Stato Asta'!$G$9:$G$12,MATCH($B483,'Stato Asta'!$A$9:$A$12,0)),"")</f>
        <v>🟡 Attesa rischiosa</v>
      </c>
    </row>
    <row r="484" customFormat="false" ht="14.25" hidden="false" customHeight="true" outlineLevel="0" collapsed="false">
      <c r="A484" s="21" t="n">
        <v>7357</v>
      </c>
      <c r="B484" s="21" t="s">
        <v>45</v>
      </c>
      <c r="C484" s="21" t="s">
        <v>522</v>
      </c>
      <c r="E484" s="26" t="str">
        <f aca="false">IF(COUNTIF('Info Strategia'!$D$2:$D$51,$C484)&gt;0,"SI","NO")</f>
        <v>NO</v>
      </c>
      <c r="F484" s="27" t="n">
        <f aca="false">IFERROR(ROUND(($G484+($H484-$G484)*'Info Strategia'!$B$6)*(1+IF($E484="SI",'Parametri Modello'!$B$7*'Info Strategia'!$B$6,0)),0),"")</f>
        <v>0</v>
      </c>
      <c r="G484" s="27" t="n">
        <f aca="false">IFERROR(ROUND(MAX(1,(IF($V484&lt;=INDEX('Parametri Modello'!$C$57:$C$60,MATCH($B484,'Parametri Modello'!$A$57:$A$60,0)),IF(INDEX('Parametri Modello'!$E$57:$E$60,MATCH($B484,'Parametri Modello'!$A$57:$A$60,0))=0,0,($O484/INDEX('Parametri Modello'!$E$57:$E$60,MATCH($B484,'Parametri Modello'!$A$57:$A$60,0)))*(INDEX('Parametri Modello'!$D$57:$D$60,MATCH($B484,'Parametri Modello'!$A$57:$A$60,0))*(INDEX('Parametri Modello'!$B$50:$B$53,MATCH($B484,'Parametri Modello'!$A$50:$A$53,0))*'Parametri Modello'!$B$44))),IF(INDEX('Parametri Modello'!$F$57:$F$60,MATCH($B484,'Parametri Modello'!$A$57:$A$60,0))=0,0,($O484/INDEX('Parametri Modello'!$F$57:$F$60,MATCH($B484,'Parametri Modello'!$A$57:$A$60,0)))*((1-INDEX('Parametri Modello'!$D$57:$D$60,MATCH($B484,'Parametri Modello'!$A$57:$A$60,0)))*(INDEX('Parametri Modello'!$B$50:$B$53,MATCH($B484,'Parametri Modello'!$A$50:$A$53,0))*'Parametri Modello'!$B$44))))*(1+IF(IF($B484="D",'Info Lega'!$B$25,IF($B484="C",'Info Lega'!$B$26,"No"))="Si",'Parametri Modello'!$B$5,0))*(1+MAX(-0.25,MIN(0.25,IF(OR($T484="",$I484="",$I484=0,INDEX('Parametri Modello'!$B$19:$B$22,MATCH($B484,'Parametri Modello'!$A$19:$A$22,0))="",INDEX('Parametri Modello'!$B$19:$B$22,MATCH($B484,'Parametri Modello'!$A$19:$A$22,0))=0),0,(($T484-INDEX('Parametri Modello'!$B$19:$B$22,MATCH($B484,'Parametri Modello'!$A$19:$A$22,0)))/INDEX('Parametri Modello'!$B$19:$B$22,MATCH($B484,'Parametri Modello'!$A$19:$A$22,0)))*'Parametri Modello'!$B$9))))*(1+IF('Parametri Modello'!$B$27="Si",MAX(-'Parametri Modello'!$B$28,MIN('Parametri Modello'!$B$28*1.5,IF(OR(INDEX('Parametri Modello'!$F$32:$F$35,MATCH($B484,'Parametri Modello'!$A$32:$A$35,0))="",INDEX('Parametri Modello'!$F$32:$F$35,MATCH($B484,'Parametri Modello'!$A$32:$A$35,0))=0),0,(1/INDEX('Parametri Modello'!$F$32:$F$35,MATCH($B484,'Parametri Modello'!$A$32:$A$35,0))-1)*'Parametri Modello'!$B$28))),0)))*(1-INDEX('Parametri Modello'!$B$12:$B$15,MATCH($B484,'Parametri Modello'!$A$12:$A$15,0)))),0),"")</f>
        <v>1</v>
      </c>
      <c r="H484" s="27" t="n">
        <f aca="false">IFERROR(ROUND((IF($V484&lt;=INDEX('Parametri Modello'!$C$57:$C$60,MATCH($B484,'Parametri Modello'!$A$57:$A$60,0)),IF(INDEX('Parametri Modello'!$E$57:$E$60,MATCH($B484,'Parametri Modello'!$A$57:$A$60,0))=0,0,($O484/INDEX('Parametri Modello'!$E$57:$E$60,MATCH($B484,'Parametri Modello'!$A$57:$A$60,0)))*(INDEX('Parametri Modello'!$D$57:$D$60,MATCH($B484,'Parametri Modello'!$A$57:$A$60,0))*(INDEX('Parametri Modello'!$B$50:$B$53,MATCH($B484,'Parametri Modello'!$A$50:$A$53,0))*'Parametri Modello'!$B$44))),IF(INDEX('Parametri Modello'!$F$57:$F$60,MATCH($B484,'Parametri Modello'!$A$57:$A$60,0))=0,0,($O484/INDEX('Parametri Modello'!$F$57:$F$60,MATCH($B484,'Parametri Modello'!$A$57:$A$60,0)))*((1-INDEX('Parametri Modello'!$D$57:$D$60,MATCH($B484,'Parametri Modello'!$A$57:$A$60,0)))*(INDEX('Parametri Modello'!$B$50:$B$53,MATCH($B484,'Parametri Modello'!$A$50:$A$53,0))*'Parametri Modello'!$B$44))))*(1+IF(IF($B484="D",'Info Lega'!$B$25,IF($B484="C",'Info Lega'!$B$26,"No"))="Si",'Parametri Modello'!$B$5,0))*(1+MAX(-0.25,MIN(0.25,IF(OR($T484="",$I484="",$I484=0,INDEX('Parametri Modello'!$B$19:$B$22,MATCH($B484,'Parametri Modello'!$A$19:$A$22,0))="",INDEX('Parametri Modello'!$B$19:$B$22,MATCH($B484,'Parametri Modello'!$A$19:$A$22,0))=0),0,(($T484-INDEX('Parametri Modello'!$B$19:$B$22,MATCH($B484,'Parametri Modello'!$A$19:$A$22,0)))/INDEX('Parametri Modello'!$B$19:$B$22,MATCH($B484,'Parametri Modello'!$A$19:$A$22,0)))*'Parametri Modello'!$B$9))))*(1+IF('Parametri Modello'!$B$27="Si",MAX(-'Parametri Modello'!$B$28,MIN('Parametri Modello'!$B$28*1.5,IF(OR(INDEX('Parametri Modello'!$F$32:$F$35,MATCH($B484,'Parametri Modello'!$A$32:$A$35,0))="",INDEX('Parametri Modello'!$F$32:$F$35,MATCH($B484,'Parametri Modello'!$A$32:$A$35,0))=0),0,(1/INDEX('Parametri Modello'!$F$32:$F$35,MATCH($B484,'Parametri Modello'!$A$32:$A$35,0))-1)*'Parametri Modello'!$B$28))),0)))*(1+INDEX('Parametri Modello'!$B$12:$B$15,MATCH($B484,'Parametri Modello'!$A$12:$A$15,0))),0),"")</f>
        <v>0</v>
      </c>
      <c r="I484" s="26" t="n">
        <f aca="false">IFERROR(INDEX('Input Statistiche 2025_26'!$F$3:$F$665,MATCH($A484,'Input Statistiche 2025_26'!$A$3:$A$665,0)),"")</f>
        <v>0</v>
      </c>
      <c r="J484" s="26" t="n">
        <f aca="false">IFERROR(IF($I484="","",MAX(0,38-$I484)),"")</f>
        <v>38</v>
      </c>
      <c r="K484" s="26" t="n">
        <f aca="false">IFERROR(INDEX('Input Statistiche 2025_26'!$I$3:$I$665,MATCH($A484,'Input Statistiche 2025_26'!$A$3:$A$665,0)),"")</f>
        <v>0</v>
      </c>
      <c r="L484" s="26" t="n">
        <f aca="false">IFERROR(INDEX('Input Statistiche 2025_26'!$O$3:$O$665,MATCH($A484,'Input Statistiche 2025_26'!$A$3:$A$665,0)),"")</f>
        <v>0</v>
      </c>
      <c r="M484" s="28"/>
      <c r="N484" s="27" t="n">
        <f aca="false">IFERROR(INDEX('Input Giocatori 2026_27'!$E$3:$E$493,MATCH($A484,'Input Giocatori 2026_27'!$A$3:$A$493,0)),"")</f>
        <v>1</v>
      </c>
      <c r="O484" s="27" t="n">
        <f aca="false">IFERROR(INDEX('Input Giocatori 2026_27'!$G$3:$G$493,MATCH($A484,'Input Giocatori 2026_27'!$A$3:$A$493,0)),"")</f>
        <v>1</v>
      </c>
      <c r="P484" s="26" t="str">
        <f aca="false">IFERROR(IF($O484="","",IF((1-(COUNTIFS($B$2:$B$492,$B484,$O$2:$O$492,"&gt;"&amp;$O484)+1-1)/COUNTIF($B$2:$B$492,$B484))&gt;=0.85,"Top",IF((1-(COUNTIFS($B$2:$B$492,$B484,$O$2:$O$492,"&gt;"&amp;$O484)+1-1)/COUNTIF($B$2:$B$492,$B484))&gt;=0.6,"Buono",IF((1-(COUNTIFS($B$2:$B$492,$B484,$O$2:$O$492,"&gt;"&amp;$O484)+1-1)/COUNTIF($B$2:$B$492,$B484))&gt;=0.3,"Nella Media","Scommessa/Riserva")))),"")</f>
        <v>Scommessa/Riserva</v>
      </c>
      <c r="Q484" s="29" t="n">
        <f aca="false">IF($D484="",COUNTIF($D$2:$D484,""),"")</f>
        <v>483</v>
      </c>
      <c r="R484" s="29" t="str">
        <f aca="false">IF($D484='Info Lega'!$B$28,COUNTIFS($D$2:$D484,'Info Lega'!$B$28),"")</f>
        <v/>
      </c>
      <c r="S484" s="30" t="n">
        <f aca="false">IFERROR(INDEX('Input Statistiche 2025_26'!$G$3:$G$665,MATCH($A484,'Input Statistiche 2025_26'!$A$3:$A$665,0)),"")</f>
        <v>0</v>
      </c>
      <c r="T484" s="30" t="n">
        <f aca="false">IFERROR(INDEX('Input Statistiche 2025_26'!$H$3:$H$665,MATCH($A484,'Input Statistiche 2025_26'!$A$3:$A$665,0)),"")</f>
        <v>0</v>
      </c>
      <c r="U484" s="26" t="str">
        <f aca="false">IF(OR('La Mia Rosa'!$O$12="",$D484&lt;&gt;""),"",IF($F484&lt;='La Mia Rosa'!$O$12*'Parametri Modello'!$B$24,"OK",IF($F484&lt;='La Mia Rosa'!$O$12*'Parametri Modello'!$B$25,"Attenzione","Rischio Alto")))</f>
        <v>OK</v>
      </c>
      <c r="V484" s="26" t="n">
        <f aca="false">IFERROR(COUNTIFS($B$2:$B$492,$B484,$O$2:$O$492,"&gt;"&amp;$O484)+1,"")</f>
        <v>168</v>
      </c>
      <c r="W484" s="21" t="n">
        <f aca="false">'Info Lega'!$B$4-SUMIFS($M$2:$M$492,$D$2:$D$492,'Info Lega'!$B$28)</f>
        <v>1000</v>
      </c>
      <c r="X484" s="21" t="n">
        <f aca="false">('Info Lega'!$B$5-COUNTIFS($D$2:$D$492,'Info Lega'!$B$28,$B$2:$B$492,"P"))+('Info Lega'!$B$6-COUNTIFS($D$2:$D$492,'Info Lega'!$B$28,$B$2:$B$492,"D"))+('Info Lega'!$B$7-COUNTIFS($D$2:$D$492,'Info Lega'!$B$28,$B$2:$B$492,"C"))+('Info Lega'!$B$8-COUNTIFS($D$2:$D$492,'Info Lega'!$B$28,$B$2:$B$492,"A"))</f>
        <v>25</v>
      </c>
      <c r="Y484" s="21" t="n">
        <f aca="false">X484*'Parametri Modello'!$B$30</f>
        <v>25</v>
      </c>
      <c r="Z484" s="21" t="n">
        <f aca="false">MAX(0,W484-Y484)</f>
        <v>975</v>
      </c>
      <c r="AA484" s="21" t="n">
        <f aca="false">MIN(F484,Z484)</f>
        <v>0</v>
      </c>
      <c r="AB484" s="21"/>
      <c r="AC484" s="21" t="str">
        <f aca="false">IF(AB484="","",IF(AB484&gt;AA484,"PASS",IF(AB484&lt;=AA484*0.85,"BID","ATTENZIONE")))</f>
        <v/>
      </c>
      <c r="AD484" s="31" t="n">
        <f aca="false">IF(I484="","",ROUND(100*(1-EXP(-I484/30)),0))</f>
        <v>0</v>
      </c>
      <c r="AE484" s="7" t="str">
        <f aca="false">IFERROR(INDEX('Stato Asta'!$G$9:$G$12,MATCH($B484,'Stato Asta'!$A$9:$A$12,0)),"")</f>
        <v>🟡 Attesa rischiosa</v>
      </c>
    </row>
    <row r="485" customFormat="false" ht="14.25" hidden="false" customHeight="true" outlineLevel="0" collapsed="false">
      <c r="A485" s="21" t="n">
        <v>7319</v>
      </c>
      <c r="B485" s="21" t="s">
        <v>45</v>
      </c>
      <c r="C485" s="21" t="s">
        <v>529</v>
      </c>
      <c r="E485" s="26" t="str">
        <f aca="false">IF(COUNTIF('Info Strategia'!$D$2:$D$51,$C485)&gt;0,"SI","NO")</f>
        <v>NO</v>
      </c>
      <c r="F485" s="27" t="n">
        <f aca="false">IFERROR(ROUND(($G485+($H485-$G485)*'Info Strategia'!$B$6)*(1+IF($E485="SI",'Parametri Modello'!$B$7*'Info Strategia'!$B$6,0)),0),"")</f>
        <v>0</v>
      </c>
      <c r="G485" s="27" t="n">
        <f aca="false">IFERROR(ROUND(MAX(1,(IF($V485&lt;=INDEX('Parametri Modello'!$C$57:$C$60,MATCH($B485,'Parametri Modello'!$A$57:$A$60,0)),IF(INDEX('Parametri Modello'!$E$57:$E$60,MATCH($B485,'Parametri Modello'!$A$57:$A$60,0))=0,0,($O485/INDEX('Parametri Modello'!$E$57:$E$60,MATCH($B485,'Parametri Modello'!$A$57:$A$60,0)))*(INDEX('Parametri Modello'!$D$57:$D$60,MATCH($B485,'Parametri Modello'!$A$57:$A$60,0))*(INDEX('Parametri Modello'!$B$50:$B$53,MATCH($B485,'Parametri Modello'!$A$50:$A$53,0))*'Parametri Modello'!$B$44))),IF(INDEX('Parametri Modello'!$F$57:$F$60,MATCH($B485,'Parametri Modello'!$A$57:$A$60,0))=0,0,($O485/INDEX('Parametri Modello'!$F$57:$F$60,MATCH($B485,'Parametri Modello'!$A$57:$A$60,0)))*((1-INDEX('Parametri Modello'!$D$57:$D$60,MATCH($B485,'Parametri Modello'!$A$57:$A$60,0)))*(INDEX('Parametri Modello'!$B$50:$B$53,MATCH($B485,'Parametri Modello'!$A$50:$A$53,0))*'Parametri Modello'!$B$44))))*(1+IF(IF($B485="D",'Info Lega'!$B$25,IF($B485="C",'Info Lega'!$B$26,"No"))="Si",'Parametri Modello'!$B$5,0))*(1+MAX(-0.25,MIN(0.25,IF(OR($T485="",$I485="",$I485=0,INDEX('Parametri Modello'!$B$19:$B$22,MATCH($B485,'Parametri Modello'!$A$19:$A$22,0))="",INDEX('Parametri Modello'!$B$19:$B$22,MATCH($B485,'Parametri Modello'!$A$19:$A$22,0))=0),0,(($T485-INDEX('Parametri Modello'!$B$19:$B$22,MATCH($B485,'Parametri Modello'!$A$19:$A$22,0)))/INDEX('Parametri Modello'!$B$19:$B$22,MATCH($B485,'Parametri Modello'!$A$19:$A$22,0)))*'Parametri Modello'!$B$9))))*(1+IF('Parametri Modello'!$B$27="Si",MAX(-'Parametri Modello'!$B$28,MIN('Parametri Modello'!$B$28*1.5,IF(OR(INDEX('Parametri Modello'!$F$32:$F$35,MATCH($B485,'Parametri Modello'!$A$32:$A$35,0))="",INDEX('Parametri Modello'!$F$32:$F$35,MATCH($B485,'Parametri Modello'!$A$32:$A$35,0))=0),0,(1/INDEX('Parametri Modello'!$F$32:$F$35,MATCH($B485,'Parametri Modello'!$A$32:$A$35,0))-1)*'Parametri Modello'!$B$28))),0)))*(1-INDEX('Parametri Modello'!$B$12:$B$15,MATCH($B485,'Parametri Modello'!$A$12:$A$15,0)))),0),"")</f>
        <v>1</v>
      </c>
      <c r="H485" s="27" t="n">
        <f aca="false">IFERROR(ROUND((IF($V485&lt;=INDEX('Parametri Modello'!$C$57:$C$60,MATCH($B485,'Parametri Modello'!$A$57:$A$60,0)),IF(INDEX('Parametri Modello'!$E$57:$E$60,MATCH($B485,'Parametri Modello'!$A$57:$A$60,0))=0,0,($O485/INDEX('Parametri Modello'!$E$57:$E$60,MATCH($B485,'Parametri Modello'!$A$57:$A$60,0)))*(INDEX('Parametri Modello'!$D$57:$D$60,MATCH($B485,'Parametri Modello'!$A$57:$A$60,0))*(INDEX('Parametri Modello'!$B$50:$B$53,MATCH($B485,'Parametri Modello'!$A$50:$A$53,0))*'Parametri Modello'!$B$44))),IF(INDEX('Parametri Modello'!$F$57:$F$60,MATCH($B485,'Parametri Modello'!$A$57:$A$60,0))=0,0,($O485/INDEX('Parametri Modello'!$F$57:$F$60,MATCH($B485,'Parametri Modello'!$A$57:$A$60,0)))*((1-INDEX('Parametri Modello'!$D$57:$D$60,MATCH($B485,'Parametri Modello'!$A$57:$A$60,0)))*(INDEX('Parametri Modello'!$B$50:$B$53,MATCH($B485,'Parametri Modello'!$A$50:$A$53,0))*'Parametri Modello'!$B$44))))*(1+IF(IF($B485="D",'Info Lega'!$B$25,IF($B485="C",'Info Lega'!$B$26,"No"))="Si",'Parametri Modello'!$B$5,0))*(1+MAX(-0.25,MIN(0.25,IF(OR($T485="",$I485="",$I485=0,INDEX('Parametri Modello'!$B$19:$B$22,MATCH($B485,'Parametri Modello'!$A$19:$A$22,0))="",INDEX('Parametri Modello'!$B$19:$B$22,MATCH($B485,'Parametri Modello'!$A$19:$A$22,0))=0),0,(($T485-INDEX('Parametri Modello'!$B$19:$B$22,MATCH($B485,'Parametri Modello'!$A$19:$A$22,0)))/INDEX('Parametri Modello'!$B$19:$B$22,MATCH($B485,'Parametri Modello'!$A$19:$A$22,0)))*'Parametri Modello'!$B$9))))*(1+IF('Parametri Modello'!$B$27="Si",MAX(-'Parametri Modello'!$B$28,MIN('Parametri Modello'!$B$28*1.5,IF(OR(INDEX('Parametri Modello'!$F$32:$F$35,MATCH($B485,'Parametri Modello'!$A$32:$A$35,0))="",INDEX('Parametri Modello'!$F$32:$F$35,MATCH($B485,'Parametri Modello'!$A$32:$A$35,0))=0),0,(1/INDEX('Parametri Modello'!$F$32:$F$35,MATCH($B485,'Parametri Modello'!$A$32:$A$35,0))-1)*'Parametri Modello'!$B$28))),0)))*(1+INDEX('Parametri Modello'!$B$12:$B$15,MATCH($B485,'Parametri Modello'!$A$12:$A$15,0))),0),"")</f>
        <v>0</v>
      </c>
      <c r="I485" s="26" t="n">
        <f aca="false">IFERROR(INDEX('Input Statistiche 2025_26'!$F$3:$F$665,MATCH($A485,'Input Statistiche 2025_26'!$A$3:$A$665,0)),"")</f>
        <v>2</v>
      </c>
      <c r="J485" s="26" t="n">
        <f aca="false">IFERROR(IF($I485="","",MAX(0,38-$I485)),"")</f>
        <v>36</v>
      </c>
      <c r="K485" s="26" t="n">
        <f aca="false">IFERROR(INDEX('Input Statistiche 2025_26'!$I$3:$I$665,MATCH($A485,'Input Statistiche 2025_26'!$A$3:$A$665,0)),"")</f>
        <v>0</v>
      </c>
      <c r="L485" s="26" t="n">
        <f aca="false">IFERROR(INDEX('Input Statistiche 2025_26'!$O$3:$O$665,MATCH($A485,'Input Statistiche 2025_26'!$A$3:$A$665,0)),"")</f>
        <v>0</v>
      </c>
      <c r="M485" s="28"/>
      <c r="N485" s="27" t="n">
        <f aca="false">IFERROR(INDEX('Input Giocatori 2026_27'!$E$3:$E$493,MATCH($A485,'Input Giocatori 2026_27'!$A$3:$A$493,0)),"")</f>
        <v>1</v>
      </c>
      <c r="O485" s="27" t="n">
        <f aca="false">IFERROR(INDEX('Input Giocatori 2026_27'!$G$3:$G$493,MATCH($A485,'Input Giocatori 2026_27'!$A$3:$A$493,0)),"")</f>
        <v>1</v>
      </c>
      <c r="P485" s="26" t="str">
        <f aca="false">IFERROR(IF($O485="","",IF((1-(COUNTIFS($B$2:$B$492,$B485,$O$2:$O$492,"&gt;"&amp;$O485)+1-1)/COUNTIF($B$2:$B$492,$B485))&gt;=0.85,"Top",IF((1-(COUNTIFS($B$2:$B$492,$B485,$O$2:$O$492,"&gt;"&amp;$O485)+1-1)/COUNTIF($B$2:$B$492,$B485))&gt;=0.6,"Buono",IF((1-(COUNTIFS($B$2:$B$492,$B485,$O$2:$O$492,"&gt;"&amp;$O485)+1-1)/COUNTIF($B$2:$B$492,$B485))&gt;=0.3,"Nella Media","Scommessa/Riserva")))),"")</f>
        <v>Scommessa/Riserva</v>
      </c>
      <c r="Q485" s="29" t="n">
        <f aca="false">IF($D485="",COUNTIF($D$2:$D485,""),"")</f>
        <v>484</v>
      </c>
      <c r="R485" s="29" t="str">
        <f aca="false">IF($D485='Info Lega'!$B$28,COUNTIFS($D$2:$D485,'Info Lega'!$B$28),"")</f>
        <v/>
      </c>
      <c r="S485" s="30" t="n">
        <f aca="false">IFERROR(INDEX('Input Statistiche 2025_26'!$G$3:$G$665,MATCH($A485,'Input Statistiche 2025_26'!$A$3:$A$665,0)),"")</f>
        <v>5.5</v>
      </c>
      <c r="T485" s="30" t="n">
        <f aca="false">IFERROR(INDEX('Input Statistiche 2025_26'!$H$3:$H$665,MATCH($A485,'Input Statistiche 2025_26'!$A$3:$A$665,0)),"")</f>
        <v>5.5</v>
      </c>
      <c r="U485" s="26" t="str">
        <f aca="false">IF(OR('La Mia Rosa'!$O$12="",$D485&lt;&gt;""),"",IF($F485&lt;='La Mia Rosa'!$O$12*'Parametri Modello'!$B$24,"OK",IF($F485&lt;='La Mia Rosa'!$O$12*'Parametri Modello'!$B$25,"Attenzione","Rischio Alto")))</f>
        <v>OK</v>
      </c>
      <c r="V485" s="26" t="n">
        <f aca="false">IFERROR(COUNTIFS($B$2:$B$492,$B485,$O$2:$O$492,"&gt;"&amp;$O485)+1,"")</f>
        <v>168</v>
      </c>
      <c r="W485" s="21" t="n">
        <f aca="false">'Info Lega'!$B$4-SUMIFS($M$2:$M$492,$D$2:$D$492,'Info Lega'!$B$28)</f>
        <v>1000</v>
      </c>
      <c r="X485" s="21" t="n">
        <f aca="false">('Info Lega'!$B$5-COUNTIFS($D$2:$D$492,'Info Lega'!$B$28,$B$2:$B$492,"P"))+('Info Lega'!$B$6-COUNTIFS($D$2:$D$492,'Info Lega'!$B$28,$B$2:$B$492,"D"))+('Info Lega'!$B$7-COUNTIFS($D$2:$D$492,'Info Lega'!$B$28,$B$2:$B$492,"C"))+('Info Lega'!$B$8-COUNTIFS($D$2:$D$492,'Info Lega'!$B$28,$B$2:$B$492,"A"))</f>
        <v>25</v>
      </c>
      <c r="Y485" s="21" t="n">
        <f aca="false">X485*'Parametri Modello'!$B$30</f>
        <v>25</v>
      </c>
      <c r="Z485" s="21" t="n">
        <f aca="false">MAX(0,W485-Y485)</f>
        <v>975</v>
      </c>
      <c r="AA485" s="21" t="n">
        <f aca="false">MIN(F485,Z485)</f>
        <v>0</v>
      </c>
      <c r="AB485" s="21"/>
      <c r="AC485" s="21" t="str">
        <f aca="false">IF(AB485="","",IF(AB485&gt;AA485,"PASS",IF(AB485&lt;=AA485*0.85,"BID","ATTENZIONE")))</f>
        <v/>
      </c>
      <c r="AD485" s="31" t="n">
        <f aca="false">IF(I485="","",ROUND(100*(1-EXP(-I485/30)),0))</f>
        <v>6</v>
      </c>
      <c r="AE485" s="7" t="str">
        <f aca="false">IFERROR(INDEX('Stato Asta'!$G$9:$G$12,MATCH($B485,'Stato Asta'!$A$9:$A$12,0)),"")</f>
        <v>🟡 Attesa rischiosa</v>
      </c>
    </row>
    <row r="486" customFormat="false" ht="14.25" hidden="false" customHeight="true" outlineLevel="0" collapsed="false">
      <c r="A486" s="21" t="n">
        <v>7157</v>
      </c>
      <c r="B486" s="21" t="s">
        <v>45</v>
      </c>
      <c r="C486" s="21" t="s">
        <v>531</v>
      </c>
      <c r="E486" s="26" t="str">
        <f aca="false">IF(COUNTIF('Info Strategia'!$D$2:$D$51,$C486)&gt;0,"SI","NO")</f>
        <v>NO</v>
      </c>
      <c r="F486" s="27" t="n">
        <f aca="false">IFERROR(ROUND(($G486+($H486-$G486)*'Info Strategia'!$B$6)*(1+IF($E486="SI",'Parametri Modello'!$B$7*'Info Strategia'!$B$6,0)),0),"")</f>
        <v>0</v>
      </c>
      <c r="G486" s="27" t="n">
        <f aca="false">IFERROR(ROUND(MAX(1,(IF($V486&lt;=INDEX('Parametri Modello'!$C$57:$C$60,MATCH($B486,'Parametri Modello'!$A$57:$A$60,0)),IF(INDEX('Parametri Modello'!$E$57:$E$60,MATCH($B486,'Parametri Modello'!$A$57:$A$60,0))=0,0,($O486/INDEX('Parametri Modello'!$E$57:$E$60,MATCH($B486,'Parametri Modello'!$A$57:$A$60,0)))*(INDEX('Parametri Modello'!$D$57:$D$60,MATCH($B486,'Parametri Modello'!$A$57:$A$60,0))*(INDEX('Parametri Modello'!$B$50:$B$53,MATCH($B486,'Parametri Modello'!$A$50:$A$53,0))*'Parametri Modello'!$B$44))),IF(INDEX('Parametri Modello'!$F$57:$F$60,MATCH($B486,'Parametri Modello'!$A$57:$A$60,0))=0,0,($O486/INDEX('Parametri Modello'!$F$57:$F$60,MATCH($B486,'Parametri Modello'!$A$57:$A$60,0)))*((1-INDEX('Parametri Modello'!$D$57:$D$60,MATCH($B486,'Parametri Modello'!$A$57:$A$60,0)))*(INDEX('Parametri Modello'!$B$50:$B$53,MATCH($B486,'Parametri Modello'!$A$50:$A$53,0))*'Parametri Modello'!$B$44))))*(1+IF(IF($B486="D",'Info Lega'!$B$25,IF($B486="C",'Info Lega'!$B$26,"No"))="Si",'Parametri Modello'!$B$5,0))*(1+MAX(-0.25,MIN(0.25,IF(OR($T486="",$I486="",$I486=0,INDEX('Parametri Modello'!$B$19:$B$22,MATCH($B486,'Parametri Modello'!$A$19:$A$22,0))="",INDEX('Parametri Modello'!$B$19:$B$22,MATCH($B486,'Parametri Modello'!$A$19:$A$22,0))=0),0,(($T486-INDEX('Parametri Modello'!$B$19:$B$22,MATCH($B486,'Parametri Modello'!$A$19:$A$22,0)))/INDEX('Parametri Modello'!$B$19:$B$22,MATCH($B486,'Parametri Modello'!$A$19:$A$22,0)))*'Parametri Modello'!$B$9))))*(1+IF('Parametri Modello'!$B$27="Si",MAX(-'Parametri Modello'!$B$28,MIN('Parametri Modello'!$B$28*1.5,IF(OR(INDEX('Parametri Modello'!$F$32:$F$35,MATCH($B486,'Parametri Modello'!$A$32:$A$35,0))="",INDEX('Parametri Modello'!$F$32:$F$35,MATCH($B486,'Parametri Modello'!$A$32:$A$35,0))=0),0,(1/INDEX('Parametri Modello'!$F$32:$F$35,MATCH($B486,'Parametri Modello'!$A$32:$A$35,0))-1)*'Parametri Modello'!$B$28))),0)))*(1-INDEX('Parametri Modello'!$B$12:$B$15,MATCH($B486,'Parametri Modello'!$A$12:$A$15,0)))),0),"")</f>
        <v>1</v>
      </c>
      <c r="H486" s="27" t="n">
        <f aca="false">IFERROR(ROUND((IF($V486&lt;=INDEX('Parametri Modello'!$C$57:$C$60,MATCH($B486,'Parametri Modello'!$A$57:$A$60,0)),IF(INDEX('Parametri Modello'!$E$57:$E$60,MATCH($B486,'Parametri Modello'!$A$57:$A$60,0))=0,0,($O486/INDEX('Parametri Modello'!$E$57:$E$60,MATCH($B486,'Parametri Modello'!$A$57:$A$60,0)))*(INDEX('Parametri Modello'!$D$57:$D$60,MATCH($B486,'Parametri Modello'!$A$57:$A$60,0))*(INDEX('Parametri Modello'!$B$50:$B$53,MATCH($B486,'Parametri Modello'!$A$50:$A$53,0))*'Parametri Modello'!$B$44))),IF(INDEX('Parametri Modello'!$F$57:$F$60,MATCH($B486,'Parametri Modello'!$A$57:$A$60,0))=0,0,($O486/INDEX('Parametri Modello'!$F$57:$F$60,MATCH($B486,'Parametri Modello'!$A$57:$A$60,0)))*((1-INDEX('Parametri Modello'!$D$57:$D$60,MATCH($B486,'Parametri Modello'!$A$57:$A$60,0)))*(INDEX('Parametri Modello'!$B$50:$B$53,MATCH($B486,'Parametri Modello'!$A$50:$A$53,0))*'Parametri Modello'!$B$44))))*(1+IF(IF($B486="D",'Info Lega'!$B$25,IF($B486="C",'Info Lega'!$B$26,"No"))="Si",'Parametri Modello'!$B$5,0))*(1+MAX(-0.25,MIN(0.25,IF(OR($T486="",$I486="",$I486=0,INDEX('Parametri Modello'!$B$19:$B$22,MATCH($B486,'Parametri Modello'!$A$19:$A$22,0))="",INDEX('Parametri Modello'!$B$19:$B$22,MATCH($B486,'Parametri Modello'!$A$19:$A$22,0))=0),0,(($T486-INDEX('Parametri Modello'!$B$19:$B$22,MATCH($B486,'Parametri Modello'!$A$19:$A$22,0)))/INDEX('Parametri Modello'!$B$19:$B$22,MATCH($B486,'Parametri Modello'!$A$19:$A$22,0)))*'Parametri Modello'!$B$9))))*(1+IF('Parametri Modello'!$B$27="Si",MAX(-'Parametri Modello'!$B$28,MIN('Parametri Modello'!$B$28*1.5,IF(OR(INDEX('Parametri Modello'!$F$32:$F$35,MATCH($B486,'Parametri Modello'!$A$32:$A$35,0))="",INDEX('Parametri Modello'!$F$32:$F$35,MATCH($B486,'Parametri Modello'!$A$32:$A$35,0))=0),0,(1/INDEX('Parametri Modello'!$F$32:$F$35,MATCH($B486,'Parametri Modello'!$A$32:$A$35,0))-1)*'Parametri Modello'!$B$28))),0)))*(1+INDEX('Parametri Modello'!$B$12:$B$15,MATCH($B486,'Parametri Modello'!$A$12:$A$15,0))),0),"")</f>
        <v>0</v>
      </c>
      <c r="I486" s="26" t="n">
        <f aca="false">IFERROR(INDEX('Input Statistiche 2025_26'!$F$3:$F$665,MATCH($A486,'Input Statistiche 2025_26'!$A$3:$A$665,0)),"")</f>
        <v>5</v>
      </c>
      <c r="J486" s="26" t="n">
        <f aca="false">IFERROR(IF($I486="","",MAX(0,38-$I486)),"")</f>
        <v>33</v>
      </c>
      <c r="K486" s="26" t="n">
        <f aca="false">IFERROR(INDEX('Input Statistiche 2025_26'!$I$3:$I$665,MATCH($A486,'Input Statistiche 2025_26'!$A$3:$A$665,0)),"")</f>
        <v>1</v>
      </c>
      <c r="L486" s="26" t="n">
        <f aca="false">IFERROR(INDEX('Input Statistiche 2025_26'!$O$3:$O$665,MATCH($A486,'Input Statistiche 2025_26'!$A$3:$A$665,0)),"")</f>
        <v>0</v>
      </c>
      <c r="M486" s="28"/>
      <c r="N486" s="27" t="n">
        <f aca="false">IFERROR(INDEX('Input Giocatori 2026_27'!$E$3:$E$493,MATCH($A486,'Input Giocatori 2026_27'!$A$3:$A$493,0)),"")</f>
        <v>1</v>
      </c>
      <c r="O486" s="27" t="n">
        <f aca="false">IFERROR(INDEX('Input Giocatori 2026_27'!$G$3:$G$493,MATCH($A486,'Input Giocatori 2026_27'!$A$3:$A$493,0)),"")</f>
        <v>1</v>
      </c>
      <c r="P486" s="26" t="str">
        <f aca="false">IFERROR(IF($O486="","",IF((1-(COUNTIFS($B$2:$B$492,$B486,$O$2:$O$492,"&gt;"&amp;$O486)+1-1)/COUNTIF($B$2:$B$492,$B486))&gt;=0.85,"Top",IF((1-(COUNTIFS($B$2:$B$492,$B486,$O$2:$O$492,"&gt;"&amp;$O486)+1-1)/COUNTIF($B$2:$B$492,$B486))&gt;=0.6,"Buono",IF((1-(COUNTIFS($B$2:$B$492,$B486,$O$2:$O$492,"&gt;"&amp;$O486)+1-1)/COUNTIF($B$2:$B$492,$B486))&gt;=0.3,"Nella Media","Scommessa/Riserva")))),"")</f>
        <v>Scommessa/Riserva</v>
      </c>
      <c r="Q486" s="29" t="n">
        <f aca="false">IF($D486="",COUNTIF($D$2:$D486,""),"")</f>
        <v>485</v>
      </c>
      <c r="R486" s="29" t="str">
        <f aca="false">IF($D486='Info Lega'!$B$28,COUNTIFS($D$2:$D486,'Info Lega'!$B$28),"")</f>
        <v/>
      </c>
      <c r="S486" s="30" t="n">
        <f aca="false">IFERROR(INDEX('Input Statistiche 2025_26'!$G$3:$G$665,MATCH($A486,'Input Statistiche 2025_26'!$A$3:$A$665,0)),"")</f>
        <v>6</v>
      </c>
      <c r="T486" s="30" t="n">
        <f aca="false">IFERROR(INDEX('Input Statistiche 2025_26'!$H$3:$H$665,MATCH($A486,'Input Statistiche 2025_26'!$A$3:$A$665,0)),"")</f>
        <v>6.5</v>
      </c>
      <c r="U486" s="26" t="str">
        <f aca="false">IF(OR('La Mia Rosa'!$O$12="",$D486&lt;&gt;""),"",IF($F486&lt;='La Mia Rosa'!$O$12*'Parametri Modello'!$B$24,"OK",IF($F486&lt;='La Mia Rosa'!$O$12*'Parametri Modello'!$B$25,"Attenzione","Rischio Alto")))</f>
        <v>OK</v>
      </c>
      <c r="V486" s="26" t="n">
        <f aca="false">IFERROR(COUNTIFS($B$2:$B$492,$B486,$O$2:$O$492,"&gt;"&amp;$O486)+1,"")</f>
        <v>168</v>
      </c>
      <c r="W486" s="21" t="n">
        <f aca="false">'Info Lega'!$B$4-SUMIFS($M$2:$M$492,$D$2:$D$492,'Info Lega'!$B$28)</f>
        <v>1000</v>
      </c>
      <c r="X486" s="21" t="n">
        <f aca="false">('Info Lega'!$B$5-COUNTIFS($D$2:$D$492,'Info Lega'!$B$28,$B$2:$B$492,"P"))+('Info Lega'!$B$6-COUNTIFS($D$2:$D$492,'Info Lega'!$B$28,$B$2:$B$492,"D"))+('Info Lega'!$B$7-COUNTIFS($D$2:$D$492,'Info Lega'!$B$28,$B$2:$B$492,"C"))+('Info Lega'!$B$8-COUNTIFS($D$2:$D$492,'Info Lega'!$B$28,$B$2:$B$492,"A"))</f>
        <v>25</v>
      </c>
      <c r="Y486" s="21" t="n">
        <f aca="false">X486*'Parametri Modello'!$B$30</f>
        <v>25</v>
      </c>
      <c r="Z486" s="21" t="n">
        <f aca="false">MAX(0,W486-Y486)</f>
        <v>975</v>
      </c>
      <c r="AA486" s="21" t="n">
        <f aca="false">MIN(F486,Z486)</f>
        <v>0</v>
      </c>
      <c r="AB486" s="21"/>
      <c r="AC486" s="21" t="str">
        <f aca="false">IF(AB486="","",IF(AB486&gt;AA486,"PASS",IF(AB486&lt;=AA486*0.85,"BID","ATTENZIONE")))</f>
        <v/>
      </c>
      <c r="AD486" s="31" t="n">
        <f aca="false">IF(I486="","",ROUND(100*(1-EXP(-I486/30)),0))</f>
        <v>15</v>
      </c>
      <c r="AE486" s="7" t="str">
        <f aca="false">IFERROR(INDEX('Stato Asta'!$G$9:$G$12,MATCH($B486,'Stato Asta'!$A$9:$A$12,0)),"")</f>
        <v>🟡 Attesa rischiosa</v>
      </c>
    </row>
    <row r="487" customFormat="false" ht="14.25" hidden="false" customHeight="true" outlineLevel="0" collapsed="false">
      <c r="A487" s="21" t="n">
        <v>7481</v>
      </c>
      <c r="B487" s="21" t="s">
        <v>45</v>
      </c>
      <c r="C487" s="21" t="s">
        <v>537</v>
      </c>
      <c r="E487" s="26" t="str">
        <f aca="false">IF(COUNTIF('Info Strategia'!$D$2:$D$51,$C487)&gt;0,"SI","NO")</f>
        <v>NO</v>
      </c>
      <c r="F487" s="27" t="n">
        <f aca="false">IFERROR(ROUND(($G487+($H487-$G487)*'Info Strategia'!$B$6)*(1+IF($E487="SI",'Parametri Modello'!$B$7*'Info Strategia'!$B$6,0)),0),"")</f>
        <v>0</v>
      </c>
      <c r="G487" s="27" t="n">
        <f aca="false">IFERROR(ROUND(MAX(1,(IF($V487&lt;=INDEX('Parametri Modello'!$C$57:$C$60,MATCH($B487,'Parametri Modello'!$A$57:$A$60,0)),IF(INDEX('Parametri Modello'!$E$57:$E$60,MATCH($B487,'Parametri Modello'!$A$57:$A$60,0))=0,0,($O487/INDEX('Parametri Modello'!$E$57:$E$60,MATCH($B487,'Parametri Modello'!$A$57:$A$60,0)))*(INDEX('Parametri Modello'!$D$57:$D$60,MATCH($B487,'Parametri Modello'!$A$57:$A$60,0))*(INDEX('Parametri Modello'!$B$50:$B$53,MATCH($B487,'Parametri Modello'!$A$50:$A$53,0))*'Parametri Modello'!$B$44))),IF(INDEX('Parametri Modello'!$F$57:$F$60,MATCH($B487,'Parametri Modello'!$A$57:$A$60,0))=0,0,($O487/INDEX('Parametri Modello'!$F$57:$F$60,MATCH($B487,'Parametri Modello'!$A$57:$A$60,0)))*((1-INDEX('Parametri Modello'!$D$57:$D$60,MATCH($B487,'Parametri Modello'!$A$57:$A$60,0)))*(INDEX('Parametri Modello'!$B$50:$B$53,MATCH($B487,'Parametri Modello'!$A$50:$A$53,0))*'Parametri Modello'!$B$44))))*(1+IF(IF($B487="D",'Info Lega'!$B$25,IF($B487="C",'Info Lega'!$B$26,"No"))="Si",'Parametri Modello'!$B$5,0))*(1+MAX(-0.25,MIN(0.25,IF(OR($T487="",$I487="",$I487=0,INDEX('Parametri Modello'!$B$19:$B$22,MATCH($B487,'Parametri Modello'!$A$19:$A$22,0))="",INDEX('Parametri Modello'!$B$19:$B$22,MATCH($B487,'Parametri Modello'!$A$19:$A$22,0))=0),0,(($T487-INDEX('Parametri Modello'!$B$19:$B$22,MATCH($B487,'Parametri Modello'!$A$19:$A$22,0)))/INDEX('Parametri Modello'!$B$19:$B$22,MATCH($B487,'Parametri Modello'!$A$19:$A$22,0)))*'Parametri Modello'!$B$9))))*(1+IF('Parametri Modello'!$B$27="Si",MAX(-'Parametri Modello'!$B$28,MIN('Parametri Modello'!$B$28*1.5,IF(OR(INDEX('Parametri Modello'!$F$32:$F$35,MATCH($B487,'Parametri Modello'!$A$32:$A$35,0))="",INDEX('Parametri Modello'!$F$32:$F$35,MATCH($B487,'Parametri Modello'!$A$32:$A$35,0))=0),0,(1/INDEX('Parametri Modello'!$F$32:$F$35,MATCH($B487,'Parametri Modello'!$A$32:$A$35,0))-1)*'Parametri Modello'!$B$28))),0)))*(1-INDEX('Parametri Modello'!$B$12:$B$15,MATCH($B487,'Parametri Modello'!$A$12:$A$15,0)))),0),"")</f>
        <v>1</v>
      </c>
      <c r="H487" s="27" t="n">
        <f aca="false">IFERROR(ROUND((IF($V487&lt;=INDEX('Parametri Modello'!$C$57:$C$60,MATCH($B487,'Parametri Modello'!$A$57:$A$60,0)),IF(INDEX('Parametri Modello'!$E$57:$E$60,MATCH($B487,'Parametri Modello'!$A$57:$A$60,0))=0,0,($O487/INDEX('Parametri Modello'!$E$57:$E$60,MATCH($B487,'Parametri Modello'!$A$57:$A$60,0)))*(INDEX('Parametri Modello'!$D$57:$D$60,MATCH($B487,'Parametri Modello'!$A$57:$A$60,0))*(INDEX('Parametri Modello'!$B$50:$B$53,MATCH($B487,'Parametri Modello'!$A$50:$A$53,0))*'Parametri Modello'!$B$44))),IF(INDEX('Parametri Modello'!$F$57:$F$60,MATCH($B487,'Parametri Modello'!$A$57:$A$60,0))=0,0,($O487/INDEX('Parametri Modello'!$F$57:$F$60,MATCH($B487,'Parametri Modello'!$A$57:$A$60,0)))*((1-INDEX('Parametri Modello'!$D$57:$D$60,MATCH($B487,'Parametri Modello'!$A$57:$A$60,0)))*(INDEX('Parametri Modello'!$B$50:$B$53,MATCH($B487,'Parametri Modello'!$A$50:$A$53,0))*'Parametri Modello'!$B$44))))*(1+IF(IF($B487="D",'Info Lega'!$B$25,IF($B487="C",'Info Lega'!$B$26,"No"))="Si",'Parametri Modello'!$B$5,0))*(1+MAX(-0.25,MIN(0.25,IF(OR($T487="",$I487="",$I487=0,INDEX('Parametri Modello'!$B$19:$B$22,MATCH($B487,'Parametri Modello'!$A$19:$A$22,0))="",INDEX('Parametri Modello'!$B$19:$B$22,MATCH($B487,'Parametri Modello'!$A$19:$A$22,0))=0),0,(($T487-INDEX('Parametri Modello'!$B$19:$B$22,MATCH($B487,'Parametri Modello'!$A$19:$A$22,0)))/INDEX('Parametri Modello'!$B$19:$B$22,MATCH($B487,'Parametri Modello'!$A$19:$A$22,0)))*'Parametri Modello'!$B$9))))*(1+IF('Parametri Modello'!$B$27="Si",MAX(-'Parametri Modello'!$B$28,MIN('Parametri Modello'!$B$28*1.5,IF(OR(INDEX('Parametri Modello'!$F$32:$F$35,MATCH($B487,'Parametri Modello'!$A$32:$A$35,0))="",INDEX('Parametri Modello'!$F$32:$F$35,MATCH($B487,'Parametri Modello'!$A$32:$A$35,0))=0),0,(1/INDEX('Parametri Modello'!$F$32:$F$35,MATCH($B487,'Parametri Modello'!$A$32:$A$35,0))-1)*'Parametri Modello'!$B$28))),0)))*(1+INDEX('Parametri Modello'!$B$12:$B$15,MATCH($B487,'Parametri Modello'!$A$12:$A$15,0))),0),"")</f>
        <v>0</v>
      </c>
      <c r="I487" s="26" t="str">
        <f aca="false">IFERROR(INDEX('Input Statistiche 2025_26'!$F$3:$F$665,MATCH($A487,'Input Statistiche 2025_26'!$A$3:$A$665,0)),"")</f>
        <v/>
      </c>
      <c r="J487" s="26" t="str">
        <f aca="false">IFERROR(IF($I487="","",MAX(0,38-$I487)),"")</f>
        <v/>
      </c>
      <c r="K487" s="26" t="str">
        <f aca="false">IFERROR(INDEX('Input Statistiche 2025_26'!$I$3:$I$665,MATCH($A487,'Input Statistiche 2025_26'!$A$3:$A$665,0)),"")</f>
        <v/>
      </c>
      <c r="L487" s="26" t="str">
        <f aca="false">IFERROR(INDEX('Input Statistiche 2025_26'!$O$3:$O$665,MATCH($A487,'Input Statistiche 2025_26'!$A$3:$A$665,0)),"")</f>
        <v/>
      </c>
      <c r="M487" s="28"/>
      <c r="N487" s="27" t="n">
        <f aca="false">IFERROR(INDEX('Input Giocatori 2026_27'!$E$3:$E$493,MATCH($A487,'Input Giocatori 2026_27'!$A$3:$A$493,0)),"")</f>
        <v>1</v>
      </c>
      <c r="O487" s="27" t="n">
        <f aca="false">IFERROR(INDEX('Input Giocatori 2026_27'!$G$3:$G$493,MATCH($A487,'Input Giocatori 2026_27'!$A$3:$A$493,0)),"")</f>
        <v>1</v>
      </c>
      <c r="P487" s="26" t="str">
        <f aca="false">IFERROR(IF($O487="","",IF((1-(COUNTIFS($B$2:$B$492,$B487,$O$2:$O$492,"&gt;"&amp;$O487)+1-1)/COUNTIF($B$2:$B$492,$B487))&gt;=0.85,"Top",IF((1-(COUNTIFS($B$2:$B$492,$B487,$O$2:$O$492,"&gt;"&amp;$O487)+1-1)/COUNTIF($B$2:$B$492,$B487))&gt;=0.6,"Buono",IF((1-(COUNTIFS($B$2:$B$492,$B487,$O$2:$O$492,"&gt;"&amp;$O487)+1-1)/COUNTIF($B$2:$B$492,$B487))&gt;=0.3,"Nella Media","Scommessa/Riserva")))),"")</f>
        <v>Scommessa/Riserva</v>
      </c>
      <c r="Q487" s="29" t="n">
        <f aca="false">IF($D487="",COUNTIF($D$2:$D487,""),"")</f>
        <v>486</v>
      </c>
      <c r="R487" s="29" t="str">
        <f aca="false">IF($D487='Info Lega'!$B$28,COUNTIFS($D$2:$D487,'Info Lega'!$B$28),"")</f>
        <v/>
      </c>
      <c r="S487" s="30" t="str">
        <f aca="false">IFERROR(INDEX('Input Statistiche 2025_26'!$G$3:$G$665,MATCH($A487,'Input Statistiche 2025_26'!$A$3:$A$665,0)),"")</f>
        <v/>
      </c>
      <c r="T487" s="30" t="str">
        <f aca="false">IFERROR(INDEX('Input Statistiche 2025_26'!$H$3:$H$665,MATCH($A487,'Input Statistiche 2025_26'!$A$3:$A$665,0)),"")</f>
        <v/>
      </c>
      <c r="U487" s="26" t="str">
        <f aca="false">IF(OR('La Mia Rosa'!$O$12="",$D487&lt;&gt;""),"",IF($F487&lt;='La Mia Rosa'!$O$12*'Parametri Modello'!$B$24,"OK",IF($F487&lt;='La Mia Rosa'!$O$12*'Parametri Modello'!$B$25,"Attenzione","Rischio Alto")))</f>
        <v>OK</v>
      </c>
      <c r="V487" s="26" t="n">
        <f aca="false">IFERROR(COUNTIFS($B$2:$B$492,$B487,$O$2:$O$492,"&gt;"&amp;$O487)+1,"")</f>
        <v>168</v>
      </c>
      <c r="W487" s="21" t="n">
        <f aca="false">'Info Lega'!$B$4-SUMIFS($M$2:$M$492,$D$2:$D$492,'Info Lega'!$B$28)</f>
        <v>1000</v>
      </c>
      <c r="X487" s="21" t="n">
        <f aca="false">('Info Lega'!$B$5-COUNTIFS($D$2:$D$492,'Info Lega'!$B$28,$B$2:$B$492,"P"))+('Info Lega'!$B$6-COUNTIFS($D$2:$D$492,'Info Lega'!$B$28,$B$2:$B$492,"D"))+('Info Lega'!$B$7-COUNTIFS($D$2:$D$492,'Info Lega'!$B$28,$B$2:$B$492,"C"))+('Info Lega'!$B$8-COUNTIFS($D$2:$D$492,'Info Lega'!$B$28,$B$2:$B$492,"A"))</f>
        <v>25</v>
      </c>
      <c r="Y487" s="21" t="n">
        <f aca="false">X487*'Parametri Modello'!$B$30</f>
        <v>25</v>
      </c>
      <c r="Z487" s="21" t="n">
        <f aca="false">MAX(0,W487-Y487)</f>
        <v>975</v>
      </c>
      <c r="AA487" s="21" t="n">
        <f aca="false">MIN(F487,Z487)</f>
        <v>0</v>
      </c>
      <c r="AB487" s="21"/>
      <c r="AC487" s="21" t="str">
        <f aca="false">IF(AB487="","",IF(AB487&gt;AA487,"PASS",IF(AB487&lt;=AA487*0.85,"BID","ATTENZIONE")))</f>
        <v/>
      </c>
      <c r="AD487" s="31" t="str">
        <f aca="false">IF(I487="","",ROUND(100*(1-EXP(-I487/30)),0))</f>
        <v/>
      </c>
      <c r="AE487" s="7" t="str">
        <f aca="false">IFERROR(INDEX('Stato Asta'!$G$9:$G$12,MATCH($B487,'Stato Asta'!$A$9:$A$12,0)),"")</f>
        <v>🟡 Attesa rischiosa</v>
      </c>
    </row>
    <row r="488" customFormat="false" ht="14.25" hidden="false" customHeight="true" outlineLevel="0" collapsed="false">
      <c r="A488" s="21" t="n">
        <v>7338</v>
      </c>
      <c r="B488" s="21" t="s">
        <v>46</v>
      </c>
      <c r="C488" s="21" t="s">
        <v>615</v>
      </c>
      <c r="E488" s="26" t="str">
        <f aca="false">IF(COUNTIF('Info Strategia'!$D$2:$D$51,$C488)&gt;0,"SI","NO")</f>
        <v>NO</v>
      </c>
      <c r="F488" s="27" t="n">
        <f aca="false">IFERROR(ROUND(($G488+($H488-$G488)*'Info Strategia'!$B$6)*(1+IF($E488="SI",'Parametri Modello'!$B$7*'Info Strategia'!$B$6,0)),0),"")</f>
        <v>0</v>
      </c>
      <c r="G488" s="27" t="n">
        <f aca="false">IFERROR(ROUND(MAX(1,(IF($V488&lt;=INDEX('Parametri Modello'!$C$57:$C$60,MATCH($B488,'Parametri Modello'!$A$57:$A$60,0)),IF(INDEX('Parametri Modello'!$E$57:$E$60,MATCH($B488,'Parametri Modello'!$A$57:$A$60,0))=0,0,($O488/INDEX('Parametri Modello'!$E$57:$E$60,MATCH($B488,'Parametri Modello'!$A$57:$A$60,0)))*(INDEX('Parametri Modello'!$D$57:$D$60,MATCH($B488,'Parametri Modello'!$A$57:$A$60,0))*(INDEX('Parametri Modello'!$B$50:$B$53,MATCH($B488,'Parametri Modello'!$A$50:$A$53,0))*'Parametri Modello'!$B$44))),IF(INDEX('Parametri Modello'!$F$57:$F$60,MATCH($B488,'Parametri Modello'!$A$57:$A$60,0))=0,0,($O488/INDEX('Parametri Modello'!$F$57:$F$60,MATCH($B488,'Parametri Modello'!$A$57:$A$60,0)))*((1-INDEX('Parametri Modello'!$D$57:$D$60,MATCH($B488,'Parametri Modello'!$A$57:$A$60,0)))*(INDEX('Parametri Modello'!$B$50:$B$53,MATCH($B488,'Parametri Modello'!$A$50:$A$53,0))*'Parametri Modello'!$B$44))))*(1+IF(IF($B488="D",'Info Lega'!$B$25,IF($B488="C",'Info Lega'!$B$26,"No"))="Si",'Parametri Modello'!$B$5,0))*(1+MAX(-0.25,MIN(0.25,IF(OR($T488="",$I488="",$I488=0,INDEX('Parametri Modello'!$B$19:$B$22,MATCH($B488,'Parametri Modello'!$A$19:$A$22,0))="",INDEX('Parametri Modello'!$B$19:$B$22,MATCH($B488,'Parametri Modello'!$A$19:$A$22,0))=0),0,(($T488-INDEX('Parametri Modello'!$B$19:$B$22,MATCH($B488,'Parametri Modello'!$A$19:$A$22,0)))/INDEX('Parametri Modello'!$B$19:$B$22,MATCH($B488,'Parametri Modello'!$A$19:$A$22,0)))*'Parametri Modello'!$B$9))))*(1+IF('Parametri Modello'!$B$27="Si",MAX(-'Parametri Modello'!$B$28,MIN('Parametri Modello'!$B$28*1.5,IF(OR(INDEX('Parametri Modello'!$F$32:$F$35,MATCH($B488,'Parametri Modello'!$A$32:$A$35,0))="",INDEX('Parametri Modello'!$F$32:$F$35,MATCH($B488,'Parametri Modello'!$A$32:$A$35,0))=0),0,(1/INDEX('Parametri Modello'!$F$32:$F$35,MATCH($B488,'Parametri Modello'!$A$32:$A$35,0))-1)*'Parametri Modello'!$B$28))),0)))*(1-INDEX('Parametri Modello'!$B$12:$B$15,MATCH($B488,'Parametri Modello'!$A$12:$A$15,0)))),0),"")</f>
        <v>1</v>
      </c>
      <c r="H488" s="27" t="n">
        <f aca="false">IFERROR(ROUND((IF($V488&lt;=INDEX('Parametri Modello'!$C$57:$C$60,MATCH($B488,'Parametri Modello'!$A$57:$A$60,0)),IF(INDEX('Parametri Modello'!$E$57:$E$60,MATCH($B488,'Parametri Modello'!$A$57:$A$60,0))=0,0,($O488/INDEX('Parametri Modello'!$E$57:$E$60,MATCH($B488,'Parametri Modello'!$A$57:$A$60,0)))*(INDEX('Parametri Modello'!$D$57:$D$60,MATCH($B488,'Parametri Modello'!$A$57:$A$60,0))*(INDEX('Parametri Modello'!$B$50:$B$53,MATCH($B488,'Parametri Modello'!$A$50:$A$53,0))*'Parametri Modello'!$B$44))),IF(INDEX('Parametri Modello'!$F$57:$F$60,MATCH($B488,'Parametri Modello'!$A$57:$A$60,0))=0,0,($O488/INDEX('Parametri Modello'!$F$57:$F$60,MATCH($B488,'Parametri Modello'!$A$57:$A$60,0)))*((1-INDEX('Parametri Modello'!$D$57:$D$60,MATCH($B488,'Parametri Modello'!$A$57:$A$60,0)))*(INDEX('Parametri Modello'!$B$50:$B$53,MATCH($B488,'Parametri Modello'!$A$50:$A$53,0))*'Parametri Modello'!$B$44))))*(1+IF(IF($B488="D",'Info Lega'!$B$25,IF($B488="C",'Info Lega'!$B$26,"No"))="Si",'Parametri Modello'!$B$5,0))*(1+MAX(-0.25,MIN(0.25,IF(OR($T488="",$I488="",$I488=0,INDEX('Parametri Modello'!$B$19:$B$22,MATCH($B488,'Parametri Modello'!$A$19:$A$22,0))="",INDEX('Parametri Modello'!$B$19:$B$22,MATCH($B488,'Parametri Modello'!$A$19:$A$22,0))=0),0,(($T488-INDEX('Parametri Modello'!$B$19:$B$22,MATCH($B488,'Parametri Modello'!$A$19:$A$22,0)))/INDEX('Parametri Modello'!$B$19:$B$22,MATCH($B488,'Parametri Modello'!$A$19:$A$22,0)))*'Parametri Modello'!$B$9))))*(1+IF('Parametri Modello'!$B$27="Si",MAX(-'Parametri Modello'!$B$28,MIN('Parametri Modello'!$B$28*1.5,IF(OR(INDEX('Parametri Modello'!$F$32:$F$35,MATCH($B488,'Parametri Modello'!$A$32:$A$35,0))="",INDEX('Parametri Modello'!$F$32:$F$35,MATCH($B488,'Parametri Modello'!$A$32:$A$35,0))=0),0,(1/INDEX('Parametri Modello'!$F$32:$F$35,MATCH($B488,'Parametri Modello'!$A$32:$A$35,0))-1)*'Parametri Modello'!$B$28))),0)))*(1+INDEX('Parametri Modello'!$B$12:$B$15,MATCH($B488,'Parametri Modello'!$A$12:$A$15,0))),0),"")</f>
        <v>0</v>
      </c>
      <c r="I488" s="26" t="n">
        <f aca="false">IFERROR(INDEX('Input Statistiche 2025_26'!$F$3:$F$665,MATCH($A488,'Input Statistiche 2025_26'!$A$3:$A$665,0)),"")</f>
        <v>2</v>
      </c>
      <c r="J488" s="26" t="n">
        <f aca="false">IFERROR(IF($I488="","",MAX(0,38-$I488)),"")</f>
        <v>36</v>
      </c>
      <c r="K488" s="26" t="n">
        <f aca="false">IFERROR(INDEX('Input Statistiche 2025_26'!$I$3:$I$665,MATCH($A488,'Input Statistiche 2025_26'!$A$3:$A$665,0)),"")</f>
        <v>0</v>
      </c>
      <c r="L488" s="26" t="n">
        <f aca="false">IFERROR(INDEX('Input Statistiche 2025_26'!$O$3:$O$665,MATCH($A488,'Input Statistiche 2025_26'!$A$3:$A$665,0)),"")</f>
        <v>0</v>
      </c>
      <c r="M488" s="28"/>
      <c r="N488" s="27" t="n">
        <f aca="false">IFERROR(INDEX('Input Giocatori 2026_27'!$E$3:$E$493,MATCH($A488,'Input Giocatori 2026_27'!$A$3:$A$493,0)),"")</f>
        <v>1</v>
      </c>
      <c r="O488" s="27" t="n">
        <f aca="false">IFERROR(INDEX('Input Giocatori 2026_27'!$G$3:$G$493,MATCH($A488,'Input Giocatori 2026_27'!$A$3:$A$493,0)),"")</f>
        <v>1</v>
      </c>
      <c r="P488" s="26" t="str">
        <f aca="false">IFERROR(IF($O488="","",IF((1-(COUNTIFS($B$2:$B$492,$B488,$O$2:$O$492,"&gt;"&amp;$O488)+1-1)/COUNTIF($B$2:$B$492,$B488))&gt;=0.85,"Top",IF((1-(COUNTIFS($B$2:$B$492,$B488,$O$2:$O$492,"&gt;"&amp;$O488)+1-1)/COUNTIF($B$2:$B$492,$B488))&gt;=0.6,"Buono",IF((1-(COUNTIFS($B$2:$B$492,$B488,$O$2:$O$492,"&gt;"&amp;$O488)+1-1)/COUNTIF($B$2:$B$492,$B488))&gt;=0.3,"Nella Media","Scommessa/Riserva")))),"")</f>
        <v>Scommessa/Riserva</v>
      </c>
      <c r="Q488" s="29" t="n">
        <f aca="false">IF($D488="",COUNTIF($D$2:$D488,""),"")</f>
        <v>487</v>
      </c>
      <c r="R488" s="29" t="str">
        <f aca="false">IF($D488='Info Lega'!$B$28,COUNTIFS($D$2:$D488,'Info Lega'!$B$28),"")</f>
        <v/>
      </c>
      <c r="S488" s="30" t="n">
        <f aca="false">IFERROR(INDEX('Input Statistiche 2025_26'!$G$3:$G$665,MATCH($A488,'Input Statistiche 2025_26'!$A$3:$A$665,0)),"")</f>
        <v>6</v>
      </c>
      <c r="T488" s="30" t="n">
        <f aca="false">IFERROR(INDEX('Input Statistiche 2025_26'!$H$3:$H$665,MATCH($A488,'Input Statistiche 2025_26'!$A$3:$A$665,0)),"")</f>
        <v>6</v>
      </c>
      <c r="U488" s="26" t="str">
        <f aca="false">IF(OR('La Mia Rosa'!$O$12="",$D488&lt;&gt;""),"",IF($F488&lt;='La Mia Rosa'!$O$12*'Parametri Modello'!$B$24,"OK",IF($F488&lt;='La Mia Rosa'!$O$12*'Parametri Modello'!$B$25,"Attenzione","Rischio Alto")))</f>
        <v>OK</v>
      </c>
      <c r="V488" s="26" t="n">
        <f aca="false">IFERROR(COUNTIFS($B$2:$B$492,$B488,$O$2:$O$492,"&gt;"&amp;$O488)+1,"")</f>
        <v>81</v>
      </c>
      <c r="W488" s="21" t="n">
        <f aca="false">'Info Lega'!$B$4-SUMIFS($M$2:$M$492,$D$2:$D$492,'Info Lega'!$B$28)</f>
        <v>1000</v>
      </c>
      <c r="X488" s="21" t="n">
        <f aca="false">('Info Lega'!$B$5-COUNTIFS($D$2:$D$492,'Info Lega'!$B$28,$B$2:$B$492,"P"))+('Info Lega'!$B$6-COUNTIFS($D$2:$D$492,'Info Lega'!$B$28,$B$2:$B$492,"D"))+('Info Lega'!$B$7-COUNTIFS($D$2:$D$492,'Info Lega'!$B$28,$B$2:$B$492,"C"))+('Info Lega'!$B$8-COUNTIFS($D$2:$D$492,'Info Lega'!$B$28,$B$2:$B$492,"A"))</f>
        <v>25</v>
      </c>
      <c r="Y488" s="21" t="n">
        <f aca="false">X488*'Parametri Modello'!$B$30</f>
        <v>25</v>
      </c>
      <c r="Z488" s="21" t="n">
        <f aca="false">MAX(0,W488-Y488)</f>
        <v>975</v>
      </c>
      <c r="AA488" s="21" t="n">
        <f aca="false">MIN(F488,Z488)</f>
        <v>0</v>
      </c>
      <c r="AB488" s="21"/>
      <c r="AC488" s="21" t="str">
        <f aca="false">IF(AB488="","",IF(AB488&gt;AA488,"PASS",IF(AB488&lt;=AA488*0.85,"BID","ATTENZIONE")))</f>
        <v/>
      </c>
      <c r="AD488" s="31" t="n">
        <f aca="false">IF(I488="","",ROUND(100*(1-EXP(-I488/30)),0))</f>
        <v>6</v>
      </c>
      <c r="AE488" s="7" t="str">
        <f aca="false">IFERROR(INDEX('Stato Asta'!$G$9:$G$12,MATCH($B488,'Stato Asta'!$A$9:$A$12,0)),"")</f>
        <v>🔴 Non aspettare</v>
      </c>
    </row>
    <row r="489" customFormat="false" ht="14.25" hidden="false" customHeight="true" outlineLevel="0" collapsed="false">
      <c r="A489" s="21" t="n">
        <v>7027</v>
      </c>
      <c r="B489" s="21" t="s">
        <v>46</v>
      </c>
      <c r="C489" s="21" t="s">
        <v>617</v>
      </c>
      <c r="E489" s="26" t="str">
        <f aca="false">IF(COUNTIF('Info Strategia'!$D$2:$D$51,$C489)&gt;0,"SI","NO")</f>
        <v>NO</v>
      </c>
      <c r="F489" s="27" t="n">
        <f aca="false">IFERROR(ROUND(($G489+($H489-$G489)*'Info Strategia'!$B$6)*(1+IF($E489="SI",'Parametri Modello'!$B$7*'Info Strategia'!$B$6,0)),0),"")</f>
        <v>0</v>
      </c>
      <c r="G489" s="27" t="n">
        <f aca="false">IFERROR(ROUND(MAX(1,(IF($V489&lt;=INDEX('Parametri Modello'!$C$57:$C$60,MATCH($B489,'Parametri Modello'!$A$57:$A$60,0)),IF(INDEX('Parametri Modello'!$E$57:$E$60,MATCH($B489,'Parametri Modello'!$A$57:$A$60,0))=0,0,($O489/INDEX('Parametri Modello'!$E$57:$E$60,MATCH($B489,'Parametri Modello'!$A$57:$A$60,0)))*(INDEX('Parametri Modello'!$D$57:$D$60,MATCH($B489,'Parametri Modello'!$A$57:$A$60,0))*(INDEX('Parametri Modello'!$B$50:$B$53,MATCH($B489,'Parametri Modello'!$A$50:$A$53,0))*'Parametri Modello'!$B$44))),IF(INDEX('Parametri Modello'!$F$57:$F$60,MATCH($B489,'Parametri Modello'!$A$57:$A$60,0))=0,0,($O489/INDEX('Parametri Modello'!$F$57:$F$60,MATCH($B489,'Parametri Modello'!$A$57:$A$60,0)))*((1-INDEX('Parametri Modello'!$D$57:$D$60,MATCH($B489,'Parametri Modello'!$A$57:$A$60,0)))*(INDEX('Parametri Modello'!$B$50:$B$53,MATCH($B489,'Parametri Modello'!$A$50:$A$53,0))*'Parametri Modello'!$B$44))))*(1+IF(IF($B489="D",'Info Lega'!$B$25,IF($B489="C",'Info Lega'!$B$26,"No"))="Si",'Parametri Modello'!$B$5,0))*(1+MAX(-0.25,MIN(0.25,IF(OR($T489="",$I489="",$I489=0,INDEX('Parametri Modello'!$B$19:$B$22,MATCH($B489,'Parametri Modello'!$A$19:$A$22,0))="",INDEX('Parametri Modello'!$B$19:$B$22,MATCH($B489,'Parametri Modello'!$A$19:$A$22,0))=0),0,(($T489-INDEX('Parametri Modello'!$B$19:$B$22,MATCH($B489,'Parametri Modello'!$A$19:$A$22,0)))/INDEX('Parametri Modello'!$B$19:$B$22,MATCH($B489,'Parametri Modello'!$A$19:$A$22,0)))*'Parametri Modello'!$B$9))))*(1+IF('Parametri Modello'!$B$27="Si",MAX(-'Parametri Modello'!$B$28,MIN('Parametri Modello'!$B$28*1.5,IF(OR(INDEX('Parametri Modello'!$F$32:$F$35,MATCH($B489,'Parametri Modello'!$A$32:$A$35,0))="",INDEX('Parametri Modello'!$F$32:$F$35,MATCH($B489,'Parametri Modello'!$A$32:$A$35,0))=0),0,(1/INDEX('Parametri Modello'!$F$32:$F$35,MATCH($B489,'Parametri Modello'!$A$32:$A$35,0))-1)*'Parametri Modello'!$B$28))),0)))*(1-INDEX('Parametri Modello'!$B$12:$B$15,MATCH($B489,'Parametri Modello'!$A$12:$A$15,0)))),0),"")</f>
        <v>1</v>
      </c>
      <c r="H489" s="27" t="n">
        <f aca="false">IFERROR(ROUND((IF($V489&lt;=INDEX('Parametri Modello'!$C$57:$C$60,MATCH($B489,'Parametri Modello'!$A$57:$A$60,0)),IF(INDEX('Parametri Modello'!$E$57:$E$60,MATCH($B489,'Parametri Modello'!$A$57:$A$60,0))=0,0,($O489/INDEX('Parametri Modello'!$E$57:$E$60,MATCH($B489,'Parametri Modello'!$A$57:$A$60,0)))*(INDEX('Parametri Modello'!$D$57:$D$60,MATCH($B489,'Parametri Modello'!$A$57:$A$60,0))*(INDEX('Parametri Modello'!$B$50:$B$53,MATCH($B489,'Parametri Modello'!$A$50:$A$53,0))*'Parametri Modello'!$B$44))),IF(INDEX('Parametri Modello'!$F$57:$F$60,MATCH($B489,'Parametri Modello'!$A$57:$A$60,0))=0,0,($O489/INDEX('Parametri Modello'!$F$57:$F$60,MATCH($B489,'Parametri Modello'!$A$57:$A$60,0)))*((1-INDEX('Parametri Modello'!$D$57:$D$60,MATCH($B489,'Parametri Modello'!$A$57:$A$60,0)))*(INDEX('Parametri Modello'!$B$50:$B$53,MATCH($B489,'Parametri Modello'!$A$50:$A$53,0))*'Parametri Modello'!$B$44))))*(1+IF(IF($B489="D",'Info Lega'!$B$25,IF($B489="C",'Info Lega'!$B$26,"No"))="Si",'Parametri Modello'!$B$5,0))*(1+MAX(-0.25,MIN(0.25,IF(OR($T489="",$I489="",$I489=0,INDEX('Parametri Modello'!$B$19:$B$22,MATCH($B489,'Parametri Modello'!$A$19:$A$22,0))="",INDEX('Parametri Modello'!$B$19:$B$22,MATCH($B489,'Parametri Modello'!$A$19:$A$22,0))=0),0,(($T489-INDEX('Parametri Modello'!$B$19:$B$22,MATCH($B489,'Parametri Modello'!$A$19:$A$22,0)))/INDEX('Parametri Modello'!$B$19:$B$22,MATCH($B489,'Parametri Modello'!$A$19:$A$22,0)))*'Parametri Modello'!$B$9))))*(1+IF('Parametri Modello'!$B$27="Si",MAX(-'Parametri Modello'!$B$28,MIN('Parametri Modello'!$B$28*1.5,IF(OR(INDEX('Parametri Modello'!$F$32:$F$35,MATCH($B489,'Parametri Modello'!$A$32:$A$35,0))="",INDEX('Parametri Modello'!$F$32:$F$35,MATCH($B489,'Parametri Modello'!$A$32:$A$35,0))=0),0,(1/INDEX('Parametri Modello'!$F$32:$F$35,MATCH($B489,'Parametri Modello'!$A$32:$A$35,0))-1)*'Parametri Modello'!$B$28))),0)))*(1+INDEX('Parametri Modello'!$B$12:$B$15,MATCH($B489,'Parametri Modello'!$A$12:$A$15,0))),0),"")</f>
        <v>0</v>
      </c>
      <c r="I489" s="26" t="n">
        <f aca="false">IFERROR(INDEX('Input Statistiche 2025_26'!$F$3:$F$665,MATCH($A489,'Input Statistiche 2025_26'!$A$3:$A$665,0)),"")</f>
        <v>0</v>
      </c>
      <c r="J489" s="26" t="n">
        <f aca="false">IFERROR(IF($I489="","",MAX(0,38-$I489)),"")</f>
        <v>38</v>
      </c>
      <c r="K489" s="26" t="n">
        <f aca="false">IFERROR(INDEX('Input Statistiche 2025_26'!$I$3:$I$665,MATCH($A489,'Input Statistiche 2025_26'!$A$3:$A$665,0)),"")</f>
        <v>0</v>
      </c>
      <c r="L489" s="26" t="n">
        <f aca="false">IFERROR(INDEX('Input Statistiche 2025_26'!$O$3:$O$665,MATCH($A489,'Input Statistiche 2025_26'!$A$3:$A$665,0)),"")</f>
        <v>0</v>
      </c>
      <c r="M489" s="28"/>
      <c r="N489" s="27" t="n">
        <f aca="false">IFERROR(INDEX('Input Giocatori 2026_27'!$E$3:$E$493,MATCH($A489,'Input Giocatori 2026_27'!$A$3:$A$493,0)),"")</f>
        <v>1</v>
      </c>
      <c r="O489" s="27" t="n">
        <f aca="false">IFERROR(INDEX('Input Giocatori 2026_27'!$G$3:$G$493,MATCH($A489,'Input Giocatori 2026_27'!$A$3:$A$493,0)),"")</f>
        <v>1</v>
      </c>
      <c r="P489" s="26" t="str">
        <f aca="false">IFERROR(IF($O489="","",IF((1-(COUNTIFS($B$2:$B$492,$B489,$O$2:$O$492,"&gt;"&amp;$O489)+1-1)/COUNTIF($B$2:$B$492,$B489))&gt;=0.85,"Top",IF((1-(COUNTIFS($B$2:$B$492,$B489,$O$2:$O$492,"&gt;"&amp;$O489)+1-1)/COUNTIF($B$2:$B$492,$B489))&gt;=0.6,"Buono",IF((1-(COUNTIFS($B$2:$B$492,$B489,$O$2:$O$492,"&gt;"&amp;$O489)+1-1)/COUNTIF($B$2:$B$492,$B489))&gt;=0.3,"Nella Media","Scommessa/Riserva")))),"")</f>
        <v>Scommessa/Riserva</v>
      </c>
      <c r="Q489" s="29" t="n">
        <f aca="false">IF($D489="",COUNTIF($D$2:$D489,""),"")</f>
        <v>488</v>
      </c>
      <c r="R489" s="29" t="str">
        <f aca="false">IF($D489='Info Lega'!$B$28,COUNTIFS($D$2:$D489,'Info Lega'!$B$28),"")</f>
        <v/>
      </c>
      <c r="S489" s="30" t="n">
        <f aca="false">IFERROR(INDEX('Input Statistiche 2025_26'!$G$3:$G$665,MATCH($A489,'Input Statistiche 2025_26'!$A$3:$A$665,0)),"")</f>
        <v>0</v>
      </c>
      <c r="T489" s="30" t="n">
        <f aca="false">IFERROR(INDEX('Input Statistiche 2025_26'!$H$3:$H$665,MATCH($A489,'Input Statistiche 2025_26'!$A$3:$A$665,0)),"")</f>
        <v>0</v>
      </c>
      <c r="U489" s="26" t="str">
        <f aca="false">IF(OR('La Mia Rosa'!$O$12="",$D489&lt;&gt;""),"",IF($F489&lt;='La Mia Rosa'!$O$12*'Parametri Modello'!$B$24,"OK",IF($F489&lt;='La Mia Rosa'!$O$12*'Parametri Modello'!$B$25,"Attenzione","Rischio Alto")))</f>
        <v>OK</v>
      </c>
      <c r="V489" s="26" t="n">
        <f aca="false">IFERROR(COUNTIFS($B$2:$B$492,$B489,$O$2:$O$492,"&gt;"&amp;$O489)+1,"")</f>
        <v>81</v>
      </c>
      <c r="W489" s="21" t="n">
        <f aca="false">'Info Lega'!$B$4-SUMIFS($M$2:$M$492,$D$2:$D$492,'Info Lega'!$B$28)</f>
        <v>1000</v>
      </c>
      <c r="X489" s="21" t="n">
        <f aca="false">('Info Lega'!$B$5-COUNTIFS($D$2:$D$492,'Info Lega'!$B$28,$B$2:$B$492,"P"))+('Info Lega'!$B$6-COUNTIFS($D$2:$D$492,'Info Lega'!$B$28,$B$2:$B$492,"D"))+('Info Lega'!$B$7-COUNTIFS($D$2:$D$492,'Info Lega'!$B$28,$B$2:$B$492,"C"))+('Info Lega'!$B$8-COUNTIFS($D$2:$D$492,'Info Lega'!$B$28,$B$2:$B$492,"A"))</f>
        <v>25</v>
      </c>
      <c r="Y489" s="21" t="n">
        <f aca="false">X489*'Parametri Modello'!$B$30</f>
        <v>25</v>
      </c>
      <c r="Z489" s="21" t="n">
        <f aca="false">MAX(0,W489-Y489)</f>
        <v>975</v>
      </c>
      <c r="AA489" s="21" t="n">
        <f aca="false">MIN(F489,Z489)</f>
        <v>0</v>
      </c>
      <c r="AB489" s="21"/>
      <c r="AC489" s="21" t="str">
        <f aca="false">IF(AB489="","",IF(AB489&gt;AA489,"PASS",IF(AB489&lt;=AA489*0.85,"BID","ATTENZIONE")))</f>
        <v/>
      </c>
      <c r="AD489" s="31" t="n">
        <f aca="false">IF(I489="","",ROUND(100*(1-EXP(-I489/30)),0))</f>
        <v>0</v>
      </c>
      <c r="AE489" s="7" t="str">
        <f aca="false">IFERROR(INDEX('Stato Asta'!$G$9:$G$12,MATCH($B489,'Stato Asta'!$A$9:$A$12,0)),"")</f>
        <v>🔴 Non aspettare</v>
      </c>
    </row>
    <row r="490" customFormat="false" ht="14.25" hidden="false" customHeight="true" outlineLevel="0" collapsed="false">
      <c r="A490" s="21" t="n">
        <v>7158</v>
      </c>
      <c r="B490" s="21" t="s">
        <v>46</v>
      </c>
      <c r="C490" s="21" t="s">
        <v>619</v>
      </c>
      <c r="E490" s="26" t="str">
        <f aca="false">IF(COUNTIF('Info Strategia'!$D$2:$D$51,$C490)&gt;0,"SI","NO")</f>
        <v>NO</v>
      </c>
      <c r="F490" s="27" t="n">
        <f aca="false">IFERROR(ROUND(($G490+($H490-$G490)*'Info Strategia'!$B$6)*(1+IF($E490="SI",'Parametri Modello'!$B$7*'Info Strategia'!$B$6,0)),0),"")</f>
        <v>0</v>
      </c>
      <c r="G490" s="27" t="n">
        <f aca="false">IFERROR(ROUND(MAX(1,(IF($V490&lt;=INDEX('Parametri Modello'!$C$57:$C$60,MATCH($B490,'Parametri Modello'!$A$57:$A$60,0)),IF(INDEX('Parametri Modello'!$E$57:$E$60,MATCH($B490,'Parametri Modello'!$A$57:$A$60,0))=0,0,($O490/INDEX('Parametri Modello'!$E$57:$E$60,MATCH($B490,'Parametri Modello'!$A$57:$A$60,0)))*(INDEX('Parametri Modello'!$D$57:$D$60,MATCH($B490,'Parametri Modello'!$A$57:$A$60,0))*(INDEX('Parametri Modello'!$B$50:$B$53,MATCH($B490,'Parametri Modello'!$A$50:$A$53,0))*'Parametri Modello'!$B$44))),IF(INDEX('Parametri Modello'!$F$57:$F$60,MATCH($B490,'Parametri Modello'!$A$57:$A$60,0))=0,0,($O490/INDEX('Parametri Modello'!$F$57:$F$60,MATCH($B490,'Parametri Modello'!$A$57:$A$60,0)))*((1-INDEX('Parametri Modello'!$D$57:$D$60,MATCH($B490,'Parametri Modello'!$A$57:$A$60,0)))*(INDEX('Parametri Modello'!$B$50:$B$53,MATCH($B490,'Parametri Modello'!$A$50:$A$53,0))*'Parametri Modello'!$B$44))))*(1+IF(IF($B490="D",'Info Lega'!$B$25,IF($B490="C",'Info Lega'!$B$26,"No"))="Si",'Parametri Modello'!$B$5,0))*(1+MAX(-0.25,MIN(0.25,IF(OR($T490="",$I490="",$I490=0,INDEX('Parametri Modello'!$B$19:$B$22,MATCH($B490,'Parametri Modello'!$A$19:$A$22,0))="",INDEX('Parametri Modello'!$B$19:$B$22,MATCH($B490,'Parametri Modello'!$A$19:$A$22,0))=0),0,(($T490-INDEX('Parametri Modello'!$B$19:$B$22,MATCH($B490,'Parametri Modello'!$A$19:$A$22,0)))/INDEX('Parametri Modello'!$B$19:$B$22,MATCH($B490,'Parametri Modello'!$A$19:$A$22,0)))*'Parametri Modello'!$B$9))))*(1+IF('Parametri Modello'!$B$27="Si",MAX(-'Parametri Modello'!$B$28,MIN('Parametri Modello'!$B$28*1.5,IF(OR(INDEX('Parametri Modello'!$F$32:$F$35,MATCH($B490,'Parametri Modello'!$A$32:$A$35,0))="",INDEX('Parametri Modello'!$F$32:$F$35,MATCH($B490,'Parametri Modello'!$A$32:$A$35,0))=0),0,(1/INDEX('Parametri Modello'!$F$32:$F$35,MATCH($B490,'Parametri Modello'!$A$32:$A$35,0))-1)*'Parametri Modello'!$B$28))),0)))*(1-INDEX('Parametri Modello'!$B$12:$B$15,MATCH($B490,'Parametri Modello'!$A$12:$A$15,0)))),0),"")</f>
        <v>1</v>
      </c>
      <c r="H490" s="27" t="n">
        <f aca="false">IFERROR(ROUND((IF($V490&lt;=INDEX('Parametri Modello'!$C$57:$C$60,MATCH($B490,'Parametri Modello'!$A$57:$A$60,0)),IF(INDEX('Parametri Modello'!$E$57:$E$60,MATCH($B490,'Parametri Modello'!$A$57:$A$60,0))=0,0,($O490/INDEX('Parametri Modello'!$E$57:$E$60,MATCH($B490,'Parametri Modello'!$A$57:$A$60,0)))*(INDEX('Parametri Modello'!$D$57:$D$60,MATCH($B490,'Parametri Modello'!$A$57:$A$60,0))*(INDEX('Parametri Modello'!$B$50:$B$53,MATCH($B490,'Parametri Modello'!$A$50:$A$53,0))*'Parametri Modello'!$B$44))),IF(INDEX('Parametri Modello'!$F$57:$F$60,MATCH($B490,'Parametri Modello'!$A$57:$A$60,0))=0,0,($O490/INDEX('Parametri Modello'!$F$57:$F$60,MATCH($B490,'Parametri Modello'!$A$57:$A$60,0)))*((1-INDEX('Parametri Modello'!$D$57:$D$60,MATCH($B490,'Parametri Modello'!$A$57:$A$60,0)))*(INDEX('Parametri Modello'!$B$50:$B$53,MATCH($B490,'Parametri Modello'!$A$50:$A$53,0))*'Parametri Modello'!$B$44))))*(1+IF(IF($B490="D",'Info Lega'!$B$25,IF($B490="C",'Info Lega'!$B$26,"No"))="Si",'Parametri Modello'!$B$5,0))*(1+MAX(-0.25,MIN(0.25,IF(OR($T490="",$I490="",$I490=0,INDEX('Parametri Modello'!$B$19:$B$22,MATCH($B490,'Parametri Modello'!$A$19:$A$22,0))="",INDEX('Parametri Modello'!$B$19:$B$22,MATCH($B490,'Parametri Modello'!$A$19:$A$22,0))=0),0,(($T490-INDEX('Parametri Modello'!$B$19:$B$22,MATCH($B490,'Parametri Modello'!$A$19:$A$22,0)))/INDEX('Parametri Modello'!$B$19:$B$22,MATCH($B490,'Parametri Modello'!$A$19:$A$22,0)))*'Parametri Modello'!$B$9))))*(1+IF('Parametri Modello'!$B$27="Si",MAX(-'Parametri Modello'!$B$28,MIN('Parametri Modello'!$B$28*1.5,IF(OR(INDEX('Parametri Modello'!$F$32:$F$35,MATCH($B490,'Parametri Modello'!$A$32:$A$35,0))="",INDEX('Parametri Modello'!$F$32:$F$35,MATCH($B490,'Parametri Modello'!$A$32:$A$35,0))=0),0,(1/INDEX('Parametri Modello'!$F$32:$F$35,MATCH($B490,'Parametri Modello'!$A$32:$A$35,0))-1)*'Parametri Modello'!$B$28))),0)))*(1+INDEX('Parametri Modello'!$B$12:$B$15,MATCH($B490,'Parametri Modello'!$A$12:$A$15,0))),0),"")</f>
        <v>0</v>
      </c>
      <c r="I490" s="26" t="n">
        <f aca="false">IFERROR(INDEX('Input Statistiche 2025_26'!$F$3:$F$665,MATCH($A490,'Input Statistiche 2025_26'!$A$3:$A$665,0)),"")</f>
        <v>6</v>
      </c>
      <c r="J490" s="26" t="n">
        <f aca="false">IFERROR(IF($I490="","",MAX(0,38-$I490)),"")</f>
        <v>32</v>
      </c>
      <c r="K490" s="26" t="n">
        <f aca="false">IFERROR(INDEX('Input Statistiche 2025_26'!$I$3:$I$665,MATCH($A490,'Input Statistiche 2025_26'!$A$3:$A$665,0)),"")</f>
        <v>0</v>
      </c>
      <c r="L490" s="26" t="n">
        <f aca="false">IFERROR(INDEX('Input Statistiche 2025_26'!$O$3:$O$665,MATCH($A490,'Input Statistiche 2025_26'!$A$3:$A$665,0)),"")</f>
        <v>0</v>
      </c>
      <c r="M490" s="28"/>
      <c r="N490" s="27" t="n">
        <f aca="false">IFERROR(INDEX('Input Giocatori 2026_27'!$E$3:$E$493,MATCH($A490,'Input Giocatori 2026_27'!$A$3:$A$493,0)),"")</f>
        <v>1</v>
      </c>
      <c r="O490" s="27" t="n">
        <f aca="false">IFERROR(INDEX('Input Giocatori 2026_27'!$G$3:$G$493,MATCH($A490,'Input Giocatori 2026_27'!$A$3:$A$493,0)),"")</f>
        <v>1</v>
      </c>
      <c r="P490" s="26" t="str">
        <f aca="false">IFERROR(IF($O490="","",IF((1-(COUNTIFS($B$2:$B$492,$B490,$O$2:$O$492,"&gt;"&amp;$O490)+1-1)/COUNTIF($B$2:$B$492,$B490))&gt;=0.85,"Top",IF((1-(COUNTIFS($B$2:$B$492,$B490,$O$2:$O$492,"&gt;"&amp;$O490)+1-1)/COUNTIF($B$2:$B$492,$B490))&gt;=0.6,"Buono",IF((1-(COUNTIFS($B$2:$B$492,$B490,$O$2:$O$492,"&gt;"&amp;$O490)+1-1)/COUNTIF($B$2:$B$492,$B490))&gt;=0.3,"Nella Media","Scommessa/Riserva")))),"")</f>
        <v>Scommessa/Riserva</v>
      </c>
      <c r="Q490" s="29" t="n">
        <f aca="false">IF($D490="",COUNTIF($D$2:$D490,""),"")</f>
        <v>489</v>
      </c>
      <c r="R490" s="29" t="str">
        <f aca="false">IF($D490='Info Lega'!$B$28,COUNTIFS($D$2:$D490,'Info Lega'!$B$28),"")</f>
        <v/>
      </c>
      <c r="S490" s="30" t="n">
        <f aca="false">IFERROR(INDEX('Input Statistiche 2025_26'!$G$3:$G$665,MATCH($A490,'Input Statistiche 2025_26'!$A$3:$A$665,0)),"")</f>
        <v>5.58</v>
      </c>
      <c r="T490" s="30" t="n">
        <f aca="false">IFERROR(INDEX('Input Statistiche 2025_26'!$H$3:$H$665,MATCH($A490,'Input Statistiche 2025_26'!$A$3:$A$665,0)),"")</f>
        <v>5.5</v>
      </c>
      <c r="U490" s="26" t="str">
        <f aca="false">IF(OR('La Mia Rosa'!$O$12="",$D490&lt;&gt;""),"",IF($F490&lt;='La Mia Rosa'!$O$12*'Parametri Modello'!$B$24,"OK",IF($F490&lt;='La Mia Rosa'!$O$12*'Parametri Modello'!$B$25,"Attenzione","Rischio Alto")))</f>
        <v>OK</v>
      </c>
      <c r="V490" s="26" t="n">
        <f aca="false">IFERROR(COUNTIFS($B$2:$B$492,$B490,$O$2:$O$492,"&gt;"&amp;$O490)+1,"")</f>
        <v>81</v>
      </c>
      <c r="W490" s="21" t="n">
        <f aca="false">'Info Lega'!$B$4-SUMIFS($M$2:$M$492,$D$2:$D$492,'Info Lega'!$B$28)</f>
        <v>1000</v>
      </c>
      <c r="X490" s="21" t="n">
        <f aca="false">('Info Lega'!$B$5-COUNTIFS($D$2:$D$492,'Info Lega'!$B$28,$B$2:$B$492,"P"))+('Info Lega'!$B$6-COUNTIFS($D$2:$D$492,'Info Lega'!$B$28,$B$2:$B$492,"D"))+('Info Lega'!$B$7-COUNTIFS($D$2:$D$492,'Info Lega'!$B$28,$B$2:$B$492,"C"))+('Info Lega'!$B$8-COUNTIFS($D$2:$D$492,'Info Lega'!$B$28,$B$2:$B$492,"A"))</f>
        <v>25</v>
      </c>
      <c r="Y490" s="21" t="n">
        <f aca="false">X490*'Parametri Modello'!$B$30</f>
        <v>25</v>
      </c>
      <c r="Z490" s="21" t="n">
        <f aca="false">MAX(0,W490-Y490)</f>
        <v>975</v>
      </c>
      <c r="AA490" s="21" t="n">
        <f aca="false">MIN(F490,Z490)</f>
        <v>0</v>
      </c>
      <c r="AB490" s="21"/>
      <c r="AC490" s="21" t="str">
        <f aca="false">IF(AB490="","",IF(AB490&gt;AA490,"PASS",IF(AB490&lt;=AA490*0.85,"BID","ATTENZIONE")))</f>
        <v/>
      </c>
      <c r="AD490" s="31" t="n">
        <f aca="false">IF(I490="","",ROUND(100*(1-EXP(-I490/30)),0))</f>
        <v>18</v>
      </c>
      <c r="AE490" s="7" t="str">
        <f aca="false">IFERROR(INDEX('Stato Asta'!$G$9:$G$12,MATCH($B490,'Stato Asta'!$A$9:$A$12,0)),"")</f>
        <v>🔴 Non aspettare</v>
      </c>
    </row>
    <row r="491" customFormat="false" ht="14.25" hidden="false" customHeight="true" outlineLevel="0" collapsed="false">
      <c r="A491" s="21" t="n">
        <v>7408</v>
      </c>
      <c r="B491" s="21" t="s">
        <v>46</v>
      </c>
      <c r="C491" s="21" t="s">
        <v>621</v>
      </c>
      <c r="E491" s="26" t="str">
        <f aca="false">IF(COUNTIF('Info Strategia'!$D$2:$D$51,$C491)&gt;0,"SI","NO")</f>
        <v>NO</v>
      </c>
      <c r="F491" s="27" t="n">
        <f aca="false">IFERROR(ROUND(($G491+($H491-$G491)*'Info Strategia'!$B$6)*(1+IF($E491="SI",'Parametri Modello'!$B$7*'Info Strategia'!$B$6,0)),0),"")</f>
        <v>0</v>
      </c>
      <c r="G491" s="27" t="n">
        <f aca="false">IFERROR(ROUND(MAX(1,(IF($V491&lt;=INDEX('Parametri Modello'!$C$57:$C$60,MATCH($B491,'Parametri Modello'!$A$57:$A$60,0)),IF(INDEX('Parametri Modello'!$E$57:$E$60,MATCH($B491,'Parametri Modello'!$A$57:$A$60,0))=0,0,($O491/INDEX('Parametri Modello'!$E$57:$E$60,MATCH($B491,'Parametri Modello'!$A$57:$A$60,0)))*(INDEX('Parametri Modello'!$D$57:$D$60,MATCH($B491,'Parametri Modello'!$A$57:$A$60,0))*(INDEX('Parametri Modello'!$B$50:$B$53,MATCH($B491,'Parametri Modello'!$A$50:$A$53,0))*'Parametri Modello'!$B$44))),IF(INDEX('Parametri Modello'!$F$57:$F$60,MATCH($B491,'Parametri Modello'!$A$57:$A$60,0))=0,0,($O491/INDEX('Parametri Modello'!$F$57:$F$60,MATCH($B491,'Parametri Modello'!$A$57:$A$60,0)))*((1-INDEX('Parametri Modello'!$D$57:$D$60,MATCH($B491,'Parametri Modello'!$A$57:$A$60,0)))*(INDEX('Parametri Modello'!$B$50:$B$53,MATCH($B491,'Parametri Modello'!$A$50:$A$53,0))*'Parametri Modello'!$B$44))))*(1+IF(IF($B491="D",'Info Lega'!$B$25,IF($B491="C",'Info Lega'!$B$26,"No"))="Si",'Parametri Modello'!$B$5,0))*(1+MAX(-0.25,MIN(0.25,IF(OR($T491="",$I491="",$I491=0,INDEX('Parametri Modello'!$B$19:$B$22,MATCH($B491,'Parametri Modello'!$A$19:$A$22,0))="",INDEX('Parametri Modello'!$B$19:$B$22,MATCH($B491,'Parametri Modello'!$A$19:$A$22,0))=0),0,(($T491-INDEX('Parametri Modello'!$B$19:$B$22,MATCH($B491,'Parametri Modello'!$A$19:$A$22,0)))/INDEX('Parametri Modello'!$B$19:$B$22,MATCH($B491,'Parametri Modello'!$A$19:$A$22,0)))*'Parametri Modello'!$B$9))))*(1+IF('Parametri Modello'!$B$27="Si",MAX(-'Parametri Modello'!$B$28,MIN('Parametri Modello'!$B$28*1.5,IF(OR(INDEX('Parametri Modello'!$F$32:$F$35,MATCH($B491,'Parametri Modello'!$A$32:$A$35,0))="",INDEX('Parametri Modello'!$F$32:$F$35,MATCH($B491,'Parametri Modello'!$A$32:$A$35,0))=0),0,(1/INDEX('Parametri Modello'!$F$32:$F$35,MATCH($B491,'Parametri Modello'!$A$32:$A$35,0))-1)*'Parametri Modello'!$B$28))),0)))*(1-INDEX('Parametri Modello'!$B$12:$B$15,MATCH($B491,'Parametri Modello'!$A$12:$A$15,0)))),0),"")</f>
        <v>1</v>
      </c>
      <c r="H491" s="27" t="n">
        <f aca="false">IFERROR(ROUND((IF($V491&lt;=INDEX('Parametri Modello'!$C$57:$C$60,MATCH($B491,'Parametri Modello'!$A$57:$A$60,0)),IF(INDEX('Parametri Modello'!$E$57:$E$60,MATCH($B491,'Parametri Modello'!$A$57:$A$60,0))=0,0,($O491/INDEX('Parametri Modello'!$E$57:$E$60,MATCH($B491,'Parametri Modello'!$A$57:$A$60,0)))*(INDEX('Parametri Modello'!$D$57:$D$60,MATCH($B491,'Parametri Modello'!$A$57:$A$60,0))*(INDEX('Parametri Modello'!$B$50:$B$53,MATCH($B491,'Parametri Modello'!$A$50:$A$53,0))*'Parametri Modello'!$B$44))),IF(INDEX('Parametri Modello'!$F$57:$F$60,MATCH($B491,'Parametri Modello'!$A$57:$A$60,0))=0,0,($O491/INDEX('Parametri Modello'!$F$57:$F$60,MATCH($B491,'Parametri Modello'!$A$57:$A$60,0)))*((1-INDEX('Parametri Modello'!$D$57:$D$60,MATCH($B491,'Parametri Modello'!$A$57:$A$60,0)))*(INDEX('Parametri Modello'!$B$50:$B$53,MATCH($B491,'Parametri Modello'!$A$50:$A$53,0))*'Parametri Modello'!$B$44))))*(1+IF(IF($B491="D",'Info Lega'!$B$25,IF($B491="C",'Info Lega'!$B$26,"No"))="Si",'Parametri Modello'!$B$5,0))*(1+MAX(-0.25,MIN(0.25,IF(OR($T491="",$I491="",$I491=0,INDEX('Parametri Modello'!$B$19:$B$22,MATCH($B491,'Parametri Modello'!$A$19:$A$22,0))="",INDEX('Parametri Modello'!$B$19:$B$22,MATCH($B491,'Parametri Modello'!$A$19:$A$22,0))=0),0,(($T491-INDEX('Parametri Modello'!$B$19:$B$22,MATCH($B491,'Parametri Modello'!$A$19:$A$22,0)))/INDEX('Parametri Modello'!$B$19:$B$22,MATCH($B491,'Parametri Modello'!$A$19:$A$22,0)))*'Parametri Modello'!$B$9))))*(1+IF('Parametri Modello'!$B$27="Si",MAX(-'Parametri Modello'!$B$28,MIN('Parametri Modello'!$B$28*1.5,IF(OR(INDEX('Parametri Modello'!$F$32:$F$35,MATCH($B491,'Parametri Modello'!$A$32:$A$35,0))="",INDEX('Parametri Modello'!$F$32:$F$35,MATCH($B491,'Parametri Modello'!$A$32:$A$35,0))=0),0,(1/INDEX('Parametri Modello'!$F$32:$F$35,MATCH($B491,'Parametri Modello'!$A$32:$A$35,0))-1)*'Parametri Modello'!$B$28))),0)))*(1+INDEX('Parametri Modello'!$B$12:$B$15,MATCH($B491,'Parametri Modello'!$A$12:$A$15,0))),0),"")</f>
        <v>0</v>
      </c>
      <c r="I491" s="26" t="str">
        <f aca="false">IFERROR(INDEX('Input Statistiche 2025_26'!$F$3:$F$665,MATCH($A491,'Input Statistiche 2025_26'!$A$3:$A$665,0)),"")</f>
        <v/>
      </c>
      <c r="J491" s="26" t="str">
        <f aca="false">IFERROR(IF($I491="","",MAX(0,38-$I491)),"")</f>
        <v/>
      </c>
      <c r="K491" s="26" t="str">
        <f aca="false">IFERROR(INDEX('Input Statistiche 2025_26'!$I$3:$I$665,MATCH($A491,'Input Statistiche 2025_26'!$A$3:$A$665,0)),"")</f>
        <v/>
      </c>
      <c r="L491" s="26" t="str">
        <f aca="false">IFERROR(INDEX('Input Statistiche 2025_26'!$O$3:$O$665,MATCH($A491,'Input Statistiche 2025_26'!$A$3:$A$665,0)),"")</f>
        <v/>
      </c>
      <c r="M491" s="28"/>
      <c r="N491" s="27" t="n">
        <f aca="false">IFERROR(INDEX('Input Giocatori 2026_27'!$E$3:$E$493,MATCH($A491,'Input Giocatori 2026_27'!$A$3:$A$493,0)),"")</f>
        <v>1</v>
      </c>
      <c r="O491" s="27" t="n">
        <f aca="false">IFERROR(INDEX('Input Giocatori 2026_27'!$G$3:$G$493,MATCH($A491,'Input Giocatori 2026_27'!$A$3:$A$493,0)),"")</f>
        <v>1</v>
      </c>
      <c r="P491" s="26" t="str">
        <f aca="false">IFERROR(IF($O491="","",IF((1-(COUNTIFS($B$2:$B$492,$B491,$O$2:$O$492,"&gt;"&amp;$O491)+1-1)/COUNTIF($B$2:$B$492,$B491))&gt;=0.85,"Top",IF((1-(COUNTIFS($B$2:$B$492,$B491,$O$2:$O$492,"&gt;"&amp;$O491)+1-1)/COUNTIF($B$2:$B$492,$B491))&gt;=0.6,"Buono",IF((1-(COUNTIFS($B$2:$B$492,$B491,$O$2:$O$492,"&gt;"&amp;$O491)+1-1)/COUNTIF($B$2:$B$492,$B491))&gt;=0.3,"Nella Media","Scommessa/Riserva")))),"")</f>
        <v>Scommessa/Riserva</v>
      </c>
      <c r="Q491" s="29" t="n">
        <f aca="false">IF($D491="",COUNTIF($D$2:$D491,""),"")</f>
        <v>490</v>
      </c>
      <c r="R491" s="29" t="str">
        <f aca="false">IF($D491='Info Lega'!$B$28,COUNTIFS($D$2:$D491,'Info Lega'!$B$28),"")</f>
        <v/>
      </c>
      <c r="S491" s="30" t="str">
        <f aca="false">IFERROR(INDEX('Input Statistiche 2025_26'!$G$3:$G$665,MATCH($A491,'Input Statistiche 2025_26'!$A$3:$A$665,0)),"")</f>
        <v/>
      </c>
      <c r="T491" s="30" t="str">
        <f aca="false">IFERROR(INDEX('Input Statistiche 2025_26'!$H$3:$H$665,MATCH($A491,'Input Statistiche 2025_26'!$A$3:$A$665,0)),"")</f>
        <v/>
      </c>
      <c r="U491" s="26" t="str">
        <f aca="false">IF(OR('La Mia Rosa'!$O$12="",$D491&lt;&gt;""),"",IF($F491&lt;='La Mia Rosa'!$O$12*'Parametri Modello'!$B$24,"OK",IF($F491&lt;='La Mia Rosa'!$O$12*'Parametri Modello'!$B$25,"Attenzione","Rischio Alto")))</f>
        <v>OK</v>
      </c>
      <c r="V491" s="26" t="n">
        <f aca="false">IFERROR(COUNTIFS($B$2:$B$492,$B491,$O$2:$O$492,"&gt;"&amp;$O491)+1,"")</f>
        <v>81</v>
      </c>
      <c r="W491" s="21" t="n">
        <f aca="false">'Info Lega'!$B$4-SUMIFS($M$2:$M$492,$D$2:$D$492,'Info Lega'!$B$28)</f>
        <v>1000</v>
      </c>
      <c r="X491" s="21" t="n">
        <f aca="false">('Info Lega'!$B$5-COUNTIFS($D$2:$D$492,'Info Lega'!$B$28,$B$2:$B$492,"P"))+('Info Lega'!$B$6-COUNTIFS($D$2:$D$492,'Info Lega'!$B$28,$B$2:$B$492,"D"))+('Info Lega'!$B$7-COUNTIFS($D$2:$D$492,'Info Lega'!$B$28,$B$2:$B$492,"C"))+('Info Lega'!$B$8-COUNTIFS($D$2:$D$492,'Info Lega'!$B$28,$B$2:$B$492,"A"))</f>
        <v>25</v>
      </c>
      <c r="Y491" s="21" t="n">
        <f aca="false">X491*'Parametri Modello'!$B$30</f>
        <v>25</v>
      </c>
      <c r="Z491" s="21" t="n">
        <f aca="false">MAX(0,W491-Y491)</f>
        <v>975</v>
      </c>
      <c r="AA491" s="21" t="n">
        <f aca="false">MIN(F491,Z491)</f>
        <v>0</v>
      </c>
      <c r="AB491" s="21"/>
      <c r="AC491" s="21" t="str">
        <f aca="false">IF(AB491="","",IF(AB491&gt;AA491,"PASS",IF(AB491&lt;=AA491*0.85,"BID","ATTENZIONE")))</f>
        <v/>
      </c>
      <c r="AD491" s="31" t="str">
        <f aca="false">IF(I491="","",ROUND(100*(1-EXP(-I491/30)),0))</f>
        <v/>
      </c>
      <c r="AE491" s="7" t="str">
        <f aca="false">IFERROR(INDEX('Stato Asta'!$G$9:$G$12,MATCH($B491,'Stato Asta'!$A$9:$A$12,0)),"")</f>
        <v>🔴 Non aspettare</v>
      </c>
    </row>
    <row r="492" customFormat="false" ht="14.25" hidden="false" customHeight="true" outlineLevel="0" collapsed="false">
      <c r="A492" s="21" t="n">
        <v>7482</v>
      </c>
      <c r="B492" s="21" t="s">
        <v>46</v>
      </c>
      <c r="C492" s="21" t="s">
        <v>622</v>
      </c>
      <c r="E492" s="26" t="str">
        <f aca="false">IF(COUNTIF('Info Strategia'!$D$2:$D$51,$C492)&gt;0,"SI","NO")</f>
        <v>NO</v>
      </c>
      <c r="F492" s="27" t="n">
        <f aca="false">IFERROR(ROUND(($G492+($H492-$G492)*'Info Strategia'!$B$6)*(1+IF($E492="SI",'Parametri Modello'!$B$7*'Info Strategia'!$B$6,0)),0),"")</f>
        <v>0</v>
      </c>
      <c r="G492" s="27" t="n">
        <f aca="false">IFERROR(ROUND(MAX(1,(IF($V492&lt;=INDEX('Parametri Modello'!$C$57:$C$60,MATCH($B492,'Parametri Modello'!$A$57:$A$60,0)),IF(INDEX('Parametri Modello'!$E$57:$E$60,MATCH($B492,'Parametri Modello'!$A$57:$A$60,0))=0,0,($O492/INDEX('Parametri Modello'!$E$57:$E$60,MATCH($B492,'Parametri Modello'!$A$57:$A$60,0)))*(INDEX('Parametri Modello'!$D$57:$D$60,MATCH($B492,'Parametri Modello'!$A$57:$A$60,0))*(INDEX('Parametri Modello'!$B$50:$B$53,MATCH($B492,'Parametri Modello'!$A$50:$A$53,0))*'Parametri Modello'!$B$44))),IF(INDEX('Parametri Modello'!$F$57:$F$60,MATCH($B492,'Parametri Modello'!$A$57:$A$60,0))=0,0,($O492/INDEX('Parametri Modello'!$F$57:$F$60,MATCH($B492,'Parametri Modello'!$A$57:$A$60,0)))*((1-INDEX('Parametri Modello'!$D$57:$D$60,MATCH($B492,'Parametri Modello'!$A$57:$A$60,0)))*(INDEX('Parametri Modello'!$B$50:$B$53,MATCH($B492,'Parametri Modello'!$A$50:$A$53,0))*'Parametri Modello'!$B$44))))*(1+IF(IF($B492="D",'Info Lega'!$B$25,IF($B492="C",'Info Lega'!$B$26,"No"))="Si",'Parametri Modello'!$B$5,0))*(1+MAX(-0.25,MIN(0.25,IF(OR($T492="",$I492="",$I492=0,INDEX('Parametri Modello'!$B$19:$B$22,MATCH($B492,'Parametri Modello'!$A$19:$A$22,0))="",INDEX('Parametri Modello'!$B$19:$B$22,MATCH($B492,'Parametri Modello'!$A$19:$A$22,0))=0),0,(($T492-INDEX('Parametri Modello'!$B$19:$B$22,MATCH($B492,'Parametri Modello'!$A$19:$A$22,0)))/INDEX('Parametri Modello'!$B$19:$B$22,MATCH($B492,'Parametri Modello'!$A$19:$A$22,0)))*'Parametri Modello'!$B$9))))*(1+IF('Parametri Modello'!$B$27="Si",MAX(-'Parametri Modello'!$B$28,MIN('Parametri Modello'!$B$28*1.5,IF(OR(INDEX('Parametri Modello'!$F$32:$F$35,MATCH($B492,'Parametri Modello'!$A$32:$A$35,0))="",INDEX('Parametri Modello'!$F$32:$F$35,MATCH($B492,'Parametri Modello'!$A$32:$A$35,0))=0),0,(1/INDEX('Parametri Modello'!$F$32:$F$35,MATCH($B492,'Parametri Modello'!$A$32:$A$35,0))-1)*'Parametri Modello'!$B$28))),0)))*(1-INDEX('Parametri Modello'!$B$12:$B$15,MATCH($B492,'Parametri Modello'!$A$12:$A$15,0)))),0),"")</f>
        <v>1</v>
      </c>
      <c r="H492" s="27" t="n">
        <f aca="false">IFERROR(ROUND((IF($V492&lt;=INDEX('Parametri Modello'!$C$57:$C$60,MATCH($B492,'Parametri Modello'!$A$57:$A$60,0)),IF(INDEX('Parametri Modello'!$E$57:$E$60,MATCH($B492,'Parametri Modello'!$A$57:$A$60,0))=0,0,($O492/INDEX('Parametri Modello'!$E$57:$E$60,MATCH($B492,'Parametri Modello'!$A$57:$A$60,0)))*(INDEX('Parametri Modello'!$D$57:$D$60,MATCH($B492,'Parametri Modello'!$A$57:$A$60,0))*(INDEX('Parametri Modello'!$B$50:$B$53,MATCH($B492,'Parametri Modello'!$A$50:$A$53,0))*'Parametri Modello'!$B$44))),IF(INDEX('Parametri Modello'!$F$57:$F$60,MATCH($B492,'Parametri Modello'!$A$57:$A$60,0))=0,0,($O492/INDEX('Parametri Modello'!$F$57:$F$60,MATCH($B492,'Parametri Modello'!$A$57:$A$60,0)))*((1-INDEX('Parametri Modello'!$D$57:$D$60,MATCH($B492,'Parametri Modello'!$A$57:$A$60,0)))*(INDEX('Parametri Modello'!$B$50:$B$53,MATCH($B492,'Parametri Modello'!$A$50:$A$53,0))*'Parametri Modello'!$B$44))))*(1+IF(IF($B492="D",'Info Lega'!$B$25,IF($B492="C",'Info Lega'!$B$26,"No"))="Si",'Parametri Modello'!$B$5,0))*(1+MAX(-0.25,MIN(0.25,IF(OR($T492="",$I492="",$I492=0,INDEX('Parametri Modello'!$B$19:$B$22,MATCH($B492,'Parametri Modello'!$A$19:$A$22,0))="",INDEX('Parametri Modello'!$B$19:$B$22,MATCH($B492,'Parametri Modello'!$A$19:$A$22,0))=0),0,(($T492-INDEX('Parametri Modello'!$B$19:$B$22,MATCH($B492,'Parametri Modello'!$A$19:$A$22,0)))/INDEX('Parametri Modello'!$B$19:$B$22,MATCH($B492,'Parametri Modello'!$A$19:$A$22,0)))*'Parametri Modello'!$B$9))))*(1+IF('Parametri Modello'!$B$27="Si",MAX(-'Parametri Modello'!$B$28,MIN('Parametri Modello'!$B$28*1.5,IF(OR(INDEX('Parametri Modello'!$F$32:$F$35,MATCH($B492,'Parametri Modello'!$A$32:$A$35,0))="",INDEX('Parametri Modello'!$F$32:$F$35,MATCH($B492,'Parametri Modello'!$A$32:$A$35,0))=0),0,(1/INDEX('Parametri Modello'!$F$32:$F$35,MATCH($B492,'Parametri Modello'!$A$32:$A$35,0))-1)*'Parametri Modello'!$B$28))),0)))*(1+INDEX('Parametri Modello'!$B$12:$B$15,MATCH($B492,'Parametri Modello'!$A$12:$A$15,0))),0),"")</f>
        <v>0</v>
      </c>
      <c r="I492" s="26" t="str">
        <f aca="false">IFERROR(INDEX('Input Statistiche 2025_26'!$F$3:$F$665,MATCH($A492,'Input Statistiche 2025_26'!$A$3:$A$665,0)),"")</f>
        <v/>
      </c>
      <c r="J492" s="26" t="str">
        <f aca="false">IFERROR(IF($I492="","",MAX(0,38-$I492)),"")</f>
        <v/>
      </c>
      <c r="K492" s="26" t="str">
        <f aca="false">IFERROR(INDEX('Input Statistiche 2025_26'!$I$3:$I$665,MATCH($A492,'Input Statistiche 2025_26'!$A$3:$A$665,0)),"")</f>
        <v/>
      </c>
      <c r="L492" s="26" t="str">
        <f aca="false">IFERROR(INDEX('Input Statistiche 2025_26'!$O$3:$O$665,MATCH($A492,'Input Statistiche 2025_26'!$A$3:$A$665,0)),"")</f>
        <v/>
      </c>
      <c r="M492" s="28"/>
      <c r="N492" s="27" t="n">
        <f aca="false">IFERROR(INDEX('Input Giocatori 2026_27'!$E$3:$E$493,MATCH($A492,'Input Giocatori 2026_27'!$A$3:$A$493,0)),"")</f>
        <v>1</v>
      </c>
      <c r="O492" s="27" t="n">
        <f aca="false">IFERROR(INDEX('Input Giocatori 2026_27'!$G$3:$G$493,MATCH($A492,'Input Giocatori 2026_27'!$A$3:$A$493,0)),"")</f>
        <v>1</v>
      </c>
      <c r="P492" s="26" t="str">
        <f aca="false">IFERROR(IF($O492="","",IF((1-(COUNTIFS($B$2:$B$492,$B492,$O$2:$O$492,"&gt;"&amp;$O492)+1-1)/COUNTIF($B$2:$B$492,$B492))&gt;=0.85,"Top",IF((1-(COUNTIFS($B$2:$B$492,$B492,$O$2:$O$492,"&gt;"&amp;$O492)+1-1)/COUNTIF($B$2:$B$492,$B492))&gt;=0.6,"Buono",IF((1-(COUNTIFS($B$2:$B$492,$B492,$O$2:$O$492,"&gt;"&amp;$O492)+1-1)/COUNTIF($B$2:$B$492,$B492))&gt;=0.3,"Nella Media","Scommessa/Riserva")))),"")</f>
        <v>Scommessa/Riserva</v>
      </c>
      <c r="Q492" s="29" t="n">
        <f aca="false">IF($D492="",COUNTIF($D$2:$D492,""),"")</f>
        <v>491</v>
      </c>
      <c r="R492" s="29" t="str">
        <f aca="false">IF($D492='Info Lega'!$B$28,COUNTIFS($D$2:$D492,'Info Lega'!$B$28),"")</f>
        <v/>
      </c>
      <c r="S492" s="30" t="str">
        <f aca="false">IFERROR(INDEX('Input Statistiche 2025_26'!$G$3:$G$665,MATCH($A492,'Input Statistiche 2025_26'!$A$3:$A$665,0)),"")</f>
        <v/>
      </c>
      <c r="T492" s="30" t="str">
        <f aca="false">IFERROR(INDEX('Input Statistiche 2025_26'!$H$3:$H$665,MATCH($A492,'Input Statistiche 2025_26'!$A$3:$A$665,0)),"")</f>
        <v/>
      </c>
      <c r="U492" s="26" t="str">
        <f aca="false">IF(OR('La Mia Rosa'!$O$12="",$D492&lt;&gt;""),"",IF($F492&lt;='La Mia Rosa'!$O$12*'Parametri Modello'!$B$24,"OK",IF($F492&lt;='La Mia Rosa'!$O$12*'Parametri Modello'!$B$25,"Attenzione","Rischio Alto")))</f>
        <v>OK</v>
      </c>
      <c r="V492" s="26" t="n">
        <f aca="false">IFERROR(COUNTIFS($B$2:$B$492,$B492,$O$2:$O$492,"&gt;"&amp;$O492)+1,"")</f>
        <v>81</v>
      </c>
      <c r="W492" s="21" t="n">
        <f aca="false">'Info Lega'!$B$4-SUMIFS($M$2:$M$492,$D$2:$D$492,'Info Lega'!$B$28)</f>
        <v>1000</v>
      </c>
      <c r="X492" s="21" t="n">
        <f aca="false">('Info Lega'!$B$5-COUNTIFS($D$2:$D$492,'Info Lega'!$B$28,$B$2:$B$492,"P"))+('Info Lega'!$B$6-COUNTIFS($D$2:$D$492,'Info Lega'!$B$28,$B$2:$B$492,"D"))+('Info Lega'!$B$7-COUNTIFS($D$2:$D$492,'Info Lega'!$B$28,$B$2:$B$492,"C"))+('Info Lega'!$B$8-COUNTIFS($D$2:$D$492,'Info Lega'!$B$28,$B$2:$B$492,"A"))</f>
        <v>25</v>
      </c>
      <c r="Y492" s="21" t="n">
        <f aca="false">X492*'Parametri Modello'!$B$30</f>
        <v>25</v>
      </c>
      <c r="Z492" s="21" t="n">
        <f aca="false">MAX(0,W492-Y492)</f>
        <v>975</v>
      </c>
      <c r="AA492" s="21" t="n">
        <f aca="false">MIN(F492,Z492)</f>
        <v>0</v>
      </c>
      <c r="AB492" s="21"/>
      <c r="AC492" s="21" t="str">
        <f aca="false">IF(AB492="","",IF(AB492&gt;AA492,"PASS",IF(AB492&lt;=AA492*0.85,"BID","ATTENZIONE")))</f>
        <v/>
      </c>
      <c r="AD492" s="31" t="str">
        <f aca="false">IF(I492="","",ROUND(100*(1-EXP(-I492/30)),0))</f>
        <v/>
      </c>
      <c r="AE492" s="7" t="str">
        <f aca="false">IFERROR(INDEX('Stato Asta'!$G$9:$G$12,MATCH($B492,'Stato Asta'!$A$9:$A$12,0)),"")</f>
        <v>🔴 Non aspettare</v>
      </c>
    </row>
  </sheetData>
  <autoFilter ref="A1:R492">
    <sortState ref="A2:R492">
      <sortCondition ref="A2:A492" descending="1" customList=""/>
    </sortState>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9" activeCellId="0" sqref="D9"/>
    </sheetView>
  </sheetViews>
  <sheetFormatPr defaultColWidth="8.6328125" defaultRowHeight="14.25" zeroHeight="false" outlineLevelRow="0" outlineLevelCol="0"/>
  <cols>
    <col collapsed="false" customWidth="true" hidden="false" outlineLevel="0" max="1" min="1" style="1" width="22.54"/>
  </cols>
  <sheetData>
    <row r="1" customFormat="false" ht="14.25" hidden="false" customHeight="true" outlineLevel="0" collapsed="false">
      <c r="A1" s="32" t="s">
        <v>94</v>
      </c>
    </row>
    <row r="2" customFormat="false" ht="14.25" hidden="false" customHeight="true" outlineLevel="0" collapsed="false">
      <c r="A2" s="1" t="s">
        <v>95</v>
      </c>
      <c r="B2" s="1" t="s">
        <v>91</v>
      </c>
      <c r="C2" s="33" t="s">
        <v>99</v>
      </c>
    </row>
    <row r="3" customFormat="false" ht="14.25" hidden="false" customHeight="true" outlineLevel="0" collapsed="false">
      <c r="A3" s="1" t="s">
        <v>648</v>
      </c>
      <c r="B3" s="1" t="s">
        <v>93</v>
      </c>
      <c r="C3" s="33" t="s">
        <v>649</v>
      </c>
    </row>
    <row r="4" customFormat="false" ht="14.25" hidden="false" customHeight="true" outlineLevel="0" collapsed="false">
      <c r="A4" s="1" t="s">
        <v>650</v>
      </c>
      <c r="C4" s="33" t="s">
        <v>651</v>
      </c>
    </row>
    <row r="5" customFormat="false" ht="14.25" hidden="false" customHeight="true" outlineLevel="0" collapsed="false">
      <c r="A5" s="1" t="s">
        <v>652</v>
      </c>
      <c r="C5" s="33" t="s">
        <v>653</v>
      </c>
    </row>
    <row r="6" customFormat="false" ht="14.25" hidden="false" customHeight="true" outlineLevel="0" collapsed="false">
      <c r="C6" s="33" t="s">
        <v>654</v>
      </c>
    </row>
    <row r="7" customFormat="false" ht="14.25" hidden="false" customHeight="true" outlineLevel="0" collapsed="false">
      <c r="C7" s="33" t="s">
        <v>655</v>
      </c>
    </row>
    <row r="8" customFormat="false" ht="14.25" hidden="false" customHeight="true" outlineLevel="0" collapsed="false">
      <c r="C8" s="33" t="s">
        <v>656</v>
      </c>
    </row>
    <row r="9" customFormat="false" ht="14.25" hidden="false" customHeight="true" outlineLevel="0" collapsed="false">
      <c r="C9" s="33" t="s">
        <v>657</v>
      </c>
    </row>
    <row r="10" customFormat="false" ht="14.25" hidden="false" customHeight="true" outlineLevel="0" collapsed="false">
      <c r="C10" s="33" t="s">
        <v>651</v>
      </c>
    </row>
    <row r="11" customFormat="false" ht="14.25" hidden="false" customHeight="true" outlineLevel="0" collapsed="false">
      <c r="C11" s="33" t="s">
        <v>658</v>
      </c>
    </row>
    <row r="12" customFormat="false" ht="14.25" hidden="false" customHeight="true" outlineLevel="0" collapsed="false">
      <c r="C12" s="33"/>
    </row>
    <row r="13" customFormat="false" ht="14.25" hidden="false" customHeight="true" outlineLevel="0" collapsed="false">
      <c r="C13" s="33"/>
    </row>
    <row r="14" customFormat="false" ht="14.25" hidden="false" customHeight="true" outlineLevel="0" collapsed="false">
      <c r="C14" s="33"/>
    </row>
    <row r="15" customFormat="false" ht="14.25" hidden="false" customHeight="true" outlineLevel="0" collapsed="false">
      <c r="C15" s="33"/>
    </row>
    <row r="16" customFormat="false" ht="14.25" hidden="false" customHeight="true" outlineLevel="0" collapsed="false">
      <c r="C16" s="33"/>
    </row>
    <row r="17" customFormat="false" ht="14.25" hidden="false" customHeight="true" outlineLevel="0" collapsed="false">
      <c r="C17" s="33"/>
    </row>
    <row r="18" customFormat="false" ht="14.25" hidden="false" customHeight="true" outlineLevel="0" collapsed="false">
      <c r="C18" s="3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1" width="42"/>
    <col collapsed="false" customWidth="true" hidden="false" outlineLevel="0" max="2" min="2" style="1" width="12"/>
    <col collapsed="false" customWidth="true" hidden="false" outlineLevel="0" max="3" min="3" style="1" width="45"/>
  </cols>
  <sheetData>
    <row r="1" customFormat="false" ht="15.75" hidden="false" customHeight="true" outlineLevel="0" collapsed="false">
      <c r="A1" s="34" t="s">
        <v>659</v>
      </c>
    </row>
    <row r="3" customFormat="false" ht="32.25" hidden="false" customHeight="true" outlineLevel="0" collapsed="false">
      <c r="A3" s="26" t="s">
        <v>660</v>
      </c>
      <c r="B3" s="35" t="n">
        <v>500</v>
      </c>
      <c r="C3" s="36" t="s">
        <v>661</v>
      </c>
    </row>
    <row r="5" customFormat="false" ht="32.25" hidden="false" customHeight="true" outlineLevel="0" collapsed="false">
      <c r="A5" s="26" t="s">
        <v>662</v>
      </c>
      <c r="B5" s="37" t="n">
        <v>0.15</v>
      </c>
      <c r="C5" s="36" t="s">
        <v>663</v>
      </c>
    </row>
    <row r="7" customFormat="false" ht="21.75" hidden="false" customHeight="true" outlineLevel="0" collapsed="false">
      <c r="A7" s="26" t="s">
        <v>664</v>
      </c>
      <c r="B7" s="37" t="n">
        <v>0.15</v>
      </c>
      <c r="C7" s="36" t="s">
        <v>665</v>
      </c>
    </row>
    <row r="9" customFormat="false" ht="42.75" hidden="false" customHeight="true" outlineLevel="0" collapsed="false">
      <c r="A9" s="26" t="s">
        <v>666</v>
      </c>
      <c r="B9" s="37" t="n">
        <v>0.2</v>
      </c>
      <c r="C9" s="36" t="s">
        <v>667</v>
      </c>
    </row>
    <row r="10" customFormat="false" ht="15" hidden="false" customHeight="true" outlineLevel="0" collapsed="false">
      <c r="A10" s="38" t="s">
        <v>668</v>
      </c>
    </row>
    <row r="11" customFormat="false" ht="15" hidden="false" customHeight="true" outlineLevel="0" collapsed="false">
      <c r="A11" s="25" t="s">
        <v>35</v>
      </c>
      <c r="B11" s="25" t="s">
        <v>669</v>
      </c>
    </row>
    <row r="12" customFormat="false" ht="15" hidden="false" customHeight="true" outlineLevel="0" collapsed="false">
      <c r="A12" s="26" t="s">
        <v>43</v>
      </c>
      <c r="B12" s="37" t="n">
        <v>0.15</v>
      </c>
    </row>
    <row r="13" customFormat="false" ht="15" hidden="false" customHeight="true" outlineLevel="0" collapsed="false">
      <c r="A13" s="26" t="s">
        <v>44</v>
      </c>
      <c r="B13" s="37" t="n">
        <v>0.2</v>
      </c>
    </row>
    <row r="14" customFormat="false" ht="15" hidden="false" customHeight="true" outlineLevel="0" collapsed="false">
      <c r="A14" s="26" t="s">
        <v>45</v>
      </c>
      <c r="B14" s="37" t="n">
        <v>0.25</v>
      </c>
    </row>
    <row r="15" customFormat="false" ht="15" hidden="false" customHeight="true" outlineLevel="0" collapsed="false">
      <c r="A15" s="26" t="s">
        <v>46</v>
      </c>
      <c r="B15" s="37" t="n">
        <v>0.3</v>
      </c>
    </row>
    <row r="16" customFormat="false" ht="15" hidden="false" customHeight="true" outlineLevel="0" collapsed="false">
      <c r="C16" s="39" t="s">
        <v>670</v>
      </c>
    </row>
    <row r="17" customFormat="false" ht="15" hidden="false" customHeight="true" outlineLevel="0" collapsed="false">
      <c r="A17" s="38" t="s">
        <v>671</v>
      </c>
      <c r="C17" s="21" t="s">
        <v>672</v>
      </c>
    </row>
    <row r="18" customFormat="false" ht="15" hidden="false" customHeight="true" outlineLevel="0" collapsed="false">
      <c r="A18" s="25" t="s">
        <v>35</v>
      </c>
      <c r="B18" s="25" t="s">
        <v>673</v>
      </c>
    </row>
    <row r="19" customFormat="false" ht="15" hidden="false" customHeight="true" outlineLevel="0" collapsed="false">
      <c r="A19" s="26" t="s">
        <v>43</v>
      </c>
      <c r="B19" s="30" t="n">
        <f aca="false">IFERROR(AVERAGEIFS('Output Utente'!$T$2:$T$492,'Output Utente'!$B$2:$B$492,"P",'Output Utente'!$T$2:$T$492,"&lt;&gt;",'Output Utente'!$I$2:$I$492,"&gt;="&amp;$B$23),"")</f>
        <v>5.14944444444445</v>
      </c>
    </row>
    <row r="20" customFormat="false" ht="15" hidden="false" customHeight="true" outlineLevel="0" collapsed="false">
      <c r="A20" s="26" t="s">
        <v>44</v>
      </c>
      <c r="B20" s="30" t="n">
        <f aca="false">IFERROR(AVERAGEIFS('Output Utente'!$T$2:$T$492,'Output Utente'!$B$2:$B$492,"D",'Output Utente'!$T$2:$T$492,"&lt;&gt;",'Output Utente'!$I$2:$I$492,"&gt;="&amp;$B$23),"")</f>
        <v>6.02211009174312</v>
      </c>
    </row>
    <row r="21" customFormat="false" ht="15" hidden="false" customHeight="true" outlineLevel="0" collapsed="false">
      <c r="A21" s="26" t="s">
        <v>45</v>
      </c>
      <c r="B21" s="30" t="n">
        <f aca="false">IFERROR(AVERAGEIFS('Output Utente'!$T$2:$T$492,'Output Utente'!$B$2:$B$492,"C",'Output Utente'!$T$2:$T$492,"&lt;&gt;",'Output Utente'!$I$2:$I$492,"&gt;="&amp;$B$23),"")</f>
        <v>6.28050420168067</v>
      </c>
    </row>
    <row r="22" customFormat="false" ht="15" hidden="false" customHeight="true" outlineLevel="0" collapsed="false">
      <c r="A22" s="26" t="s">
        <v>46</v>
      </c>
      <c r="B22" s="30" t="n">
        <f aca="false">IFERROR(AVERAGEIFS('Output Utente'!$T$2:$T$492,'Output Utente'!$B$2:$B$492,"A",'Output Utente'!$T$2:$T$492,"&lt;&gt;",'Output Utente'!$I$2:$I$492,"&gt;="&amp;$B$23),"")</f>
        <v>6.66678571428571</v>
      </c>
    </row>
    <row r="23" customFormat="false" ht="14.25" hidden="false" customHeight="true" outlineLevel="0" collapsed="false">
      <c r="A23" s="26" t="s">
        <v>674</v>
      </c>
      <c r="B23" s="35" t="n">
        <v>10</v>
      </c>
      <c r="C23" s="35" t="s">
        <v>675</v>
      </c>
    </row>
    <row r="24" customFormat="false" ht="42.75" hidden="false" customHeight="true" outlineLevel="0" collapsed="false">
      <c r="A24" s="26" t="s">
        <v>676</v>
      </c>
      <c r="B24" s="40" t="n">
        <v>1.5</v>
      </c>
      <c r="C24" s="36" t="s">
        <v>677</v>
      </c>
    </row>
    <row r="25" customFormat="false" ht="15" hidden="false" customHeight="true" outlineLevel="0" collapsed="false">
      <c r="A25" s="26" t="s">
        <v>678</v>
      </c>
      <c r="B25" s="40" t="n">
        <v>3</v>
      </c>
    </row>
    <row r="27" customFormat="false" ht="74.25" hidden="false" customHeight="true" outlineLevel="0" collapsed="false">
      <c r="A27" s="26" t="s">
        <v>679</v>
      </c>
      <c r="B27" s="35" t="s">
        <v>91</v>
      </c>
      <c r="C27" s="36" t="s">
        <v>680</v>
      </c>
    </row>
    <row r="28" customFormat="false" ht="15" hidden="false" customHeight="true" outlineLevel="0" collapsed="false">
      <c r="A28" s="26" t="s">
        <v>681</v>
      </c>
      <c r="B28" s="37" t="n">
        <v>0.3</v>
      </c>
    </row>
    <row r="29" customFormat="false" ht="14.25" hidden="false" customHeight="true" outlineLevel="0" collapsed="false">
      <c r="A29" s="26" t="s">
        <v>682</v>
      </c>
      <c r="B29" s="35" t="s">
        <v>91</v>
      </c>
      <c r="C29" s="35" t="s">
        <v>683</v>
      </c>
    </row>
    <row r="30" customFormat="false" ht="15" hidden="false" customHeight="true" outlineLevel="0" collapsed="false">
      <c r="A30" s="38" t="s">
        <v>684</v>
      </c>
      <c r="B30" s="21" t="n">
        <v>1</v>
      </c>
      <c r="C30" s="21" t="s">
        <v>685</v>
      </c>
    </row>
    <row r="31" customFormat="false" ht="15" hidden="false" customHeight="true" outlineLevel="0" collapsed="false">
      <c r="A31" s="38" t="s">
        <v>686</v>
      </c>
      <c r="B31" s="38" t="s">
        <v>687</v>
      </c>
      <c r="C31" s="38" t="s">
        <v>688</v>
      </c>
      <c r="D31" s="38" t="s">
        <v>689</v>
      </c>
      <c r="E31" s="38" t="s">
        <v>690</v>
      </c>
      <c r="F31" s="38" t="s">
        <v>691</v>
      </c>
    </row>
    <row r="32" customFormat="false" ht="15" hidden="false" customHeight="true" outlineLevel="0" collapsed="false">
      <c r="A32" s="26" t="s">
        <v>43</v>
      </c>
      <c r="B32" s="26" t="n">
        <f aca="false">'Info Lega'!$B$3*'Info Lega'!$B$5</f>
        <v>24</v>
      </c>
      <c r="C32" s="26" t="n">
        <f aca="false">COUNTIFS('Output Utente'!$B$2:$B$492,"P",'Output Utente'!$D$2:$D$492,"&lt;&gt;")</f>
        <v>0</v>
      </c>
      <c r="D32" s="26" t="n">
        <f aca="false">$B32-$C32</f>
        <v>24</v>
      </c>
      <c r="E32" s="26" t="n">
        <f aca="false">IF($B$29="Si",COUNTIFS('Output Utente'!$B$2:$B$492,"P",'Output Utente'!$D$2:$D$492,"",'Output Utente'!$N$2:$N$492,"&gt;1"),COUNTIFS('Output Utente'!$B$2:$B$492,"P",'Output Utente'!$D$2:$D$492,""))</f>
        <v>24</v>
      </c>
      <c r="F32" s="30" t="n">
        <f aca="false">IFERROR($E32/$D32,"")</f>
        <v>1</v>
      </c>
    </row>
    <row r="33" customFormat="false" ht="15" hidden="false" customHeight="true" outlineLevel="0" collapsed="false">
      <c r="A33" s="26" t="s">
        <v>44</v>
      </c>
      <c r="B33" s="26" t="n">
        <f aca="false">'Info Lega'!$B$3*'Info Lega'!$B$6</f>
        <v>64</v>
      </c>
      <c r="C33" s="26" t="n">
        <f aca="false">COUNTIFS('Output Utente'!$B$2:$B$492,"D",'Output Utente'!$D$2:$D$492,"&lt;&gt;")</f>
        <v>0</v>
      </c>
      <c r="D33" s="26" t="n">
        <f aca="false">$B33-$C33</f>
        <v>64</v>
      </c>
      <c r="E33" s="26" t="n">
        <f aca="false">IF($B$29="Si",COUNTIFS('Output Utente'!$B$2:$B$492,"D",'Output Utente'!$D$2:$D$492,"",'Output Utente'!$N$2:$N$492,"&gt;1"),COUNTIFS('Output Utente'!$B$2:$B$492,"D",'Output Utente'!$D$2:$D$492,""))</f>
        <v>148</v>
      </c>
      <c r="F33" s="30" t="n">
        <f aca="false">IFERROR($E33/$D33,"")</f>
        <v>2.3125</v>
      </c>
    </row>
    <row r="34" customFormat="false" ht="15" hidden="false" customHeight="true" outlineLevel="0" collapsed="false">
      <c r="A34" s="26" t="s">
        <v>45</v>
      </c>
      <c r="B34" s="26" t="n">
        <f aca="false">'Info Lega'!$B$3*'Info Lega'!$B$7</f>
        <v>64</v>
      </c>
      <c r="C34" s="26" t="n">
        <f aca="false">COUNTIFS('Output Utente'!$B$2:$B$492,"C",'Output Utente'!$D$2:$D$492,"&lt;&gt;")</f>
        <v>0</v>
      </c>
      <c r="D34" s="26" t="n">
        <f aca="false">$B34-$C34</f>
        <v>64</v>
      </c>
      <c r="E34" s="26" t="n">
        <f aca="false">IF($B$29="Si",COUNTIFS('Output Utente'!$B$2:$B$492,"C",'Output Utente'!$D$2:$D$492,"",'Output Utente'!$N$2:$N$492,"&gt;1"),COUNTIFS('Output Utente'!$B$2:$B$492,"C",'Output Utente'!$D$2:$D$492,""))</f>
        <v>155</v>
      </c>
      <c r="F34" s="30" t="n">
        <f aca="false">IFERROR($E34/$D34,"")</f>
        <v>2.421875</v>
      </c>
    </row>
    <row r="35" customFormat="false" ht="15" hidden="false" customHeight="true" outlineLevel="0" collapsed="false">
      <c r="A35" s="26" t="s">
        <v>46</v>
      </c>
      <c r="B35" s="26" t="n">
        <f aca="false">'Info Lega'!$B$3*'Info Lega'!$B$8</f>
        <v>48</v>
      </c>
      <c r="C35" s="26" t="n">
        <f aca="false">COUNTIFS('Output Utente'!$B$2:$B$492,"A",'Output Utente'!$D$2:$D$492,"&lt;&gt;")</f>
        <v>0</v>
      </c>
      <c r="D35" s="26" t="n">
        <f aca="false">$B35-$C35</f>
        <v>48</v>
      </c>
      <c r="E35" s="26" t="n">
        <f aca="false">IF($B$29="Si",COUNTIFS('Output Utente'!$B$2:$B$492,"A",'Output Utente'!$D$2:$D$492,"",'Output Utente'!$N$2:$N$492,"&gt;1"),COUNTIFS('Output Utente'!$B$2:$B$492,"A",'Output Utente'!$D$2:$D$492,""))</f>
        <v>77</v>
      </c>
      <c r="F35" s="30" t="n">
        <f aca="false">IFERROR($E35/$D35,"")</f>
        <v>1.60416666666667</v>
      </c>
    </row>
    <row r="37" customFormat="false" ht="53.25" hidden="false" customHeight="true" outlineLevel="0" collapsed="false">
      <c r="A37" s="38" t="s">
        <v>692</v>
      </c>
      <c r="C37" s="36" t="s">
        <v>693</v>
      </c>
    </row>
    <row r="38" customFormat="false" ht="15" hidden="false" customHeight="true" outlineLevel="0" collapsed="false">
      <c r="A38" s="25" t="s">
        <v>35</v>
      </c>
      <c r="B38" s="25" t="s">
        <v>694</v>
      </c>
      <c r="C38" s="25" t="s">
        <v>695</v>
      </c>
    </row>
    <row r="39" customFormat="false" ht="15" hidden="false" customHeight="true" outlineLevel="0" collapsed="false">
      <c r="A39" s="26" t="s">
        <v>43</v>
      </c>
      <c r="B39" s="26" t="n">
        <f aca="false">$B$32</f>
        <v>24</v>
      </c>
      <c r="C39" s="26" t="n">
        <f aca="false">SUMIFS('Output Utente'!$O$2:$O$492,'Output Utente'!$B$2:$B$492,"P",'Output Utente'!$V$2:$V$492,"&lt;="&amp;$B39)</f>
        <v>689</v>
      </c>
    </row>
    <row r="40" customFormat="false" ht="15" hidden="false" customHeight="true" outlineLevel="0" collapsed="false">
      <c r="A40" s="26" t="s">
        <v>44</v>
      </c>
      <c r="B40" s="26" t="n">
        <f aca="false">$B$33</f>
        <v>64</v>
      </c>
      <c r="C40" s="26" t="n">
        <f aca="false">SUMIFS('Output Utente'!$O$2:$O$492,'Output Utente'!$B$2:$B$492,"D",'Output Utente'!$V$2:$V$492,"&lt;="&amp;$B40)</f>
        <v>1998</v>
      </c>
    </row>
    <row r="41" customFormat="false" ht="15" hidden="false" customHeight="true" outlineLevel="0" collapsed="false">
      <c r="A41" s="26" t="s">
        <v>45</v>
      </c>
      <c r="B41" s="26" t="n">
        <f aca="false">$B$34</f>
        <v>64</v>
      </c>
      <c r="C41" s="26" t="n">
        <f aca="false">SUMIFS('Output Utente'!$O$2:$O$492,'Output Utente'!$B$2:$B$492,"C",'Output Utente'!$V$2:$V$492,"&lt;="&amp;$B41)</f>
        <v>3678</v>
      </c>
    </row>
    <row r="42" customFormat="false" ht="15" hidden="false" customHeight="true" outlineLevel="0" collapsed="false">
      <c r="A42" s="26" t="s">
        <v>46</v>
      </c>
      <c r="B42" s="26" t="n">
        <f aca="false">$B$35</f>
        <v>48</v>
      </c>
      <c r="C42" s="26" t="n">
        <f aca="false">SUMIFS('Output Utente'!$O$2:$O$492,'Output Utente'!$B$2:$B$492,"A",'Output Utente'!$V$2:$V$492,"&lt;="&amp;$B42)</f>
        <v>4604</v>
      </c>
    </row>
    <row r="43" customFormat="false" ht="35.25" hidden="false" customHeight="true" outlineLevel="0" collapsed="false">
      <c r="A43" s="38" t="s">
        <v>696</v>
      </c>
      <c r="B43" s="38" t="n">
        <f aca="false">SUM($C$39:$C$42)</f>
        <v>10969</v>
      </c>
      <c r="C43" s="41" t="s">
        <v>697</v>
      </c>
    </row>
    <row r="44" customFormat="false" ht="15" hidden="false" customHeight="true" outlineLevel="0" collapsed="false">
      <c r="A44" s="26" t="s">
        <v>698</v>
      </c>
      <c r="B44" s="38" t="n">
        <f aca="false">'Info Lega'!$B$3*'Info Lega'!$B$4</f>
        <v>8000</v>
      </c>
    </row>
    <row r="46" customFormat="false" ht="32.25" hidden="false" customHeight="true" outlineLevel="0" collapsed="false">
      <c r="A46" s="7" t="s">
        <v>699</v>
      </c>
      <c r="B46" s="42" t="n">
        <v>2</v>
      </c>
      <c r="C46" s="43" t="s">
        <v>700</v>
      </c>
    </row>
    <row r="47" customFormat="false" ht="14.25" hidden="false" customHeight="true" outlineLevel="0" collapsed="false">
      <c r="A47" s="7" t="s">
        <v>701</v>
      </c>
      <c r="B47" s="42" t="n">
        <v>1</v>
      </c>
    </row>
    <row r="48" customFormat="false" ht="42.75" hidden="false" customHeight="true" outlineLevel="0" collapsed="false">
      <c r="A48" s="8" t="s">
        <v>702</v>
      </c>
      <c r="C48" s="43" t="s">
        <v>703</v>
      </c>
    </row>
    <row r="49" customFormat="false" ht="14.25" hidden="false" customHeight="true" outlineLevel="0" collapsed="false">
      <c r="A49" s="12" t="s">
        <v>35</v>
      </c>
      <c r="B49" s="12" t="s">
        <v>704</v>
      </c>
    </row>
    <row r="50" customFormat="false" ht="14.25" hidden="false" customHeight="true" outlineLevel="0" collapsed="false">
      <c r="A50" s="7" t="s">
        <v>43</v>
      </c>
      <c r="B50" s="44" t="n">
        <v>0.093</v>
      </c>
    </row>
    <row r="51" customFormat="false" ht="14.25" hidden="false" customHeight="true" outlineLevel="0" collapsed="false">
      <c r="A51" s="7" t="s">
        <v>44</v>
      </c>
      <c r="B51" s="44" t="n">
        <v>0.116</v>
      </c>
    </row>
    <row r="52" customFormat="false" ht="14.25" hidden="false" customHeight="true" outlineLevel="0" collapsed="false">
      <c r="A52" s="7" t="s">
        <v>45</v>
      </c>
      <c r="B52" s="44" t="n">
        <v>0.278</v>
      </c>
    </row>
    <row r="53" customFormat="false" ht="14.25" hidden="false" customHeight="true" outlineLevel="0" collapsed="false">
      <c r="A53" s="7" t="s">
        <v>46</v>
      </c>
      <c r="B53" s="44" t="n">
        <v>0.515</v>
      </c>
    </row>
    <row r="55" customFormat="false" ht="42.75" hidden="false" customHeight="true" outlineLevel="0" collapsed="false">
      <c r="A55" s="8" t="s">
        <v>705</v>
      </c>
      <c r="C55" s="43" t="s">
        <v>706</v>
      </c>
    </row>
    <row r="56" customFormat="false" ht="30" hidden="false" customHeight="true" outlineLevel="0" collapsed="false">
      <c r="A56" s="12" t="s">
        <v>35</v>
      </c>
      <c r="B56" s="12" t="s">
        <v>707</v>
      </c>
      <c r="C56" s="12" t="s">
        <v>708</v>
      </c>
      <c r="D56" s="12" t="s">
        <v>709</v>
      </c>
      <c r="E56" s="12" t="s">
        <v>710</v>
      </c>
      <c r="F56" s="12" t="s">
        <v>711</v>
      </c>
    </row>
    <row r="57" customFormat="false" ht="14.25" hidden="false" customHeight="true" outlineLevel="0" collapsed="false">
      <c r="A57" s="7" t="s">
        <v>43</v>
      </c>
      <c r="B57" s="7" t="n">
        <f aca="false">1</f>
        <v>1</v>
      </c>
      <c r="C57" s="7" t="n">
        <f aca="false">'Info Lega'!$B$3*$B57</f>
        <v>8</v>
      </c>
      <c r="D57" s="44" t="n">
        <v>0.88</v>
      </c>
      <c r="E57" s="7" t="n">
        <f aca="false">SUMIFS('Output Utente'!$O$2:$O$492,'Output Utente'!$B$2:$B$492,"P",'Output Utente'!$V$2:$V$492,"&lt;="&amp;$C57)</f>
        <v>416</v>
      </c>
      <c r="F57" s="7" t="n">
        <f aca="false">$C$39-$E57</f>
        <v>273</v>
      </c>
    </row>
    <row r="58" customFormat="false" ht="14.25" hidden="false" customHeight="true" outlineLevel="0" collapsed="false">
      <c r="A58" s="7" t="s">
        <v>44</v>
      </c>
      <c r="B58" s="7" t="str">
        <f aca="false">'Info Strategia'!$B$2</f>
        <v>3</v>
      </c>
      <c r="C58" s="7" t="n">
        <f aca="false">'Info Lega'!$B$3*$B58</f>
        <v>24</v>
      </c>
      <c r="D58" s="44" t="n">
        <v>0.85</v>
      </c>
      <c r="E58" s="7" t="n">
        <f aca="false">SUMIFS('Output Utente'!$O$2:$O$492,'Output Utente'!$B$2:$B$492,"D",'Output Utente'!$V$2:$V$492,"&lt;="&amp;$C58)</f>
        <v>1196</v>
      </c>
      <c r="F58" s="7" t="n">
        <f aca="false">$C$40-$E58</f>
        <v>802</v>
      </c>
    </row>
    <row r="59" customFormat="false" ht="14.25" hidden="false" customHeight="true" outlineLevel="0" collapsed="false">
      <c r="A59" s="7" t="s">
        <v>45</v>
      </c>
      <c r="B59" s="7" t="str">
        <f aca="false">'Info Strategia'!$B$3</f>
        <v>4</v>
      </c>
      <c r="C59" s="7" t="n">
        <f aca="false">'Info Lega'!$B$3*$B59</f>
        <v>32</v>
      </c>
      <c r="D59" s="44" t="n">
        <v>0.95</v>
      </c>
      <c r="E59" s="7" t="n">
        <f aca="false">SUMIFS('Output Utente'!$O$2:$O$492,'Output Utente'!$B$2:$B$492,"C",'Output Utente'!$V$2:$V$492,"&lt;="&amp;$C59)</f>
        <v>2897</v>
      </c>
      <c r="F59" s="7" t="n">
        <f aca="false">$C$41-$E59</f>
        <v>781</v>
      </c>
    </row>
    <row r="60" customFormat="false" ht="14.25" hidden="false" customHeight="true" outlineLevel="0" collapsed="false">
      <c r="A60" s="7" t="s">
        <v>46</v>
      </c>
      <c r="B60" s="7" t="str">
        <f aca="false">'Info Strategia'!$B$4</f>
        <v>3</v>
      </c>
      <c r="C60" s="7" t="n">
        <f aca="false">'Info Lega'!$B$3*$B60</f>
        <v>24</v>
      </c>
      <c r="D60" s="44" t="n">
        <v>0.93</v>
      </c>
      <c r="E60" s="7" t="n">
        <f aca="false">SUMIFS('Output Utente'!$O$2:$O$492,'Output Utente'!$B$2:$B$492,"A",'Output Utente'!$V$2:$V$492,"&lt;="&amp;$C60)</f>
        <v>3713</v>
      </c>
      <c r="F60" s="7" t="n">
        <f aca="false">$C$42-$E60</f>
        <v>891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328125" defaultRowHeight="14.25" zeroHeight="false" outlineLevelRow="0" outlineLevelCol="0"/>
  <cols>
    <col collapsed="false" customWidth="true" hidden="false" outlineLevel="0" max="1" min="1" style="1" width="4"/>
    <col collapsed="false" customWidth="true" hidden="false" outlineLevel="0" max="2" min="2" style="1" width="7"/>
    <col collapsed="false" customWidth="true" hidden="false" outlineLevel="0" max="3" min="3" style="1" width="4"/>
    <col collapsed="false" customWidth="true" hidden="false" outlineLevel="0" max="4" min="4" style="1" width="20"/>
    <col collapsed="false" customWidth="true" hidden="false" outlineLevel="0" max="5" min="5" style="1" width="16"/>
    <col collapsed="false" customWidth="true" hidden="false" outlineLevel="0" max="6" min="6" style="1" width="7"/>
    <col collapsed="false" customWidth="true" hidden="false" outlineLevel="0" max="7" min="7" style="1" width="9"/>
    <col collapsed="false" customWidth="true" hidden="false" outlineLevel="0" max="8" min="8" style="1" width="16"/>
    <col collapsed="false" customWidth="true" hidden="false" outlineLevel="0" max="9" min="9" style="1" width="11"/>
    <col collapsed="false" customWidth="true" hidden="false" outlineLevel="0" max="11" min="10" style="1" width="13"/>
    <col collapsed="false" customWidth="true" hidden="false" outlineLevel="0" max="12" min="12" style="1" width="10"/>
    <col collapsed="false" customWidth="true" hidden="false" outlineLevel="0" max="13" min="13" style="1" width="14"/>
    <col collapsed="false" customWidth="true" hidden="false" outlineLevel="0" max="14" min="14" style="1" width="18"/>
  </cols>
  <sheetData>
    <row r="1" customFormat="false" ht="21.75" hidden="false" customHeight="true" outlineLevel="0" collapsed="false">
      <c r="A1" s="45" t="s">
        <v>712</v>
      </c>
      <c r="B1" s="45"/>
      <c r="C1" s="45"/>
      <c r="D1" s="45"/>
      <c r="E1" s="45"/>
      <c r="F1" s="45"/>
      <c r="G1" s="45"/>
      <c r="H1" s="45"/>
      <c r="I1" s="45"/>
      <c r="J1" s="45"/>
      <c r="K1" s="45"/>
    </row>
    <row r="3" customFormat="false" ht="15" hidden="false" customHeight="true" outlineLevel="0" collapsed="false">
      <c r="A3" s="12" t="s">
        <v>713</v>
      </c>
      <c r="B3" s="12" t="s">
        <v>105</v>
      </c>
      <c r="C3" s="12" t="s">
        <v>106</v>
      </c>
      <c r="D3" s="12" t="s">
        <v>107</v>
      </c>
      <c r="E3" s="12" t="s">
        <v>714</v>
      </c>
      <c r="F3" s="12" t="s">
        <v>109</v>
      </c>
      <c r="G3" s="12" t="s">
        <v>111</v>
      </c>
      <c r="H3" s="12" t="s">
        <v>20</v>
      </c>
      <c r="I3" s="12" t="s">
        <v>625</v>
      </c>
      <c r="J3" s="12" t="s">
        <v>626</v>
      </c>
      <c r="K3" s="12" t="s">
        <v>627</v>
      </c>
      <c r="L3" s="12" t="s">
        <v>624</v>
      </c>
      <c r="M3" s="12" t="s">
        <v>715</v>
      </c>
      <c r="N3" s="12" t="s">
        <v>647</v>
      </c>
    </row>
    <row r="4" customFormat="false" ht="15" hidden="false" customHeight="true" outlineLevel="0" collapsed="false">
      <c r="A4" s="46" t="n">
        <v>1</v>
      </c>
      <c r="B4" s="7" t="n">
        <f aca="false">IFERROR(INDEX('Output Utente'!$A$2:$A$492,MATCH(1,'Output Utente'!$Q$2:$Q$492,0)),"")</f>
        <v>2764</v>
      </c>
      <c r="C4" s="7" t="str">
        <f aca="false">IFERROR(INDEX('Output Utente'!$B$2:$B$492,MATCH(1,'Output Utente'!$Q$2:$Q$492,0)),"")</f>
        <v>A</v>
      </c>
      <c r="D4" s="7" t="str">
        <f aca="false">IFERROR(INDEX('Output Utente'!$C$2:$C$492,MATCH(1,'Output Utente'!$Q$2:$Q$492,0)),"")</f>
        <v>Martinez L.</v>
      </c>
      <c r="E4" s="7" t="str">
        <f aca="false">IFERROR(INDEX('Input Giocatori 2026_27'!$D$3:$D$493,MATCH($B4,'Input Giocatori 2026_27'!$A$3:$A$493,0)),"")</f>
        <v>Inter</v>
      </c>
      <c r="F4" s="47" t="n">
        <f aca="false">IFERROR(INDEX('Output Utente'!$N$2:$N$492,MATCH(1,'Output Utente'!$Q$2:$Q$492,0)),"")</f>
        <v>35</v>
      </c>
      <c r="G4" s="47" t="n">
        <f aca="false">IFERROR(INDEX('Output Utente'!$O$2:$O$492,MATCH(1,'Output Utente'!$Q$2:$Q$492,0)),"")</f>
        <v>370</v>
      </c>
      <c r="H4" s="7" t="str">
        <f aca="false">IFERROR(INDEX('Output Utente'!$P$2:$P$492,MATCH(1,'Output Utente'!$Q$2:$Q$492,0)),"")</f>
        <v>Top</v>
      </c>
      <c r="I4" s="47" t="n">
        <f aca="false">IFERROR(INDEX('Output Utente'!$F$2:$F$492,MATCH(1,'Output Utente'!$Q$2:$Q$492,0)),"")</f>
        <v>397</v>
      </c>
      <c r="J4" s="47" t="n">
        <f aca="false">IFERROR(INDEX('Output Utente'!$G$2:$G$492,MATCH(1,'Output Utente'!$Q$2:$Q$492,0)),"")</f>
        <v>248</v>
      </c>
      <c r="K4" s="47" t="n">
        <f aca="false">IFERROR(INDEX('Output Utente'!$H$2:$H$492,MATCH(1,'Output Utente'!$Q$2:$Q$492,0)),"")</f>
        <v>461</v>
      </c>
      <c r="L4" s="7" t="str">
        <f aca="false">IFERROR(INDEX('Output Utente'!$E$2:$E$492,MATCH(1,'Output Utente'!$Q$2:$Q$492,0)),"")</f>
        <v>NO</v>
      </c>
      <c r="M4" s="7" t="str">
        <f aca="false">IFERROR(INDEX('Output Utente'!$U$2:$U$492,MATCH(1,'Output Utente'!$Q$2:$Q$492,0)),"")</f>
        <v>Rischio Alto</v>
      </c>
      <c r="N4" s="7" t="str">
        <f aca="false">IFERROR(INDEX('Output Utente'!$AE$2:$AE$492,MATCH(1,'Output Utente'!$Q$2:$Q$492,0)),"")</f>
        <v>🔴 Non aspettare</v>
      </c>
    </row>
    <row r="5" customFormat="false" ht="15" hidden="false" customHeight="true" outlineLevel="0" collapsed="false">
      <c r="A5" s="46" t="n">
        <v>2</v>
      </c>
      <c r="B5" s="7" t="n">
        <f aca="false">IFERROR(INDEX('Output Utente'!$A$2:$A$492,MATCH(2,'Output Utente'!$Q$2:$Q$492,0)),"")</f>
        <v>5585</v>
      </c>
      <c r="C5" s="7" t="str">
        <f aca="false">IFERROR(INDEX('Output Utente'!$B$2:$B$492,MATCH(2,'Output Utente'!$Q$2:$Q$492,0)),"")</f>
        <v>A</v>
      </c>
      <c r="D5" s="7" t="str">
        <f aca="false">IFERROR(INDEX('Output Utente'!$C$2:$C$492,MATCH(2,'Output Utente'!$Q$2:$Q$492,0)),"")</f>
        <v>Malen</v>
      </c>
      <c r="E5" s="7" t="str">
        <f aca="false">IFERROR(INDEX('Input Giocatori 2026_27'!$D$3:$D$493,MATCH($B5,'Input Giocatori 2026_27'!$A$3:$A$493,0)),"")</f>
        <v>Roma</v>
      </c>
      <c r="F5" s="47" t="n">
        <f aca="false">IFERROR(INDEX('Output Utente'!$N$2:$N$492,MATCH(2,'Output Utente'!$Q$2:$Q$492,0)),"")</f>
        <v>34</v>
      </c>
      <c r="G5" s="47" t="n">
        <f aca="false">IFERROR(INDEX('Output Utente'!$O$2:$O$492,MATCH(2,'Output Utente'!$Q$2:$Q$492,0)),"")</f>
        <v>365</v>
      </c>
      <c r="H5" s="7" t="str">
        <f aca="false">IFERROR(INDEX('Output Utente'!$P$2:$P$492,MATCH(2,'Output Utente'!$Q$2:$Q$492,0)),"")</f>
        <v>Top</v>
      </c>
      <c r="I5" s="47" t="n">
        <f aca="false">IFERROR(INDEX('Output Utente'!$F$2:$F$492,MATCH(2,'Output Utente'!$Q$2:$Q$492,0)),"")</f>
        <v>400</v>
      </c>
      <c r="J5" s="47" t="n">
        <f aca="false">IFERROR(INDEX('Output Utente'!$G$2:$G$492,MATCH(2,'Output Utente'!$Q$2:$Q$492,0)),"")</f>
        <v>250</v>
      </c>
      <c r="K5" s="47" t="n">
        <f aca="false">IFERROR(INDEX('Output Utente'!$H$2:$H$492,MATCH(2,'Output Utente'!$Q$2:$Q$492,0)),"")</f>
        <v>464</v>
      </c>
      <c r="L5" s="7" t="str">
        <f aca="false">IFERROR(INDEX('Output Utente'!$E$2:$E$492,MATCH(2,'Output Utente'!$Q$2:$Q$492,0)),"")</f>
        <v>NO</v>
      </c>
      <c r="M5" s="7" t="str">
        <f aca="false">IFERROR(INDEX('Output Utente'!$U$2:$U$492,MATCH(2,'Output Utente'!$Q$2:$Q$492,0)),"")</f>
        <v>Rischio Alto</v>
      </c>
      <c r="N5" s="7" t="str">
        <f aca="false">IFERROR(INDEX('Output Utente'!$AE$2:$AE$492,MATCH(2,'Output Utente'!$Q$2:$Q$492,0)),"")</f>
        <v>🔴 Non aspettare</v>
      </c>
    </row>
    <row r="6" customFormat="false" ht="15" hidden="false" customHeight="true" outlineLevel="0" collapsed="false">
      <c r="A6" s="46" t="n">
        <v>3</v>
      </c>
      <c r="B6" s="7" t="n">
        <f aca="false">IFERROR(INDEX('Output Utente'!$A$2:$A$492,MATCH(3,'Output Utente'!$Q$2:$Q$492,0)),"")</f>
        <v>4871</v>
      </c>
      <c r="C6" s="7" t="str">
        <f aca="false">IFERROR(INDEX('Output Utente'!$B$2:$B$492,MATCH(3,'Output Utente'!$Q$2:$Q$492,0)),"")</f>
        <v>A</v>
      </c>
      <c r="D6" s="7" t="str">
        <f aca="false">IFERROR(INDEX('Output Utente'!$C$2:$C$492,MATCH(3,'Output Utente'!$Q$2:$Q$492,0)),"")</f>
        <v>Thuram</v>
      </c>
      <c r="E6" s="7" t="str">
        <f aca="false">IFERROR(INDEX('Input Giocatori 2026_27'!$D$3:$D$493,MATCH($B6,'Input Giocatori 2026_27'!$A$3:$A$493,0)),"")</f>
        <v>Inter</v>
      </c>
      <c r="F6" s="47" t="n">
        <f aca="false">IFERROR(INDEX('Output Utente'!$N$2:$N$492,MATCH(3,'Output Utente'!$Q$2:$Q$492,0)),"")</f>
        <v>29</v>
      </c>
      <c r="G6" s="47" t="n">
        <f aca="false">IFERROR(INDEX('Output Utente'!$O$2:$O$492,MATCH(3,'Output Utente'!$Q$2:$Q$492,0)),"")</f>
        <v>280</v>
      </c>
      <c r="H6" s="7" t="str">
        <f aca="false">IFERROR(INDEX('Output Utente'!$P$2:$P$492,MATCH(3,'Output Utente'!$Q$2:$Q$492,0)),"")</f>
        <v>Top</v>
      </c>
      <c r="I6" s="47" t="n">
        <f aca="false">IFERROR(INDEX('Output Utente'!$F$2:$F$492,MATCH(3,'Output Utente'!$Q$2:$Q$492,0)),"")</f>
        <v>298</v>
      </c>
      <c r="J6" s="47" t="n">
        <f aca="false">IFERROR(INDEX('Output Utente'!$G$2:$G$492,MATCH(3,'Output Utente'!$Q$2:$Q$492,0)),"")</f>
        <v>186</v>
      </c>
      <c r="K6" s="47" t="n">
        <f aca="false">IFERROR(INDEX('Output Utente'!$H$2:$H$492,MATCH(3,'Output Utente'!$Q$2:$Q$492,0)),"")</f>
        <v>346</v>
      </c>
      <c r="L6" s="7" t="str">
        <f aca="false">IFERROR(INDEX('Output Utente'!$E$2:$E$492,MATCH(3,'Output Utente'!$Q$2:$Q$492,0)),"")</f>
        <v>NO</v>
      </c>
      <c r="M6" s="7" t="str">
        <f aca="false">IFERROR(INDEX('Output Utente'!$U$2:$U$492,MATCH(3,'Output Utente'!$Q$2:$Q$492,0)),"")</f>
        <v>Rischio Alto</v>
      </c>
      <c r="N6" s="7" t="str">
        <f aca="false">IFERROR(INDEX('Output Utente'!$AE$2:$AE$492,MATCH(3,'Output Utente'!$Q$2:$Q$492,0)),"")</f>
        <v>🔴 Non aspettare</v>
      </c>
    </row>
    <row r="7" customFormat="false" ht="15" hidden="false" customHeight="true" outlineLevel="0" collapsed="false">
      <c r="A7" s="46" t="n">
        <v>4</v>
      </c>
      <c r="B7" s="7" t="n">
        <f aca="false">IFERROR(INDEX('Output Utente'!$A$2:$A$492,MATCH(4,'Output Utente'!$Q$2:$Q$492,0)),"")</f>
        <v>6052</v>
      </c>
      <c r="C7" s="7" t="str">
        <f aca="false">IFERROR(INDEX('Output Utente'!$B$2:$B$492,MATCH(4,'Output Utente'!$Q$2:$Q$492,0)),"")</f>
        <v>A</v>
      </c>
      <c r="D7" s="7" t="str">
        <f aca="false">IFERROR(INDEX('Output Utente'!$C$2:$C$492,MATCH(4,'Output Utente'!$Q$2:$Q$492,0)),"")</f>
        <v>Hojlund</v>
      </c>
      <c r="E7" s="7" t="str">
        <f aca="false">IFERROR(INDEX('Input Giocatori 2026_27'!$D$3:$D$493,MATCH($B7,'Input Giocatori 2026_27'!$A$3:$A$493,0)),"")</f>
        <v>Napoli</v>
      </c>
      <c r="F7" s="47" t="n">
        <f aca="false">IFERROR(INDEX('Output Utente'!$N$2:$N$492,MATCH(4,'Output Utente'!$Q$2:$Q$492,0)),"")</f>
        <v>28</v>
      </c>
      <c r="G7" s="47" t="n">
        <f aca="false">IFERROR(INDEX('Output Utente'!$O$2:$O$492,MATCH(4,'Output Utente'!$Q$2:$Q$492,0)),"")</f>
        <v>271</v>
      </c>
      <c r="H7" s="7" t="str">
        <f aca="false">IFERROR(INDEX('Output Utente'!$P$2:$P$492,MATCH(4,'Output Utente'!$Q$2:$Q$492,0)),"")</f>
        <v>Top</v>
      </c>
      <c r="I7" s="47" t="n">
        <f aca="false">IFERROR(INDEX('Output Utente'!$F$2:$F$492,MATCH(4,'Output Utente'!$Q$2:$Q$492,0)),"")</f>
        <v>284</v>
      </c>
      <c r="J7" s="47" t="n">
        <f aca="false">IFERROR(INDEX('Output Utente'!$G$2:$G$492,MATCH(4,'Output Utente'!$Q$2:$Q$492,0)),"")</f>
        <v>178</v>
      </c>
      <c r="K7" s="47" t="n">
        <f aca="false">IFERROR(INDEX('Output Utente'!$H$2:$H$492,MATCH(4,'Output Utente'!$Q$2:$Q$492,0)),"")</f>
        <v>330</v>
      </c>
      <c r="L7" s="7" t="str">
        <f aca="false">IFERROR(INDEX('Output Utente'!$E$2:$E$492,MATCH(4,'Output Utente'!$Q$2:$Q$492,0)),"")</f>
        <v>NO</v>
      </c>
      <c r="M7" s="7" t="str">
        <f aca="false">IFERROR(INDEX('Output Utente'!$U$2:$U$492,MATCH(4,'Output Utente'!$Q$2:$Q$492,0)),"")</f>
        <v>Rischio Alto</v>
      </c>
      <c r="N7" s="7" t="str">
        <f aca="false">IFERROR(INDEX('Output Utente'!$AE$2:$AE$492,MATCH(4,'Output Utente'!$Q$2:$Q$492,0)),"")</f>
        <v>🔴 Non aspettare</v>
      </c>
    </row>
    <row r="8" customFormat="false" ht="15" hidden="false" customHeight="true" outlineLevel="0" collapsed="false">
      <c r="A8" s="46" t="n">
        <v>5</v>
      </c>
      <c r="B8" s="7" t="n">
        <f aca="false">IFERROR(INDEX('Output Utente'!$A$2:$A$492,MATCH(5,'Output Utente'!$Q$2:$Q$492,0)),"")</f>
        <v>254</v>
      </c>
      <c r="C8" s="7" t="str">
        <f aca="false">IFERROR(INDEX('Output Utente'!$B$2:$B$492,MATCH(5,'Output Utente'!$Q$2:$Q$492,0)),"")</f>
        <v>D</v>
      </c>
      <c r="D8" s="7" t="str">
        <f aca="false">IFERROR(INDEX('Output Utente'!$C$2:$C$492,MATCH(5,'Output Utente'!$Q$2:$Q$492,0)),"")</f>
        <v>Dimarco</v>
      </c>
      <c r="E8" s="7" t="str">
        <f aca="false">IFERROR(INDEX('Input Giocatori 2026_27'!$D$3:$D$493,MATCH($B8,'Input Giocatori 2026_27'!$A$3:$A$493,0)),"")</f>
        <v>Inter</v>
      </c>
      <c r="F8" s="47" t="n">
        <f aca="false">IFERROR(INDEX('Output Utente'!$N$2:$N$492,MATCH(5,'Output Utente'!$Q$2:$Q$492,0)),"")</f>
        <v>32</v>
      </c>
      <c r="G8" s="47" t="n">
        <f aca="false">IFERROR(INDEX('Output Utente'!$O$2:$O$492,MATCH(5,'Output Utente'!$Q$2:$Q$492,0)),"")</f>
        <v>265</v>
      </c>
      <c r="H8" s="7" t="str">
        <f aca="false">IFERROR(INDEX('Output Utente'!$P$2:$P$492,MATCH(5,'Output Utente'!$Q$2:$Q$492,0)),"")</f>
        <v>Top</v>
      </c>
      <c r="I8" s="47" t="n">
        <f aca="false">IFERROR(INDEX('Output Utente'!$F$2:$F$492,MATCH(5,'Output Utente'!$Q$2:$Q$492,0)),"")</f>
        <v>190</v>
      </c>
      <c r="J8" s="47" t="n">
        <f aca="false">IFERROR(INDEX('Output Utente'!$G$2:$G$492,MATCH(5,'Output Utente'!$Q$2:$Q$492,0)),"")</f>
        <v>141</v>
      </c>
      <c r="K8" s="47" t="n">
        <f aca="false">IFERROR(INDEX('Output Utente'!$H$2:$H$492,MATCH(5,'Output Utente'!$Q$2:$Q$492,0)),"")</f>
        <v>211</v>
      </c>
      <c r="L8" s="7" t="str">
        <f aca="false">IFERROR(INDEX('Output Utente'!$E$2:$E$492,MATCH(5,'Output Utente'!$Q$2:$Q$492,0)),"")</f>
        <v>NO</v>
      </c>
      <c r="M8" s="7" t="str">
        <f aca="false">IFERROR(INDEX('Output Utente'!$U$2:$U$492,MATCH(5,'Output Utente'!$Q$2:$Q$492,0)),"")</f>
        <v>Rischio Alto</v>
      </c>
      <c r="N8" s="7" t="str">
        <f aca="false">IFERROR(INDEX('Output Utente'!$AE$2:$AE$492,MATCH(5,'Output Utente'!$Q$2:$Q$492,0)),"")</f>
        <v>🟡 Attesa rischiosa</v>
      </c>
    </row>
    <row r="9" customFormat="false" ht="15" hidden="false" customHeight="true" outlineLevel="0" collapsed="false">
      <c r="A9" s="46" t="n">
        <v>6</v>
      </c>
      <c r="B9" s="7" t="n">
        <f aca="false">IFERROR(INDEX('Output Utente'!$A$2:$A$492,MATCH(6,'Output Utente'!$Q$2:$Q$492,0)),"")</f>
        <v>6875</v>
      </c>
      <c r="C9" s="7" t="str">
        <f aca="false">IFERROR(INDEX('Output Utente'!$B$2:$B$492,MATCH(6,'Output Utente'!$Q$2:$Q$492,0)),"")</f>
        <v>C</v>
      </c>
      <c r="D9" s="7" t="str">
        <f aca="false">IFERROR(INDEX('Output Utente'!$C$2:$C$492,MATCH(6,'Output Utente'!$Q$2:$Q$492,0)),"")</f>
        <v>Paz N.</v>
      </c>
      <c r="E9" s="7" t="str">
        <f aca="false">IFERROR(INDEX('Input Giocatori 2026_27'!$D$3:$D$493,MATCH($B9,'Input Giocatori 2026_27'!$A$3:$A$493,0)),"")</f>
        <v>Como</v>
      </c>
      <c r="F9" s="47" t="n">
        <f aca="false">IFERROR(INDEX('Output Utente'!$N$2:$N$492,MATCH(6,'Output Utente'!$Q$2:$Q$492,0)),"")</f>
        <v>30</v>
      </c>
      <c r="G9" s="47" t="n">
        <f aca="false">IFERROR(INDEX('Output Utente'!$O$2:$O$492,MATCH(6,'Output Utente'!$Q$2:$Q$492,0)),"")</f>
        <v>250</v>
      </c>
      <c r="H9" s="7" t="str">
        <f aca="false">IFERROR(INDEX('Output Utente'!$P$2:$P$492,MATCH(6,'Output Utente'!$Q$2:$Q$492,0)),"")</f>
        <v>Top</v>
      </c>
      <c r="I9" s="47" t="n">
        <f aca="false">IFERROR(INDEX('Output Utente'!$F$2:$F$492,MATCH(6,'Output Utente'!$Q$2:$Q$492,0)),"")</f>
        <v>171</v>
      </c>
      <c r="J9" s="47" t="n">
        <f aca="false">IFERROR(INDEX('Output Utente'!$G$2:$G$492,MATCH(6,'Output Utente'!$Q$2:$Q$492,0)),"")</f>
        <v>116</v>
      </c>
      <c r="K9" s="47" t="n">
        <f aca="false">IFERROR(INDEX('Output Utente'!$H$2:$H$492,MATCH(6,'Output Utente'!$Q$2:$Q$492,0)),"")</f>
        <v>194</v>
      </c>
      <c r="L9" s="7" t="str">
        <f aca="false">IFERROR(INDEX('Output Utente'!$E$2:$E$492,MATCH(6,'Output Utente'!$Q$2:$Q$492,0)),"")</f>
        <v>NO</v>
      </c>
      <c r="M9" s="7" t="str">
        <f aca="false">IFERROR(INDEX('Output Utente'!$U$2:$U$492,MATCH(6,'Output Utente'!$Q$2:$Q$492,0)),"")</f>
        <v>Rischio Alto</v>
      </c>
      <c r="N9" s="7" t="str">
        <f aca="false">IFERROR(INDEX('Output Utente'!$AE$2:$AE$492,MATCH(6,'Output Utente'!$Q$2:$Q$492,0)),"")</f>
        <v>🟡 Attesa rischiosa</v>
      </c>
    </row>
    <row r="10" customFormat="false" ht="15" hidden="false" customHeight="true" outlineLevel="0" collapsed="false">
      <c r="A10" s="46" t="n">
        <v>7</v>
      </c>
      <c r="B10" s="7" t="n">
        <f aca="false">IFERROR(INDEX('Output Utente'!$A$2:$A$492,MATCH(7,'Output Utente'!$Q$2:$Q$492,0)),"")</f>
        <v>4777</v>
      </c>
      <c r="C10" s="7" t="str">
        <f aca="false">IFERROR(INDEX('Output Utente'!$B$2:$B$492,MATCH(7,'Output Utente'!$Q$2:$Q$492,0)),"")</f>
        <v>C</v>
      </c>
      <c r="D10" s="7" t="str">
        <f aca="false">IFERROR(INDEX('Output Utente'!$C$2:$C$492,MATCH(7,'Output Utente'!$Q$2:$Q$492,0)),"")</f>
        <v>McTominay</v>
      </c>
      <c r="E10" s="7" t="str">
        <f aca="false">IFERROR(INDEX('Input Giocatori 2026_27'!$D$3:$D$493,MATCH($B10,'Input Giocatori 2026_27'!$A$3:$A$493,0)),"")</f>
        <v>Napoli</v>
      </c>
      <c r="F10" s="47" t="n">
        <f aca="false">IFERROR(INDEX('Output Utente'!$N$2:$N$492,MATCH(7,'Output Utente'!$Q$2:$Q$492,0)),"")</f>
        <v>28</v>
      </c>
      <c r="G10" s="47" t="n">
        <f aca="false">IFERROR(INDEX('Output Utente'!$O$2:$O$492,MATCH(7,'Output Utente'!$Q$2:$Q$492,0)),"")</f>
        <v>240</v>
      </c>
      <c r="H10" s="7" t="str">
        <f aca="false">IFERROR(INDEX('Output Utente'!$P$2:$P$492,MATCH(7,'Output Utente'!$Q$2:$Q$492,0)),"")</f>
        <v>Top</v>
      </c>
      <c r="I10" s="47" t="n">
        <f aca="false">IFERROR(INDEX('Output Utente'!$F$2:$F$492,MATCH(7,'Output Utente'!$Q$2:$Q$492,0)),"")</f>
        <v>164</v>
      </c>
      <c r="J10" s="47" t="n">
        <f aca="false">IFERROR(INDEX('Output Utente'!$G$2:$G$492,MATCH(7,'Output Utente'!$Q$2:$Q$492,0)),"")</f>
        <v>112</v>
      </c>
      <c r="K10" s="47" t="n">
        <f aca="false">IFERROR(INDEX('Output Utente'!$H$2:$H$492,MATCH(7,'Output Utente'!$Q$2:$Q$492,0)),"")</f>
        <v>186</v>
      </c>
      <c r="L10" s="7" t="str">
        <f aca="false">IFERROR(INDEX('Output Utente'!$E$2:$E$492,MATCH(7,'Output Utente'!$Q$2:$Q$492,0)),"")</f>
        <v>NO</v>
      </c>
      <c r="M10" s="7" t="str">
        <f aca="false">IFERROR(INDEX('Output Utente'!$U$2:$U$492,MATCH(7,'Output Utente'!$Q$2:$Q$492,0)),"")</f>
        <v>Rischio Alto</v>
      </c>
      <c r="N10" s="7" t="str">
        <f aca="false">IFERROR(INDEX('Output Utente'!$AE$2:$AE$492,MATCH(7,'Output Utente'!$Q$2:$Q$492,0)),"")</f>
        <v>🟡 Attesa rischiosa</v>
      </c>
    </row>
    <row r="11" customFormat="false" ht="15" hidden="false" customHeight="true" outlineLevel="0" collapsed="false">
      <c r="A11" s="46" t="n">
        <v>8</v>
      </c>
      <c r="B11" s="7" t="n">
        <f aca="false">IFERROR(INDEX('Output Utente'!$A$2:$A$492,MATCH(8,'Output Utente'!$Q$2:$Q$492,0)),"")</f>
        <v>6397</v>
      </c>
      <c r="C11" s="7" t="str">
        <f aca="false">IFERROR(INDEX('Output Utente'!$B$2:$B$492,MATCH(8,'Output Utente'!$Q$2:$Q$492,0)),"")</f>
        <v>A</v>
      </c>
      <c r="D11" s="7" t="str">
        <f aca="false">IFERROR(INDEX('Output Utente'!$C$2:$C$492,MATCH(8,'Output Utente'!$Q$2:$Q$492,0)),"")</f>
        <v>Ramos G.</v>
      </c>
      <c r="E11" s="7" t="str">
        <f aca="false">IFERROR(INDEX('Input Giocatori 2026_27'!$D$3:$D$493,MATCH($B11,'Input Giocatori 2026_27'!$A$3:$A$493,0)),"")</f>
        <v>Milan</v>
      </c>
      <c r="F11" s="47" t="n">
        <f aca="false">IFERROR(INDEX('Output Utente'!$N$2:$N$492,MATCH(8,'Output Utente'!$Q$2:$Q$492,0)),"")</f>
        <v>27</v>
      </c>
      <c r="G11" s="47" t="n">
        <f aca="false">IFERROR(INDEX('Output Utente'!$O$2:$O$492,MATCH(8,'Output Utente'!$Q$2:$Q$492,0)),"")</f>
        <v>240</v>
      </c>
      <c r="H11" s="7" t="str">
        <f aca="false">IFERROR(INDEX('Output Utente'!$P$2:$P$492,MATCH(8,'Output Utente'!$Q$2:$Q$492,0)),"")</f>
        <v>Top</v>
      </c>
      <c r="I11" s="47" t="n">
        <f aca="false">IFERROR(INDEX('Output Utente'!$F$2:$F$492,MATCH(8,'Output Utente'!$Q$2:$Q$492,0)),"")</f>
        <v>246</v>
      </c>
      <c r="J11" s="47" t="n">
        <f aca="false">IFERROR(INDEX('Output Utente'!$G$2:$G$492,MATCH(8,'Output Utente'!$Q$2:$Q$492,0)),"")</f>
        <v>154</v>
      </c>
      <c r="K11" s="47" t="n">
        <f aca="false">IFERROR(INDEX('Output Utente'!$H$2:$H$492,MATCH(8,'Output Utente'!$Q$2:$Q$492,0)),"")</f>
        <v>286</v>
      </c>
      <c r="L11" s="7" t="str">
        <f aca="false">IFERROR(INDEX('Output Utente'!$E$2:$E$492,MATCH(8,'Output Utente'!$Q$2:$Q$492,0)),"")</f>
        <v>NO</v>
      </c>
      <c r="M11" s="7" t="str">
        <f aca="false">IFERROR(INDEX('Output Utente'!$U$2:$U$492,MATCH(8,'Output Utente'!$Q$2:$Q$492,0)),"")</f>
        <v>Rischio Alto</v>
      </c>
      <c r="N11" s="7" t="str">
        <f aca="false">IFERROR(INDEX('Output Utente'!$AE$2:$AE$492,MATCH(8,'Output Utente'!$Q$2:$Q$492,0)),"")</f>
        <v>🔴 Non aspettare</v>
      </c>
    </row>
    <row r="12" customFormat="false" ht="15" hidden="false" customHeight="true" outlineLevel="0" collapsed="false">
      <c r="A12" s="46" t="n">
        <v>9</v>
      </c>
      <c r="B12" s="7" t="n">
        <f aca="false">IFERROR(INDEX('Output Utente'!$A$2:$A$492,MATCH(9,'Output Utente'!$Q$2:$Q$492,0)),"")</f>
        <v>2194</v>
      </c>
      <c r="C12" s="7" t="str">
        <f aca="false">IFERROR(INDEX('Output Utente'!$B$2:$B$492,MATCH(9,'Output Utente'!$Q$2:$Q$492,0)),"")</f>
        <v>C</v>
      </c>
      <c r="D12" s="7" t="str">
        <f aca="false">IFERROR(INDEX('Output Utente'!$C$2:$C$492,MATCH(9,'Output Utente'!$Q$2:$Q$492,0)),"")</f>
        <v>Calhanoglu</v>
      </c>
      <c r="E12" s="7" t="str">
        <f aca="false">IFERROR(INDEX('Input Giocatori 2026_27'!$D$3:$D$493,MATCH($B12,'Input Giocatori 2026_27'!$A$3:$A$493,0)),"")</f>
        <v>Inter</v>
      </c>
      <c r="F12" s="47" t="n">
        <f aca="false">IFERROR(INDEX('Output Utente'!$N$2:$N$492,MATCH(9,'Output Utente'!$Q$2:$Q$492,0)),"")</f>
        <v>27</v>
      </c>
      <c r="G12" s="47" t="n">
        <f aca="false">IFERROR(INDEX('Output Utente'!$O$2:$O$492,MATCH(9,'Output Utente'!$Q$2:$Q$492,0)),"")</f>
        <v>230</v>
      </c>
      <c r="H12" s="7" t="str">
        <f aca="false">IFERROR(INDEX('Output Utente'!$P$2:$P$492,MATCH(9,'Output Utente'!$Q$2:$Q$492,0)),"")</f>
        <v>Top</v>
      </c>
      <c r="I12" s="47" t="n">
        <f aca="false">IFERROR(INDEX('Output Utente'!$F$2:$F$492,MATCH(9,'Output Utente'!$Q$2:$Q$492,0)),"")</f>
        <v>158</v>
      </c>
      <c r="J12" s="47" t="n">
        <f aca="false">IFERROR(INDEX('Output Utente'!$G$2:$G$492,MATCH(9,'Output Utente'!$Q$2:$Q$492,0)),"")</f>
        <v>108</v>
      </c>
      <c r="K12" s="47" t="n">
        <f aca="false">IFERROR(INDEX('Output Utente'!$H$2:$H$492,MATCH(9,'Output Utente'!$Q$2:$Q$492,0)),"")</f>
        <v>180</v>
      </c>
      <c r="L12" s="7" t="str">
        <f aca="false">IFERROR(INDEX('Output Utente'!$E$2:$E$492,MATCH(9,'Output Utente'!$Q$2:$Q$492,0)),"")</f>
        <v>NO</v>
      </c>
      <c r="M12" s="7" t="str">
        <f aca="false">IFERROR(INDEX('Output Utente'!$U$2:$U$492,MATCH(9,'Output Utente'!$Q$2:$Q$492,0)),"")</f>
        <v>Rischio Alto</v>
      </c>
      <c r="N12" s="7" t="str">
        <f aca="false">IFERROR(INDEX('Output Utente'!$AE$2:$AE$492,MATCH(9,'Output Utente'!$Q$2:$Q$492,0)),"")</f>
        <v>🟡 Attesa rischiosa</v>
      </c>
    </row>
    <row r="13" customFormat="false" ht="15" hidden="false" customHeight="true" outlineLevel="0" collapsed="false">
      <c r="A13" s="46" t="n">
        <v>10</v>
      </c>
      <c r="B13" s="7" t="n">
        <f aca="false">IFERROR(INDEX('Output Utente'!$A$2:$A$492,MATCH(10,'Output Utente'!$Q$2:$Q$492,0)),"")</f>
        <v>5951</v>
      </c>
      <c r="C13" s="7" t="str">
        <f aca="false">IFERROR(INDEX('Output Utente'!$B$2:$B$492,MATCH(10,'Output Utente'!$Q$2:$Q$492,0)),"")</f>
        <v>A</v>
      </c>
      <c r="D13" s="7" t="str">
        <f aca="false">IFERROR(INDEX('Output Utente'!$C$2:$C$492,MATCH(10,'Output Utente'!$Q$2:$Q$492,0)),"")</f>
        <v>Kolo Muani</v>
      </c>
      <c r="E13" s="7" t="str">
        <f aca="false">IFERROR(INDEX('Input Giocatori 2026_27'!$D$3:$D$493,MATCH($B13,'Input Giocatori 2026_27'!$A$3:$A$493,0)),"")</f>
        <v>Juventus</v>
      </c>
      <c r="F13" s="47" t="n">
        <f aca="false">IFERROR(INDEX('Output Utente'!$N$2:$N$492,MATCH(10,'Output Utente'!$Q$2:$Q$492,0)),"")</f>
        <v>26</v>
      </c>
      <c r="G13" s="47" t="n">
        <f aca="false">IFERROR(INDEX('Output Utente'!$O$2:$O$492,MATCH(10,'Output Utente'!$Q$2:$Q$492,0)),"")</f>
        <v>225</v>
      </c>
      <c r="H13" s="7" t="str">
        <f aca="false">IFERROR(INDEX('Output Utente'!$P$2:$P$492,MATCH(10,'Output Utente'!$Q$2:$Q$492,0)),"")</f>
        <v>Top</v>
      </c>
      <c r="I13" s="47" t="n">
        <f aca="false">IFERROR(INDEX('Output Utente'!$F$2:$F$492,MATCH(10,'Output Utente'!$Q$2:$Q$492,0)),"")</f>
        <v>231</v>
      </c>
      <c r="J13" s="47" t="n">
        <f aca="false">IFERROR(INDEX('Output Utente'!$G$2:$G$492,MATCH(10,'Output Utente'!$Q$2:$Q$492,0)),"")</f>
        <v>144</v>
      </c>
      <c r="K13" s="47" t="n">
        <f aca="false">IFERROR(INDEX('Output Utente'!$H$2:$H$492,MATCH(10,'Output Utente'!$Q$2:$Q$492,0)),"")</f>
        <v>268</v>
      </c>
      <c r="L13" s="7" t="str">
        <f aca="false">IFERROR(INDEX('Output Utente'!$E$2:$E$492,MATCH(10,'Output Utente'!$Q$2:$Q$492,0)),"")</f>
        <v>NO</v>
      </c>
      <c r="M13" s="7" t="str">
        <f aca="false">IFERROR(INDEX('Output Utente'!$U$2:$U$492,MATCH(10,'Output Utente'!$Q$2:$Q$492,0)),"")</f>
        <v>Rischio Alto</v>
      </c>
      <c r="N13" s="7" t="str">
        <f aca="false">IFERROR(INDEX('Output Utente'!$AE$2:$AE$492,MATCH(10,'Output Utente'!$Q$2:$Q$492,0)),"")</f>
        <v>🔴 Non aspettare</v>
      </c>
    </row>
    <row r="14" customFormat="false" ht="15" hidden="false" customHeight="true" outlineLevel="0" collapsed="false">
      <c r="A14" s="46" t="n">
        <v>11</v>
      </c>
      <c r="B14" s="7" t="n">
        <f aca="false">IFERROR(INDEX('Output Utente'!$A$2:$A$492,MATCH(11,'Output Utente'!$Q$2:$Q$492,0)),"")</f>
        <v>2097</v>
      </c>
      <c r="C14" s="7" t="str">
        <f aca="false">IFERROR(INDEX('Output Utente'!$B$2:$B$492,MATCH(11,'Output Utente'!$Q$2:$Q$492,0)),"")</f>
        <v>A</v>
      </c>
      <c r="D14" s="7" t="str">
        <f aca="false">IFERROR(INDEX('Output Utente'!$C$2:$C$492,MATCH(11,'Output Utente'!$Q$2:$Q$492,0)),"")</f>
        <v>Kean</v>
      </c>
      <c r="E14" s="7" t="str">
        <f aca="false">IFERROR(INDEX('Input Giocatori 2026_27'!$D$3:$D$493,MATCH($B14,'Input Giocatori 2026_27'!$A$3:$A$493,0)),"")</f>
        <v>Fiorentina</v>
      </c>
      <c r="F14" s="47" t="n">
        <f aca="false">IFERROR(INDEX('Output Utente'!$N$2:$N$492,MATCH(11,'Output Utente'!$Q$2:$Q$492,0)),"")</f>
        <v>25</v>
      </c>
      <c r="G14" s="47" t="n">
        <f aca="false">IFERROR(INDEX('Output Utente'!$O$2:$O$492,MATCH(11,'Output Utente'!$Q$2:$Q$492,0)),"")</f>
        <v>212</v>
      </c>
      <c r="H14" s="7" t="str">
        <f aca="false">IFERROR(INDEX('Output Utente'!$P$2:$P$492,MATCH(11,'Output Utente'!$Q$2:$Q$492,0)),"")</f>
        <v>Top</v>
      </c>
      <c r="I14" s="47" t="n">
        <f aca="false">IFERROR(INDEX('Output Utente'!$F$2:$F$492,MATCH(11,'Output Utente'!$Q$2:$Q$492,0)),"")</f>
        <v>218</v>
      </c>
      <c r="J14" s="47" t="n">
        <f aca="false">IFERROR(INDEX('Output Utente'!$G$2:$G$492,MATCH(11,'Output Utente'!$Q$2:$Q$492,0)),"")</f>
        <v>136</v>
      </c>
      <c r="K14" s="47" t="n">
        <f aca="false">IFERROR(INDEX('Output Utente'!$H$2:$H$492,MATCH(11,'Output Utente'!$Q$2:$Q$492,0)),"")</f>
        <v>253</v>
      </c>
      <c r="L14" s="7" t="str">
        <f aca="false">IFERROR(INDEX('Output Utente'!$E$2:$E$492,MATCH(11,'Output Utente'!$Q$2:$Q$492,0)),"")</f>
        <v>NO</v>
      </c>
      <c r="M14" s="7" t="str">
        <f aca="false">IFERROR(INDEX('Output Utente'!$U$2:$U$492,MATCH(11,'Output Utente'!$Q$2:$Q$492,0)),"")</f>
        <v>Rischio Alto</v>
      </c>
      <c r="N14" s="7" t="str">
        <f aca="false">IFERROR(INDEX('Output Utente'!$AE$2:$AE$492,MATCH(11,'Output Utente'!$Q$2:$Q$492,0)),"")</f>
        <v>🔴 Non aspettare</v>
      </c>
    </row>
    <row r="15" customFormat="false" ht="15" hidden="false" customHeight="true" outlineLevel="0" collapsed="false">
      <c r="A15" s="46" t="n">
        <v>12</v>
      </c>
      <c r="B15" s="7" t="n">
        <f aca="false">IFERROR(INDEX('Output Utente'!$A$2:$A$492,MATCH(12,'Output Utente'!$Q$2:$Q$492,0)),"")</f>
        <v>2167</v>
      </c>
      <c r="C15" s="7" t="str">
        <f aca="false">IFERROR(INDEX('Output Utente'!$B$2:$B$492,MATCH(12,'Output Utente'!$Q$2:$Q$492,0)),"")</f>
        <v>C</v>
      </c>
      <c r="D15" s="7" t="str">
        <f aca="false">IFERROR(INDEX('Output Utente'!$C$2:$C$492,MATCH(12,'Output Utente'!$Q$2:$Q$492,0)),"")</f>
        <v>Orsolini</v>
      </c>
      <c r="E15" s="7" t="str">
        <f aca="false">IFERROR(INDEX('Input Giocatori 2026_27'!$D$3:$D$493,MATCH($B15,'Input Giocatori 2026_27'!$A$3:$A$493,0)),"")</f>
        <v>Bologna</v>
      </c>
      <c r="F15" s="47" t="n">
        <f aca="false">IFERROR(INDEX('Output Utente'!$N$2:$N$492,MATCH(12,'Output Utente'!$Q$2:$Q$492,0)),"")</f>
        <v>26</v>
      </c>
      <c r="G15" s="47" t="n">
        <f aca="false">IFERROR(INDEX('Output Utente'!$O$2:$O$492,MATCH(12,'Output Utente'!$Q$2:$Q$492,0)),"")</f>
        <v>200</v>
      </c>
      <c r="H15" s="7" t="str">
        <f aca="false">IFERROR(INDEX('Output Utente'!$P$2:$P$492,MATCH(12,'Output Utente'!$Q$2:$Q$492,0)),"")</f>
        <v>Top</v>
      </c>
      <c r="I15" s="47" t="n">
        <f aca="false">IFERROR(INDEX('Output Utente'!$F$2:$F$492,MATCH(12,'Output Utente'!$Q$2:$Q$492,0)),"")</f>
        <v>135</v>
      </c>
      <c r="J15" s="47" t="n">
        <f aca="false">IFERROR(INDEX('Output Utente'!$G$2:$G$492,MATCH(12,'Output Utente'!$Q$2:$Q$492,0)),"")</f>
        <v>92</v>
      </c>
      <c r="K15" s="47" t="n">
        <f aca="false">IFERROR(INDEX('Output Utente'!$H$2:$H$492,MATCH(12,'Output Utente'!$Q$2:$Q$492,0)),"")</f>
        <v>153</v>
      </c>
      <c r="L15" s="7" t="str">
        <f aca="false">IFERROR(INDEX('Output Utente'!$E$2:$E$492,MATCH(12,'Output Utente'!$Q$2:$Q$492,0)),"")</f>
        <v>NO</v>
      </c>
      <c r="M15" s="7" t="str">
        <f aca="false">IFERROR(INDEX('Output Utente'!$U$2:$U$492,MATCH(12,'Output Utente'!$Q$2:$Q$492,0)),"")</f>
        <v>Rischio Alto</v>
      </c>
      <c r="N15" s="7" t="str">
        <f aca="false">IFERROR(INDEX('Output Utente'!$AE$2:$AE$492,MATCH(12,'Output Utente'!$Q$2:$Q$492,0)),"")</f>
        <v>🟡 Attesa rischiosa</v>
      </c>
    </row>
    <row r="16" customFormat="false" ht="15" hidden="false" customHeight="true" outlineLevel="0" collapsed="false">
      <c r="A16" s="46" t="n">
        <v>13</v>
      </c>
      <c r="B16" s="7" t="n">
        <f aca="false">IFERROR(INDEX('Output Utente'!$A$2:$A$492,MATCH(13,'Output Utente'!$Q$2:$Q$492,0)),"")</f>
        <v>6434</v>
      </c>
      <c r="C16" s="7" t="str">
        <f aca="false">IFERROR(INDEX('Output Utente'!$B$2:$B$492,MATCH(13,'Output Utente'!$Q$2:$Q$492,0)),"")</f>
        <v>A</v>
      </c>
      <c r="D16" s="7" t="str">
        <f aca="false">IFERROR(INDEX('Output Utente'!$C$2:$C$492,MATCH(13,'Output Utente'!$Q$2:$Q$492,0)),"")</f>
        <v>Yildiz</v>
      </c>
      <c r="E16" s="7" t="str">
        <f aca="false">IFERROR(INDEX('Input Giocatori 2026_27'!$D$3:$D$493,MATCH($B16,'Input Giocatori 2026_27'!$A$3:$A$493,0)),"")</f>
        <v>Juventus</v>
      </c>
      <c r="F16" s="47" t="n">
        <f aca="false">IFERROR(INDEX('Output Utente'!$N$2:$N$492,MATCH(13,'Output Utente'!$Q$2:$Q$492,0)),"")</f>
        <v>23</v>
      </c>
      <c r="G16" s="47" t="n">
        <f aca="false">IFERROR(INDEX('Output Utente'!$O$2:$O$492,MATCH(13,'Output Utente'!$Q$2:$Q$492,0)),"")</f>
        <v>200</v>
      </c>
      <c r="H16" s="7" t="str">
        <f aca="false">IFERROR(INDEX('Output Utente'!$P$2:$P$492,MATCH(13,'Output Utente'!$Q$2:$Q$492,0)),"")</f>
        <v>Top</v>
      </c>
      <c r="I16" s="47" t="n">
        <f aca="false">IFERROR(INDEX('Output Utente'!$F$2:$F$492,MATCH(13,'Output Utente'!$Q$2:$Q$492,0)),"")</f>
        <v>209</v>
      </c>
      <c r="J16" s="47" t="n">
        <f aca="false">IFERROR(INDEX('Output Utente'!$G$2:$G$492,MATCH(13,'Output Utente'!$Q$2:$Q$492,0)),"")</f>
        <v>131</v>
      </c>
      <c r="K16" s="47" t="n">
        <f aca="false">IFERROR(INDEX('Output Utente'!$H$2:$H$492,MATCH(13,'Output Utente'!$Q$2:$Q$492,0)),"")</f>
        <v>243</v>
      </c>
      <c r="L16" s="7" t="str">
        <f aca="false">IFERROR(INDEX('Output Utente'!$E$2:$E$492,MATCH(13,'Output Utente'!$Q$2:$Q$492,0)),"")</f>
        <v>NO</v>
      </c>
      <c r="M16" s="7" t="str">
        <f aca="false">IFERROR(INDEX('Output Utente'!$U$2:$U$492,MATCH(13,'Output Utente'!$Q$2:$Q$492,0)),"")</f>
        <v>Rischio Alto</v>
      </c>
      <c r="N16" s="7" t="str">
        <f aca="false">IFERROR(INDEX('Output Utente'!$AE$2:$AE$492,MATCH(13,'Output Utente'!$Q$2:$Q$492,0)),"")</f>
        <v>🔴 Non aspettare</v>
      </c>
    </row>
    <row r="17" customFormat="false" ht="15" hidden="false" customHeight="true" outlineLevel="0" collapsed="false">
      <c r="A17" s="46" t="n">
        <v>14</v>
      </c>
      <c r="B17" s="7" t="n">
        <f aca="false">IFERROR(INDEX('Output Utente'!$A$2:$A$492,MATCH(14,'Output Utente'!$Q$2:$Q$492,0)),"")</f>
        <v>2423</v>
      </c>
      <c r="C17" s="7" t="str">
        <f aca="false">IFERROR(INDEX('Output Utente'!$B$2:$B$492,MATCH(14,'Output Utente'!$Q$2:$Q$492,0)),"")</f>
        <v>C</v>
      </c>
      <c r="D17" s="7" t="str">
        <f aca="false">IFERROR(INDEX('Output Utente'!$C$2:$C$492,MATCH(14,'Output Utente'!$Q$2:$Q$492,0)),"")</f>
        <v>Pulisic</v>
      </c>
      <c r="E17" s="7" t="str">
        <f aca="false">IFERROR(INDEX('Input Giocatori 2026_27'!$D$3:$D$493,MATCH($B17,'Input Giocatori 2026_27'!$A$3:$A$493,0)),"")</f>
        <v>Milan</v>
      </c>
      <c r="F17" s="47" t="n">
        <f aca="false">IFERROR(INDEX('Output Utente'!$N$2:$N$492,MATCH(14,'Output Utente'!$Q$2:$Q$492,0)),"")</f>
        <v>25</v>
      </c>
      <c r="G17" s="47" t="n">
        <f aca="false">IFERROR(INDEX('Output Utente'!$O$2:$O$492,MATCH(14,'Output Utente'!$Q$2:$Q$492,0)),"")</f>
        <v>180</v>
      </c>
      <c r="H17" s="7" t="str">
        <f aca="false">IFERROR(INDEX('Output Utente'!$P$2:$P$492,MATCH(14,'Output Utente'!$Q$2:$Q$492,0)),"")</f>
        <v>Top</v>
      </c>
      <c r="I17" s="47" t="n">
        <f aca="false">IFERROR(INDEX('Output Utente'!$F$2:$F$492,MATCH(14,'Output Utente'!$Q$2:$Q$492,0)),"")</f>
        <v>122</v>
      </c>
      <c r="J17" s="47" t="n">
        <f aca="false">IFERROR(INDEX('Output Utente'!$G$2:$G$492,MATCH(14,'Output Utente'!$Q$2:$Q$492,0)),"")</f>
        <v>83</v>
      </c>
      <c r="K17" s="47" t="n">
        <f aca="false">IFERROR(INDEX('Output Utente'!$H$2:$H$492,MATCH(14,'Output Utente'!$Q$2:$Q$492,0)),"")</f>
        <v>139</v>
      </c>
      <c r="L17" s="7" t="str">
        <f aca="false">IFERROR(INDEX('Output Utente'!$E$2:$E$492,MATCH(14,'Output Utente'!$Q$2:$Q$492,0)),"")</f>
        <v>NO</v>
      </c>
      <c r="M17" s="7" t="str">
        <f aca="false">IFERROR(INDEX('Output Utente'!$U$2:$U$492,MATCH(14,'Output Utente'!$Q$2:$Q$492,0)),"")</f>
        <v>Rischio Alto</v>
      </c>
      <c r="N17" s="7" t="str">
        <f aca="false">IFERROR(INDEX('Output Utente'!$AE$2:$AE$492,MATCH(14,'Output Utente'!$Q$2:$Q$492,0)),"")</f>
        <v>🟡 Attesa rischiosa</v>
      </c>
    </row>
    <row r="18" customFormat="false" ht="15" hidden="false" customHeight="true" outlineLevel="0" collapsed="false">
      <c r="A18" s="46" t="n">
        <v>15</v>
      </c>
      <c r="B18" s="7" t="n">
        <f aca="false">IFERROR(INDEX('Output Utente'!$A$2:$A$492,MATCH(15,'Output Utente'!$Q$2:$Q$492,0)),"")</f>
        <v>7017</v>
      </c>
      <c r="C18" s="7" t="str">
        <f aca="false">IFERROR(INDEX('Output Utente'!$B$2:$B$492,MATCH(15,'Output Utente'!$Q$2:$Q$492,0)),"")</f>
        <v>A</v>
      </c>
      <c r="D18" s="7" t="str">
        <f aca="false">IFERROR(INDEX('Output Utente'!$C$2:$C$492,MATCH(15,'Output Utente'!$Q$2:$Q$492,0)),"")</f>
        <v>Douvikas</v>
      </c>
      <c r="E18" s="7" t="str">
        <f aca="false">IFERROR(INDEX('Input Giocatori 2026_27'!$D$3:$D$493,MATCH($B18,'Input Giocatori 2026_27'!$A$3:$A$493,0)),"")</f>
        <v>Como</v>
      </c>
      <c r="F18" s="47" t="n">
        <f aca="false">IFERROR(INDEX('Output Utente'!$N$2:$N$492,MATCH(15,'Output Utente'!$Q$2:$Q$492,0)),"")</f>
        <v>20</v>
      </c>
      <c r="G18" s="47" t="n">
        <f aca="false">IFERROR(INDEX('Output Utente'!$O$2:$O$492,MATCH(15,'Output Utente'!$Q$2:$Q$492,0)),"")</f>
        <v>157</v>
      </c>
      <c r="H18" s="7" t="str">
        <f aca="false">IFERROR(INDEX('Output Utente'!$P$2:$P$492,MATCH(15,'Output Utente'!$Q$2:$Q$492,0)),"")</f>
        <v>Top</v>
      </c>
      <c r="I18" s="47" t="n">
        <f aca="false">IFERROR(INDEX('Output Utente'!$F$2:$F$492,MATCH(15,'Output Utente'!$Q$2:$Q$492,0)),"")</f>
        <v>165</v>
      </c>
      <c r="J18" s="47" t="n">
        <f aca="false">IFERROR(INDEX('Output Utente'!$G$2:$G$492,MATCH(15,'Output Utente'!$Q$2:$Q$492,0)),"")</f>
        <v>103</v>
      </c>
      <c r="K18" s="47" t="n">
        <f aca="false">IFERROR(INDEX('Output Utente'!$H$2:$H$492,MATCH(15,'Output Utente'!$Q$2:$Q$492,0)),"")</f>
        <v>191</v>
      </c>
      <c r="L18" s="7" t="str">
        <f aca="false">IFERROR(INDEX('Output Utente'!$E$2:$E$492,MATCH(15,'Output Utente'!$Q$2:$Q$492,0)),"")</f>
        <v>NO</v>
      </c>
      <c r="M18" s="7" t="str">
        <f aca="false">IFERROR(INDEX('Output Utente'!$U$2:$U$492,MATCH(15,'Output Utente'!$Q$2:$Q$492,0)),"")</f>
        <v>Rischio Alto</v>
      </c>
      <c r="N18" s="7" t="str">
        <f aca="false">IFERROR(INDEX('Output Utente'!$AE$2:$AE$492,MATCH(15,'Output Utente'!$Q$2:$Q$492,0)),"")</f>
        <v>🔴 Non aspettare</v>
      </c>
    </row>
    <row r="19" customFormat="false" ht="15" hidden="false" customHeight="true" outlineLevel="0" collapsed="false">
      <c r="A19" s="46" t="n">
        <v>16</v>
      </c>
      <c r="B19" s="7" t="n">
        <f aca="false">IFERROR(INDEX('Output Utente'!$A$2:$A$492,MATCH(16,'Output Utente'!$Q$2:$Q$492,0)),"")</f>
        <v>2379</v>
      </c>
      <c r="C19" s="7" t="str">
        <f aca="false">IFERROR(INDEX('Output Utente'!$B$2:$B$492,MATCH(16,'Output Utente'!$Q$2:$Q$492,0)),"")</f>
        <v>C</v>
      </c>
      <c r="D19" s="7" t="str">
        <f aca="false">IFERROR(INDEX('Output Utente'!$C$2:$C$492,MATCH(16,'Output Utente'!$Q$2:$Q$492,0)),"")</f>
        <v>Rabiot</v>
      </c>
      <c r="E19" s="7" t="str">
        <f aca="false">IFERROR(INDEX('Input Giocatori 2026_27'!$D$3:$D$493,MATCH($B19,'Input Giocatori 2026_27'!$A$3:$A$493,0)),"")</f>
        <v>Milan</v>
      </c>
      <c r="F19" s="47" t="n">
        <f aca="false">IFERROR(INDEX('Output Utente'!$N$2:$N$492,MATCH(16,'Output Utente'!$Q$2:$Q$492,0)),"")</f>
        <v>22</v>
      </c>
      <c r="G19" s="47" t="n">
        <f aca="false">IFERROR(INDEX('Output Utente'!$O$2:$O$492,MATCH(16,'Output Utente'!$Q$2:$Q$492,0)),"")</f>
        <v>128</v>
      </c>
      <c r="H19" s="7" t="str">
        <f aca="false">IFERROR(INDEX('Output Utente'!$P$2:$P$492,MATCH(16,'Output Utente'!$Q$2:$Q$492,0)),"")</f>
        <v>Top</v>
      </c>
      <c r="I19" s="47" t="n">
        <f aca="false">IFERROR(INDEX('Output Utente'!$F$2:$F$492,MATCH(16,'Output Utente'!$Q$2:$Q$492,0)),"")</f>
        <v>86</v>
      </c>
      <c r="J19" s="47" t="n">
        <f aca="false">IFERROR(INDEX('Output Utente'!$G$2:$G$492,MATCH(16,'Output Utente'!$Q$2:$Q$492,0)),"")</f>
        <v>59</v>
      </c>
      <c r="K19" s="47" t="n">
        <f aca="false">IFERROR(INDEX('Output Utente'!$H$2:$H$492,MATCH(16,'Output Utente'!$Q$2:$Q$492,0)),"")</f>
        <v>98</v>
      </c>
      <c r="L19" s="7" t="str">
        <f aca="false">IFERROR(INDEX('Output Utente'!$E$2:$E$492,MATCH(16,'Output Utente'!$Q$2:$Q$492,0)),"")</f>
        <v>NO</v>
      </c>
      <c r="M19" s="7" t="str">
        <f aca="false">IFERROR(INDEX('Output Utente'!$U$2:$U$492,MATCH(16,'Output Utente'!$Q$2:$Q$492,0)),"")</f>
        <v>Attenzione</v>
      </c>
      <c r="N19" s="7" t="str">
        <f aca="false">IFERROR(INDEX('Output Utente'!$AE$2:$AE$492,MATCH(16,'Output Utente'!$Q$2:$Q$492,0)),"")</f>
        <v>🟡 Attesa rischiosa</v>
      </c>
    </row>
    <row r="20" customFormat="false" ht="15" hidden="false" customHeight="true" outlineLevel="0" collapsed="false">
      <c r="A20" s="46" t="n">
        <v>17</v>
      </c>
      <c r="B20" s="7" t="n">
        <f aca="false">IFERROR(INDEX('Output Utente'!$A$2:$A$492,MATCH(17,'Output Utente'!$Q$2:$Q$492,0)),"")</f>
        <v>2137</v>
      </c>
      <c r="C20" s="7" t="str">
        <f aca="false">IFERROR(INDEX('Output Utente'!$B$2:$B$492,MATCH(17,'Output Utente'!$Q$2:$Q$492,0)),"")</f>
        <v>A</v>
      </c>
      <c r="D20" s="7" t="str">
        <f aca="false">IFERROR(INDEX('Output Utente'!$C$2:$C$492,MATCH(17,'Output Utente'!$Q$2:$Q$492,0)),"")</f>
        <v>Scamacca</v>
      </c>
      <c r="E20" s="7" t="str">
        <f aca="false">IFERROR(INDEX('Input Giocatori 2026_27'!$D$3:$D$493,MATCH($B20,'Input Giocatori 2026_27'!$A$3:$A$493,0)),"")</f>
        <v>Atalanta</v>
      </c>
      <c r="F20" s="47" t="n">
        <f aca="false">IFERROR(INDEX('Output Utente'!$N$2:$N$492,MATCH(17,'Output Utente'!$Q$2:$Q$492,0)),"")</f>
        <v>19</v>
      </c>
      <c r="G20" s="47" t="n">
        <f aca="false">IFERROR(INDEX('Output Utente'!$O$2:$O$492,MATCH(17,'Output Utente'!$Q$2:$Q$492,0)),"")</f>
        <v>128</v>
      </c>
      <c r="H20" s="7" t="str">
        <f aca="false">IFERROR(INDEX('Output Utente'!$P$2:$P$492,MATCH(17,'Output Utente'!$Q$2:$Q$492,0)),"")</f>
        <v>Top</v>
      </c>
      <c r="I20" s="47" t="n">
        <f aca="false">IFERROR(INDEX('Output Utente'!$F$2:$F$492,MATCH(17,'Output Utente'!$Q$2:$Q$492,0)),"")</f>
        <v>134</v>
      </c>
      <c r="J20" s="47" t="n">
        <f aca="false">IFERROR(INDEX('Output Utente'!$G$2:$G$492,MATCH(17,'Output Utente'!$Q$2:$Q$492,0)),"")</f>
        <v>84</v>
      </c>
      <c r="K20" s="47" t="n">
        <f aca="false">IFERROR(INDEX('Output Utente'!$H$2:$H$492,MATCH(17,'Output Utente'!$Q$2:$Q$492,0)),"")</f>
        <v>156</v>
      </c>
      <c r="L20" s="7" t="str">
        <f aca="false">IFERROR(INDEX('Output Utente'!$E$2:$E$492,MATCH(17,'Output Utente'!$Q$2:$Q$492,0)),"")</f>
        <v>NO</v>
      </c>
      <c r="M20" s="7" t="str">
        <f aca="false">IFERROR(INDEX('Output Utente'!$U$2:$U$492,MATCH(17,'Output Utente'!$Q$2:$Q$492,0)),"")</f>
        <v>Rischio Alto</v>
      </c>
      <c r="N20" s="7" t="str">
        <f aca="false">IFERROR(INDEX('Output Utente'!$AE$2:$AE$492,MATCH(17,'Output Utente'!$Q$2:$Q$492,0)),"")</f>
        <v>🔴 Non aspettare</v>
      </c>
    </row>
    <row r="21" customFormat="false" ht="15" hidden="false" customHeight="true" outlineLevel="0" collapsed="false">
      <c r="A21" s="46" t="n">
        <v>18</v>
      </c>
      <c r="B21" s="7" t="n">
        <f aca="false">IFERROR(INDEX('Output Utente'!$A$2:$A$492,MATCH(18,'Output Utente'!$Q$2:$Q$492,0)),"")</f>
        <v>5637</v>
      </c>
      <c r="C21" s="7" t="str">
        <f aca="false">IFERROR(INDEX('Output Utente'!$B$2:$B$492,MATCH(18,'Output Utente'!$Q$2:$Q$492,0)),"")</f>
        <v>A</v>
      </c>
      <c r="D21" s="7" t="str">
        <f aca="false">IFERROR(INDEX('Output Utente'!$C$2:$C$492,MATCH(18,'Output Utente'!$Q$2:$Q$492,0)),"")</f>
        <v>Davis K.</v>
      </c>
      <c r="E21" s="7" t="str">
        <f aca="false">IFERROR(INDEX('Input Giocatori 2026_27'!$D$3:$D$493,MATCH($B21,'Input Giocatori 2026_27'!$A$3:$A$493,0)),"")</f>
        <v>Udinese</v>
      </c>
      <c r="F21" s="47" t="n">
        <f aca="false">IFERROR(INDEX('Output Utente'!$N$2:$N$492,MATCH(18,'Output Utente'!$Q$2:$Q$492,0)),"")</f>
        <v>19</v>
      </c>
      <c r="G21" s="47" t="n">
        <f aca="false">IFERROR(INDEX('Output Utente'!$O$2:$O$492,MATCH(18,'Output Utente'!$Q$2:$Q$492,0)),"")</f>
        <v>121</v>
      </c>
      <c r="H21" s="7" t="str">
        <f aca="false">IFERROR(INDEX('Output Utente'!$P$2:$P$492,MATCH(18,'Output Utente'!$Q$2:$Q$492,0)),"")</f>
        <v>Top</v>
      </c>
      <c r="I21" s="47" t="n">
        <f aca="false">IFERROR(INDEX('Output Utente'!$F$2:$F$492,MATCH(18,'Output Utente'!$Q$2:$Q$492,0)),"")</f>
        <v>127</v>
      </c>
      <c r="J21" s="47" t="n">
        <f aca="false">IFERROR(INDEX('Output Utente'!$G$2:$G$492,MATCH(18,'Output Utente'!$Q$2:$Q$492,0)),"")</f>
        <v>79</v>
      </c>
      <c r="K21" s="47" t="n">
        <f aca="false">IFERROR(INDEX('Output Utente'!$H$2:$H$492,MATCH(18,'Output Utente'!$Q$2:$Q$492,0)),"")</f>
        <v>147</v>
      </c>
      <c r="L21" s="7" t="str">
        <f aca="false">IFERROR(INDEX('Output Utente'!$E$2:$E$492,MATCH(18,'Output Utente'!$Q$2:$Q$492,0)),"")</f>
        <v>NO</v>
      </c>
      <c r="M21" s="7" t="str">
        <f aca="false">IFERROR(INDEX('Output Utente'!$U$2:$U$492,MATCH(18,'Output Utente'!$Q$2:$Q$492,0)),"")</f>
        <v>Rischio Alto</v>
      </c>
      <c r="N21" s="7" t="str">
        <f aca="false">IFERROR(INDEX('Output Utente'!$AE$2:$AE$492,MATCH(18,'Output Utente'!$Q$2:$Q$492,0)),"")</f>
        <v>🔴 Non aspettare</v>
      </c>
    </row>
    <row r="22" customFormat="false" ht="15" hidden="false" customHeight="true" outlineLevel="0" collapsed="false">
      <c r="A22" s="46" t="n">
        <v>19</v>
      </c>
      <c r="B22" s="7" t="n">
        <f aca="false">IFERROR(INDEX('Output Utente'!$A$2:$A$492,MATCH(19,'Output Utente'!$Q$2:$Q$492,0)),"")</f>
        <v>4510</v>
      </c>
      <c r="C22" s="7" t="str">
        <f aca="false">IFERROR(INDEX('Output Utente'!$B$2:$B$492,MATCH(19,'Output Utente'!$Q$2:$Q$492,0)),"")</f>
        <v>A</v>
      </c>
      <c r="D22" s="7" t="str">
        <f aca="false">IFERROR(INDEX('Output Utente'!$C$2:$C$492,MATCH(19,'Output Utente'!$Q$2:$Q$492,0)),"")</f>
        <v>Leao</v>
      </c>
      <c r="E22" s="7" t="str">
        <f aca="false">IFERROR(INDEX('Input Giocatori 2026_27'!$D$3:$D$493,MATCH($B22,'Input Giocatori 2026_27'!$A$3:$A$493,0)),"")</f>
        <v>Milan</v>
      </c>
      <c r="F22" s="47" t="n">
        <f aca="false">IFERROR(INDEX('Output Utente'!$N$2:$N$492,MATCH(19,'Output Utente'!$Q$2:$Q$492,0)),"")</f>
        <v>18</v>
      </c>
      <c r="G22" s="47" t="n">
        <f aca="false">IFERROR(INDEX('Output Utente'!$O$2:$O$492,MATCH(19,'Output Utente'!$Q$2:$Q$492,0)),"")</f>
        <v>120</v>
      </c>
      <c r="H22" s="7" t="str">
        <f aca="false">IFERROR(INDEX('Output Utente'!$P$2:$P$492,MATCH(19,'Output Utente'!$Q$2:$Q$492,0)),"")</f>
        <v>Top</v>
      </c>
      <c r="I22" s="47" t="n">
        <f aca="false">IFERROR(INDEX('Output Utente'!$F$2:$F$492,MATCH(19,'Output Utente'!$Q$2:$Q$492,0)),"")</f>
        <v>124</v>
      </c>
      <c r="J22" s="47" t="n">
        <f aca="false">IFERROR(INDEX('Output Utente'!$G$2:$G$492,MATCH(19,'Output Utente'!$Q$2:$Q$492,0)),"")</f>
        <v>77</v>
      </c>
      <c r="K22" s="47" t="n">
        <f aca="false">IFERROR(INDEX('Output Utente'!$H$2:$H$492,MATCH(19,'Output Utente'!$Q$2:$Q$492,0)),"")</f>
        <v>144</v>
      </c>
      <c r="L22" s="7" t="str">
        <f aca="false">IFERROR(INDEX('Output Utente'!$E$2:$E$492,MATCH(19,'Output Utente'!$Q$2:$Q$492,0)),"")</f>
        <v>NO</v>
      </c>
      <c r="M22" s="7" t="str">
        <f aca="false">IFERROR(INDEX('Output Utente'!$U$2:$U$492,MATCH(19,'Output Utente'!$Q$2:$Q$492,0)),"")</f>
        <v>Rischio Alto</v>
      </c>
      <c r="N22" s="7" t="str">
        <f aca="false">IFERROR(INDEX('Output Utente'!$AE$2:$AE$492,MATCH(19,'Output Utente'!$Q$2:$Q$492,0)),"")</f>
        <v>🔴 Non aspettare</v>
      </c>
    </row>
    <row r="23" customFormat="false" ht="15" hidden="false" customHeight="true" outlineLevel="0" collapsed="false">
      <c r="A23" s="46" t="n">
        <v>20</v>
      </c>
      <c r="B23" s="7" t="n">
        <f aca="false">IFERROR(INDEX('Output Utente'!$A$2:$A$492,MATCH(20,'Output Utente'!$Q$2:$Q$492,0)),"")</f>
        <v>531</v>
      </c>
      <c r="C23" s="7" t="str">
        <f aca="false">IFERROR(INDEX('Output Utente'!$B$2:$B$492,MATCH(20,'Output Utente'!$Q$2:$Q$492,0)),"")</f>
        <v>A</v>
      </c>
      <c r="D23" s="7" t="str">
        <f aca="false">IFERROR(INDEX('Output Utente'!$C$2:$C$492,MATCH(20,'Output Utente'!$Q$2:$Q$492,0)),"")</f>
        <v>Berardi</v>
      </c>
      <c r="E23" s="7" t="str">
        <f aca="false">IFERROR(INDEX('Input Giocatori 2026_27'!$D$3:$D$493,MATCH($B23,'Input Giocatori 2026_27'!$A$3:$A$493,0)),"")</f>
        <v>Sassuolo</v>
      </c>
      <c r="F23" s="47" t="n">
        <f aca="false">IFERROR(INDEX('Output Utente'!$N$2:$N$492,MATCH(20,'Output Utente'!$Q$2:$Q$492,0)),"")</f>
        <v>18</v>
      </c>
      <c r="G23" s="47" t="n">
        <f aca="false">IFERROR(INDEX('Output Utente'!$O$2:$O$492,MATCH(20,'Output Utente'!$Q$2:$Q$492,0)),"")</f>
        <v>115</v>
      </c>
      <c r="H23" s="7" t="str">
        <f aca="false">IFERROR(INDEX('Output Utente'!$P$2:$P$492,MATCH(20,'Output Utente'!$Q$2:$Q$492,0)),"")</f>
        <v>Top</v>
      </c>
      <c r="I23" s="47" t="n">
        <f aca="false">IFERROR(INDEX('Output Utente'!$F$2:$F$492,MATCH(20,'Output Utente'!$Q$2:$Q$492,0)),"")</f>
        <v>120</v>
      </c>
      <c r="J23" s="47" t="n">
        <f aca="false">IFERROR(INDEX('Output Utente'!$G$2:$G$492,MATCH(20,'Output Utente'!$Q$2:$Q$492,0)),"")</f>
        <v>75</v>
      </c>
      <c r="K23" s="47" t="n">
        <f aca="false">IFERROR(INDEX('Output Utente'!$H$2:$H$492,MATCH(20,'Output Utente'!$Q$2:$Q$492,0)),"")</f>
        <v>139</v>
      </c>
      <c r="L23" s="7" t="str">
        <f aca="false">IFERROR(INDEX('Output Utente'!$E$2:$E$492,MATCH(20,'Output Utente'!$Q$2:$Q$492,0)),"")</f>
        <v>NO</v>
      </c>
      <c r="M23" s="7" t="str">
        <f aca="false">IFERROR(INDEX('Output Utente'!$U$2:$U$492,MATCH(20,'Output Utente'!$Q$2:$Q$492,0)),"")</f>
        <v>Attenzione</v>
      </c>
      <c r="N23" s="7" t="str">
        <f aca="false">IFERROR(INDEX('Output Utente'!$AE$2:$AE$492,MATCH(20,'Output Utente'!$Q$2:$Q$492,0)),"")</f>
        <v>🔴 Non aspettare</v>
      </c>
    </row>
    <row r="24" customFormat="false" ht="15" hidden="false" customHeight="true" outlineLevel="0" collapsed="false">
      <c r="A24" s="46" t="n">
        <v>21</v>
      </c>
      <c r="B24" s="7" t="n">
        <f aca="false">IFERROR(INDEX('Output Utente'!$A$2:$A$492,MATCH(21,'Output Utente'!$Q$2:$Q$492,0)),"")</f>
        <v>5995</v>
      </c>
      <c r="C24" s="7" t="str">
        <f aca="false">IFERROR(INDEX('Output Utente'!$B$2:$B$492,MATCH(21,'Output Utente'!$Q$2:$Q$492,0)),"")</f>
        <v>A</v>
      </c>
      <c r="D24" s="7" t="str">
        <f aca="false">IFERROR(INDEX('Output Utente'!$C$2:$C$492,MATCH(21,'Output Utente'!$Q$2:$Q$492,0)),"")</f>
        <v>De Ketelaere</v>
      </c>
      <c r="E24" s="7" t="str">
        <f aca="false">IFERROR(INDEX('Input Giocatori 2026_27'!$D$3:$D$493,MATCH($B24,'Input Giocatori 2026_27'!$A$3:$A$493,0)),"")</f>
        <v>Atalanta</v>
      </c>
      <c r="F24" s="47" t="n">
        <f aca="false">IFERROR(INDEX('Output Utente'!$N$2:$N$492,MATCH(21,'Output Utente'!$Q$2:$Q$492,0)),"")</f>
        <v>17</v>
      </c>
      <c r="G24" s="47" t="n">
        <f aca="false">IFERROR(INDEX('Output Utente'!$O$2:$O$492,MATCH(21,'Output Utente'!$Q$2:$Q$492,0)),"")</f>
        <v>106</v>
      </c>
      <c r="H24" s="7" t="str">
        <f aca="false">IFERROR(INDEX('Output Utente'!$P$2:$P$492,MATCH(21,'Output Utente'!$Q$2:$Q$492,0)),"")</f>
        <v>Buono</v>
      </c>
      <c r="I24" s="47" t="n">
        <f aca="false">IFERROR(INDEX('Output Utente'!$F$2:$F$492,MATCH(21,'Output Utente'!$Q$2:$Q$492,0)),"")</f>
        <v>109</v>
      </c>
      <c r="J24" s="47" t="n">
        <f aca="false">IFERROR(INDEX('Output Utente'!$G$2:$G$492,MATCH(21,'Output Utente'!$Q$2:$Q$492,0)),"")</f>
        <v>68</v>
      </c>
      <c r="K24" s="47" t="n">
        <f aca="false">IFERROR(INDEX('Output Utente'!$H$2:$H$492,MATCH(21,'Output Utente'!$Q$2:$Q$492,0)),"")</f>
        <v>126</v>
      </c>
      <c r="L24" s="7" t="str">
        <f aca="false">IFERROR(INDEX('Output Utente'!$E$2:$E$492,MATCH(21,'Output Utente'!$Q$2:$Q$492,0)),"")</f>
        <v>NO</v>
      </c>
      <c r="M24" s="7" t="str">
        <f aca="false">IFERROR(INDEX('Output Utente'!$U$2:$U$492,MATCH(21,'Output Utente'!$Q$2:$Q$492,0)),"")</f>
        <v>Attenzione</v>
      </c>
      <c r="N24" s="7" t="str">
        <f aca="false">IFERROR(INDEX('Output Utente'!$AE$2:$AE$492,MATCH(21,'Output Utente'!$Q$2:$Q$492,0)),"")</f>
        <v>🔴 Non aspettare</v>
      </c>
    </row>
    <row r="25" customFormat="false" ht="15" hidden="false" customHeight="true" outlineLevel="0" collapsed="false">
      <c r="A25" s="46" t="n">
        <v>22</v>
      </c>
      <c r="B25" s="7" t="n">
        <f aca="false">IFERROR(INDEX('Output Utente'!$A$2:$A$492,MATCH(22,'Output Utente'!$Q$2:$Q$492,0)),"")</f>
        <v>7126</v>
      </c>
      <c r="C25" s="7" t="str">
        <f aca="false">IFERROR(INDEX('Output Utente'!$B$2:$B$492,MATCH(22,'Output Utente'!$Q$2:$Q$492,0)),"")</f>
        <v>C</v>
      </c>
      <c r="D25" s="7" t="str">
        <f aca="false">IFERROR(INDEX('Output Utente'!$C$2:$C$492,MATCH(22,'Output Utente'!$Q$2:$Q$492,0)),"")</f>
        <v>Baturina</v>
      </c>
      <c r="E25" s="7" t="str">
        <f aca="false">IFERROR(INDEX('Input Giocatori 2026_27'!$D$3:$D$493,MATCH($B25,'Input Giocatori 2026_27'!$A$3:$A$493,0)),"")</f>
        <v>Como</v>
      </c>
      <c r="F25" s="47" t="n">
        <f aca="false">IFERROR(INDEX('Output Utente'!$N$2:$N$492,MATCH(22,'Output Utente'!$Q$2:$Q$492,0)),"")</f>
        <v>19</v>
      </c>
      <c r="G25" s="47" t="n">
        <f aca="false">IFERROR(INDEX('Output Utente'!$O$2:$O$492,MATCH(22,'Output Utente'!$Q$2:$Q$492,0)),"")</f>
        <v>102</v>
      </c>
      <c r="H25" s="7" t="str">
        <f aca="false">IFERROR(INDEX('Output Utente'!$P$2:$P$492,MATCH(22,'Output Utente'!$Q$2:$Q$492,0)),"")</f>
        <v>Top</v>
      </c>
      <c r="I25" s="47" t="n">
        <f aca="false">IFERROR(INDEX('Output Utente'!$F$2:$F$492,MATCH(22,'Output Utente'!$Q$2:$Q$492,0)),"")</f>
        <v>69</v>
      </c>
      <c r="J25" s="47" t="n">
        <f aca="false">IFERROR(INDEX('Output Utente'!$G$2:$G$492,MATCH(22,'Output Utente'!$Q$2:$Q$492,0)),"")</f>
        <v>47</v>
      </c>
      <c r="K25" s="47" t="n">
        <f aca="false">IFERROR(INDEX('Output Utente'!$H$2:$H$492,MATCH(22,'Output Utente'!$Q$2:$Q$492,0)),"")</f>
        <v>79</v>
      </c>
      <c r="L25" s="7" t="str">
        <f aca="false">IFERROR(INDEX('Output Utente'!$E$2:$E$492,MATCH(22,'Output Utente'!$Q$2:$Q$492,0)),"")</f>
        <v>NO</v>
      </c>
      <c r="M25" s="7" t="str">
        <f aca="false">IFERROR(INDEX('Output Utente'!$U$2:$U$492,MATCH(22,'Output Utente'!$Q$2:$Q$492,0)),"")</f>
        <v>Attenzione</v>
      </c>
      <c r="N25" s="7" t="str">
        <f aca="false">IFERROR(INDEX('Output Utente'!$AE$2:$AE$492,MATCH(22,'Output Utente'!$Q$2:$Q$492,0)),"")</f>
        <v>🟡 Attesa rischiosa</v>
      </c>
    </row>
    <row r="26" customFormat="false" ht="15" hidden="false" customHeight="true" outlineLevel="0" collapsed="false">
      <c r="A26" s="46" t="n">
        <v>23</v>
      </c>
      <c r="B26" s="7" t="n">
        <f aca="false">IFERROR(INDEX('Output Utente'!$A$2:$A$492,MATCH(23,'Output Utente'!$Q$2:$Q$492,0)),"")</f>
        <v>2517</v>
      </c>
      <c r="C26" s="7" t="str">
        <f aca="false">IFERROR(INDEX('Output Utente'!$B$2:$B$492,MATCH(23,'Output Utente'!$Q$2:$Q$492,0)),"")</f>
        <v>C</v>
      </c>
      <c r="D26" s="7" t="str">
        <f aca="false">IFERROR(INDEX('Output Utente'!$C$2:$C$492,MATCH(23,'Output Utente'!$Q$2:$Q$492,0)),"")</f>
        <v>De Bruyne</v>
      </c>
      <c r="E26" s="7" t="str">
        <f aca="false">IFERROR(INDEX('Input Giocatori 2026_27'!$D$3:$D$493,MATCH($B26,'Input Giocatori 2026_27'!$A$3:$A$493,0)),"")</f>
        <v>Napoli</v>
      </c>
      <c r="F26" s="47" t="n">
        <f aca="false">IFERROR(INDEX('Output Utente'!$N$2:$N$492,MATCH(23,'Output Utente'!$Q$2:$Q$492,0)),"")</f>
        <v>15</v>
      </c>
      <c r="G26" s="47" t="n">
        <f aca="false">IFERROR(INDEX('Output Utente'!$O$2:$O$492,MATCH(23,'Output Utente'!$Q$2:$Q$492,0)),"")</f>
        <v>100</v>
      </c>
      <c r="H26" s="7" t="str">
        <f aca="false">IFERROR(INDEX('Output Utente'!$P$2:$P$492,MATCH(23,'Output Utente'!$Q$2:$Q$492,0)),"")</f>
        <v>Top</v>
      </c>
      <c r="I26" s="47" t="n">
        <f aca="false">IFERROR(INDEX('Output Utente'!$F$2:$F$492,MATCH(23,'Output Utente'!$Q$2:$Q$492,0)),"")</f>
        <v>68</v>
      </c>
      <c r="J26" s="47" t="n">
        <f aca="false">IFERROR(INDEX('Output Utente'!$G$2:$G$492,MATCH(23,'Output Utente'!$Q$2:$Q$492,0)),"")</f>
        <v>46</v>
      </c>
      <c r="K26" s="47" t="n">
        <f aca="false">IFERROR(INDEX('Output Utente'!$H$2:$H$492,MATCH(23,'Output Utente'!$Q$2:$Q$492,0)),"")</f>
        <v>77</v>
      </c>
      <c r="L26" s="7" t="str">
        <f aca="false">IFERROR(INDEX('Output Utente'!$E$2:$E$492,MATCH(23,'Output Utente'!$Q$2:$Q$492,0)),"")</f>
        <v>NO</v>
      </c>
      <c r="M26" s="7" t="str">
        <f aca="false">IFERROR(INDEX('Output Utente'!$U$2:$U$492,MATCH(23,'Output Utente'!$Q$2:$Q$492,0)),"")</f>
        <v>Attenzione</v>
      </c>
      <c r="N26" s="7" t="str">
        <f aca="false">IFERROR(INDEX('Output Utente'!$AE$2:$AE$492,MATCH(23,'Output Utente'!$Q$2:$Q$492,0)),"")</f>
        <v>🟡 Attesa rischiosa</v>
      </c>
    </row>
    <row r="27" customFormat="false" ht="15" hidden="false" customHeight="true" outlineLevel="0" collapsed="false">
      <c r="A27" s="46" t="n">
        <v>24</v>
      </c>
      <c r="B27" s="7" t="n">
        <f aca="false">IFERROR(INDEX('Output Utente'!$A$2:$A$492,MATCH(24,'Output Utente'!$Q$2:$Q$492,0)),"")</f>
        <v>6435</v>
      </c>
      <c r="C27" s="7" t="str">
        <f aca="false">IFERROR(INDEX('Output Utente'!$B$2:$B$492,MATCH(24,'Output Utente'!$Q$2:$Q$492,0)),"")</f>
        <v>A</v>
      </c>
      <c r="D27" s="7" t="str">
        <f aca="false">IFERROR(INDEX('Output Utente'!$C$2:$C$492,MATCH(24,'Output Utente'!$Q$2:$Q$492,0)),"")</f>
        <v>Krstovic</v>
      </c>
      <c r="E27" s="7" t="str">
        <f aca="false">IFERROR(INDEX('Input Giocatori 2026_27'!$D$3:$D$493,MATCH($B27,'Input Giocatori 2026_27'!$A$3:$A$493,0)),"")</f>
        <v>Atalanta</v>
      </c>
      <c r="F27" s="47" t="n">
        <f aca="false">IFERROR(INDEX('Output Utente'!$N$2:$N$492,MATCH(24,'Output Utente'!$Q$2:$Q$492,0)),"")</f>
        <v>18</v>
      </c>
      <c r="G27" s="47" t="n">
        <f aca="false">IFERROR(INDEX('Output Utente'!$O$2:$O$492,MATCH(24,'Output Utente'!$Q$2:$Q$492,0)),"")</f>
        <v>100</v>
      </c>
      <c r="H27" s="7" t="str">
        <f aca="false">IFERROR(INDEX('Output Utente'!$P$2:$P$492,MATCH(24,'Output Utente'!$Q$2:$Q$492,0)),"")</f>
        <v>Buono</v>
      </c>
      <c r="I27" s="47" t="n">
        <f aca="false">IFERROR(INDEX('Output Utente'!$F$2:$F$492,MATCH(24,'Output Utente'!$Q$2:$Q$492,0)),"")</f>
        <v>104</v>
      </c>
      <c r="J27" s="47" t="n">
        <f aca="false">IFERROR(INDEX('Output Utente'!$G$2:$G$492,MATCH(24,'Output Utente'!$Q$2:$Q$492,0)),"")</f>
        <v>65</v>
      </c>
      <c r="K27" s="47" t="n">
        <f aca="false">IFERROR(INDEX('Output Utente'!$H$2:$H$492,MATCH(24,'Output Utente'!$Q$2:$Q$492,0)),"")</f>
        <v>121</v>
      </c>
      <c r="L27" s="7" t="str">
        <f aca="false">IFERROR(INDEX('Output Utente'!$E$2:$E$492,MATCH(24,'Output Utente'!$Q$2:$Q$492,0)),"")</f>
        <v>NO</v>
      </c>
      <c r="M27" s="7" t="str">
        <f aca="false">IFERROR(INDEX('Output Utente'!$U$2:$U$492,MATCH(24,'Output Utente'!$Q$2:$Q$492,0)),"")</f>
        <v>Attenzione</v>
      </c>
      <c r="N27" s="7" t="str">
        <f aca="false">IFERROR(INDEX('Output Utente'!$AE$2:$AE$492,MATCH(24,'Output Utente'!$Q$2:$Q$492,0)),"")</f>
        <v>🔴 Non aspettare</v>
      </c>
    </row>
    <row r="28" customFormat="false" ht="15" hidden="false" customHeight="true" outlineLevel="0" collapsed="false">
      <c r="A28" s="46" t="n">
        <v>25</v>
      </c>
      <c r="B28" s="7" t="n">
        <f aca="false">IFERROR(INDEX('Output Utente'!$A$2:$A$492,MATCH(25,'Output Utente'!$Q$2:$Q$492,0)),"")</f>
        <v>7071</v>
      </c>
      <c r="C28" s="7" t="str">
        <f aca="false">IFERROR(INDEX('Output Utente'!$B$2:$B$492,MATCH(25,'Output Utente'!$Q$2:$Q$492,0)),"")</f>
        <v>A</v>
      </c>
      <c r="D28" s="7" t="str">
        <f aca="false">IFERROR(INDEX('Output Utente'!$C$2:$C$492,MATCH(25,'Output Utente'!$Q$2:$Q$492,0)),"")</f>
        <v>Esposito F.P.</v>
      </c>
      <c r="E28" s="7" t="str">
        <f aca="false">IFERROR(INDEX('Input Giocatori 2026_27'!$D$3:$D$493,MATCH($B28,'Input Giocatori 2026_27'!$A$3:$A$493,0)),"")</f>
        <v>Inter</v>
      </c>
      <c r="F28" s="47" t="n">
        <f aca="false">IFERROR(INDEX('Output Utente'!$N$2:$N$492,MATCH(25,'Output Utente'!$Q$2:$Q$492,0)),"")</f>
        <v>16</v>
      </c>
      <c r="G28" s="47" t="n">
        <f aca="false">IFERROR(INDEX('Output Utente'!$O$2:$O$492,MATCH(25,'Output Utente'!$Q$2:$Q$492,0)),"")</f>
        <v>93</v>
      </c>
      <c r="H28" s="7" t="str">
        <f aca="false">IFERROR(INDEX('Output Utente'!$P$2:$P$492,MATCH(25,'Output Utente'!$Q$2:$Q$492,0)),"")</f>
        <v>Buono</v>
      </c>
      <c r="I28" s="47" t="n">
        <f aca="false">IFERROR(INDEX('Output Utente'!$F$2:$F$492,MATCH(25,'Output Utente'!$Q$2:$Q$492,0)),"")</f>
        <v>96</v>
      </c>
      <c r="J28" s="47" t="n">
        <f aca="false">IFERROR(INDEX('Output Utente'!$G$2:$G$492,MATCH(25,'Output Utente'!$Q$2:$Q$492,0)),"")</f>
        <v>60</v>
      </c>
      <c r="K28" s="47" t="n">
        <f aca="false">IFERROR(INDEX('Output Utente'!$H$2:$H$492,MATCH(25,'Output Utente'!$Q$2:$Q$492,0)),"")</f>
        <v>112</v>
      </c>
      <c r="L28" s="7" t="str">
        <f aca="false">IFERROR(INDEX('Output Utente'!$E$2:$E$492,MATCH(25,'Output Utente'!$Q$2:$Q$492,0)),"")</f>
        <v>NO</v>
      </c>
      <c r="M28" s="7" t="str">
        <f aca="false">IFERROR(INDEX('Output Utente'!$U$2:$U$492,MATCH(25,'Output Utente'!$Q$2:$Q$492,0)),"")</f>
        <v>Attenzione</v>
      </c>
      <c r="N28" s="7" t="str">
        <f aca="false">IFERROR(INDEX('Output Utente'!$AE$2:$AE$492,MATCH(25,'Output Utente'!$Q$2:$Q$492,0)),"")</f>
        <v>🔴 Non aspettare</v>
      </c>
    </row>
    <row r="29" customFormat="false" ht="15" hidden="false" customHeight="true" outlineLevel="0" collapsed="false">
      <c r="A29" s="46" t="n">
        <v>26</v>
      </c>
      <c r="B29" s="7" t="n">
        <f aca="false">IFERROR(INDEX('Output Utente'!$A$2:$A$492,MATCH(26,'Output Utente'!$Q$2:$Q$492,0)),"")</f>
        <v>632</v>
      </c>
      <c r="C29" s="7" t="str">
        <f aca="false">IFERROR(INDEX('Output Utente'!$B$2:$B$492,MATCH(26,'Output Utente'!$Q$2:$Q$492,0)),"")</f>
        <v>C</v>
      </c>
      <c r="D29" s="7" t="str">
        <f aca="false">IFERROR(INDEX('Output Utente'!$C$2:$C$492,MATCH(26,'Output Utente'!$Q$2:$Q$492,0)),"")</f>
        <v>Zaccagni</v>
      </c>
      <c r="E29" s="7" t="str">
        <f aca="false">IFERROR(INDEX('Input Giocatori 2026_27'!$D$3:$D$493,MATCH($B29,'Input Giocatori 2026_27'!$A$3:$A$493,0)),"")</f>
        <v>Lazio</v>
      </c>
      <c r="F29" s="47" t="n">
        <f aca="false">IFERROR(INDEX('Output Utente'!$N$2:$N$492,MATCH(26,'Output Utente'!$Q$2:$Q$492,0)),"")</f>
        <v>16</v>
      </c>
      <c r="G29" s="47" t="n">
        <f aca="false">IFERROR(INDEX('Output Utente'!$O$2:$O$492,MATCH(26,'Output Utente'!$Q$2:$Q$492,0)),"")</f>
        <v>91</v>
      </c>
      <c r="H29" s="7" t="str">
        <f aca="false">IFERROR(INDEX('Output Utente'!$P$2:$P$492,MATCH(26,'Output Utente'!$Q$2:$Q$492,0)),"")</f>
        <v>Top</v>
      </c>
      <c r="I29" s="47" t="n">
        <f aca="false">IFERROR(INDEX('Output Utente'!$F$2:$F$492,MATCH(26,'Output Utente'!$Q$2:$Q$492,0)),"")</f>
        <v>60</v>
      </c>
      <c r="J29" s="47" t="n">
        <f aca="false">IFERROR(INDEX('Output Utente'!$G$2:$G$492,MATCH(26,'Output Utente'!$Q$2:$Q$492,0)),"")</f>
        <v>41</v>
      </c>
      <c r="K29" s="47" t="n">
        <f aca="false">IFERROR(INDEX('Output Utente'!$H$2:$H$492,MATCH(26,'Output Utente'!$Q$2:$Q$492,0)),"")</f>
        <v>68</v>
      </c>
      <c r="L29" s="7" t="str">
        <f aca="false">IFERROR(INDEX('Output Utente'!$E$2:$E$492,MATCH(26,'Output Utente'!$Q$2:$Q$492,0)),"")</f>
        <v>NO</v>
      </c>
      <c r="M29" s="7" t="str">
        <f aca="false">IFERROR(INDEX('Output Utente'!$U$2:$U$492,MATCH(26,'Output Utente'!$Q$2:$Q$492,0)),"")</f>
        <v>OK</v>
      </c>
      <c r="N29" s="7" t="str">
        <f aca="false">IFERROR(INDEX('Output Utente'!$AE$2:$AE$492,MATCH(26,'Output Utente'!$Q$2:$Q$492,0)),"")</f>
        <v>🟡 Attesa rischiosa</v>
      </c>
    </row>
    <row r="30" customFormat="false" ht="15" hidden="false" customHeight="true" outlineLevel="0" collapsed="false">
      <c r="A30" s="46" t="n">
        <v>27</v>
      </c>
      <c r="B30" s="7" t="n">
        <f aca="false">IFERROR(INDEX('Output Utente'!$A$2:$A$492,MATCH(27,'Output Utente'!$Q$2:$Q$492,0)),"")</f>
        <v>7181</v>
      </c>
      <c r="C30" s="7" t="str">
        <f aca="false">IFERROR(INDEX('Output Utente'!$B$2:$B$492,MATCH(27,'Output Utente'!$Q$2:$Q$492,0)),"")</f>
        <v>D</v>
      </c>
      <c r="D30" s="7" t="str">
        <f aca="false">IFERROR(INDEX('Output Utente'!$C$2:$C$492,MATCH(27,'Output Utente'!$Q$2:$Q$492,0)),"")</f>
        <v>Wesley</v>
      </c>
      <c r="E30" s="7" t="str">
        <f aca="false">IFERROR(INDEX('Input Giocatori 2026_27'!$D$3:$D$493,MATCH($B30,'Input Giocatori 2026_27'!$A$3:$A$493,0)),"")</f>
        <v>Roma</v>
      </c>
      <c r="F30" s="47" t="n">
        <f aca="false">IFERROR(INDEX('Output Utente'!$N$2:$N$492,MATCH(27,'Output Utente'!$Q$2:$Q$492,0)),"")</f>
        <v>17</v>
      </c>
      <c r="G30" s="47" t="n">
        <f aca="false">IFERROR(INDEX('Output Utente'!$O$2:$O$492,MATCH(27,'Output Utente'!$Q$2:$Q$492,0)),"")</f>
        <v>90</v>
      </c>
      <c r="H30" s="7" t="str">
        <f aca="false">IFERROR(INDEX('Output Utente'!$P$2:$P$492,MATCH(27,'Output Utente'!$Q$2:$Q$492,0)),"")</f>
        <v>Top</v>
      </c>
      <c r="I30" s="47" t="n">
        <f aca="false">IFERROR(INDEX('Output Utente'!$F$2:$F$492,MATCH(27,'Output Utente'!$Q$2:$Q$492,0)),"")</f>
        <v>62</v>
      </c>
      <c r="J30" s="47" t="n">
        <f aca="false">IFERROR(INDEX('Output Utente'!$G$2:$G$492,MATCH(27,'Output Utente'!$Q$2:$Q$492,0)),"")</f>
        <v>46</v>
      </c>
      <c r="K30" s="47" t="n">
        <f aca="false">IFERROR(INDEX('Output Utente'!$H$2:$H$492,MATCH(27,'Output Utente'!$Q$2:$Q$492,0)),"")</f>
        <v>69</v>
      </c>
      <c r="L30" s="7" t="str">
        <f aca="false">IFERROR(INDEX('Output Utente'!$E$2:$E$492,MATCH(27,'Output Utente'!$Q$2:$Q$492,0)),"")</f>
        <v>NO</v>
      </c>
      <c r="M30" s="7" t="str">
        <f aca="false">IFERROR(INDEX('Output Utente'!$U$2:$U$492,MATCH(27,'Output Utente'!$Q$2:$Q$492,0)),"")</f>
        <v>Attenzione</v>
      </c>
      <c r="N30" s="7" t="str">
        <f aca="false">IFERROR(INDEX('Output Utente'!$AE$2:$AE$492,MATCH(27,'Output Utente'!$Q$2:$Q$492,0)),"")</f>
        <v>🟡 Attesa rischiosa</v>
      </c>
    </row>
    <row r="31" customFormat="false" ht="15" hidden="false" customHeight="true" outlineLevel="0" collapsed="false">
      <c r="A31" s="46" t="n">
        <v>28</v>
      </c>
      <c r="B31" s="7" t="n">
        <f aca="false">IFERROR(INDEX('Output Utente'!$A$2:$A$492,MATCH(28,'Output Utente'!$Q$2:$Q$492,0)),"")</f>
        <v>5559</v>
      </c>
      <c r="C31" s="7" t="str">
        <f aca="false">IFERROR(INDEX('Output Utente'!$B$2:$B$492,MATCH(28,'Output Utente'!$Q$2:$Q$492,0)),"")</f>
        <v>C</v>
      </c>
      <c r="D31" s="7" t="str">
        <f aca="false">IFERROR(INDEX('Output Utente'!$C$2:$C$492,MATCH(28,'Output Utente'!$Q$2:$Q$492,0)),"")</f>
        <v>Da Cunha</v>
      </c>
      <c r="E31" s="7" t="str">
        <f aca="false">IFERROR(INDEX('Input Giocatori 2026_27'!$D$3:$D$493,MATCH($B31,'Input Giocatori 2026_27'!$A$3:$A$493,0)),"")</f>
        <v>Como</v>
      </c>
      <c r="F31" s="47" t="n">
        <f aca="false">IFERROR(INDEX('Output Utente'!$N$2:$N$492,MATCH(28,'Output Utente'!$Q$2:$Q$492,0)),"")</f>
        <v>18</v>
      </c>
      <c r="G31" s="47" t="n">
        <f aca="false">IFERROR(INDEX('Output Utente'!$O$2:$O$492,MATCH(28,'Output Utente'!$Q$2:$Q$492,0)),"")</f>
        <v>90</v>
      </c>
      <c r="H31" s="7" t="str">
        <f aca="false">IFERROR(INDEX('Output Utente'!$P$2:$P$492,MATCH(28,'Output Utente'!$Q$2:$Q$492,0)),"")</f>
        <v>Top</v>
      </c>
      <c r="I31" s="47" t="n">
        <f aca="false">IFERROR(INDEX('Output Utente'!$F$2:$F$492,MATCH(28,'Output Utente'!$Q$2:$Q$492,0)),"")</f>
        <v>61</v>
      </c>
      <c r="J31" s="47" t="n">
        <f aca="false">IFERROR(INDEX('Output Utente'!$G$2:$G$492,MATCH(28,'Output Utente'!$Q$2:$Q$492,0)),"")</f>
        <v>41</v>
      </c>
      <c r="K31" s="47" t="n">
        <f aca="false">IFERROR(INDEX('Output Utente'!$H$2:$H$492,MATCH(28,'Output Utente'!$Q$2:$Q$492,0)),"")</f>
        <v>69</v>
      </c>
      <c r="L31" s="7" t="str">
        <f aca="false">IFERROR(INDEX('Output Utente'!$E$2:$E$492,MATCH(28,'Output Utente'!$Q$2:$Q$492,0)),"")</f>
        <v>NO</v>
      </c>
      <c r="M31" s="7" t="str">
        <f aca="false">IFERROR(INDEX('Output Utente'!$U$2:$U$492,MATCH(28,'Output Utente'!$Q$2:$Q$492,0)),"")</f>
        <v>Attenzione</v>
      </c>
      <c r="N31" s="7" t="str">
        <f aca="false">IFERROR(INDEX('Output Utente'!$AE$2:$AE$492,MATCH(28,'Output Utente'!$Q$2:$Q$492,0)),"")</f>
        <v>🟡 Attesa rischiosa</v>
      </c>
    </row>
    <row r="32" customFormat="false" ht="15" hidden="false" customHeight="true" outlineLevel="0" collapsed="false">
      <c r="A32" s="46" t="n">
        <v>29</v>
      </c>
      <c r="B32" s="7" t="n">
        <f aca="false">IFERROR(INDEX('Output Utente'!$A$2:$A$492,MATCH(29,'Output Utente'!$Q$2:$Q$492,0)),"")</f>
        <v>2766</v>
      </c>
      <c r="C32" s="7" t="str">
        <f aca="false">IFERROR(INDEX('Output Utente'!$B$2:$B$492,MATCH(29,'Output Utente'!$Q$2:$Q$492,0)),"")</f>
        <v>C</v>
      </c>
      <c r="D32" s="7" t="str">
        <f aca="false">IFERROR(INDEX('Output Utente'!$C$2:$C$492,MATCH(29,'Output Utente'!$Q$2:$Q$492,0)),"")</f>
        <v>Zaniolo</v>
      </c>
      <c r="E32" s="7" t="str">
        <f aca="false">IFERROR(INDEX('Input Giocatori 2026_27'!$D$3:$D$493,MATCH($B32,'Input Giocatori 2026_27'!$A$3:$A$493,0)),"")</f>
        <v>Udinese</v>
      </c>
      <c r="F32" s="47" t="n">
        <f aca="false">IFERROR(INDEX('Output Utente'!$N$2:$N$492,MATCH(29,'Output Utente'!$Q$2:$Q$492,0)),"")</f>
        <v>18</v>
      </c>
      <c r="G32" s="47" t="n">
        <f aca="false">IFERROR(INDEX('Output Utente'!$O$2:$O$492,MATCH(29,'Output Utente'!$Q$2:$Q$492,0)),"")</f>
        <v>90</v>
      </c>
      <c r="H32" s="7" t="str">
        <f aca="false">IFERROR(INDEX('Output Utente'!$P$2:$P$492,MATCH(29,'Output Utente'!$Q$2:$Q$492,0)),"")</f>
        <v>Top</v>
      </c>
      <c r="I32" s="47" t="n">
        <f aca="false">IFERROR(INDEX('Output Utente'!$F$2:$F$492,MATCH(29,'Output Utente'!$Q$2:$Q$492,0)),"")</f>
        <v>61</v>
      </c>
      <c r="J32" s="47" t="n">
        <f aca="false">IFERROR(INDEX('Output Utente'!$G$2:$G$492,MATCH(29,'Output Utente'!$Q$2:$Q$492,0)),"")</f>
        <v>41</v>
      </c>
      <c r="K32" s="47" t="n">
        <f aca="false">IFERROR(INDEX('Output Utente'!$H$2:$H$492,MATCH(29,'Output Utente'!$Q$2:$Q$492,0)),"")</f>
        <v>69</v>
      </c>
      <c r="L32" s="7" t="str">
        <f aca="false">IFERROR(INDEX('Output Utente'!$E$2:$E$492,MATCH(29,'Output Utente'!$Q$2:$Q$492,0)),"")</f>
        <v>NO</v>
      </c>
      <c r="M32" s="7" t="str">
        <f aca="false">IFERROR(INDEX('Output Utente'!$U$2:$U$492,MATCH(29,'Output Utente'!$Q$2:$Q$492,0)),"")</f>
        <v>Attenzione</v>
      </c>
      <c r="N32" s="7" t="str">
        <f aca="false">IFERROR(INDEX('Output Utente'!$AE$2:$AE$492,MATCH(29,'Output Utente'!$Q$2:$Q$492,0)),"")</f>
        <v>🟡 Attesa rischiosa</v>
      </c>
    </row>
    <row r="33" customFormat="false" ht="15" hidden="false" customHeight="true" outlineLevel="0" collapsed="false">
      <c r="A33" s="46" t="n">
        <v>30</v>
      </c>
      <c r="B33" s="7" t="n">
        <f aca="false">IFERROR(INDEX('Output Utente'!$A$2:$A$492,MATCH(30,'Output Utente'!$Q$2:$Q$492,0)),"")</f>
        <v>6060</v>
      </c>
      <c r="C33" s="7" t="str">
        <f aca="false">IFERROR(INDEX('Output Utente'!$B$2:$B$492,MATCH(30,'Output Utente'!$Q$2:$Q$492,0)),"")</f>
        <v>A</v>
      </c>
      <c r="D33" s="7" t="str">
        <f aca="false">IFERROR(INDEX('Output Utente'!$C$2:$C$492,MATCH(30,'Output Utente'!$Q$2:$Q$492,0)),"")</f>
        <v>Laurientè</v>
      </c>
      <c r="E33" s="7" t="str">
        <f aca="false">IFERROR(INDEX('Input Giocatori 2026_27'!$D$3:$D$493,MATCH($B33,'Input Giocatori 2026_27'!$A$3:$A$493,0)),"")</f>
        <v>Sassuolo</v>
      </c>
      <c r="F33" s="47" t="n">
        <f aca="false">IFERROR(INDEX('Output Utente'!$N$2:$N$492,MATCH(30,'Output Utente'!$Q$2:$Q$492,0)),"")</f>
        <v>15</v>
      </c>
      <c r="G33" s="47" t="n">
        <f aca="false">IFERROR(INDEX('Output Utente'!$O$2:$O$492,MATCH(30,'Output Utente'!$Q$2:$Q$492,0)),"")</f>
        <v>88</v>
      </c>
      <c r="H33" s="7" t="str">
        <f aca="false">IFERROR(INDEX('Output Utente'!$P$2:$P$492,MATCH(30,'Output Utente'!$Q$2:$Q$492,0)),"")</f>
        <v>Buono</v>
      </c>
      <c r="I33" s="47" t="n">
        <f aca="false">IFERROR(INDEX('Output Utente'!$F$2:$F$492,MATCH(30,'Output Utente'!$Q$2:$Q$492,0)),"")</f>
        <v>91</v>
      </c>
      <c r="J33" s="47" t="n">
        <f aca="false">IFERROR(INDEX('Output Utente'!$G$2:$G$492,MATCH(30,'Output Utente'!$Q$2:$Q$492,0)),"")</f>
        <v>57</v>
      </c>
      <c r="K33" s="47" t="n">
        <f aca="false">IFERROR(INDEX('Output Utente'!$H$2:$H$492,MATCH(30,'Output Utente'!$Q$2:$Q$492,0)),"")</f>
        <v>106</v>
      </c>
      <c r="L33" s="7" t="str">
        <f aca="false">IFERROR(INDEX('Output Utente'!$E$2:$E$492,MATCH(30,'Output Utente'!$Q$2:$Q$492,0)),"")</f>
        <v>NO</v>
      </c>
      <c r="M33" s="7" t="str">
        <f aca="false">IFERROR(INDEX('Output Utente'!$U$2:$U$492,MATCH(30,'Output Utente'!$Q$2:$Q$492,0)),"")</f>
        <v>Attenzione</v>
      </c>
      <c r="N33" s="7" t="str">
        <f aca="false">IFERROR(INDEX('Output Utente'!$AE$2:$AE$492,MATCH(30,'Output Utente'!$Q$2:$Q$492,0)),"")</f>
        <v>🔴 Non aspettare</v>
      </c>
    </row>
    <row r="34" customFormat="false" ht="15" hidden="false" customHeight="true" outlineLevel="0" collapsed="false">
      <c r="A34" s="46" t="n">
        <v>31</v>
      </c>
      <c r="B34" s="7" t="n">
        <f aca="false">IFERROR(INDEX('Output Utente'!$A$2:$A$492,MATCH(31,'Output Utente'!$Q$2:$Q$492,0)),"")</f>
        <v>6908</v>
      </c>
      <c r="C34" s="7" t="str">
        <f aca="false">IFERROR(INDEX('Output Utente'!$B$2:$B$492,MATCH(31,'Output Utente'!$Q$2:$Q$492,0)),"")</f>
        <v>C</v>
      </c>
      <c r="D34" s="7" t="str">
        <f aca="false">IFERROR(INDEX('Output Utente'!$C$2:$C$492,MATCH(31,'Output Utente'!$Q$2:$Q$492,0)),"")</f>
        <v>Atta</v>
      </c>
      <c r="E34" s="7" t="str">
        <f aca="false">IFERROR(INDEX('Input Giocatori 2026_27'!$D$3:$D$493,MATCH($B34,'Input Giocatori 2026_27'!$A$3:$A$493,0)),"")</f>
        <v>Fiorentina</v>
      </c>
      <c r="F34" s="47" t="n">
        <f aca="false">IFERROR(INDEX('Output Utente'!$N$2:$N$492,MATCH(31,'Output Utente'!$Q$2:$Q$492,0)),"")</f>
        <v>17</v>
      </c>
      <c r="G34" s="47" t="n">
        <f aca="false">IFERROR(INDEX('Output Utente'!$O$2:$O$492,MATCH(31,'Output Utente'!$Q$2:$Q$492,0)),"")</f>
        <v>87</v>
      </c>
      <c r="H34" s="7" t="str">
        <f aca="false">IFERROR(INDEX('Output Utente'!$P$2:$P$492,MATCH(31,'Output Utente'!$Q$2:$Q$492,0)),"")</f>
        <v>Top</v>
      </c>
      <c r="I34" s="47" t="n">
        <f aca="false">IFERROR(INDEX('Output Utente'!$F$2:$F$492,MATCH(31,'Output Utente'!$Q$2:$Q$492,0)),"")</f>
        <v>59</v>
      </c>
      <c r="J34" s="47" t="n">
        <f aca="false">IFERROR(INDEX('Output Utente'!$G$2:$G$492,MATCH(31,'Output Utente'!$Q$2:$Q$492,0)),"")</f>
        <v>40</v>
      </c>
      <c r="K34" s="47" t="n">
        <f aca="false">IFERROR(INDEX('Output Utente'!$H$2:$H$492,MATCH(31,'Output Utente'!$Q$2:$Q$492,0)),"")</f>
        <v>67</v>
      </c>
      <c r="L34" s="7" t="str">
        <f aca="false">IFERROR(INDEX('Output Utente'!$E$2:$E$492,MATCH(31,'Output Utente'!$Q$2:$Q$492,0)),"")</f>
        <v>NO</v>
      </c>
      <c r="M34" s="7" t="str">
        <f aca="false">IFERROR(INDEX('Output Utente'!$U$2:$U$492,MATCH(31,'Output Utente'!$Q$2:$Q$492,0)),"")</f>
        <v>OK</v>
      </c>
      <c r="N34" s="7" t="str">
        <f aca="false">IFERROR(INDEX('Output Utente'!$AE$2:$AE$492,MATCH(31,'Output Utente'!$Q$2:$Q$492,0)),"")</f>
        <v>🟡 Attesa rischiosa</v>
      </c>
    </row>
    <row r="35" customFormat="false" ht="15" hidden="false" customHeight="true" outlineLevel="0" collapsed="false">
      <c r="A35" s="46" t="n">
        <v>32</v>
      </c>
      <c r="B35" s="7" t="n">
        <f aca="false">IFERROR(INDEX('Output Utente'!$A$2:$A$492,MATCH(32,'Output Utente'!$Q$2:$Q$492,0)),"")</f>
        <v>6675</v>
      </c>
      <c r="C35" s="7" t="str">
        <f aca="false">IFERROR(INDEX('Output Utente'!$B$2:$B$492,MATCH(32,'Output Utente'!$Q$2:$Q$492,0)),"")</f>
        <v>A</v>
      </c>
      <c r="D35" s="7" t="str">
        <f aca="false">IFERROR(INDEX('Output Utente'!$C$2:$C$492,MATCH(32,'Output Utente'!$Q$2:$Q$492,0)),"")</f>
        <v>Dovbyk</v>
      </c>
      <c r="E35" s="7" t="str">
        <f aca="false">IFERROR(INDEX('Input Giocatori 2026_27'!$D$3:$D$493,MATCH($B35,'Input Giocatori 2026_27'!$A$3:$A$493,0)),"")</f>
        <v>Bologna</v>
      </c>
      <c r="F35" s="47" t="n">
        <f aca="false">IFERROR(INDEX('Output Utente'!$N$2:$N$492,MATCH(32,'Output Utente'!$Q$2:$Q$492,0)),"")</f>
        <v>16</v>
      </c>
      <c r="G35" s="47" t="n">
        <f aca="false">IFERROR(INDEX('Output Utente'!$O$2:$O$492,MATCH(32,'Output Utente'!$Q$2:$Q$492,0)),"")</f>
        <v>84</v>
      </c>
      <c r="H35" s="7" t="str">
        <f aca="false">IFERROR(INDEX('Output Utente'!$P$2:$P$492,MATCH(32,'Output Utente'!$Q$2:$Q$492,0)),"")</f>
        <v>Buono</v>
      </c>
      <c r="I35" s="47" t="n">
        <f aca="false">IFERROR(INDEX('Output Utente'!$F$2:$F$492,MATCH(32,'Output Utente'!$Q$2:$Q$492,0)),"")</f>
        <v>86</v>
      </c>
      <c r="J35" s="47" t="n">
        <f aca="false">IFERROR(INDEX('Output Utente'!$G$2:$G$492,MATCH(32,'Output Utente'!$Q$2:$Q$492,0)),"")</f>
        <v>54</v>
      </c>
      <c r="K35" s="47" t="n">
        <f aca="false">IFERROR(INDEX('Output Utente'!$H$2:$H$492,MATCH(32,'Output Utente'!$Q$2:$Q$492,0)),"")</f>
        <v>100</v>
      </c>
      <c r="L35" s="7" t="str">
        <f aca="false">IFERROR(INDEX('Output Utente'!$E$2:$E$492,MATCH(32,'Output Utente'!$Q$2:$Q$492,0)),"")</f>
        <v>NO</v>
      </c>
      <c r="M35" s="7" t="str">
        <f aca="false">IFERROR(INDEX('Output Utente'!$U$2:$U$492,MATCH(32,'Output Utente'!$Q$2:$Q$492,0)),"")</f>
        <v>Attenzione</v>
      </c>
      <c r="N35" s="7" t="str">
        <f aca="false">IFERROR(INDEX('Output Utente'!$AE$2:$AE$492,MATCH(32,'Output Utente'!$Q$2:$Q$492,0)),"")</f>
        <v>🔴 Non aspettare</v>
      </c>
    </row>
    <row r="36" customFormat="false" ht="15" hidden="false" customHeight="true" outlineLevel="0" collapsed="false">
      <c r="A36" s="46" t="n">
        <v>33</v>
      </c>
      <c r="B36" s="7" t="n">
        <f aca="false">IFERROR(INDEX('Output Utente'!$A$2:$A$492,MATCH(33,'Output Utente'!$Q$2:$Q$492,0)),"")</f>
        <v>6572</v>
      </c>
      <c r="C36" s="7" t="str">
        <f aca="false">IFERROR(INDEX('Output Utente'!$B$2:$B$492,MATCH(33,'Output Utente'!$Q$2:$Q$492,0)),"")</f>
        <v>A</v>
      </c>
      <c r="D36" s="7" t="str">
        <f aca="false">IFERROR(INDEX('Output Utente'!$C$2:$C$492,MATCH(33,'Output Utente'!$Q$2:$Q$492,0)),"")</f>
        <v>Castro S.</v>
      </c>
      <c r="E36" s="7" t="str">
        <f aca="false">IFERROR(INDEX('Input Giocatori 2026_27'!$D$3:$D$493,MATCH($B36,'Input Giocatori 2026_27'!$A$3:$A$493,0)),"")</f>
        <v>Roma</v>
      </c>
      <c r="F36" s="47" t="n">
        <f aca="false">IFERROR(INDEX('Output Utente'!$N$2:$N$492,MATCH(33,'Output Utente'!$Q$2:$Q$492,0)),"")</f>
        <v>14</v>
      </c>
      <c r="G36" s="47" t="n">
        <f aca="false">IFERROR(INDEX('Output Utente'!$O$2:$O$492,MATCH(33,'Output Utente'!$Q$2:$Q$492,0)),"")</f>
        <v>83</v>
      </c>
      <c r="H36" s="7" t="str">
        <f aca="false">IFERROR(INDEX('Output Utente'!$P$2:$P$492,MATCH(33,'Output Utente'!$Q$2:$Q$492,0)),"")</f>
        <v>Buono</v>
      </c>
      <c r="I36" s="47" t="n">
        <f aca="false">IFERROR(INDEX('Output Utente'!$F$2:$F$492,MATCH(33,'Output Utente'!$Q$2:$Q$492,0)),"")</f>
        <v>85</v>
      </c>
      <c r="J36" s="47" t="n">
        <f aca="false">IFERROR(INDEX('Output Utente'!$G$2:$G$492,MATCH(33,'Output Utente'!$Q$2:$Q$492,0)),"")</f>
        <v>53</v>
      </c>
      <c r="K36" s="47" t="n">
        <f aca="false">IFERROR(INDEX('Output Utente'!$H$2:$H$492,MATCH(33,'Output Utente'!$Q$2:$Q$492,0)),"")</f>
        <v>98</v>
      </c>
      <c r="L36" s="7" t="str">
        <f aca="false">IFERROR(INDEX('Output Utente'!$E$2:$E$492,MATCH(33,'Output Utente'!$Q$2:$Q$492,0)),"")</f>
        <v>NO</v>
      </c>
      <c r="M36" s="7" t="str">
        <f aca="false">IFERROR(INDEX('Output Utente'!$U$2:$U$492,MATCH(33,'Output Utente'!$Q$2:$Q$492,0)),"")</f>
        <v>Attenzione</v>
      </c>
      <c r="N36" s="7" t="str">
        <f aca="false">IFERROR(INDEX('Output Utente'!$AE$2:$AE$492,MATCH(33,'Output Utente'!$Q$2:$Q$492,0)),"")</f>
        <v>🔴 Non aspettare</v>
      </c>
    </row>
    <row r="37" customFormat="false" ht="15" hidden="false" customHeight="true" outlineLevel="0" collapsed="false">
      <c r="A37" s="46" t="n">
        <v>34</v>
      </c>
      <c r="B37" s="7" t="n">
        <f aca="false">IFERROR(INDEX('Output Utente'!$A$2:$A$492,MATCH(34,'Output Utente'!$Q$2:$Q$492,0)),"")</f>
        <v>1870</v>
      </c>
      <c r="C37" s="7" t="str">
        <f aca="false">IFERROR(INDEX('Output Utente'!$B$2:$B$492,MATCH(34,'Output Utente'!$Q$2:$Q$492,0)),"")</f>
        <v>C</v>
      </c>
      <c r="D37" s="7" t="str">
        <f aca="false">IFERROR(INDEX('Output Utente'!$C$2:$C$492,MATCH(34,'Output Utente'!$Q$2:$Q$492,0)),"")</f>
        <v>Barella</v>
      </c>
      <c r="E37" s="7" t="str">
        <f aca="false">IFERROR(INDEX('Input Giocatori 2026_27'!$D$3:$D$493,MATCH($B37,'Input Giocatori 2026_27'!$A$3:$A$493,0)),"")</f>
        <v>Inter</v>
      </c>
      <c r="F37" s="47" t="n">
        <f aca="false">IFERROR(INDEX('Output Utente'!$N$2:$N$492,MATCH(34,'Output Utente'!$Q$2:$Q$492,0)),"")</f>
        <v>17</v>
      </c>
      <c r="G37" s="47" t="n">
        <f aca="false">IFERROR(INDEX('Output Utente'!$O$2:$O$492,MATCH(34,'Output Utente'!$Q$2:$Q$492,0)),"")</f>
        <v>82</v>
      </c>
      <c r="H37" s="7" t="str">
        <f aca="false">IFERROR(INDEX('Output Utente'!$P$2:$P$492,MATCH(34,'Output Utente'!$Q$2:$Q$492,0)),"")</f>
        <v>Top</v>
      </c>
      <c r="I37" s="47" t="n">
        <f aca="false">IFERROR(INDEX('Output Utente'!$F$2:$F$492,MATCH(34,'Output Utente'!$Q$2:$Q$492,0)),"")</f>
        <v>55</v>
      </c>
      <c r="J37" s="47" t="n">
        <f aca="false">IFERROR(INDEX('Output Utente'!$G$2:$G$492,MATCH(34,'Output Utente'!$Q$2:$Q$492,0)),"")</f>
        <v>37</v>
      </c>
      <c r="K37" s="47" t="n">
        <f aca="false">IFERROR(INDEX('Output Utente'!$H$2:$H$492,MATCH(34,'Output Utente'!$Q$2:$Q$492,0)),"")</f>
        <v>62</v>
      </c>
      <c r="L37" s="7" t="str">
        <f aca="false">IFERROR(INDEX('Output Utente'!$E$2:$E$492,MATCH(34,'Output Utente'!$Q$2:$Q$492,0)),"")</f>
        <v>NO</v>
      </c>
      <c r="M37" s="7" t="str">
        <f aca="false">IFERROR(INDEX('Output Utente'!$U$2:$U$492,MATCH(34,'Output Utente'!$Q$2:$Q$492,0)),"")</f>
        <v>OK</v>
      </c>
      <c r="N37" s="7" t="str">
        <f aca="false">IFERROR(INDEX('Output Utente'!$AE$2:$AE$492,MATCH(34,'Output Utente'!$Q$2:$Q$492,0)),"")</f>
        <v>🟡 Attesa rischiosa</v>
      </c>
    </row>
    <row r="38" customFormat="false" ht="15" hidden="false" customHeight="true" outlineLevel="0" collapsed="false">
      <c r="A38" s="46" t="n">
        <v>35</v>
      </c>
      <c r="B38" s="7" t="n">
        <f aca="false">IFERROR(INDEX('Output Utente'!$A$2:$A$492,MATCH(35,'Output Utente'!$Q$2:$Q$492,0)),"")</f>
        <v>2061</v>
      </c>
      <c r="C38" s="7" t="str">
        <f aca="false">IFERROR(INDEX('Output Utente'!$B$2:$B$492,MATCH(35,'Output Utente'!$Q$2:$Q$492,0)),"")</f>
        <v>A</v>
      </c>
      <c r="D38" s="7" t="str">
        <f aca="false">IFERROR(INDEX('Output Utente'!$C$2:$C$492,MATCH(35,'Output Utente'!$Q$2:$Q$492,0)),"")</f>
        <v>Simeone</v>
      </c>
      <c r="E38" s="7" t="str">
        <f aca="false">IFERROR(INDEX('Input Giocatori 2026_27'!$D$3:$D$493,MATCH($B38,'Input Giocatori 2026_27'!$A$3:$A$493,0)),"")</f>
        <v>Torino</v>
      </c>
      <c r="F38" s="47" t="n">
        <f aca="false">IFERROR(INDEX('Output Utente'!$N$2:$N$492,MATCH(35,'Output Utente'!$Q$2:$Q$492,0)),"")</f>
        <v>15</v>
      </c>
      <c r="G38" s="47" t="n">
        <f aca="false">IFERROR(INDEX('Output Utente'!$O$2:$O$492,MATCH(35,'Output Utente'!$Q$2:$Q$492,0)),"")</f>
        <v>82</v>
      </c>
      <c r="H38" s="7" t="str">
        <f aca="false">IFERROR(INDEX('Output Utente'!$P$2:$P$492,MATCH(35,'Output Utente'!$Q$2:$Q$492,0)),"")</f>
        <v>Buono</v>
      </c>
      <c r="I38" s="47" t="n">
        <f aca="false">IFERROR(INDEX('Output Utente'!$F$2:$F$492,MATCH(35,'Output Utente'!$Q$2:$Q$492,0)),"")</f>
        <v>85</v>
      </c>
      <c r="J38" s="47" t="n">
        <f aca="false">IFERROR(INDEX('Output Utente'!$G$2:$G$492,MATCH(35,'Output Utente'!$Q$2:$Q$492,0)),"")</f>
        <v>53</v>
      </c>
      <c r="K38" s="47" t="n">
        <f aca="false">IFERROR(INDEX('Output Utente'!$H$2:$H$492,MATCH(35,'Output Utente'!$Q$2:$Q$492,0)),"")</f>
        <v>99</v>
      </c>
      <c r="L38" s="7" t="str">
        <f aca="false">IFERROR(INDEX('Output Utente'!$E$2:$E$492,MATCH(35,'Output Utente'!$Q$2:$Q$492,0)),"")</f>
        <v>NO</v>
      </c>
      <c r="M38" s="7" t="str">
        <f aca="false">IFERROR(INDEX('Output Utente'!$U$2:$U$492,MATCH(35,'Output Utente'!$Q$2:$Q$492,0)),"")</f>
        <v>Attenzione</v>
      </c>
      <c r="N38" s="7" t="str">
        <f aca="false">IFERROR(INDEX('Output Utente'!$AE$2:$AE$492,MATCH(35,'Output Utente'!$Q$2:$Q$492,0)),"")</f>
        <v>🔴 Non aspettare</v>
      </c>
    </row>
    <row r="39" customFormat="false" ht="15" hidden="false" customHeight="true" outlineLevel="0" collapsed="false">
      <c r="A39" s="46" t="n">
        <v>36</v>
      </c>
      <c r="B39" s="7" t="n">
        <f aca="false">IFERROR(INDEX('Output Utente'!$A$2:$A$492,MATCH(36,'Output Utente'!$Q$2:$Q$492,0)),"")</f>
        <v>7023</v>
      </c>
      <c r="C39" s="7" t="str">
        <f aca="false">IFERROR(INDEX('Output Utente'!$B$2:$B$492,MATCH(36,'Output Utente'!$Q$2:$Q$492,0)),"")</f>
        <v>A</v>
      </c>
      <c r="D39" s="7" t="str">
        <f aca="false">IFERROR(INDEX('Output Utente'!$C$2:$C$492,MATCH(36,'Output Utente'!$Q$2:$Q$492,0)),"")</f>
        <v>Pellegrino M.</v>
      </c>
      <c r="E39" s="7" t="str">
        <f aca="false">IFERROR(INDEX('Input Giocatori 2026_27'!$D$3:$D$493,MATCH($B39,'Input Giocatori 2026_27'!$A$3:$A$493,0)),"")</f>
        <v>Parma</v>
      </c>
      <c r="F39" s="47" t="n">
        <f aca="false">IFERROR(INDEX('Output Utente'!$N$2:$N$492,MATCH(36,'Output Utente'!$Q$2:$Q$492,0)),"")</f>
        <v>15</v>
      </c>
      <c r="G39" s="47" t="n">
        <f aca="false">IFERROR(INDEX('Output Utente'!$O$2:$O$492,MATCH(36,'Output Utente'!$Q$2:$Q$492,0)),"")</f>
        <v>81</v>
      </c>
      <c r="H39" s="7" t="str">
        <f aca="false">IFERROR(INDEX('Output Utente'!$P$2:$P$492,MATCH(36,'Output Utente'!$Q$2:$Q$492,0)),"")</f>
        <v>Buono</v>
      </c>
      <c r="I39" s="47" t="n">
        <f aca="false">IFERROR(INDEX('Output Utente'!$F$2:$F$492,MATCH(36,'Output Utente'!$Q$2:$Q$492,0)),"")</f>
        <v>83</v>
      </c>
      <c r="J39" s="47" t="n">
        <f aca="false">IFERROR(INDEX('Output Utente'!$G$2:$G$492,MATCH(36,'Output Utente'!$Q$2:$Q$492,0)),"")</f>
        <v>52</v>
      </c>
      <c r="K39" s="47" t="n">
        <f aca="false">IFERROR(INDEX('Output Utente'!$H$2:$H$492,MATCH(36,'Output Utente'!$Q$2:$Q$492,0)),"")</f>
        <v>96</v>
      </c>
      <c r="L39" s="7" t="str">
        <f aca="false">IFERROR(INDEX('Output Utente'!$E$2:$E$492,MATCH(36,'Output Utente'!$Q$2:$Q$492,0)),"")</f>
        <v>NO</v>
      </c>
      <c r="M39" s="7" t="str">
        <f aca="false">IFERROR(INDEX('Output Utente'!$U$2:$U$492,MATCH(36,'Output Utente'!$Q$2:$Q$492,0)),"")</f>
        <v>Attenzione</v>
      </c>
      <c r="N39" s="7" t="str">
        <f aca="false">IFERROR(INDEX('Output Utente'!$AE$2:$AE$492,MATCH(36,'Output Utente'!$Q$2:$Q$492,0)),"")</f>
        <v>🔴 Non aspettare</v>
      </c>
    </row>
    <row r="40" customFormat="false" ht="15" hidden="false" customHeight="true" outlineLevel="0" collapsed="false">
      <c r="A40" s="46" t="n">
        <v>37</v>
      </c>
      <c r="B40" s="7" t="n">
        <f aca="false">IFERROR(INDEX('Output Utente'!$A$2:$A$492,MATCH(37,'Output Utente'!$Q$2:$Q$492,0)),"")</f>
        <v>5687</v>
      </c>
      <c r="C40" s="7" t="str">
        <f aca="false">IFERROR(INDEX('Output Utente'!$B$2:$B$492,MATCH(37,'Output Utente'!$Q$2:$Q$492,0)),"")</f>
        <v>C</v>
      </c>
      <c r="D40" s="7" t="str">
        <f aca="false">IFERROR(INDEX('Output Utente'!$C$2:$C$492,MATCH(37,'Output Utente'!$Q$2:$Q$492,0)),"")</f>
        <v>Vlasic</v>
      </c>
      <c r="E40" s="7" t="str">
        <f aca="false">IFERROR(INDEX('Input Giocatori 2026_27'!$D$3:$D$493,MATCH($B40,'Input Giocatori 2026_27'!$A$3:$A$493,0)),"")</f>
        <v>Torino</v>
      </c>
      <c r="F40" s="47" t="n">
        <f aca="false">IFERROR(INDEX('Output Utente'!$N$2:$N$492,MATCH(37,'Output Utente'!$Q$2:$Q$492,0)),"")</f>
        <v>14</v>
      </c>
      <c r="G40" s="47" t="n">
        <f aca="false">IFERROR(INDEX('Output Utente'!$O$2:$O$492,MATCH(37,'Output Utente'!$Q$2:$Q$492,0)),"")</f>
        <v>80</v>
      </c>
      <c r="H40" s="7" t="str">
        <f aca="false">IFERROR(INDEX('Output Utente'!$P$2:$P$492,MATCH(37,'Output Utente'!$Q$2:$Q$492,0)),"")</f>
        <v>Top</v>
      </c>
      <c r="I40" s="47" t="n">
        <f aca="false">IFERROR(INDEX('Output Utente'!$F$2:$F$492,MATCH(37,'Output Utente'!$Q$2:$Q$492,0)),"")</f>
        <v>54</v>
      </c>
      <c r="J40" s="47" t="n">
        <f aca="false">IFERROR(INDEX('Output Utente'!$G$2:$G$492,MATCH(37,'Output Utente'!$Q$2:$Q$492,0)),"")</f>
        <v>36</v>
      </c>
      <c r="K40" s="47" t="n">
        <f aca="false">IFERROR(INDEX('Output Utente'!$H$2:$H$492,MATCH(37,'Output Utente'!$Q$2:$Q$492,0)),"")</f>
        <v>61</v>
      </c>
      <c r="L40" s="7" t="str">
        <f aca="false">IFERROR(INDEX('Output Utente'!$E$2:$E$492,MATCH(37,'Output Utente'!$Q$2:$Q$492,0)),"")</f>
        <v>NO</v>
      </c>
      <c r="M40" s="7" t="str">
        <f aca="false">IFERROR(INDEX('Output Utente'!$U$2:$U$492,MATCH(37,'Output Utente'!$Q$2:$Q$492,0)),"")</f>
        <v>OK</v>
      </c>
      <c r="N40" s="7" t="str">
        <f aca="false">IFERROR(INDEX('Output Utente'!$AE$2:$AE$492,MATCH(37,'Output Utente'!$Q$2:$Q$492,0)),"")</f>
        <v>🟡 Attesa rischiosa</v>
      </c>
    </row>
    <row r="41" customFormat="false" ht="15" hidden="false" customHeight="true" outlineLevel="0" collapsed="false">
      <c r="A41" s="46" t="n">
        <v>38</v>
      </c>
      <c r="B41" s="7" t="n">
        <f aca="false">IFERROR(INDEX('Output Utente'!$A$2:$A$492,MATCH(38,'Output Utente'!$Q$2:$Q$492,0)),"")</f>
        <v>4973</v>
      </c>
      <c r="C41" s="7" t="str">
        <f aca="false">IFERROR(INDEX('Output Utente'!$B$2:$B$492,MATCH(38,'Output Utente'!$Q$2:$Q$492,0)),"")</f>
        <v>C</v>
      </c>
      <c r="D41" s="7" t="str">
        <f aca="false">IFERROR(INDEX('Output Utente'!$C$2:$C$492,MATCH(38,'Output Utente'!$Q$2:$Q$492,0)),"")</f>
        <v>McKennie</v>
      </c>
      <c r="E41" s="7" t="str">
        <f aca="false">IFERROR(INDEX('Input Giocatori 2026_27'!$D$3:$D$493,MATCH($B41,'Input Giocatori 2026_27'!$A$3:$A$493,0)),"")</f>
        <v>Juventus</v>
      </c>
      <c r="F41" s="47" t="n">
        <f aca="false">IFERROR(INDEX('Output Utente'!$N$2:$N$492,MATCH(38,'Output Utente'!$Q$2:$Q$492,0)),"")</f>
        <v>17</v>
      </c>
      <c r="G41" s="47" t="n">
        <f aca="false">IFERROR(INDEX('Output Utente'!$O$2:$O$492,MATCH(38,'Output Utente'!$Q$2:$Q$492,0)),"")</f>
        <v>68</v>
      </c>
      <c r="H41" s="7" t="str">
        <f aca="false">IFERROR(INDEX('Output Utente'!$P$2:$P$492,MATCH(38,'Output Utente'!$Q$2:$Q$492,0)),"")</f>
        <v>Top</v>
      </c>
      <c r="I41" s="47" t="n">
        <f aca="false">IFERROR(INDEX('Output Utente'!$F$2:$F$492,MATCH(38,'Output Utente'!$Q$2:$Q$492,0)),"")</f>
        <v>46</v>
      </c>
      <c r="J41" s="47" t="n">
        <f aca="false">IFERROR(INDEX('Output Utente'!$G$2:$G$492,MATCH(38,'Output Utente'!$Q$2:$Q$492,0)),"")</f>
        <v>31</v>
      </c>
      <c r="K41" s="47" t="n">
        <f aca="false">IFERROR(INDEX('Output Utente'!$H$2:$H$492,MATCH(38,'Output Utente'!$Q$2:$Q$492,0)),"")</f>
        <v>52</v>
      </c>
      <c r="L41" s="7" t="str">
        <f aca="false">IFERROR(INDEX('Output Utente'!$E$2:$E$492,MATCH(38,'Output Utente'!$Q$2:$Q$492,0)),"")</f>
        <v>NO</v>
      </c>
      <c r="M41" s="7" t="str">
        <f aca="false">IFERROR(INDEX('Output Utente'!$U$2:$U$492,MATCH(38,'Output Utente'!$Q$2:$Q$492,0)),"")</f>
        <v>OK</v>
      </c>
      <c r="N41" s="7" t="str">
        <f aca="false">IFERROR(INDEX('Output Utente'!$AE$2:$AE$492,MATCH(38,'Output Utente'!$Q$2:$Q$492,0)),"")</f>
        <v>🟡 Attesa rischiosa</v>
      </c>
    </row>
    <row r="42" customFormat="false" ht="15" hidden="false" customHeight="true" outlineLevel="0" collapsed="false">
      <c r="A42" s="46" t="n">
        <v>39</v>
      </c>
      <c r="B42" s="7" t="n">
        <f aca="false">IFERROR(INDEX('Output Utente'!$A$2:$A$492,MATCH(39,'Output Utente'!$Q$2:$Q$492,0)),"")</f>
        <v>309</v>
      </c>
      <c r="C42" s="7" t="str">
        <f aca="false">IFERROR(INDEX('Output Utente'!$B$2:$B$492,MATCH(39,'Output Utente'!$Q$2:$Q$492,0)),"")</f>
        <v>A</v>
      </c>
      <c r="D42" s="7" t="str">
        <f aca="false">IFERROR(INDEX('Output Utente'!$C$2:$C$492,MATCH(39,'Output Utente'!$Q$2:$Q$492,0)),"")</f>
        <v>Dybala</v>
      </c>
      <c r="E42" s="7" t="str">
        <f aca="false">IFERROR(INDEX('Input Giocatori 2026_27'!$D$3:$D$493,MATCH($B42,'Input Giocatori 2026_27'!$A$3:$A$493,0)),"")</f>
        <v>Roma</v>
      </c>
      <c r="F42" s="47" t="n">
        <f aca="false">IFERROR(INDEX('Output Utente'!$N$2:$N$492,MATCH(39,'Output Utente'!$Q$2:$Q$492,0)),"")</f>
        <v>14</v>
      </c>
      <c r="G42" s="47" t="n">
        <f aca="false">IFERROR(INDEX('Output Utente'!$O$2:$O$492,MATCH(39,'Output Utente'!$Q$2:$Q$492,0)),"")</f>
        <v>67</v>
      </c>
      <c r="H42" s="7" t="str">
        <f aca="false">IFERROR(INDEX('Output Utente'!$P$2:$P$492,MATCH(39,'Output Utente'!$Q$2:$Q$492,0)),"")</f>
        <v>Buono</v>
      </c>
      <c r="I42" s="47" t="n">
        <f aca="false">IFERROR(INDEX('Output Utente'!$F$2:$F$492,MATCH(39,'Output Utente'!$Q$2:$Q$492,0)),"")</f>
        <v>69</v>
      </c>
      <c r="J42" s="47" t="n">
        <f aca="false">IFERROR(INDEX('Output Utente'!$G$2:$G$492,MATCH(39,'Output Utente'!$Q$2:$Q$492,0)),"")</f>
        <v>43</v>
      </c>
      <c r="K42" s="47" t="n">
        <f aca="false">IFERROR(INDEX('Output Utente'!$H$2:$H$492,MATCH(39,'Output Utente'!$Q$2:$Q$492,0)),"")</f>
        <v>80</v>
      </c>
      <c r="L42" s="7" t="str">
        <f aca="false">IFERROR(INDEX('Output Utente'!$E$2:$E$492,MATCH(39,'Output Utente'!$Q$2:$Q$492,0)),"")</f>
        <v>NO</v>
      </c>
      <c r="M42" s="7" t="str">
        <f aca="false">IFERROR(INDEX('Output Utente'!$U$2:$U$492,MATCH(39,'Output Utente'!$Q$2:$Q$492,0)),"")</f>
        <v>Attenzione</v>
      </c>
      <c r="N42" s="7" t="str">
        <f aca="false">IFERROR(INDEX('Output Utente'!$AE$2:$AE$492,MATCH(39,'Output Utente'!$Q$2:$Q$492,0)),"")</f>
        <v>🔴 Non aspettare</v>
      </c>
    </row>
    <row r="43" customFormat="false" ht="15" hidden="false" customHeight="true" outlineLevel="0" collapsed="false">
      <c r="A43" s="46" t="n">
        <v>40</v>
      </c>
      <c r="B43" s="7" t="n">
        <f aca="false">IFERROR(INDEX('Output Utente'!$A$2:$A$492,MATCH(40,'Output Utente'!$Q$2:$Q$492,0)),"")</f>
        <v>5841</v>
      </c>
      <c r="C43" s="7" t="str">
        <f aca="false">IFERROR(INDEX('Output Utente'!$B$2:$B$492,MATCH(40,'Output Utente'!$Q$2:$Q$492,0)),"")</f>
        <v>P</v>
      </c>
      <c r="D43" s="7" t="str">
        <f aca="false">IFERROR(INDEX('Output Utente'!$C$2:$C$492,MATCH(40,'Output Utente'!$Q$2:$Q$492,0)),"")</f>
        <v>Svilar</v>
      </c>
      <c r="E43" s="7" t="str">
        <f aca="false">IFERROR(INDEX('Input Giocatori 2026_27'!$D$3:$D$493,MATCH($B43,'Input Giocatori 2026_27'!$A$3:$A$493,0)),"")</f>
        <v>Roma</v>
      </c>
      <c r="F43" s="47" t="n">
        <f aca="false">IFERROR(INDEX('Output Utente'!$N$2:$N$492,MATCH(40,'Output Utente'!$Q$2:$Q$492,0)),"")</f>
        <v>18</v>
      </c>
      <c r="G43" s="47" t="n">
        <f aca="false">IFERROR(INDEX('Output Utente'!$O$2:$O$492,MATCH(40,'Output Utente'!$Q$2:$Q$492,0)),"")</f>
        <v>65</v>
      </c>
      <c r="H43" s="7" t="str">
        <f aca="false">IFERROR(INDEX('Output Utente'!$P$2:$P$492,MATCH(40,'Output Utente'!$Q$2:$Q$492,0)),"")</f>
        <v>Top</v>
      </c>
      <c r="I43" s="47" t="n">
        <f aca="false">IFERROR(INDEX('Output Utente'!$F$2:$F$492,MATCH(40,'Output Utente'!$Q$2:$Q$492,0)),"")</f>
        <v>110</v>
      </c>
      <c r="J43" s="47" t="n">
        <f aca="false">IFERROR(INDEX('Output Utente'!$G$2:$G$492,MATCH(40,'Output Utente'!$Q$2:$Q$492,0)),"")</f>
        <v>88</v>
      </c>
      <c r="K43" s="47" t="n">
        <f aca="false">IFERROR(INDEX('Output Utente'!$H$2:$H$492,MATCH(40,'Output Utente'!$Q$2:$Q$492,0)),"")</f>
        <v>119</v>
      </c>
      <c r="L43" s="7" t="str">
        <f aca="false">IFERROR(INDEX('Output Utente'!$E$2:$E$492,MATCH(40,'Output Utente'!$Q$2:$Q$492,0)),"")</f>
        <v>NO</v>
      </c>
      <c r="M43" s="7" t="str">
        <f aca="false">IFERROR(INDEX('Output Utente'!$U$2:$U$492,MATCH(40,'Output Utente'!$Q$2:$Q$492,0)),"")</f>
        <v>Attenzione</v>
      </c>
      <c r="N43" s="7" t="str">
        <f aca="false">IFERROR(INDEX('Output Utente'!$AE$2:$AE$492,MATCH(40,'Output Utente'!$Q$2:$Q$492,0)),"")</f>
        <v>🟡 Attesa rischiosa</v>
      </c>
    </row>
    <row r="44" customFormat="false" ht="15" hidden="false" customHeight="true" outlineLevel="0" collapsed="false">
      <c r="A44" s="46" t="n">
        <v>41</v>
      </c>
      <c r="B44" s="7" t="n">
        <f aca="false">IFERROR(INDEX('Output Utente'!$A$2:$A$492,MATCH(41,'Output Utente'!$Q$2:$Q$492,0)),"")</f>
        <v>7314</v>
      </c>
      <c r="C44" s="7" t="str">
        <f aca="false">IFERROR(INDEX('Output Utente'!$B$2:$B$492,MATCH(41,'Output Utente'!$Q$2:$Q$492,0)),"")</f>
        <v>C</v>
      </c>
      <c r="D44" s="7" t="str">
        <f aca="false">IFERROR(INDEX('Output Utente'!$C$2:$C$492,MATCH(41,'Output Utente'!$Q$2:$Q$492,0)),"")</f>
        <v>Taylor K.</v>
      </c>
      <c r="E44" s="7" t="str">
        <f aca="false">IFERROR(INDEX('Input Giocatori 2026_27'!$D$3:$D$493,MATCH($B44,'Input Giocatori 2026_27'!$A$3:$A$493,0)),"")</f>
        <v>Lazio</v>
      </c>
      <c r="F44" s="47" t="n">
        <f aca="false">IFERROR(INDEX('Output Utente'!$N$2:$N$492,MATCH(41,'Output Utente'!$Q$2:$Q$492,0)),"")</f>
        <v>13</v>
      </c>
      <c r="G44" s="47" t="n">
        <f aca="false">IFERROR(INDEX('Output Utente'!$O$2:$O$492,MATCH(41,'Output Utente'!$Q$2:$Q$492,0)),"")</f>
        <v>64</v>
      </c>
      <c r="H44" s="7" t="str">
        <f aca="false">IFERROR(INDEX('Output Utente'!$P$2:$P$492,MATCH(41,'Output Utente'!$Q$2:$Q$492,0)),"")</f>
        <v>Top</v>
      </c>
      <c r="I44" s="47" t="n">
        <f aca="false">IFERROR(INDEX('Output Utente'!$F$2:$F$492,MATCH(41,'Output Utente'!$Q$2:$Q$492,0)),"")</f>
        <v>42</v>
      </c>
      <c r="J44" s="47" t="n">
        <f aca="false">IFERROR(INDEX('Output Utente'!$G$2:$G$492,MATCH(41,'Output Utente'!$Q$2:$Q$492,0)),"")</f>
        <v>29</v>
      </c>
      <c r="K44" s="47" t="n">
        <f aca="false">IFERROR(INDEX('Output Utente'!$H$2:$H$492,MATCH(41,'Output Utente'!$Q$2:$Q$492,0)),"")</f>
        <v>48</v>
      </c>
      <c r="L44" s="7" t="str">
        <f aca="false">IFERROR(INDEX('Output Utente'!$E$2:$E$492,MATCH(41,'Output Utente'!$Q$2:$Q$492,0)),"")</f>
        <v>NO</v>
      </c>
      <c r="M44" s="7" t="str">
        <f aca="false">IFERROR(INDEX('Output Utente'!$U$2:$U$492,MATCH(41,'Output Utente'!$Q$2:$Q$492,0)),"")</f>
        <v>OK</v>
      </c>
      <c r="N44" s="7" t="str">
        <f aca="false">IFERROR(INDEX('Output Utente'!$AE$2:$AE$492,MATCH(41,'Output Utente'!$Q$2:$Q$492,0)),"")</f>
        <v>🟡 Attesa rischiosa</v>
      </c>
    </row>
    <row r="45" customFormat="false" ht="15" hidden="false" customHeight="true" outlineLevel="0" collapsed="false">
      <c r="A45" s="46" t="n">
        <v>42</v>
      </c>
      <c r="B45" s="7" t="n">
        <f aca="false">IFERROR(INDEX('Output Utente'!$A$2:$A$492,MATCH(42,'Output Utente'!$Q$2:$Q$492,0)),"")</f>
        <v>5116</v>
      </c>
      <c r="C45" s="7" t="str">
        <f aca="false">IFERROR(INDEX('Output Utente'!$B$2:$B$492,MATCH(42,'Output Utente'!$Q$2:$Q$492,0)),"")</f>
        <v>P</v>
      </c>
      <c r="D45" s="7" t="str">
        <f aca="false">IFERROR(INDEX('Output Utente'!$C$2:$C$492,MATCH(42,'Output Utente'!$Q$2:$Q$492,0)),"")</f>
        <v>Martinez Jo.</v>
      </c>
      <c r="E45" s="7" t="str">
        <f aca="false">IFERROR(INDEX('Input Giocatori 2026_27'!$D$3:$D$493,MATCH($B45,'Input Giocatori 2026_27'!$A$3:$A$493,0)),"")</f>
        <v>Inter</v>
      </c>
      <c r="F45" s="47" t="n">
        <f aca="false">IFERROR(INDEX('Output Utente'!$N$2:$N$492,MATCH(42,'Output Utente'!$Q$2:$Q$492,0)),"")</f>
        <v>17</v>
      </c>
      <c r="G45" s="47" t="n">
        <f aca="false">IFERROR(INDEX('Output Utente'!$O$2:$O$492,MATCH(42,'Output Utente'!$Q$2:$Q$492,0)),"")</f>
        <v>63</v>
      </c>
      <c r="H45" s="7" t="str">
        <f aca="false">IFERROR(INDEX('Output Utente'!$P$2:$P$492,MATCH(42,'Output Utente'!$Q$2:$Q$492,0)),"")</f>
        <v>Top</v>
      </c>
      <c r="I45" s="47" t="n">
        <f aca="false">IFERROR(INDEX('Output Utente'!$F$2:$F$492,MATCH(42,'Output Utente'!$Q$2:$Q$492,0)),"")</f>
        <v>105</v>
      </c>
      <c r="J45" s="47" t="n">
        <f aca="false">IFERROR(INDEX('Output Utente'!$G$2:$G$492,MATCH(42,'Output Utente'!$Q$2:$Q$492,0)),"")</f>
        <v>84</v>
      </c>
      <c r="K45" s="47" t="n">
        <f aca="false">IFERROR(INDEX('Output Utente'!$H$2:$H$492,MATCH(42,'Output Utente'!$Q$2:$Q$492,0)),"")</f>
        <v>114</v>
      </c>
      <c r="L45" s="7" t="str">
        <f aca="false">IFERROR(INDEX('Output Utente'!$E$2:$E$492,MATCH(42,'Output Utente'!$Q$2:$Q$492,0)),"")</f>
        <v>NO</v>
      </c>
      <c r="M45" s="7" t="str">
        <f aca="false">IFERROR(INDEX('Output Utente'!$U$2:$U$492,MATCH(42,'Output Utente'!$Q$2:$Q$492,0)),"")</f>
        <v>Attenzione</v>
      </c>
      <c r="N45" s="7" t="str">
        <f aca="false">IFERROR(INDEX('Output Utente'!$AE$2:$AE$492,MATCH(42,'Output Utente'!$Q$2:$Q$492,0)),"")</f>
        <v>🟡 Attesa rischiosa</v>
      </c>
    </row>
    <row r="46" customFormat="false" ht="15" hidden="false" customHeight="true" outlineLevel="0" collapsed="false">
      <c r="A46" s="46" t="n">
        <v>43</v>
      </c>
      <c r="B46" s="7" t="n">
        <f aca="false">IFERROR(INDEX('Output Utente'!$A$2:$A$492,MATCH(43,'Output Utente'!$Q$2:$Q$492,0)),"")</f>
        <v>4923</v>
      </c>
      <c r="C46" s="7" t="str">
        <f aca="false">IFERROR(INDEX('Output Utente'!$B$2:$B$492,MATCH(43,'Output Utente'!$Q$2:$Q$492,0)),"")</f>
        <v>A</v>
      </c>
      <c r="D46" s="7" t="str">
        <f aca="false">IFERROR(INDEX('Output Utente'!$C$2:$C$492,MATCH(43,'Output Utente'!$Q$2:$Q$492,0)),"")</f>
        <v>Colombo</v>
      </c>
      <c r="E46" s="7" t="str">
        <f aca="false">IFERROR(INDEX('Input Giocatori 2026_27'!$D$3:$D$493,MATCH($B46,'Input Giocatori 2026_27'!$A$3:$A$493,0)),"")</f>
        <v>Genoa</v>
      </c>
      <c r="F46" s="47" t="n">
        <f aca="false">IFERROR(INDEX('Output Utente'!$N$2:$N$492,MATCH(43,'Output Utente'!$Q$2:$Q$492,0)),"")</f>
        <v>11</v>
      </c>
      <c r="G46" s="47" t="n">
        <f aca="false">IFERROR(INDEX('Output Utente'!$O$2:$O$492,MATCH(43,'Output Utente'!$Q$2:$Q$492,0)),"")</f>
        <v>63</v>
      </c>
      <c r="H46" s="7" t="str">
        <f aca="false">IFERROR(INDEX('Output Utente'!$P$2:$P$492,MATCH(43,'Output Utente'!$Q$2:$Q$492,0)),"")</f>
        <v>Buono</v>
      </c>
      <c r="I46" s="47" t="n">
        <f aca="false">IFERROR(INDEX('Output Utente'!$F$2:$F$492,MATCH(43,'Output Utente'!$Q$2:$Q$492,0)),"")</f>
        <v>64</v>
      </c>
      <c r="J46" s="47" t="n">
        <f aca="false">IFERROR(INDEX('Output Utente'!$G$2:$G$492,MATCH(43,'Output Utente'!$Q$2:$Q$492,0)),"")</f>
        <v>40</v>
      </c>
      <c r="K46" s="47" t="n">
        <f aca="false">IFERROR(INDEX('Output Utente'!$H$2:$H$492,MATCH(43,'Output Utente'!$Q$2:$Q$492,0)),"")</f>
        <v>74</v>
      </c>
      <c r="L46" s="7" t="str">
        <f aca="false">IFERROR(INDEX('Output Utente'!$E$2:$E$492,MATCH(43,'Output Utente'!$Q$2:$Q$492,0)),"")</f>
        <v>NO</v>
      </c>
      <c r="M46" s="7" t="str">
        <f aca="false">IFERROR(INDEX('Output Utente'!$U$2:$U$492,MATCH(43,'Output Utente'!$Q$2:$Q$492,0)),"")</f>
        <v>Attenzione</v>
      </c>
      <c r="N46" s="7" t="str">
        <f aca="false">IFERROR(INDEX('Output Utente'!$AE$2:$AE$492,MATCH(43,'Output Utente'!$Q$2:$Q$492,0)),"")</f>
        <v>🔴 Non aspettare</v>
      </c>
    </row>
    <row r="47" customFormat="false" ht="15" hidden="false" customHeight="true" outlineLevel="0" collapsed="false">
      <c r="A47" s="46" t="n">
        <v>44</v>
      </c>
      <c r="B47" s="7" t="n">
        <f aca="false">IFERROR(INDEX('Output Utente'!$A$2:$A$492,MATCH(44,'Output Utente'!$Q$2:$Q$492,0)),"")</f>
        <v>4371</v>
      </c>
      <c r="C47" s="7" t="str">
        <f aca="false">IFERROR(INDEX('Output Utente'!$B$2:$B$492,MATCH(44,'Output Utente'!$Q$2:$Q$492,0)),"")</f>
        <v>A</v>
      </c>
      <c r="D47" s="7" t="str">
        <f aca="false">IFERROR(INDEX('Output Utente'!$C$2:$C$492,MATCH(44,'Output Utente'!$Q$2:$Q$492,0)),"")</f>
        <v>Raspadori</v>
      </c>
      <c r="E47" s="7" t="str">
        <f aca="false">IFERROR(INDEX('Input Giocatori 2026_27'!$D$3:$D$493,MATCH($B47,'Input Giocatori 2026_27'!$A$3:$A$493,0)),"")</f>
        <v>Atalanta</v>
      </c>
      <c r="F47" s="47" t="n">
        <f aca="false">IFERROR(INDEX('Output Utente'!$N$2:$N$492,MATCH(44,'Output Utente'!$Q$2:$Q$492,0)),"")</f>
        <v>13</v>
      </c>
      <c r="G47" s="47" t="n">
        <f aca="false">IFERROR(INDEX('Output Utente'!$O$2:$O$492,MATCH(44,'Output Utente'!$Q$2:$Q$492,0)),"")</f>
        <v>62</v>
      </c>
      <c r="H47" s="7" t="str">
        <f aca="false">IFERROR(INDEX('Output Utente'!$P$2:$P$492,MATCH(44,'Output Utente'!$Q$2:$Q$492,0)),"")</f>
        <v>Buono</v>
      </c>
      <c r="I47" s="47" t="n">
        <f aca="false">IFERROR(INDEX('Output Utente'!$F$2:$F$492,MATCH(44,'Output Utente'!$Q$2:$Q$492,0)),"")</f>
        <v>64</v>
      </c>
      <c r="J47" s="47" t="n">
        <f aca="false">IFERROR(INDEX('Output Utente'!$G$2:$G$492,MATCH(44,'Output Utente'!$Q$2:$Q$492,0)),"")</f>
        <v>40</v>
      </c>
      <c r="K47" s="47" t="n">
        <f aca="false">IFERROR(INDEX('Output Utente'!$H$2:$H$492,MATCH(44,'Output Utente'!$Q$2:$Q$492,0)),"")</f>
        <v>74</v>
      </c>
      <c r="L47" s="7" t="str">
        <f aca="false">IFERROR(INDEX('Output Utente'!$E$2:$E$492,MATCH(44,'Output Utente'!$Q$2:$Q$492,0)),"")</f>
        <v>NO</v>
      </c>
      <c r="M47" s="7" t="str">
        <f aca="false">IFERROR(INDEX('Output Utente'!$U$2:$U$492,MATCH(44,'Output Utente'!$Q$2:$Q$492,0)),"")</f>
        <v>Attenzione</v>
      </c>
      <c r="N47" s="7" t="str">
        <f aca="false">IFERROR(INDEX('Output Utente'!$AE$2:$AE$492,MATCH(44,'Output Utente'!$Q$2:$Q$492,0)),"")</f>
        <v>🔴 Non aspettare</v>
      </c>
    </row>
    <row r="48" customFormat="false" ht="15" hidden="false" customHeight="true" outlineLevel="0" collapsed="false">
      <c r="A48" s="46" t="n">
        <v>45</v>
      </c>
      <c r="B48" s="7" t="n">
        <f aca="false">IFERROR(INDEX('Output Utente'!$A$2:$A$492,MATCH(45,'Output Utente'!$Q$2:$Q$492,0)),"")</f>
        <v>5800</v>
      </c>
      <c r="C48" s="7" t="str">
        <f aca="false">IFERROR(INDEX('Output Utente'!$B$2:$B$492,MATCH(45,'Output Utente'!$Q$2:$Q$492,0)),"")</f>
        <v>C</v>
      </c>
      <c r="D48" s="7" t="str">
        <f aca="false">IFERROR(INDEX('Output Utente'!$C$2:$C$492,MATCH(45,'Output Utente'!$Q$2:$Q$492,0)),"")</f>
        <v>Gudmundsson A.</v>
      </c>
      <c r="E48" s="7" t="str">
        <f aca="false">IFERROR(INDEX('Input Giocatori 2026_27'!$D$3:$D$493,MATCH($B48,'Input Giocatori 2026_27'!$A$3:$A$493,0)),"")</f>
        <v>Fiorentina</v>
      </c>
      <c r="F48" s="47" t="n">
        <f aca="false">IFERROR(INDEX('Output Utente'!$N$2:$N$492,MATCH(45,'Output Utente'!$Q$2:$Q$492,0)),"")</f>
        <v>13</v>
      </c>
      <c r="G48" s="47" t="n">
        <f aca="false">IFERROR(INDEX('Output Utente'!$O$2:$O$492,MATCH(45,'Output Utente'!$Q$2:$Q$492,0)),"")</f>
        <v>61</v>
      </c>
      <c r="H48" s="7" t="str">
        <f aca="false">IFERROR(INDEX('Output Utente'!$P$2:$P$492,MATCH(45,'Output Utente'!$Q$2:$Q$492,0)),"")</f>
        <v>Top</v>
      </c>
      <c r="I48" s="47" t="n">
        <f aca="false">IFERROR(INDEX('Output Utente'!$F$2:$F$492,MATCH(45,'Output Utente'!$Q$2:$Q$492,0)),"")</f>
        <v>41</v>
      </c>
      <c r="J48" s="47" t="n">
        <f aca="false">IFERROR(INDEX('Output Utente'!$G$2:$G$492,MATCH(45,'Output Utente'!$Q$2:$Q$492,0)),"")</f>
        <v>28</v>
      </c>
      <c r="K48" s="47" t="n">
        <f aca="false">IFERROR(INDEX('Output Utente'!$H$2:$H$492,MATCH(45,'Output Utente'!$Q$2:$Q$492,0)),"")</f>
        <v>46</v>
      </c>
      <c r="L48" s="7" t="str">
        <f aca="false">IFERROR(INDEX('Output Utente'!$E$2:$E$492,MATCH(45,'Output Utente'!$Q$2:$Q$492,0)),"")</f>
        <v>NO</v>
      </c>
      <c r="M48" s="7" t="str">
        <f aca="false">IFERROR(INDEX('Output Utente'!$U$2:$U$492,MATCH(45,'Output Utente'!$Q$2:$Q$492,0)),"")</f>
        <v>OK</v>
      </c>
      <c r="N48" s="7" t="str">
        <f aca="false">IFERROR(INDEX('Output Utente'!$AE$2:$AE$492,MATCH(45,'Output Utente'!$Q$2:$Q$492,0)),"")</f>
        <v>🟡 Attesa rischiosa</v>
      </c>
    </row>
    <row r="49" customFormat="false" ht="15" hidden="false" customHeight="true" outlineLevel="0" collapsed="false">
      <c r="A49" s="46" t="n">
        <v>46</v>
      </c>
      <c r="B49" s="7" t="n">
        <f aca="false">IFERROR(INDEX('Output Utente'!$A$2:$A$492,MATCH(46,'Output Utente'!$Q$2:$Q$492,0)),"")</f>
        <v>6884</v>
      </c>
      <c r="C49" s="7" t="str">
        <f aca="false">IFERROR(INDEX('Output Utente'!$B$2:$B$492,MATCH(46,'Output Utente'!$Q$2:$Q$492,0)),"")</f>
        <v>C</v>
      </c>
      <c r="D49" s="7" t="str">
        <f aca="false">IFERROR(INDEX('Output Utente'!$C$2:$C$492,MATCH(46,'Output Utente'!$Q$2:$Q$492,0)),"")</f>
        <v>Conceicao</v>
      </c>
      <c r="E49" s="7" t="str">
        <f aca="false">IFERROR(INDEX('Input Giocatori 2026_27'!$D$3:$D$493,MATCH($B49,'Input Giocatori 2026_27'!$A$3:$A$493,0)),"")</f>
        <v>Juventus</v>
      </c>
      <c r="F49" s="47" t="n">
        <f aca="false">IFERROR(INDEX('Output Utente'!$N$2:$N$492,MATCH(46,'Output Utente'!$Q$2:$Q$492,0)),"")</f>
        <v>12</v>
      </c>
      <c r="G49" s="47" t="n">
        <f aca="false">IFERROR(INDEX('Output Utente'!$O$2:$O$492,MATCH(46,'Output Utente'!$Q$2:$Q$492,0)),"")</f>
        <v>60</v>
      </c>
      <c r="H49" s="7" t="str">
        <f aca="false">IFERROR(INDEX('Output Utente'!$P$2:$P$492,MATCH(46,'Output Utente'!$Q$2:$Q$492,0)),"")</f>
        <v>Top</v>
      </c>
      <c r="I49" s="47" t="n">
        <f aca="false">IFERROR(INDEX('Output Utente'!$F$2:$F$492,MATCH(46,'Output Utente'!$Q$2:$Q$492,0)),"")</f>
        <v>40</v>
      </c>
      <c r="J49" s="47" t="n">
        <f aca="false">IFERROR(INDEX('Output Utente'!$G$2:$G$492,MATCH(46,'Output Utente'!$Q$2:$Q$492,0)),"")</f>
        <v>27</v>
      </c>
      <c r="K49" s="47" t="n">
        <f aca="false">IFERROR(INDEX('Output Utente'!$H$2:$H$492,MATCH(46,'Output Utente'!$Q$2:$Q$492,0)),"")</f>
        <v>46</v>
      </c>
      <c r="L49" s="7" t="str">
        <f aca="false">IFERROR(INDEX('Output Utente'!$E$2:$E$492,MATCH(46,'Output Utente'!$Q$2:$Q$492,0)),"")</f>
        <v>NO</v>
      </c>
      <c r="M49" s="7" t="str">
        <f aca="false">IFERROR(INDEX('Output Utente'!$U$2:$U$492,MATCH(46,'Output Utente'!$Q$2:$Q$492,0)),"")</f>
        <v>OK</v>
      </c>
      <c r="N49" s="7" t="str">
        <f aca="false">IFERROR(INDEX('Output Utente'!$AE$2:$AE$492,MATCH(46,'Output Utente'!$Q$2:$Q$492,0)),"")</f>
        <v>🟡 Attesa rischiosa</v>
      </c>
    </row>
    <row r="50" customFormat="false" ht="15" hidden="false" customHeight="true" outlineLevel="0" collapsed="false">
      <c r="A50" s="46" t="n">
        <v>47</v>
      </c>
      <c r="B50" s="7" t="n">
        <f aca="false">IFERROR(INDEX('Output Utente'!$A$2:$A$492,MATCH(47,'Output Utente'!$Q$2:$Q$492,0)),"")</f>
        <v>7351</v>
      </c>
      <c r="C50" s="7" t="str">
        <f aca="false">IFERROR(INDEX('Output Utente'!$B$2:$B$492,MATCH(47,'Output Utente'!$Q$2:$Q$492,0)),"")</f>
        <v>A</v>
      </c>
      <c r="D50" s="7" t="str">
        <f aca="false">IFERROR(INDEX('Output Utente'!$C$2:$C$492,MATCH(47,'Output Utente'!$Q$2:$Q$492,0)),"")</f>
        <v>Santos A.</v>
      </c>
      <c r="E50" s="7" t="str">
        <f aca="false">IFERROR(INDEX('Input Giocatori 2026_27'!$D$3:$D$493,MATCH($B50,'Input Giocatori 2026_27'!$A$3:$A$493,0)),"")</f>
        <v>Napoli</v>
      </c>
      <c r="F50" s="47" t="n">
        <f aca="false">IFERROR(INDEX('Output Utente'!$N$2:$N$492,MATCH(47,'Output Utente'!$Q$2:$Q$492,0)),"")</f>
        <v>14</v>
      </c>
      <c r="G50" s="47" t="n">
        <f aca="false">IFERROR(INDEX('Output Utente'!$O$2:$O$492,MATCH(47,'Output Utente'!$Q$2:$Q$492,0)),"")</f>
        <v>60</v>
      </c>
      <c r="H50" s="7" t="str">
        <f aca="false">IFERROR(INDEX('Output Utente'!$P$2:$P$492,MATCH(47,'Output Utente'!$Q$2:$Q$492,0)),"")</f>
        <v>Buono</v>
      </c>
      <c r="I50" s="47" t="n">
        <f aca="false">IFERROR(INDEX('Output Utente'!$F$2:$F$492,MATCH(47,'Output Utente'!$Q$2:$Q$492,0)),"")</f>
        <v>20</v>
      </c>
      <c r="J50" s="47" t="n">
        <f aca="false">IFERROR(INDEX('Output Utente'!$G$2:$G$492,MATCH(47,'Output Utente'!$Q$2:$Q$492,0)),"")</f>
        <v>12</v>
      </c>
      <c r="K50" s="47" t="n">
        <f aca="false">IFERROR(INDEX('Output Utente'!$H$2:$H$492,MATCH(47,'Output Utente'!$Q$2:$Q$492,0)),"")</f>
        <v>23</v>
      </c>
      <c r="L50" s="7" t="str">
        <f aca="false">IFERROR(INDEX('Output Utente'!$E$2:$E$492,MATCH(47,'Output Utente'!$Q$2:$Q$492,0)),"")</f>
        <v>NO</v>
      </c>
      <c r="M50" s="7" t="str">
        <f aca="false">IFERROR(INDEX('Output Utente'!$U$2:$U$492,MATCH(47,'Output Utente'!$Q$2:$Q$492,0)),"")</f>
        <v>OK</v>
      </c>
      <c r="N50" s="7" t="str">
        <f aca="false">IFERROR(INDEX('Output Utente'!$AE$2:$AE$492,MATCH(47,'Output Utente'!$Q$2:$Q$492,0)),"")</f>
        <v>🔴 Non aspettare</v>
      </c>
    </row>
    <row r="51" customFormat="false" ht="15" hidden="false" customHeight="true" outlineLevel="0" collapsed="false">
      <c r="A51" s="46" t="n">
        <v>48</v>
      </c>
      <c r="B51" s="7" t="n">
        <f aca="false">IFERROR(INDEX('Output Utente'!$A$2:$A$492,MATCH(48,'Output Utente'!$Q$2:$Q$492,0)),"")</f>
        <v>2038</v>
      </c>
      <c r="C51" s="7" t="str">
        <f aca="false">IFERROR(INDEX('Output Utente'!$B$2:$B$492,MATCH(48,'Output Utente'!$Q$2:$Q$492,0)),"")</f>
        <v>A</v>
      </c>
      <c r="D51" s="7" t="str">
        <f aca="false">IFERROR(INDEX('Output Utente'!$C$2:$C$492,MATCH(48,'Output Utente'!$Q$2:$Q$492,0)),"")</f>
        <v>Pinamonti</v>
      </c>
      <c r="E51" s="7" t="str">
        <f aca="false">IFERROR(INDEX('Input Giocatori 2026_27'!$D$3:$D$493,MATCH($B51,'Input Giocatori 2026_27'!$A$3:$A$493,0)),"")</f>
        <v>Sassuolo</v>
      </c>
      <c r="F51" s="47" t="n">
        <f aca="false">IFERROR(INDEX('Output Utente'!$N$2:$N$492,MATCH(48,'Output Utente'!$Q$2:$Q$492,0)),"")</f>
        <v>13</v>
      </c>
      <c r="G51" s="47" t="n">
        <f aca="false">IFERROR(INDEX('Output Utente'!$O$2:$O$492,MATCH(48,'Output Utente'!$Q$2:$Q$492,0)),"")</f>
        <v>58</v>
      </c>
      <c r="H51" s="7" t="str">
        <f aca="false">IFERROR(INDEX('Output Utente'!$P$2:$P$492,MATCH(48,'Output Utente'!$Q$2:$Q$492,0)),"")</f>
        <v>Buono</v>
      </c>
      <c r="I51" s="47" t="n">
        <f aca="false">IFERROR(INDEX('Output Utente'!$F$2:$F$492,MATCH(48,'Output Utente'!$Q$2:$Q$492,0)),"")</f>
        <v>19</v>
      </c>
      <c r="J51" s="47" t="n">
        <f aca="false">IFERROR(INDEX('Output Utente'!$G$2:$G$492,MATCH(48,'Output Utente'!$Q$2:$Q$492,0)),"")</f>
        <v>12</v>
      </c>
      <c r="K51" s="47" t="n">
        <f aca="false">IFERROR(INDEX('Output Utente'!$H$2:$H$492,MATCH(48,'Output Utente'!$Q$2:$Q$492,0)),"")</f>
        <v>22</v>
      </c>
      <c r="L51" s="7" t="str">
        <f aca="false">IFERROR(INDEX('Output Utente'!$E$2:$E$492,MATCH(48,'Output Utente'!$Q$2:$Q$492,0)),"")</f>
        <v>NO</v>
      </c>
      <c r="M51" s="7" t="str">
        <f aca="false">IFERROR(INDEX('Output Utente'!$U$2:$U$492,MATCH(48,'Output Utente'!$Q$2:$Q$492,0)),"")</f>
        <v>OK</v>
      </c>
      <c r="N51" s="7" t="str">
        <f aca="false">IFERROR(INDEX('Output Utente'!$AE$2:$AE$492,MATCH(48,'Output Utente'!$Q$2:$Q$492,0)),"")</f>
        <v>🔴 Non aspettare</v>
      </c>
    </row>
    <row r="52" customFormat="false" ht="15" hidden="false" customHeight="true" outlineLevel="0" collapsed="false">
      <c r="A52" s="46" t="n">
        <v>49</v>
      </c>
      <c r="B52" s="7" t="n">
        <f aca="false">IFERROR(INDEX('Output Utente'!$A$2:$A$492,MATCH(49,'Output Utente'!$Q$2:$Q$492,0)),"")</f>
        <v>7436</v>
      </c>
      <c r="C52" s="7" t="str">
        <f aca="false">IFERROR(INDEX('Output Utente'!$B$2:$B$492,MATCH(49,'Output Utente'!$Q$2:$Q$492,0)),"")</f>
        <v>C</v>
      </c>
      <c r="D52" s="7" t="str">
        <f aca="false">IFERROR(INDEX('Output Utente'!$C$2:$C$492,MATCH(49,'Output Utente'!$Q$2:$Q$492,0)),"")</f>
        <v>Alajbegovic</v>
      </c>
      <c r="E52" s="7" t="str">
        <f aca="false">IFERROR(INDEX('Input Giocatori 2026_27'!$D$3:$D$493,MATCH($B52,'Input Giocatori 2026_27'!$A$3:$A$493,0)),"")</f>
        <v>Juventus</v>
      </c>
      <c r="F52" s="47" t="n">
        <f aca="false">IFERROR(INDEX('Output Utente'!$N$2:$N$492,MATCH(49,'Output Utente'!$Q$2:$Q$492,0)),"")</f>
        <v>12</v>
      </c>
      <c r="G52" s="47" t="n">
        <f aca="false">IFERROR(INDEX('Output Utente'!$O$2:$O$492,MATCH(49,'Output Utente'!$Q$2:$Q$492,0)),"")</f>
        <v>57</v>
      </c>
      <c r="H52" s="7" t="str">
        <f aca="false">IFERROR(INDEX('Output Utente'!$P$2:$P$492,MATCH(49,'Output Utente'!$Q$2:$Q$492,0)),"")</f>
        <v>Top</v>
      </c>
      <c r="I52" s="47" t="n">
        <f aca="false">IFERROR(INDEX('Output Utente'!$F$2:$F$492,MATCH(49,'Output Utente'!$Q$2:$Q$492,0)),"")</f>
        <v>38</v>
      </c>
      <c r="J52" s="47" t="n">
        <f aca="false">IFERROR(INDEX('Output Utente'!$G$2:$G$492,MATCH(49,'Output Utente'!$Q$2:$Q$492,0)),"")</f>
        <v>26</v>
      </c>
      <c r="K52" s="47" t="n">
        <f aca="false">IFERROR(INDEX('Output Utente'!$H$2:$H$492,MATCH(49,'Output Utente'!$Q$2:$Q$492,0)),"")</f>
        <v>43</v>
      </c>
      <c r="L52" s="7" t="str">
        <f aca="false">IFERROR(INDEX('Output Utente'!$E$2:$E$492,MATCH(49,'Output Utente'!$Q$2:$Q$492,0)),"")</f>
        <v>NO</v>
      </c>
      <c r="M52" s="7" t="str">
        <f aca="false">IFERROR(INDEX('Output Utente'!$U$2:$U$492,MATCH(49,'Output Utente'!$Q$2:$Q$492,0)),"")</f>
        <v>OK</v>
      </c>
      <c r="N52" s="7" t="str">
        <f aca="false">IFERROR(INDEX('Output Utente'!$AE$2:$AE$492,MATCH(49,'Output Utente'!$Q$2:$Q$492,0)),"")</f>
        <v>🟡 Attesa rischiosa</v>
      </c>
    </row>
    <row r="53" customFormat="false" ht="15" hidden="false" customHeight="true" outlineLevel="0" collapsed="false">
      <c r="A53" s="46" t="n">
        <v>50</v>
      </c>
      <c r="B53" s="7" t="n">
        <f aca="false">IFERROR(INDEX('Output Utente'!$A$2:$A$492,MATCH(50,'Output Utente'!$Q$2:$Q$492,0)),"")</f>
        <v>6966</v>
      </c>
      <c r="C53" s="7" t="str">
        <f aca="false">IFERROR(INDEX('Output Utente'!$B$2:$B$492,MATCH(50,'Output Utente'!$Q$2:$Q$492,0)),"")</f>
        <v>P</v>
      </c>
      <c r="D53" s="7" t="str">
        <f aca="false">IFERROR(INDEX('Output Utente'!$C$2:$C$492,MATCH(50,'Output Utente'!$Q$2:$Q$492,0)),"")</f>
        <v>Butez</v>
      </c>
      <c r="E53" s="7" t="str">
        <f aca="false">IFERROR(INDEX('Input Giocatori 2026_27'!$D$3:$D$493,MATCH($B53,'Input Giocatori 2026_27'!$A$3:$A$493,0)),"")</f>
        <v>Como</v>
      </c>
      <c r="F53" s="47" t="n">
        <f aca="false">IFERROR(INDEX('Output Utente'!$N$2:$N$492,MATCH(50,'Output Utente'!$Q$2:$Q$492,0)),"")</f>
        <v>16</v>
      </c>
      <c r="G53" s="47" t="n">
        <f aca="false">IFERROR(INDEX('Output Utente'!$O$2:$O$492,MATCH(50,'Output Utente'!$Q$2:$Q$492,0)),"")</f>
        <v>56</v>
      </c>
      <c r="H53" s="7" t="str">
        <f aca="false">IFERROR(INDEX('Output Utente'!$P$2:$P$492,MATCH(50,'Output Utente'!$Q$2:$Q$492,0)),"")</f>
        <v>Top</v>
      </c>
      <c r="I53" s="47" t="n">
        <f aca="false">IFERROR(INDEX('Output Utente'!$F$2:$F$492,MATCH(50,'Output Utente'!$Q$2:$Q$492,0)),"")</f>
        <v>94</v>
      </c>
      <c r="J53" s="47" t="n">
        <f aca="false">IFERROR(INDEX('Output Utente'!$G$2:$G$492,MATCH(50,'Output Utente'!$Q$2:$Q$492,0)),"")</f>
        <v>76</v>
      </c>
      <c r="K53" s="47" t="n">
        <f aca="false">IFERROR(INDEX('Output Utente'!$H$2:$H$492,MATCH(50,'Output Utente'!$Q$2:$Q$492,0)),"")</f>
        <v>102</v>
      </c>
      <c r="L53" s="7" t="str">
        <f aca="false">IFERROR(INDEX('Output Utente'!$E$2:$E$492,MATCH(50,'Output Utente'!$Q$2:$Q$492,0)),"")</f>
        <v>NO</v>
      </c>
      <c r="M53" s="7" t="str">
        <f aca="false">IFERROR(INDEX('Output Utente'!$U$2:$U$492,MATCH(50,'Output Utente'!$Q$2:$Q$492,0)),"")</f>
        <v>Attenzione</v>
      </c>
      <c r="N53" s="7" t="str">
        <f aca="false">IFERROR(INDEX('Output Utente'!$AE$2:$AE$492,MATCH(50,'Output Utente'!$Q$2:$Q$492,0)),"")</f>
        <v>🟡 Attesa rischiosa</v>
      </c>
    </row>
    <row r="54" customFormat="false" ht="15" hidden="false" customHeight="true" outlineLevel="0" collapsed="false">
      <c r="A54" s="46" t="n">
        <v>51</v>
      </c>
      <c r="B54" s="7" t="n">
        <f aca="false">IFERROR(INDEX('Output Utente'!$A$2:$A$492,MATCH(51,'Output Utente'!$Q$2:$Q$492,0)),"")</f>
        <v>4159</v>
      </c>
      <c r="C54" s="7" t="str">
        <f aca="false">IFERROR(INDEX('Output Utente'!$B$2:$B$492,MATCH(51,'Output Utente'!$Q$2:$Q$492,0)),"")</f>
        <v>D</v>
      </c>
      <c r="D54" s="7" t="str">
        <f aca="false">IFERROR(INDEX('Output Utente'!$C$2:$C$492,MATCH(51,'Output Utente'!$Q$2:$Q$492,0)),"")</f>
        <v>Akanji</v>
      </c>
      <c r="E54" s="7" t="str">
        <f aca="false">IFERROR(INDEX('Input Giocatori 2026_27'!$D$3:$D$493,MATCH($B54,'Input Giocatori 2026_27'!$A$3:$A$493,0)),"")</f>
        <v>Inter</v>
      </c>
      <c r="F54" s="47" t="n">
        <f aca="false">IFERROR(INDEX('Output Utente'!$N$2:$N$492,MATCH(51,'Output Utente'!$Q$2:$Q$492,0)),"")</f>
        <v>16</v>
      </c>
      <c r="G54" s="47" t="n">
        <f aca="false">IFERROR(INDEX('Output Utente'!$O$2:$O$492,MATCH(51,'Output Utente'!$Q$2:$Q$492,0)),"")</f>
        <v>55</v>
      </c>
      <c r="H54" s="7" t="str">
        <f aca="false">IFERROR(INDEX('Output Utente'!$P$2:$P$492,MATCH(51,'Output Utente'!$Q$2:$Q$492,0)),"")</f>
        <v>Top</v>
      </c>
      <c r="I54" s="47" t="n">
        <f aca="false">IFERROR(INDEX('Output Utente'!$F$2:$F$492,MATCH(51,'Output Utente'!$Q$2:$Q$492,0)),"")</f>
        <v>38</v>
      </c>
      <c r="J54" s="47" t="n">
        <f aca="false">IFERROR(INDEX('Output Utente'!$G$2:$G$492,MATCH(51,'Output Utente'!$Q$2:$Q$492,0)),"")</f>
        <v>28</v>
      </c>
      <c r="K54" s="47" t="n">
        <f aca="false">IFERROR(INDEX('Output Utente'!$H$2:$H$492,MATCH(51,'Output Utente'!$Q$2:$Q$492,0)),"")</f>
        <v>42</v>
      </c>
      <c r="L54" s="7" t="str">
        <f aca="false">IFERROR(INDEX('Output Utente'!$E$2:$E$492,MATCH(51,'Output Utente'!$Q$2:$Q$492,0)),"")</f>
        <v>NO</v>
      </c>
      <c r="M54" s="7" t="str">
        <f aca="false">IFERROR(INDEX('Output Utente'!$U$2:$U$492,MATCH(51,'Output Utente'!$Q$2:$Q$492,0)),"")</f>
        <v>OK</v>
      </c>
      <c r="N54" s="7" t="str">
        <f aca="false">IFERROR(INDEX('Output Utente'!$AE$2:$AE$492,MATCH(51,'Output Utente'!$Q$2:$Q$492,0)),"")</f>
        <v>🟡 Attesa rischiosa</v>
      </c>
    </row>
    <row r="55" customFormat="false" ht="15" hidden="false" customHeight="true" outlineLevel="0" collapsed="false">
      <c r="A55" s="46" t="n">
        <v>52</v>
      </c>
      <c r="B55" s="7" t="n">
        <f aca="false">IFERROR(INDEX('Output Utente'!$A$2:$A$492,MATCH(52,'Output Utente'!$Q$2:$Q$492,0)),"")</f>
        <v>4220</v>
      </c>
      <c r="C55" s="7" t="str">
        <f aca="false">IFERROR(INDEX('Output Utente'!$B$2:$B$492,MATCH(52,'Output Utente'!$Q$2:$Q$492,0)),"")</f>
        <v>C</v>
      </c>
      <c r="D55" s="7" t="str">
        <f aca="false">IFERROR(INDEX('Output Utente'!$C$2:$C$492,MATCH(52,'Output Utente'!$Q$2:$Q$492,0)),"")</f>
        <v>Zambo Anguissa</v>
      </c>
      <c r="E55" s="7" t="str">
        <f aca="false">IFERROR(INDEX('Input Giocatori 2026_27'!$D$3:$D$493,MATCH($B55,'Input Giocatori 2026_27'!$A$3:$A$493,0)),"")</f>
        <v>Napoli</v>
      </c>
      <c r="F55" s="47" t="n">
        <f aca="false">IFERROR(INDEX('Output Utente'!$N$2:$N$492,MATCH(52,'Output Utente'!$Q$2:$Q$492,0)),"")</f>
        <v>11</v>
      </c>
      <c r="G55" s="47" t="n">
        <f aca="false">IFERROR(INDEX('Output Utente'!$O$2:$O$492,MATCH(52,'Output Utente'!$Q$2:$Q$492,0)),"")</f>
        <v>55</v>
      </c>
      <c r="H55" s="7" t="str">
        <f aca="false">IFERROR(INDEX('Output Utente'!$P$2:$P$492,MATCH(52,'Output Utente'!$Q$2:$Q$492,0)),"")</f>
        <v>Top</v>
      </c>
      <c r="I55" s="47" t="n">
        <f aca="false">IFERROR(INDEX('Output Utente'!$F$2:$F$492,MATCH(52,'Output Utente'!$Q$2:$Q$492,0)),"")</f>
        <v>37</v>
      </c>
      <c r="J55" s="47" t="n">
        <f aca="false">IFERROR(INDEX('Output Utente'!$G$2:$G$492,MATCH(52,'Output Utente'!$Q$2:$Q$492,0)),"")</f>
        <v>25</v>
      </c>
      <c r="K55" s="47" t="n">
        <f aca="false">IFERROR(INDEX('Output Utente'!$H$2:$H$492,MATCH(52,'Output Utente'!$Q$2:$Q$492,0)),"")</f>
        <v>42</v>
      </c>
      <c r="L55" s="7" t="str">
        <f aca="false">IFERROR(INDEX('Output Utente'!$E$2:$E$492,MATCH(52,'Output Utente'!$Q$2:$Q$492,0)),"")</f>
        <v>NO</v>
      </c>
      <c r="M55" s="7" t="str">
        <f aca="false">IFERROR(INDEX('Output Utente'!$U$2:$U$492,MATCH(52,'Output Utente'!$Q$2:$Q$492,0)),"")</f>
        <v>OK</v>
      </c>
      <c r="N55" s="7" t="str">
        <f aca="false">IFERROR(INDEX('Output Utente'!$AE$2:$AE$492,MATCH(52,'Output Utente'!$Q$2:$Q$492,0)),"")</f>
        <v>🟡 Attesa rischiosa</v>
      </c>
    </row>
    <row r="56" customFormat="false" ht="15" hidden="false" customHeight="true" outlineLevel="0" collapsed="false">
      <c r="A56" s="46" t="n">
        <v>53</v>
      </c>
      <c r="B56" s="7" t="n">
        <f aca="false">IFERROR(INDEX('Output Utente'!$A$2:$A$492,MATCH(53,'Output Utente'!$Q$2:$Q$492,0)),"")</f>
        <v>5734</v>
      </c>
      <c r="C56" s="7" t="str">
        <f aca="false">IFERROR(INDEX('Output Utente'!$B$2:$B$492,MATCH(53,'Output Utente'!$Q$2:$Q$492,0)),"")</f>
        <v>A</v>
      </c>
      <c r="D56" s="7" t="str">
        <f aca="false">IFERROR(INDEX('Output Utente'!$C$2:$C$492,MATCH(53,'Output Utente'!$Q$2:$Q$492,0)),"")</f>
        <v>Soulè</v>
      </c>
      <c r="E56" s="7" t="str">
        <f aca="false">IFERROR(INDEX('Input Giocatori 2026_27'!$D$3:$D$493,MATCH($B56,'Input Giocatori 2026_27'!$A$3:$A$493,0)),"")</f>
        <v>Roma</v>
      </c>
      <c r="F56" s="47" t="n">
        <f aca="false">IFERROR(INDEX('Output Utente'!$N$2:$N$492,MATCH(53,'Output Utente'!$Q$2:$Q$492,0)),"")</f>
        <v>12</v>
      </c>
      <c r="G56" s="47" t="n">
        <f aca="false">IFERROR(INDEX('Output Utente'!$O$2:$O$492,MATCH(53,'Output Utente'!$Q$2:$Q$492,0)),"")</f>
        <v>55</v>
      </c>
      <c r="H56" s="7" t="str">
        <f aca="false">IFERROR(INDEX('Output Utente'!$P$2:$P$492,MATCH(53,'Output Utente'!$Q$2:$Q$492,0)),"")</f>
        <v>Buono</v>
      </c>
      <c r="I56" s="47" t="n">
        <f aca="false">IFERROR(INDEX('Output Utente'!$F$2:$F$492,MATCH(53,'Output Utente'!$Q$2:$Q$492,0)),"")</f>
        <v>18</v>
      </c>
      <c r="J56" s="47" t="n">
        <f aca="false">IFERROR(INDEX('Output Utente'!$G$2:$G$492,MATCH(53,'Output Utente'!$Q$2:$Q$492,0)),"")</f>
        <v>11</v>
      </c>
      <c r="K56" s="47" t="n">
        <f aca="false">IFERROR(INDEX('Output Utente'!$H$2:$H$492,MATCH(53,'Output Utente'!$Q$2:$Q$492,0)),"")</f>
        <v>21</v>
      </c>
      <c r="L56" s="7" t="str">
        <f aca="false">IFERROR(INDEX('Output Utente'!$E$2:$E$492,MATCH(53,'Output Utente'!$Q$2:$Q$492,0)),"")</f>
        <v>NO</v>
      </c>
      <c r="M56" s="7" t="str">
        <f aca="false">IFERROR(INDEX('Output Utente'!$U$2:$U$492,MATCH(53,'Output Utente'!$Q$2:$Q$492,0)),"")</f>
        <v>OK</v>
      </c>
      <c r="N56" s="7" t="str">
        <f aca="false">IFERROR(INDEX('Output Utente'!$AE$2:$AE$492,MATCH(53,'Output Utente'!$Q$2:$Q$492,0)),"")</f>
        <v>🔴 Non aspettare</v>
      </c>
    </row>
    <row r="57" customFormat="false" ht="15" hidden="false" customHeight="true" outlineLevel="0" collapsed="false">
      <c r="A57" s="46" t="n">
        <v>54</v>
      </c>
      <c r="B57" s="7" t="n">
        <f aca="false">IFERROR(INDEX('Output Utente'!$A$2:$A$492,MATCH(54,'Output Utente'!$Q$2:$Q$492,0)),"")</f>
        <v>4431</v>
      </c>
      <c r="C57" s="7" t="str">
        <f aca="false">IFERROR(INDEX('Output Utente'!$B$2:$B$492,MATCH(54,'Output Utente'!$Q$2:$Q$492,0)),"")</f>
        <v>P</v>
      </c>
      <c r="D57" s="7" t="str">
        <f aca="false">IFERROR(INDEX('Output Utente'!$C$2:$C$492,MATCH(54,'Output Utente'!$Q$2:$Q$492,0)),"")</f>
        <v>Carnesecchi</v>
      </c>
      <c r="E57" s="7" t="str">
        <f aca="false">IFERROR(INDEX('Input Giocatori 2026_27'!$D$3:$D$493,MATCH($B57,'Input Giocatori 2026_27'!$A$3:$A$493,0)),"")</f>
        <v>Atalanta</v>
      </c>
      <c r="F57" s="47" t="n">
        <f aca="false">IFERROR(INDEX('Output Utente'!$N$2:$N$492,MATCH(54,'Output Utente'!$Q$2:$Q$492,0)),"")</f>
        <v>16</v>
      </c>
      <c r="G57" s="47" t="n">
        <f aca="false">IFERROR(INDEX('Output Utente'!$O$2:$O$492,MATCH(54,'Output Utente'!$Q$2:$Q$492,0)),"")</f>
        <v>52</v>
      </c>
      <c r="H57" s="7" t="str">
        <f aca="false">IFERROR(INDEX('Output Utente'!$P$2:$P$492,MATCH(54,'Output Utente'!$Q$2:$Q$492,0)),"")</f>
        <v>Top</v>
      </c>
      <c r="I57" s="47" t="n">
        <f aca="false">IFERROR(INDEX('Output Utente'!$F$2:$F$492,MATCH(54,'Output Utente'!$Q$2:$Q$492,0)),"")</f>
        <v>89</v>
      </c>
      <c r="J57" s="47" t="n">
        <f aca="false">IFERROR(INDEX('Output Utente'!$G$2:$G$492,MATCH(54,'Output Utente'!$Q$2:$Q$492,0)),"")</f>
        <v>71</v>
      </c>
      <c r="K57" s="47" t="n">
        <f aca="false">IFERROR(INDEX('Output Utente'!$H$2:$H$492,MATCH(54,'Output Utente'!$Q$2:$Q$492,0)),"")</f>
        <v>96</v>
      </c>
      <c r="L57" s="7" t="str">
        <f aca="false">IFERROR(INDEX('Output Utente'!$E$2:$E$492,MATCH(54,'Output Utente'!$Q$2:$Q$492,0)),"")</f>
        <v>NO</v>
      </c>
      <c r="M57" s="7" t="str">
        <f aca="false">IFERROR(INDEX('Output Utente'!$U$2:$U$492,MATCH(54,'Output Utente'!$Q$2:$Q$492,0)),"")</f>
        <v>Attenzione</v>
      </c>
      <c r="N57" s="7" t="str">
        <f aca="false">IFERROR(INDEX('Output Utente'!$AE$2:$AE$492,MATCH(54,'Output Utente'!$Q$2:$Q$492,0)),"")</f>
        <v>🟡 Attesa rischiosa</v>
      </c>
    </row>
    <row r="58" customFormat="false" ht="15" hidden="false" customHeight="true" outlineLevel="0" collapsed="false">
      <c r="A58" s="46" t="n">
        <v>55</v>
      </c>
      <c r="B58" s="7" t="n">
        <f aca="false">IFERROR(INDEX('Output Utente'!$A$2:$A$492,MATCH(55,'Output Utente'!$Q$2:$Q$492,0)),"")</f>
        <v>4728</v>
      </c>
      <c r="C58" s="7" t="str">
        <f aca="false">IFERROR(INDEX('Output Utente'!$B$2:$B$492,MATCH(55,'Output Utente'!$Q$2:$Q$492,0)),"")</f>
        <v>A</v>
      </c>
      <c r="D58" s="7" t="str">
        <f aca="false">IFERROR(INDEX('Output Utente'!$C$2:$C$492,MATCH(55,'Output Utente'!$Q$2:$Q$492,0)),"")</f>
        <v>Nkunku</v>
      </c>
      <c r="E58" s="7" t="str">
        <f aca="false">IFERROR(INDEX('Input Giocatori 2026_27'!$D$3:$D$493,MATCH($B58,'Input Giocatori 2026_27'!$A$3:$A$493,0)),"")</f>
        <v>Milan</v>
      </c>
      <c r="F58" s="47" t="n">
        <f aca="false">IFERROR(INDEX('Output Utente'!$N$2:$N$492,MATCH(55,'Output Utente'!$Q$2:$Q$492,0)),"")</f>
        <v>13</v>
      </c>
      <c r="G58" s="47" t="n">
        <f aca="false">IFERROR(INDEX('Output Utente'!$O$2:$O$492,MATCH(55,'Output Utente'!$Q$2:$Q$492,0)),"")</f>
        <v>52</v>
      </c>
      <c r="H58" s="7" t="str">
        <f aca="false">IFERROR(INDEX('Output Utente'!$P$2:$P$492,MATCH(55,'Output Utente'!$Q$2:$Q$492,0)),"")</f>
        <v>Buono</v>
      </c>
      <c r="I58" s="47" t="n">
        <f aca="false">IFERROR(INDEX('Output Utente'!$F$2:$F$492,MATCH(55,'Output Utente'!$Q$2:$Q$492,0)),"")</f>
        <v>17</v>
      </c>
      <c r="J58" s="47" t="n">
        <f aca="false">IFERROR(INDEX('Output Utente'!$G$2:$G$492,MATCH(55,'Output Utente'!$Q$2:$Q$492,0)),"")</f>
        <v>11</v>
      </c>
      <c r="K58" s="47" t="n">
        <f aca="false">IFERROR(INDEX('Output Utente'!$H$2:$H$492,MATCH(55,'Output Utente'!$Q$2:$Q$492,0)),"")</f>
        <v>20</v>
      </c>
      <c r="L58" s="7" t="str">
        <f aca="false">IFERROR(INDEX('Output Utente'!$E$2:$E$492,MATCH(55,'Output Utente'!$Q$2:$Q$492,0)),"")</f>
        <v>NO</v>
      </c>
      <c r="M58" s="7" t="str">
        <f aca="false">IFERROR(INDEX('Output Utente'!$U$2:$U$492,MATCH(55,'Output Utente'!$Q$2:$Q$492,0)),"")</f>
        <v>OK</v>
      </c>
      <c r="N58" s="7" t="str">
        <f aca="false">IFERROR(INDEX('Output Utente'!$AE$2:$AE$492,MATCH(55,'Output Utente'!$Q$2:$Q$492,0)),"")</f>
        <v>🔴 Non aspettare</v>
      </c>
    </row>
    <row r="59" customFormat="false" ht="15" hidden="false" customHeight="true" outlineLevel="0" collapsed="false">
      <c r="A59" s="46" t="n">
        <v>56</v>
      </c>
      <c r="B59" s="7" t="n">
        <f aca="false">IFERROR(INDEX('Output Utente'!$A$2:$A$492,MATCH(56,'Output Utente'!$Q$2:$Q$492,0)),"")</f>
        <v>7484</v>
      </c>
      <c r="C59" s="7" t="str">
        <f aca="false">IFERROR(INDEX('Output Utente'!$B$2:$B$492,MATCH(56,'Output Utente'!$Q$2:$Q$492,0)),"")</f>
        <v>A</v>
      </c>
      <c r="D59" s="7" t="str">
        <f aca="false">IFERROR(INDEX('Output Utente'!$C$2:$C$492,MATCH(56,'Output Utente'!$Q$2:$Q$492,0)),"")</f>
        <v>Adams A.</v>
      </c>
      <c r="E59" s="7" t="str">
        <f aca="false">IFERROR(INDEX('Input Giocatori 2026_27'!$D$3:$D$493,MATCH($B59,'Input Giocatori 2026_27'!$A$3:$A$493,0)),"")</f>
        <v>Venezia</v>
      </c>
      <c r="F59" s="47" t="n">
        <f aca="false">IFERROR(INDEX('Output Utente'!$N$2:$N$492,MATCH(56,'Output Utente'!$Q$2:$Q$492,0)),"")</f>
        <v>12</v>
      </c>
      <c r="G59" s="47" t="n">
        <f aca="false">IFERROR(INDEX('Output Utente'!$O$2:$O$492,MATCH(56,'Output Utente'!$Q$2:$Q$492,0)),"")</f>
        <v>52</v>
      </c>
      <c r="H59" s="7" t="str">
        <f aca="false">IFERROR(INDEX('Output Utente'!$P$2:$P$492,MATCH(56,'Output Utente'!$Q$2:$Q$492,0)),"")</f>
        <v>Buono</v>
      </c>
      <c r="I59" s="47" t="n">
        <f aca="false">IFERROR(INDEX('Output Utente'!$F$2:$F$492,MATCH(56,'Output Utente'!$Q$2:$Q$492,0)),"")</f>
        <v>16</v>
      </c>
      <c r="J59" s="47" t="n">
        <f aca="false">IFERROR(INDEX('Output Utente'!$G$2:$G$492,MATCH(56,'Output Utente'!$Q$2:$Q$492,0)),"")</f>
        <v>10</v>
      </c>
      <c r="K59" s="47" t="n">
        <f aca="false">IFERROR(INDEX('Output Utente'!$H$2:$H$492,MATCH(56,'Output Utente'!$Q$2:$Q$492,0)),"")</f>
        <v>19</v>
      </c>
      <c r="L59" s="7" t="str">
        <f aca="false">IFERROR(INDEX('Output Utente'!$E$2:$E$492,MATCH(56,'Output Utente'!$Q$2:$Q$492,0)),"")</f>
        <v>NO</v>
      </c>
      <c r="M59" s="7" t="str">
        <f aca="false">IFERROR(INDEX('Output Utente'!$U$2:$U$492,MATCH(56,'Output Utente'!$Q$2:$Q$492,0)),"")</f>
        <v>OK</v>
      </c>
      <c r="N59" s="7" t="str">
        <f aca="false">IFERROR(INDEX('Output Utente'!$AE$2:$AE$492,MATCH(56,'Output Utente'!$Q$2:$Q$492,0)),"")</f>
        <v>🔴 Non aspettare</v>
      </c>
    </row>
    <row r="60" customFormat="false" ht="15" hidden="false" customHeight="true" outlineLevel="0" collapsed="false">
      <c r="A60" s="46" t="n">
        <v>57</v>
      </c>
      <c r="B60" s="7" t="n">
        <f aca="false">IFERROR(INDEX('Output Utente'!$A$2:$A$492,MATCH(57,'Output Utente'!$Q$2:$Q$492,0)),"")</f>
        <v>4312</v>
      </c>
      <c r="C60" s="7" t="str">
        <f aca="false">IFERROR(INDEX('Output Utente'!$B$2:$B$492,MATCH(57,'Output Utente'!$Q$2:$Q$492,0)),"")</f>
        <v>P</v>
      </c>
      <c r="D60" s="7" t="str">
        <f aca="false">IFERROR(INDEX('Output Utente'!$C$2:$C$492,MATCH(57,'Output Utente'!$Q$2:$Q$492,0)),"")</f>
        <v>Maignan</v>
      </c>
      <c r="E60" s="7" t="str">
        <f aca="false">IFERROR(INDEX('Input Giocatori 2026_27'!$D$3:$D$493,MATCH($B60,'Input Giocatori 2026_27'!$A$3:$A$493,0)),"")</f>
        <v>Milan</v>
      </c>
      <c r="F60" s="47" t="n">
        <f aca="false">IFERROR(INDEX('Output Utente'!$N$2:$N$492,MATCH(57,'Output Utente'!$Q$2:$Q$492,0)),"")</f>
        <v>15</v>
      </c>
      <c r="G60" s="47" t="n">
        <f aca="false">IFERROR(INDEX('Output Utente'!$O$2:$O$492,MATCH(57,'Output Utente'!$Q$2:$Q$492,0)),"")</f>
        <v>50</v>
      </c>
      <c r="H60" s="7" t="str">
        <f aca="false">IFERROR(INDEX('Output Utente'!$P$2:$P$492,MATCH(57,'Output Utente'!$Q$2:$Q$492,0)),"")</f>
        <v>Top</v>
      </c>
      <c r="I60" s="47" t="n">
        <f aca="false">IFERROR(INDEX('Output Utente'!$F$2:$F$492,MATCH(57,'Output Utente'!$Q$2:$Q$492,0)),"")</f>
        <v>84</v>
      </c>
      <c r="J60" s="47" t="n">
        <f aca="false">IFERROR(INDEX('Output Utente'!$G$2:$G$492,MATCH(57,'Output Utente'!$Q$2:$Q$492,0)),"")</f>
        <v>68</v>
      </c>
      <c r="K60" s="47" t="n">
        <f aca="false">IFERROR(INDEX('Output Utente'!$H$2:$H$492,MATCH(57,'Output Utente'!$Q$2:$Q$492,0)),"")</f>
        <v>91</v>
      </c>
      <c r="L60" s="7" t="str">
        <f aca="false">IFERROR(INDEX('Output Utente'!$E$2:$E$492,MATCH(57,'Output Utente'!$Q$2:$Q$492,0)),"")</f>
        <v>NO</v>
      </c>
      <c r="M60" s="7" t="str">
        <f aca="false">IFERROR(INDEX('Output Utente'!$U$2:$U$492,MATCH(57,'Output Utente'!$Q$2:$Q$492,0)),"")</f>
        <v>Attenzione</v>
      </c>
      <c r="N60" s="7" t="str">
        <f aca="false">IFERROR(INDEX('Output Utente'!$AE$2:$AE$492,MATCH(57,'Output Utente'!$Q$2:$Q$492,0)),"")</f>
        <v>🟡 Attesa rischiosa</v>
      </c>
    </row>
    <row r="61" customFormat="false" ht="15" hidden="false" customHeight="true" outlineLevel="0" collapsed="false">
      <c r="A61" s="46" t="n">
        <v>58</v>
      </c>
      <c r="B61" s="7" t="n">
        <f aca="false">IFERROR(INDEX('Output Utente'!$A$2:$A$492,MATCH(58,'Output Utente'!$Q$2:$Q$492,0)),"")</f>
        <v>2788</v>
      </c>
      <c r="C61" s="7" t="str">
        <f aca="false">IFERROR(INDEX('Output Utente'!$B$2:$B$492,MATCH(58,'Output Utente'!$Q$2:$Q$492,0)),"")</f>
        <v>D</v>
      </c>
      <c r="D61" s="7" t="str">
        <f aca="false">IFERROR(INDEX('Output Utente'!$C$2:$C$492,MATCH(58,'Output Utente'!$Q$2:$Q$492,0)),"")</f>
        <v>Bremer</v>
      </c>
      <c r="E61" s="7" t="str">
        <f aca="false">IFERROR(INDEX('Input Giocatori 2026_27'!$D$3:$D$493,MATCH($B61,'Input Giocatori 2026_27'!$A$3:$A$493,0)),"")</f>
        <v>Juventus</v>
      </c>
      <c r="F61" s="47" t="n">
        <f aca="false">IFERROR(INDEX('Output Utente'!$N$2:$N$492,MATCH(58,'Output Utente'!$Q$2:$Q$492,0)),"")</f>
        <v>15</v>
      </c>
      <c r="G61" s="47" t="n">
        <f aca="false">IFERROR(INDEX('Output Utente'!$O$2:$O$492,MATCH(58,'Output Utente'!$Q$2:$Q$492,0)),"")</f>
        <v>50</v>
      </c>
      <c r="H61" s="7" t="str">
        <f aca="false">IFERROR(INDEX('Output Utente'!$P$2:$P$492,MATCH(58,'Output Utente'!$Q$2:$Q$492,0)),"")</f>
        <v>Top</v>
      </c>
      <c r="I61" s="47" t="n">
        <f aca="false">IFERROR(INDEX('Output Utente'!$F$2:$F$492,MATCH(58,'Output Utente'!$Q$2:$Q$492,0)),"")</f>
        <v>35</v>
      </c>
      <c r="J61" s="47" t="n">
        <f aca="false">IFERROR(INDEX('Output Utente'!$G$2:$G$492,MATCH(58,'Output Utente'!$Q$2:$Q$492,0)),"")</f>
        <v>26</v>
      </c>
      <c r="K61" s="47" t="n">
        <f aca="false">IFERROR(INDEX('Output Utente'!$H$2:$H$492,MATCH(58,'Output Utente'!$Q$2:$Q$492,0)),"")</f>
        <v>39</v>
      </c>
      <c r="L61" s="7" t="str">
        <f aca="false">IFERROR(INDEX('Output Utente'!$E$2:$E$492,MATCH(58,'Output Utente'!$Q$2:$Q$492,0)),"")</f>
        <v>NO</v>
      </c>
      <c r="M61" s="7" t="str">
        <f aca="false">IFERROR(INDEX('Output Utente'!$U$2:$U$492,MATCH(58,'Output Utente'!$Q$2:$Q$492,0)),"")</f>
        <v>OK</v>
      </c>
      <c r="N61" s="7" t="str">
        <f aca="false">IFERROR(INDEX('Output Utente'!$AE$2:$AE$492,MATCH(58,'Output Utente'!$Q$2:$Q$492,0)),"")</f>
        <v>🟡 Attesa rischiosa</v>
      </c>
    </row>
    <row r="62" customFormat="false" ht="15" hidden="false" customHeight="true" outlineLevel="0" collapsed="false">
      <c r="A62" s="46" t="n">
        <v>59</v>
      </c>
      <c r="B62" s="7" t="n">
        <f aca="false">IFERROR(INDEX('Output Utente'!$A$2:$A$492,MATCH(59,'Output Utente'!$Q$2:$Q$492,0)),"")</f>
        <v>2606</v>
      </c>
      <c r="C62" s="7" t="str">
        <f aca="false">IFERROR(INDEX('Output Utente'!$B$2:$B$492,MATCH(59,'Output Utente'!$Q$2:$Q$492,0)),"")</f>
        <v>C</v>
      </c>
      <c r="D62" s="7" t="str">
        <f aca="false">IFERROR(INDEX('Output Utente'!$C$2:$C$492,MATCH(59,'Output Utente'!$Q$2:$Q$492,0)),"")</f>
        <v>Modric</v>
      </c>
      <c r="E62" s="7" t="str">
        <f aca="false">IFERROR(INDEX('Input Giocatori 2026_27'!$D$3:$D$493,MATCH($B62,'Input Giocatori 2026_27'!$A$3:$A$493,0)),"")</f>
        <v>Milan</v>
      </c>
      <c r="F62" s="47" t="n">
        <f aca="false">IFERROR(INDEX('Output Utente'!$N$2:$N$492,MATCH(59,'Output Utente'!$Q$2:$Q$492,0)),"")</f>
        <v>12</v>
      </c>
      <c r="G62" s="47" t="n">
        <f aca="false">IFERROR(INDEX('Output Utente'!$O$2:$O$492,MATCH(59,'Output Utente'!$Q$2:$Q$492,0)),"")</f>
        <v>50</v>
      </c>
      <c r="H62" s="7" t="str">
        <f aca="false">IFERROR(INDEX('Output Utente'!$P$2:$P$492,MATCH(59,'Output Utente'!$Q$2:$Q$492,0)),"")</f>
        <v>Top</v>
      </c>
      <c r="I62" s="47" t="n">
        <f aca="false">IFERROR(INDEX('Output Utente'!$F$2:$F$492,MATCH(59,'Output Utente'!$Q$2:$Q$492,0)),"")</f>
        <v>34</v>
      </c>
      <c r="J62" s="47" t="n">
        <f aca="false">IFERROR(INDEX('Output Utente'!$G$2:$G$492,MATCH(59,'Output Utente'!$Q$2:$Q$492,0)),"")</f>
        <v>23</v>
      </c>
      <c r="K62" s="47" t="n">
        <f aca="false">IFERROR(INDEX('Output Utente'!$H$2:$H$492,MATCH(59,'Output Utente'!$Q$2:$Q$492,0)),"")</f>
        <v>38</v>
      </c>
      <c r="L62" s="7" t="str">
        <f aca="false">IFERROR(INDEX('Output Utente'!$E$2:$E$492,MATCH(59,'Output Utente'!$Q$2:$Q$492,0)),"")</f>
        <v>NO</v>
      </c>
      <c r="M62" s="7" t="str">
        <f aca="false">IFERROR(INDEX('Output Utente'!$U$2:$U$492,MATCH(59,'Output Utente'!$Q$2:$Q$492,0)),"")</f>
        <v>OK</v>
      </c>
      <c r="N62" s="7" t="str">
        <f aca="false">IFERROR(INDEX('Output Utente'!$AE$2:$AE$492,MATCH(59,'Output Utente'!$Q$2:$Q$492,0)),"")</f>
        <v>🟡 Attesa rischiosa</v>
      </c>
    </row>
    <row r="63" customFormat="false" ht="15" hidden="false" customHeight="true" outlineLevel="0" collapsed="false">
      <c r="A63" s="46" t="n">
        <v>60</v>
      </c>
      <c r="B63" s="7" t="n">
        <f aca="false">IFERROR(INDEX('Output Utente'!$A$2:$A$492,MATCH(60,'Output Utente'!$Q$2:$Q$492,0)),"")</f>
        <v>4463</v>
      </c>
      <c r="C63" s="7" t="str">
        <f aca="false">IFERROR(INDEX('Output Utente'!$B$2:$B$492,MATCH(60,'Output Utente'!$Q$2:$Q$492,0)),"")</f>
        <v>A</v>
      </c>
      <c r="D63" s="7" t="str">
        <f aca="false">IFERROR(INDEX('Output Utente'!$C$2:$C$492,MATCH(60,'Output Utente'!$Q$2:$Q$492,0)),"")</f>
        <v>Esposito Se.</v>
      </c>
      <c r="E63" s="7" t="str">
        <f aca="false">IFERROR(INDEX('Input Giocatori 2026_27'!$D$3:$D$493,MATCH($B63,'Input Giocatori 2026_27'!$A$3:$A$493,0)),"")</f>
        <v>Cagliari</v>
      </c>
      <c r="F63" s="47" t="n">
        <f aca="false">IFERROR(INDEX('Output Utente'!$N$2:$N$492,MATCH(60,'Output Utente'!$Q$2:$Q$492,0)),"")</f>
        <v>13</v>
      </c>
      <c r="G63" s="47" t="n">
        <f aca="false">IFERROR(INDEX('Output Utente'!$O$2:$O$492,MATCH(60,'Output Utente'!$Q$2:$Q$492,0)),"")</f>
        <v>50</v>
      </c>
      <c r="H63" s="7" t="str">
        <f aca="false">IFERROR(INDEX('Output Utente'!$P$2:$P$492,MATCH(60,'Output Utente'!$Q$2:$Q$492,0)),"")</f>
        <v>Buono</v>
      </c>
      <c r="I63" s="47" t="n">
        <f aca="false">IFERROR(INDEX('Output Utente'!$F$2:$F$492,MATCH(60,'Output Utente'!$Q$2:$Q$492,0)),"")</f>
        <v>16</v>
      </c>
      <c r="J63" s="47" t="n">
        <f aca="false">IFERROR(INDEX('Output Utente'!$G$2:$G$492,MATCH(60,'Output Utente'!$Q$2:$Q$492,0)),"")</f>
        <v>10</v>
      </c>
      <c r="K63" s="47" t="n">
        <f aca="false">IFERROR(INDEX('Output Utente'!$H$2:$H$492,MATCH(60,'Output Utente'!$Q$2:$Q$492,0)),"")</f>
        <v>19</v>
      </c>
      <c r="L63" s="7" t="str">
        <f aca="false">IFERROR(INDEX('Output Utente'!$E$2:$E$492,MATCH(60,'Output Utente'!$Q$2:$Q$492,0)),"")</f>
        <v>NO</v>
      </c>
      <c r="M63" s="7" t="str">
        <f aca="false">IFERROR(INDEX('Output Utente'!$U$2:$U$492,MATCH(60,'Output Utente'!$Q$2:$Q$492,0)),"")</f>
        <v>OK</v>
      </c>
      <c r="N63" s="7" t="str">
        <f aca="false">IFERROR(INDEX('Output Utente'!$AE$2:$AE$492,MATCH(60,'Output Utente'!$Q$2:$Q$492,0)),"")</f>
        <v>🔴 Non aspettare</v>
      </c>
    </row>
    <row r="64" customFormat="false" ht="15" hidden="false" customHeight="true" outlineLevel="0" collapsed="false">
      <c r="A64" s="46" t="n">
        <v>61</v>
      </c>
      <c r="B64" s="7" t="n">
        <f aca="false">IFERROR(INDEX('Output Utente'!$A$2:$A$492,MATCH(61,'Output Utente'!$Q$2:$Q$492,0)),"")</f>
        <v>6967</v>
      </c>
      <c r="C64" s="7" t="str">
        <f aca="false">IFERROR(INDEX('Output Utente'!$B$2:$B$492,MATCH(61,'Output Utente'!$Q$2:$Q$492,0)),"")</f>
        <v>A</v>
      </c>
      <c r="D64" s="7" t="str">
        <f aca="false">IFERROR(INDEX('Output Utente'!$C$2:$C$492,MATCH(61,'Output Utente'!$Q$2:$Q$492,0)),"")</f>
        <v>Diao</v>
      </c>
      <c r="E64" s="7" t="str">
        <f aca="false">IFERROR(INDEX('Input Giocatori 2026_27'!$D$3:$D$493,MATCH($B64,'Input Giocatori 2026_27'!$A$3:$A$493,0)),"")</f>
        <v>Como</v>
      </c>
      <c r="F64" s="47" t="n">
        <f aca="false">IFERROR(INDEX('Output Utente'!$N$2:$N$492,MATCH(61,'Output Utente'!$Q$2:$Q$492,0)),"")</f>
        <v>11</v>
      </c>
      <c r="G64" s="47" t="n">
        <f aca="false">IFERROR(INDEX('Output Utente'!$O$2:$O$492,MATCH(61,'Output Utente'!$Q$2:$Q$492,0)),"")</f>
        <v>50</v>
      </c>
      <c r="H64" s="7" t="str">
        <f aca="false">IFERROR(INDEX('Output Utente'!$P$2:$P$492,MATCH(61,'Output Utente'!$Q$2:$Q$492,0)),"")</f>
        <v>Buono</v>
      </c>
      <c r="I64" s="47" t="n">
        <f aca="false">IFERROR(INDEX('Output Utente'!$F$2:$F$492,MATCH(61,'Output Utente'!$Q$2:$Q$492,0)),"")</f>
        <v>16</v>
      </c>
      <c r="J64" s="47" t="n">
        <f aca="false">IFERROR(INDEX('Output Utente'!$G$2:$G$492,MATCH(61,'Output Utente'!$Q$2:$Q$492,0)),"")</f>
        <v>10</v>
      </c>
      <c r="K64" s="47" t="n">
        <f aca="false">IFERROR(INDEX('Output Utente'!$H$2:$H$492,MATCH(61,'Output Utente'!$Q$2:$Q$492,0)),"")</f>
        <v>19</v>
      </c>
      <c r="L64" s="7" t="str">
        <f aca="false">IFERROR(INDEX('Output Utente'!$E$2:$E$492,MATCH(61,'Output Utente'!$Q$2:$Q$492,0)),"")</f>
        <v>NO</v>
      </c>
      <c r="M64" s="7" t="str">
        <f aca="false">IFERROR(INDEX('Output Utente'!$U$2:$U$492,MATCH(61,'Output Utente'!$Q$2:$Q$492,0)),"")</f>
        <v>OK</v>
      </c>
      <c r="N64" s="7" t="str">
        <f aca="false">IFERROR(INDEX('Output Utente'!$AE$2:$AE$492,MATCH(61,'Output Utente'!$Q$2:$Q$492,0)),"")</f>
        <v>🔴 Non aspettare</v>
      </c>
    </row>
    <row r="65" customFormat="false" ht="15" hidden="false" customHeight="true" outlineLevel="0" collapsed="false">
      <c r="A65" s="46" t="n">
        <v>62</v>
      </c>
      <c r="B65" s="7" t="n">
        <f aca="false">IFERROR(INDEX('Output Utente'!$A$2:$A$492,MATCH(62,'Output Utente'!$Q$2:$Q$492,0)),"")</f>
        <v>2296</v>
      </c>
      <c r="C65" s="7" t="str">
        <f aca="false">IFERROR(INDEX('Output Utente'!$B$2:$B$492,MATCH(62,'Output Utente'!$Q$2:$Q$492,0)),"")</f>
        <v>D</v>
      </c>
      <c r="D65" s="7" t="str">
        <f aca="false">IFERROR(INDEX('Output Utente'!$C$2:$C$492,MATCH(62,'Output Utente'!$Q$2:$Q$492,0)),"")</f>
        <v>Mancini</v>
      </c>
      <c r="E65" s="7" t="str">
        <f aca="false">IFERROR(INDEX('Input Giocatori 2026_27'!$D$3:$D$493,MATCH($B65,'Input Giocatori 2026_27'!$A$3:$A$493,0)),"")</f>
        <v>Roma</v>
      </c>
      <c r="F65" s="47" t="n">
        <f aca="false">IFERROR(INDEX('Output Utente'!$N$2:$N$492,MATCH(62,'Output Utente'!$Q$2:$Q$492,0)),"")</f>
        <v>15</v>
      </c>
      <c r="G65" s="47" t="n">
        <f aca="false">IFERROR(INDEX('Output Utente'!$O$2:$O$492,MATCH(62,'Output Utente'!$Q$2:$Q$492,0)),"")</f>
        <v>49</v>
      </c>
      <c r="H65" s="7" t="str">
        <f aca="false">IFERROR(INDEX('Output Utente'!$P$2:$P$492,MATCH(62,'Output Utente'!$Q$2:$Q$492,0)),"")</f>
        <v>Top</v>
      </c>
      <c r="I65" s="47" t="n">
        <f aca="false">IFERROR(INDEX('Output Utente'!$F$2:$F$492,MATCH(62,'Output Utente'!$Q$2:$Q$492,0)),"")</f>
        <v>34</v>
      </c>
      <c r="J65" s="47" t="n">
        <f aca="false">IFERROR(INDEX('Output Utente'!$G$2:$G$492,MATCH(62,'Output Utente'!$Q$2:$Q$492,0)),"")</f>
        <v>25</v>
      </c>
      <c r="K65" s="47" t="n">
        <f aca="false">IFERROR(INDEX('Output Utente'!$H$2:$H$492,MATCH(62,'Output Utente'!$Q$2:$Q$492,0)),"")</f>
        <v>38</v>
      </c>
      <c r="L65" s="7" t="str">
        <f aca="false">IFERROR(INDEX('Output Utente'!$E$2:$E$492,MATCH(62,'Output Utente'!$Q$2:$Q$492,0)),"")</f>
        <v>NO</v>
      </c>
      <c r="M65" s="7" t="str">
        <f aca="false">IFERROR(INDEX('Output Utente'!$U$2:$U$492,MATCH(62,'Output Utente'!$Q$2:$Q$492,0)),"")</f>
        <v>OK</v>
      </c>
      <c r="N65" s="7" t="str">
        <f aca="false">IFERROR(INDEX('Output Utente'!$AE$2:$AE$492,MATCH(62,'Output Utente'!$Q$2:$Q$492,0)),"")</f>
        <v>🟡 Attesa rischiosa</v>
      </c>
    </row>
    <row r="66" customFormat="false" ht="15" hidden="false" customHeight="true" outlineLevel="0" collapsed="false">
      <c r="A66" s="46" t="n">
        <v>63</v>
      </c>
      <c r="B66" s="7" t="n">
        <f aca="false">IFERROR(INDEX('Output Utente'!$A$2:$A$492,MATCH(63,'Output Utente'!$Q$2:$Q$492,0)),"")</f>
        <v>5022</v>
      </c>
      <c r="C66" s="7" t="str">
        <f aca="false">IFERROR(INDEX('Output Utente'!$B$2:$B$492,MATCH(63,'Output Utente'!$Q$2:$Q$492,0)),"")</f>
        <v>D</v>
      </c>
      <c r="D66" s="7" t="str">
        <f aca="false">IFERROR(INDEX('Output Utente'!$C$2:$C$492,MATCH(63,'Output Utente'!$Q$2:$Q$492,0)),"")</f>
        <v>Pavlovic</v>
      </c>
      <c r="E66" s="7" t="str">
        <f aca="false">IFERROR(INDEX('Input Giocatori 2026_27'!$D$3:$D$493,MATCH($B66,'Input Giocatori 2026_27'!$A$3:$A$493,0)),"")</f>
        <v>Milan</v>
      </c>
      <c r="F66" s="47" t="n">
        <f aca="false">IFERROR(INDEX('Output Utente'!$N$2:$N$492,MATCH(63,'Output Utente'!$Q$2:$Q$492,0)),"")</f>
        <v>14</v>
      </c>
      <c r="G66" s="47" t="n">
        <f aca="false">IFERROR(INDEX('Output Utente'!$O$2:$O$492,MATCH(63,'Output Utente'!$Q$2:$Q$492,0)),"")</f>
        <v>48</v>
      </c>
      <c r="H66" s="7" t="str">
        <f aca="false">IFERROR(INDEX('Output Utente'!$P$2:$P$492,MATCH(63,'Output Utente'!$Q$2:$Q$492,0)),"")</f>
        <v>Top</v>
      </c>
      <c r="I66" s="47" t="n">
        <f aca="false">IFERROR(INDEX('Output Utente'!$F$2:$F$492,MATCH(63,'Output Utente'!$Q$2:$Q$492,0)),"")</f>
        <v>33</v>
      </c>
      <c r="J66" s="47" t="n">
        <f aca="false">IFERROR(INDEX('Output Utente'!$G$2:$G$492,MATCH(63,'Output Utente'!$Q$2:$Q$492,0)),"")</f>
        <v>25</v>
      </c>
      <c r="K66" s="47" t="n">
        <f aca="false">IFERROR(INDEX('Output Utente'!$H$2:$H$492,MATCH(63,'Output Utente'!$Q$2:$Q$492,0)),"")</f>
        <v>37</v>
      </c>
      <c r="L66" s="7" t="str">
        <f aca="false">IFERROR(INDEX('Output Utente'!$E$2:$E$492,MATCH(63,'Output Utente'!$Q$2:$Q$492,0)),"")</f>
        <v>NO</v>
      </c>
      <c r="M66" s="7" t="str">
        <f aca="false">IFERROR(INDEX('Output Utente'!$U$2:$U$492,MATCH(63,'Output Utente'!$Q$2:$Q$492,0)),"")</f>
        <v>OK</v>
      </c>
      <c r="N66" s="7" t="str">
        <f aca="false">IFERROR(INDEX('Output Utente'!$AE$2:$AE$492,MATCH(63,'Output Utente'!$Q$2:$Q$492,0)),"")</f>
        <v>🟡 Attesa rischiosa</v>
      </c>
    </row>
    <row r="67" customFormat="false" ht="15" hidden="false" customHeight="true" outlineLevel="0" collapsed="false">
      <c r="A67" s="46" t="n">
        <v>64</v>
      </c>
      <c r="B67" s="7" t="n">
        <f aca="false">IFERROR(INDEX('Output Utente'!$A$2:$A$492,MATCH(64,'Output Utente'!$Q$2:$Q$492,0)),"")</f>
        <v>4409</v>
      </c>
      <c r="C67" s="7" t="str">
        <f aca="false">IFERROR(INDEX('Output Utente'!$B$2:$B$492,MATCH(64,'Output Utente'!$Q$2:$Q$492,0)),"")</f>
        <v>D</v>
      </c>
      <c r="D67" s="7" t="str">
        <f aca="false">IFERROR(INDEX('Output Utente'!$C$2:$C$492,MATCH(64,'Output Utente'!$Q$2:$Q$492,0)),"")</f>
        <v>Rrahmani</v>
      </c>
      <c r="E67" s="7" t="str">
        <f aca="false">IFERROR(INDEX('Input Giocatori 2026_27'!$D$3:$D$493,MATCH($B67,'Input Giocatori 2026_27'!$A$3:$A$493,0)),"")</f>
        <v>Napoli</v>
      </c>
      <c r="F67" s="47" t="n">
        <f aca="false">IFERROR(INDEX('Output Utente'!$N$2:$N$492,MATCH(64,'Output Utente'!$Q$2:$Q$492,0)),"")</f>
        <v>14</v>
      </c>
      <c r="G67" s="47" t="n">
        <f aca="false">IFERROR(INDEX('Output Utente'!$O$2:$O$492,MATCH(64,'Output Utente'!$Q$2:$Q$492,0)),"")</f>
        <v>47</v>
      </c>
      <c r="H67" s="7" t="str">
        <f aca="false">IFERROR(INDEX('Output Utente'!$P$2:$P$492,MATCH(64,'Output Utente'!$Q$2:$Q$492,0)),"")</f>
        <v>Top</v>
      </c>
      <c r="I67" s="47" t="n">
        <f aca="false">IFERROR(INDEX('Output Utente'!$F$2:$F$492,MATCH(64,'Output Utente'!$Q$2:$Q$492,0)),"")</f>
        <v>32</v>
      </c>
      <c r="J67" s="47" t="n">
        <f aca="false">IFERROR(INDEX('Output Utente'!$G$2:$G$492,MATCH(64,'Output Utente'!$Q$2:$Q$492,0)),"")</f>
        <v>24</v>
      </c>
      <c r="K67" s="47" t="n">
        <f aca="false">IFERROR(INDEX('Output Utente'!$H$2:$H$492,MATCH(64,'Output Utente'!$Q$2:$Q$492,0)),"")</f>
        <v>36</v>
      </c>
      <c r="L67" s="7" t="str">
        <f aca="false">IFERROR(INDEX('Output Utente'!$E$2:$E$492,MATCH(64,'Output Utente'!$Q$2:$Q$492,0)),"")</f>
        <v>NO</v>
      </c>
      <c r="M67" s="7" t="str">
        <f aca="false">IFERROR(INDEX('Output Utente'!$U$2:$U$492,MATCH(64,'Output Utente'!$Q$2:$Q$492,0)),"")</f>
        <v>OK</v>
      </c>
      <c r="N67" s="7" t="str">
        <f aca="false">IFERROR(INDEX('Output Utente'!$AE$2:$AE$492,MATCH(64,'Output Utente'!$Q$2:$Q$492,0)),"")</f>
        <v>🟡 Attesa rischiosa</v>
      </c>
    </row>
    <row r="68" customFormat="false" ht="15" hidden="false" customHeight="true" outlineLevel="0" collapsed="false">
      <c r="A68" s="46" t="n">
        <v>65</v>
      </c>
      <c r="B68" s="7" t="n">
        <f aca="false">IFERROR(INDEX('Output Utente'!$A$2:$A$492,MATCH(65,'Output Utente'!$Q$2:$Q$492,0)),"")</f>
        <v>536</v>
      </c>
      <c r="C68" s="7" t="str">
        <f aca="false">IFERROR(INDEX('Output Utente'!$B$2:$B$492,MATCH(65,'Output Utente'!$Q$2:$Q$492,0)),"")</f>
        <v>C</v>
      </c>
      <c r="D68" s="7" t="str">
        <f aca="false">IFERROR(INDEX('Output Utente'!$C$2:$C$492,MATCH(65,'Output Utente'!$Q$2:$Q$492,0)),"")</f>
        <v>Politano</v>
      </c>
      <c r="E68" s="7" t="str">
        <f aca="false">IFERROR(INDEX('Input Giocatori 2026_27'!$D$3:$D$493,MATCH($B68,'Input Giocatori 2026_27'!$A$3:$A$493,0)),"")</f>
        <v>Napoli</v>
      </c>
      <c r="F68" s="47" t="n">
        <f aca="false">IFERROR(INDEX('Output Utente'!$N$2:$N$492,MATCH(65,'Output Utente'!$Q$2:$Q$492,0)),"")</f>
        <v>10</v>
      </c>
      <c r="G68" s="47" t="n">
        <f aca="false">IFERROR(INDEX('Output Utente'!$O$2:$O$492,MATCH(65,'Output Utente'!$Q$2:$Q$492,0)),"")</f>
        <v>47</v>
      </c>
      <c r="H68" s="7" t="str">
        <f aca="false">IFERROR(INDEX('Output Utente'!$P$2:$P$492,MATCH(65,'Output Utente'!$Q$2:$Q$492,0)),"")</f>
        <v>Top</v>
      </c>
      <c r="I68" s="47" t="n">
        <f aca="false">IFERROR(INDEX('Output Utente'!$F$2:$F$492,MATCH(65,'Output Utente'!$Q$2:$Q$492,0)),"")</f>
        <v>31</v>
      </c>
      <c r="J68" s="47" t="n">
        <f aca="false">IFERROR(INDEX('Output Utente'!$G$2:$G$492,MATCH(65,'Output Utente'!$Q$2:$Q$492,0)),"")</f>
        <v>21</v>
      </c>
      <c r="K68" s="47" t="n">
        <f aca="false">IFERROR(INDEX('Output Utente'!$H$2:$H$492,MATCH(65,'Output Utente'!$Q$2:$Q$492,0)),"")</f>
        <v>35</v>
      </c>
      <c r="L68" s="7" t="str">
        <f aca="false">IFERROR(INDEX('Output Utente'!$E$2:$E$492,MATCH(65,'Output Utente'!$Q$2:$Q$492,0)),"")</f>
        <v>NO</v>
      </c>
      <c r="M68" s="7" t="str">
        <f aca="false">IFERROR(INDEX('Output Utente'!$U$2:$U$492,MATCH(65,'Output Utente'!$Q$2:$Q$492,0)),"")</f>
        <v>OK</v>
      </c>
      <c r="N68" s="7" t="str">
        <f aca="false">IFERROR(INDEX('Output Utente'!$AE$2:$AE$492,MATCH(65,'Output Utente'!$Q$2:$Q$492,0)),"")</f>
        <v>🟡 Attesa rischiosa</v>
      </c>
    </row>
    <row r="69" customFormat="false" ht="15" hidden="false" customHeight="true" outlineLevel="0" collapsed="false">
      <c r="A69" s="46" t="n">
        <v>66</v>
      </c>
      <c r="B69" s="7" t="n">
        <f aca="false">IFERROR(INDEX('Output Utente'!$A$2:$A$492,MATCH(66,'Output Utente'!$Q$2:$Q$492,0)),"")</f>
        <v>4976</v>
      </c>
      <c r="C69" s="7" t="str">
        <f aca="false">IFERROR(INDEX('Output Utente'!$B$2:$B$492,MATCH(66,'Output Utente'!$Q$2:$Q$492,0)),"")</f>
        <v>D</v>
      </c>
      <c r="D69" s="7" t="str">
        <f aca="false">IFERROR(INDEX('Output Utente'!$C$2:$C$492,MATCH(66,'Output Utente'!$Q$2:$Q$492,0)),"")</f>
        <v>Kalulu</v>
      </c>
      <c r="E69" s="7" t="str">
        <f aca="false">IFERROR(INDEX('Input Giocatori 2026_27'!$D$3:$D$493,MATCH($B69,'Input Giocatori 2026_27'!$A$3:$A$493,0)),"")</f>
        <v>Juventus</v>
      </c>
      <c r="F69" s="47" t="n">
        <f aca="false">IFERROR(INDEX('Output Utente'!$N$2:$N$492,MATCH(66,'Output Utente'!$Q$2:$Q$492,0)),"")</f>
        <v>13</v>
      </c>
      <c r="G69" s="47" t="n">
        <f aca="false">IFERROR(INDEX('Output Utente'!$O$2:$O$492,MATCH(66,'Output Utente'!$Q$2:$Q$492,0)),"")</f>
        <v>46</v>
      </c>
      <c r="H69" s="7" t="str">
        <f aca="false">IFERROR(INDEX('Output Utente'!$P$2:$P$492,MATCH(66,'Output Utente'!$Q$2:$Q$492,0)),"")</f>
        <v>Top</v>
      </c>
      <c r="I69" s="47" t="n">
        <f aca="false">IFERROR(INDEX('Output Utente'!$F$2:$F$492,MATCH(66,'Output Utente'!$Q$2:$Q$492,0)),"")</f>
        <v>31</v>
      </c>
      <c r="J69" s="47" t="n">
        <f aca="false">IFERROR(INDEX('Output Utente'!$G$2:$G$492,MATCH(66,'Output Utente'!$Q$2:$Q$492,0)),"")</f>
        <v>23</v>
      </c>
      <c r="K69" s="47" t="n">
        <f aca="false">IFERROR(INDEX('Output Utente'!$H$2:$H$492,MATCH(66,'Output Utente'!$Q$2:$Q$492,0)),"")</f>
        <v>35</v>
      </c>
      <c r="L69" s="7" t="str">
        <f aca="false">IFERROR(INDEX('Output Utente'!$E$2:$E$492,MATCH(66,'Output Utente'!$Q$2:$Q$492,0)),"")</f>
        <v>NO</v>
      </c>
      <c r="M69" s="7" t="str">
        <f aca="false">IFERROR(INDEX('Output Utente'!$U$2:$U$492,MATCH(66,'Output Utente'!$Q$2:$Q$492,0)),"")</f>
        <v>OK</v>
      </c>
      <c r="N69" s="7" t="str">
        <f aca="false">IFERROR(INDEX('Output Utente'!$AE$2:$AE$492,MATCH(66,'Output Utente'!$Q$2:$Q$492,0)),"")</f>
        <v>🟡 Attesa rischiosa</v>
      </c>
    </row>
    <row r="70" customFormat="false" ht="15" hidden="false" customHeight="true" outlineLevel="0" collapsed="false">
      <c r="A70" s="46" t="n">
        <v>67</v>
      </c>
      <c r="B70" s="7" t="n">
        <f aca="false">IFERROR(INDEX('Output Utente'!$A$2:$A$492,MATCH(67,'Output Utente'!$Q$2:$Q$492,0)),"")</f>
        <v>6956</v>
      </c>
      <c r="C70" s="7" t="str">
        <f aca="false">IFERROR(INDEX('Output Utente'!$B$2:$B$492,MATCH(67,'Output Utente'!$Q$2:$Q$492,0)),"")</f>
        <v>D</v>
      </c>
      <c r="D70" s="7" t="str">
        <f aca="false">IFERROR(INDEX('Output Utente'!$C$2:$C$492,MATCH(67,'Output Utente'!$Q$2:$Q$492,0)),"")</f>
        <v>Solet</v>
      </c>
      <c r="E70" s="7" t="str">
        <f aca="false">IFERROR(INDEX('Input Giocatori 2026_27'!$D$3:$D$493,MATCH($B70,'Input Giocatori 2026_27'!$A$3:$A$493,0)),"")</f>
        <v>Udinese</v>
      </c>
      <c r="F70" s="47" t="n">
        <f aca="false">IFERROR(INDEX('Output Utente'!$N$2:$N$492,MATCH(67,'Output Utente'!$Q$2:$Q$492,0)),"")</f>
        <v>13</v>
      </c>
      <c r="G70" s="47" t="n">
        <f aca="false">IFERROR(INDEX('Output Utente'!$O$2:$O$492,MATCH(67,'Output Utente'!$Q$2:$Q$492,0)),"")</f>
        <v>46</v>
      </c>
      <c r="H70" s="7" t="str">
        <f aca="false">IFERROR(INDEX('Output Utente'!$P$2:$P$492,MATCH(67,'Output Utente'!$Q$2:$Q$492,0)),"")</f>
        <v>Top</v>
      </c>
      <c r="I70" s="47" t="n">
        <f aca="false">IFERROR(INDEX('Output Utente'!$F$2:$F$492,MATCH(67,'Output Utente'!$Q$2:$Q$492,0)),"")</f>
        <v>31</v>
      </c>
      <c r="J70" s="47" t="n">
        <f aca="false">IFERROR(INDEX('Output Utente'!$G$2:$G$492,MATCH(67,'Output Utente'!$Q$2:$Q$492,0)),"")</f>
        <v>23</v>
      </c>
      <c r="K70" s="47" t="n">
        <f aca="false">IFERROR(INDEX('Output Utente'!$H$2:$H$492,MATCH(67,'Output Utente'!$Q$2:$Q$492,0)),"")</f>
        <v>35</v>
      </c>
      <c r="L70" s="7" t="str">
        <f aca="false">IFERROR(INDEX('Output Utente'!$E$2:$E$492,MATCH(67,'Output Utente'!$Q$2:$Q$492,0)),"")</f>
        <v>NO</v>
      </c>
      <c r="M70" s="7" t="str">
        <f aca="false">IFERROR(INDEX('Output Utente'!$U$2:$U$492,MATCH(67,'Output Utente'!$Q$2:$Q$492,0)),"")</f>
        <v>OK</v>
      </c>
      <c r="N70" s="7" t="str">
        <f aca="false">IFERROR(INDEX('Output Utente'!$AE$2:$AE$492,MATCH(67,'Output Utente'!$Q$2:$Q$492,0)),"")</f>
        <v>🟡 Attesa rischiosa</v>
      </c>
    </row>
    <row r="71" customFormat="false" ht="15" hidden="false" customHeight="true" outlineLevel="0" collapsed="false">
      <c r="A71" s="46" t="n">
        <v>68</v>
      </c>
      <c r="B71" s="7" t="n">
        <f aca="false">IFERROR(INDEX('Output Utente'!$A$2:$A$492,MATCH(68,'Output Utente'!$Q$2:$Q$492,0)),"")</f>
        <v>2521</v>
      </c>
      <c r="C71" s="7" t="str">
        <f aca="false">IFERROR(INDEX('Output Utente'!$B$2:$B$492,MATCH(68,'Output Utente'!$Q$2:$Q$492,0)),"")</f>
        <v>P</v>
      </c>
      <c r="D71" s="7" t="str">
        <f aca="false">IFERROR(INDEX('Output Utente'!$C$2:$C$492,MATCH(68,'Output Utente'!$Q$2:$Q$492,0)),"")</f>
        <v>De Gea</v>
      </c>
      <c r="E71" s="7" t="str">
        <f aca="false">IFERROR(INDEX('Input Giocatori 2026_27'!$D$3:$D$493,MATCH($B71,'Input Giocatori 2026_27'!$A$3:$A$493,0)),"")</f>
        <v>Fiorentina</v>
      </c>
      <c r="F71" s="47" t="n">
        <f aca="false">IFERROR(INDEX('Output Utente'!$N$2:$N$492,MATCH(68,'Output Utente'!$Q$2:$Q$492,0)),"")</f>
        <v>13</v>
      </c>
      <c r="G71" s="47" t="n">
        <f aca="false">IFERROR(INDEX('Output Utente'!$O$2:$O$492,MATCH(68,'Output Utente'!$Q$2:$Q$492,0)),"")</f>
        <v>45</v>
      </c>
      <c r="H71" s="7" t="str">
        <f aca="false">IFERROR(INDEX('Output Utente'!$P$2:$P$492,MATCH(68,'Output Utente'!$Q$2:$Q$492,0)),"")</f>
        <v>Top</v>
      </c>
      <c r="I71" s="47" t="n">
        <f aca="false">IFERROR(INDEX('Output Utente'!$F$2:$F$492,MATCH(68,'Output Utente'!$Q$2:$Q$492,0)),"")</f>
        <v>75</v>
      </c>
      <c r="J71" s="47" t="n">
        <f aca="false">IFERROR(INDEX('Output Utente'!$G$2:$G$492,MATCH(68,'Output Utente'!$Q$2:$Q$492,0)),"")</f>
        <v>60</v>
      </c>
      <c r="K71" s="47" t="n">
        <f aca="false">IFERROR(INDEX('Output Utente'!$H$2:$H$492,MATCH(68,'Output Utente'!$Q$2:$Q$492,0)),"")</f>
        <v>81</v>
      </c>
      <c r="L71" s="7" t="str">
        <f aca="false">IFERROR(INDEX('Output Utente'!$E$2:$E$492,MATCH(68,'Output Utente'!$Q$2:$Q$492,0)),"")</f>
        <v>NO</v>
      </c>
      <c r="M71" s="7" t="str">
        <f aca="false">IFERROR(INDEX('Output Utente'!$U$2:$U$492,MATCH(68,'Output Utente'!$Q$2:$Q$492,0)),"")</f>
        <v>Attenzione</v>
      </c>
      <c r="N71" s="7" t="str">
        <f aca="false">IFERROR(INDEX('Output Utente'!$AE$2:$AE$492,MATCH(68,'Output Utente'!$Q$2:$Q$492,0)),"")</f>
        <v>🟡 Attesa rischiosa</v>
      </c>
    </row>
    <row r="72" customFormat="false" ht="15" hidden="false" customHeight="true" outlineLevel="0" collapsed="false">
      <c r="A72" s="46" t="n">
        <v>69</v>
      </c>
      <c r="B72" s="7" t="n">
        <f aca="false">IFERROR(INDEX('Output Utente'!$A$2:$A$492,MATCH(69,'Output Utente'!$Q$2:$Q$492,0)),"")</f>
        <v>572</v>
      </c>
      <c r="C72" s="7" t="str">
        <f aca="false">IFERROR(INDEX('Output Utente'!$B$2:$B$492,MATCH(69,'Output Utente'!$Q$2:$Q$492,0)),"")</f>
        <v>P</v>
      </c>
      <c r="D72" s="7" t="str">
        <f aca="false">IFERROR(INDEX('Output Utente'!$C$2:$C$492,MATCH(69,'Output Utente'!$Q$2:$Q$492,0)),"")</f>
        <v>Meret</v>
      </c>
      <c r="E72" s="7" t="str">
        <f aca="false">IFERROR(INDEX('Input Giocatori 2026_27'!$D$3:$D$493,MATCH($B72,'Input Giocatori 2026_27'!$A$3:$A$493,0)),"")</f>
        <v>Napoli</v>
      </c>
      <c r="F72" s="47" t="n">
        <f aca="false">IFERROR(INDEX('Output Utente'!$N$2:$N$492,MATCH(69,'Output Utente'!$Q$2:$Q$492,0)),"")</f>
        <v>11</v>
      </c>
      <c r="G72" s="47" t="n">
        <f aca="false">IFERROR(INDEX('Output Utente'!$O$2:$O$492,MATCH(69,'Output Utente'!$Q$2:$Q$492,0)),"")</f>
        <v>45</v>
      </c>
      <c r="H72" s="7" t="str">
        <f aca="false">IFERROR(INDEX('Output Utente'!$P$2:$P$492,MATCH(69,'Output Utente'!$Q$2:$Q$492,0)),"")</f>
        <v>Top</v>
      </c>
      <c r="I72" s="47" t="n">
        <f aca="false">IFERROR(INDEX('Output Utente'!$F$2:$F$492,MATCH(69,'Output Utente'!$Q$2:$Q$492,0)),"")</f>
        <v>75</v>
      </c>
      <c r="J72" s="47" t="n">
        <f aca="false">IFERROR(INDEX('Output Utente'!$G$2:$G$492,MATCH(69,'Output Utente'!$Q$2:$Q$492,0)),"")</f>
        <v>60</v>
      </c>
      <c r="K72" s="47" t="n">
        <f aca="false">IFERROR(INDEX('Output Utente'!$H$2:$H$492,MATCH(69,'Output Utente'!$Q$2:$Q$492,0)),"")</f>
        <v>82</v>
      </c>
      <c r="L72" s="7" t="str">
        <f aca="false">IFERROR(INDEX('Output Utente'!$E$2:$E$492,MATCH(69,'Output Utente'!$Q$2:$Q$492,0)),"")</f>
        <v>NO</v>
      </c>
      <c r="M72" s="7" t="str">
        <f aca="false">IFERROR(INDEX('Output Utente'!$U$2:$U$492,MATCH(69,'Output Utente'!$Q$2:$Q$492,0)),"")</f>
        <v>Attenzione</v>
      </c>
      <c r="N72" s="7" t="str">
        <f aca="false">IFERROR(INDEX('Output Utente'!$AE$2:$AE$492,MATCH(69,'Output Utente'!$Q$2:$Q$492,0)),"")</f>
        <v>🟡 Attesa rischiosa</v>
      </c>
    </row>
    <row r="73" customFormat="false" ht="15" hidden="false" customHeight="true" outlineLevel="0" collapsed="false">
      <c r="A73" s="46" t="n">
        <v>70</v>
      </c>
      <c r="B73" s="7" t="n">
        <f aca="false">IFERROR(INDEX('Output Utente'!$A$2:$A$492,MATCH(70,'Output Utente'!$Q$2:$Q$492,0)),"")</f>
        <v>5792</v>
      </c>
      <c r="C73" s="7" t="str">
        <f aca="false">IFERROR(INDEX('Output Utente'!$B$2:$B$492,MATCH(70,'Output Utente'!$Q$2:$Q$492,0)),"")</f>
        <v>C</v>
      </c>
      <c r="D73" s="7" t="str">
        <f aca="false">IFERROR(INDEX('Output Utente'!$C$2:$C$492,MATCH(70,'Output Utente'!$Q$2:$Q$492,0)),"")</f>
        <v>Ederson D.S.</v>
      </c>
      <c r="E73" s="7" t="str">
        <f aca="false">IFERROR(INDEX('Input Giocatori 2026_27'!$D$3:$D$493,MATCH($B73,'Input Giocatori 2026_27'!$A$3:$A$493,0)),"")</f>
        <v>Atalanta</v>
      </c>
      <c r="F73" s="47" t="n">
        <f aca="false">IFERROR(INDEX('Output Utente'!$N$2:$N$492,MATCH(70,'Output Utente'!$Q$2:$Q$492,0)),"")</f>
        <v>12</v>
      </c>
      <c r="G73" s="47" t="n">
        <f aca="false">IFERROR(INDEX('Output Utente'!$O$2:$O$492,MATCH(70,'Output Utente'!$Q$2:$Q$492,0)),"")</f>
        <v>45</v>
      </c>
      <c r="H73" s="7" t="str">
        <f aca="false">IFERROR(INDEX('Output Utente'!$P$2:$P$492,MATCH(70,'Output Utente'!$Q$2:$Q$492,0)),"")</f>
        <v>Top</v>
      </c>
      <c r="I73" s="47" t="n">
        <f aca="false">IFERROR(INDEX('Output Utente'!$F$2:$F$492,MATCH(70,'Output Utente'!$Q$2:$Q$492,0)),"")</f>
        <v>30</v>
      </c>
      <c r="J73" s="47" t="n">
        <f aca="false">IFERROR(INDEX('Output Utente'!$G$2:$G$492,MATCH(70,'Output Utente'!$Q$2:$Q$492,0)),"")</f>
        <v>20</v>
      </c>
      <c r="K73" s="47" t="n">
        <f aca="false">IFERROR(INDEX('Output Utente'!$H$2:$H$492,MATCH(70,'Output Utente'!$Q$2:$Q$492,0)),"")</f>
        <v>34</v>
      </c>
      <c r="L73" s="7" t="str">
        <f aca="false">IFERROR(INDEX('Output Utente'!$E$2:$E$492,MATCH(70,'Output Utente'!$Q$2:$Q$492,0)),"")</f>
        <v>NO</v>
      </c>
      <c r="M73" s="7" t="str">
        <f aca="false">IFERROR(INDEX('Output Utente'!$U$2:$U$492,MATCH(70,'Output Utente'!$Q$2:$Q$492,0)),"")</f>
        <v>OK</v>
      </c>
      <c r="N73" s="7" t="str">
        <f aca="false">IFERROR(INDEX('Output Utente'!$AE$2:$AE$492,MATCH(70,'Output Utente'!$Q$2:$Q$492,0)),"")</f>
        <v>🟡 Attesa rischiosa</v>
      </c>
    </row>
    <row r="74" customFormat="false" ht="15" hidden="false" customHeight="true" outlineLevel="0" collapsed="false">
      <c r="A74" s="46" t="n">
        <v>71</v>
      </c>
      <c r="B74" s="7" t="n">
        <f aca="false">IFERROR(INDEX('Output Utente'!$A$2:$A$492,MATCH(71,'Output Utente'!$Q$2:$Q$492,0)),"")</f>
        <v>2531</v>
      </c>
      <c r="C74" s="7" t="str">
        <f aca="false">IFERROR(INDEX('Output Utente'!$B$2:$B$492,MATCH(71,'Output Utente'!$Q$2:$Q$492,0)),"")</f>
        <v>A</v>
      </c>
      <c r="D74" s="7" t="str">
        <f aca="false">IFERROR(INDEX('Output Utente'!$C$2:$C$492,MATCH(71,'Output Utente'!$Q$2:$Q$492,0)),"")</f>
        <v>Lukaku</v>
      </c>
      <c r="E74" s="7" t="str">
        <f aca="false">IFERROR(INDEX('Input Giocatori 2026_27'!$D$3:$D$493,MATCH($B74,'Input Giocatori 2026_27'!$A$3:$A$493,0)),"")</f>
        <v>Napoli</v>
      </c>
      <c r="F74" s="47" t="n">
        <f aca="false">IFERROR(INDEX('Output Utente'!$N$2:$N$492,MATCH(71,'Output Utente'!$Q$2:$Q$492,0)),"")</f>
        <v>10</v>
      </c>
      <c r="G74" s="47" t="n">
        <f aca="false">IFERROR(INDEX('Output Utente'!$O$2:$O$492,MATCH(71,'Output Utente'!$Q$2:$Q$492,0)),"")</f>
        <v>45</v>
      </c>
      <c r="H74" s="7" t="str">
        <f aca="false">IFERROR(INDEX('Output Utente'!$P$2:$P$492,MATCH(71,'Output Utente'!$Q$2:$Q$492,0)),"")</f>
        <v>Buono</v>
      </c>
      <c r="I74" s="47" t="n">
        <f aca="false">IFERROR(INDEX('Output Utente'!$F$2:$F$492,MATCH(71,'Output Utente'!$Q$2:$Q$492,0)),"")</f>
        <v>16</v>
      </c>
      <c r="J74" s="47" t="n">
        <f aca="false">IFERROR(INDEX('Output Utente'!$G$2:$G$492,MATCH(71,'Output Utente'!$Q$2:$Q$492,0)),"")</f>
        <v>10</v>
      </c>
      <c r="K74" s="47" t="n">
        <f aca="false">IFERROR(INDEX('Output Utente'!$H$2:$H$492,MATCH(71,'Output Utente'!$Q$2:$Q$492,0)),"")</f>
        <v>18</v>
      </c>
      <c r="L74" s="7" t="str">
        <f aca="false">IFERROR(INDEX('Output Utente'!$E$2:$E$492,MATCH(71,'Output Utente'!$Q$2:$Q$492,0)),"")</f>
        <v>NO</v>
      </c>
      <c r="M74" s="7" t="str">
        <f aca="false">IFERROR(INDEX('Output Utente'!$U$2:$U$492,MATCH(71,'Output Utente'!$Q$2:$Q$492,0)),"")</f>
        <v>OK</v>
      </c>
      <c r="N74" s="7" t="str">
        <f aca="false">IFERROR(INDEX('Output Utente'!$AE$2:$AE$492,MATCH(71,'Output Utente'!$Q$2:$Q$492,0)),"")</f>
        <v>🔴 Non aspettare</v>
      </c>
    </row>
    <row r="75" customFormat="false" ht="15" hidden="false" customHeight="true" outlineLevel="0" collapsed="false">
      <c r="A75" s="46" t="n">
        <v>72</v>
      </c>
      <c r="B75" s="7" t="n">
        <f aca="false">IFERROR(INDEX('Output Utente'!$A$2:$A$492,MATCH(72,'Output Utente'!$Q$2:$Q$492,0)),"")</f>
        <v>2120</v>
      </c>
      <c r="C75" s="7" t="str">
        <f aca="false">IFERROR(INDEX('Output Utente'!$B$2:$B$492,MATCH(72,'Output Utente'!$Q$2:$Q$492,0)),"")</f>
        <v>D</v>
      </c>
      <c r="D75" s="7" t="str">
        <f aca="false">IFERROR(INDEX('Output Utente'!$C$2:$C$492,MATCH(72,'Output Utente'!$Q$2:$Q$492,0)),"")</f>
        <v>Bastoni</v>
      </c>
      <c r="E75" s="7" t="str">
        <f aca="false">IFERROR(INDEX('Input Giocatori 2026_27'!$D$3:$D$493,MATCH($B75,'Input Giocatori 2026_27'!$A$3:$A$493,0)),"")</f>
        <v>Inter</v>
      </c>
      <c r="F75" s="47" t="n">
        <f aca="false">IFERROR(INDEX('Output Utente'!$N$2:$N$492,MATCH(72,'Output Utente'!$Q$2:$Q$492,0)),"")</f>
        <v>14</v>
      </c>
      <c r="G75" s="47" t="n">
        <f aca="false">IFERROR(INDEX('Output Utente'!$O$2:$O$492,MATCH(72,'Output Utente'!$Q$2:$Q$492,0)),"")</f>
        <v>44</v>
      </c>
      <c r="H75" s="7" t="str">
        <f aca="false">IFERROR(INDEX('Output Utente'!$P$2:$P$492,MATCH(72,'Output Utente'!$Q$2:$Q$492,0)),"")</f>
        <v>Top</v>
      </c>
      <c r="I75" s="47" t="n">
        <f aca="false">IFERROR(INDEX('Output Utente'!$F$2:$F$492,MATCH(72,'Output Utente'!$Q$2:$Q$492,0)),"")</f>
        <v>30</v>
      </c>
      <c r="J75" s="47" t="n">
        <f aca="false">IFERROR(INDEX('Output Utente'!$G$2:$G$492,MATCH(72,'Output Utente'!$Q$2:$Q$492,0)),"")</f>
        <v>22</v>
      </c>
      <c r="K75" s="47" t="n">
        <f aca="false">IFERROR(INDEX('Output Utente'!$H$2:$H$492,MATCH(72,'Output Utente'!$Q$2:$Q$492,0)),"")</f>
        <v>34</v>
      </c>
      <c r="L75" s="7" t="str">
        <f aca="false">IFERROR(INDEX('Output Utente'!$E$2:$E$492,MATCH(72,'Output Utente'!$Q$2:$Q$492,0)),"")</f>
        <v>NO</v>
      </c>
      <c r="M75" s="7" t="str">
        <f aca="false">IFERROR(INDEX('Output Utente'!$U$2:$U$492,MATCH(72,'Output Utente'!$Q$2:$Q$492,0)),"")</f>
        <v>OK</v>
      </c>
      <c r="N75" s="7" t="str">
        <f aca="false">IFERROR(INDEX('Output Utente'!$AE$2:$AE$492,MATCH(72,'Output Utente'!$Q$2:$Q$492,0)),"")</f>
        <v>🟡 Attesa rischiosa</v>
      </c>
    </row>
    <row r="76" customFormat="false" ht="15" hidden="false" customHeight="true" outlineLevel="0" collapsed="false">
      <c r="A76" s="46" t="n">
        <v>73</v>
      </c>
      <c r="B76" s="7" t="n">
        <f aca="false">IFERROR(INDEX('Output Utente'!$A$2:$A$492,MATCH(73,'Output Utente'!$Q$2:$Q$492,0)),"")</f>
        <v>4317</v>
      </c>
      <c r="C76" s="7" t="str">
        <f aca="false">IFERROR(INDEX('Output Utente'!$B$2:$B$492,MATCH(73,'Output Utente'!$Q$2:$Q$492,0)),"")</f>
        <v>D</v>
      </c>
      <c r="D76" s="7" t="str">
        <f aca="false">IFERROR(INDEX('Output Utente'!$C$2:$C$492,MATCH(73,'Output Utente'!$Q$2:$Q$492,0)),"")</f>
        <v>N'Dicka</v>
      </c>
      <c r="E76" s="7" t="str">
        <f aca="false">IFERROR(INDEX('Input Giocatori 2026_27'!$D$3:$D$493,MATCH($B76,'Input Giocatori 2026_27'!$A$3:$A$493,0)),"")</f>
        <v>Roma</v>
      </c>
      <c r="F76" s="47" t="n">
        <f aca="false">IFERROR(INDEX('Output Utente'!$N$2:$N$492,MATCH(73,'Output Utente'!$Q$2:$Q$492,0)),"")</f>
        <v>13</v>
      </c>
      <c r="G76" s="47" t="n">
        <f aca="false">IFERROR(INDEX('Output Utente'!$O$2:$O$492,MATCH(73,'Output Utente'!$Q$2:$Q$492,0)),"")</f>
        <v>44</v>
      </c>
      <c r="H76" s="7" t="str">
        <f aca="false">IFERROR(INDEX('Output Utente'!$P$2:$P$492,MATCH(73,'Output Utente'!$Q$2:$Q$492,0)),"")</f>
        <v>Top</v>
      </c>
      <c r="I76" s="47" t="n">
        <f aca="false">IFERROR(INDEX('Output Utente'!$F$2:$F$492,MATCH(73,'Output Utente'!$Q$2:$Q$492,0)),"")</f>
        <v>30</v>
      </c>
      <c r="J76" s="47" t="n">
        <f aca="false">IFERROR(INDEX('Output Utente'!$G$2:$G$492,MATCH(73,'Output Utente'!$Q$2:$Q$492,0)),"")</f>
        <v>22</v>
      </c>
      <c r="K76" s="47" t="n">
        <f aca="false">IFERROR(INDEX('Output Utente'!$H$2:$H$492,MATCH(73,'Output Utente'!$Q$2:$Q$492,0)),"")</f>
        <v>34</v>
      </c>
      <c r="L76" s="7" t="str">
        <f aca="false">IFERROR(INDEX('Output Utente'!$E$2:$E$492,MATCH(73,'Output Utente'!$Q$2:$Q$492,0)),"")</f>
        <v>NO</v>
      </c>
      <c r="M76" s="7" t="str">
        <f aca="false">IFERROR(INDEX('Output Utente'!$U$2:$U$492,MATCH(73,'Output Utente'!$Q$2:$Q$492,0)),"")</f>
        <v>OK</v>
      </c>
      <c r="N76" s="7" t="str">
        <f aca="false">IFERROR(INDEX('Output Utente'!$AE$2:$AE$492,MATCH(73,'Output Utente'!$Q$2:$Q$492,0)),"")</f>
        <v>🟡 Attesa rischiosa</v>
      </c>
    </row>
    <row r="77" customFormat="false" ht="15" hidden="false" customHeight="true" outlineLevel="0" collapsed="false">
      <c r="A77" s="46" t="n">
        <v>74</v>
      </c>
      <c r="B77" s="7" t="n">
        <f aca="false">IFERROR(INDEX('Output Utente'!$A$2:$A$492,MATCH(74,'Output Utente'!$Q$2:$Q$492,0)),"")</f>
        <v>4892</v>
      </c>
      <c r="C77" s="7" t="str">
        <f aca="false">IFERROR(INDEX('Output Utente'!$B$2:$B$492,MATCH(74,'Output Utente'!$Q$2:$Q$492,0)),"")</f>
        <v>C</v>
      </c>
      <c r="D77" s="7" t="str">
        <f aca="false">IFERROR(INDEX('Output Utente'!$C$2:$C$492,MATCH(74,'Output Utente'!$Q$2:$Q$492,0)),"")</f>
        <v>Saelemaekers</v>
      </c>
      <c r="E77" s="7" t="str">
        <f aca="false">IFERROR(INDEX('Input Giocatori 2026_27'!$D$3:$D$493,MATCH($B77,'Input Giocatori 2026_27'!$A$3:$A$493,0)),"")</f>
        <v>Milan</v>
      </c>
      <c r="F77" s="47" t="n">
        <f aca="false">IFERROR(INDEX('Output Utente'!$N$2:$N$492,MATCH(74,'Output Utente'!$Q$2:$Q$492,0)),"")</f>
        <v>10</v>
      </c>
      <c r="G77" s="47" t="n">
        <f aca="false">IFERROR(INDEX('Output Utente'!$O$2:$O$492,MATCH(74,'Output Utente'!$Q$2:$Q$492,0)),"")</f>
        <v>43</v>
      </c>
      <c r="H77" s="7" t="str">
        <f aca="false">IFERROR(INDEX('Output Utente'!$P$2:$P$492,MATCH(74,'Output Utente'!$Q$2:$Q$492,0)),"")</f>
        <v>Top</v>
      </c>
      <c r="I77" s="47" t="n">
        <f aca="false">IFERROR(INDEX('Output Utente'!$F$2:$F$492,MATCH(74,'Output Utente'!$Q$2:$Q$492,0)),"")</f>
        <v>28</v>
      </c>
      <c r="J77" s="47" t="n">
        <f aca="false">IFERROR(INDEX('Output Utente'!$G$2:$G$492,MATCH(74,'Output Utente'!$Q$2:$Q$492,0)),"")</f>
        <v>19</v>
      </c>
      <c r="K77" s="47" t="n">
        <f aca="false">IFERROR(INDEX('Output Utente'!$H$2:$H$492,MATCH(74,'Output Utente'!$Q$2:$Q$492,0)),"")</f>
        <v>32</v>
      </c>
      <c r="L77" s="7" t="str">
        <f aca="false">IFERROR(INDEX('Output Utente'!$E$2:$E$492,MATCH(74,'Output Utente'!$Q$2:$Q$492,0)),"")</f>
        <v>NO</v>
      </c>
      <c r="M77" s="7" t="str">
        <f aca="false">IFERROR(INDEX('Output Utente'!$U$2:$U$492,MATCH(74,'Output Utente'!$Q$2:$Q$492,0)),"")</f>
        <v>OK</v>
      </c>
      <c r="N77" s="7" t="str">
        <f aca="false">IFERROR(INDEX('Output Utente'!$AE$2:$AE$492,MATCH(74,'Output Utente'!$Q$2:$Q$492,0)),"")</f>
        <v>🟡 Attesa rischiosa</v>
      </c>
    </row>
    <row r="78" customFormat="false" ht="15" hidden="false" customHeight="true" outlineLevel="0" collapsed="false">
      <c r="A78" s="46" t="n">
        <v>75</v>
      </c>
      <c r="B78" s="7" t="n">
        <f aca="false">IFERROR(INDEX('Output Utente'!$A$2:$A$492,MATCH(75,'Output Utente'!$Q$2:$Q$492,0)),"")</f>
        <v>5119</v>
      </c>
      <c r="C78" s="7" t="str">
        <f aca="false">IFERROR(INDEX('Output Utente'!$B$2:$B$492,MATCH(75,'Output Utente'!$Q$2:$Q$492,0)),"")</f>
        <v>C</v>
      </c>
      <c r="D78" s="7" t="str">
        <f aca="false">IFERROR(INDEX('Output Utente'!$C$2:$C$492,MATCH(75,'Output Utente'!$Q$2:$Q$492,0)),"")</f>
        <v>Samardzic</v>
      </c>
      <c r="E78" s="7" t="str">
        <f aca="false">IFERROR(INDEX('Input Giocatori 2026_27'!$D$3:$D$493,MATCH($B78,'Input Giocatori 2026_27'!$A$3:$A$493,0)),"")</f>
        <v>Atalanta</v>
      </c>
      <c r="F78" s="47" t="n">
        <f aca="false">IFERROR(INDEX('Output Utente'!$N$2:$N$492,MATCH(75,'Output Utente'!$Q$2:$Q$492,0)),"")</f>
        <v>12</v>
      </c>
      <c r="G78" s="47" t="n">
        <f aca="false">IFERROR(INDEX('Output Utente'!$O$2:$O$492,MATCH(75,'Output Utente'!$Q$2:$Q$492,0)),"")</f>
        <v>42</v>
      </c>
      <c r="H78" s="7" t="str">
        <f aca="false">IFERROR(INDEX('Output Utente'!$P$2:$P$492,MATCH(75,'Output Utente'!$Q$2:$Q$492,0)),"")</f>
        <v>Top</v>
      </c>
      <c r="I78" s="47" t="n">
        <f aca="false">IFERROR(INDEX('Output Utente'!$F$2:$F$492,MATCH(75,'Output Utente'!$Q$2:$Q$492,0)),"")</f>
        <v>28</v>
      </c>
      <c r="J78" s="47" t="n">
        <f aca="false">IFERROR(INDEX('Output Utente'!$G$2:$G$492,MATCH(75,'Output Utente'!$Q$2:$Q$492,0)),"")</f>
        <v>19</v>
      </c>
      <c r="K78" s="47" t="n">
        <f aca="false">IFERROR(INDEX('Output Utente'!$H$2:$H$492,MATCH(75,'Output Utente'!$Q$2:$Q$492,0)),"")</f>
        <v>32</v>
      </c>
      <c r="L78" s="7" t="str">
        <f aca="false">IFERROR(INDEX('Output Utente'!$E$2:$E$492,MATCH(75,'Output Utente'!$Q$2:$Q$492,0)),"")</f>
        <v>NO</v>
      </c>
      <c r="M78" s="7" t="str">
        <f aca="false">IFERROR(INDEX('Output Utente'!$U$2:$U$492,MATCH(75,'Output Utente'!$Q$2:$Q$492,0)),"")</f>
        <v>OK</v>
      </c>
      <c r="N78" s="7" t="str">
        <f aca="false">IFERROR(INDEX('Output Utente'!$AE$2:$AE$492,MATCH(75,'Output Utente'!$Q$2:$Q$492,0)),"")</f>
        <v>🟡 Attesa rischiosa</v>
      </c>
    </row>
    <row r="79" customFormat="false" ht="15" hidden="false" customHeight="true" outlineLevel="0" collapsed="false">
      <c r="A79" s="46" t="n">
        <v>76</v>
      </c>
      <c r="B79" s="7" t="n">
        <f aca="false">IFERROR(INDEX('Output Utente'!$A$2:$A$492,MATCH(76,'Output Utente'!$Q$2:$Q$492,0)),"")</f>
        <v>5589</v>
      </c>
      <c r="C79" s="7" t="str">
        <f aca="false">IFERROR(INDEX('Output Utente'!$B$2:$B$492,MATCH(76,'Output Utente'!$Q$2:$Q$492,0)),"")</f>
        <v>C</v>
      </c>
      <c r="D79" s="7" t="str">
        <f aca="false">IFERROR(INDEX('Output Utente'!$C$2:$C$492,MATCH(76,'Output Utente'!$Q$2:$Q$492,0)),"")</f>
        <v>Konè M.</v>
      </c>
      <c r="E79" s="7" t="str">
        <f aca="false">IFERROR(INDEX('Input Giocatori 2026_27'!$D$3:$D$493,MATCH($B79,'Input Giocatori 2026_27'!$A$3:$A$493,0)),"")</f>
        <v>Roma</v>
      </c>
      <c r="F79" s="47" t="n">
        <f aca="false">IFERROR(INDEX('Output Utente'!$N$2:$N$492,MATCH(76,'Output Utente'!$Q$2:$Q$492,0)),"")</f>
        <v>10</v>
      </c>
      <c r="G79" s="47" t="n">
        <f aca="false">IFERROR(INDEX('Output Utente'!$O$2:$O$492,MATCH(76,'Output Utente'!$Q$2:$Q$492,0)),"")</f>
        <v>42</v>
      </c>
      <c r="H79" s="7" t="str">
        <f aca="false">IFERROR(INDEX('Output Utente'!$P$2:$P$492,MATCH(76,'Output Utente'!$Q$2:$Q$492,0)),"")</f>
        <v>Top</v>
      </c>
      <c r="I79" s="47" t="n">
        <f aca="false">IFERROR(INDEX('Output Utente'!$F$2:$F$492,MATCH(76,'Output Utente'!$Q$2:$Q$492,0)),"")</f>
        <v>28</v>
      </c>
      <c r="J79" s="47" t="n">
        <f aca="false">IFERROR(INDEX('Output Utente'!$G$2:$G$492,MATCH(76,'Output Utente'!$Q$2:$Q$492,0)),"")</f>
        <v>19</v>
      </c>
      <c r="K79" s="47" t="n">
        <f aca="false">IFERROR(INDEX('Output Utente'!$H$2:$H$492,MATCH(76,'Output Utente'!$Q$2:$Q$492,0)),"")</f>
        <v>32</v>
      </c>
      <c r="L79" s="7" t="str">
        <f aca="false">IFERROR(INDEX('Output Utente'!$E$2:$E$492,MATCH(76,'Output Utente'!$Q$2:$Q$492,0)),"")</f>
        <v>NO</v>
      </c>
      <c r="M79" s="7" t="str">
        <f aca="false">IFERROR(INDEX('Output Utente'!$U$2:$U$492,MATCH(76,'Output Utente'!$Q$2:$Q$492,0)),"")</f>
        <v>OK</v>
      </c>
      <c r="N79" s="7" t="str">
        <f aca="false">IFERROR(INDEX('Output Utente'!$AE$2:$AE$492,MATCH(76,'Output Utente'!$Q$2:$Q$492,0)),"")</f>
        <v>🟡 Attesa rischiosa</v>
      </c>
    </row>
    <row r="80" customFormat="false" ht="15" hidden="false" customHeight="true" outlineLevel="0" collapsed="false">
      <c r="A80" s="46" t="n">
        <v>77</v>
      </c>
      <c r="B80" s="7" t="n">
        <f aca="false">IFERROR(INDEX('Output Utente'!$A$2:$A$492,MATCH(77,'Output Utente'!$Q$2:$Q$492,0)),"")</f>
        <v>152</v>
      </c>
      <c r="C80" s="7" t="str">
        <f aca="false">IFERROR(INDEX('Output Utente'!$B$2:$B$492,MATCH(77,'Output Utente'!$Q$2:$Q$492,0)),"")</f>
        <v>C</v>
      </c>
      <c r="D80" s="7" t="str">
        <f aca="false">IFERROR(INDEX('Output Utente'!$C$2:$C$492,MATCH(77,'Output Utente'!$Q$2:$Q$492,0)),"")</f>
        <v>Zielinski</v>
      </c>
      <c r="E80" s="7" t="str">
        <f aca="false">IFERROR(INDEX('Input Giocatori 2026_27'!$D$3:$D$493,MATCH($B80,'Input Giocatori 2026_27'!$A$3:$A$493,0)),"")</f>
        <v>Inter</v>
      </c>
      <c r="F80" s="47" t="n">
        <f aca="false">IFERROR(INDEX('Output Utente'!$N$2:$N$492,MATCH(77,'Output Utente'!$Q$2:$Q$492,0)),"")</f>
        <v>10</v>
      </c>
      <c r="G80" s="47" t="n">
        <f aca="false">IFERROR(INDEX('Output Utente'!$O$2:$O$492,MATCH(77,'Output Utente'!$Q$2:$Q$492,0)),"")</f>
        <v>41</v>
      </c>
      <c r="H80" s="7" t="str">
        <f aca="false">IFERROR(INDEX('Output Utente'!$P$2:$P$492,MATCH(77,'Output Utente'!$Q$2:$Q$492,0)),"")</f>
        <v>Buono</v>
      </c>
      <c r="I80" s="47" t="n">
        <f aca="false">IFERROR(INDEX('Output Utente'!$F$2:$F$492,MATCH(77,'Output Utente'!$Q$2:$Q$492,0)),"")</f>
        <v>27</v>
      </c>
      <c r="J80" s="47" t="n">
        <f aca="false">IFERROR(INDEX('Output Utente'!$G$2:$G$492,MATCH(77,'Output Utente'!$Q$2:$Q$492,0)),"")</f>
        <v>19</v>
      </c>
      <c r="K80" s="47" t="n">
        <f aca="false">IFERROR(INDEX('Output Utente'!$H$2:$H$492,MATCH(77,'Output Utente'!$Q$2:$Q$492,0)),"")</f>
        <v>31</v>
      </c>
      <c r="L80" s="7" t="str">
        <f aca="false">IFERROR(INDEX('Output Utente'!$E$2:$E$492,MATCH(77,'Output Utente'!$Q$2:$Q$492,0)),"")</f>
        <v>NO</v>
      </c>
      <c r="M80" s="7" t="str">
        <f aca="false">IFERROR(INDEX('Output Utente'!$U$2:$U$492,MATCH(77,'Output Utente'!$Q$2:$Q$492,0)),"")</f>
        <v>OK</v>
      </c>
      <c r="N80" s="7" t="str">
        <f aca="false">IFERROR(INDEX('Output Utente'!$AE$2:$AE$492,MATCH(77,'Output Utente'!$Q$2:$Q$492,0)),"")</f>
        <v>🟡 Attesa rischiosa</v>
      </c>
    </row>
    <row r="81" customFormat="false" ht="15" hidden="false" customHeight="true" outlineLevel="0" collapsed="false">
      <c r="A81" s="46" t="n">
        <v>78</v>
      </c>
      <c r="B81" s="7" t="n">
        <f aca="false">IFERROR(INDEX('Output Utente'!$A$2:$A$492,MATCH(78,'Output Utente'!$Q$2:$Q$492,0)),"")</f>
        <v>5562</v>
      </c>
      <c r="C81" s="7" t="str">
        <f aca="false">IFERROR(INDEX('Output Utente'!$B$2:$B$492,MATCH(78,'Output Utente'!$Q$2:$Q$492,0)),"")</f>
        <v>C</v>
      </c>
      <c r="D81" s="7" t="str">
        <f aca="false">IFERROR(INDEX('Output Utente'!$C$2:$C$492,MATCH(78,'Output Utente'!$Q$2:$Q$492,0)),"")</f>
        <v>Thuram K.</v>
      </c>
      <c r="E81" s="7" t="str">
        <f aca="false">IFERROR(INDEX('Input Giocatori 2026_27'!$D$3:$D$493,MATCH($B81,'Input Giocatori 2026_27'!$A$3:$A$493,0)),"")</f>
        <v>Juventus</v>
      </c>
      <c r="F81" s="47" t="n">
        <f aca="false">IFERROR(INDEX('Output Utente'!$N$2:$N$492,MATCH(78,'Output Utente'!$Q$2:$Q$492,0)),"")</f>
        <v>10</v>
      </c>
      <c r="G81" s="47" t="n">
        <f aca="false">IFERROR(INDEX('Output Utente'!$O$2:$O$492,MATCH(78,'Output Utente'!$Q$2:$Q$492,0)),"")</f>
        <v>41</v>
      </c>
      <c r="H81" s="7" t="str">
        <f aca="false">IFERROR(INDEX('Output Utente'!$P$2:$P$492,MATCH(78,'Output Utente'!$Q$2:$Q$492,0)),"")</f>
        <v>Buono</v>
      </c>
      <c r="I81" s="47" t="n">
        <f aca="false">IFERROR(INDEX('Output Utente'!$F$2:$F$492,MATCH(78,'Output Utente'!$Q$2:$Q$492,0)),"")</f>
        <v>27</v>
      </c>
      <c r="J81" s="47" t="n">
        <f aca="false">IFERROR(INDEX('Output Utente'!$G$2:$G$492,MATCH(78,'Output Utente'!$Q$2:$Q$492,0)),"")</f>
        <v>19</v>
      </c>
      <c r="K81" s="47" t="n">
        <f aca="false">IFERROR(INDEX('Output Utente'!$H$2:$H$492,MATCH(78,'Output Utente'!$Q$2:$Q$492,0)),"")</f>
        <v>31</v>
      </c>
      <c r="L81" s="7" t="str">
        <f aca="false">IFERROR(INDEX('Output Utente'!$E$2:$E$492,MATCH(78,'Output Utente'!$Q$2:$Q$492,0)),"")</f>
        <v>NO</v>
      </c>
      <c r="M81" s="7" t="str">
        <f aca="false">IFERROR(INDEX('Output Utente'!$U$2:$U$492,MATCH(78,'Output Utente'!$Q$2:$Q$492,0)),"")</f>
        <v>OK</v>
      </c>
      <c r="N81" s="7" t="str">
        <f aca="false">IFERROR(INDEX('Output Utente'!$AE$2:$AE$492,MATCH(78,'Output Utente'!$Q$2:$Q$492,0)),"")</f>
        <v>🟡 Attesa rischiosa</v>
      </c>
    </row>
    <row r="82" customFormat="false" ht="15" hidden="false" customHeight="true" outlineLevel="0" collapsed="false">
      <c r="A82" s="46" t="n">
        <v>79</v>
      </c>
      <c r="B82" s="7" t="n">
        <f aca="false">IFERROR(INDEX('Output Utente'!$A$2:$A$492,MATCH(79,'Output Utente'!$Q$2:$Q$492,0)),"")</f>
        <v>5844</v>
      </c>
      <c r="C82" s="7" t="str">
        <f aca="false">IFERROR(INDEX('Output Utente'!$B$2:$B$492,MATCH(79,'Output Utente'!$Q$2:$Q$492,0)),"")</f>
        <v>C</v>
      </c>
      <c r="D82" s="7" t="str">
        <f aca="false">IFERROR(INDEX('Output Utente'!$C$2:$C$492,MATCH(79,'Output Utente'!$Q$2:$Q$492,0)),"")</f>
        <v>Thorstvedt</v>
      </c>
      <c r="E82" s="7" t="str">
        <f aca="false">IFERROR(INDEX('Input Giocatori 2026_27'!$D$3:$D$493,MATCH($B82,'Input Giocatori 2026_27'!$A$3:$A$493,0)),"")</f>
        <v>Sassuolo</v>
      </c>
      <c r="F82" s="47" t="n">
        <f aca="false">IFERROR(INDEX('Output Utente'!$N$2:$N$492,MATCH(79,'Output Utente'!$Q$2:$Q$492,0)),"")</f>
        <v>10</v>
      </c>
      <c r="G82" s="47" t="n">
        <f aca="false">IFERROR(INDEX('Output Utente'!$O$2:$O$492,MATCH(79,'Output Utente'!$Q$2:$Q$492,0)),"")</f>
        <v>41</v>
      </c>
      <c r="H82" s="7" t="str">
        <f aca="false">IFERROR(INDEX('Output Utente'!$P$2:$P$492,MATCH(79,'Output Utente'!$Q$2:$Q$492,0)),"")</f>
        <v>Buono</v>
      </c>
      <c r="I82" s="47" t="n">
        <f aca="false">IFERROR(INDEX('Output Utente'!$F$2:$F$492,MATCH(79,'Output Utente'!$Q$2:$Q$492,0)),"")</f>
        <v>27</v>
      </c>
      <c r="J82" s="47" t="n">
        <f aca="false">IFERROR(INDEX('Output Utente'!$G$2:$G$492,MATCH(79,'Output Utente'!$Q$2:$Q$492,0)),"")</f>
        <v>19</v>
      </c>
      <c r="K82" s="47" t="n">
        <f aca="false">IFERROR(INDEX('Output Utente'!$H$2:$H$492,MATCH(79,'Output Utente'!$Q$2:$Q$492,0)),"")</f>
        <v>31</v>
      </c>
      <c r="L82" s="7" t="str">
        <f aca="false">IFERROR(INDEX('Output Utente'!$E$2:$E$492,MATCH(79,'Output Utente'!$Q$2:$Q$492,0)),"")</f>
        <v>NO</v>
      </c>
      <c r="M82" s="7" t="str">
        <f aca="false">IFERROR(INDEX('Output Utente'!$U$2:$U$492,MATCH(79,'Output Utente'!$Q$2:$Q$492,0)),"")</f>
        <v>OK</v>
      </c>
      <c r="N82" s="7" t="str">
        <f aca="false">IFERROR(INDEX('Output Utente'!$AE$2:$AE$492,MATCH(79,'Output Utente'!$Q$2:$Q$492,0)),"")</f>
        <v>🟡 Attesa rischiosa</v>
      </c>
    </row>
    <row r="83" customFormat="false" ht="15" hidden="false" customHeight="true" outlineLevel="0" collapsed="false">
      <c r="A83" s="46" t="n">
        <v>80</v>
      </c>
      <c r="B83" s="7" t="n">
        <f aca="false">IFERROR(INDEX('Output Utente'!$A$2:$A$492,MATCH(80,'Output Utente'!$Q$2:$Q$492,0)),"")</f>
        <v>6684</v>
      </c>
      <c r="C83" s="7" t="str">
        <f aca="false">IFERROR(INDEX('Output Utente'!$B$2:$B$492,MATCH(80,'Output Utente'!$Q$2:$Q$492,0)),"")</f>
        <v>C</v>
      </c>
      <c r="D83" s="7" t="str">
        <f aca="false">IFERROR(INDEX('Output Utente'!$C$2:$C$492,MATCH(80,'Output Utente'!$Q$2:$Q$492,0)),"")</f>
        <v>Ekkelenkamp</v>
      </c>
      <c r="E83" s="7" t="str">
        <f aca="false">IFERROR(INDEX('Input Giocatori 2026_27'!$D$3:$D$493,MATCH($B83,'Input Giocatori 2026_27'!$A$3:$A$493,0)),"")</f>
        <v>Udinese</v>
      </c>
      <c r="F83" s="47" t="n">
        <f aca="false">IFERROR(INDEX('Output Utente'!$N$2:$N$492,MATCH(80,'Output Utente'!$Q$2:$Q$492,0)),"")</f>
        <v>10</v>
      </c>
      <c r="G83" s="47" t="n">
        <f aca="false">IFERROR(INDEX('Output Utente'!$O$2:$O$492,MATCH(80,'Output Utente'!$Q$2:$Q$492,0)),"")</f>
        <v>41</v>
      </c>
      <c r="H83" s="7" t="str">
        <f aca="false">IFERROR(INDEX('Output Utente'!$P$2:$P$492,MATCH(80,'Output Utente'!$Q$2:$Q$492,0)),"")</f>
        <v>Buono</v>
      </c>
      <c r="I83" s="47" t="n">
        <f aca="false">IFERROR(INDEX('Output Utente'!$F$2:$F$492,MATCH(80,'Output Utente'!$Q$2:$Q$492,0)),"")</f>
        <v>27</v>
      </c>
      <c r="J83" s="47" t="n">
        <f aca="false">IFERROR(INDEX('Output Utente'!$G$2:$G$492,MATCH(80,'Output Utente'!$Q$2:$Q$492,0)),"")</f>
        <v>19</v>
      </c>
      <c r="K83" s="47" t="n">
        <f aca="false">IFERROR(INDEX('Output Utente'!$H$2:$H$492,MATCH(80,'Output Utente'!$Q$2:$Q$492,0)),"")</f>
        <v>31</v>
      </c>
      <c r="L83" s="7" t="str">
        <f aca="false">IFERROR(INDEX('Output Utente'!$E$2:$E$492,MATCH(80,'Output Utente'!$Q$2:$Q$492,0)),"")</f>
        <v>NO</v>
      </c>
      <c r="M83" s="7" t="str">
        <f aca="false">IFERROR(INDEX('Output Utente'!$U$2:$U$492,MATCH(80,'Output Utente'!$Q$2:$Q$492,0)),"")</f>
        <v>OK</v>
      </c>
      <c r="N83" s="7" t="str">
        <f aca="false">IFERROR(INDEX('Output Utente'!$AE$2:$AE$492,MATCH(80,'Output Utente'!$Q$2:$Q$492,0)),"")</f>
        <v>🟡 Attesa rischiosa</v>
      </c>
    </row>
    <row r="84" customFormat="false" ht="15" hidden="false" customHeight="true" outlineLevel="0" collapsed="false">
      <c r="A84" s="46" t="n">
        <v>81</v>
      </c>
      <c r="B84" s="7" t="n">
        <f aca="false">IFERROR(INDEX('Output Utente'!$A$2:$A$492,MATCH(81,'Output Utente'!$Q$2:$Q$492,0)),"")</f>
        <v>5876</v>
      </c>
      <c r="C84" s="7" t="str">
        <f aca="false">IFERROR(INDEX('Output Utente'!$B$2:$B$492,MATCH(81,'Output Utente'!$Q$2:$Q$492,0)),"")</f>
        <v>P</v>
      </c>
      <c r="D84" s="7" t="str">
        <f aca="false">IFERROR(INDEX('Output Utente'!$C$2:$C$492,MATCH(81,'Output Utente'!$Q$2:$Q$492,0)),"")</f>
        <v>Di Gregorio</v>
      </c>
      <c r="E84" s="7" t="str">
        <f aca="false">IFERROR(INDEX('Input Giocatori 2026_27'!$D$3:$D$493,MATCH($B84,'Input Giocatori 2026_27'!$A$3:$A$493,0)),"")</f>
        <v>Juventus</v>
      </c>
      <c r="F84" s="47" t="n">
        <f aca="false">IFERROR(INDEX('Output Utente'!$N$2:$N$492,MATCH(81,'Output Utente'!$Q$2:$Q$492,0)),"")</f>
        <v>9</v>
      </c>
      <c r="G84" s="47" t="n">
        <f aca="false">IFERROR(INDEX('Output Utente'!$O$2:$O$492,MATCH(81,'Output Utente'!$Q$2:$Q$492,0)),"")</f>
        <v>40</v>
      </c>
      <c r="H84" s="7" t="str">
        <f aca="false">IFERROR(INDEX('Output Utente'!$P$2:$P$492,MATCH(81,'Output Utente'!$Q$2:$Q$492,0)),"")</f>
        <v>Top</v>
      </c>
      <c r="I84" s="47" t="n">
        <f aca="false">IFERROR(INDEX('Output Utente'!$F$2:$F$492,MATCH(81,'Output Utente'!$Q$2:$Q$492,0)),"")</f>
        <v>67</v>
      </c>
      <c r="J84" s="47" t="n">
        <f aca="false">IFERROR(INDEX('Output Utente'!$G$2:$G$492,MATCH(81,'Output Utente'!$Q$2:$Q$492,0)),"")</f>
        <v>54</v>
      </c>
      <c r="K84" s="47" t="n">
        <f aca="false">IFERROR(INDEX('Output Utente'!$H$2:$H$492,MATCH(81,'Output Utente'!$Q$2:$Q$492,0)),"")</f>
        <v>73</v>
      </c>
      <c r="L84" s="7" t="str">
        <f aca="false">IFERROR(INDEX('Output Utente'!$E$2:$E$492,MATCH(81,'Output Utente'!$Q$2:$Q$492,0)),"")</f>
        <v>NO</v>
      </c>
      <c r="M84" s="7" t="str">
        <f aca="false">IFERROR(INDEX('Output Utente'!$U$2:$U$492,MATCH(81,'Output Utente'!$Q$2:$Q$492,0)),"")</f>
        <v>Attenzione</v>
      </c>
      <c r="N84" s="7" t="str">
        <f aca="false">IFERROR(INDEX('Output Utente'!$AE$2:$AE$492,MATCH(81,'Output Utente'!$Q$2:$Q$492,0)),"")</f>
        <v>🟡 Attesa rischiosa</v>
      </c>
    </row>
    <row r="85" customFormat="false" ht="15" hidden="false" customHeight="true" outlineLevel="0" collapsed="false">
      <c r="A85" s="46" t="n">
        <v>82</v>
      </c>
      <c r="B85" s="7" t="n">
        <f aca="false">IFERROR(INDEX('Output Utente'!$A$2:$A$492,MATCH(82,'Output Utente'!$Q$2:$Q$492,0)),"")</f>
        <v>2816</v>
      </c>
      <c r="C85" s="7" t="str">
        <f aca="false">IFERROR(INDEX('Output Utente'!$B$2:$B$492,MATCH(82,'Output Utente'!$Q$2:$Q$492,0)),"")</f>
        <v>D</v>
      </c>
      <c r="D85" s="7" t="str">
        <f aca="false">IFERROR(INDEX('Output Utente'!$C$2:$C$492,MATCH(82,'Output Utente'!$Q$2:$Q$492,0)),"")</f>
        <v>Di Lorenzo</v>
      </c>
      <c r="E85" s="7" t="str">
        <f aca="false">IFERROR(INDEX('Input Giocatori 2026_27'!$D$3:$D$493,MATCH($B85,'Input Giocatori 2026_27'!$A$3:$A$493,0)),"")</f>
        <v>Napoli</v>
      </c>
      <c r="F85" s="47" t="n">
        <f aca="false">IFERROR(INDEX('Output Utente'!$N$2:$N$492,MATCH(82,'Output Utente'!$Q$2:$Q$492,0)),"")</f>
        <v>12</v>
      </c>
      <c r="G85" s="47" t="n">
        <f aca="false">IFERROR(INDEX('Output Utente'!$O$2:$O$492,MATCH(82,'Output Utente'!$Q$2:$Q$492,0)),"")</f>
        <v>40</v>
      </c>
      <c r="H85" s="7" t="str">
        <f aca="false">IFERROR(INDEX('Output Utente'!$P$2:$P$492,MATCH(82,'Output Utente'!$Q$2:$Q$492,0)),"")</f>
        <v>Top</v>
      </c>
      <c r="I85" s="47" t="n">
        <f aca="false">IFERROR(INDEX('Output Utente'!$F$2:$F$492,MATCH(82,'Output Utente'!$Q$2:$Q$492,0)),"")</f>
        <v>28</v>
      </c>
      <c r="J85" s="47" t="n">
        <f aca="false">IFERROR(INDEX('Output Utente'!$G$2:$G$492,MATCH(82,'Output Utente'!$Q$2:$Q$492,0)),"")</f>
        <v>20</v>
      </c>
      <c r="K85" s="47" t="n">
        <f aca="false">IFERROR(INDEX('Output Utente'!$H$2:$H$492,MATCH(82,'Output Utente'!$Q$2:$Q$492,0)),"")</f>
        <v>31</v>
      </c>
      <c r="L85" s="7" t="str">
        <f aca="false">IFERROR(INDEX('Output Utente'!$E$2:$E$492,MATCH(82,'Output Utente'!$Q$2:$Q$492,0)),"")</f>
        <v>NO</v>
      </c>
      <c r="M85" s="7" t="str">
        <f aca="false">IFERROR(INDEX('Output Utente'!$U$2:$U$492,MATCH(82,'Output Utente'!$Q$2:$Q$492,0)),"")</f>
        <v>OK</v>
      </c>
      <c r="N85" s="7" t="str">
        <f aca="false">IFERROR(INDEX('Output Utente'!$AE$2:$AE$492,MATCH(82,'Output Utente'!$Q$2:$Q$492,0)),"")</f>
        <v>🟡 Attesa rischiosa</v>
      </c>
    </row>
    <row r="86" customFormat="false" ht="15" hidden="false" customHeight="true" outlineLevel="0" collapsed="false">
      <c r="A86" s="46" t="n">
        <v>83</v>
      </c>
      <c r="B86" s="7" t="n">
        <f aca="false">IFERROR(INDEX('Output Utente'!$A$2:$A$492,MATCH(83,'Output Utente'!$Q$2:$Q$492,0)),"")</f>
        <v>5750</v>
      </c>
      <c r="C86" s="7" t="str">
        <f aca="false">IFERROR(INDEX('Output Utente'!$B$2:$B$492,MATCH(83,'Output Utente'!$Q$2:$Q$492,0)),"")</f>
        <v>D</v>
      </c>
      <c r="D86" s="7" t="str">
        <f aca="false">IFERROR(INDEX('Output Utente'!$C$2:$C$492,MATCH(83,'Output Utente'!$Q$2:$Q$492,0)),"")</f>
        <v>Ostigard</v>
      </c>
      <c r="E86" s="7" t="str">
        <f aca="false">IFERROR(INDEX('Input Giocatori 2026_27'!$D$3:$D$493,MATCH($B86,'Input Giocatori 2026_27'!$A$3:$A$493,0)),"")</f>
        <v>Genoa</v>
      </c>
      <c r="F86" s="47" t="n">
        <f aca="false">IFERROR(INDEX('Output Utente'!$N$2:$N$492,MATCH(83,'Output Utente'!$Q$2:$Q$492,0)),"")</f>
        <v>11</v>
      </c>
      <c r="G86" s="47" t="n">
        <f aca="false">IFERROR(INDEX('Output Utente'!$O$2:$O$492,MATCH(83,'Output Utente'!$Q$2:$Q$492,0)),"")</f>
        <v>40</v>
      </c>
      <c r="H86" s="7" t="str">
        <f aca="false">IFERROR(INDEX('Output Utente'!$P$2:$P$492,MATCH(83,'Output Utente'!$Q$2:$Q$492,0)),"")</f>
        <v>Top</v>
      </c>
      <c r="I86" s="47" t="n">
        <f aca="false">IFERROR(INDEX('Output Utente'!$F$2:$F$492,MATCH(83,'Output Utente'!$Q$2:$Q$492,0)),"")</f>
        <v>28</v>
      </c>
      <c r="J86" s="47" t="n">
        <f aca="false">IFERROR(INDEX('Output Utente'!$G$2:$G$492,MATCH(83,'Output Utente'!$Q$2:$Q$492,0)),"")</f>
        <v>20</v>
      </c>
      <c r="K86" s="47" t="n">
        <f aca="false">IFERROR(INDEX('Output Utente'!$H$2:$H$492,MATCH(83,'Output Utente'!$Q$2:$Q$492,0)),"")</f>
        <v>31</v>
      </c>
      <c r="L86" s="7" t="str">
        <f aca="false">IFERROR(INDEX('Output Utente'!$E$2:$E$492,MATCH(83,'Output Utente'!$Q$2:$Q$492,0)),"")</f>
        <v>NO</v>
      </c>
      <c r="M86" s="7" t="str">
        <f aca="false">IFERROR(INDEX('Output Utente'!$U$2:$U$492,MATCH(83,'Output Utente'!$Q$2:$Q$492,0)),"")</f>
        <v>OK</v>
      </c>
      <c r="N86" s="7" t="str">
        <f aca="false">IFERROR(INDEX('Output Utente'!$AE$2:$AE$492,MATCH(83,'Output Utente'!$Q$2:$Q$492,0)),"")</f>
        <v>🟡 Attesa rischiosa</v>
      </c>
    </row>
    <row r="87" customFormat="false" ht="15" hidden="false" customHeight="true" outlineLevel="0" collapsed="false">
      <c r="A87" s="46" t="n">
        <v>84</v>
      </c>
      <c r="B87" s="7" t="n">
        <f aca="false">IFERROR(INDEX('Output Utente'!$A$2:$A$492,MATCH(84,'Output Utente'!$Q$2:$Q$492,0)),"")</f>
        <v>5544</v>
      </c>
      <c r="C87" s="7" t="str">
        <f aca="false">IFERROR(INDEX('Output Utente'!$B$2:$B$492,MATCH(84,'Output Utente'!$Q$2:$Q$492,0)),"")</f>
        <v>A</v>
      </c>
      <c r="D87" s="7" t="str">
        <f aca="false">IFERROR(INDEX('Output Utente'!$C$2:$C$492,MATCH(84,'Output Utente'!$Q$2:$Q$492,0)),"")</f>
        <v>David</v>
      </c>
      <c r="E87" s="7" t="str">
        <f aca="false">IFERROR(INDEX('Input Giocatori 2026_27'!$D$3:$D$493,MATCH($B87,'Input Giocatori 2026_27'!$A$3:$A$493,0)),"")</f>
        <v>Juventus</v>
      </c>
      <c r="F87" s="47" t="n">
        <f aca="false">IFERROR(INDEX('Output Utente'!$N$2:$N$492,MATCH(84,'Output Utente'!$Q$2:$Q$492,0)),"")</f>
        <v>9</v>
      </c>
      <c r="G87" s="47" t="n">
        <f aca="false">IFERROR(INDEX('Output Utente'!$O$2:$O$492,MATCH(84,'Output Utente'!$Q$2:$Q$492,0)),"")</f>
        <v>40</v>
      </c>
      <c r="H87" s="7" t="str">
        <f aca="false">IFERROR(INDEX('Output Utente'!$P$2:$P$492,MATCH(84,'Output Utente'!$Q$2:$Q$492,0)),"")</f>
        <v>Buono</v>
      </c>
      <c r="I87" s="47" t="n">
        <f aca="false">IFERROR(INDEX('Output Utente'!$F$2:$F$492,MATCH(84,'Output Utente'!$Q$2:$Q$492,0)),"")</f>
        <v>13</v>
      </c>
      <c r="J87" s="47" t="n">
        <f aca="false">IFERROR(INDEX('Output Utente'!$G$2:$G$492,MATCH(84,'Output Utente'!$Q$2:$Q$492,0)),"")</f>
        <v>8</v>
      </c>
      <c r="K87" s="47" t="n">
        <f aca="false">IFERROR(INDEX('Output Utente'!$H$2:$H$492,MATCH(84,'Output Utente'!$Q$2:$Q$492,0)),"")</f>
        <v>15</v>
      </c>
      <c r="L87" s="7" t="str">
        <f aca="false">IFERROR(INDEX('Output Utente'!$E$2:$E$492,MATCH(84,'Output Utente'!$Q$2:$Q$492,0)),"")</f>
        <v>NO</v>
      </c>
      <c r="M87" s="7" t="str">
        <f aca="false">IFERROR(INDEX('Output Utente'!$U$2:$U$492,MATCH(84,'Output Utente'!$Q$2:$Q$492,0)),"")</f>
        <v>OK</v>
      </c>
      <c r="N87" s="7" t="str">
        <f aca="false">IFERROR(INDEX('Output Utente'!$AE$2:$AE$492,MATCH(84,'Output Utente'!$Q$2:$Q$492,0)),"")</f>
        <v>🔴 Non aspettare</v>
      </c>
    </row>
    <row r="88" customFormat="false" ht="15" hidden="false" customHeight="true" outlineLevel="0" collapsed="false">
      <c r="A88" s="46" t="n">
        <v>85</v>
      </c>
      <c r="B88" s="7" t="n">
        <f aca="false">IFERROR(INDEX('Output Utente'!$A$2:$A$492,MATCH(85,'Output Utente'!$Q$2:$Q$492,0)),"")</f>
        <v>7347</v>
      </c>
      <c r="C88" s="7" t="str">
        <f aca="false">IFERROR(INDEX('Output Utente'!$B$2:$B$492,MATCH(85,'Output Utente'!$Q$2:$Q$492,0)),"")</f>
        <v>A</v>
      </c>
      <c r="D88" s="7" t="str">
        <f aca="false">IFERROR(INDEX('Output Utente'!$C$2:$C$492,MATCH(85,'Output Utente'!$Q$2:$Q$492,0)),"")</f>
        <v>Bowie</v>
      </c>
      <c r="E88" s="7" t="str">
        <f aca="false">IFERROR(INDEX('Input Giocatori 2026_27'!$D$3:$D$493,MATCH($B88,'Input Giocatori 2026_27'!$A$3:$A$493,0)),"")</f>
        <v>Sassuolo</v>
      </c>
      <c r="F88" s="47" t="n">
        <f aca="false">IFERROR(INDEX('Output Utente'!$N$2:$N$492,MATCH(85,'Output Utente'!$Q$2:$Q$492,0)),"")</f>
        <v>10</v>
      </c>
      <c r="G88" s="47" t="n">
        <f aca="false">IFERROR(INDEX('Output Utente'!$O$2:$O$492,MATCH(85,'Output Utente'!$Q$2:$Q$492,0)),"")</f>
        <v>39</v>
      </c>
      <c r="H88" s="7" t="str">
        <f aca="false">IFERROR(INDEX('Output Utente'!$P$2:$P$492,MATCH(85,'Output Utente'!$Q$2:$Q$492,0)),"")</f>
        <v>Buono</v>
      </c>
      <c r="I88" s="47" t="n">
        <f aca="false">IFERROR(INDEX('Output Utente'!$F$2:$F$492,MATCH(85,'Output Utente'!$Q$2:$Q$492,0)),"")</f>
        <v>13</v>
      </c>
      <c r="J88" s="47" t="n">
        <f aca="false">IFERROR(INDEX('Output Utente'!$G$2:$G$492,MATCH(85,'Output Utente'!$Q$2:$Q$492,0)),"")</f>
        <v>8</v>
      </c>
      <c r="K88" s="47" t="n">
        <f aca="false">IFERROR(INDEX('Output Utente'!$H$2:$H$492,MATCH(85,'Output Utente'!$Q$2:$Q$492,0)),"")</f>
        <v>15</v>
      </c>
      <c r="L88" s="7" t="str">
        <f aca="false">IFERROR(INDEX('Output Utente'!$E$2:$E$492,MATCH(85,'Output Utente'!$Q$2:$Q$492,0)),"")</f>
        <v>NO</v>
      </c>
      <c r="M88" s="7" t="str">
        <f aca="false">IFERROR(INDEX('Output Utente'!$U$2:$U$492,MATCH(85,'Output Utente'!$Q$2:$Q$492,0)),"")</f>
        <v>OK</v>
      </c>
      <c r="N88" s="7" t="str">
        <f aca="false">IFERROR(INDEX('Output Utente'!$AE$2:$AE$492,MATCH(85,'Output Utente'!$Q$2:$Q$492,0)),"")</f>
        <v>🔴 Non aspettare</v>
      </c>
    </row>
    <row r="89" customFormat="false" ht="15" hidden="false" customHeight="true" outlineLevel="0" collapsed="false">
      <c r="A89" s="46" t="n">
        <v>86</v>
      </c>
      <c r="B89" s="7" t="n">
        <f aca="false">IFERROR(INDEX('Output Utente'!$A$2:$A$492,MATCH(86,'Output Utente'!$Q$2:$Q$492,0)),"")</f>
        <v>2514</v>
      </c>
      <c r="C89" s="7" t="str">
        <f aca="false">IFERROR(INDEX('Output Utente'!$B$2:$B$492,MATCH(86,'Output Utente'!$Q$2:$Q$492,0)),"")</f>
        <v>D</v>
      </c>
      <c r="D89" s="7" t="str">
        <f aca="false">IFERROR(INDEX('Output Utente'!$C$2:$C$492,MATCH(86,'Output Utente'!$Q$2:$Q$492,0)),"")</f>
        <v>Stones</v>
      </c>
      <c r="E89" s="7" t="str">
        <f aca="false">IFERROR(INDEX('Input Giocatori 2026_27'!$D$3:$D$493,MATCH($B89,'Input Giocatori 2026_27'!$A$3:$A$493,0)),"")</f>
        <v>Inter</v>
      </c>
      <c r="F89" s="47" t="n">
        <f aca="false">IFERROR(INDEX('Output Utente'!$N$2:$N$492,MATCH(86,'Output Utente'!$Q$2:$Q$492,0)),"")</f>
        <v>12</v>
      </c>
      <c r="G89" s="47" t="n">
        <f aca="false">IFERROR(INDEX('Output Utente'!$O$2:$O$492,MATCH(86,'Output Utente'!$Q$2:$Q$492,0)),"")</f>
        <v>38</v>
      </c>
      <c r="H89" s="7" t="str">
        <f aca="false">IFERROR(INDEX('Output Utente'!$P$2:$P$492,MATCH(86,'Output Utente'!$Q$2:$Q$492,0)),"")</f>
        <v>Top</v>
      </c>
      <c r="I89" s="47" t="n">
        <f aca="false">IFERROR(INDEX('Output Utente'!$F$2:$F$492,MATCH(86,'Output Utente'!$Q$2:$Q$492,0)),"")</f>
        <v>26</v>
      </c>
      <c r="J89" s="47" t="n">
        <f aca="false">IFERROR(INDEX('Output Utente'!$G$2:$G$492,MATCH(86,'Output Utente'!$Q$2:$Q$492,0)),"")</f>
        <v>19</v>
      </c>
      <c r="K89" s="47" t="n">
        <f aca="false">IFERROR(INDEX('Output Utente'!$H$2:$H$492,MATCH(86,'Output Utente'!$Q$2:$Q$492,0)),"")</f>
        <v>29</v>
      </c>
      <c r="L89" s="7" t="str">
        <f aca="false">IFERROR(INDEX('Output Utente'!$E$2:$E$492,MATCH(86,'Output Utente'!$Q$2:$Q$492,0)),"")</f>
        <v>NO</v>
      </c>
      <c r="M89" s="7" t="str">
        <f aca="false">IFERROR(INDEX('Output Utente'!$U$2:$U$492,MATCH(86,'Output Utente'!$Q$2:$Q$492,0)),"")</f>
        <v>OK</v>
      </c>
      <c r="N89" s="7" t="str">
        <f aca="false">IFERROR(INDEX('Output Utente'!$AE$2:$AE$492,MATCH(86,'Output Utente'!$Q$2:$Q$492,0)),"")</f>
        <v>🟡 Attesa rischiosa</v>
      </c>
    </row>
    <row r="90" customFormat="false" ht="15" hidden="false" customHeight="true" outlineLevel="0" collapsed="false">
      <c r="A90" s="46" t="n">
        <v>87</v>
      </c>
      <c r="B90" s="7" t="n">
        <f aca="false">IFERROR(INDEX('Output Utente'!$A$2:$A$492,MATCH(87,'Output Utente'!$Q$2:$Q$492,0)),"")</f>
        <v>6151</v>
      </c>
      <c r="C90" s="7" t="str">
        <f aca="false">IFERROR(INDEX('Output Utente'!$B$2:$B$492,MATCH(87,'Output Utente'!$Q$2:$Q$492,0)),"")</f>
        <v>C</v>
      </c>
      <c r="D90" s="7" t="str">
        <f aca="false">IFERROR(INDEX('Output Utente'!$C$2:$C$492,MATCH(87,'Output Utente'!$Q$2:$Q$492,0)),"")</f>
        <v>Perrone</v>
      </c>
      <c r="E90" s="7" t="str">
        <f aca="false">IFERROR(INDEX('Input Giocatori 2026_27'!$D$3:$D$493,MATCH($B90,'Input Giocatori 2026_27'!$A$3:$A$493,0)),"")</f>
        <v>Como</v>
      </c>
      <c r="F90" s="47" t="n">
        <f aca="false">IFERROR(INDEX('Output Utente'!$N$2:$N$492,MATCH(87,'Output Utente'!$Q$2:$Q$492,0)),"")</f>
        <v>10</v>
      </c>
      <c r="G90" s="47" t="n">
        <f aca="false">IFERROR(INDEX('Output Utente'!$O$2:$O$492,MATCH(87,'Output Utente'!$Q$2:$Q$492,0)),"")</f>
        <v>38</v>
      </c>
      <c r="H90" s="7" t="str">
        <f aca="false">IFERROR(INDEX('Output Utente'!$P$2:$P$492,MATCH(87,'Output Utente'!$Q$2:$Q$492,0)),"")</f>
        <v>Buono</v>
      </c>
      <c r="I90" s="47" t="n">
        <f aca="false">IFERROR(INDEX('Output Utente'!$F$2:$F$492,MATCH(87,'Output Utente'!$Q$2:$Q$492,0)),"")</f>
        <v>25</v>
      </c>
      <c r="J90" s="47" t="n">
        <f aca="false">IFERROR(INDEX('Output Utente'!$G$2:$G$492,MATCH(87,'Output Utente'!$Q$2:$Q$492,0)),"")</f>
        <v>17</v>
      </c>
      <c r="K90" s="47" t="n">
        <f aca="false">IFERROR(INDEX('Output Utente'!$H$2:$H$492,MATCH(87,'Output Utente'!$Q$2:$Q$492,0)),"")</f>
        <v>29</v>
      </c>
      <c r="L90" s="7" t="str">
        <f aca="false">IFERROR(INDEX('Output Utente'!$E$2:$E$492,MATCH(87,'Output Utente'!$Q$2:$Q$492,0)),"")</f>
        <v>NO</v>
      </c>
      <c r="M90" s="7" t="str">
        <f aca="false">IFERROR(INDEX('Output Utente'!$U$2:$U$492,MATCH(87,'Output Utente'!$Q$2:$Q$492,0)),"")</f>
        <v>OK</v>
      </c>
      <c r="N90" s="7" t="str">
        <f aca="false">IFERROR(INDEX('Output Utente'!$AE$2:$AE$492,MATCH(87,'Output Utente'!$Q$2:$Q$492,0)),"")</f>
        <v>🟡 Attesa rischiosa</v>
      </c>
    </row>
    <row r="91" customFormat="false" ht="15" hidden="false" customHeight="true" outlineLevel="0" collapsed="false">
      <c r="A91" s="46" t="n">
        <v>88</v>
      </c>
      <c r="B91" s="7" t="n">
        <f aca="false">IFERROR(INDEX('Output Utente'!$A$2:$A$492,MATCH(88,'Output Utente'!$Q$2:$Q$492,0)),"")</f>
        <v>133</v>
      </c>
      <c r="C91" s="7" t="str">
        <f aca="false">IFERROR(INDEX('Output Utente'!$B$2:$B$492,MATCH(88,'Output Utente'!$Q$2:$Q$492,0)),"")</f>
        <v>P</v>
      </c>
      <c r="D91" s="7" t="str">
        <f aca="false">IFERROR(INDEX('Output Utente'!$C$2:$C$492,MATCH(88,'Output Utente'!$Q$2:$Q$492,0)),"")</f>
        <v>Skorupski</v>
      </c>
      <c r="E91" s="7" t="str">
        <f aca="false">IFERROR(INDEX('Input Giocatori 2026_27'!$D$3:$D$493,MATCH($B91,'Input Giocatori 2026_27'!$A$3:$A$493,0)),"")</f>
        <v>Bologna</v>
      </c>
      <c r="F91" s="47" t="n">
        <f aca="false">IFERROR(INDEX('Output Utente'!$N$2:$N$492,MATCH(88,'Output Utente'!$Q$2:$Q$492,0)),"")</f>
        <v>10</v>
      </c>
      <c r="G91" s="47" t="n">
        <f aca="false">IFERROR(INDEX('Output Utente'!$O$2:$O$492,MATCH(88,'Output Utente'!$Q$2:$Q$492,0)),"")</f>
        <v>37</v>
      </c>
      <c r="H91" s="7" t="str">
        <f aca="false">IFERROR(INDEX('Output Utente'!$P$2:$P$492,MATCH(88,'Output Utente'!$Q$2:$Q$492,0)),"")</f>
        <v>Top</v>
      </c>
      <c r="I91" s="47" t="n">
        <f aca="false">IFERROR(INDEX('Output Utente'!$F$2:$F$492,MATCH(88,'Output Utente'!$Q$2:$Q$492,0)),"")</f>
        <v>13</v>
      </c>
      <c r="J91" s="47" t="n">
        <f aca="false">IFERROR(INDEX('Output Utente'!$G$2:$G$492,MATCH(88,'Output Utente'!$Q$2:$Q$492,0)),"")</f>
        <v>10</v>
      </c>
      <c r="K91" s="47" t="n">
        <f aca="false">IFERROR(INDEX('Output Utente'!$H$2:$H$492,MATCH(88,'Output Utente'!$Q$2:$Q$492,0)),"")</f>
        <v>14</v>
      </c>
      <c r="L91" s="7" t="str">
        <f aca="false">IFERROR(INDEX('Output Utente'!$E$2:$E$492,MATCH(88,'Output Utente'!$Q$2:$Q$492,0)),"")</f>
        <v>NO</v>
      </c>
      <c r="M91" s="7" t="str">
        <f aca="false">IFERROR(INDEX('Output Utente'!$U$2:$U$492,MATCH(88,'Output Utente'!$Q$2:$Q$492,0)),"")</f>
        <v>OK</v>
      </c>
      <c r="N91" s="7" t="str">
        <f aca="false">IFERROR(INDEX('Output Utente'!$AE$2:$AE$492,MATCH(88,'Output Utente'!$Q$2:$Q$492,0)),"")</f>
        <v>🟡 Attesa rischiosa</v>
      </c>
    </row>
    <row r="92" customFormat="false" ht="15" hidden="false" customHeight="true" outlineLevel="0" collapsed="false">
      <c r="A92" s="46" t="n">
        <v>89</v>
      </c>
      <c r="B92" s="7" t="n">
        <f aca="false">IFERROR(INDEX('Output Utente'!$A$2:$A$492,MATCH(89,'Output Utente'!$Q$2:$Q$492,0)),"")</f>
        <v>6844</v>
      </c>
      <c r="C92" s="7" t="str">
        <f aca="false">IFERROR(INDEX('Output Utente'!$B$2:$B$492,MATCH(89,'Output Utente'!$Q$2:$Q$492,0)),"")</f>
        <v>C</v>
      </c>
      <c r="D92" s="7" t="str">
        <f aca="false">IFERROR(INDEX('Output Utente'!$C$2:$C$492,MATCH(89,'Output Utente'!$Q$2:$Q$492,0)),"")</f>
        <v>Rowe</v>
      </c>
      <c r="E92" s="7" t="str">
        <f aca="false">IFERROR(INDEX('Input Giocatori 2026_27'!$D$3:$D$493,MATCH($B92,'Input Giocatori 2026_27'!$A$3:$A$493,0)),"")</f>
        <v>Bologna</v>
      </c>
      <c r="F92" s="47" t="n">
        <f aca="false">IFERROR(INDEX('Output Utente'!$N$2:$N$492,MATCH(89,'Output Utente'!$Q$2:$Q$492,0)),"")</f>
        <v>11</v>
      </c>
      <c r="G92" s="47" t="n">
        <f aca="false">IFERROR(INDEX('Output Utente'!$O$2:$O$492,MATCH(89,'Output Utente'!$Q$2:$Q$492,0)),"")</f>
        <v>37</v>
      </c>
      <c r="H92" s="7" t="str">
        <f aca="false">IFERROR(INDEX('Output Utente'!$P$2:$P$492,MATCH(89,'Output Utente'!$Q$2:$Q$492,0)),"")</f>
        <v>Buono</v>
      </c>
      <c r="I92" s="47" t="n">
        <f aca="false">IFERROR(INDEX('Output Utente'!$F$2:$F$492,MATCH(89,'Output Utente'!$Q$2:$Q$492,0)),"")</f>
        <v>25</v>
      </c>
      <c r="J92" s="47" t="n">
        <f aca="false">IFERROR(INDEX('Output Utente'!$G$2:$G$492,MATCH(89,'Output Utente'!$Q$2:$Q$492,0)),"")</f>
        <v>17</v>
      </c>
      <c r="K92" s="47" t="n">
        <f aca="false">IFERROR(INDEX('Output Utente'!$H$2:$H$492,MATCH(89,'Output Utente'!$Q$2:$Q$492,0)),"")</f>
        <v>28</v>
      </c>
      <c r="L92" s="7" t="str">
        <f aca="false">IFERROR(INDEX('Output Utente'!$E$2:$E$492,MATCH(89,'Output Utente'!$Q$2:$Q$492,0)),"")</f>
        <v>NO</v>
      </c>
      <c r="M92" s="7" t="str">
        <f aca="false">IFERROR(INDEX('Output Utente'!$U$2:$U$492,MATCH(89,'Output Utente'!$Q$2:$Q$492,0)),"")</f>
        <v>OK</v>
      </c>
      <c r="N92" s="7" t="str">
        <f aca="false">IFERROR(INDEX('Output Utente'!$AE$2:$AE$492,MATCH(89,'Output Utente'!$Q$2:$Q$492,0)),"")</f>
        <v>🟡 Attesa rischiosa</v>
      </c>
    </row>
    <row r="93" customFormat="false" ht="15" hidden="false" customHeight="true" outlineLevel="0" collapsed="false">
      <c r="A93" s="46" t="n">
        <v>90</v>
      </c>
      <c r="B93" s="7" t="n">
        <f aca="false">IFERROR(INDEX('Output Utente'!$A$2:$A$492,MATCH(90,'Output Utente'!$Q$2:$Q$492,0)),"")</f>
        <v>5888</v>
      </c>
      <c r="C93" s="7" t="str">
        <f aca="false">IFERROR(INDEX('Output Utente'!$B$2:$B$492,MATCH(90,'Output Utente'!$Q$2:$Q$492,0)),"")</f>
        <v>C</v>
      </c>
      <c r="D93" s="7" t="str">
        <f aca="false">IFERROR(INDEX('Output Utente'!$C$2:$C$492,MATCH(90,'Output Utente'!$Q$2:$Q$492,0)),"")</f>
        <v>Casadei</v>
      </c>
      <c r="E93" s="7" t="str">
        <f aca="false">IFERROR(INDEX('Input Giocatori 2026_27'!$D$3:$D$493,MATCH($B93,'Input Giocatori 2026_27'!$A$3:$A$493,0)),"")</f>
        <v>Torino</v>
      </c>
      <c r="F93" s="47" t="n">
        <f aca="false">IFERROR(INDEX('Output Utente'!$N$2:$N$492,MATCH(90,'Output Utente'!$Q$2:$Q$492,0)),"")</f>
        <v>10</v>
      </c>
      <c r="G93" s="47" t="n">
        <f aca="false">IFERROR(INDEX('Output Utente'!$O$2:$O$492,MATCH(90,'Output Utente'!$Q$2:$Q$492,0)),"")</f>
        <v>37</v>
      </c>
      <c r="H93" s="7" t="str">
        <f aca="false">IFERROR(INDEX('Output Utente'!$P$2:$P$492,MATCH(90,'Output Utente'!$Q$2:$Q$492,0)),"")</f>
        <v>Buono</v>
      </c>
      <c r="I93" s="47" t="n">
        <f aca="false">IFERROR(INDEX('Output Utente'!$F$2:$F$492,MATCH(90,'Output Utente'!$Q$2:$Q$492,0)),"")</f>
        <v>25</v>
      </c>
      <c r="J93" s="47" t="n">
        <f aca="false">IFERROR(INDEX('Output Utente'!$G$2:$G$492,MATCH(90,'Output Utente'!$Q$2:$Q$492,0)),"")</f>
        <v>17</v>
      </c>
      <c r="K93" s="47" t="n">
        <f aca="false">IFERROR(INDEX('Output Utente'!$H$2:$H$492,MATCH(90,'Output Utente'!$Q$2:$Q$492,0)),"")</f>
        <v>28</v>
      </c>
      <c r="L93" s="7" t="str">
        <f aca="false">IFERROR(INDEX('Output Utente'!$E$2:$E$492,MATCH(90,'Output Utente'!$Q$2:$Q$492,0)),"")</f>
        <v>NO</v>
      </c>
      <c r="M93" s="7" t="str">
        <f aca="false">IFERROR(INDEX('Output Utente'!$U$2:$U$492,MATCH(90,'Output Utente'!$Q$2:$Q$492,0)),"")</f>
        <v>OK</v>
      </c>
      <c r="N93" s="7" t="str">
        <f aca="false">IFERROR(INDEX('Output Utente'!$AE$2:$AE$492,MATCH(90,'Output Utente'!$Q$2:$Q$492,0)),"")</f>
        <v>🟡 Attesa rischiosa</v>
      </c>
    </row>
    <row r="94" customFormat="false" ht="15" hidden="false" customHeight="true" outlineLevel="0" collapsed="false">
      <c r="A94" s="46" t="n">
        <v>91</v>
      </c>
      <c r="B94" s="7" t="n">
        <f aca="false">IFERROR(INDEX('Output Utente'!$A$2:$A$492,MATCH(91,'Output Utente'!$Q$2:$Q$492,0)),"")</f>
        <v>6274</v>
      </c>
      <c r="C94" s="7" t="str">
        <f aca="false">IFERROR(INDEX('Output Utente'!$B$2:$B$492,MATCH(91,'Output Utente'!$Q$2:$Q$492,0)),"")</f>
        <v>C</v>
      </c>
      <c r="D94" s="7" t="str">
        <f aca="false">IFERROR(INDEX('Output Utente'!$C$2:$C$492,MATCH(91,'Output Utente'!$Q$2:$Q$492,0)),"")</f>
        <v>Diouf</v>
      </c>
      <c r="E94" s="7" t="str">
        <f aca="false">IFERROR(INDEX('Input Giocatori 2026_27'!$D$3:$D$493,MATCH($B94,'Input Giocatori 2026_27'!$A$3:$A$493,0)),"")</f>
        <v>Inter</v>
      </c>
      <c r="F94" s="47" t="n">
        <f aca="false">IFERROR(INDEX('Output Utente'!$N$2:$N$492,MATCH(91,'Output Utente'!$Q$2:$Q$492,0)),"")</f>
        <v>8</v>
      </c>
      <c r="G94" s="47" t="n">
        <f aca="false">IFERROR(INDEX('Output Utente'!$O$2:$O$492,MATCH(91,'Output Utente'!$Q$2:$Q$492,0)),"")</f>
        <v>37</v>
      </c>
      <c r="H94" s="7" t="str">
        <f aca="false">IFERROR(INDEX('Output Utente'!$P$2:$P$492,MATCH(91,'Output Utente'!$Q$2:$Q$492,0)),"")</f>
        <v>Buono</v>
      </c>
      <c r="I94" s="47" t="n">
        <f aca="false">IFERROR(INDEX('Output Utente'!$F$2:$F$492,MATCH(91,'Output Utente'!$Q$2:$Q$492,0)),"")</f>
        <v>25</v>
      </c>
      <c r="J94" s="47" t="n">
        <f aca="false">IFERROR(INDEX('Output Utente'!$G$2:$G$492,MATCH(91,'Output Utente'!$Q$2:$Q$492,0)),"")</f>
        <v>17</v>
      </c>
      <c r="K94" s="47" t="n">
        <f aca="false">IFERROR(INDEX('Output Utente'!$H$2:$H$492,MATCH(91,'Output Utente'!$Q$2:$Q$492,0)),"")</f>
        <v>28</v>
      </c>
      <c r="L94" s="7" t="str">
        <f aca="false">IFERROR(INDEX('Output Utente'!$E$2:$E$492,MATCH(91,'Output Utente'!$Q$2:$Q$492,0)),"")</f>
        <v>NO</v>
      </c>
      <c r="M94" s="7" t="str">
        <f aca="false">IFERROR(INDEX('Output Utente'!$U$2:$U$492,MATCH(91,'Output Utente'!$Q$2:$Q$492,0)),"")</f>
        <v>OK</v>
      </c>
      <c r="N94" s="7" t="str">
        <f aca="false">IFERROR(INDEX('Output Utente'!$AE$2:$AE$492,MATCH(91,'Output Utente'!$Q$2:$Q$492,0)),"")</f>
        <v>🟡 Attesa rischiosa</v>
      </c>
    </row>
    <row r="95" customFormat="false" ht="15" hidden="false" customHeight="true" outlineLevel="0" collapsed="false">
      <c r="A95" s="46" t="n">
        <v>92</v>
      </c>
      <c r="B95" s="7" t="n">
        <f aca="false">IFERROR(INDEX('Output Utente'!$A$2:$A$492,MATCH(92,'Output Utente'!$Q$2:$Q$492,0)),"")</f>
        <v>6666</v>
      </c>
      <c r="C95" s="7" t="str">
        <f aca="false">IFERROR(INDEX('Output Utente'!$B$2:$B$492,MATCH(92,'Output Utente'!$Q$2:$Q$492,0)),"")</f>
        <v>C</v>
      </c>
      <c r="D95" s="7" t="str">
        <f aca="false">IFERROR(INDEX('Output Utente'!$C$2:$C$492,MATCH(92,'Output Utente'!$Q$2:$Q$492,0)),"")</f>
        <v>Bernabè</v>
      </c>
      <c r="E95" s="7" t="str">
        <f aca="false">IFERROR(INDEX('Input Giocatori 2026_27'!$D$3:$D$493,MATCH($B95,'Input Giocatori 2026_27'!$A$3:$A$493,0)),"")</f>
        <v>Parma</v>
      </c>
      <c r="F95" s="47" t="n">
        <f aca="false">IFERROR(INDEX('Output Utente'!$N$2:$N$492,MATCH(92,'Output Utente'!$Q$2:$Q$492,0)),"")</f>
        <v>7</v>
      </c>
      <c r="G95" s="47" t="n">
        <f aca="false">IFERROR(INDEX('Output Utente'!$O$2:$O$492,MATCH(92,'Output Utente'!$Q$2:$Q$492,0)),"")</f>
        <v>36</v>
      </c>
      <c r="H95" s="7" t="str">
        <f aca="false">IFERROR(INDEX('Output Utente'!$P$2:$P$492,MATCH(92,'Output Utente'!$Q$2:$Q$492,0)),"")</f>
        <v>Buono</v>
      </c>
      <c r="I95" s="47" t="n">
        <f aca="false">IFERROR(INDEX('Output Utente'!$F$2:$F$492,MATCH(92,'Output Utente'!$Q$2:$Q$492,0)),"")</f>
        <v>4</v>
      </c>
      <c r="J95" s="47" t="n">
        <f aca="false">IFERROR(INDEX('Output Utente'!$G$2:$G$492,MATCH(92,'Output Utente'!$Q$2:$Q$492,0)),"")</f>
        <v>3</v>
      </c>
      <c r="K95" s="47" t="n">
        <f aca="false">IFERROR(INDEX('Output Utente'!$H$2:$H$492,MATCH(92,'Output Utente'!$Q$2:$Q$492,0)),"")</f>
        <v>5</v>
      </c>
      <c r="L95" s="7" t="str">
        <f aca="false">IFERROR(INDEX('Output Utente'!$E$2:$E$492,MATCH(92,'Output Utente'!$Q$2:$Q$492,0)),"")</f>
        <v>NO</v>
      </c>
      <c r="M95" s="7" t="str">
        <f aca="false">IFERROR(INDEX('Output Utente'!$U$2:$U$492,MATCH(92,'Output Utente'!$Q$2:$Q$492,0)),"")</f>
        <v>OK</v>
      </c>
      <c r="N95" s="7" t="str">
        <f aca="false">IFERROR(INDEX('Output Utente'!$AE$2:$AE$492,MATCH(92,'Output Utente'!$Q$2:$Q$492,0)),"")</f>
        <v>🟡 Attesa rischiosa</v>
      </c>
    </row>
    <row r="96" customFormat="false" ht="15" hidden="false" customHeight="true" outlineLevel="0" collapsed="false">
      <c r="A96" s="46" t="n">
        <v>93</v>
      </c>
      <c r="B96" s="7" t="n">
        <f aca="false">IFERROR(INDEX('Output Utente'!$A$2:$A$492,MATCH(93,'Output Utente'!$Q$2:$Q$492,0)),"")</f>
        <v>7223</v>
      </c>
      <c r="C96" s="7" t="str">
        <f aca="false">IFERROR(INDEX('Output Utente'!$B$2:$B$492,MATCH(93,'Output Utente'!$Q$2:$Q$492,0)),"")</f>
        <v>C</v>
      </c>
      <c r="D96" s="7" t="str">
        <f aca="false">IFERROR(INDEX('Output Utente'!$C$2:$C$492,MATCH(93,'Output Utente'!$Q$2:$Q$492,0)),"")</f>
        <v>Vergara</v>
      </c>
      <c r="E96" s="7" t="str">
        <f aca="false">IFERROR(INDEX('Input Giocatori 2026_27'!$D$3:$D$493,MATCH($B96,'Input Giocatori 2026_27'!$A$3:$A$493,0)),"")</f>
        <v>Napoli</v>
      </c>
      <c r="F96" s="47" t="n">
        <f aca="false">IFERROR(INDEX('Output Utente'!$N$2:$N$492,MATCH(93,'Output Utente'!$Q$2:$Q$492,0)),"")</f>
        <v>8</v>
      </c>
      <c r="G96" s="47" t="n">
        <f aca="false">IFERROR(INDEX('Output Utente'!$O$2:$O$492,MATCH(93,'Output Utente'!$Q$2:$Q$492,0)),"")</f>
        <v>34</v>
      </c>
      <c r="H96" s="7" t="str">
        <f aca="false">IFERROR(INDEX('Output Utente'!$P$2:$P$492,MATCH(93,'Output Utente'!$Q$2:$Q$492,0)),"")</f>
        <v>Buono</v>
      </c>
      <c r="I96" s="47" t="n">
        <f aca="false">IFERROR(INDEX('Output Utente'!$F$2:$F$492,MATCH(93,'Output Utente'!$Q$2:$Q$492,0)),"")</f>
        <v>4</v>
      </c>
      <c r="J96" s="47" t="n">
        <f aca="false">IFERROR(INDEX('Output Utente'!$G$2:$G$492,MATCH(93,'Output Utente'!$Q$2:$Q$492,0)),"")</f>
        <v>3</v>
      </c>
      <c r="K96" s="47" t="n">
        <f aca="false">IFERROR(INDEX('Output Utente'!$H$2:$H$492,MATCH(93,'Output Utente'!$Q$2:$Q$492,0)),"")</f>
        <v>5</v>
      </c>
      <c r="L96" s="7" t="str">
        <f aca="false">IFERROR(INDEX('Output Utente'!$E$2:$E$492,MATCH(93,'Output Utente'!$Q$2:$Q$492,0)),"")</f>
        <v>NO</v>
      </c>
      <c r="M96" s="7" t="str">
        <f aca="false">IFERROR(INDEX('Output Utente'!$U$2:$U$492,MATCH(93,'Output Utente'!$Q$2:$Q$492,0)),"")</f>
        <v>OK</v>
      </c>
      <c r="N96" s="7" t="str">
        <f aca="false">IFERROR(INDEX('Output Utente'!$AE$2:$AE$492,MATCH(93,'Output Utente'!$Q$2:$Q$492,0)),"")</f>
        <v>🟡 Attesa rischiosa</v>
      </c>
    </row>
    <row r="97" customFormat="false" ht="15" hidden="false" customHeight="true" outlineLevel="0" collapsed="false">
      <c r="A97" s="46" t="n">
        <v>94</v>
      </c>
      <c r="B97" s="7" t="n">
        <f aca="false">IFERROR(INDEX('Output Utente'!$A$2:$A$492,MATCH(94,'Output Utente'!$Q$2:$Q$492,0)),"")</f>
        <v>6217</v>
      </c>
      <c r="C97" s="7" t="str">
        <f aca="false">IFERROR(INDEX('Output Utente'!$B$2:$B$492,MATCH(94,'Output Utente'!$Q$2:$Q$492,0)),"")</f>
        <v>D</v>
      </c>
      <c r="D97" s="7" t="str">
        <f aca="false">IFERROR(INDEX('Output Utente'!$C$2:$C$492,MATCH(94,'Output Utente'!$Q$2:$Q$492,0)),"")</f>
        <v>Bisseck</v>
      </c>
      <c r="E97" s="7" t="str">
        <f aca="false">IFERROR(INDEX('Input Giocatori 2026_27'!$D$3:$D$493,MATCH($B97,'Input Giocatori 2026_27'!$A$3:$A$493,0)),"")</f>
        <v>Inter</v>
      </c>
      <c r="F97" s="47" t="n">
        <f aca="false">IFERROR(INDEX('Output Utente'!$N$2:$N$492,MATCH(94,'Output Utente'!$Q$2:$Q$492,0)),"")</f>
        <v>11</v>
      </c>
      <c r="G97" s="47" t="n">
        <f aca="false">IFERROR(INDEX('Output Utente'!$O$2:$O$492,MATCH(94,'Output Utente'!$Q$2:$Q$492,0)),"")</f>
        <v>33</v>
      </c>
      <c r="H97" s="7" t="str">
        <f aca="false">IFERROR(INDEX('Output Utente'!$P$2:$P$492,MATCH(94,'Output Utente'!$Q$2:$Q$492,0)),"")</f>
        <v>Top</v>
      </c>
      <c r="I97" s="47" t="n">
        <f aca="false">IFERROR(INDEX('Output Utente'!$F$2:$F$492,MATCH(94,'Output Utente'!$Q$2:$Q$492,0)),"")</f>
        <v>23</v>
      </c>
      <c r="J97" s="47" t="n">
        <f aca="false">IFERROR(INDEX('Output Utente'!$G$2:$G$492,MATCH(94,'Output Utente'!$Q$2:$Q$492,0)),"")</f>
        <v>17</v>
      </c>
      <c r="K97" s="47" t="n">
        <f aca="false">IFERROR(INDEX('Output Utente'!$H$2:$H$492,MATCH(94,'Output Utente'!$Q$2:$Q$492,0)),"")</f>
        <v>25</v>
      </c>
      <c r="L97" s="7" t="str">
        <f aca="false">IFERROR(INDEX('Output Utente'!$E$2:$E$492,MATCH(94,'Output Utente'!$Q$2:$Q$492,0)),"")</f>
        <v>NO</v>
      </c>
      <c r="M97" s="7" t="str">
        <f aca="false">IFERROR(INDEX('Output Utente'!$U$2:$U$492,MATCH(94,'Output Utente'!$Q$2:$Q$492,0)),"")</f>
        <v>OK</v>
      </c>
      <c r="N97" s="7" t="str">
        <f aca="false">IFERROR(INDEX('Output Utente'!$AE$2:$AE$492,MATCH(94,'Output Utente'!$Q$2:$Q$492,0)),"")</f>
        <v>🟡 Attesa rischiosa</v>
      </c>
    </row>
    <row r="98" customFormat="false" ht="15" hidden="false" customHeight="true" outlineLevel="0" collapsed="false">
      <c r="A98" s="46" t="n">
        <v>95</v>
      </c>
      <c r="B98" s="7" t="n">
        <f aca="false">IFERROR(INDEX('Output Utente'!$A$2:$A$492,MATCH(95,'Output Utente'!$Q$2:$Q$492,0)),"")</f>
        <v>5514</v>
      </c>
      <c r="C98" s="7" t="str">
        <f aca="false">IFERROR(INDEX('Output Utente'!$B$2:$B$492,MATCH(95,'Output Utente'!$Q$2:$Q$492,0)),"")</f>
        <v>D</v>
      </c>
      <c r="D98" s="7" t="str">
        <f aca="false">IFERROR(INDEX('Output Utente'!$C$2:$C$492,MATCH(95,'Output Utente'!$Q$2:$Q$492,0)),"")</f>
        <v>Vasquez</v>
      </c>
      <c r="E98" s="7" t="str">
        <f aca="false">IFERROR(INDEX('Input Giocatori 2026_27'!$D$3:$D$493,MATCH($B98,'Input Giocatori 2026_27'!$A$3:$A$493,0)),"")</f>
        <v>Genoa</v>
      </c>
      <c r="F98" s="47" t="n">
        <f aca="false">IFERROR(INDEX('Output Utente'!$N$2:$N$492,MATCH(95,'Output Utente'!$Q$2:$Q$492,0)),"")</f>
        <v>9</v>
      </c>
      <c r="G98" s="47" t="n">
        <f aca="false">IFERROR(INDEX('Output Utente'!$O$2:$O$492,MATCH(95,'Output Utente'!$Q$2:$Q$492,0)),"")</f>
        <v>33</v>
      </c>
      <c r="H98" s="7" t="str">
        <f aca="false">IFERROR(INDEX('Output Utente'!$P$2:$P$492,MATCH(95,'Output Utente'!$Q$2:$Q$492,0)),"")</f>
        <v>Top</v>
      </c>
      <c r="I98" s="47" t="n">
        <f aca="false">IFERROR(INDEX('Output Utente'!$F$2:$F$492,MATCH(95,'Output Utente'!$Q$2:$Q$492,0)),"")</f>
        <v>23</v>
      </c>
      <c r="J98" s="47" t="n">
        <f aca="false">IFERROR(INDEX('Output Utente'!$G$2:$G$492,MATCH(95,'Output Utente'!$Q$2:$Q$492,0)),"")</f>
        <v>17</v>
      </c>
      <c r="K98" s="47" t="n">
        <f aca="false">IFERROR(INDEX('Output Utente'!$H$2:$H$492,MATCH(95,'Output Utente'!$Q$2:$Q$492,0)),"")</f>
        <v>25</v>
      </c>
      <c r="L98" s="7" t="str">
        <f aca="false">IFERROR(INDEX('Output Utente'!$E$2:$E$492,MATCH(95,'Output Utente'!$Q$2:$Q$492,0)),"")</f>
        <v>NO</v>
      </c>
      <c r="M98" s="7" t="str">
        <f aca="false">IFERROR(INDEX('Output Utente'!$U$2:$U$492,MATCH(95,'Output Utente'!$Q$2:$Q$492,0)),"")</f>
        <v>OK</v>
      </c>
      <c r="N98" s="7" t="str">
        <f aca="false">IFERROR(INDEX('Output Utente'!$AE$2:$AE$492,MATCH(95,'Output Utente'!$Q$2:$Q$492,0)),"")</f>
        <v>🟡 Attesa rischiosa</v>
      </c>
    </row>
    <row r="99" customFormat="false" ht="15" hidden="false" customHeight="true" outlineLevel="0" collapsed="false">
      <c r="A99" s="46" t="n">
        <v>96</v>
      </c>
      <c r="B99" s="7" t="n">
        <f aca="false">IFERROR(INDEX('Output Utente'!$A$2:$A$492,MATCH(96,'Output Utente'!$Q$2:$Q$492,0)),"")</f>
        <v>2155</v>
      </c>
      <c r="C99" s="7" t="str">
        <f aca="false">IFERROR(INDEX('Output Utente'!$B$2:$B$492,MATCH(96,'Output Utente'!$Q$2:$Q$492,0)),"")</f>
        <v>A</v>
      </c>
      <c r="D99" s="7" t="str">
        <f aca="false">IFERROR(INDEX('Output Utente'!$C$2:$C$492,MATCH(96,'Output Utente'!$Q$2:$Q$492,0)),"")</f>
        <v>Cutrone</v>
      </c>
      <c r="E99" s="7" t="str">
        <f aca="false">IFERROR(INDEX('Input Giocatori 2026_27'!$D$3:$D$493,MATCH($B99,'Input Giocatori 2026_27'!$A$3:$A$493,0)),"")</f>
        <v>Monza</v>
      </c>
      <c r="F99" s="47" t="n">
        <f aca="false">IFERROR(INDEX('Output Utente'!$N$2:$N$492,MATCH(96,'Output Utente'!$Q$2:$Q$492,0)),"")</f>
        <v>9</v>
      </c>
      <c r="G99" s="47" t="n">
        <f aca="false">IFERROR(INDEX('Output Utente'!$O$2:$O$492,MATCH(96,'Output Utente'!$Q$2:$Q$492,0)),"")</f>
        <v>33</v>
      </c>
      <c r="H99" s="7" t="str">
        <f aca="false">IFERROR(INDEX('Output Utente'!$P$2:$P$492,MATCH(96,'Output Utente'!$Q$2:$Q$492,0)),"")</f>
        <v>Buono</v>
      </c>
      <c r="I99" s="47" t="n">
        <f aca="false">IFERROR(INDEX('Output Utente'!$F$2:$F$492,MATCH(96,'Output Utente'!$Q$2:$Q$492,0)),"")</f>
        <v>10</v>
      </c>
      <c r="J99" s="47" t="n">
        <f aca="false">IFERROR(INDEX('Output Utente'!$G$2:$G$492,MATCH(96,'Output Utente'!$Q$2:$Q$492,0)),"")</f>
        <v>6</v>
      </c>
      <c r="K99" s="47" t="n">
        <f aca="false">IFERROR(INDEX('Output Utente'!$H$2:$H$492,MATCH(96,'Output Utente'!$Q$2:$Q$492,0)),"")</f>
        <v>12</v>
      </c>
      <c r="L99" s="7" t="str">
        <f aca="false">IFERROR(INDEX('Output Utente'!$E$2:$E$492,MATCH(96,'Output Utente'!$Q$2:$Q$492,0)),"")</f>
        <v>NO</v>
      </c>
      <c r="M99" s="7" t="str">
        <f aca="false">IFERROR(INDEX('Output Utente'!$U$2:$U$492,MATCH(96,'Output Utente'!$Q$2:$Q$492,0)),"")</f>
        <v>OK</v>
      </c>
      <c r="N99" s="7" t="str">
        <f aca="false">IFERROR(INDEX('Output Utente'!$AE$2:$AE$492,MATCH(96,'Output Utente'!$Q$2:$Q$492,0)),"")</f>
        <v>🔴 Non aspettare</v>
      </c>
    </row>
    <row r="100" customFormat="false" ht="15" hidden="false" customHeight="true" outlineLevel="0" collapsed="false">
      <c r="A100" s="46" t="n">
        <v>97</v>
      </c>
      <c r="B100" s="7" t="n">
        <f aca="false">IFERROR(INDEX('Output Utente'!$A$2:$A$492,MATCH(97,'Output Utente'!$Q$2:$Q$492,0)),"")</f>
        <v>6869</v>
      </c>
      <c r="C100" s="7" t="str">
        <f aca="false">IFERROR(INDEX('Output Utente'!$B$2:$B$492,MATCH(97,'Output Utente'!$Q$2:$Q$492,0)),"")</f>
        <v>D</v>
      </c>
      <c r="D100" s="7" t="str">
        <f aca="false">IFERROR(INDEX('Output Utente'!$C$2:$C$492,MATCH(97,'Output Utente'!$Q$2:$Q$492,0)),"")</f>
        <v>Ramon</v>
      </c>
      <c r="E100" s="7" t="str">
        <f aca="false">IFERROR(INDEX('Input Giocatori 2026_27'!$D$3:$D$493,MATCH($B100,'Input Giocatori 2026_27'!$A$3:$A$493,0)),"")</f>
        <v>Como</v>
      </c>
      <c r="F100" s="47" t="n">
        <f aca="false">IFERROR(INDEX('Output Utente'!$N$2:$N$492,MATCH(97,'Output Utente'!$Q$2:$Q$492,0)),"")</f>
        <v>10</v>
      </c>
      <c r="G100" s="47" t="n">
        <f aca="false">IFERROR(INDEX('Output Utente'!$O$2:$O$492,MATCH(97,'Output Utente'!$Q$2:$Q$492,0)),"")</f>
        <v>32</v>
      </c>
      <c r="H100" s="7" t="str">
        <f aca="false">IFERROR(INDEX('Output Utente'!$P$2:$P$492,MATCH(97,'Output Utente'!$Q$2:$Q$492,0)),"")</f>
        <v>Top</v>
      </c>
      <c r="I100" s="47" t="n">
        <f aca="false">IFERROR(INDEX('Output Utente'!$F$2:$F$492,MATCH(97,'Output Utente'!$Q$2:$Q$492,0)),"")</f>
        <v>22</v>
      </c>
      <c r="J100" s="47" t="n">
        <f aca="false">IFERROR(INDEX('Output Utente'!$G$2:$G$492,MATCH(97,'Output Utente'!$Q$2:$Q$492,0)),"")</f>
        <v>16</v>
      </c>
      <c r="K100" s="47" t="n">
        <f aca="false">IFERROR(INDEX('Output Utente'!$H$2:$H$492,MATCH(97,'Output Utente'!$Q$2:$Q$492,0)),"")</f>
        <v>24</v>
      </c>
      <c r="L100" s="7" t="str">
        <f aca="false">IFERROR(INDEX('Output Utente'!$E$2:$E$492,MATCH(97,'Output Utente'!$Q$2:$Q$492,0)),"")</f>
        <v>NO</v>
      </c>
      <c r="M100" s="7" t="str">
        <f aca="false">IFERROR(INDEX('Output Utente'!$U$2:$U$492,MATCH(97,'Output Utente'!$Q$2:$Q$492,0)),"")</f>
        <v>OK</v>
      </c>
      <c r="N100" s="7" t="str">
        <f aca="false">IFERROR(INDEX('Output Utente'!$AE$2:$AE$492,MATCH(97,'Output Utente'!$Q$2:$Q$492,0)),"")</f>
        <v>🟡 Attesa rischiosa</v>
      </c>
    </row>
    <row r="101" customFormat="false" ht="15" hidden="false" customHeight="true" outlineLevel="0" collapsed="false">
      <c r="A101" s="46" t="n">
        <v>98</v>
      </c>
      <c r="B101" s="7" t="n">
        <f aca="false">IFERROR(INDEX('Output Utente'!$A$2:$A$492,MATCH(98,'Output Utente'!$Q$2:$Q$492,0)),"")</f>
        <v>7129</v>
      </c>
      <c r="C101" s="7" t="str">
        <f aca="false">IFERROR(INDEX('Output Utente'!$B$2:$B$492,MATCH(98,'Output Utente'!$Q$2:$Q$492,0)),"")</f>
        <v>C</v>
      </c>
      <c r="D101" s="7" t="str">
        <f aca="false">IFERROR(INDEX('Output Utente'!$C$2:$C$492,MATCH(98,'Output Utente'!$Q$2:$Q$492,0)),"")</f>
        <v>Rodriguez Je.</v>
      </c>
      <c r="E101" s="7" t="str">
        <f aca="false">IFERROR(INDEX('Input Giocatori 2026_27'!$D$3:$D$493,MATCH($B101,'Input Giocatori 2026_27'!$A$3:$A$493,0)),"")</f>
        <v>Como</v>
      </c>
      <c r="F101" s="47" t="n">
        <f aca="false">IFERROR(INDEX('Output Utente'!$N$2:$N$492,MATCH(98,'Output Utente'!$Q$2:$Q$492,0)),"")</f>
        <v>12</v>
      </c>
      <c r="G101" s="47" t="n">
        <f aca="false">IFERROR(INDEX('Output Utente'!$O$2:$O$492,MATCH(98,'Output Utente'!$Q$2:$Q$492,0)),"")</f>
        <v>32</v>
      </c>
      <c r="H101" s="7" t="str">
        <f aca="false">IFERROR(INDEX('Output Utente'!$P$2:$P$492,MATCH(98,'Output Utente'!$Q$2:$Q$492,0)),"")</f>
        <v>Buono</v>
      </c>
      <c r="I101" s="47" t="n">
        <f aca="false">IFERROR(INDEX('Output Utente'!$F$2:$F$492,MATCH(98,'Output Utente'!$Q$2:$Q$492,0)),"")</f>
        <v>4</v>
      </c>
      <c r="J101" s="47" t="n">
        <f aca="false">IFERROR(INDEX('Output Utente'!$G$2:$G$492,MATCH(98,'Output Utente'!$Q$2:$Q$492,0)),"")</f>
        <v>3</v>
      </c>
      <c r="K101" s="47" t="n">
        <f aca="false">IFERROR(INDEX('Output Utente'!$H$2:$H$492,MATCH(98,'Output Utente'!$Q$2:$Q$492,0)),"")</f>
        <v>5</v>
      </c>
      <c r="L101" s="7" t="str">
        <f aca="false">IFERROR(INDEX('Output Utente'!$E$2:$E$492,MATCH(98,'Output Utente'!$Q$2:$Q$492,0)),"")</f>
        <v>NO</v>
      </c>
      <c r="M101" s="7" t="str">
        <f aca="false">IFERROR(INDEX('Output Utente'!$U$2:$U$492,MATCH(98,'Output Utente'!$Q$2:$Q$492,0)),"")</f>
        <v>OK</v>
      </c>
      <c r="N101" s="7" t="str">
        <f aca="false">IFERROR(INDEX('Output Utente'!$AE$2:$AE$492,MATCH(98,'Output Utente'!$Q$2:$Q$492,0)),"")</f>
        <v>🟡 Attesa rischiosa</v>
      </c>
    </row>
    <row r="102" customFormat="false" ht="15" hidden="false" customHeight="true" outlineLevel="0" collapsed="false">
      <c r="A102" s="46" t="n">
        <v>99</v>
      </c>
      <c r="B102" s="7" t="n">
        <f aca="false">IFERROR(INDEX('Output Utente'!$A$2:$A$492,MATCH(99,'Output Utente'!$Q$2:$Q$492,0)),"")</f>
        <v>2077</v>
      </c>
      <c r="C102" s="7" t="str">
        <f aca="false">IFERROR(INDEX('Output Utente'!$B$2:$B$492,MATCH(99,'Output Utente'!$Q$2:$Q$492,0)),"")</f>
        <v>C</v>
      </c>
      <c r="D102" s="7" t="str">
        <f aca="false">IFERROR(INDEX('Output Utente'!$C$2:$C$492,MATCH(99,'Output Utente'!$Q$2:$Q$492,0)),"")</f>
        <v>Pasalic</v>
      </c>
      <c r="E102" s="7" t="str">
        <f aca="false">IFERROR(INDEX('Input Giocatori 2026_27'!$D$3:$D$493,MATCH($B102,'Input Giocatori 2026_27'!$A$3:$A$493,0)),"")</f>
        <v>Atalanta</v>
      </c>
      <c r="F102" s="47" t="n">
        <f aca="false">IFERROR(INDEX('Output Utente'!$N$2:$N$492,MATCH(99,'Output Utente'!$Q$2:$Q$492,0)),"")</f>
        <v>9</v>
      </c>
      <c r="G102" s="47" t="n">
        <f aca="false">IFERROR(INDEX('Output Utente'!$O$2:$O$492,MATCH(99,'Output Utente'!$Q$2:$Q$492,0)),"")</f>
        <v>32</v>
      </c>
      <c r="H102" s="7" t="str">
        <f aca="false">IFERROR(INDEX('Output Utente'!$P$2:$P$492,MATCH(99,'Output Utente'!$Q$2:$Q$492,0)),"")</f>
        <v>Buono</v>
      </c>
      <c r="I102" s="47" t="n">
        <f aca="false">IFERROR(INDEX('Output Utente'!$F$2:$F$492,MATCH(99,'Output Utente'!$Q$2:$Q$492,0)),"")</f>
        <v>4</v>
      </c>
      <c r="J102" s="47" t="n">
        <f aca="false">IFERROR(INDEX('Output Utente'!$G$2:$G$492,MATCH(99,'Output Utente'!$Q$2:$Q$492,0)),"")</f>
        <v>3</v>
      </c>
      <c r="K102" s="47" t="n">
        <f aca="false">IFERROR(INDEX('Output Utente'!$H$2:$H$492,MATCH(99,'Output Utente'!$Q$2:$Q$492,0)),"")</f>
        <v>5</v>
      </c>
      <c r="L102" s="7" t="str">
        <f aca="false">IFERROR(INDEX('Output Utente'!$E$2:$E$492,MATCH(99,'Output Utente'!$Q$2:$Q$492,0)),"")</f>
        <v>NO</v>
      </c>
      <c r="M102" s="7" t="str">
        <f aca="false">IFERROR(INDEX('Output Utente'!$U$2:$U$492,MATCH(99,'Output Utente'!$Q$2:$Q$492,0)),"")</f>
        <v>OK</v>
      </c>
      <c r="N102" s="7" t="str">
        <f aca="false">IFERROR(INDEX('Output Utente'!$AE$2:$AE$492,MATCH(99,'Output Utente'!$Q$2:$Q$492,0)),"")</f>
        <v>🟡 Attesa rischiosa</v>
      </c>
    </row>
    <row r="103" customFormat="false" ht="15" hidden="false" customHeight="true" outlineLevel="0" collapsed="false">
      <c r="A103" s="46" t="n">
        <v>100</v>
      </c>
      <c r="B103" s="7" t="n">
        <f aca="false">IFERROR(INDEX('Output Utente'!$A$2:$A$492,MATCH(100,'Output Utente'!$Q$2:$Q$492,0)),"")</f>
        <v>827</v>
      </c>
      <c r="C103" s="7" t="str">
        <f aca="false">IFERROR(INDEX('Output Utente'!$B$2:$B$492,MATCH(100,'Output Utente'!$Q$2:$Q$492,0)),"")</f>
        <v>C</v>
      </c>
      <c r="D103" s="7" t="str">
        <f aca="false">IFERROR(INDEX('Output Utente'!$C$2:$C$492,MATCH(100,'Output Utente'!$Q$2:$Q$492,0)),"")</f>
        <v>Locatelli</v>
      </c>
      <c r="E103" s="7" t="str">
        <f aca="false">IFERROR(INDEX('Input Giocatori 2026_27'!$D$3:$D$493,MATCH($B103,'Input Giocatori 2026_27'!$A$3:$A$493,0)),"")</f>
        <v>Juventus</v>
      </c>
      <c r="F103" s="47" t="n">
        <f aca="false">IFERROR(INDEX('Output Utente'!$N$2:$N$492,MATCH(100,'Output Utente'!$Q$2:$Q$492,0)),"")</f>
        <v>8</v>
      </c>
      <c r="G103" s="47" t="n">
        <f aca="false">IFERROR(INDEX('Output Utente'!$O$2:$O$492,MATCH(100,'Output Utente'!$Q$2:$Q$492,0)),"")</f>
        <v>32</v>
      </c>
      <c r="H103" s="7" t="str">
        <f aca="false">IFERROR(INDEX('Output Utente'!$P$2:$P$492,MATCH(100,'Output Utente'!$Q$2:$Q$492,0)),"")</f>
        <v>Buono</v>
      </c>
      <c r="I103" s="47" t="n">
        <f aca="false">IFERROR(INDEX('Output Utente'!$F$2:$F$492,MATCH(100,'Output Utente'!$Q$2:$Q$492,0)),"")</f>
        <v>4</v>
      </c>
      <c r="J103" s="47" t="n">
        <f aca="false">IFERROR(INDEX('Output Utente'!$G$2:$G$492,MATCH(100,'Output Utente'!$Q$2:$Q$492,0)),"")</f>
        <v>3</v>
      </c>
      <c r="K103" s="47" t="n">
        <f aca="false">IFERROR(INDEX('Output Utente'!$H$2:$H$492,MATCH(100,'Output Utente'!$Q$2:$Q$492,0)),"")</f>
        <v>5</v>
      </c>
      <c r="L103" s="7" t="str">
        <f aca="false">IFERROR(INDEX('Output Utente'!$E$2:$E$492,MATCH(100,'Output Utente'!$Q$2:$Q$492,0)),"")</f>
        <v>NO</v>
      </c>
      <c r="M103" s="7" t="str">
        <f aca="false">IFERROR(INDEX('Output Utente'!$U$2:$U$492,MATCH(100,'Output Utente'!$Q$2:$Q$492,0)),"")</f>
        <v>OK</v>
      </c>
      <c r="N103" s="7" t="str">
        <f aca="false">IFERROR(INDEX('Output Utente'!$AE$2:$AE$492,MATCH(100,'Output Utente'!$Q$2:$Q$492,0)),"")</f>
        <v>🟡 Attesa rischiosa</v>
      </c>
    </row>
    <row r="104" customFormat="false" ht="15" hidden="false" customHeight="true" outlineLevel="0" collapsed="false">
      <c r="A104" s="46" t="n">
        <v>101</v>
      </c>
      <c r="B104" s="7" t="n">
        <f aca="false">IFERROR(INDEX('Output Utente'!$A$2:$A$492,MATCH(101,'Output Utente'!$Q$2:$Q$492,0)),"")</f>
        <v>7313</v>
      </c>
      <c r="C104" s="7" t="str">
        <f aca="false">IFERROR(INDEX('Output Utente'!$B$2:$B$492,MATCH(101,'Output Utente'!$Q$2:$Q$492,0)),"")</f>
        <v>A</v>
      </c>
      <c r="D104" s="7" t="str">
        <f aca="false">IFERROR(INDEX('Output Utente'!$C$2:$C$492,MATCH(101,'Output Utente'!$Q$2:$Q$492,0)),"")</f>
        <v>Ratkov</v>
      </c>
      <c r="E104" s="7" t="str">
        <f aca="false">IFERROR(INDEX('Input Giocatori 2026_27'!$D$3:$D$493,MATCH($B104,'Input Giocatori 2026_27'!$A$3:$A$493,0)),"")</f>
        <v>Lazio</v>
      </c>
      <c r="F104" s="47" t="n">
        <f aca="false">IFERROR(INDEX('Output Utente'!$N$2:$N$492,MATCH(101,'Output Utente'!$Q$2:$Q$492,0)),"")</f>
        <v>10</v>
      </c>
      <c r="G104" s="47" t="n">
        <f aca="false">IFERROR(INDEX('Output Utente'!$O$2:$O$492,MATCH(101,'Output Utente'!$Q$2:$Q$492,0)),"")</f>
        <v>32</v>
      </c>
      <c r="H104" s="7" t="str">
        <f aca="false">IFERROR(INDEX('Output Utente'!$P$2:$P$492,MATCH(101,'Output Utente'!$Q$2:$Q$492,0)),"")</f>
        <v>Nella Media</v>
      </c>
      <c r="I104" s="47" t="n">
        <f aca="false">IFERROR(INDEX('Output Utente'!$F$2:$F$492,MATCH(101,'Output Utente'!$Q$2:$Q$492,0)),"")</f>
        <v>10</v>
      </c>
      <c r="J104" s="47" t="n">
        <f aca="false">IFERROR(INDEX('Output Utente'!$G$2:$G$492,MATCH(101,'Output Utente'!$Q$2:$Q$492,0)),"")</f>
        <v>6</v>
      </c>
      <c r="K104" s="47" t="n">
        <f aca="false">IFERROR(INDEX('Output Utente'!$H$2:$H$492,MATCH(101,'Output Utente'!$Q$2:$Q$492,0)),"")</f>
        <v>12</v>
      </c>
      <c r="L104" s="7" t="str">
        <f aca="false">IFERROR(INDEX('Output Utente'!$E$2:$E$492,MATCH(101,'Output Utente'!$Q$2:$Q$492,0)),"")</f>
        <v>NO</v>
      </c>
      <c r="M104" s="7" t="str">
        <f aca="false">IFERROR(INDEX('Output Utente'!$U$2:$U$492,MATCH(101,'Output Utente'!$Q$2:$Q$492,0)),"")</f>
        <v>OK</v>
      </c>
      <c r="N104" s="7" t="str">
        <f aca="false">IFERROR(INDEX('Output Utente'!$AE$2:$AE$492,MATCH(101,'Output Utente'!$Q$2:$Q$492,0)),"")</f>
        <v>🔴 Non aspettare</v>
      </c>
    </row>
    <row r="105" customFormat="false" ht="15" hidden="false" customHeight="true" outlineLevel="0" collapsed="false">
      <c r="A105" s="46" t="n">
        <v>102</v>
      </c>
      <c r="B105" s="7" t="n">
        <f aca="false">IFERROR(INDEX('Output Utente'!$A$2:$A$492,MATCH(102,'Output Utente'!$Q$2:$Q$492,0)),"")</f>
        <v>6646</v>
      </c>
      <c r="C105" s="7" t="str">
        <f aca="false">IFERROR(INDEX('Output Utente'!$B$2:$B$492,MATCH(102,'Output Utente'!$Q$2:$Q$492,0)),"")</f>
        <v>A</v>
      </c>
      <c r="D105" s="7" t="str">
        <f aca="false">IFERROR(INDEX('Output Utente'!$C$2:$C$492,MATCH(102,'Output Utente'!$Q$2:$Q$492,0)),"")</f>
        <v>Adams C.</v>
      </c>
      <c r="E105" s="7" t="str">
        <f aca="false">IFERROR(INDEX('Input Giocatori 2026_27'!$D$3:$D$493,MATCH($B105,'Input Giocatori 2026_27'!$A$3:$A$493,0)),"")</f>
        <v>Torino</v>
      </c>
      <c r="F105" s="47" t="n">
        <f aca="false">IFERROR(INDEX('Output Utente'!$N$2:$N$492,MATCH(102,'Output Utente'!$Q$2:$Q$492,0)),"")</f>
        <v>9</v>
      </c>
      <c r="G105" s="47" t="n">
        <f aca="false">IFERROR(INDEX('Output Utente'!$O$2:$O$492,MATCH(102,'Output Utente'!$Q$2:$Q$492,0)),"")</f>
        <v>32</v>
      </c>
      <c r="H105" s="7" t="str">
        <f aca="false">IFERROR(INDEX('Output Utente'!$P$2:$P$492,MATCH(102,'Output Utente'!$Q$2:$Q$492,0)),"")</f>
        <v>Nella Media</v>
      </c>
      <c r="I105" s="47" t="n">
        <f aca="false">IFERROR(INDEX('Output Utente'!$F$2:$F$492,MATCH(102,'Output Utente'!$Q$2:$Q$492,0)),"")</f>
        <v>10</v>
      </c>
      <c r="J105" s="47" t="n">
        <f aca="false">IFERROR(INDEX('Output Utente'!$G$2:$G$492,MATCH(102,'Output Utente'!$Q$2:$Q$492,0)),"")</f>
        <v>6</v>
      </c>
      <c r="K105" s="47" t="n">
        <f aca="false">IFERROR(INDEX('Output Utente'!$H$2:$H$492,MATCH(102,'Output Utente'!$Q$2:$Q$492,0)),"")</f>
        <v>12</v>
      </c>
      <c r="L105" s="7" t="str">
        <f aca="false">IFERROR(INDEX('Output Utente'!$E$2:$E$492,MATCH(102,'Output Utente'!$Q$2:$Q$492,0)),"")</f>
        <v>NO</v>
      </c>
      <c r="M105" s="7" t="str">
        <f aca="false">IFERROR(INDEX('Output Utente'!$U$2:$U$492,MATCH(102,'Output Utente'!$Q$2:$Q$492,0)),"")</f>
        <v>OK</v>
      </c>
      <c r="N105" s="7" t="str">
        <f aca="false">IFERROR(INDEX('Output Utente'!$AE$2:$AE$492,MATCH(102,'Output Utente'!$Q$2:$Q$492,0)),"")</f>
        <v>🔴 Non aspettare</v>
      </c>
    </row>
    <row r="106" customFormat="false" ht="15" hidden="false" customHeight="true" outlineLevel="0" collapsed="false">
      <c r="A106" s="46" t="n">
        <v>103</v>
      </c>
      <c r="B106" s="7" t="n">
        <f aca="false">IFERROR(INDEX('Output Utente'!$A$2:$A$492,MATCH(103,'Output Utente'!$Q$2:$Q$492,0)),"")</f>
        <v>5833</v>
      </c>
      <c r="C106" s="7" t="str">
        <f aca="false">IFERROR(INDEX('Output Utente'!$B$2:$B$492,MATCH(103,'Output Utente'!$Q$2:$Q$492,0)),"")</f>
        <v>D</v>
      </c>
      <c r="D106" s="7" t="str">
        <f aca="false">IFERROR(INDEX('Output Utente'!$C$2:$C$492,MATCH(103,'Output Utente'!$Q$2:$Q$492,0)),"")</f>
        <v>Gila</v>
      </c>
      <c r="E106" s="7" t="str">
        <f aca="false">IFERROR(INDEX('Input Giocatori 2026_27'!$D$3:$D$493,MATCH($B106,'Input Giocatori 2026_27'!$A$3:$A$493,0)),"")</f>
        <v>Milan</v>
      </c>
      <c r="F106" s="47" t="n">
        <f aca="false">IFERROR(INDEX('Output Utente'!$N$2:$N$492,MATCH(103,'Output Utente'!$Q$2:$Q$492,0)),"")</f>
        <v>12</v>
      </c>
      <c r="G106" s="47" t="n">
        <f aca="false">IFERROR(INDEX('Output Utente'!$O$2:$O$492,MATCH(103,'Output Utente'!$Q$2:$Q$492,0)),"")</f>
        <v>31</v>
      </c>
      <c r="H106" s="7" t="str">
        <f aca="false">IFERROR(INDEX('Output Utente'!$P$2:$P$492,MATCH(103,'Output Utente'!$Q$2:$Q$492,0)),"")</f>
        <v>Top</v>
      </c>
      <c r="I106" s="47" t="n">
        <f aca="false">IFERROR(INDEX('Output Utente'!$F$2:$F$492,MATCH(103,'Output Utente'!$Q$2:$Q$492,0)),"")</f>
        <v>21</v>
      </c>
      <c r="J106" s="47" t="n">
        <f aca="false">IFERROR(INDEX('Output Utente'!$G$2:$G$492,MATCH(103,'Output Utente'!$Q$2:$Q$492,0)),"")</f>
        <v>16</v>
      </c>
      <c r="K106" s="47" t="n">
        <f aca="false">IFERROR(INDEX('Output Utente'!$H$2:$H$492,MATCH(103,'Output Utente'!$Q$2:$Q$492,0)),"")</f>
        <v>23</v>
      </c>
      <c r="L106" s="7" t="str">
        <f aca="false">IFERROR(INDEX('Output Utente'!$E$2:$E$492,MATCH(103,'Output Utente'!$Q$2:$Q$492,0)),"")</f>
        <v>NO</v>
      </c>
      <c r="M106" s="7" t="str">
        <f aca="false">IFERROR(INDEX('Output Utente'!$U$2:$U$492,MATCH(103,'Output Utente'!$Q$2:$Q$492,0)),"")</f>
        <v>OK</v>
      </c>
      <c r="N106" s="7" t="str">
        <f aca="false">IFERROR(INDEX('Output Utente'!$AE$2:$AE$492,MATCH(103,'Output Utente'!$Q$2:$Q$492,0)),"")</f>
        <v>🟡 Attesa rischiosa</v>
      </c>
    </row>
    <row r="107" customFormat="false" ht="15" hidden="false" customHeight="true" outlineLevel="0" collapsed="false">
      <c r="A107" s="46" t="n">
        <v>104</v>
      </c>
      <c r="B107" s="7" t="n">
        <f aca="false">IFERROR(INDEX('Output Utente'!$A$2:$A$492,MATCH(104,'Output Utente'!$Q$2:$Q$492,0)),"")</f>
        <v>5672</v>
      </c>
      <c r="C107" s="7" t="str">
        <f aca="false">IFERROR(INDEX('Output Utente'!$B$2:$B$492,MATCH(104,'Output Utente'!$Q$2:$Q$492,0)),"")</f>
        <v>A</v>
      </c>
      <c r="D107" s="7" t="str">
        <f aca="false">IFERROR(INDEX('Output Utente'!$C$2:$C$492,MATCH(104,'Output Utente'!$Q$2:$Q$492,0)),"")</f>
        <v>Dia</v>
      </c>
      <c r="E107" s="7" t="str">
        <f aca="false">IFERROR(INDEX('Input Giocatori 2026_27'!$D$3:$D$493,MATCH($B107,'Input Giocatori 2026_27'!$A$3:$A$493,0)),"")</f>
        <v>Lazio</v>
      </c>
      <c r="F107" s="47" t="n">
        <f aca="false">IFERROR(INDEX('Output Utente'!$N$2:$N$492,MATCH(104,'Output Utente'!$Q$2:$Q$492,0)),"")</f>
        <v>10</v>
      </c>
      <c r="G107" s="47" t="n">
        <f aca="false">IFERROR(INDEX('Output Utente'!$O$2:$O$492,MATCH(104,'Output Utente'!$Q$2:$Q$492,0)),"")</f>
        <v>31</v>
      </c>
      <c r="H107" s="7" t="str">
        <f aca="false">IFERROR(INDEX('Output Utente'!$P$2:$P$492,MATCH(104,'Output Utente'!$Q$2:$Q$492,0)),"")</f>
        <v>Nella Media</v>
      </c>
      <c r="I107" s="47" t="n">
        <f aca="false">IFERROR(INDEX('Output Utente'!$F$2:$F$492,MATCH(104,'Output Utente'!$Q$2:$Q$492,0)),"")</f>
        <v>10</v>
      </c>
      <c r="J107" s="47" t="n">
        <f aca="false">IFERROR(INDEX('Output Utente'!$G$2:$G$492,MATCH(104,'Output Utente'!$Q$2:$Q$492,0)),"")</f>
        <v>6</v>
      </c>
      <c r="K107" s="47" t="n">
        <f aca="false">IFERROR(INDEX('Output Utente'!$H$2:$H$492,MATCH(104,'Output Utente'!$Q$2:$Q$492,0)),"")</f>
        <v>11</v>
      </c>
      <c r="L107" s="7" t="str">
        <f aca="false">IFERROR(INDEX('Output Utente'!$E$2:$E$492,MATCH(104,'Output Utente'!$Q$2:$Q$492,0)),"")</f>
        <v>NO</v>
      </c>
      <c r="M107" s="7" t="str">
        <f aca="false">IFERROR(INDEX('Output Utente'!$U$2:$U$492,MATCH(104,'Output Utente'!$Q$2:$Q$492,0)),"")</f>
        <v>OK</v>
      </c>
      <c r="N107" s="7" t="str">
        <f aca="false">IFERROR(INDEX('Output Utente'!$AE$2:$AE$492,MATCH(104,'Output Utente'!$Q$2:$Q$492,0)),"")</f>
        <v>🔴 Non aspettare</v>
      </c>
    </row>
    <row r="108" customFormat="false" ht="15" hidden="false" customHeight="true" outlineLevel="0" collapsed="false">
      <c r="A108" s="46" t="n">
        <v>105</v>
      </c>
      <c r="B108" s="7" t="n">
        <f aca="false">IFERROR(INDEX('Output Utente'!$A$2:$A$492,MATCH(105,'Output Utente'!$Q$2:$Q$492,0)),"")</f>
        <v>6482</v>
      </c>
      <c r="C108" s="7" t="str">
        <f aca="false">IFERROR(INDEX('Output Utente'!$B$2:$B$492,MATCH(105,'Output Utente'!$Q$2:$Q$492,0)),"")</f>
        <v>P</v>
      </c>
      <c r="D108" s="7" t="str">
        <f aca="false">IFERROR(INDEX('Output Utente'!$C$2:$C$492,MATCH(105,'Output Utente'!$Q$2:$Q$492,0)),"")</f>
        <v>Mandas</v>
      </c>
      <c r="E108" s="7" t="str">
        <f aca="false">IFERROR(INDEX('Input Giocatori 2026_27'!$D$3:$D$493,MATCH($B108,'Input Giocatori 2026_27'!$A$3:$A$493,0)),"")</f>
        <v>Lazio</v>
      </c>
      <c r="F108" s="47" t="n">
        <f aca="false">IFERROR(INDEX('Output Utente'!$N$2:$N$492,MATCH(105,'Output Utente'!$Q$2:$Q$492,0)),"")</f>
        <v>9</v>
      </c>
      <c r="G108" s="47" t="n">
        <f aca="false">IFERROR(INDEX('Output Utente'!$O$2:$O$492,MATCH(105,'Output Utente'!$Q$2:$Q$492,0)),"")</f>
        <v>30</v>
      </c>
      <c r="H108" s="7" t="str">
        <f aca="false">IFERROR(INDEX('Output Utente'!$P$2:$P$492,MATCH(105,'Output Utente'!$Q$2:$Q$492,0)),"")</f>
        <v>Buono</v>
      </c>
      <c r="I108" s="47" t="n">
        <f aca="false">IFERROR(INDEX('Output Utente'!$F$2:$F$492,MATCH(105,'Output Utente'!$Q$2:$Q$492,0)),"")</f>
        <v>10</v>
      </c>
      <c r="J108" s="47" t="n">
        <f aca="false">IFERROR(INDEX('Output Utente'!$G$2:$G$492,MATCH(105,'Output Utente'!$Q$2:$Q$492,0)),"")</f>
        <v>8</v>
      </c>
      <c r="K108" s="47" t="n">
        <f aca="false">IFERROR(INDEX('Output Utente'!$H$2:$H$492,MATCH(105,'Output Utente'!$Q$2:$Q$492,0)),"")</f>
        <v>11</v>
      </c>
      <c r="L108" s="7" t="str">
        <f aca="false">IFERROR(INDEX('Output Utente'!$E$2:$E$492,MATCH(105,'Output Utente'!$Q$2:$Q$492,0)),"")</f>
        <v>NO</v>
      </c>
      <c r="M108" s="7" t="str">
        <f aca="false">IFERROR(INDEX('Output Utente'!$U$2:$U$492,MATCH(105,'Output Utente'!$Q$2:$Q$492,0)),"")</f>
        <v>OK</v>
      </c>
      <c r="N108" s="7" t="str">
        <f aca="false">IFERROR(INDEX('Output Utente'!$AE$2:$AE$492,MATCH(105,'Output Utente'!$Q$2:$Q$492,0)),"")</f>
        <v>🟡 Attesa rischiosa</v>
      </c>
    </row>
    <row r="109" customFormat="false" ht="15" hidden="false" customHeight="true" outlineLevel="0" collapsed="false">
      <c r="A109" s="46" t="n">
        <v>106</v>
      </c>
      <c r="B109" s="7" t="n">
        <f aca="false">IFERROR(INDEX('Output Utente'!$A$2:$A$492,MATCH(106,'Output Utente'!$Q$2:$Q$492,0)),"")</f>
        <v>5885</v>
      </c>
      <c r="C109" s="7" t="str">
        <f aca="false">IFERROR(INDEX('Output Utente'!$B$2:$B$492,MATCH(106,'Output Utente'!$Q$2:$Q$492,0)),"")</f>
        <v>D</v>
      </c>
      <c r="D109" s="7" t="str">
        <f aca="false">IFERROR(INDEX('Output Utente'!$C$2:$C$492,MATCH(106,'Output Utente'!$Q$2:$Q$492,0)),"")</f>
        <v>Dodò</v>
      </c>
      <c r="E109" s="7" t="str">
        <f aca="false">IFERROR(INDEX('Input Giocatori 2026_27'!$D$3:$D$493,MATCH($B109,'Input Giocatori 2026_27'!$A$3:$A$493,0)),"")</f>
        <v>Fiorentina</v>
      </c>
      <c r="F109" s="47" t="n">
        <f aca="false">IFERROR(INDEX('Output Utente'!$N$2:$N$492,MATCH(106,'Output Utente'!$Q$2:$Q$492,0)),"")</f>
        <v>10</v>
      </c>
      <c r="G109" s="47" t="n">
        <f aca="false">IFERROR(INDEX('Output Utente'!$O$2:$O$492,MATCH(106,'Output Utente'!$Q$2:$Q$492,0)),"")</f>
        <v>30</v>
      </c>
      <c r="H109" s="7" t="str">
        <f aca="false">IFERROR(INDEX('Output Utente'!$P$2:$P$492,MATCH(106,'Output Utente'!$Q$2:$Q$492,0)),"")</f>
        <v>Top</v>
      </c>
      <c r="I109" s="47" t="n">
        <f aca="false">IFERROR(INDEX('Output Utente'!$F$2:$F$492,MATCH(106,'Output Utente'!$Q$2:$Q$492,0)),"")</f>
        <v>21</v>
      </c>
      <c r="J109" s="47" t="n">
        <f aca="false">IFERROR(INDEX('Output Utente'!$G$2:$G$492,MATCH(106,'Output Utente'!$Q$2:$Q$492,0)),"")</f>
        <v>15</v>
      </c>
      <c r="K109" s="47" t="n">
        <f aca="false">IFERROR(INDEX('Output Utente'!$H$2:$H$492,MATCH(106,'Output Utente'!$Q$2:$Q$492,0)),"")</f>
        <v>23</v>
      </c>
      <c r="L109" s="7" t="str">
        <f aca="false">IFERROR(INDEX('Output Utente'!$E$2:$E$492,MATCH(106,'Output Utente'!$Q$2:$Q$492,0)),"")</f>
        <v>NO</v>
      </c>
      <c r="M109" s="7" t="str">
        <f aca="false">IFERROR(INDEX('Output Utente'!$U$2:$U$492,MATCH(106,'Output Utente'!$Q$2:$Q$492,0)),"")</f>
        <v>OK</v>
      </c>
      <c r="N109" s="7" t="str">
        <f aca="false">IFERROR(INDEX('Output Utente'!$AE$2:$AE$492,MATCH(106,'Output Utente'!$Q$2:$Q$492,0)),"")</f>
        <v>🟡 Attesa rischiosa</v>
      </c>
    </row>
    <row r="110" customFormat="false" ht="15" hidden="false" customHeight="true" outlineLevel="0" collapsed="false">
      <c r="A110" s="46" t="n">
        <v>107</v>
      </c>
      <c r="B110" s="7" t="n">
        <f aca="false">IFERROR(INDEX('Output Utente'!$A$2:$A$492,MATCH(107,'Output Utente'!$Q$2:$Q$492,0)),"")</f>
        <v>5823</v>
      </c>
      <c r="C110" s="7" t="str">
        <f aca="false">IFERROR(INDEX('Output Utente'!$B$2:$B$492,MATCH(107,'Output Utente'!$Q$2:$Q$492,0)),"")</f>
        <v>C</v>
      </c>
      <c r="D110" s="7" t="str">
        <f aca="false">IFERROR(INDEX('Output Utente'!$C$2:$C$492,MATCH(107,'Output Utente'!$Q$2:$Q$492,0)),"")</f>
        <v>Baldanzi</v>
      </c>
      <c r="E110" s="7" t="str">
        <f aca="false">IFERROR(INDEX('Input Giocatori 2026_27'!$D$3:$D$493,MATCH($B110,'Input Giocatori 2026_27'!$A$3:$A$493,0)),"")</f>
        <v>Genoa</v>
      </c>
      <c r="F110" s="47" t="n">
        <f aca="false">IFERROR(INDEX('Output Utente'!$N$2:$N$492,MATCH(107,'Output Utente'!$Q$2:$Q$492,0)),"")</f>
        <v>11</v>
      </c>
      <c r="G110" s="47" t="n">
        <f aca="false">IFERROR(INDEX('Output Utente'!$O$2:$O$492,MATCH(107,'Output Utente'!$Q$2:$Q$492,0)),"")</f>
        <v>30</v>
      </c>
      <c r="H110" s="7" t="str">
        <f aca="false">IFERROR(INDEX('Output Utente'!$P$2:$P$492,MATCH(107,'Output Utente'!$Q$2:$Q$492,0)),"")</f>
        <v>Buono</v>
      </c>
      <c r="I110" s="47" t="n">
        <f aca="false">IFERROR(INDEX('Output Utente'!$F$2:$F$492,MATCH(107,'Output Utente'!$Q$2:$Q$492,0)),"")</f>
        <v>4</v>
      </c>
      <c r="J110" s="47" t="n">
        <f aca="false">IFERROR(INDEX('Output Utente'!$G$2:$G$492,MATCH(107,'Output Utente'!$Q$2:$Q$492,0)),"")</f>
        <v>3</v>
      </c>
      <c r="K110" s="47" t="n">
        <f aca="false">IFERROR(INDEX('Output Utente'!$H$2:$H$492,MATCH(107,'Output Utente'!$Q$2:$Q$492,0)),"")</f>
        <v>4</v>
      </c>
      <c r="L110" s="7" t="str">
        <f aca="false">IFERROR(INDEX('Output Utente'!$E$2:$E$492,MATCH(107,'Output Utente'!$Q$2:$Q$492,0)),"")</f>
        <v>NO</v>
      </c>
      <c r="M110" s="7" t="str">
        <f aca="false">IFERROR(INDEX('Output Utente'!$U$2:$U$492,MATCH(107,'Output Utente'!$Q$2:$Q$492,0)),"")</f>
        <v>OK</v>
      </c>
      <c r="N110" s="7" t="str">
        <f aca="false">IFERROR(INDEX('Output Utente'!$AE$2:$AE$492,MATCH(107,'Output Utente'!$Q$2:$Q$492,0)),"")</f>
        <v>🟡 Attesa rischiosa</v>
      </c>
    </row>
    <row r="111" customFormat="false" ht="15" hidden="false" customHeight="true" outlineLevel="0" collapsed="false">
      <c r="A111" s="46" t="n">
        <v>108</v>
      </c>
      <c r="B111" s="7" t="n">
        <f aca="false">IFERROR(INDEX('Output Utente'!$A$2:$A$492,MATCH(108,'Output Utente'!$Q$2:$Q$492,0)),"")</f>
        <v>6530</v>
      </c>
      <c r="C111" s="7" t="str">
        <f aca="false">IFERROR(INDEX('Output Utente'!$B$2:$B$492,MATCH(108,'Output Utente'!$Q$2:$Q$492,0)),"")</f>
        <v>A</v>
      </c>
      <c r="D111" s="7" t="str">
        <f aca="false">IFERROR(INDEX('Output Utente'!$C$2:$C$492,MATCH(108,'Output Utente'!$Q$2:$Q$492,0)),"")</f>
        <v>Ghedjemis</v>
      </c>
      <c r="E111" s="7" t="str">
        <f aca="false">IFERROR(INDEX('Input Giocatori 2026_27'!$D$3:$D$493,MATCH($B111,'Input Giocatori 2026_27'!$A$3:$A$493,0)),"")</f>
        <v>Frosinone</v>
      </c>
      <c r="F111" s="47" t="n">
        <f aca="false">IFERROR(INDEX('Output Utente'!$N$2:$N$492,MATCH(108,'Output Utente'!$Q$2:$Q$492,0)),"")</f>
        <v>9</v>
      </c>
      <c r="G111" s="47" t="n">
        <f aca="false">IFERROR(INDEX('Output Utente'!$O$2:$O$492,MATCH(108,'Output Utente'!$Q$2:$Q$492,0)),"")</f>
        <v>30</v>
      </c>
      <c r="H111" s="7" t="str">
        <f aca="false">IFERROR(INDEX('Output Utente'!$P$2:$P$492,MATCH(108,'Output Utente'!$Q$2:$Q$492,0)),"")</f>
        <v>Nella Media</v>
      </c>
      <c r="I111" s="47" t="n">
        <f aca="false">IFERROR(INDEX('Output Utente'!$F$2:$F$492,MATCH(108,'Output Utente'!$Q$2:$Q$492,0)),"")</f>
        <v>10</v>
      </c>
      <c r="J111" s="47" t="n">
        <f aca="false">IFERROR(INDEX('Output Utente'!$G$2:$G$492,MATCH(108,'Output Utente'!$Q$2:$Q$492,0)),"")</f>
        <v>6</v>
      </c>
      <c r="K111" s="47" t="n">
        <f aca="false">IFERROR(INDEX('Output Utente'!$H$2:$H$492,MATCH(108,'Output Utente'!$Q$2:$Q$492,0)),"")</f>
        <v>11</v>
      </c>
      <c r="L111" s="7" t="str">
        <f aca="false">IFERROR(INDEX('Output Utente'!$E$2:$E$492,MATCH(108,'Output Utente'!$Q$2:$Q$492,0)),"")</f>
        <v>NO</v>
      </c>
      <c r="M111" s="7" t="str">
        <f aca="false">IFERROR(INDEX('Output Utente'!$U$2:$U$492,MATCH(108,'Output Utente'!$Q$2:$Q$492,0)),"")</f>
        <v>OK</v>
      </c>
      <c r="N111" s="7" t="str">
        <f aca="false">IFERROR(INDEX('Output Utente'!$AE$2:$AE$492,MATCH(108,'Output Utente'!$Q$2:$Q$492,0)),"")</f>
        <v>🔴 Non aspettare</v>
      </c>
    </row>
    <row r="112" customFormat="false" ht="15" hidden="false" customHeight="true" outlineLevel="0" collapsed="false">
      <c r="A112" s="46" t="n">
        <v>109</v>
      </c>
      <c r="B112" s="7" t="n">
        <f aca="false">IFERROR(INDEX('Output Utente'!$A$2:$A$492,MATCH(109,'Output Utente'!$Q$2:$Q$492,0)),"")</f>
        <v>6462</v>
      </c>
      <c r="C112" s="7" t="str">
        <f aca="false">IFERROR(INDEX('Output Utente'!$B$2:$B$492,MATCH(109,'Output Utente'!$Q$2:$Q$492,0)),"")</f>
        <v>P</v>
      </c>
      <c r="D112" s="7" t="str">
        <f aca="false">IFERROR(INDEX('Output Utente'!$C$2:$C$492,MATCH(109,'Output Utente'!$Q$2:$Q$492,0)),"")</f>
        <v>Okoye</v>
      </c>
      <c r="E112" s="7" t="str">
        <f aca="false">IFERROR(INDEX('Input Giocatori 2026_27'!$D$3:$D$493,MATCH($B112,'Input Giocatori 2026_27'!$A$3:$A$493,0)),"")</f>
        <v>Udinese</v>
      </c>
      <c r="F112" s="47" t="n">
        <f aca="false">IFERROR(INDEX('Output Utente'!$N$2:$N$492,MATCH(109,'Output Utente'!$Q$2:$Q$492,0)),"")</f>
        <v>9</v>
      </c>
      <c r="G112" s="47" t="n">
        <f aca="false">IFERROR(INDEX('Output Utente'!$O$2:$O$492,MATCH(109,'Output Utente'!$Q$2:$Q$492,0)),"")</f>
        <v>29</v>
      </c>
      <c r="H112" s="7" t="str">
        <f aca="false">IFERROR(INDEX('Output Utente'!$P$2:$P$492,MATCH(109,'Output Utente'!$Q$2:$Q$492,0)),"")</f>
        <v>Buono</v>
      </c>
      <c r="I112" s="47" t="n">
        <f aca="false">IFERROR(INDEX('Output Utente'!$F$2:$F$492,MATCH(109,'Output Utente'!$Q$2:$Q$492,0)),"")</f>
        <v>10</v>
      </c>
      <c r="J112" s="47" t="n">
        <f aca="false">IFERROR(INDEX('Output Utente'!$G$2:$G$492,MATCH(109,'Output Utente'!$Q$2:$Q$492,0)),"")</f>
        <v>8</v>
      </c>
      <c r="K112" s="47" t="n">
        <f aca="false">IFERROR(INDEX('Output Utente'!$H$2:$H$492,MATCH(109,'Output Utente'!$Q$2:$Q$492,0)),"")</f>
        <v>11</v>
      </c>
      <c r="L112" s="7" t="str">
        <f aca="false">IFERROR(INDEX('Output Utente'!$E$2:$E$492,MATCH(109,'Output Utente'!$Q$2:$Q$492,0)),"")</f>
        <v>NO</v>
      </c>
      <c r="M112" s="7" t="str">
        <f aca="false">IFERROR(INDEX('Output Utente'!$U$2:$U$492,MATCH(109,'Output Utente'!$Q$2:$Q$492,0)),"")</f>
        <v>OK</v>
      </c>
      <c r="N112" s="7" t="str">
        <f aca="false">IFERROR(INDEX('Output Utente'!$AE$2:$AE$492,MATCH(109,'Output Utente'!$Q$2:$Q$492,0)),"")</f>
        <v>🟡 Attesa rischiosa</v>
      </c>
    </row>
    <row r="113" customFormat="false" ht="15" hidden="false" customHeight="true" outlineLevel="0" collapsed="false">
      <c r="A113" s="46" t="n">
        <v>110</v>
      </c>
      <c r="B113" s="7" t="n">
        <f aca="false">IFERROR(INDEX('Output Utente'!$A$2:$A$492,MATCH(110,'Output Utente'!$Q$2:$Q$492,0)),"")</f>
        <v>779</v>
      </c>
      <c r="C113" s="7" t="str">
        <f aca="false">IFERROR(INDEX('Output Utente'!$B$2:$B$492,MATCH(110,'Output Utente'!$Q$2:$Q$492,0)),"")</f>
        <v>C</v>
      </c>
      <c r="D113" s="7" t="str">
        <f aca="false">IFERROR(INDEX('Output Utente'!$C$2:$C$492,MATCH(110,'Output Utente'!$Q$2:$Q$492,0)),"")</f>
        <v>Cristante</v>
      </c>
      <c r="E113" s="7" t="str">
        <f aca="false">IFERROR(INDEX('Input Giocatori 2026_27'!$D$3:$D$493,MATCH($B113,'Input Giocatori 2026_27'!$A$3:$A$493,0)),"")</f>
        <v>Roma</v>
      </c>
      <c r="F113" s="47" t="n">
        <f aca="false">IFERROR(INDEX('Output Utente'!$N$2:$N$492,MATCH(110,'Output Utente'!$Q$2:$Q$492,0)),"")</f>
        <v>8</v>
      </c>
      <c r="G113" s="47" t="n">
        <f aca="false">IFERROR(INDEX('Output Utente'!$O$2:$O$492,MATCH(110,'Output Utente'!$Q$2:$Q$492,0)),"")</f>
        <v>29</v>
      </c>
      <c r="H113" s="7" t="str">
        <f aca="false">IFERROR(INDEX('Output Utente'!$P$2:$P$492,MATCH(110,'Output Utente'!$Q$2:$Q$492,0)),"")</f>
        <v>Buono</v>
      </c>
      <c r="I113" s="47" t="n">
        <f aca="false">IFERROR(INDEX('Output Utente'!$F$2:$F$492,MATCH(110,'Output Utente'!$Q$2:$Q$492,0)),"")</f>
        <v>4</v>
      </c>
      <c r="J113" s="47" t="n">
        <f aca="false">IFERROR(INDEX('Output Utente'!$G$2:$G$492,MATCH(110,'Output Utente'!$Q$2:$Q$492,0)),"")</f>
        <v>3</v>
      </c>
      <c r="K113" s="47" t="n">
        <f aca="false">IFERROR(INDEX('Output Utente'!$H$2:$H$492,MATCH(110,'Output Utente'!$Q$2:$Q$492,0)),"")</f>
        <v>4</v>
      </c>
      <c r="L113" s="7" t="str">
        <f aca="false">IFERROR(INDEX('Output Utente'!$E$2:$E$492,MATCH(110,'Output Utente'!$Q$2:$Q$492,0)),"")</f>
        <v>NO</v>
      </c>
      <c r="M113" s="7" t="str">
        <f aca="false">IFERROR(INDEX('Output Utente'!$U$2:$U$492,MATCH(110,'Output Utente'!$Q$2:$Q$492,0)),"")</f>
        <v>OK</v>
      </c>
      <c r="N113" s="7" t="str">
        <f aca="false">IFERROR(INDEX('Output Utente'!$AE$2:$AE$492,MATCH(110,'Output Utente'!$Q$2:$Q$492,0)),"")</f>
        <v>🟡 Attesa rischiosa</v>
      </c>
    </row>
    <row r="114" customFormat="false" ht="15" hidden="false" customHeight="true" outlineLevel="0" collapsed="false">
      <c r="A114" s="46" t="n">
        <v>111</v>
      </c>
      <c r="B114" s="7" t="n">
        <f aca="false">IFERROR(INDEX('Output Utente'!$A$2:$A$492,MATCH(111,'Output Utente'!$Q$2:$Q$492,0)),"")</f>
        <v>5526</v>
      </c>
      <c r="C114" s="7" t="str">
        <f aca="false">IFERROR(INDEX('Output Utente'!$B$2:$B$492,MATCH(111,'Output Utente'!$Q$2:$Q$492,0)),"")</f>
        <v>D</v>
      </c>
      <c r="D114" s="7" t="str">
        <f aca="false">IFERROR(INDEX('Output Utente'!$C$2:$C$492,MATCH(111,'Output Utente'!$Q$2:$Q$492,0)),"")</f>
        <v>Scalvini</v>
      </c>
      <c r="E114" s="7" t="str">
        <f aca="false">IFERROR(INDEX('Input Giocatori 2026_27'!$D$3:$D$493,MATCH($B114,'Input Giocatori 2026_27'!$A$3:$A$493,0)),"")</f>
        <v>Atalanta</v>
      </c>
      <c r="F114" s="47" t="n">
        <f aca="false">IFERROR(INDEX('Output Utente'!$N$2:$N$492,MATCH(111,'Output Utente'!$Q$2:$Q$492,0)),"")</f>
        <v>10</v>
      </c>
      <c r="G114" s="47" t="n">
        <f aca="false">IFERROR(INDEX('Output Utente'!$O$2:$O$492,MATCH(111,'Output Utente'!$Q$2:$Q$492,0)),"")</f>
        <v>28</v>
      </c>
      <c r="H114" s="7" t="str">
        <f aca="false">IFERROR(INDEX('Output Utente'!$P$2:$P$492,MATCH(111,'Output Utente'!$Q$2:$Q$492,0)),"")</f>
        <v>Top</v>
      </c>
      <c r="I114" s="47" t="n">
        <f aca="false">IFERROR(INDEX('Output Utente'!$F$2:$F$492,MATCH(111,'Output Utente'!$Q$2:$Q$492,0)),"")</f>
        <v>19</v>
      </c>
      <c r="J114" s="47" t="n">
        <f aca="false">IFERROR(INDEX('Output Utente'!$G$2:$G$492,MATCH(111,'Output Utente'!$Q$2:$Q$492,0)),"")</f>
        <v>14</v>
      </c>
      <c r="K114" s="47" t="n">
        <f aca="false">IFERROR(INDEX('Output Utente'!$H$2:$H$492,MATCH(111,'Output Utente'!$Q$2:$Q$492,0)),"")</f>
        <v>21</v>
      </c>
      <c r="L114" s="7" t="str">
        <f aca="false">IFERROR(INDEX('Output Utente'!$E$2:$E$492,MATCH(111,'Output Utente'!$Q$2:$Q$492,0)),"")</f>
        <v>NO</v>
      </c>
      <c r="M114" s="7" t="str">
        <f aca="false">IFERROR(INDEX('Output Utente'!$U$2:$U$492,MATCH(111,'Output Utente'!$Q$2:$Q$492,0)),"")</f>
        <v>OK</v>
      </c>
      <c r="N114" s="7" t="str">
        <f aca="false">IFERROR(INDEX('Output Utente'!$AE$2:$AE$492,MATCH(111,'Output Utente'!$Q$2:$Q$492,0)),"")</f>
        <v>🟡 Attesa rischiosa</v>
      </c>
    </row>
    <row r="115" customFormat="false" ht="15" hidden="false" customHeight="true" outlineLevel="0" collapsed="false">
      <c r="A115" s="46" t="n">
        <v>112</v>
      </c>
      <c r="B115" s="7" t="n">
        <f aca="false">IFERROR(INDEX('Output Utente'!$A$2:$A$492,MATCH(112,'Output Utente'!$Q$2:$Q$492,0)),"")</f>
        <v>1933</v>
      </c>
      <c r="C115" s="7" t="str">
        <f aca="false">IFERROR(INDEX('Output Utente'!$B$2:$B$492,MATCH(112,'Output Utente'!$Q$2:$Q$492,0)),"")</f>
        <v>C</v>
      </c>
      <c r="D115" s="7" t="str">
        <f aca="false">IFERROR(INDEX('Output Utente'!$C$2:$C$492,MATCH(112,'Output Utente'!$Q$2:$Q$492,0)),"")</f>
        <v>Mandragora</v>
      </c>
      <c r="E115" s="7" t="str">
        <f aca="false">IFERROR(INDEX('Input Giocatori 2026_27'!$D$3:$D$493,MATCH($B115,'Input Giocatori 2026_27'!$A$3:$A$493,0)),"")</f>
        <v>Fiorentina</v>
      </c>
      <c r="F115" s="47" t="n">
        <f aca="false">IFERROR(INDEX('Output Utente'!$N$2:$N$492,MATCH(112,'Output Utente'!$Q$2:$Q$492,0)),"")</f>
        <v>9</v>
      </c>
      <c r="G115" s="47" t="n">
        <f aca="false">IFERROR(INDEX('Output Utente'!$O$2:$O$492,MATCH(112,'Output Utente'!$Q$2:$Q$492,0)),"")</f>
        <v>28</v>
      </c>
      <c r="H115" s="7" t="str">
        <f aca="false">IFERROR(INDEX('Output Utente'!$P$2:$P$492,MATCH(112,'Output Utente'!$Q$2:$Q$492,0)),"")</f>
        <v>Buono</v>
      </c>
      <c r="I115" s="47" t="n">
        <f aca="false">IFERROR(INDEX('Output Utente'!$F$2:$F$492,MATCH(112,'Output Utente'!$Q$2:$Q$492,0)),"")</f>
        <v>3</v>
      </c>
      <c r="J115" s="47" t="n">
        <f aca="false">IFERROR(INDEX('Output Utente'!$G$2:$G$492,MATCH(112,'Output Utente'!$Q$2:$Q$492,0)),"")</f>
        <v>2</v>
      </c>
      <c r="K115" s="47" t="n">
        <f aca="false">IFERROR(INDEX('Output Utente'!$H$2:$H$492,MATCH(112,'Output Utente'!$Q$2:$Q$492,0)),"")</f>
        <v>4</v>
      </c>
      <c r="L115" s="7" t="str">
        <f aca="false">IFERROR(INDEX('Output Utente'!$E$2:$E$492,MATCH(112,'Output Utente'!$Q$2:$Q$492,0)),"")</f>
        <v>NO</v>
      </c>
      <c r="M115" s="7" t="str">
        <f aca="false">IFERROR(INDEX('Output Utente'!$U$2:$U$492,MATCH(112,'Output Utente'!$Q$2:$Q$492,0)),"")</f>
        <v>OK</v>
      </c>
      <c r="N115" s="7" t="str">
        <f aca="false">IFERROR(INDEX('Output Utente'!$AE$2:$AE$492,MATCH(112,'Output Utente'!$Q$2:$Q$492,0)),"")</f>
        <v>🟡 Attesa rischiosa</v>
      </c>
    </row>
    <row r="116" customFormat="false" ht="15" hidden="false" customHeight="true" outlineLevel="0" collapsed="false">
      <c r="A116" s="46" t="n">
        <v>113</v>
      </c>
      <c r="B116" s="7" t="n">
        <f aca="false">IFERROR(INDEX('Output Utente'!$A$2:$A$492,MATCH(113,'Output Utente'!$Q$2:$Q$492,0)),"")</f>
        <v>5500</v>
      </c>
      <c r="C116" s="7" t="str">
        <f aca="false">IFERROR(INDEX('Output Utente'!$B$2:$B$492,MATCH(113,'Output Utente'!$Q$2:$Q$492,0)),"")</f>
        <v>C</v>
      </c>
      <c r="D116" s="7" t="str">
        <f aca="false">IFERROR(INDEX('Output Utente'!$C$2:$C$492,MATCH(113,'Output Utente'!$Q$2:$Q$492,0)),"")</f>
        <v>Cancellieri</v>
      </c>
      <c r="E116" s="7" t="str">
        <f aca="false">IFERROR(INDEX('Input Giocatori 2026_27'!$D$3:$D$493,MATCH($B116,'Input Giocatori 2026_27'!$A$3:$A$493,0)),"")</f>
        <v>Lazio</v>
      </c>
      <c r="F116" s="47" t="n">
        <f aca="false">IFERROR(INDEX('Output Utente'!$N$2:$N$492,MATCH(113,'Output Utente'!$Q$2:$Q$492,0)),"")</f>
        <v>9</v>
      </c>
      <c r="G116" s="47" t="n">
        <f aca="false">IFERROR(INDEX('Output Utente'!$O$2:$O$492,MATCH(113,'Output Utente'!$Q$2:$Q$492,0)),"")</f>
        <v>28</v>
      </c>
      <c r="H116" s="7" t="str">
        <f aca="false">IFERROR(INDEX('Output Utente'!$P$2:$P$492,MATCH(113,'Output Utente'!$Q$2:$Q$492,0)),"")</f>
        <v>Buono</v>
      </c>
      <c r="I116" s="47" t="n">
        <f aca="false">IFERROR(INDEX('Output Utente'!$F$2:$F$492,MATCH(113,'Output Utente'!$Q$2:$Q$492,0)),"")</f>
        <v>3</v>
      </c>
      <c r="J116" s="47" t="n">
        <f aca="false">IFERROR(INDEX('Output Utente'!$G$2:$G$492,MATCH(113,'Output Utente'!$Q$2:$Q$492,0)),"")</f>
        <v>2</v>
      </c>
      <c r="K116" s="47" t="n">
        <f aca="false">IFERROR(INDEX('Output Utente'!$H$2:$H$492,MATCH(113,'Output Utente'!$Q$2:$Q$492,0)),"")</f>
        <v>4</v>
      </c>
      <c r="L116" s="7" t="str">
        <f aca="false">IFERROR(INDEX('Output Utente'!$E$2:$E$492,MATCH(113,'Output Utente'!$Q$2:$Q$492,0)),"")</f>
        <v>NO</v>
      </c>
      <c r="M116" s="7" t="str">
        <f aca="false">IFERROR(INDEX('Output Utente'!$U$2:$U$492,MATCH(113,'Output Utente'!$Q$2:$Q$492,0)),"")</f>
        <v>OK</v>
      </c>
      <c r="N116" s="7" t="str">
        <f aca="false">IFERROR(INDEX('Output Utente'!$AE$2:$AE$492,MATCH(113,'Output Utente'!$Q$2:$Q$492,0)),"")</f>
        <v>🟡 Attesa rischiosa</v>
      </c>
    </row>
    <row r="117" customFormat="false" ht="15" hidden="false" customHeight="true" outlineLevel="0" collapsed="false">
      <c r="A117" s="46" t="n">
        <v>114</v>
      </c>
      <c r="B117" s="7" t="n">
        <f aca="false">IFERROR(INDEX('Output Utente'!$A$2:$A$492,MATCH(114,'Output Utente'!$Q$2:$Q$492,0)),"")</f>
        <v>6904</v>
      </c>
      <c r="C117" s="7" t="str">
        <f aca="false">IFERROR(INDEX('Output Utente'!$B$2:$B$492,MATCH(114,'Output Utente'!$Q$2:$Q$492,0)),"")</f>
        <v>A</v>
      </c>
      <c r="D117" s="7" t="str">
        <f aca="false">IFERROR(INDEX('Output Utente'!$C$2:$C$492,MATCH(114,'Output Utente'!$Q$2:$Q$492,0)),"")</f>
        <v>Yeboah J.</v>
      </c>
      <c r="E117" s="7" t="str">
        <f aca="false">IFERROR(INDEX('Input Giocatori 2026_27'!$D$3:$D$493,MATCH($B117,'Input Giocatori 2026_27'!$A$3:$A$493,0)),"")</f>
        <v>Venezia</v>
      </c>
      <c r="F117" s="47" t="n">
        <f aca="false">IFERROR(INDEX('Output Utente'!$N$2:$N$492,MATCH(114,'Output Utente'!$Q$2:$Q$492,0)),"")</f>
        <v>8</v>
      </c>
      <c r="G117" s="47" t="n">
        <f aca="false">IFERROR(INDEX('Output Utente'!$O$2:$O$492,MATCH(114,'Output Utente'!$Q$2:$Q$492,0)),"")</f>
        <v>28</v>
      </c>
      <c r="H117" s="7" t="str">
        <f aca="false">IFERROR(INDEX('Output Utente'!$P$2:$P$492,MATCH(114,'Output Utente'!$Q$2:$Q$492,0)),"")</f>
        <v>Nella Media</v>
      </c>
      <c r="I117" s="47" t="n">
        <f aca="false">IFERROR(INDEX('Output Utente'!$F$2:$F$492,MATCH(114,'Output Utente'!$Q$2:$Q$492,0)),"")</f>
        <v>9</v>
      </c>
      <c r="J117" s="47" t="n">
        <f aca="false">IFERROR(INDEX('Output Utente'!$G$2:$G$492,MATCH(114,'Output Utente'!$Q$2:$Q$492,0)),"")</f>
        <v>6</v>
      </c>
      <c r="K117" s="47" t="n">
        <f aca="false">IFERROR(INDEX('Output Utente'!$H$2:$H$492,MATCH(114,'Output Utente'!$Q$2:$Q$492,0)),"")</f>
        <v>10</v>
      </c>
      <c r="L117" s="7" t="str">
        <f aca="false">IFERROR(INDEX('Output Utente'!$E$2:$E$492,MATCH(114,'Output Utente'!$Q$2:$Q$492,0)),"")</f>
        <v>NO</v>
      </c>
      <c r="M117" s="7" t="str">
        <f aca="false">IFERROR(INDEX('Output Utente'!$U$2:$U$492,MATCH(114,'Output Utente'!$Q$2:$Q$492,0)),"")</f>
        <v>OK</v>
      </c>
      <c r="N117" s="7" t="str">
        <f aca="false">IFERROR(INDEX('Output Utente'!$AE$2:$AE$492,MATCH(114,'Output Utente'!$Q$2:$Q$492,0)),"")</f>
        <v>🔴 Non aspettare</v>
      </c>
    </row>
    <row r="118" customFormat="false" ht="15" hidden="false" customHeight="true" outlineLevel="0" collapsed="false">
      <c r="A118" s="46" t="n">
        <v>115</v>
      </c>
      <c r="B118" s="7" t="n">
        <f aca="false">IFERROR(INDEX('Output Utente'!$A$2:$A$492,MATCH(115,'Output Utente'!$Q$2:$Q$492,0)),"")</f>
        <v>4360</v>
      </c>
      <c r="C118" s="7" t="str">
        <f aca="false">IFERROR(INDEX('Output Utente'!$B$2:$B$492,MATCH(115,'Output Utente'!$Q$2:$Q$492,0)),"")</f>
        <v>P</v>
      </c>
      <c r="D118" s="7" t="str">
        <f aca="false">IFERROR(INDEX('Output Utente'!$C$2:$C$492,MATCH(115,'Output Utente'!$Q$2:$Q$492,0)),"")</f>
        <v>Caprile</v>
      </c>
      <c r="E118" s="7" t="str">
        <f aca="false">IFERROR(INDEX('Input Giocatori 2026_27'!$D$3:$D$493,MATCH($B118,'Input Giocatori 2026_27'!$A$3:$A$493,0)),"")</f>
        <v>Cagliari</v>
      </c>
      <c r="F118" s="47" t="n">
        <f aca="false">IFERROR(INDEX('Output Utente'!$N$2:$N$492,MATCH(115,'Output Utente'!$Q$2:$Q$492,0)),"")</f>
        <v>9</v>
      </c>
      <c r="G118" s="47" t="n">
        <f aca="false">IFERROR(INDEX('Output Utente'!$O$2:$O$492,MATCH(115,'Output Utente'!$Q$2:$Q$492,0)),"")</f>
        <v>27</v>
      </c>
      <c r="H118" s="7" t="str">
        <f aca="false">IFERROR(INDEX('Output Utente'!$P$2:$P$492,MATCH(115,'Output Utente'!$Q$2:$Q$492,0)),"")</f>
        <v>Buono</v>
      </c>
      <c r="I118" s="47" t="n">
        <f aca="false">IFERROR(INDEX('Output Utente'!$F$2:$F$492,MATCH(115,'Output Utente'!$Q$2:$Q$492,0)),"")</f>
        <v>9</v>
      </c>
      <c r="J118" s="47" t="n">
        <f aca="false">IFERROR(INDEX('Output Utente'!$G$2:$G$492,MATCH(115,'Output Utente'!$Q$2:$Q$492,0)),"")</f>
        <v>7</v>
      </c>
      <c r="K118" s="47" t="n">
        <f aca="false">IFERROR(INDEX('Output Utente'!$H$2:$H$492,MATCH(115,'Output Utente'!$Q$2:$Q$492,0)),"")</f>
        <v>10</v>
      </c>
      <c r="L118" s="7" t="str">
        <f aca="false">IFERROR(INDEX('Output Utente'!$E$2:$E$492,MATCH(115,'Output Utente'!$Q$2:$Q$492,0)),"")</f>
        <v>NO</v>
      </c>
      <c r="M118" s="7" t="str">
        <f aca="false">IFERROR(INDEX('Output Utente'!$U$2:$U$492,MATCH(115,'Output Utente'!$Q$2:$Q$492,0)),"")</f>
        <v>OK</v>
      </c>
      <c r="N118" s="7" t="str">
        <f aca="false">IFERROR(INDEX('Output Utente'!$AE$2:$AE$492,MATCH(115,'Output Utente'!$Q$2:$Q$492,0)),"")</f>
        <v>🟡 Attesa rischiosa</v>
      </c>
    </row>
    <row r="119" customFormat="false" ht="15" hidden="false" customHeight="true" outlineLevel="0" collapsed="false">
      <c r="A119" s="46" t="n">
        <v>116</v>
      </c>
      <c r="B119" s="7" t="n">
        <f aca="false">IFERROR(INDEX('Output Utente'!$A$2:$A$492,MATCH(116,'Output Utente'!$Q$2:$Q$492,0)),"")</f>
        <v>5520</v>
      </c>
      <c r="C119" s="7" t="str">
        <f aca="false">IFERROR(INDEX('Output Utente'!$B$2:$B$492,MATCH(116,'Output Utente'!$Q$2:$Q$492,0)),"")</f>
        <v>D</v>
      </c>
      <c r="D119" s="7" t="str">
        <f aca="false">IFERROR(INDEX('Output Utente'!$C$2:$C$492,MATCH(116,'Output Utente'!$Q$2:$Q$492,0)),"")</f>
        <v>Cambiaso</v>
      </c>
      <c r="E119" s="7" t="str">
        <f aca="false">IFERROR(INDEX('Input Giocatori 2026_27'!$D$3:$D$493,MATCH($B119,'Input Giocatori 2026_27'!$A$3:$A$493,0)),"")</f>
        <v>Juventus</v>
      </c>
      <c r="F119" s="47" t="n">
        <f aca="false">IFERROR(INDEX('Output Utente'!$N$2:$N$492,MATCH(116,'Output Utente'!$Q$2:$Q$492,0)),"")</f>
        <v>9</v>
      </c>
      <c r="G119" s="47" t="n">
        <f aca="false">IFERROR(INDEX('Output Utente'!$O$2:$O$492,MATCH(116,'Output Utente'!$Q$2:$Q$492,0)),"")</f>
        <v>27</v>
      </c>
      <c r="H119" s="7" t="str">
        <f aca="false">IFERROR(INDEX('Output Utente'!$P$2:$P$492,MATCH(116,'Output Utente'!$Q$2:$Q$492,0)),"")</f>
        <v>Top</v>
      </c>
      <c r="I119" s="47" t="n">
        <f aca="false">IFERROR(INDEX('Output Utente'!$F$2:$F$492,MATCH(116,'Output Utente'!$Q$2:$Q$492,0)),"")</f>
        <v>18</v>
      </c>
      <c r="J119" s="47" t="n">
        <f aca="false">IFERROR(INDEX('Output Utente'!$G$2:$G$492,MATCH(116,'Output Utente'!$Q$2:$Q$492,0)),"")</f>
        <v>14</v>
      </c>
      <c r="K119" s="47" t="n">
        <f aca="false">IFERROR(INDEX('Output Utente'!$H$2:$H$492,MATCH(116,'Output Utente'!$Q$2:$Q$492,0)),"")</f>
        <v>20</v>
      </c>
      <c r="L119" s="7" t="str">
        <f aca="false">IFERROR(INDEX('Output Utente'!$E$2:$E$492,MATCH(116,'Output Utente'!$Q$2:$Q$492,0)),"")</f>
        <v>NO</v>
      </c>
      <c r="M119" s="7" t="str">
        <f aca="false">IFERROR(INDEX('Output Utente'!$U$2:$U$492,MATCH(116,'Output Utente'!$Q$2:$Q$492,0)),"")</f>
        <v>OK</v>
      </c>
      <c r="N119" s="7" t="str">
        <f aca="false">IFERROR(INDEX('Output Utente'!$AE$2:$AE$492,MATCH(116,'Output Utente'!$Q$2:$Q$492,0)),"")</f>
        <v>🟡 Attesa rischiosa</v>
      </c>
    </row>
    <row r="120" customFormat="false" ht="15" hidden="false" customHeight="true" outlineLevel="0" collapsed="false">
      <c r="A120" s="46" t="n">
        <v>117</v>
      </c>
      <c r="B120" s="7" t="n">
        <f aca="false">IFERROR(INDEX('Output Utente'!$A$2:$A$492,MATCH(117,'Output Utente'!$Q$2:$Q$492,0)),"")</f>
        <v>5365</v>
      </c>
      <c r="C120" s="7" t="str">
        <f aca="false">IFERROR(INDEX('Output Utente'!$B$2:$B$492,MATCH(117,'Output Utente'!$Q$2:$Q$492,0)),"")</f>
        <v>D</v>
      </c>
      <c r="D120" s="7" t="str">
        <f aca="false">IFERROR(INDEX('Output Utente'!$C$2:$C$492,MATCH(117,'Output Utente'!$Q$2:$Q$492,0)),"")</f>
        <v>Dragusin</v>
      </c>
      <c r="E120" s="7" t="str">
        <f aca="false">IFERROR(INDEX('Input Giocatori 2026_27'!$D$3:$D$493,MATCH($B120,'Input Giocatori 2026_27'!$A$3:$A$493,0)),"")</f>
        <v>Fiorentina</v>
      </c>
      <c r="F120" s="47" t="n">
        <f aca="false">IFERROR(INDEX('Output Utente'!$N$2:$N$492,MATCH(117,'Output Utente'!$Q$2:$Q$492,0)),"")</f>
        <v>8</v>
      </c>
      <c r="G120" s="47" t="n">
        <f aca="false">IFERROR(INDEX('Output Utente'!$O$2:$O$492,MATCH(117,'Output Utente'!$Q$2:$Q$492,0)),"")</f>
        <v>27</v>
      </c>
      <c r="H120" s="7" t="str">
        <f aca="false">IFERROR(INDEX('Output Utente'!$P$2:$P$492,MATCH(117,'Output Utente'!$Q$2:$Q$492,0)),"")</f>
        <v>Top</v>
      </c>
      <c r="I120" s="47" t="n">
        <f aca="false">IFERROR(INDEX('Output Utente'!$F$2:$F$492,MATCH(117,'Output Utente'!$Q$2:$Q$492,0)),"")</f>
        <v>18</v>
      </c>
      <c r="J120" s="47" t="n">
        <f aca="false">IFERROR(INDEX('Output Utente'!$G$2:$G$492,MATCH(117,'Output Utente'!$Q$2:$Q$492,0)),"")</f>
        <v>14</v>
      </c>
      <c r="K120" s="47" t="n">
        <f aca="false">IFERROR(INDEX('Output Utente'!$H$2:$H$492,MATCH(117,'Output Utente'!$Q$2:$Q$492,0)),"")</f>
        <v>20</v>
      </c>
      <c r="L120" s="7" t="str">
        <f aca="false">IFERROR(INDEX('Output Utente'!$E$2:$E$492,MATCH(117,'Output Utente'!$Q$2:$Q$492,0)),"")</f>
        <v>NO</v>
      </c>
      <c r="M120" s="7" t="str">
        <f aca="false">IFERROR(INDEX('Output Utente'!$U$2:$U$492,MATCH(117,'Output Utente'!$Q$2:$Q$492,0)),"")</f>
        <v>OK</v>
      </c>
      <c r="N120" s="7" t="str">
        <f aca="false">IFERROR(INDEX('Output Utente'!$AE$2:$AE$492,MATCH(117,'Output Utente'!$Q$2:$Q$492,0)),"")</f>
        <v>🟡 Attesa rischiosa</v>
      </c>
    </row>
    <row r="121" customFormat="false" ht="15" hidden="false" customHeight="true" outlineLevel="0" collapsed="false">
      <c r="A121" s="46" t="n">
        <v>118</v>
      </c>
      <c r="B121" s="7" t="n">
        <f aca="false">IFERROR(INDEX('Output Utente'!$A$2:$A$492,MATCH(118,'Output Utente'!$Q$2:$Q$492,0)),"")</f>
        <v>5877</v>
      </c>
      <c r="C121" s="7" t="str">
        <f aca="false">IFERROR(INDEX('Output Utente'!$B$2:$B$492,MATCH(118,'Output Utente'!$Q$2:$Q$492,0)),"")</f>
        <v>D</v>
      </c>
      <c r="D121" s="7" t="str">
        <f aca="false">IFERROR(INDEX('Output Utente'!$C$2:$C$492,MATCH(118,'Output Utente'!$Q$2:$Q$492,0)),"")</f>
        <v>Carlos Augusto</v>
      </c>
      <c r="E121" s="7" t="str">
        <f aca="false">IFERROR(INDEX('Input Giocatori 2026_27'!$D$3:$D$493,MATCH($B121,'Input Giocatori 2026_27'!$A$3:$A$493,0)),"")</f>
        <v>Inter</v>
      </c>
      <c r="F121" s="47" t="n">
        <f aca="false">IFERROR(INDEX('Output Utente'!$N$2:$N$492,MATCH(118,'Output Utente'!$Q$2:$Q$492,0)),"")</f>
        <v>7</v>
      </c>
      <c r="G121" s="47" t="n">
        <f aca="false">IFERROR(INDEX('Output Utente'!$O$2:$O$492,MATCH(118,'Output Utente'!$Q$2:$Q$492,0)),"")</f>
        <v>27</v>
      </c>
      <c r="H121" s="7" t="str">
        <f aca="false">IFERROR(INDEX('Output Utente'!$P$2:$P$492,MATCH(118,'Output Utente'!$Q$2:$Q$492,0)),"")</f>
        <v>Top</v>
      </c>
      <c r="I121" s="47" t="n">
        <f aca="false">IFERROR(INDEX('Output Utente'!$F$2:$F$492,MATCH(118,'Output Utente'!$Q$2:$Q$492,0)),"")</f>
        <v>18</v>
      </c>
      <c r="J121" s="47" t="n">
        <f aca="false">IFERROR(INDEX('Output Utente'!$G$2:$G$492,MATCH(118,'Output Utente'!$Q$2:$Q$492,0)),"")</f>
        <v>14</v>
      </c>
      <c r="K121" s="47" t="n">
        <f aca="false">IFERROR(INDEX('Output Utente'!$H$2:$H$492,MATCH(118,'Output Utente'!$Q$2:$Q$492,0)),"")</f>
        <v>20</v>
      </c>
      <c r="L121" s="7" t="str">
        <f aca="false">IFERROR(INDEX('Output Utente'!$E$2:$E$492,MATCH(118,'Output Utente'!$Q$2:$Q$492,0)),"")</f>
        <v>NO</v>
      </c>
      <c r="M121" s="7" t="str">
        <f aca="false">IFERROR(INDEX('Output Utente'!$U$2:$U$492,MATCH(118,'Output Utente'!$Q$2:$Q$492,0)),"")</f>
        <v>OK</v>
      </c>
      <c r="N121" s="7" t="str">
        <f aca="false">IFERROR(INDEX('Output Utente'!$AE$2:$AE$492,MATCH(118,'Output Utente'!$Q$2:$Q$492,0)),"")</f>
        <v>🟡 Attesa rischiosa</v>
      </c>
    </row>
    <row r="122" customFormat="false" ht="15" hidden="false" customHeight="true" outlineLevel="0" collapsed="false">
      <c r="A122" s="46" t="n">
        <v>119</v>
      </c>
      <c r="B122" s="7" t="n">
        <f aca="false">IFERROR(INDEX('Output Utente'!$A$2:$A$492,MATCH(119,'Output Utente'!$Q$2:$Q$492,0)),"")</f>
        <v>6218</v>
      </c>
      <c r="C122" s="7" t="str">
        <f aca="false">IFERROR(INDEX('Output Utente'!$B$2:$B$492,MATCH(119,'Output Utente'!$Q$2:$Q$492,0)),"")</f>
        <v>C</v>
      </c>
      <c r="D122" s="7" t="str">
        <f aca="false">IFERROR(INDEX('Output Utente'!$C$2:$C$492,MATCH(119,'Output Utente'!$Q$2:$Q$492,0)),"")</f>
        <v>Oristanio</v>
      </c>
      <c r="E122" s="7" t="str">
        <f aca="false">IFERROR(INDEX('Input Giocatori 2026_27'!$D$3:$D$493,MATCH($B122,'Input Giocatori 2026_27'!$A$3:$A$493,0)),"")</f>
        <v>Torino</v>
      </c>
      <c r="F122" s="47" t="n">
        <f aca="false">IFERROR(INDEX('Output Utente'!$N$2:$N$492,MATCH(119,'Output Utente'!$Q$2:$Q$492,0)),"")</f>
        <v>7</v>
      </c>
      <c r="G122" s="47" t="n">
        <f aca="false">IFERROR(INDEX('Output Utente'!$O$2:$O$492,MATCH(119,'Output Utente'!$Q$2:$Q$492,0)),"")</f>
        <v>27</v>
      </c>
      <c r="H122" s="7" t="str">
        <f aca="false">IFERROR(INDEX('Output Utente'!$P$2:$P$492,MATCH(119,'Output Utente'!$Q$2:$Q$492,0)),"")</f>
        <v>Buono</v>
      </c>
      <c r="I122" s="47" t="n">
        <f aca="false">IFERROR(INDEX('Output Utente'!$F$2:$F$492,MATCH(119,'Output Utente'!$Q$2:$Q$492,0)),"")</f>
        <v>3</v>
      </c>
      <c r="J122" s="47" t="n">
        <f aca="false">IFERROR(INDEX('Output Utente'!$G$2:$G$492,MATCH(119,'Output Utente'!$Q$2:$Q$492,0)),"")</f>
        <v>2</v>
      </c>
      <c r="K122" s="47" t="n">
        <f aca="false">IFERROR(INDEX('Output Utente'!$H$2:$H$492,MATCH(119,'Output Utente'!$Q$2:$Q$492,0)),"")</f>
        <v>4</v>
      </c>
      <c r="L122" s="7" t="str">
        <f aca="false">IFERROR(INDEX('Output Utente'!$E$2:$E$492,MATCH(119,'Output Utente'!$Q$2:$Q$492,0)),"")</f>
        <v>NO</v>
      </c>
      <c r="M122" s="7" t="str">
        <f aca="false">IFERROR(INDEX('Output Utente'!$U$2:$U$492,MATCH(119,'Output Utente'!$Q$2:$Q$492,0)),"")</f>
        <v>OK</v>
      </c>
      <c r="N122" s="7" t="str">
        <f aca="false">IFERROR(INDEX('Output Utente'!$AE$2:$AE$492,MATCH(119,'Output Utente'!$Q$2:$Q$492,0)),"")</f>
        <v>🟡 Attesa rischiosa</v>
      </c>
    </row>
    <row r="123" customFormat="false" ht="15" hidden="false" customHeight="true" outlineLevel="0" collapsed="false">
      <c r="A123" s="46" t="n">
        <v>120</v>
      </c>
      <c r="B123" s="7" t="n">
        <f aca="false">IFERROR(INDEX('Output Utente'!$A$2:$A$492,MATCH(120,'Output Utente'!$Q$2:$Q$492,0)),"")</f>
        <v>4807</v>
      </c>
      <c r="C123" s="7" t="str">
        <f aca="false">IFERROR(INDEX('Output Utente'!$B$2:$B$492,MATCH(120,'Output Utente'!$Q$2:$Q$492,0)),"")</f>
        <v>D</v>
      </c>
      <c r="D123" s="7" t="str">
        <f aca="false">IFERROR(INDEX('Output Utente'!$C$2:$C$492,MATCH(120,'Output Utente'!$Q$2:$Q$492,0)),"")</f>
        <v>Hermoso</v>
      </c>
      <c r="E123" s="7" t="str">
        <f aca="false">IFERROR(INDEX('Input Giocatori 2026_27'!$D$3:$D$493,MATCH($B123,'Input Giocatori 2026_27'!$A$3:$A$493,0)),"")</f>
        <v>Roma</v>
      </c>
      <c r="F123" s="47" t="n">
        <f aca="false">IFERROR(INDEX('Output Utente'!$N$2:$N$492,MATCH(120,'Output Utente'!$Q$2:$Q$492,0)),"")</f>
        <v>10</v>
      </c>
      <c r="G123" s="47" t="n">
        <f aca="false">IFERROR(INDEX('Output Utente'!$O$2:$O$492,MATCH(120,'Output Utente'!$Q$2:$Q$492,0)),"")</f>
        <v>26</v>
      </c>
      <c r="H123" s="7" t="str">
        <f aca="false">IFERROR(INDEX('Output Utente'!$P$2:$P$492,MATCH(120,'Output Utente'!$Q$2:$Q$492,0)),"")</f>
        <v>Top</v>
      </c>
      <c r="I123" s="47" t="n">
        <f aca="false">IFERROR(INDEX('Output Utente'!$F$2:$F$492,MATCH(120,'Output Utente'!$Q$2:$Q$492,0)),"")</f>
        <v>18</v>
      </c>
      <c r="J123" s="47" t="n">
        <f aca="false">IFERROR(INDEX('Output Utente'!$G$2:$G$492,MATCH(120,'Output Utente'!$Q$2:$Q$492,0)),"")</f>
        <v>13</v>
      </c>
      <c r="K123" s="47" t="n">
        <f aca="false">IFERROR(INDEX('Output Utente'!$H$2:$H$492,MATCH(120,'Output Utente'!$Q$2:$Q$492,0)),"")</f>
        <v>20</v>
      </c>
      <c r="L123" s="7" t="str">
        <f aca="false">IFERROR(INDEX('Output Utente'!$E$2:$E$492,MATCH(120,'Output Utente'!$Q$2:$Q$492,0)),"")</f>
        <v>NO</v>
      </c>
      <c r="M123" s="7" t="str">
        <f aca="false">IFERROR(INDEX('Output Utente'!$U$2:$U$492,MATCH(120,'Output Utente'!$Q$2:$Q$492,0)),"")</f>
        <v>OK</v>
      </c>
      <c r="N123" s="7" t="str">
        <f aca="false">IFERROR(INDEX('Output Utente'!$AE$2:$AE$492,MATCH(120,'Output Utente'!$Q$2:$Q$492,0)),"")</f>
        <v>🟡 Attesa rischiosa</v>
      </c>
    </row>
    <row r="124" customFormat="false" ht="15" hidden="false" customHeight="true" outlineLevel="0" collapsed="false">
      <c r="A124" s="46" t="n">
        <v>121</v>
      </c>
      <c r="B124" s="7" t="n">
        <f aca="false">IFERROR(INDEX('Output Utente'!$A$2:$A$492,MATCH(121,'Output Utente'!$Q$2:$Q$492,0)),"")</f>
        <v>7070</v>
      </c>
      <c r="C124" s="7" t="str">
        <f aca="false">IFERROR(INDEX('Output Utente'!$B$2:$B$492,MATCH(121,'Output Utente'!$Q$2:$Q$492,0)),"")</f>
        <v>C</v>
      </c>
      <c r="D124" s="7" t="str">
        <f aca="false">IFERROR(INDEX('Output Utente'!$C$2:$C$492,MATCH(121,'Output Utente'!$Q$2:$Q$492,0)),"")</f>
        <v>Sucic P.</v>
      </c>
      <c r="E124" s="7" t="str">
        <f aca="false">IFERROR(INDEX('Input Giocatori 2026_27'!$D$3:$D$493,MATCH($B124,'Input Giocatori 2026_27'!$A$3:$A$493,0)),"")</f>
        <v>Inter</v>
      </c>
      <c r="F124" s="47" t="n">
        <f aca="false">IFERROR(INDEX('Output Utente'!$N$2:$N$492,MATCH(121,'Output Utente'!$Q$2:$Q$492,0)),"")</f>
        <v>8</v>
      </c>
      <c r="G124" s="47" t="n">
        <f aca="false">IFERROR(INDEX('Output Utente'!$O$2:$O$492,MATCH(121,'Output Utente'!$Q$2:$Q$492,0)),"")</f>
        <v>26</v>
      </c>
      <c r="H124" s="7" t="str">
        <f aca="false">IFERROR(INDEX('Output Utente'!$P$2:$P$492,MATCH(121,'Output Utente'!$Q$2:$Q$492,0)),"")</f>
        <v>Buono</v>
      </c>
      <c r="I124" s="47" t="n">
        <f aca="false">IFERROR(INDEX('Output Utente'!$F$2:$F$492,MATCH(121,'Output Utente'!$Q$2:$Q$492,0)),"")</f>
        <v>3</v>
      </c>
      <c r="J124" s="47" t="n">
        <f aca="false">IFERROR(INDEX('Output Utente'!$G$2:$G$492,MATCH(121,'Output Utente'!$Q$2:$Q$492,0)),"")</f>
        <v>2</v>
      </c>
      <c r="K124" s="47" t="n">
        <f aca="false">IFERROR(INDEX('Output Utente'!$H$2:$H$492,MATCH(121,'Output Utente'!$Q$2:$Q$492,0)),"")</f>
        <v>4</v>
      </c>
      <c r="L124" s="7" t="str">
        <f aca="false">IFERROR(INDEX('Output Utente'!$E$2:$E$492,MATCH(121,'Output Utente'!$Q$2:$Q$492,0)),"")</f>
        <v>NO</v>
      </c>
      <c r="M124" s="7" t="str">
        <f aca="false">IFERROR(INDEX('Output Utente'!$U$2:$U$492,MATCH(121,'Output Utente'!$Q$2:$Q$492,0)),"")</f>
        <v>OK</v>
      </c>
      <c r="N124" s="7" t="str">
        <f aca="false">IFERROR(INDEX('Output Utente'!$AE$2:$AE$492,MATCH(121,'Output Utente'!$Q$2:$Q$492,0)),"")</f>
        <v>🟡 Attesa rischiosa</v>
      </c>
    </row>
    <row r="125" customFormat="false" ht="15" hidden="false" customHeight="true" outlineLevel="0" collapsed="false">
      <c r="A125" s="46" t="n">
        <v>122</v>
      </c>
      <c r="B125" s="7" t="n">
        <f aca="false">IFERROR(INDEX('Output Utente'!$A$2:$A$492,MATCH(122,'Output Utente'!$Q$2:$Q$492,0)),"")</f>
        <v>2134</v>
      </c>
      <c r="C125" s="7" t="str">
        <f aca="false">IFERROR(INDEX('Output Utente'!$B$2:$B$492,MATCH(122,'Output Utente'!$Q$2:$Q$492,0)),"")</f>
        <v>P</v>
      </c>
      <c r="D125" s="7" t="str">
        <f aca="false">IFERROR(INDEX('Output Utente'!$C$2:$C$492,MATCH(122,'Output Utente'!$Q$2:$Q$492,0)),"")</f>
        <v>Falcone</v>
      </c>
      <c r="E125" s="7" t="str">
        <f aca="false">IFERROR(INDEX('Input Giocatori 2026_27'!$D$3:$D$493,MATCH($B125,'Input Giocatori 2026_27'!$A$3:$A$493,0)),"")</f>
        <v>Lecce</v>
      </c>
      <c r="F125" s="47" t="n">
        <f aca="false">IFERROR(INDEX('Output Utente'!$N$2:$N$492,MATCH(122,'Output Utente'!$Q$2:$Q$492,0)),"")</f>
        <v>8</v>
      </c>
      <c r="G125" s="47" t="n">
        <f aca="false">IFERROR(INDEX('Output Utente'!$O$2:$O$492,MATCH(122,'Output Utente'!$Q$2:$Q$492,0)),"")</f>
        <v>25</v>
      </c>
      <c r="H125" s="7" t="str">
        <f aca="false">IFERROR(INDEX('Output Utente'!$P$2:$P$492,MATCH(122,'Output Utente'!$Q$2:$Q$492,0)),"")</f>
        <v>Buono</v>
      </c>
      <c r="I125" s="47" t="n">
        <f aca="false">IFERROR(INDEX('Output Utente'!$F$2:$F$492,MATCH(122,'Output Utente'!$Q$2:$Q$492,0)),"")</f>
        <v>8</v>
      </c>
      <c r="J125" s="47" t="n">
        <f aca="false">IFERROR(INDEX('Output Utente'!$G$2:$G$492,MATCH(122,'Output Utente'!$Q$2:$Q$492,0)),"")</f>
        <v>7</v>
      </c>
      <c r="K125" s="47" t="n">
        <f aca="false">IFERROR(INDEX('Output Utente'!$H$2:$H$492,MATCH(122,'Output Utente'!$Q$2:$Q$492,0)),"")</f>
        <v>9</v>
      </c>
      <c r="L125" s="7" t="str">
        <f aca="false">IFERROR(INDEX('Output Utente'!$E$2:$E$492,MATCH(122,'Output Utente'!$Q$2:$Q$492,0)),"")</f>
        <v>NO</v>
      </c>
      <c r="M125" s="7" t="str">
        <f aca="false">IFERROR(INDEX('Output Utente'!$U$2:$U$492,MATCH(122,'Output Utente'!$Q$2:$Q$492,0)),"")</f>
        <v>OK</v>
      </c>
      <c r="N125" s="7" t="str">
        <f aca="false">IFERROR(INDEX('Output Utente'!$AE$2:$AE$492,MATCH(122,'Output Utente'!$Q$2:$Q$492,0)),"")</f>
        <v>🟡 Attesa rischiosa</v>
      </c>
    </row>
    <row r="126" customFormat="false" ht="15" hidden="false" customHeight="true" outlineLevel="0" collapsed="false">
      <c r="A126" s="46" t="n">
        <v>123</v>
      </c>
      <c r="B126" s="7" t="n">
        <f aca="false">IFERROR(INDEX('Output Utente'!$A$2:$A$492,MATCH(123,'Output Utente'!$Q$2:$Q$492,0)),"")</f>
        <v>6496</v>
      </c>
      <c r="C126" s="7" t="str">
        <f aca="false">IFERROR(INDEX('Output Utente'!$B$2:$B$492,MATCH(123,'Output Utente'!$Q$2:$Q$492,0)),"")</f>
        <v>D</v>
      </c>
      <c r="D126" s="7" t="str">
        <f aca="false">IFERROR(INDEX('Output Utente'!$C$2:$C$492,MATCH(123,'Output Utente'!$Q$2:$Q$492,0)),"")</f>
        <v>Bartesaghi</v>
      </c>
      <c r="E126" s="7" t="str">
        <f aca="false">IFERROR(INDEX('Input Giocatori 2026_27'!$D$3:$D$493,MATCH($B126,'Input Giocatori 2026_27'!$A$3:$A$493,0)),"")</f>
        <v>Milan</v>
      </c>
      <c r="F126" s="47" t="n">
        <f aca="false">IFERROR(INDEX('Output Utente'!$N$2:$N$492,MATCH(123,'Output Utente'!$Q$2:$Q$492,0)),"")</f>
        <v>8</v>
      </c>
      <c r="G126" s="47" t="n">
        <f aca="false">IFERROR(INDEX('Output Utente'!$O$2:$O$492,MATCH(123,'Output Utente'!$Q$2:$Q$492,0)),"")</f>
        <v>25</v>
      </c>
      <c r="H126" s="7" t="str">
        <f aca="false">IFERROR(INDEX('Output Utente'!$P$2:$P$492,MATCH(123,'Output Utente'!$Q$2:$Q$492,0)),"")</f>
        <v>Top</v>
      </c>
      <c r="I126" s="47" t="n">
        <f aca="false">IFERROR(INDEX('Output Utente'!$F$2:$F$492,MATCH(123,'Output Utente'!$Q$2:$Q$492,0)),"")</f>
        <v>4</v>
      </c>
      <c r="J126" s="47" t="n">
        <f aca="false">IFERROR(INDEX('Output Utente'!$G$2:$G$492,MATCH(123,'Output Utente'!$Q$2:$Q$492,0)),"")</f>
        <v>3</v>
      </c>
      <c r="K126" s="47" t="n">
        <f aca="false">IFERROR(INDEX('Output Utente'!$H$2:$H$492,MATCH(123,'Output Utente'!$Q$2:$Q$492,0)),"")</f>
        <v>5</v>
      </c>
      <c r="L126" s="7" t="str">
        <f aca="false">IFERROR(INDEX('Output Utente'!$E$2:$E$492,MATCH(123,'Output Utente'!$Q$2:$Q$492,0)),"")</f>
        <v>NO</v>
      </c>
      <c r="M126" s="7" t="str">
        <f aca="false">IFERROR(INDEX('Output Utente'!$U$2:$U$492,MATCH(123,'Output Utente'!$Q$2:$Q$492,0)),"")</f>
        <v>OK</v>
      </c>
      <c r="N126" s="7" t="str">
        <f aca="false">IFERROR(INDEX('Output Utente'!$AE$2:$AE$492,MATCH(123,'Output Utente'!$Q$2:$Q$492,0)),"")</f>
        <v>🟡 Attesa rischiosa</v>
      </c>
    </row>
    <row r="127" customFormat="false" ht="15" hidden="false" customHeight="true" outlineLevel="0" collapsed="false">
      <c r="A127" s="46" t="n">
        <v>124</v>
      </c>
      <c r="B127" s="7" t="n">
        <f aca="false">IFERROR(INDEX('Output Utente'!$A$2:$A$492,MATCH(124,'Output Utente'!$Q$2:$Q$492,0)),"")</f>
        <v>6398</v>
      </c>
      <c r="C127" s="7" t="str">
        <f aca="false">IFERROR(INDEX('Output Utente'!$B$2:$B$492,MATCH(124,'Output Utente'!$Q$2:$Q$492,0)),"")</f>
        <v>C</v>
      </c>
      <c r="D127" s="7" t="str">
        <f aca="false">IFERROR(INDEX('Output Utente'!$C$2:$C$492,MATCH(124,'Output Utente'!$Q$2:$Q$492,0)),"")</f>
        <v>Isaksen</v>
      </c>
      <c r="E127" s="7" t="str">
        <f aca="false">IFERROR(INDEX('Input Giocatori 2026_27'!$D$3:$D$493,MATCH($B127,'Input Giocatori 2026_27'!$A$3:$A$493,0)),"")</f>
        <v>Lazio</v>
      </c>
      <c r="F127" s="47" t="n">
        <f aca="false">IFERROR(INDEX('Output Utente'!$N$2:$N$492,MATCH(124,'Output Utente'!$Q$2:$Q$492,0)),"")</f>
        <v>9</v>
      </c>
      <c r="G127" s="47" t="n">
        <f aca="false">IFERROR(INDEX('Output Utente'!$O$2:$O$492,MATCH(124,'Output Utente'!$Q$2:$Q$492,0)),"")</f>
        <v>25</v>
      </c>
      <c r="H127" s="7" t="str">
        <f aca="false">IFERROR(INDEX('Output Utente'!$P$2:$P$492,MATCH(124,'Output Utente'!$Q$2:$Q$492,0)),"")</f>
        <v>Buono</v>
      </c>
      <c r="I127" s="47" t="n">
        <f aca="false">IFERROR(INDEX('Output Utente'!$F$2:$F$492,MATCH(124,'Output Utente'!$Q$2:$Q$492,0)),"")</f>
        <v>3</v>
      </c>
      <c r="J127" s="47" t="n">
        <f aca="false">IFERROR(INDEX('Output Utente'!$G$2:$G$492,MATCH(124,'Output Utente'!$Q$2:$Q$492,0)),"")</f>
        <v>2</v>
      </c>
      <c r="K127" s="47" t="n">
        <f aca="false">IFERROR(INDEX('Output Utente'!$H$2:$H$492,MATCH(124,'Output Utente'!$Q$2:$Q$492,0)),"")</f>
        <v>4</v>
      </c>
      <c r="L127" s="7" t="str">
        <f aca="false">IFERROR(INDEX('Output Utente'!$E$2:$E$492,MATCH(124,'Output Utente'!$Q$2:$Q$492,0)),"")</f>
        <v>NO</v>
      </c>
      <c r="M127" s="7" t="str">
        <f aca="false">IFERROR(INDEX('Output Utente'!$U$2:$U$492,MATCH(124,'Output Utente'!$Q$2:$Q$492,0)),"")</f>
        <v>OK</v>
      </c>
      <c r="N127" s="7" t="str">
        <f aca="false">IFERROR(INDEX('Output Utente'!$AE$2:$AE$492,MATCH(124,'Output Utente'!$Q$2:$Q$492,0)),"")</f>
        <v>🟡 Attesa rischiosa</v>
      </c>
    </row>
    <row r="128" customFormat="false" ht="15" hidden="false" customHeight="true" outlineLevel="0" collapsed="false">
      <c r="A128" s="46" t="n">
        <v>125</v>
      </c>
      <c r="B128" s="7" t="n">
        <f aca="false">IFERROR(INDEX('Output Utente'!$A$2:$A$492,MATCH(125,'Output Utente'!$Q$2:$Q$492,0)),"")</f>
        <v>4436</v>
      </c>
      <c r="C128" s="7" t="str">
        <f aca="false">IFERROR(INDEX('Output Utente'!$B$2:$B$492,MATCH(125,'Output Utente'!$Q$2:$Q$492,0)),"")</f>
        <v>C</v>
      </c>
      <c r="D128" s="7" t="str">
        <f aca="false">IFERROR(INDEX('Output Utente'!$C$2:$C$492,MATCH(125,'Output Utente'!$Q$2:$Q$492,0)),"")</f>
        <v>Cambiaghi</v>
      </c>
      <c r="E128" s="7" t="str">
        <f aca="false">IFERROR(INDEX('Input Giocatori 2026_27'!$D$3:$D$493,MATCH($B128,'Input Giocatori 2026_27'!$A$3:$A$493,0)),"")</f>
        <v>Bologna</v>
      </c>
      <c r="F128" s="47" t="n">
        <f aca="false">IFERROR(INDEX('Output Utente'!$N$2:$N$492,MATCH(125,'Output Utente'!$Q$2:$Q$492,0)),"")</f>
        <v>8</v>
      </c>
      <c r="G128" s="47" t="n">
        <f aca="false">IFERROR(INDEX('Output Utente'!$O$2:$O$492,MATCH(125,'Output Utente'!$Q$2:$Q$492,0)),"")</f>
        <v>25</v>
      </c>
      <c r="H128" s="7" t="str">
        <f aca="false">IFERROR(INDEX('Output Utente'!$P$2:$P$492,MATCH(125,'Output Utente'!$Q$2:$Q$492,0)),"")</f>
        <v>Buono</v>
      </c>
      <c r="I128" s="47" t="n">
        <f aca="false">IFERROR(INDEX('Output Utente'!$F$2:$F$492,MATCH(125,'Output Utente'!$Q$2:$Q$492,0)),"")</f>
        <v>3</v>
      </c>
      <c r="J128" s="47" t="n">
        <f aca="false">IFERROR(INDEX('Output Utente'!$G$2:$G$492,MATCH(125,'Output Utente'!$Q$2:$Q$492,0)),"")</f>
        <v>2</v>
      </c>
      <c r="K128" s="47" t="n">
        <f aca="false">IFERROR(INDEX('Output Utente'!$H$2:$H$492,MATCH(125,'Output Utente'!$Q$2:$Q$492,0)),"")</f>
        <v>4</v>
      </c>
      <c r="L128" s="7" t="str">
        <f aca="false">IFERROR(INDEX('Output Utente'!$E$2:$E$492,MATCH(125,'Output Utente'!$Q$2:$Q$492,0)),"")</f>
        <v>NO</v>
      </c>
      <c r="M128" s="7" t="str">
        <f aca="false">IFERROR(INDEX('Output Utente'!$U$2:$U$492,MATCH(125,'Output Utente'!$Q$2:$Q$492,0)),"")</f>
        <v>OK</v>
      </c>
      <c r="N128" s="7" t="str">
        <f aca="false">IFERROR(INDEX('Output Utente'!$AE$2:$AE$492,MATCH(125,'Output Utente'!$Q$2:$Q$492,0)),"")</f>
        <v>🟡 Attesa rischiosa</v>
      </c>
    </row>
    <row r="129" customFormat="false" ht="15" hidden="false" customHeight="true" outlineLevel="0" collapsed="false">
      <c r="A129" s="46" t="n">
        <v>126</v>
      </c>
      <c r="B129" s="7" t="n">
        <f aca="false">IFERROR(INDEX('Output Utente'!$A$2:$A$492,MATCH(126,'Output Utente'!$Q$2:$Q$492,0)),"")</f>
        <v>6294</v>
      </c>
      <c r="C129" s="7" t="str">
        <f aca="false">IFERROR(INDEX('Output Utente'!$B$2:$B$492,MATCH(126,'Output Utente'!$Q$2:$Q$492,0)),"")</f>
        <v>C</v>
      </c>
      <c r="D129" s="7" t="str">
        <f aca="false">IFERROR(INDEX('Output Utente'!$C$2:$C$492,MATCH(126,'Output Utente'!$Q$2:$Q$492,0)),"")</f>
        <v>Ndour</v>
      </c>
      <c r="E129" s="7" t="str">
        <f aca="false">IFERROR(INDEX('Input Giocatori 2026_27'!$D$3:$D$493,MATCH($B129,'Input Giocatori 2026_27'!$A$3:$A$493,0)),"")</f>
        <v>Fiorentina</v>
      </c>
      <c r="F129" s="47" t="n">
        <f aca="false">IFERROR(INDEX('Output Utente'!$N$2:$N$492,MATCH(126,'Output Utente'!$Q$2:$Q$492,0)),"")</f>
        <v>8</v>
      </c>
      <c r="G129" s="47" t="n">
        <f aca="false">IFERROR(INDEX('Output Utente'!$O$2:$O$492,MATCH(126,'Output Utente'!$Q$2:$Q$492,0)),"")</f>
        <v>25</v>
      </c>
      <c r="H129" s="7" t="str">
        <f aca="false">IFERROR(INDEX('Output Utente'!$P$2:$P$492,MATCH(126,'Output Utente'!$Q$2:$Q$492,0)),"")</f>
        <v>Buono</v>
      </c>
      <c r="I129" s="47" t="n">
        <f aca="false">IFERROR(INDEX('Output Utente'!$F$2:$F$492,MATCH(126,'Output Utente'!$Q$2:$Q$492,0)),"")</f>
        <v>3</v>
      </c>
      <c r="J129" s="47" t="n">
        <f aca="false">IFERROR(INDEX('Output Utente'!$G$2:$G$492,MATCH(126,'Output Utente'!$Q$2:$Q$492,0)),"")</f>
        <v>2</v>
      </c>
      <c r="K129" s="47" t="n">
        <f aca="false">IFERROR(INDEX('Output Utente'!$H$2:$H$492,MATCH(126,'Output Utente'!$Q$2:$Q$492,0)),"")</f>
        <v>4</v>
      </c>
      <c r="L129" s="7" t="str">
        <f aca="false">IFERROR(INDEX('Output Utente'!$E$2:$E$492,MATCH(126,'Output Utente'!$Q$2:$Q$492,0)),"")</f>
        <v>NO</v>
      </c>
      <c r="M129" s="7" t="str">
        <f aca="false">IFERROR(INDEX('Output Utente'!$U$2:$U$492,MATCH(126,'Output Utente'!$Q$2:$Q$492,0)),"")</f>
        <v>OK</v>
      </c>
      <c r="N129" s="7" t="str">
        <f aca="false">IFERROR(INDEX('Output Utente'!$AE$2:$AE$492,MATCH(126,'Output Utente'!$Q$2:$Q$492,0)),"")</f>
        <v>🟡 Attesa rischiosa</v>
      </c>
    </row>
    <row r="130" customFormat="false" ht="15" hidden="false" customHeight="true" outlineLevel="0" collapsed="false">
      <c r="A130" s="46" t="n">
        <v>127</v>
      </c>
      <c r="B130" s="7" t="n">
        <f aca="false">IFERROR(INDEX('Output Utente'!$A$2:$A$492,MATCH(127,'Output Utente'!$Q$2:$Q$492,0)),"")</f>
        <v>5878</v>
      </c>
      <c r="C130" s="7" t="str">
        <f aca="false">IFERROR(INDEX('Output Utente'!$B$2:$B$492,MATCH(127,'Output Utente'!$Q$2:$Q$492,0)),"")</f>
        <v>C</v>
      </c>
      <c r="D130" s="7" t="str">
        <f aca="false">IFERROR(INDEX('Output Utente'!$C$2:$C$492,MATCH(127,'Output Utente'!$Q$2:$Q$492,0)),"")</f>
        <v>Colpani</v>
      </c>
      <c r="E130" s="7" t="str">
        <f aca="false">IFERROR(INDEX('Input Giocatori 2026_27'!$D$3:$D$493,MATCH($B130,'Input Giocatori 2026_27'!$A$3:$A$493,0)),"")</f>
        <v>Monza</v>
      </c>
      <c r="F130" s="47" t="n">
        <f aca="false">IFERROR(INDEX('Output Utente'!$N$2:$N$492,MATCH(127,'Output Utente'!$Q$2:$Q$492,0)),"")</f>
        <v>8</v>
      </c>
      <c r="G130" s="47" t="n">
        <f aca="false">IFERROR(INDEX('Output Utente'!$O$2:$O$492,MATCH(127,'Output Utente'!$Q$2:$Q$492,0)),"")</f>
        <v>25</v>
      </c>
      <c r="H130" s="7" t="str">
        <f aca="false">IFERROR(INDEX('Output Utente'!$P$2:$P$492,MATCH(127,'Output Utente'!$Q$2:$Q$492,0)),"")</f>
        <v>Buono</v>
      </c>
      <c r="I130" s="47" t="n">
        <f aca="false">IFERROR(INDEX('Output Utente'!$F$2:$F$492,MATCH(127,'Output Utente'!$Q$2:$Q$492,0)),"")</f>
        <v>3</v>
      </c>
      <c r="J130" s="47" t="n">
        <f aca="false">IFERROR(INDEX('Output Utente'!$G$2:$G$492,MATCH(127,'Output Utente'!$Q$2:$Q$492,0)),"")</f>
        <v>2</v>
      </c>
      <c r="K130" s="47" t="n">
        <f aca="false">IFERROR(INDEX('Output Utente'!$H$2:$H$492,MATCH(127,'Output Utente'!$Q$2:$Q$492,0)),"")</f>
        <v>4</v>
      </c>
      <c r="L130" s="7" t="str">
        <f aca="false">IFERROR(INDEX('Output Utente'!$E$2:$E$492,MATCH(127,'Output Utente'!$Q$2:$Q$492,0)),"")</f>
        <v>NO</v>
      </c>
      <c r="M130" s="7" t="str">
        <f aca="false">IFERROR(INDEX('Output Utente'!$U$2:$U$492,MATCH(127,'Output Utente'!$Q$2:$Q$492,0)),"")</f>
        <v>OK</v>
      </c>
      <c r="N130" s="7" t="str">
        <f aca="false">IFERROR(INDEX('Output Utente'!$AE$2:$AE$492,MATCH(127,'Output Utente'!$Q$2:$Q$492,0)),"")</f>
        <v>🟡 Attesa rischiosa</v>
      </c>
    </row>
    <row r="131" customFormat="false" ht="15" hidden="false" customHeight="true" outlineLevel="0" collapsed="false">
      <c r="A131" s="46" t="n">
        <v>128</v>
      </c>
      <c r="B131" s="7" t="n">
        <f aca="false">IFERROR(INDEX('Output Utente'!$A$2:$A$492,MATCH(128,'Output Utente'!$Q$2:$Q$492,0)),"")</f>
        <v>7472</v>
      </c>
      <c r="C131" s="7" t="str">
        <f aca="false">IFERROR(INDEX('Output Utente'!$B$2:$B$492,MATCH(128,'Output Utente'!$Q$2:$Q$492,0)),"")</f>
        <v>C</v>
      </c>
      <c r="D131" s="7" t="str">
        <f aca="false">IFERROR(INDEX('Output Utente'!$C$2:$C$492,MATCH(128,'Output Utente'!$Q$2:$Q$492,0)),"")</f>
        <v>Calò</v>
      </c>
      <c r="E131" s="7" t="str">
        <f aca="false">IFERROR(INDEX('Input Giocatori 2026_27'!$D$3:$D$493,MATCH($B131,'Input Giocatori 2026_27'!$A$3:$A$493,0)),"")</f>
        <v>Frosinone</v>
      </c>
      <c r="F131" s="47" t="n">
        <f aca="false">IFERROR(INDEX('Output Utente'!$N$2:$N$492,MATCH(128,'Output Utente'!$Q$2:$Q$492,0)),"")</f>
        <v>7</v>
      </c>
      <c r="G131" s="47" t="n">
        <f aca="false">IFERROR(INDEX('Output Utente'!$O$2:$O$492,MATCH(128,'Output Utente'!$Q$2:$Q$492,0)),"")</f>
        <v>25</v>
      </c>
      <c r="H131" s="7" t="str">
        <f aca="false">IFERROR(INDEX('Output Utente'!$P$2:$P$492,MATCH(128,'Output Utente'!$Q$2:$Q$492,0)),"")</f>
        <v>Buono</v>
      </c>
      <c r="I131" s="47" t="n">
        <f aca="false">IFERROR(INDEX('Output Utente'!$F$2:$F$492,MATCH(128,'Output Utente'!$Q$2:$Q$492,0)),"")</f>
        <v>3</v>
      </c>
      <c r="J131" s="47" t="n">
        <f aca="false">IFERROR(INDEX('Output Utente'!$G$2:$G$492,MATCH(128,'Output Utente'!$Q$2:$Q$492,0)),"")</f>
        <v>2</v>
      </c>
      <c r="K131" s="47" t="n">
        <f aca="false">IFERROR(INDEX('Output Utente'!$H$2:$H$492,MATCH(128,'Output Utente'!$Q$2:$Q$492,0)),"")</f>
        <v>4</v>
      </c>
      <c r="L131" s="7" t="str">
        <f aca="false">IFERROR(INDEX('Output Utente'!$E$2:$E$492,MATCH(128,'Output Utente'!$Q$2:$Q$492,0)),"")</f>
        <v>NO</v>
      </c>
      <c r="M131" s="7" t="str">
        <f aca="false">IFERROR(INDEX('Output Utente'!$U$2:$U$492,MATCH(128,'Output Utente'!$Q$2:$Q$492,0)),"")</f>
        <v>OK</v>
      </c>
      <c r="N131" s="7" t="str">
        <f aca="false">IFERROR(INDEX('Output Utente'!$AE$2:$AE$492,MATCH(128,'Output Utente'!$Q$2:$Q$492,0)),"")</f>
        <v>🟡 Attesa rischiosa</v>
      </c>
    </row>
    <row r="132" customFormat="false" ht="15" hidden="false" customHeight="true" outlineLevel="0" collapsed="false">
      <c r="A132" s="46" t="n">
        <v>129</v>
      </c>
      <c r="B132" s="7" t="n">
        <f aca="false">IFERROR(INDEX('Output Utente'!$A$2:$A$492,MATCH(129,'Output Utente'!$Q$2:$Q$492,0)),"")</f>
        <v>5029</v>
      </c>
      <c r="C132" s="7" t="str">
        <f aca="false">IFERROR(INDEX('Output Utente'!$B$2:$B$492,MATCH(129,'Output Utente'!$Q$2:$Q$492,0)),"")</f>
        <v>A</v>
      </c>
      <c r="D132" s="7" t="str">
        <f aca="false">IFERROR(INDEX('Output Utente'!$C$2:$C$492,MATCH(129,'Output Utente'!$Q$2:$Q$492,0)),"")</f>
        <v>Geubbels</v>
      </c>
      <c r="E132" s="7" t="str">
        <f aca="false">IFERROR(INDEX('Input Giocatori 2026_27'!$D$3:$D$493,MATCH($B132,'Input Giocatori 2026_27'!$A$3:$A$493,0)),"")</f>
        <v>Lecce</v>
      </c>
      <c r="F132" s="47" t="n">
        <f aca="false">IFERROR(INDEX('Output Utente'!$N$2:$N$492,MATCH(129,'Output Utente'!$Q$2:$Q$492,0)),"")</f>
        <v>9</v>
      </c>
      <c r="G132" s="47" t="n">
        <f aca="false">IFERROR(INDEX('Output Utente'!$O$2:$O$492,MATCH(129,'Output Utente'!$Q$2:$Q$492,0)),"")</f>
        <v>25</v>
      </c>
      <c r="H132" s="7" t="str">
        <f aca="false">IFERROR(INDEX('Output Utente'!$P$2:$P$492,MATCH(129,'Output Utente'!$Q$2:$Q$492,0)),"")</f>
        <v>Nella Media</v>
      </c>
      <c r="I132" s="47" t="n">
        <f aca="false">IFERROR(INDEX('Output Utente'!$F$2:$F$492,MATCH(129,'Output Utente'!$Q$2:$Q$492,0)),"")</f>
        <v>8</v>
      </c>
      <c r="J132" s="47" t="n">
        <f aca="false">IFERROR(INDEX('Output Utente'!$G$2:$G$492,MATCH(129,'Output Utente'!$Q$2:$Q$492,0)),"")</f>
        <v>5</v>
      </c>
      <c r="K132" s="47" t="n">
        <f aca="false">IFERROR(INDEX('Output Utente'!$H$2:$H$492,MATCH(129,'Output Utente'!$Q$2:$Q$492,0)),"")</f>
        <v>9</v>
      </c>
      <c r="L132" s="7" t="str">
        <f aca="false">IFERROR(INDEX('Output Utente'!$E$2:$E$492,MATCH(129,'Output Utente'!$Q$2:$Q$492,0)),"")</f>
        <v>NO</v>
      </c>
      <c r="M132" s="7" t="str">
        <f aca="false">IFERROR(INDEX('Output Utente'!$U$2:$U$492,MATCH(129,'Output Utente'!$Q$2:$Q$492,0)),"")</f>
        <v>OK</v>
      </c>
      <c r="N132" s="7" t="str">
        <f aca="false">IFERROR(INDEX('Output Utente'!$AE$2:$AE$492,MATCH(129,'Output Utente'!$Q$2:$Q$492,0)),"")</f>
        <v>🔴 Non aspettare</v>
      </c>
    </row>
    <row r="133" customFormat="false" ht="15" hidden="false" customHeight="true" outlineLevel="0" collapsed="false">
      <c r="A133" s="46" t="n">
        <v>130</v>
      </c>
      <c r="B133" s="7" t="n">
        <f aca="false">IFERROR(INDEX('Output Utente'!$A$2:$A$492,MATCH(130,'Output Utente'!$Q$2:$Q$492,0)),"")</f>
        <v>2832</v>
      </c>
      <c r="C133" s="7" t="str">
        <f aca="false">IFERROR(INDEX('Output Utente'!$B$2:$B$492,MATCH(130,'Output Utente'!$Q$2:$Q$492,0)),"")</f>
        <v>A</v>
      </c>
      <c r="D133" s="7" t="str">
        <f aca="false">IFERROR(INDEX('Output Utente'!$C$2:$C$492,MATCH(130,'Output Utente'!$Q$2:$Q$492,0)),"")</f>
        <v>Boga</v>
      </c>
      <c r="E133" s="7" t="str">
        <f aca="false">IFERROR(INDEX('Input Giocatori 2026_27'!$D$3:$D$493,MATCH($B133,'Input Giocatori 2026_27'!$A$3:$A$493,0)),"")</f>
        <v>Juventus</v>
      </c>
      <c r="F133" s="47" t="n">
        <f aca="false">IFERROR(INDEX('Output Utente'!$N$2:$N$492,MATCH(130,'Output Utente'!$Q$2:$Q$492,0)),"")</f>
        <v>6</v>
      </c>
      <c r="G133" s="47" t="n">
        <f aca="false">IFERROR(INDEX('Output Utente'!$O$2:$O$492,MATCH(130,'Output Utente'!$Q$2:$Q$492,0)),"")</f>
        <v>25</v>
      </c>
      <c r="H133" s="7" t="str">
        <f aca="false">IFERROR(INDEX('Output Utente'!$P$2:$P$492,MATCH(130,'Output Utente'!$Q$2:$Q$492,0)),"")</f>
        <v>Nella Media</v>
      </c>
      <c r="I133" s="47" t="n">
        <f aca="false">IFERROR(INDEX('Output Utente'!$F$2:$F$492,MATCH(130,'Output Utente'!$Q$2:$Q$492,0)),"")</f>
        <v>8</v>
      </c>
      <c r="J133" s="47" t="n">
        <f aca="false">IFERROR(INDEX('Output Utente'!$G$2:$G$492,MATCH(130,'Output Utente'!$Q$2:$Q$492,0)),"")</f>
        <v>5</v>
      </c>
      <c r="K133" s="47" t="n">
        <f aca="false">IFERROR(INDEX('Output Utente'!$H$2:$H$492,MATCH(130,'Output Utente'!$Q$2:$Q$492,0)),"")</f>
        <v>9</v>
      </c>
      <c r="L133" s="7" t="str">
        <f aca="false">IFERROR(INDEX('Output Utente'!$E$2:$E$492,MATCH(130,'Output Utente'!$Q$2:$Q$492,0)),"")</f>
        <v>NO</v>
      </c>
      <c r="M133" s="7" t="str">
        <f aca="false">IFERROR(INDEX('Output Utente'!$U$2:$U$492,MATCH(130,'Output Utente'!$Q$2:$Q$492,0)),"")</f>
        <v>OK</v>
      </c>
      <c r="N133" s="7" t="str">
        <f aca="false">IFERROR(INDEX('Output Utente'!$AE$2:$AE$492,MATCH(130,'Output Utente'!$Q$2:$Q$492,0)),"")</f>
        <v>🔴 Non aspettare</v>
      </c>
    </row>
    <row r="134" customFormat="false" ht="15" hidden="false" customHeight="true" outlineLevel="0" collapsed="false">
      <c r="A134" s="46" t="n">
        <v>131</v>
      </c>
      <c r="B134" s="7" t="n">
        <f aca="false">IFERROR(INDEX('Output Utente'!$A$2:$A$492,MATCH(131,'Output Utente'!$Q$2:$Q$492,0)),"")</f>
        <v>554</v>
      </c>
      <c r="C134" s="7" t="str">
        <f aca="false">IFERROR(INDEX('Output Utente'!$B$2:$B$492,MATCH(131,'Output Utente'!$Q$2:$Q$492,0)),"")</f>
        <v>D</v>
      </c>
      <c r="D134" s="7" t="str">
        <f aca="false">IFERROR(INDEX('Output Utente'!$C$2:$C$492,MATCH(131,'Output Utente'!$Q$2:$Q$492,0)),"")</f>
        <v>Zappacosta</v>
      </c>
      <c r="E134" s="7" t="str">
        <f aca="false">IFERROR(INDEX('Input Giocatori 2026_27'!$D$3:$D$493,MATCH($B134,'Input Giocatori 2026_27'!$A$3:$A$493,0)),"")</f>
        <v>Atalanta</v>
      </c>
      <c r="F134" s="47" t="n">
        <f aca="false">IFERROR(INDEX('Output Utente'!$N$2:$N$492,MATCH(131,'Output Utente'!$Q$2:$Q$492,0)),"")</f>
        <v>8</v>
      </c>
      <c r="G134" s="47" t="n">
        <f aca="false">IFERROR(INDEX('Output Utente'!$O$2:$O$492,MATCH(131,'Output Utente'!$Q$2:$Q$492,0)),"")</f>
        <v>24</v>
      </c>
      <c r="H134" s="7" t="str">
        <f aca="false">IFERROR(INDEX('Output Utente'!$P$2:$P$492,MATCH(131,'Output Utente'!$Q$2:$Q$492,0)),"")</f>
        <v>Top</v>
      </c>
      <c r="I134" s="47" t="n">
        <f aca="false">IFERROR(INDEX('Output Utente'!$F$2:$F$492,MATCH(131,'Output Utente'!$Q$2:$Q$492,0)),"")</f>
        <v>4</v>
      </c>
      <c r="J134" s="47" t="n">
        <f aca="false">IFERROR(INDEX('Output Utente'!$G$2:$G$492,MATCH(131,'Output Utente'!$Q$2:$Q$492,0)),"")</f>
        <v>3</v>
      </c>
      <c r="K134" s="47" t="n">
        <f aca="false">IFERROR(INDEX('Output Utente'!$H$2:$H$492,MATCH(131,'Output Utente'!$Q$2:$Q$492,0)),"")</f>
        <v>5</v>
      </c>
      <c r="L134" s="7" t="str">
        <f aca="false">IFERROR(INDEX('Output Utente'!$E$2:$E$492,MATCH(131,'Output Utente'!$Q$2:$Q$492,0)),"")</f>
        <v>NO</v>
      </c>
      <c r="M134" s="7" t="str">
        <f aca="false">IFERROR(INDEX('Output Utente'!$U$2:$U$492,MATCH(131,'Output Utente'!$Q$2:$Q$492,0)),"")</f>
        <v>OK</v>
      </c>
      <c r="N134" s="7" t="str">
        <f aca="false">IFERROR(INDEX('Output Utente'!$AE$2:$AE$492,MATCH(131,'Output Utente'!$Q$2:$Q$492,0)),"")</f>
        <v>🟡 Attesa rischiosa</v>
      </c>
    </row>
    <row r="135" customFormat="false" ht="15" hidden="false" customHeight="true" outlineLevel="0" collapsed="false">
      <c r="A135" s="46" t="n">
        <v>132</v>
      </c>
      <c r="B135" s="7" t="n">
        <f aca="false">IFERROR(INDEX('Output Utente'!$A$2:$A$492,MATCH(132,'Output Utente'!$Q$2:$Q$492,0)),"")</f>
        <v>4734</v>
      </c>
      <c r="C135" s="7" t="str">
        <f aca="false">IFERROR(INDEX('Output Utente'!$B$2:$B$492,MATCH(132,'Output Utente'!$Q$2:$Q$492,0)),"")</f>
        <v>D</v>
      </c>
      <c r="D135" s="7" t="str">
        <f aca="false">IFERROR(INDEX('Output Utente'!$C$2:$C$492,MATCH(132,'Output Utente'!$Q$2:$Q$492,0)),"")</f>
        <v>Miranda J.</v>
      </c>
      <c r="E135" s="7" t="str">
        <f aca="false">IFERROR(INDEX('Input Giocatori 2026_27'!$D$3:$D$493,MATCH($B135,'Input Giocatori 2026_27'!$A$3:$A$493,0)),"")</f>
        <v>Bologna</v>
      </c>
      <c r="F135" s="47" t="n">
        <f aca="false">IFERROR(INDEX('Output Utente'!$N$2:$N$492,MATCH(132,'Output Utente'!$Q$2:$Q$492,0)),"")</f>
        <v>8</v>
      </c>
      <c r="G135" s="47" t="n">
        <f aca="false">IFERROR(INDEX('Output Utente'!$O$2:$O$492,MATCH(132,'Output Utente'!$Q$2:$Q$492,0)),"")</f>
        <v>24</v>
      </c>
      <c r="H135" s="7" t="str">
        <f aca="false">IFERROR(INDEX('Output Utente'!$P$2:$P$492,MATCH(132,'Output Utente'!$Q$2:$Q$492,0)),"")</f>
        <v>Top</v>
      </c>
      <c r="I135" s="47" t="n">
        <f aca="false">IFERROR(INDEX('Output Utente'!$F$2:$F$492,MATCH(132,'Output Utente'!$Q$2:$Q$492,0)),"")</f>
        <v>4</v>
      </c>
      <c r="J135" s="47" t="n">
        <f aca="false">IFERROR(INDEX('Output Utente'!$G$2:$G$492,MATCH(132,'Output Utente'!$Q$2:$Q$492,0)),"")</f>
        <v>3</v>
      </c>
      <c r="K135" s="47" t="n">
        <f aca="false">IFERROR(INDEX('Output Utente'!$H$2:$H$492,MATCH(132,'Output Utente'!$Q$2:$Q$492,0)),"")</f>
        <v>5</v>
      </c>
      <c r="L135" s="7" t="str">
        <f aca="false">IFERROR(INDEX('Output Utente'!$E$2:$E$492,MATCH(132,'Output Utente'!$Q$2:$Q$492,0)),"")</f>
        <v>NO</v>
      </c>
      <c r="M135" s="7" t="str">
        <f aca="false">IFERROR(INDEX('Output Utente'!$U$2:$U$492,MATCH(132,'Output Utente'!$Q$2:$Q$492,0)),"")</f>
        <v>OK</v>
      </c>
      <c r="N135" s="7" t="str">
        <f aca="false">IFERROR(INDEX('Output Utente'!$AE$2:$AE$492,MATCH(132,'Output Utente'!$Q$2:$Q$492,0)),"")</f>
        <v>🟡 Attesa rischiosa</v>
      </c>
    </row>
    <row r="136" customFormat="false" ht="15" hidden="false" customHeight="true" outlineLevel="0" collapsed="false">
      <c r="A136" s="46" t="n">
        <v>133</v>
      </c>
      <c r="B136" s="7" t="n">
        <f aca="false">IFERROR(INDEX('Output Utente'!$A$2:$A$492,MATCH(133,'Output Utente'!$Q$2:$Q$492,0)),"")</f>
        <v>1852</v>
      </c>
      <c r="C136" s="7" t="str">
        <f aca="false">IFERROR(INDEX('Output Utente'!$B$2:$B$492,MATCH(133,'Output Utente'!$Q$2:$Q$492,0)),"")</f>
        <v>D</v>
      </c>
      <c r="D136" s="7" t="str">
        <f aca="false">IFERROR(INDEX('Output Utente'!$C$2:$C$492,MATCH(133,'Output Utente'!$Q$2:$Q$492,0)),"")</f>
        <v>Spinazzola</v>
      </c>
      <c r="E136" s="7" t="str">
        <f aca="false">IFERROR(INDEX('Input Giocatori 2026_27'!$D$3:$D$493,MATCH($B136,'Input Giocatori 2026_27'!$A$3:$A$493,0)),"")</f>
        <v>Napoli</v>
      </c>
      <c r="F136" s="47" t="n">
        <f aca="false">IFERROR(INDEX('Output Utente'!$N$2:$N$492,MATCH(133,'Output Utente'!$Q$2:$Q$492,0)),"")</f>
        <v>8</v>
      </c>
      <c r="G136" s="47" t="n">
        <f aca="false">IFERROR(INDEX('Output Utente'!$O$2:$O$492,MATCH(133,'Output Utente'!$Q$2:$Q$492,0)),"")</f>
        <v>24</v>
      </c>
      <c r="H136" s="7" t="str">
        <f aca="false">IFERROR(INDEX('Output Utente'!$P$2:$P$492,MATCH(133,'Output Utente'!$Q$2:$Q$492,0)),"")</f>
        <v>Top</v>
      </c>
      <c r="I136" s="47" t="n">
        <f aca="false">IFERROR(INDEX('Output Utente'!$F$2:$F$492,MATCH(133,'Output Utente'!$Q$2:$Q$492,0)),"")</f>
        <v>4</v>
      </c>
      <c r="J136" s="47" t="n">
        <f aca="false">IFERROR(INDEX('Output Utente'!$G$2:$G$492,MATCH(133,'Output Utente'!$Q$2:$Q$492,0)),"")</f>
        <v>3</v>
      </c>
      <c r="K136" s="47" t="n">
        <f aca="false">IFERROR(INDEX('Output Utente'!$H$2:$H$492,MATCH(133,'Output Utente'!$Q$2:$Q$492,0)),"")</f>
        <v>5</v>
      </c>
      <c r="L136" s="7" t="str">
        <f aca="false">IFERROR(INDEX('Output Utente'!$E$2:$E$492,MATCH(133,'Output Utente'!$Q$2:$Q$492,0)),"")</f>
        <v>NO</v>
      </c>
      <c r="M136" s="7" t="str">
        <f aca="false">IFERROR(INDEX('Output Utente'!$U$2:$U$492,MATCH(133,'Output Utente'!$Q$2:$Q$492,0)),"")</f>
        <v>OK</v>
      </c>
      <c r="N136" s="7" t="str">
        <f aca="false">IFERROR(INDEX('Output Utente'!$AE$2:$AE$492,MATCH(133,'Output Utente'!$Q$2:$Q$492,0)),"")</f>
        <v>🟡 Attesa rischiosa</v>
      </c>
    </row>
    <row r="137" customFormat="false" ht="15" hidden="false" customHeight="true" outlineLevel="0" collapsed="false">
      <c r="A137" s="46" t="n">
        <v>134</v>
      </c>
      <c r="B137" s="7" t="n">
        <f aca="false">IFERROR(INDEX('Output Utente'!$A$2:$A$492,MATCH(134,'Output Utente'!$Q$2:$Q$492,0)),"")</f>
        <v>5862</v>
      </c>
      <c r="C137" s="7" t="str">
        <f aca="false">IFERROR(INDEX('Output Utente'!$B$2:$B$492,MATCH(134,'Output Utente'!$Q$2:$Q$492,0)),"")</f>
        <v>D</v>
      </c>
      <c r="D137" s="7" t="str">
        <f aca="false">IFERROR(INDEX('Output Utente'!$C$2:$C$492,MATCH(134,'Output Utente'!$Q$2:$Q$492,0)),"")</f>
        <v>Valeri</v>
      </c>
      <c r="E137" s="7" t="str">
        <f aca="false">IFERROR(INDEX('Input Giocatori 2026_27'!$D$3:$D$493,MATCH($B137,'Input Giocatori 2026_27'!$A$3:$A$493,0)),"")</f>
        <v>Parma</v>
      </c>
      <c r="F137" s="47" t="n">
        <f aca="false">IFERROR(INDEX('Output Utente'!$N$2:$N$492,MATCH(134,'Output Utente'!$Q$2:$Q$492,0)),"")</f>
        <v>8</v>
      </c>
      <c r="G137" s="47" t="n">
        <f aca="false">IFERROR(INDEX('Output Utente'!$O$2:$O$492,MATCH(134,'Output Utente'!$Q$2:$Q$492,0)),"")</f>
        <v>24</v>
      </c>
      <c r="H137" s="7" t="str">
        <f aca="false">IFERROR(INDEX('Output Utente'!$P$2:$P$492,MATCH(134,'Output Utente'!$Q$2:$Q$492,0)),"")</f>
        <v>Top</v>
      </c>
      <c r="I137" s="47" t="n">
        <f aca="false">IFERROR(INDEX('Output Utente'!$F$2:$F$492,MATCH(134,'Output Utente'!$Q$2:$Q$492,0)),"")</f>
        <v>4</v>
      </c>
      <c r="J137" s="47" t="n">
        <f aca="false">IFERROR(INDEX('Output Utente'!$G$2:$G$492,MATCH(134,'Output Utente'!$Q$2:$Q$492,0)),"")</f>
        <v>3</v>
      </c>
      <c r="K137" s="47" t="n">
        <f aca="false">IFERROR(INDEX('Output Utente'!$H$2:$H$492,MATCH(134,'Output Utente'!$Q$2:$Q$492,0)),"")</f>
        <v>5</v>
      </c>
      <c r="L137" s="7" t="str">
        <f aca="false">IFERROR(INDEX('Output Utente'!$E$2:$E$492,MATCH(134,'Output Utente'!$Q$2:$Q$492,0)),"")</f>
        <v>NO</v>
      </c>
      <c r="M137" s="7" t="str">
        <f aca="false">IFERROR(INDEX('Output Utente'!$U$2:$U$492,MATCH(134,'Output Utente'!$Q$2:$Q$492,0)),"")</f>
        <v>OK</v>
      </c>
      <c r="N137" s="7" t="str">
        <f aca="false">IFERROR(INDEX('Output Utente'!$AE$2:$AE$492,MATCH(134,'Output Utente'!$Q$2:$Q$492,0)),"")</f>
        <v>🟡 Attesa rischiosa</v>
      </c>
    </row>
    <row r="138" customFormat="false" ht="15" hidden="false" customHeight="true" outlineLevel="0" collapsed="false">
      <c r="A138" s="46" t="n">
        <v>135</v>
      </c>
      <c r="B138" s="7" t="n">
        <f aca="false">IFERROR(INDEX('Output Utente'!$A$2:$A$492,MATCH(135,'Output Utente'!$Q$2:$Q$492,0)),"")</f>
        <v>460</v>
      </c>
      <c r="C138" s="7" t="str">
        <f aca="false">IFERROR(INDEX('Output Utente'!$B$2:$B$492,MATCH(135,'Output Utente'!$Q$2:$Q$492,0)),"")</f>
        <v>D</v>
      </c>
      <c r="D138" s="7" t="str">
        <f aca="false">IFERROR(INDEX('Output Utente'!$C$2:$C$492,MATCH(135,'Output Utente'!$Q$2:$Q$492,0)),"")</f>
        <v>Romagnoli</v>
      </c>
      <c r="E138" s="7" t="str">
        <f aca="false">IFERROR(INDEX('Input Giocatori 2026_27'!$D$3:$D$493,MATCH($B138,'Input Giocatori 2026_27'!$A$3:$A$493,0)),"")</f>
        <v>Lazio</v>
      </c>
      <c r="F138" s="47" t="n">
        <f aca="false">IFERROR(INDEX('Output Utente'!$N$2:$N$492,MATCH(135,'Output Utente'!$Q$2:$Q$492,0)),"")</f>
        <v>7</v>
      </c>
      <c r="G138" s="47" t="n">
        <f aca="false">IFERROR(INDEX('Output Utente'!$O$2:$O$492,MATCH(135,'Output Utente'!$Q$2:$Q$492,0)),"")</f>
        <v>24</v>
      </c>
      <c r="H138" s="7" t="str">
        <f aca="false">IFERROR(INDEX('Output Utente'!$P$2:$P$492,MATCH(135,'Output Utente'!$Q$2:$Q$492,0)),"")</f>
        <v>Top</v>
      </c>
      <c r="I138" s="47" t="n">
        <f aca="false">IFERROR(INDEX('Output Utente'!$F$2:$F$492,MATCH(135,'Output Utente'!$Q$2:$Q$492,0)),"")</f>
        <v>4</v>
      </c>
      <c r="J138" s="47" t="n">
        <f aca="false">IFERROR(INDEX('Output Utente'!$G$2:$G$492,MATCH(135,'Output Utente'!$Q$2:$Q$492,0)),"")</f>
        <v>3</v>
      </c>
      <c r="K138" s="47" t="n">
        <f aca="false">IFERROR(INDEX('Output Utente'!$H$2:$H$492,MATCH(135,'Output Utente'!$Q$2:$Q$492,0)),"")</f>
        <v>5</v>
      </c>
      <c r="L138" s="7" t="str">
        <f aca="false">IFERROR(INDEX('Output Utente'!$E$2:$E$492,MATCH(135,'Output Utente'!$Q$2:$Q$492,0)),"")</f>
        <v>NO</v>
      </c>
      <c r="M138" s="7" t="str">
        <f aca="false">IFERROR(INDEX('Output Utente'!$U$2:$U$492,MATCH(135,'Output Utente'!$Q$2:$Q$492,0)),"")</f>
        <v>OK</v>
      </c>
      <c r="N138" s="7" t="str">
        <f aca="false">IFERROR(INDEX('Output Utente'!$AE$2:$AE$492,MATCH(135,'Output Utente'!$Q$2:$Q$492,0)),"")</f>
        <v>🟡 Attesa rischiosa</v>
      </c>
    </row>
    <row r="139" customFormat="false" ht="15" hidden="false" customHeight="true" outlineLevel="0" collapsed="false">
      <c r="A139" s="46" t="n">
        <v>136</v>
      </c>
      <c r="B139" s="7" t="n">
        <f aca="false">IFERROR(INDEX('Output Utente'!$A$2:$A$492,MATCH(136,'Output Utente'!$Q$2:$Q$492,0)),"")</f>
        <v>4364</v>
      </c>
      <c r="C139" s="7" t="str">
        <f aca="false">IFERROR(INDEX('Output Utente'!$B$2:$B$492,MATCH(136,'Output Utente'!$Q$2:$Q$492,0)),"")</f>
        <v>C</v>
      </c>
      <c r="D139" s="7" t="str">
        <f aca="false">IFERROR(INDEX('Output Utente'!$C$2:$C$492,MATCH(136,'Output Utente'!$Q$2:$Q$492,0)),"")</f>
        <v>Gaetano</v>
      </c>
      <c r="E139" s="7" t="str">
        <f aca="false">IFERROR(INDEX('Input Giocatori 2026_27'!$D$3:$D$493,MATCH($B139,'Input Giocatori 2026_27'!$A$3:$A$493,0)),"")</f>
        <v>Atalanta</v>
      </c>
      <c r="F139" s="47" t="n">
        <f aca="false">IFERROR(INDEX('Output Utente'!$N$2:$N$492,MATCH(136,'Output Utente'!$Q$2:$Q$492,0)),"")</f>
        <v>7</v>
      </c>
      <c r="G139" s="47" t="n">
        <f aca="false">IFERROR(INDEX('Output Utente'!$O$2:$O$492,MATCH(136,'Output Utente'!$Q$2:$Q$492,0)),"")</f>
        <v>24</v>
      </c>
      <c r="H139" s="7" t="str">
        <f aca="false">IFERROR(INDEX('Output Utente'!$P$2:$P$492,MATCH(136,'Output Utente'!$Q$2:$Q$492,0)),"")</f>
        <v>Buono</v>
      </c>
      <c r="I139" s="47" t="n">
        <f aca="false">IFERROR(INDEX('Output Utente'!$F$2:$F$492,MATCH(136,'Output Utente'!$Q$2:$Q$492,0)),"")</f>
        <v>3</v>
      </c>
      <c r="J139" s="47" t="n">
        <f aca="false">IFERROR(INDEX('Output Utente'!$G$2:$G$492,MATCH(136,'Output Utente'!$Q$2:$Q$492,0)),"")</f>
        <v>2</v>
      </c>
      <c r="K139" s="47" t="n">
        <f aca="false">IFERROR(INDEX('Output Utente'!$H$2:$H$492,MATCH(136,'Output Utente'!$Q$2:$Q$492,0)),"")</f>
        <v>4</v>
      </c>
      <c r="L139" s="7" t="str">
        <f aca="false">IFERROR(INDEX('Output Utente'!$E$2:$E$492,MATCH(136,'Output Utente'!$Q$2:$Q$492,0)),"")</f>
        <v>NO</v>
      </c>
      <c r="M139" s="7" t="str">
        <f aca="false">IFERROR(INDEX('Output Utente'!$U$2:$U$492,MATCH(136,'Output Utente'!$Q$2:$Q$492,0)),"")</f>
        <v>OK</v>
      </c>
      <c r="N139" s="7" t="str">
        <f aca="false">IFERROR(INDEX('Output Utente'!$AE$2:$AE$492,MATCH(136,'Output Utente'!$Q$2:$Q$492,0)),"")</f>
        <v>🟡 Attesa rischiosa</v>
      </c>
    </row>
    <row r="140" customFormat="false" ht="15" hidden="false" customHeight="true" outlineLevel="0" collapsed="false">
      <c r="A140" s="46" t="n">
        <v>137</v>
      </c>
      <c r="B140" s="7" t="n">
        <f aca="false">IFERROR(INDEX('Output Utente'!$A$2:$A$492,MATCH(137,'Output Utente'!$Q$2:$Q$492,0)),"")</f>
        <v>4359</v>
      </c>
      <c r="C140" s="7" t="str">
        <f aca="false">IFERROR(INDEX('Output Utente'!$B$2:$B$492,MATCH(137,'Output Utente'!$Q$2:$Q$492,0)),"")</f>
        <v>A</v>
      </c>
      <c r="D140" s="7" t="str">
        <f aca="false">IFERROR(INDEX('Output Utente'!$C$2:$C$492,MATCH(137,'Output Utente'!$Q$2:$Q$492,0)),"")</f>
        <v>Piccoli</v>
      </c>
      <c r="E140" s="7" t="str">
        <f aca="false">IFERROR(INDEX('Input Giocatori 2026_27'!$D$3:$D$493,MATCH($B140,'Input Giocatori 2026_27'!$A$3:$A$493,0)),"")</f>
        <v>Fiorentina</v>
      </c>
      <c r="F140" s="47" t="n">
        <f aca="false">IFERROR(INDEX('Output Utente'!$N$2:$N$492,MATCH(137,'Output Utente'!$Q$2:$Q$492,0)),"")</f>
        <v>8</v>
      </c>
      <c r="G140" s="47" t="n">
        <f aca="false">IFERROR(INDEX('Output Utente'!$O$2:$O$492,MATCH(137,'Output Utente'!$Q$2:$Q$492,0)),"")</f>
        <v>24</v>
      </c>
      <c r="H140" s="7" t="str">
        <f aca="false">IFERROR(INDEX('Output Utente'!$P$2:$P$492,MATCH(137,'Output Utente'!$Q$2:$Q$492,0)),"")</f>
        <v>Nella Media</v>
      </c>
      <c r="I140" s="47" t="n">
        <f aca="false">IFERROR(INDEX('Output Utente'!$F$2:$F$492,MATCH(137,'Output Utente'!$Q$2:$Q$492,0)),"")</f>
        <v>8</v>
      </c>
      <c r="J140" s="47" t="n">
        <f aca="false">IFERROR(INDEX('Output Utente'!$G$2:$G$492,MATCH(137,'Output Utente'!$Q$2:$Q$492,0)),"")</f>
        <v>5</v>
      </c>
      <c r="K140" s="47" t="n">
        <f aca="false">IFERROR(INDEX('Output Utente'!$H$2:$H$492,MATCH(137,'Output Utente'!$Q$2:$Q$492,0)),"")</f>
        <v>9</v>
      </c>
      <c r="L140" s="7" t="str">
        <f aca="false">IFERROR(INDEX('Output Utente'!$E$2:$E$492,MATCH(137,'Output Utente'!$Q$2:$Q$492,0)),"")</f>
        <v>NO</v>
      </c>
      <c r="M140" s="7" t="str">
        <f aca="false">IFERROR(INDEX('Output Utente'!$U$2:$U$492,MATCH(137,'Output Utente'!$Q$2:$Q$492,0)),"")</f>
        <v>OK</v>
      </c>
      <c r="N140" s="7" t="str">
        <f aca="false">IFERROR(INDEX('Output Utente'!$AE$2:$AE$492,MATCH(137,'Output Utente'!$Q$2:$Q$492,0)),"")</f>
        <v>🔴 Non aspettare</v>
      </c>
    </row>
    <row r="141" customFormat="false" ht="15" hidden="false" customHeight="true" outlineLevel="0" collapsed="false">
      <c r="A141" s="46" t="n">
        <v>138</v>
      </c>
      <c r="B141" s="7" t="n">
        <f aca="false">IFERROR(INDEX('Output Utente'!$A$2:$A$492,MATCH(138,'Output Utente'!$Q$2:$Q$492,0)),"")</f>
        <v>5436</v>
      </c>
      <c r="C141" s="7" t="str">
        <f aca="false">IFERROR(INDEX('Output Utente'!$B$2:$B$492,MATCH(138,'Output Utente'!$Q$2:$Q$492,0)),"")</f>
        <v>A</v>
      </c>
      <c r="D141" s="7" t="str">
        <f aca="false">IFERROR(INDEX('Output Utente'!$C$2:$C$492,MATCH(138,'Output Utente'!$Q$2:$Q$492,0)),"")</f>
        <v>Raimondo</v>
      </c>
      <c r="E141" s="7" t="str">
        <f aca="false">IFERROR(INDEX('Input Giocatori 2026_27'!$D$3:$D$493,MATCH($B141,'Input Giocatori 2026_27'!$A$3:$A$493,0)),"")</f>
        <v>Frosinone</v>
      </c>
      <c r="F141" s="47" t="n">
        <f aca="false">IFERROR(INDEX('Output Utente'!$N$2:$N$492,MATCH(138,'Output Utente'!$Q$2:$Q$492,0)),"")</f>
        <v>7</v>
      </c>
      <c r="G141" s="47" t="n">
        <f aca="false">IFERROR(INDEX('Output Utente'!$O$2:$O$492,MATCH(138,'Output Utente'!$Q$2:$Q$492,0)),"")</f>
        <v>24</v>
      </c>
      <c r="H141" s="7" t="str">
        <f aca="false">IFERROR(INDEX('Output Utente'!$P$2:$P$492,MATCH(138,'Output Utente'!$Q$2:$Q$492,0)),"")</f>
        <v>Nella Media</v>
      </c>
      <c r="I141" s="47" t="n">
        <f aca="false">IFERROR(INDEX('Output Utente'!$F$2:$F$492,MATCH(138,'Output Utente'!$Q$2:$Q$492,0)),"")</f>
        <v>8</v>
      </c>
      <c r="J141" s="47" t="n">
        <f aca="false">IFERROR(INDEX('Output Utente'!$G$2:$G$492,MATCH(138,'Output Utente'!$Q$2:$Q$492,0)),"")</f>
        <v>5</v>
      </c>
      <c r="K141" s="47" t="n">
        <f aca="false">IFERROR(INDEX('Output Utente'!$H$2:$H$492,MATCH(138,'Output Utente'!$Q$2:$Q$492,0)),"")</f>
        <v>9</v>
      </c>
      <c r="L141" s="7" t="str">
        <f aca="false">IFERROR(INDEX('Output Utente'!$E$2:$E$492,MATCH(138,'Output Utente'!$Q$2:$Q$492,0)),"")</f>
        <v>NO</v>
      </c>
      <c r="M141" s="7" t="str">
        <f aca="false">IFERROR(INDEX('Output Utente'!$U$2:$U$492,MATCH(138,'Output Utente'!$Q$2:$Q$492,0)),"")</f>
        <v>OK</v>
      </c>
      <c r="N141" s="7" t="str">
        <f aca="false">IFERROR(INDEX('Output Utente'!$AE$2:$AE$492,MATCH(138,'Output Utente'!$Q$2:$Q$492,0)),"")</f>
        <v>🔴 Non aspettare</v>
      </c>
    </row>
    <row r="142" customFormat="false" ht="15" hidden="false" customHeight="true" outlineLevel="0" collapsed="false">
      <c r="A142" s="46" t="n">
        <v>139</v>
      </c>
      <c r="B142" s="7" t="n">
        <f aca="false">IFERROR(INDEX('Output Utente'!$A$2:$A$492,MATCH(139,'Output Utente'!$Q$2:$Q$492,0)),"")</f>
        <v>6531</v>
      </c>
      <c r="C142" s="7" t="str">
        <f aca="false">IFERROR(INDEX('Output Utente'!$B$2:$B$492,MATCH(139,'Output Utente'!$Q$2:$Q$492,0)),"")</f>
        <v>D</v>
      </c>
      <c r="D142" s="7" t="str">
        <f aca="false">IFERROR(INDEX('Output Utente'!$C$2:$C$492,MATCH(139,'Output Utente'!$Q$2:$Q$492,0)),"")</f>
        <v>Jimenez A.</v>
      </c>
      <c r="E142" s="7" t="str">
        <f aca="false">IFERROR(INDEX('Input Giocatori 2026_27'!$D$3:$D$493,MATCH($B142,'Input Giocatori 2026_27'!$A$3:$A$493,0)),"")</f>
        <v>Fiorentina</v>
      </c>
      <c r="F142" s="47" t="n">
        <f aca="false">IFERROR(INDEX('Output Utente'!$N$2:$N$492,MATCH(139,'Output Utente'!$Q$2:$Q$492,0)),"")</f>
        <v>8</v>
      </c>
      <c r="G142" s="47" t="n">
        <f aca="false">IFERROR(INDEX('Output Utente'!$O$2:$O$492,MATCH(139,'Output Utente'!$Q$2:$Q$492,0)),"")</f>
        <v>23</v>
      </c>
      <c r="H142" s="7" t="str">
        <f aca="false">IFERROR(INDEX('Output Utente'!$P$2:$P$492,MATCH(139,'Output Utente'!$Q$2:$Q$492,0)),"")</f>
        <v>Buono</v>
      </c>
      <c r="I142" s="47" t="n">
        <f aca="false">IFERROR(INDEX('Output Utente'!$F$2:$F$492,MATCH(139,'Output Utente'!$Q$2:$Q$492,0)),"")</f>
        <v>4</v>
      </c>
      <c r="J142" s="47" t="n">
        <f aca="false">IFERROR(INDEX('Output Utente'!$G$2:$G$492,MATCH(139,'Output Utente'!$Q$2:$Q$492,0)),"")</f>
        <v>3</v>
      </c>
      <c r="K142" s="47" t="n">
        <f aca="false">IFERROR(INDEX('Output Utente'!$H$2:$H$492,MATCH(139,'Output Utente'!$Q$2:$Q$492,0)),"")</f>
        <v>4</v>
      </c>
      <c r="L142" s="7" t="str">
        <f aca="false">IFERROR(INDEX('Output Utente'!$E$2:$E$492,MATCH(139,'Output Utente'!$Q$2:$Q$492,0)),"")</f>
        <v>NO</v>
      </c>
      <c r="M142" s="7" t="str">
        <f aca="false">IFERROR(INDEX('Output Utente'!$U$2:$U$492,MATCH(139,'Output Utente'!$Q$2:$Q$492,0)),"")</f>
        <v>OK</v>
      </c>
      <c r="N142" s="7" t="str">
        <f aca="false">IFERROR(INDEX('Output Utente'!$AE$2:$AE$492,MATCH(139,'Output Utente'!$Q$2:$Q$492,0)),"")</f>
        <v>🟡 Attesa rischiosa</v>
      </c>
    </row>
    <row r="143" customFormat="false" ht="15" hidden="false" customHeight="true" outlineLevel="0" collapsed="false">
      <c r="A143" s="46" t="n">
        <v>140</v>
      </c>
      <c r="B143" s="7" t="n">
        <f aca="false">IFERROR(INDEX('Output Utente'!$A$2:$A$492,MATCH(140,'Output Utente'!$Q$2:$Q$492,0)),"")</f>
        <v>7414</v>
      </c>
      <c r="C143" s="7" t="str">
        <f aca="false">IFERROR(INDEX('Output Utente'!$B$2:$B$492,MATCH(140,'Output Utente'!$Q$2:$Q$492,0)),"")</f>
        <v>D</v>
      </c>
      <c r="D143" s="7" t="str">
        <f aca="false">IFERROR(INDEX('Output Utente'!$C$2:$C$492,MATCH(140,'Output Utente'!$Q$2:$Q$492,0)),"")</f>
        <v>Kaiki</v>
      </c>
      <c r="E143" s="7" t="str">
        <f aca="false">IFERROR(INDEX('Input Giocatori 2026_27'!$D$3:$D$493,MATCH($B143,'Input Giocatori 2026_27'!$A$3:$A$493,0)),"")</f>
        <v>Como</v>
      </c>
      <c r="F143" s="47" t="n">
        <f aca="false">IFERROR(INDEX('Output Utente'!$N$2:$N$492,MATCH(140,'Output Utente'!$Q$2:$Q$492,0)),"")</f>
        <v>7</v>
      </c>
      <c r="G143" s="47" t="n">
        <f aca="false">IFERROR(INDEX('Output Utente'!$O$2:$O$492,MATCH(140,'Output Utente'!$Q$2:$Q$492,0)),"")</f>
        <v>23</v>
      </c>
      <c r="H143" s="7" t="str">
        <f aca="false">IFERROR(INDEX('Output Utente'!$P$2:$P$492,MATCH(140,'Output Utente'!$Q$2:$Q$492,0)),"")</f>
        <v>Buono</v>
      </c>
      <c r="I143" s="47" t="n">
        <f aca="false">IFERROR(INDEX('Output Utente'!$F$2:$F$492,MATCH(140,'Output Utente'!$Q$2:$Q$492,0)),"")</f>
        <v>4</v>
      </c>
      <c r="J143" s="47" t="n">
        <f aca="false">IFERROR(INDEX('Output Utente'!$G$2:$G$492,MATCH(140,'Output Utente'!$Q$2:$Q$492,0)),"")</f>
        <v>3</v>
      </c>
      <c r="K143" s="47" t="n">
        <f aca="false">IFERROR(INDEX('Output Utente'!$H$2:$H$492,MATCH(140,'Output Utente'!$Q$2:$Q$492,0)),"")</f>
        <v>5</v>
      </c>
      <c r="L143" s="7" t="str">
        <f aca="false">IFERROR(INDEX('Output Utente'!$E$2:$E$492,MATCH(140,'Output Utente'!$Q$2:$Q$492,0)),"")</f>
        <v>NO</v>
      </c>
      <c r="M143" s="7" t="str">
        <f aca="false">IFERROR(INDEX('Output Utente'!$U$2:$U$492,MATCH(140,'Output Utente'!$Q$2:$Q$492,0)),"")</f>
        <v>OK</v>
      </c>
      <c r="N143" s="7" t="str">
        <f aca="false">IFERROR(INDEX('Output Utente'!$AE$2:$AE$492,MATCH(140,'Output Utente'!$Q$2:$Q$492,0)),"")</f>
        <v>🟡 Attesa rischiosa</v>
      </c>
    </row>
    <row r="144" customFormat="false" ht="15" hidden="false" customHeight="true" outlineLevel="0" collapsed="false">
      <c r="A144" s="46" t="n">
        <v>141</v>
      </c>
      <c r="B144" s="7" t="n">
        <f aca="false">IFERROR(INDEX('Output Utente'!$A$2:$A$492,MATCH(141,'Output Utente'!$Q$2:$Q$492,0)),"")</f>
        <v>4401</v>
      </c>
      <c r="C144" s="7" t="str">
        <f aca="false">IFERROR(INDEX('Output Utente'!$B$2:$B$492,MATCH(141,'Output Utente'!$Q$2:$Q$492,0)),"")</f>
        <v>D</v>
      </c>
      <c r="D144" s="7" t="str">
        <f aca="false">IFERROR(INDEX('Output Utente'!$C$2:$C$492,MATCH(141,'Output Utente'!$Q$2:$Q$492,0)),"")</f>
        <v>Gabbia</v>
      </c>
      <c r="E144" s="7" t="str">
        <f aca="false">IFERROR(INDEX('Input Giocatori 2026_27'!$D$3:$D$493,MATCH($B144,'Input Giocatori 2026_27'!$A$3:$A$493,0)),"")</f>
        <v>Milan</v>
      </c>
      <c r="F144" s="47" t="n">
        <f aca="false">IFERROR(INDEX('Output Utente'!$N$2:$N$492,MATCH(141,'Output Utente'!$Q$2:$Q$492,0)),"")</f>
        <v>7</v>
      </c>
      <c r="G144" s="47" t="n">
        <f aca="false">IFERROR(INDEX('Output Utente'!$O$2:$O$492,MATCH(141,'Output Utente'!$Q$2:$Q$492,0)),"")</f>
        <v>23</v>
      </c>
      <c r="H144" s="7" t="str">
        <f aca="false">IFERROR(INDEX('Output Utente'!$P$2:$P$492,MATCH(141,'Output Utente'!$Q$2:$Q$492,0)),"")</f>
        <v>Buono</v>
      </c>
      <c r="I144" s="47" t="n">
        <f aca="false">IFERROR(INDEX('Output Utente'!$F$2:$F$492,MATCH(141,'Output Utente'!$Q$2:$Q$492,0)),"")</f>
        <v>4</v>
      </c>
      <c r="J144" s="47" t="n">
        <f aca="false">IFERROR(INDEX('Output Utente'!$G$2:$G$492,MATCH(141,'Output Utente'!$Q$2:$Q$492,0)),"")</f>
        <v>3</v>
      </c>
      <c r="K144" s="47" t="n">
        <f aca="false">IFERROR(INDEX('Output Utente'!$H$2:$H$492,MATCH(141,'Output Utente'!$Q$2:$Q$492,0)),"")</f>
        <v>5</v>
      </c>
      <c r="L144" s="7" t="str">
        <f aca="false">IFERROR(INDEX('Output Utente'!$E$2:$E$492,MATCH(141,'Output Utente'!$Q$2:$Q$492,0)),"")</f>
        <v>NO</v>
      </c>
      <c r="M144" s="7" t="str">
        <f aca="false">IFERROR(INDEX('Output Utente'!$U$2:$U$492,MATCH(141,'Output Utente'!$Q$2:$Q$492,0)),"")</f>
        <v>OK</v>
      </c>
      <c r="N144" s="7" t="str">
        <f aca="false">IFERROR(INDEX('Output Utente'!$AE$2:$AE$492,MATCH(141,'Output Utente'!$Q$2:$Q$492,0)),"")</f>
        <v>🟡 Attesa rischiosa</v>
      </c>
    </row>
    <row r="145" customFormat="false" ht="15" hidden="false" customHeight="true" outlineLevel="0" collapsed="false">
      <c r="A145" s="46" t="n">
        <v>142</v>
      </c>
      <c r="B145" s="7" t="n">
        <f aca="false">IFERROR(INDEX('Output Utente'!$A$2:$A$492,MATCH(142,'Output Utente'!$Q$2:$Q$492,0)),"")</f>
        <v>4465</v>
      </c>
      <c r="C145" s="7" t="str">
        <f aca="false">IFERROR(INDEX('Output Utente'!$B$2:$B$492,MATCH(142,'Output Utente'!$Q$2:$Q$492,0)),"")</f>
        <v>C</v>
      </c>
      <c r="D145" s="7" t="str">
        <f aca="false">IFERROR(INDEX('Output Utente'!$C$2:$C$492,MATCH(142,'Output Utente'!$Q$2:$Q$492,0)),"")</f>
        <v>Fagioli</v>
      </c>
      <c r="E145" s="7" t="str">
        <f aca="false">IFERROR(INDEX('Input Giocatori 2026_27'!$D$3:$D$493,MATCH($B145,'Input Giocatori 2026_27'!$A$3:$A$493,0)),"")</f>
        <v>Fiorentina</v>
      </c>
      <c r="F145" s="47" t="n">
        <f aca="false">IFERROR(INDEX('Output Utente'!$N$2:$N$492,MATCH(142,'Output Utente'!$Q$2:$Q$492,0)),"")</f>
        <v>8</v>
      </c>
      <c r="G145" s="47" t="n">
        <f aca="false">IFERROR(INDEX('Output Utente'!$O$2:$O$492,MATCH(142,'Output Utente'!$Q$2:$Q$492,0)),"")</f>
        <v>23</v>
      </c>
      <c r="H145" s="7" t="str">
        <f aca="false">IFERROR(INDEX('Output Utente'!$P$2:$P$492,MATCH(142,'Output Utente'!$Q$2:$Q$492,0)),"")</f>
        <v>Buono</v>
      </c>
      <c r="I145" s="47" t="n">
        <f aca="false">IFERROR(INDEX('Output Utente'!$F$2:$F$492,MATCH(142,'Output Utente'!$Q$2:$Q$492,0)),"")</f>
        <v>3</v>
      </c>
      <c r="J145" s="47" t="n">
        <f aca="false">IFERROR(INDEX('Output Utente'!$G$2:$G$492,MATCH(142,'Output Utente'!$Q$2:$Q$492,0)),"")</f>
        <v>2</v>
      </c>
      <c r="K145" s="47" t="n">
        <f aca="false">IFERROR(INDEX('Output Utente'!$H$2:$H$492,MATCH(142,'Output Utente'!$Q$2:$Q$492,0)),"")</f>
        <v>3</v>
      </c>
      <c r="L145" s="7" t="str">
        <f aca="false">IFERROR(INDEX('Output Utente'!$E$2:$E$492,MATCH(142,'Output Utente'!$Q$2:$Q$492,0)),"")</f>
        <v>NO</v>
      </c>
      <c r="M145" s="7" t="str">
        <f aca="false">IFERROR(INDEX('Output Utente'!$U$2:$U$492,MATCH(142,'Output Utente'!$Q$2:$Q$492,0)),"")</f>
        <v>OK</v>
      </c>
      <c r="N145" s="7" t="str">
        <f aca="false">IFERROR(INDEX('Output Utente'!$AE$2:$AE$492,MATCH(142,'Output Utente'!$Q$2:$Q$492,0)),"")</f>
        <v>🟡 Attesa rischiosa</v>
      </c>
    </row>
    <row r="146" customFormat="false" ht="15" hidden="false" customHeight="true" outlineLevel="0" collapsed="false">
      <c r="A146" s="46" t="n">
        <v>143</v>
      </c>
      <c r="B146" s="7" t="n">
        <f aca="false">IFERROR(INDEX('Output Utente'!$A$2:$A$492,MATCH(143,'Output Utente'!$Q$2:$Q$492,0)),"")</f>
        <v>5735</v>
      </c>
      <c r="C146" s="7" t="str">
        <f aca="false">IFERROR(INDEX('Output Utente'!$B$2:$B$492,MATCH(143,'Output Utente'!$Q$2:$Q$492,0)),"")</f>
        <v>C</v>
      </c>
      <c r="D146" s="7" t="str">
        <f aca="false">IFERROR(INDEX('Output Utente'!$C$2:$C$492,MATCH(143,'Output Utente'!$Q$2:$Q$492,0)),"")</f>
        <v>Volpato</v>
      </c>
      <c r="E146" s="7" t="str">
        <f aca="false">IFERROR(INDEX('Input Giocatori 2026_27'!$D$3:$D$493,MATCH($B146,'Input Giocatori 2026_27'!$A$3:$A$493,0)),"")</f>
        <v>Sassuolo</v>
      </c>
      <c r="F146" s="47" t="n">
        <f aca="false">IFERROR(INDEX('Output Utente'!$N$2:$N$492,MATCH(143,'Output Utente'!$Q$2:$Q$492,0)),"")</f>
        <v>7</v>
      </c>
      <c r="G146" s="47" t="n">
        <f aca="false">IFERROR(INDEX('Output Utente'!$O$2:$O$492,MATCH(143,'Output Utente'!$Q$2:$Q$492,0)),"")</f>
        <v>23</v>
      </c>
      <c r="H146" s="7" t="str">
        <f aca="false">IFERROR(INDEX('Output Utente'!$P$2:$P$492,MATCH(143,'Output Utente'!$Q$2:$Q$492,0)),"")</f>
        <v>Buono</v>
      </c>
      <c r="I146" s="47" t="n">
        <f aca="false">IFERROR(INDEX('Output Utente'!$F$2:$F$492,MATCH(143,'Output Utente'!$Q$2:$Q$492,0)),"")</f>
        <v>3</v>
      </c>
      <c r="J146" s="47" t="n">
        <f aca="false">IFERROR(INDEX('Output Utente'!$G$2:$G$492,MATCH(143,'Output Utente'!$Q$2:$Q$492,0)),"")</f>
        <v>2</v>
      </c>
      <c r="K146" s="47" t="n">
        <f aca="false">IFERROR(INDEX('Output Utente'!$H$2:$H$492,MATCH(143,'Output Utente'!$Q$2:$Q$492,0)),"")</f>
        <v>3</v>
      </c>
      <c r="L146" s="7" t="str">
        <f aca="false">IFERROR(INDEX('Output Utente'!$E$2:$E$492,MATCH(143,'Output Utente'!$Q$2:$Q$492,0)),"")</f>
        <v>NO</v>
      </c>
      <c r="M146" s="7" t="str">
        <f aca="false">IFERROR(INDEX('Output Utente'!$U$2:$U$492,MATCH(143,'Output Utente'!$Q$2:$Q$492,0)),"")</f>
        <v>OK</v>
      </c>
      <c r="N146" s="7" t="str">
        <f aca="false">IFERROR(INDEX('Output Utente'!$AE$2:$AE$492,MATCH(143,'Output Utente'!$Q$2:$Q$492,0)),"")</f>
        <v>🟡 Attesa rischiosa</v>
      </c>
    </row>
    <row r="147" customFormat="false" ht="15" hidden="false" customHeight="true" outlineLevel="0" collapsed="false">
      <c r="A147" s="46" t="n">
        <v>144</v>
      </c>
      <c r="B147" s="7" t="n">
        <f aca="false">IFERROR(INDEX('Output Utente'!$A$2:$A$492,MATCH(144,'Output Utente'!$Q$2:$Q$492,0)),"")</f>
        <v>6783</v>
      </c>
      <c r="C147" s="7" t="str">
        <f aca="false">IFERROR(INDEX('Output Utente'!$B$2:$B$492,MATCH(144,'Output Utente'!$Q$2:$Q$492,0)),"")</f>
        <v>C</v>
      </c>
      <c r="D147" s="7" t="str">
        <f aca="false">IFERROR(INDEX('Output Utente'!$C$2:$C$492,MATCH(144,'Output Utente'!$Q$2:$Q$492,0)),"")</f>
        <v>Unai Gomez</v>
      </c>
      <c r="E147" s="7" t="str">
        <f aca="false">IFERROR(INDEX('Input Giocatori 2026_27'!$D$3:$D$493,MATCH($B147,'Input Giocatori 2026_27'!$A$3:$A$493,0)),"")</f>
        <v>Udinese</v>
      </c>
      <c r="F147" s="47" t="n">
        <f aca="false">IFERROR(INDEX('Output Utente'!$N$2:$N$492,MATCH(144,'Output Utente'!$Q$2:$Q$492,0)),"")</f>
        <v>7</v>
      </c>
      <c r="G147" s="47" t="n">
        <f aca="false">IFERROR(INDEX('Output Utente'!$O$2:$O$492,MATCH(144,'Output Utente'!$Q$2:$Q$492,0)),"")</f>
        <v>23</v>
      </c>
      <c r="H147" s="7" t="str">
        <f aca="false">IFERROR(INDEX('Output Utente'!$P$2:$P$492,MATCH(144,'Output Utente'!$Q$2:$Q$492,0)),"")</f>
        <v>Buono</v>
      </c>
      <c r="I147" s="47" t="n">
        <f aca="false">IFERROR(INDEX('Output Utente'!$F$2:$F$492,MATCH(144,'Output Utente'!$Q$2:$Q$492,0)),"")</f>
        <v>3</v>
      </c>
      <c r="J147" s="47" t="n">
        <f aca="false">IFERROR(INDEX('Output Utente'!$G$2:$G$492,MATCH(144,'Output Utente'!$Q$2:$Q$492,0)),"")</f>
        <v>2</v>
      </c>
      <c r="K147" s="47" t="n">
        <f aca="false">IFERROR(INDEX('Output Utente'!$H$2:$H$492,MATCH(144,'Output Utente'!$Q$2:$Q$492,0)),"")</f>
        <v>3</v>
      </c>
      <c r="L147" s="7" t="str">
        <f aca="false">IFERROR(INDEX('Output Utente'!$E$2:$E$492,MATCH(144,'Output Utente'!$Q$2:$Q$492,0)),"")</f>
        <v>NO</v>
      </c>
      <c r="M147" s="7" t="str">
        <f aca="false">IFERROR(INDEX('Output Utente'!$U$2:$U$492,MATCH(144,'Output Utente'!$Q$2:$Q$492,0)),"")</f>
        <v>OK</v>
      </c>
      <c r="N147" s="7" t="str">
        <f aca="false">IFERROR(INDEX('Output Utente'!$AE$2:$AE$492,MATCH(144,'Output Utente'!$Q$2:$Q$492,0)),"")</f>
        <v>🟡 Attesa rischiosa</v>
      </c>
    </row>
    <row r="148" customFormat="false" ht="15" hidden="false" customHeight="true" outlineLevel="0" collapsed="false">
      <c r="A148" s="46" t="n">
        <v>145</v>
      </c>
      <c r="B148" s="7" t="n">
        <f aca="false">IFERROR(INDEX('Output Utente'!$A$2:$A$492,MATCH(145,'Output Utente'!$Q$2:$Q$492,0)),"")</f>
        <v>4686</v>
      </c>
      <c r="C148" s="7" t="str">
        <f aca="false">IFERROR(INDEX('Output Utente'!$B$2:$B$492,MATCH(145,'Output Utente'!$Q$2:$Q$492,0)),"")</f>
        <v>C</v>
      </c>
      <c r="D148" s="7" t="str">
        <f aca="false">IFERROR(INDEX('Output Utente'!$C$2:$C$492,MATCH(145,'Output Utente'!$Q$2:$Q$492,0)),"")</f>
        <v>Fofana Y.</v>
      </c>
      <c r="E148" s="7" t="str">
        <f aca="false">IFERROR(INDEX('Input Giocatori 2026_27'!$D$3:$D$493,MATCH($B148,'Input Giocatori 2026_27'!$A$3:$A$493,0)),"")</f>
        <v>Milan</v>
      </c>
      <c r="F148" s="47" t="n">
        <f aca="false">IFERROR(INDEX('Output Utente'!$N$2:$N$492,MATCH(145,'Output Utente'!$Q$2:$Q$492,0)),"")</f>
        <v>5</v>
      </c>
      <c r="G148" s="47" t="n">
        <f aca="false">IFERROR(INDEX('Output Utente'!$O$2:$O$492,MATCH(145,'Output Utente'!$Q$2:$Q$492,0)),"")</f>
        <v>23</v>
      </c>
      <c r="H148" s="7" t="str">
        <f aca="false">IFERROR(INDEX('Output Utente'!$P$2:$P$492,MATCH(145,'Output Utente'!$Q$2:$Q$492,0)),"")</f>
        <v>Buono</v>
      </c>
      <c r="I148" s="47" t="n">
        <f aca="false">IFERROR(INDEX('Output Utente'!$F$2:$F$492,MATCH(145,'Output Utente'!$Q$2:$Q$492,0)),"")</f>
        <v>3</v>
      </c>
      <c r="J148" s="47" t="n">
        <f aca="false">IFERROR(INDEX('Output Utente'!$G$2:$G$492,MATCH(145,'Output Utente'!$Q$2:$Q$492,0)),"")</f>
        <v>2</v>
      </c>
      <c r="K148" s="47" t="n">
        <f aca="false">IFERROR(INDEX('Output Utente'!$H$2:$H$492,MATCH(145,'Output Utente'!$Q$2:$Q$492,0)),"")</f>
        <v>3</v>
      </c>
      <c r="L148" s="7" t="str">
        <f aca="false">IFERROR(INDEX('Output Utente'!$E$2:$E$492,MATCH(145,'Output Utente'!$Q$2:$Q$492,0)),"")</f>
        <v>NO</v>
      </c>
      <c r="M148" s="7" t="str">
        <f aca="false">IFERROR(INDEX('Output Utente'!$U$2:$U$492,MATCH(145,'Output Utente'!$Q$2:$Q$492,0)),"")</f>
        <v>OK</v>
      </c>
      <c r="N148" s="7" t="str">
        <f aca="false">IFERROR(INDEX('Output Utente'!$AE$2:$AE$492,MATCH(145,'Output Utente'!$Q$2:$Q$492,0)),"")</f>
        <v>🟡 Attesa rischiosa</v>
      </c>
    </row>
    <row r="149" customFormat="false" ht="15" hidden="false" customHeight="true" outlineLevel="0" collapsed="false">
      <c r="A149" s="46" t="n">
        <v>146</v>
      </c>
      <c r="B149" s="7" t="n">
        <f aca="false">IFERROR(INDEX('Output Utente'!$A$2:$A$492,MATCH(146,'Output Utente'!$Q$2:$Q$492,0)),"")</f>
        <v>6643</v>
      </c>
      <c r="C149" s="7" t="str">
        <f aca="false">IFERROR(INDEX('Output Utente'!$B$2:$B$492,MATCH(146,'Output Utente'!$Q$2:$Q$492,0)),"")</f>
        <v>A</v>
      </c>
      <c r="D149" s="7" t="str">
        <f aca="false">IFERROR(INDEX('Output Utente'!$C$2:$C$492,MATCH(146,'Output Utente'!$Q$2:$Q$492,0)),"")</f>
        <v>Dallinga</v>
      </c>
      <c r="E149" s="7" t="str">
        <f aca="false">IFERROR(INDEX('Input Giocatori 2026_27'!$D$3:$D$493,MATCH($B149,'Input Giocatori 2026_27'!$A$3:$A$493,0)),"")</f>
        <v>Bologna</v>
      </c>
      <c r="F149" s="47" t="n">
        <f aca="false">IFERROR(INDEX('Output Utente'!$N$2:$N$492,MATCH(146,'Output Utente'!$Q$2:$Q$492,0)),"")</f>
        <v>8</v>
      </c>
      <c r="G149" s="47" t="n">
        <f aca="false">IFERROR(INDEX('Output Utente'!$O$2:$O$492,MATCH(146,'Output Utente'!$Q$2:$Q$492,0)),"")</f>
        <v>23</v>
      </c>
      <c r="H149" s="7" t="str">
        <f aca="false">IFERROR(INDEX('Output Utente'!$P$2:$P$492,MATCH(146,'Output Utente'!$Q$2:$Q$492,0)),"")</f>
        <v>Nella Media</v>
      </c>
      <c r="I149" s="47" t="n">
        <f aca="false">IFERROR(INDEX('Output Utente'!$F$2:$F$492,MATCH(146,'Output Utente'!$Q$2:$Q$492,0)),"")</f>
        <v>7</v>
      </c>
      <c r="J149" s="47" t="n">
        <f aca="false">IFERROR(INDEX('Output Utente'!$G$2:$G$492,MATCH(146,'Output Utente'!$Q$2:$Q$492,0)),"")</f>
        <v>5</v>
      </c>
      <c r="K149" s="47" t="n">
        <f aca="false">IFERROR(INDEX('Output Utente'!$H$2:$H$492,MATCH(146,'Output Utente'!$Q$2:$Q$492,0)),"")</f>
        <v>8</v>
      </c>
      <c r="L149" s="7" t="str">
        <f aca="false">IFERROR(INDEX('Output Utente'!$E$2:$E$492,MATCH(146,'Output Utente'!$Q$2:$Q$492,0)),"")</f>
        <v>NO</v>
      </c>
      <c r="M149" s="7" t="str">
        <f aca="false">IFERROR(INDEX('Output Utente'!$U$2:$U$492,MATCH(146,'Output Utente'!$Q$2:$Q$492,0)),"")</f>
        <v>OK</v>
      </c>
      <c r="N149" s="7" t="str">
        <f aca="false">IFERROR(INDEX('Output Utente'!$AE$2:$AE$492,MATCH(146,'Output Utente'!$Q$2:$Q$492,0)),"")</f>
        <v>🔴 Non aspettare</v>
      </c>
    </row>
    <row r="150" customFormat="false" ht="15" hidden="false" customHeight="true" outlineLevel="0" collapsed="false">
      <c r="A150" s="46" t="n">
        <v>147</v>
      </c>
      <c r="B150" s="7" t="n">
        <f aca="false">IFERROR(INDEX('Output Utente'!$A$2:$A$492,MATCH(147,'Output Utente'!$Q$2:$Q$492,0)),"")</f>
        <v>6814</v>
      </c>
      <c r="C150" s="7" t="str">
        <f aca="false">IFERROR(INDEX('Output Utente'!$B$2:$B$492,MATCH(147,'Output Utente'!$Q$2:$Q$492,0)),"")</f>
        <v>D</v>
      </c>
      <c r="D150" s="7" t="str">
        <f aca="false">IFERROR(INDEX('Output Utente'!$C$2:$C$492,MATCH(147,'Output Utente'!$Q$2:$Q$492,0)),"")</f>
        <v>Norton-Cuffy</v>
      </c>
      <c r="E150" s="7" t="str">
        <f aca="false">IFERROR(INDEX('Input Giocatori 2026_27'!$D$3:$D$493,MATCH($B150,'Input Giocatori 2026_27'!$A$3:$A$493,0)),"")</f>
        <v>Genoa</v>
      </c>
      <c r="F150" s="47" t="n">
        <f aca="false">IFERROR(INDEX('Output Utente'!$N$2:$N$492,MATCH(147,'Output Utente'!$Q$2:$Q$492,0)),"")</f>
        <v>8</v>
      </c>
      <c r="G150" s="47" t="n">
        <f aca="false">IFERROR(INDEX('Output Utente'!$O$2:$O$492,MATCH(147,'Output Utente'!$Q$2:$Q$492,0)),"")</f>
        <v>22</v>
      </c>
      <c r="H150" s="7" t="str">
        <f aca="false">IFERROR(INDEX('Output Utente'!$P$2:$P$492,MATCH(147,'Output Utente'!$Q$2:$Q$492,0)),"")</f>
        <v>Buono</v>
      </c>
      <c r="I150" s="47" t="n">
        <f aca="false">IFERROR(INDEX('Output Utente'!$F$2:$F$492,MATCH(147,'Output Utente'!$Q$2:$Q$492,0)),"")</f>
        <v>4</v>
      </c>
      <c r="J150" s="47" t="n">
        <f aca="false">IFERROR(INDEX('Output Utente'!$G$2:$G$492,MATCH(147,'Output Utente'!$Q$2:$Q$492,0)),"")</f>
        <v>3</v>
      </c>
      <c r="K150" s="47" t="n">
        <f aca="false">IFERROR(INDEX('Output Utente'!$H$2:$H$492,MATCH(147,'Output Utente'!$Q$2:$Q$492,0)),"")</f>
        <v>4</v>
      </c>
      <c r="L150" s="7" t="str">
        <f aca="false">IFERROR(INDEX('Output Utente'!$E$2:$E$492,MATCH(147,'Output Utente'!$Q$2:$Q$492,0)),"")</f>
        <v>NO</v>
      </c>
      <c r="M150" s="7" t="str">
        <f aca="false">IFERROR(INDEX('Output Utente'!$U$2:$U$492,MATCH(147,'Output Utente'!$Q$2:$Q$492,0)),"")</f>
        <v>OK</v>
      </c>
      <c r="N150" s="7" t="str">
        <f aca="false">IFERROR(INDEX('Output Utente'!$AE$2:$AE$492,MATCH(147,'Output Utente'!$Q$2:$Q$492,0)),"")</f>
        <v>🟡 Attesa rischiosa</v>
      </c>
    </row>
    <row r="151" customFormat="false" ht="15" hidden="false" customHeight="true" outlineLevel="0" collapsed="false">
      <c r="A151" s="46" t="n">
        <v>148</v>
      </c>
      <c r="B151" s="7" t="n">
        <f aca="false">IFERROR(INDEX('Output Utente'!$A$2:$A$492,MATCH(148,'Output Utente'!$Q$2:$Q$492,0)),"")</f>
        <v>6320</v>
      </c>
      <c r="C151" s="7" t="str">
        <f aca="false">IFERROR(INDEX('Output Utente'!$B$2:$B$492,MATCH(148,'Output Utente'!$Q$2:$Q$492,0)),"")</f>
        <v>D</v>
      </c>
      <c r="D151" s="7" t="str">
        <f aca="false">IFERROR(INDEX('Output Utente'!$C$2:$C$492,MATCH(148,'Output Utente'!$Q$2:$Q$492,0)),"")</f>
        <v>Doekhi</v>
      </c>
      <c r="E151" s="7" t="str">
        <f aca="false">IFERROR(INDEX('Input Giocatori 2026_27'!$D$3:$D$493,MATCH($B151,'Input Giocatori 2026_27'!$A$3:$A$493,0)),"")</f>
        <v>Lazio</v>
      </c>
      <c r="F151" s="47" t="n">
        <f aca="false">IFERROR(INDEX('Output Utente'!$N$2:$N$492,MATCH(148,'Output Utente'!$Q$2:$Q$492,0)),"")</f>
        <v>7</v>
      </c>
      <c r="G151" s="47" t="n">
        <f aca="false">IFERROR(INDEX('Output Utente'!$O$2:$O$492,MATCH(148,'Output Utente'!$Q$2:$Q$492,0)),"")</f>
        <v>22</v>
      </c>
      <c r="H151" s="7" t="str">
        <f aca="false">IFERROR(INDEX('Output Utente'!$P$2:$P$492,MATCH(148,'Output Utente'!$Q$2:$Q$492,0)),"")</f>
        <v>Buono</v>
      </c>
      <c r="I151" s="47" t="n">
        <f aca="false">IFERROR(INDEX('Output Utente'!$F$2:$F$492,MATCH(148,'Output Utente'!$Q$2:$Q$492,0)),"")</f>
        <v>4</v>
      </c>
      <c r="J151" s="47" t="n">
        <f aca="false">IFERROR(INDEX('Output Utente'!$G$2:$G$492,MATCH(148,'Output Utente'!$Q$2:$Q$492,0)),"")</f>
        <v>3</v>
      </c>
      <c r="K151" s="47" t="n">
        <f aca="false">IFERROR(INDEX('Output Utente'!$H$2:$H$492,MATCH(148,'Output Utente'!$Q$2:$Q$492,0)),"")</f>
        <v>4</v>
      </c>
      <c r="L151" s="7" t="str">
        <f aca="false">IFERROR(INDEX('Output Utente'!$E$2:$E$492,MATCH(148,'Output Utente'!$Q$2:$Q$492,0)),"")</f>
        <v>NO</v>
      </c>
      <c r="M151" s="7" t="str">
        <f aca="false">IFERROR(INDEX('Output Utente'!$U$2:$U$492,MATCH(148,'Output Utente'!$Q$2:$Q$492,0)),"")</f>
        <v>OK</v>
      </c>
      <c r="N151" s="7" t="str">
        <f aca="false">IFERROR(INDEX('Output Utente'!$AE$2:$AE$492,MATCH(148,'Output Utente'!$Q$2:$Q$492,0)),"")</f>
        <v>🟡 Attesa rischiosa</v>
      </c>
    </row>
    <row r="152" customFormat="false" ht="15" hidden="false" customHeight="true" outlineLevel="0" collapsed="false">
      <c r="A152" s="46" t="n">
        <v>149</v>
      </c>
      <c r="B152" s="7" t="n">
        <f aca="false">IFERROR(INDEX('Output Utente'!$A$2:$A$492,MATCH(149,'Output Utente'!$Q$2:$Q$492,0)),"")</f>
        <v>2765</v>
      </c>
      <c r="C152" s="7" t="str">
        <f aca="false">IFERROR(INDEX('Output Utente'!$B$2:$B$492,MATCH(149,'Output Utente'!$Q$2:$Q$492,0)),"")</f>
        <v>C</v>
      </c>
      <c r="D152" s="7" t="str">
        <f aca="false">IFERROR(INDEX('Output Utente'!$C$2:$C$492,MATCH(149,'Output Utente'!$Q$2:$Q$492,0)),"")</f>
        <v>Odgaard</v>
      </c>
      <c r="E152" s="7" t="str">
        <f aca="false">IFERROR(INDEX('Input Giocatori 2026_27'!$D$3:$D$493,MATCH($B152,'Input Giocatori 2026_27'!$A$3:$A$493,0)),"")</f>
        <v>Bologna</v>
      </c>
      <c r="F152" s="47" t="n">
        <f aca="false">IFERROR(INDEX('Output Utente'!$N$2:$N$492,MATCH(149,'Output Utente'!$Q$2:$Q$492,0)),"")</f>
        <v>8</v>
      </c>
      <c r="G152" s="47" t="n">
        <f aca="false">IFERROR(INDEX('Output Utente'!$O$2:$O$492,MATCH(149,'Output Utente'!$Q$2:$Q$492,0)),"")</f>
        <v>22</v>
      </c>
      <c r="H152" s="7" t="str">
        <f aca="false">IFERROR(INDEX('Output Utente'!$P$2:$P$492,MATCH(149,'Output Utente'!$Q$2:$Q$492,0)),"")</f>
        <v>Buono</v>
      </c>
      <c r="I152" s="47" t="n">
        <f aca="false">IFERROR(INDEX('Output Utente'!$F$2:$F$492,MATCH(149,'Output Utente'!$Q$2:$Q$492,0)),"")</f>
        <v>3</v>
      </c>
      <c r="J152" s="47" t="n">
        <f aca="false">IFERROR(INDEX('Output Utente'!$G$2:$G$492,MATCH(149,'Output Utente'!$Q$2:$Q$492,0)),"")</f>
        <v>2</v>
      </c>
      <c r="K152" s="47" t="n">
        <f aca="false">IFERROR(INDEX('Output Utente'!$H$2:$H$492,MATCH(149,'Output Utente'!$Q$2:$Q$492,0)),"")</f>
        <v>3</v>
      </c>
      <c r="L152" s="7" t="str">
        <f aca="false">IFERROR(INDEX('Output Utente'!$E$2:$E$492,MATCH(149,'Output Utente'!$Q$2:$Q$492,0)),"")</f>
        <v>NO</v>
      </c>
      <c r="M152" s="7" t="str">
        <f aca="false">IFERROR(INDEX('Output Utente'!$U$2:$U$492,MATCH(149,'Output Utente'!$Q$2:$Q$492,0)),"")</f>
        <v>OK</v>
      </c>
      <c r="N152" s="7" t="str">
        <f aca="false">IFERROR(INDEX('Output Utente'!$AE$2:$AE$492,MATCH(149,'Output Utente'!$Q$2:$Q$492,0)),"")</f>
        <v>🟡 Attesa rischiosa</v>
      </c>
    </row>
    <row r="153" customFormat="false" ht="15" hidden="false" customHeight="true" outlineLevel="0" collapsed="false">
      <c r="A153" s="46" t="n">
        <v>150</v>
      </c>
      <c r="B153" s="7" t="n">
        <f aca="false">IFERROR(INDEX('Output Utente'!$A$2:$A$492,MATCH(150,'Output Utente'!$Q$2:$Q$492,0)),"")</f>
        <v>6678</v>
      </c>
      <c r="C153" s="7" t="str">
        <f aca="false">IFERROR(INDEX('Output Utente'!$B$2:$B$492,MATCH(150,'Output Utente'!$Q$2:$Q$492,0)),"")</f>
        <v>C</v>
      </c>
      <c r="D153" s="7" t="str">
        <f aca="false">IFERROR(INDEX('Output Utente'!$C$2:$C$492,MATCH(150,'Output Utente'!$Q$2:$Q$492,0)),"")</f>
        <v>Liberali</v>
      </c>
      <c r="E153" s="7" t="str">
        <f aca="false">IFERROR(INDEX('Input Giocatori 2026_27'!$D$3:$D$493,MATCH($B153,'Input Giocatori 2026_27'!$A$3:$A$493,0)),"")</f>
        <v>Como</v>
      </c>
      <c r="F153" s="47" t="n">
        <f aca="false">IFERROR(INDEX('Output Utente'!$N$2:$N$492,MATCH(150,'Output Utente'!$Q$2:$Q$492,0)),"")</f>
        <v>6</v>
      </c>
      <c r="G153" s="47" t="n">
        <f aca="false">IFERROR(INDEX('Output Utente'!$O$2:$O$492,MATCH(150,'Output Utente'!$Q$2:$Q$492,0)),"")</f>
        <v>22</v>
      </c>
      <c r="H153" s="7" t="str">
        <f aca="false">IFERROR(INDEX('Output Utente'!$P$2:$P$492,MATCH(150,'Output Utente'!$Q$2:$Q$492,0)),"")</f>
        <v>Buono</v>
      </c>
      <c r="I153" s="47" t="n">
        <f aca="false">IFERROR(INDEX('Output Utente'!$F$2:$F$492,MATCH(150,'Output Utente'!$Q$2:$Q$492,0)),"")</f>
        <v>3</v>
      </c>
      <c r="J153" s="47" t="n">
        <f aca="false">IFERROR(INDEX('Output Utente'!$G$2:$G$492,MATCH(150,'Output Utente'!$Q$2:$Q$492,0)),"")</f>
        <v>2</v>
      </c>
      <c r="K153" s="47" t="n">
        <f aca="false">IFERROR(INDEX('Output Utente'!$H$2:$H$492,MATCH(150,'Output Utente'!$Q$2:$Q$492,0)),"")</f>
        <v>3</v>
      </c>
      <c r="L153" s="7" t="str">
        <f aca="false">IFERROR(INDEX('Output Utente'!$E$2:$E$492,MATCH(150,'Output Utente'!$Q$2:$Q$492,0)),"")</f>
        <v>NO</v>
      </c>
      <c r="M153" s="7" t="str">
        <f aca="false">IFERROR(INDEX('Output Utente'!$U$2:$U$492,MATCH(150,'Output Utente'!$Q$2:$Q$492,0)),"")</f>
        <v>OK</v>
      </c>
      <c r="N153" s="7" t="str">
        <f aca="false">IFERROR(INDEX('Output Utente'!$AE$2:$AE$492,MATCH(150,'Output Utente'!$Q$2:$Q$492,0)),"")</f>
        <v>🟡 Attesa rischiosa</v>
      </c>
    </row>
    <row r="154" customFormat="false" ht="15" hidden="false" customHeight="true" outlineLevel="0" collapsed="false">
      <c r="A154" s="46" t="n">
        <v>151</v>
      </c>
      <c r="B154" s="7" t="n">
        <f aca="false">IFERROR(INDEX('Output Utente'!$A$2:$A$492,MATCH(151,'Output Utente'!$Q$2:$Q$492,0)),"")</f>
        <v>6831</v>
      </c>
      <c r="C154" s="7" t="str">
        <f aca="false">IFERROR(INDEX('Output Utente'!$B$2:$B$492,MATCH(151,'Output Utente'!$Q$2:$Q$492,0)),"")</f>
        <v>A</v>
      </c>
      <c r="D154" s="7" t="str">
        <f aca="false">IFERROR(INDEX('Output Utente'!$C$2:$C$492,MATCH(151,'Output Utente'!$Q$2:$Q$492,0)),"")</f>
        <v>Neres</v>
      </c>
      <c r="E154" s="7" t="str">
        <f aca="false">IFERROR(INDEX('Input Giocatori 2026_27'!$D$3:$D$493,MATCH($B154,'Input Giocatori 2026_27'!$A$3:$A$493,0)),"")</f>
        <v>Napoli</v>
      </c>
      <c r="F154" s="47" t="n">
        <f aca="false">IFERROR(INDEX('Output Utente'!$N$2:$N$492,MATCH(151,'Output Utente'!$Q$2:$Q$492,0)),"")</f>
        <v>6</v>
      </c>
      <c r="G154" s="47" t="n">
        <f aca="false">IFERROR(INDEX('Output Utente'!$O$2:$O$492,MATCH(151,'Output Utente'!$Q$2:$Q$492,0)),"")</f>
        <v>22</v>
      </c>
      <c r="H154" s="7" t="str">
        <f aca="false">IFERROR(INDEX('Output Utente'!$P$2:$P$492,MATCH(151,'Output Utente'!$Q$2:$Q$492,0)),"")</f>
        <v>Nella Media</v>
      </c>
      <c r="I154" s="47" t="n">
        <f aca="false">IFERROR(INDEX('Output Utente'!$F$2:$F$492,MATCH(151,'Output Utente'!$Q$2:$Q$492,0)),"")</f>
        <v>7</v>
      </c>
      <c r="J154" s="47" t="n">
        <f aca="false">IFERROR(INDEX('Output Utente'!$G$2:$G$492,MATCH(151,'Output Utente'!$Q$2:$Q$492,0)),"")</f>
        <v>4</v>
      </c>
      <c r="K154" s="47" t="n">
        <f aca="false">IFERROR(INDEX('Output Utente'!$H$2:$H$492,MATCH(151,'Output Utente'!$Q$2:$Q$492,0)),"")</f>
        <v>8</v>
      </c>
      <c r="L154" s="7" t="str">
        <f aca="false">IFERROR(INDEX('Output Utente'!$E$2:$E$492,MATCH(151,'Output Utente'!$Q$2:$Q$492,0)),"")</f>
        <v>NO</v>
      </c>
      <c r="M154" s="7" t="str">
        <f aca="false">IFERROR(INDEX('Output Utente'!$U$2:$U$492,MATCH(151,'Output Utente'!$Q$2:$Q$492,0)),"")</f>
        <v>OK</v>
      </c>
      <c r="N154" s="7" t="str">
        <f aca="false">IFERROR(INDEX('Output Utente'!$AE$2:$AE$492,MATCH(151,'Output Utente'!$Q$2:$Q$492,0)),"")</f>
        <v>🔴 Non aspettare</v>
      </c>
    </row>
    <row r="155" customFormat="false" ht="15" hidden="false" customHeight="true" outlineLevel="0" collapsed="false">
      <c r="A155" s="46" t="n">
        <v>152</v>
      </c>
      <c r="B155" s="7" t="n">
        <f aca="false">IFERROR(INDEX('Output Utente'!$A$2:$A$492,MATCH(152,'Output Utente'!$Q$2:$Q$492,0)),"")</f>
        <v>4657</v>
      </c>
      <c r="C155" s="7" t="str">
        <f aca="false">IFERROR(INDEX('Output Utente'!$B$2:$B$492,MATCH(152,'Output Utente'!$Q$2:$Q$492,0)),"")</f>
        <v>D</v>
      </c>
      <c r="D155" s="7" t="str">
        <f aca="false">IFERROR(INDEX('Output Utente'!$C$2:$C$492,MATCH(152,'Output Utente'!$Q$2:$Q$492,0)),"")</f>
        <v>Celik</v>
      </c>
      <c r="E155" s="7" t="str">
        <f aca="false">IFERROR(INDEX('Input Giocatori 2026_27'!$D$3:$D$493,MATCH($B155,'Input Giocatori 2026_27'!$A$3:$A$493,0)),"")</f>
        <v>Juventus</v>
      </c>
      <c r="F155" s="47" t="n">
        <f aca="false">IFERROR(INDEX('Output Utente'!$N$2:$N$492,MATCH(152,'Output Utente'!$Q$2:$Q$492,0)),"")</f>
        <v>8</v>
      </c>
      <c r="G155" s="47" t="n">
        <f aca="false">IFERROR(INDEX('Output Utente'!$O$2:$O$492,MATCH(152,'Output Utente'!$Q$2:$Q$492,0)),"")</f>
        <v>21</v>
      </c>
      <c r="H155" s="7" t="str">
        <f aca="false">IFERROR(INDEX('Output Utente'!$P$2:$P$492,MATCH(152,'Output Utente'!$Q$2:$Q$492,0)),"")</f>
        <v>Buono</v>
      </c>
      <c r="I155" s="47" t="n">
        <f aca="false">IFERROR(INDEX('Output Utente'!$F$2:$F$492,MATCH(152,'Output Utente'!$Q$2:$Q$492,0)),"")</f>
        <v>4</v>
      </c>
      <c r="J155" s="47" t="n">
        <f aca="false">IFERROR(INDEX('Output Utente'!$G$2:$G$492,MATCH(152,'Output Utente'!$Q$2:$Q$492,0)),"")</f>
        <v>3</v>
      </c>
      <c r="K155" s="47" t="n">
        <f aca="false">IFERROR(INDEX('Output Utente'!$H$2:$H$492,MATCH(152,'Output Utente'!$Q$2:$Q$492,0)),"")</f>
        <v>4</v>
      </c>
      <c r="L155" s="7" t="str">
        <f aca="false">IFERROR(INDEX('Output Utente'!$E$2:$E$492,MATCH(152,'Output Utente'!$Q$2:$Q$492,0)),"")</f>
        <v>NO</v>
      </c>
      <c r="M155" s="7" t="str">
        <f aca="false">IFERROR(INDEX('Output Utente'!$U$2:$U$492,MATCH(152,'Output Utente'!$Q$2:$Q$492,0)),"")</f>
        <v>OK</v>
      </c>
      <c r="N155" s="7" t="str">
        <f aca="false">IFERROR(INDEX('Output Utente'!$AE$2:$AE$492,MATCH(152,'Output Utente'!$Q$2:$Q$492,0)),"")</f>
        <v>🟡 Attesa rischiosa</v>
      </c>
    </row>
    <row r="156" customFormat="false" ht="15" hidden="false" customHeight="true" outlineLevel="0" collapsed="false">
      <c r="A156" s="46" t="n">
        <v>153</v>
      </c>
      <c r="B156" s="7" t="n">
        <f aca="false">IFERROR(INDEX('Output Utente'!$A$2:$A$492,MATCH(153,'Output Utente'!$Q$2:$Q$492,0)),"")</f>
        <v>6664</v>
      </c>
      <c r="C156" s="7" t="str">
        <f aca="false">IFERROR(INDEX('Output Utente'!$B$2:$B$492,MATCH(153,'Output Utente'!$Q$2:$Q$492,0)),"")</f>
        <v>D</v>
      </c>
      <c r="D156" s="7" t="str">
        <f aca="false">IFERROR(INDEX('Output Utente'!$C$2:$C$492,MATCH(153,'Output Utente'!$Q$2:$Q$492,0)),"")</f>
        <v>Delprato</v>
      </c>
      <c r="E156" s="7" t="str">
        <f aca="false">IFERROR(INDEX('Input Giocatori 2026_27'!$D$3:$D$493,MATCH($B156,'Input Giocatori 2026_27'!$A$3:$A$493,0)),"")</f>
        <v>Parma</v>
      </c>
      <c r="F156" s="47" t="n">
        <f aca="false">IFERROR(INDEX('Output Utente'!$N$2:$N$492,MATCH(153,'Output Utente'!$Q$2:$Q$492,0)),"")</f>
        <v>8</v>
      </c>
      <c r="G156" s="47" t="n">
        <f aca="false">IFERROR(INDEX('Output Utente'!$O$2:$O$492,MATCH(153,'Output Utente'!$Q$2:$Q$492,0)),"")</f>
        <v>21</v>
      </c>
      <c r="H156" s="7" t="str">
        <f aca="false">IFERROR(INDEX('Output Utente'!$P$2:$P$492,MATCH(153,'Output Utente'!$Q$2:$Q$492,0)),"")</f>
        <v>Buono</v>
      </c>
      <c r="I156" s="47" t="n">
        <f aca="false">IFERROR(INDEX('Output Utente'!$F$2:$F$492,MATCH(153,'Output Utente'!$Q$2:$Q$492,0)),"")</f>
        <v>4</v>
      </c>
      <c r="J156" s="47" t="n">
        <f aca="false">IFERROR(INDEX('Output Utente'!$G$2:$G$492,MATCH(153,'Output Utente'!$Q$2:$Q$492,0)),"")</f>
        <v>3</v>
      </c>
      <c r="K156" s="47" t="n">
        <f aca="false">IFERROR(INDEX('Output Utente'!$H$2:$H$492,MATCH(153,'Output Utente'!$Q$2:$Q$492,0)),"")</f>
        <v>4</v>
      </c>
      <c r="L156" s="7" t="str">
        <f aca="false">IFERROR(INDEX('Output Utente'!$E$2:$E$492,MATCH(153,'Output Utente'!$Q$2:$Q$492,0)),"")</f>
        <v>NO</v>
      </c>
      <c r="M156" s="7" t="str">
        <f aca="false">IFERROR(INDEX('Output Utente'!$U$2:$U$492,MATCH(153,'Output Utente'!$Q$2:$Q$492,0)),"")</f>
        <v>OK</v>
      </c>
      <c r="N156" s="7" t="str">
        <f aca="false">IFERROR(INDEX('Output Utente'!$AE$2:$AE$492,MATCH(153,'Output Utente'!$Q$2:$Q$492,0)),"")</f>
        <v>🟡 Attesa rischiosa</v>
      </c>
    </row>
    <row r="157" customFormat="false" ht="15" hidden="false" customHeight="true" outlineLevel="0" collapsed="false">
      <c r="A157" s="46" t="n">
        <v>154</v>
      </c>
      <c r="B157" s="7" t="n">
        <f aca="false">IFERROR(INDEX('Output Utente'!$A$2:$A$492,MATCH(154,'Output Utente'!$Q$2:$Q$492,0)),"")</f>
        <v>184</v>
      </c>
      <c r="C157" s="7" t="str">
        <f aca="false">IFERROR(INDEX('Output Utente'!$B$2:$B$492,MATCH(154,'Output Utente'!$Q$2:$Q$492,0)),"")</f>
        <v>C</v>
      </c>
      <c r="D157" s="7" t="str">
        <f aca="false">IFERROR(INDEX('Output Utente'!$C$2:$C$492,MATCH(154,'Output Utente'!$Q$2:$Q$492,0)),"")</f>
        <v>Bernardeschi</v>
      </c>
      <c r="E157" s="7" t="str">
        <f aca="false">IFERROR(INDEX('Input Giocatori 2026_27'!$D$3:$D$493,MATCH($B157,'Input Giocatori 2026_27'!$A$3:$A$493,0)),"")</f>
        <v>Bologna</v>
      </c>
      <c r="F157" s="47" t="n">
        <f aca="false">IFERROR(INDEX('Output Utente'!$N$2:$N$492,MATCH(154,'Output Utente'!$Q$2:$Q$492,0)),"")</f>
        <v>9</v>
      </c>
      <c r="G157" s="47" t="n">
        <f aca="false">IFERROR(INDEX('Output Utente'!$O$2:$O$492,MATCH(154,'Output Utente'!$Q$2:$Q$492,0)),"")</f>
        <v>21</v>
      </c>
      <c r="H157" s="7" t="str">
        <f aca="false">IFERROR(INDEX('Output Utente'!$P$2:$P$492,MATCH(154,'Output Utente'!$Q$2:$Q$492,0)),"")</f>
        <v>Buono</v>
      </c>
      <c r="I157" s="47" t="n">
        <f aca="false">IFERROR(INDEX('Output Utente'!$F$2:$F$492,MATCH(154,'Output Utente'!$Q$2:$Q$492,0)),"")</f>
        <v>3</v>
      </c>
      <c r="J157" s="47" t="n">
        <f aca="false">IFERROR(INDEX('Output Utente'!$G$2:$G$492,MATCH(154,'Output Utente'!$Q$2:$Q$492,0)),"")</f>
        <v>2</v>
      </c>
      <c r="K157" s="47" t="n">
        <f aca="false">IFERROR(INDEX('Output Utente'!$H$2:$H$492,MATCH(154,'Output Utente'!$Q$2:$Q$492,0)),"")</f>
        <v>3</v>
      </c>
      <c r="L157" s="7" t="str">
        <f aca="false">IFERROR(INDEX('Output Utente'!$E$2:$E$492,MATCH(154,'Output Utente'!$Q$2:$Q$492,0)),"")</f>
        <v>NO</v>
      </c>
      <c r="M157" s="7" t="str">
        <f aca="false">IFERROR(INDEX('Output Utente'!$U$2:$U$492,MATCH(154,'Output Utente'!$Q$2:$Q$492,0)),"")</f>
        <v>OK</v>
      </c>
      <c r="N157" s="7" t="str">
        <f aca="false">IFERROR(INDEX('Output Utente'!$AE$2:$AE$492,MATCH(154,'Output Utente'!$Q$2:$Q$492,0)),"")</f>
        <v>🟡 Attesa rischiosa</v>
      </c>
    </row>
    <row r="158" customFormat="false" ht="15" hidden="false" customHeight="true" outlineLevel="0" collapsed="false">
      <c r="A158" s="46" t="n">
        <v>155</v>
      </c>
      <c r="B158" s="7" t="n">
        <f aca="false">IFERROR(INDEX('Output Utente'!$A$2:$A$492,MATCH(155,'Output Utente'!$Q$2:$Q$492,0)),"")</f>
        <v>5422</v>
      </c>
      <c r="C158" s="7" t="str">
        <f aca="false">IFERROR(INDEX('Output Utente'!$B$2:$B$492,MATCH(155,'Output Utente'!$Q$2:$Q$492,0)),"")</f>
        <v>C</v>
      </c>
      <c r="D158" s="7" t="str">
        <f aca="false">IFERROR(INDEX('Output Utente'!$C$2:$C$492,MATCH(155,'Output Utente'!$Q$2:$Q$492,0)),"")</f>
        <v>Zalewski</v>
      </c>
      <c r="E158" s="7" t="str">
        <f aca="false">IFERROR(INDEX('Input Giocatori 2026_27'!$D$3:$D$493,MATCH($B158,'Input Giocatori 2026_27'!$A$3:$A$493,0)),"")</f>
        <v>Atalanta</v>
      </c>
      <c r="F158" s="47" t="n">
        <f aca="false">IFERROR(INDEX('Output Utente'!$N$2:$N$492,MATCH(155,'Output Utente'!$Q$2:$Q$492,0)),"")</f>
        <v>6</v>
      </c>
      <c r="G158" s="47" t="n">
        <f aca="false">IFERROR(INDEX('Output Utente'!$O$2:$O$492,MATCH(155,'Output Utente'!$Q$2:$Q$492,0)),"")</f>
        <v>21</v>
      </c>
      <c r="H158" s="7" t="str">
        <f aca="false">IFERROR(INDEX('Output Utente'!$P$2:$P$492,MATCH(155,'Output Utente'!$Q$2:$Q$492,0)),"")</f>
        <v>Buono</v>
      </c>
      <c r="I158" s="47" t="n">
        <f aca="false">IFERROR(INDEX('Output Utente'!$F$2:$F$492,MATCH(155,'Output Utente'!$Q$2:$Q$492,0)),"")</f>
        <v>3</v>
      </c>
      <c r="J158" s="47" t="n">
        <f aca="false">IFERROR(INDEX('Output Utente'!$G$2:$G$492,MATCH(155,'Output Utente'!$Q$2:$Q$492,0)),"")</f>
        <v>2</v>
      </c>
      <c r="K158" s="47" t="n">
        <f aca="false">IFERROR(INDEX('Output Utente'!$H$2:$H$492,MATCH(155,'Output Utente'!$Q$2:$Q$492,0)),"")</f>
        <v>3</v>
      </c>
      <c r="L158" s="7" t="str">
        <f aca="false">IFERROR(INDEX('Output Utente'!$E$2:$E$492,MATCH(155,'Output Utente'!$Q$2:$Q$492,0)),"")</f>
        <v>NO</v>
      </c>
      <c r="M158" s="7" t="str">
        <f aca="false">IFERROR(INDEX('Output Utente'!$U$2:$U$492,MATCH(155,'Output Utente'!$Q$2:$Q$492,0)),"")</f>
        <v>OK</v>
      </c>
      <c r="N158" s="7" t="str">
        <f aca="false">IFERROR(INDEX('Output Utente'!$AE$2:$AE$492,MATCH(155,'Output Utente'!$Q$2:$Q$492,0)),"")</f>
        <v>🟡 Attesa rischiosa</v>
      </c>
    </row>
    <row r="159" customFormat="false" ht="15" hidden="false" customHeight="true" outlineLevel="0" collapsed="false">
      <c r="A159" s="46" t="n">
        <v>156</v>
      </c>
      <c r="B159" s="7" t="n">
        <f aca="false">IFERROR(INDEX('Output Utente'!$A$2:$A$492,MATCH(156,'Output Utente'!$Q$2:$Q$492,0)),"")</f>
        <v>6669</v>
      </c>
      <c r="C159" s="7" t="str">
        <f aca="false">IFERROR(INDEX('Output Utente'!$B$2:$B$492,MATCH(156,'Output Utente'!$Q$2:$Q$492,0)),"")</f>
        <v>A</v>
      </c>
      <c r="D159" s="7" t="str">
        <f aca="false">IFERROR(INDEX('Output Utente'!$C$2:$C$492,MATCH(156,'Output Utente'!$Q$2:$Q$492,0)),"")</f>
        <v>Bonny</v>
      </c>
      <c r="E159" s="7" t="str">
        <f aca="false">IFERROR(INDEX('Input Giocatori 2026_27'!$D$3:$D$493,MATCH($B159,'Input Giocatori 2026_27'!$A$3:$A$493,0)),"")</f>
        <v>Inter</v>
      </c>
      <c r="F159" s="47" t="n">
        <f aca="false">IFERROR(INDEX('Output Utente'!$N$2:$N$492,MATCH(156,'Output Utente'!$Q$2:$Q$492,0)),"")</f>
        <v>7</v>
      </c>
      <c r="G159" s="47" t="n">
        <f aca="false">IFERROR(INDEX('Output Utente'!$O$2:$O$492,MATCH(156,'Output Utente'!$Q$2:$Q$492,0)),"")</f>
        <v>21</v>
      </c>
      <c r="H159" s="7" t="str">
        <f aca="false">IFERROR(INDEX('Output Utente'!$P$2:$P$492,MATCH(156,'Output Utente'!$Q$2:$Q$492,0)),"")</f>
        <v>Nella Media</v>
      </c>
      <c r="I159" s="47" t="n">
        <f aca="false">IFERROR(INDEX('Output Utente'!$F$2:$F$492,MATCH(156,'Output Utente'!$Q$2:$Q$492,0)),"")</f>
        <v>7</v>
      </c>
      <c r="J159" s="47" t="n">
        <f aca="false">IFERROR(INDEX('Output Utente'!$G$2:$G$492,MATCH(156,'Output Utente'!$Q$2:$Q$492,0)),"")</f>
        <v>4</v>
      </c>
      <c r="K159" s="47" t="n">
        <f aca="false">IFERROR(INDEX('Output Utente'!$H$2:$H$492,MATCH(156,'Output Utente'!$Q$2:$Q$492,0)),"")</f>
        <v>8</v>
      </c>
      <c r="L159" s="7" t="str">
        <f aca="false">IFERROR(INDEX('Output Utente'!$E$2:$E$492,MATCH(156,'Output Utente'!$Q$2:$Q$492,0)),"")</f>
        <v>NO</v>
      </c>
      <c r="M159" s="7" t="str">
        <f aca="false">IFERROR(INDEX('Output Utente'!$U$2:$U$492,MATCH(156,'Output Utente'!$Q$2:$Q$492,0)),"")</f>
        <v>OK</v>
      </c>
      <c r="N159" s="7" t="str">
        <f aca="false">IFERROR(INDEX('Output Utente'!$AE$2:$AE$492,MATCH(156,'Output Utente'!$Q$2:$Q$492,0)),"")</f>
        <v>🔴 Non aspettare</v>
      </c>
    </row>
    <row r="160" customFormat="false" ht="15" hidden="false" customHeight="true" outlineLevel="0" collapsed="false">
      <c r="A160" s="46" t="n">
        <v>157</v>
      </c>
      <c r="B160" s="7" t="n">
        <f aca="false">IFERROR(INDEX('Output Utente'!$A$2:$A$492,MATCH(157,'Output Utente'!$Q$2:$Q$492,0)),"")</f>
        <v>6641</v>
      </c>
      <c r="C160" s="7" t="str">
        <f aca="false">IFERROR(INDEX('Output Utente'!$B$2:$B$492,MATCH(157,'Output Utente'!$Q$2:$Q$492,0)),"")</f>
        <v>P</v>
      </c>
      <c r="D160" s="7" t="str">
        <f aca="false">IFERROR(INDEX('Output Utente'!$C$2:$C$492,MATCH(157,'Output Utente'!$Q$2:$Q$492,0)),"")</f>
        <v>Suzuki</v>
      </c>
      <c r="E160" s="7" t="str">
        <f aca="false">IFERROR(INDEX('Input Giocatori 2026_27'!$D$3:$D$493,MATCH($B160,'Input Giocatori 2026_27'!$A$3:$A$493,0)),"")</f>
        <v>Parma</v>
      </c>
      <c r="F160" s="47" t="n">
        <f aca="false">IFERROR(INDEX('Output Utente'!$N$2:$N$492,MATCH(157,'Output Utente'!$Q$2:$Q$492,0)),"")</f>
        <v>7</v>
      </c>
      <c r="G160" s="47" t="n">
        <f aca="false">IFERROR(INDEX('Output Utente'!$O$2:$O$492,MATCH(157,'Output Utente'!$Q$2:$Q$492,0)),"")</f>
        <v>20</v>
      </c>
      <c r="H160" s="7" t="str">
        <f aca="false">IFERROR(INDEX('Output Utente'!$P$2:$P$492,MATCH(157,'Output Utente'!$Q$2:$Q$492,0)),"")</f>
        <v>Buono</v>
      </c>
      <c r="I160" s="47" t="n">
        <f aca="false">IFERROR(INDEX('Output Utente'!$F$2:$F$492,MATCH(157,'Output Utente'!$Q$2:$Q$492,0)),"")</f>
        <v>6</v>
      </c>
      <c r="J160" s="47" t="n">
        <f aca="false">IFERROR(INDEX('Output Utente'!$G$2:$G$492,MATCH(157,'Output Utente'!$Q$2:$Q$492,0)),"")</f>
        <v>5</v>
      </c>
      <c r="K160" s="47" t="n">
        <f aca="false">IFERROR(INDEX('Output Utente'!$H$2:$H$492,MATCH(157,'Output Utente'!$Q$2:$Q$492,0)),"")</f>
        <v>7</v>
      </c>
      <c r="L160" s="7" t="str">
        <f aca="false">IFERROR(INDEX('Output Utente'!$E$2:$E$492,MATCH(157,'Output Utente'!$Q$2:$Q$492,0)),"")</f>
        <v>NO</v>
      </c>
      <c r="M160" s="7" t="str">
        <f aca="false">IFERROR(INDEX('Output Utente'!$U$2:$U$492,MATCH(157,'Output Utente'!$Q$2:$Q$492,0)),"")</f>
        <v>OK</v>
      </c>
      <c r="N160" s="7" t="str">
        <f aca="false">IFERROR(INDEX('Output Utente'!$AE$2:$AE$492,MATCH(157,'Output Utente'!$Q$2:$Q$492,0)),"")</f>
        <v>🟡 Attesa rischiosa</v>
      </c>
    </row>
    <row r="161" customFormat="false" ht="15" hidden="false" customHeight="true" outlineLevel="0" collapsed="false">
      <c r="A161" s="46" t="n">
        <v>158</v>
      </c>
      <c r="B161" s="7" t="n">
        <f aca="false">IFERROR(INDEX('Output Utente'!$A$2:$A$492,MATCH(158,'Output Utente'!$Q$2:$Q$492,0)),"")</f>
        <v>4210</v>
      </c>
      <c r="C161" s="7" t="str">
        <f aca="false">IFERROR(INDEX('Output Utente'!$B$2:$B$492,MATCH(158,'Output Utente'!$Q$2:$Q$492,0)),"")</f>
        <v>D</v>
      </c>
      <c r="D161" s="7" t="str">
        <f aca="false">IFERROR(INDEX('Output Utente'!$C$2:$C$492,MATCH(158,'Output Utente'!$Q$2:$Q$492,0)),"")</f>
        <v>Mina</v>
      </c>
      <c r="E161" s="7" t="str">
        <f aca="false">IFERROR(INDEX('Input Giocatori 2026_27'!$D$3:$D$493,MATCH($B161,'Input Giocatori 2026_27'!$A$3:$A$493,0)),"")</f>
        <v>Cagliari</v>
      </c>
      <c r="F161" s="47" t="n">
        <f aca="false">IFERROR(INDEX('Output Utente'!$N$2:$N$492,MATCH(158,'Output Utente'!$Q$2:$Q$492,0)),"")</f>
        <v>8</v>
      </c>
      <c r="G161" s="47" t="n">
        <f aca="false">IFERROR(INDEX('Output Utente'!$O$2:$O$492,MATCH(158,'Output Utente'!$Q$2:$Q$492,0)),"")</f>
        <v>20</v>
      </c>
      <c r="H161" s="7" t="str">
        <f aca="false">IFERROR(INDEX('Output Utente'!$P$2:$P$492,MATCH(158,'Output Utente'!$Q$2:$Q$492,0)),"")</f>
        <v>Buono</v>
      </c>
      <c r="I161" s="47" t="n">
        <f aca="false">IFERROR(INDEX('Output Utente'!$F$2:$F$492,MATCH(158,'Output Utente'!$Q$2:$Q$492,0)),"")</f>
        <v>4</v>
      </c>
      <c r="J161" s="47" t="n">
        <f aca="false">IFERROR(INDEX('Output Utente'!$G$2:$G$492,MATCH(158,'Output Utente'!$Q$2:$Q$492,0)),"")</f>
        <v>3</v>
      </c>
      <c r="K161" s="47" t="n">
        <f aca="false">IFERROR(INDEX('Output Utente'!$H$2:$H$492,MATCH(158,'Output Utente'!$Q$2:$Q$492,0)),"")</f>
        <v>4</v>
      </c>
      <c r="L161" s="7" t="str">
        <f aca="false">IFERROR(INDEX('Output Utente'!$E$2:$E$492,MATCH(158,'Output Utente'!$Q$2:$Q$492,0)),"")</f>
        <v>NO</v>
      </c>
      <c r="M161" s="7" t="str">
        <f aca="false">IFERROR(INDEX('Output Utente'!$U$2:$U$492,MATCH(158,'Output Utente'!$Q$2:$Q$492,0)),"")</f>
        <v>OK</v>
      </c>
      <c r="N161" s="7" t="str">
        <f aca="false">IFERROR(INDEX('Output Utente'!$AE$2:$AE$492,MATCH(158,'Output Utente'!$Q$2:$Q$492,0)),"")</f>
        <v>🟡 Attesa rischiosa</v>
      </c>
    </row>
    <row r="162" customFormat="false" ht="15" hidden="false" customHeight="true" outlineLevel="0" collapsed="false">
      <c r="A162" s="46" t="n">
        <v>159</v>
      </c>
      <c r="B162" s="7" t="n">
        <f aca="false">IFERROR(INDEX('Output Utente'!$A$2:$A$492,MATCH(159,'Output Utente'!$Q$2:$Q$492,0)),"")</f>
        <v>7529</v>
      </c>
      <c r="C162" s="7" t="str">
        <f aca="false">IFERROR(INDEX('Output Utente'!$B$2:$B$492,MATCH(159,'Output Utente'!$Q$2:$Q$492,0)),"")</f>
        <v>D</v>
      </c>
      <c r="D162" s="7" t="str">
        <f aca="false">IFERROR(INDEX('Output Utente'!$C$2:$C$492,MATCH(159,'Output Utente'!$Q$2:$Q$492,0)),"")</f>
        <v>Koulierakis</v>
      </c>
      <c r="E162" s="7" t="str">
        <f aca="false">IFERROR(INDEX('Input Giocatori 2026_27'!$D$3:$D$493,MATCH($B162,'Input Giocatori 2026_27'!$A$3:$A$493,0)),"")</f>
        <v>Roma</v>
      </c>
      <c r="F162" s="47" t="n">
        <f aca="false">IFERROR(INDEX('Output Utente'!$N$2:$N$492,MATCH(159,'Output Utente'!$Q$2:$Q$492,0)),"")</f>
        <v>8</v>
      </c>
      <c r="G162" s="47" t="n">
        <f aca="false">IFERROR(INDEX('Output Utente'!$O$2:$O$492,MATCH(159,'Output Utente'!$Q$2:$Q$492,0)),"")</f>
        <v>20</v>
      </c>
      <c r="H162" s="7" t="str">
        <f aca="false">IFERROR(INDEX('Output Utente'!$P$2:$P$492,MATCH(159,'Output Utente'!$Q$2:$Q$492,0)),"")</f>
        <v>Buono</v>
      </c>
      <c r="I162" s="47" t="n">
        <f aca="false">IFERROR(INDEX('Output Utente'!$F$2:$F$492,MATCH(159,'Output Utente'!$Q$2:$Q$492,0)),"")</f>
        <v>4</v>
      </c>
      <c r="J162" s="47" t="n">
        <f aca="false">IFERROR(INDEX('Output Utente'!$G$2:$G$492,MATCH(159,'Output Utente'!$Q$2:$Q$492,0)),"")</f>
        <v>3</v>
      </c>
      <c r="K162" s="47" t="n">
        <f aca="false">IFERROR(INDEX('Output Utente'!$H$2:$H$492,MATCH(159,'Output Utente'!$Q$2:$Q$492,0)),"")</f>
        <v>4</v>
      </c>
      <c r="L162" s="7" t="str">
        <f aca="false">IFERROR(INDEX('Output Utente'!$E$2:$E$492,MATCH(159,'Output Utente'!$Q$2:$Q$492,0)),"")</f>
        <v>NO</v>
      </c>
      <c r="M162" s="7" t="str">
        <f aca="false">IFERROR(INDEX('Output Utente'!$U$2:$U$492,MATCH(159,'Output Utente'!$Q$2:$Q$492,0)),"")</f>
        <v>OK</v>
      </c>
      <c r="N162" s="7" t="str">
        <f aca="false">IFERROR(INDEX('Output Utente'!$AE$2:$AE$492,MATCH(159,'Output Utente'!$Q$2:$Q$492,0)),"")</f>
        <v>🟡 Attesa rischiosa</v>
      </c>
    </row>
    <row r="163" customFormat="false" ht="15" hidden="false" customHeight="true" outlineLevel="0" collapsed="false">
      <c r="A163" s="46" t="n">
        <v>160</v>
      </c>
      <c r="B163" s="7" t="n">
        <f aca="false">IFERROR(INDEX('Output Utente'!$A$2:$A$492,MATCH(160,'Output Utente'!$Q$2:$Q$492,0)),"")</f>
        <v>4751</v>
      </c>
      <c r="C163" s="7" t="str">
        <f aca="false">IFERROR(INDEX('Output Utente'!$B$2:$B$492,MATCH(160,'Output Utente'!$Q$2:$Q$492,0)),"")</f>
        <v>D</v>
      </c>
      <c r="D163" s="7" t="str">
        <f aca="false">IFERROR(INDEX('Output Utente'!$C$2:$C$492,MATCH(160,'Output Utente'!$Q$2:$Q$492,0)),"")</f>
        <v>Tomori</v>
      </c>
      <c r="E163" s="7" t="str">
        <f aca="false">IFERROR(INDEX('Input Giocatori 2026_27'!$D$3:$D$493,MATCH($B163,'Input Giocatori 2026_27'!$A$3:$A$493,0)),"")</f>
        <v>Milan</v>
      </c>
      <c r="F163" s="47" t="n">
        <f aca="false">IFERROR(INDEX('Output Utente'!$N$2:$N$492,MATCH(160,'Output Utente'!$Q$2:$Q$492,0)),"")</f>
        <v>7</v>
      </c>
      <c r="G163" s="47" t="n">
        <f aca="false">IFERROR(INDEX('Output Utente'!$O$2:$O$492,MATCH(160,'Output Utente'!$Q$2:$Q$492,0)),"")</f>
        <v>20</v>
      </c>
      <c r="H163" s="7" t="str">
        <f aca="false">IFERROR(INDEX('Output Utente'!$P$2:$P$492,MATCH(160,'Output Utente'!$Q$2:$Q$492,0)),"")</f>
        <v>Buono</v>
      </c>
      <c r="I163" s="47" t="n">
        <f aca="false">IFERROR(INDEX('Output Utente'!$F$2:$F$492,MATCH(160,'Output Utente'!$Q$2:$Q$492,0)),"")</f>
        <v>4</v>
      </c>
      <c r="J163" s="47" t="n">
        <f aca="false">IFERROR(INDEX('Output Utente'!$G$2:$G$492,MATCH(160,'Output Utente'!$Q$2:$Q$492,0)),"")</f>
        <v>3</v>
      </c>
      <c r="K163" s="47" t="n">
        <f aca="false">IFERROR(INDEX('Output Utente'!$H$2:$H$492,MATCH(160,'Output Utente'!$Q$2:$Q$492,0)),"")</f>
        <v>4</v>
      </c>
      <c r="L163" s="7" t="str">
        <f aca="false">IFERROR(INDEX('Output Utente'!$E$2:$E$492,MATCH(160,'Output Utente'!$Q$2:$Q$492,0)),"")</f>
        <v>NO</v>
      </c>
      <c r="M163" s="7" t="str">
        <f aca="false">IFERROR(INDEX('Output Utente'!$U$2:$U$492,MATCH(160,'Output Utente'!$Q$2:$Q$492,0)),"")</f>
        <v>OK</v>
      </c>
      <c r="N163" s="7" t="str">
        <f aca="false">IFERROR(INDEX('Output Utente'!$AE$2:$AE$492,MATCH(160,'Output Utente'!$Q$2:$Q$492,0)),"")</f>
        <v>🟡 Attesa rischiosa</v>
      </c>
    </row>
    <row r="164" customFormat="false" ht="15" hidden="false" customHeight="true" outlineLevel="0" collapsed="false">
      <c r="A164" s="46" t="n">
        <v>161</v>
      </c>
      <c r="B164" s="7" t="n">
        <f aca="false">IFERROR(INDEX('Output Utente'!$A$2:$A$492,MATCH(161,'Output Utente'!$Q$2:$Q$492,0)),"")</f>
        <v>2188</v>
      </c>
      <c r="C164" s="7" t="str">
        <f aca="false">IFERROR(INDEX('Output Utente'!$B$2:$B$492,MATCH(161,'Output Utente'!$Q$2:$Q$492,0)),"")</f>
        <v>D</v>
      </c>
      <c r="D164" s="7" t="str">
        <f aca="false">IFERROR(INDEX('Output Utente'!$C$2:$C$492,MATCH(161,'Output Utente'!$Q$2:$Q$492,0)),"")</f>
        <v>Marusic</v>
      </c>
      <c r="E164" s="7" t="str">
        <f aca="false">IFERROR(INDEX('Input Giocatori 2026_27'!$D$3:$D$493,MATCH($B164,'Input Giocatori 2026_27'!$A$3:$A$493,0)),"")</f>
        <v>Lazio</v>
      </c>
      <c r="F164" s="47" t="n">
        <f aca="false">IFERROR(INDEX('Output Utente'!$N$2:$N$492,MATCH(161,'Output Utente'!$Q$2:$Q$492,0)),"")</f>
        <v>6</v>
      </c>
      <c r="G164" s="47" t="n">
        <f aca="false">IFERROR(INDEX('Output Utente'!$O$2:$O$492,MATCH(161,'Output Utente'!$Q$2:$Q$492,0)),"")</f>
        <v>20</v>
      </c>
      <c r="H164" s="7" t="str">
        <f aca="false">IFERROR(INDEX('Output Utente'!$P$2:$P$492,MATCH(161,'Output Utente'!$Q$2:$Q$492,0)),"")</f>
        <v>Buono</v>
      </c>
      <c r="I164" s="47" t="n">
        <f aca="false">IFERROR(INDEX('Output Utente'!$F$2:$F$492,MATCH(161,'Output Utente'!$Q$2:$Q$492,0)),"")</f>
        <v>4</v>
      </c>
      <c r="J164" s="47" t="n">
        <f aca="false">IFERROR(INDEX('Output Utente'!$G$2:$G$492,MATCH(161,'Output Utente'!$Q$2:$Q$492,0)),"")</f>
        <v>3</v>
      </c>
      <c r="K164" s="47" t="n">
        <f aca="false">IFERROR(INDEX('Output Utente'!$H$2:$H$492,MATCH(161,'Output Utente'!$Q$2:$Q$492,0)),"")</f>
        <v>4</v>
      </c>
      <c r="L164" s="7" t="str">
        <f aca="false">IFERROR(INDEX('Output Utente'!$E$2:$E$492,MATCH(161,'Output Utente'!$Q$2:$Q$492,0)),"")</f>
        <v>NO</v>
      </c>
      <c r="M164" s="7" t="str">
        <f aca="false">IFERROR(INDEX('Output Utente'!$U$2:$U$492,MATCH(161,'Output Utente'!$Q$2:$Q$492,0)),"")</f>
        <v>OK</v>
      </c>
      <c r="N164" s="7" t="str">
        <f aca="false">IFERROR(INDEX('Output Utente'!$AE$2:$AE$492,MATCH(161,'Output Utente'!$Q$2:$Q$492,0)),"")</f>
        <v>🟡 Attesa rischiosa</v>
      </c>
    </row>
    <row r="165" customFormat="false" ht="15" hidden="false" customHeight="true" outlineLevel="0" collapsed="false">
      <c r="A165" s="46" t="n">
        <v>162</v>
      </c>
      <c r="B165" s="7" t="n">
        <f aca="false">IFERROR(INDEX('Output Utente'!$A$2:$A$492,MATCH(162,'Output Utente'!$Q$2:$Q$492,0)),"")</f>
        <v>6717</v>
      </c>
      <c r="C165" s="7" t="str">
        <f aca="false">IFERROR(INDEX('Output Utente'!$B$2:$B$492,MATCH(162,'Output Utente'!$Q$2:$Q$492,0)),"")</f>
        <v>C</v>
      </c>
      <c r="D165" s="7" t="str">
        <f aca="false">IFERROR(INDEX('Output Utente'!$C$2:$C$492,MATCH(162,'Output Utente'!$Q$2:$Q$492,0)),"")</f>
        <v>Konè I.</v>
      </c>
      <c r="E165" s="7" t="str">
        <f aca="false">IFERROR(INDEX('Input Giocatori 2026_27'!$D$3:$D$493,MATCH($B165,'Input Giocatori 2026_27'!$A$3:$A$493,0)),"")</f>
        <v>Sassuolo</v>
      </c>
      <c r="F165" s="47" t="n">
        <f aca="false">IFERROR(INDEX('Output Utente'!$N$2:$N$492,MATCH(162,'Output Utente'!$Q$2:$Q$492,0)),"")</f>
        <v>9</v>
      </c>
      <c r="G165" s="47" t="n">
        <f aca="false">IFERROR(INDEX('Output Utente'!$O$2:$O$492,MATCH(162,'Output Utente'!$Q$2:$Q$492,0)),"")</f>
        <v>20</v>
      </c>
      <c r="H165" s="7" t="str">
        <f aca="false">IFERROR(INDEX('Output Utente'!$P$2:$P$492,MATCH(162,'Output Utente'!$Q$2:$Q$492,0)),"")</f>
        <v>Buono</v>
      </c>
      <c r="I165" s="47" t="n">
        <f aca="false">IFERROR(INDEX('Output Utente'!$F$2:$F$492,MATCH(162,'Output Utente'!$Q$2:$Q$492,0)),"")</f>
        <v>3</v>
      </c>
      <c r="J165" s="47" t="n">
        <f aca="false">IFERROR(INDEX('Output Utente'!$G$2:$G$492,MATCH(162,'Output Utente'!$Q$2:$Q$492,0)),"")</f>
        <v>2</v>
      </c>
      <c r="K165" s="47" t="n">
        <f aca="false">IFERROR(INDEX('Output Utente'!$H$2:$H$492,MATCH(162,'Output Utente'!$Q$2:$Q$492,0)),"")</f>
        <v>3</v>
      </c>
      <c r="L165" s="7" t="str">
        <f aca="false">IFERROR(INDEX('Output Utente'!$E$2:$E$492,MATCH(162,'Output Utente'!$Q$2:$Q$492,0)),"")</f>
        <v>NO</v>
      </c>
      <c r="M165" s="7" t="str">
        <f aca="false">IFERROR(INDEX('Output Utente'!$U$2:$U$492,MATCH(162,'Output Utente'!$Q$2:$Q$492,0)),"")</f>
        <v>OK</v>
      </c>
      <c r="N165" s="7" t="str">
        <f aca="false">IFERROR(INDEX('Output Utente'!$AE$2:$AE$492,MATCH(162,'Output Utente'!$Q$2:$Q$492,0)),"")</f>
        <v>🟡 Attesa rischiosa</v>
      </c>
    </row>
    <row r="166" customFormat="false" ht="15" hidden="false" customHeight="true" outlineLevel="0" collapsed="false">
      <c r="A166" s="46" t="n">
        <v>163</v>
      </c>
      <c r="B166" s="7" t="n">
        <f aca="false">IFERROR(INDEX('Output Utente'!$A$2:$A$492,MATCH(163,'Output Utente'!$Q$2:$Q$492,0)),"")</f>
        <v>2741</v>
      </c>
      <c r="C166" s="7" t="str">
        <f aca="false">IFERROR(INDEX('Output Utente'!$B$2:$B$492,MATCH(163,'Output Utente'!$Q$2:$Q$492,0)),"")</f>
        <v>C</v>
      </c>
      <c r="D166" s="7" t="str">
        <f aca="false">IFERROR(INDEX('Output Utente'!$C$2:$C$492,MATCH(163,'Output Utente'!$Q$2:$Q$492,0)),"")</f>
        <v>Pessina</v>
      </c>
      <c r="E166" s="7" t="str">
        <f aca="false">IFERROR(INDEX('Input Giocatori 2026_27'!$D$3:$D$493,MATCH($B166,'Input Giocatori 2026_27'!$A$3:$A$493,0)),"")</f>
        <v>Monza</v>
      </c>
      <c r="F166" s="47" t="n">
        <f aca="false">IFERROR(INDEX('Output Utente'!$N$2:$N$492,MATCH(163,'Output Utente'!$Q$2:$Q$492,0)),"")</f>
        <v>7</v>
      </c>
      <c r="G166" s="47" t="n">
        <f aca="false">IFERROR(INDEX('Output Utente'!$O$2:$O$492,MATCH(163,'Output Utente'!$Q$2:$Q$492,0)),"")</f>
        <v>20</v>
      </c>
      <c r="H166" s="7" t="str">
        <f aca="false">IFERROR(INDEX('Output Utente'!$P$2:$P$492,MATCH(163,'Output Utente'!$Q$2:$Q$492,0)),"")</f>
        <v>Buono</v>
      </c>
      <c r="I166" s="47" t="n">
        <f aca="false">IFERROR(INDEX('Output Utente'!$F$2:$F$492,MATCH(163,'Output Utente'!$Q$2:$Q$492,0)),"")</f>
        <v>3</v>
      </c>
      <c r="J166" s="47" t="n">
        <f aca="false">IFERROR(INDEX('Output Utente'!$G$2:$G$492,MATCH(163,'Output Utente'!$Q$2:$Q$492,0)),"")</f>
        <v>2</v>
      </c>
      <c r="K166" s="47" t="n">
        <f aca="false">IFERROR(INDEX('Output Utente'!$H$2:$H$492,MATCH(163,'Output Utente'!$Q$2:$Q$492,0)),"")</f>
        <v>3</v>
      </c>
      <c r="L166" s="7" t="str">
        <f aca="false">IFERROR(INDEX('Output Utente'!$E$2:$E$492,MATCH(163,'Output Utente'!$Q$2:$Q$492,0)),"")</f>
        <v>NO</v>
      </c>
      <c r="M166" s="7" t="str">
        <f aca="false">IFERROR(INDEX('Output Utente'!$U$2:$U$492,MATCH(163,'Output Utente'!$Q$2:$Q$492,0)),"")</f>
        <v>OK</v>
      </c>
      <c r="N166" s="7" t="str">
        <f aca="false">IFERROR(INDEX('Output Utente'!$AE$2:$AE$492,MATCH(163,'Output Utente'!$Q$2:$Q$492,0)),"")</f>
        <v>🟡 Attesa rischiosa</v>
      </c>
    </row>
    <row r="167" customFormat="false" ht="15" hidden="false" customHeight="true" outlineLevel="0" collapsed="false">
      <c r="A167" s="46" t="n">
        <v>164</v>
      </c>
      <c r="B167" s="7" t="n">
        <f aca="false">IFERROR(INDEX('Output Utente'!$A$2:$A$492,MATCH(164,'Output Utente'!$Q$2:$Q$492,0)),"")</f>
        <v>4287</v>
      </c>
      <c r="C167" s="7" t="str">
        <f aca="false">IFERROR(INDEX('Output Utente'!$B$2:$B$492,MATCH(164,'Output Utente'!$Q$2:$Q$492,0)),"")</f>
        <v>C</v>
      </c>
      <c r="D167" s="7" t="str">
        <f aca="false">IFERROR(INDEX('Output Utente'!$C$2:$C$492,MATCH(164,'Output Utente'!$Q$2:$Q$492,0)),"")</f>
        <v>Lobotka</v>
      </c>
      <c r="E167" s="7" t="str">
        <f aca="false">IFERROR(INDEX('Input Giocatori 2026_27'!$D$3:$D$493,MATCH($B167,'Input Giocatori 2026_27'!$A$3:$A$493,0)),"")</f>
        <v>Napoli</v>
      </c>
      <c r="F167" s="47" t="n">
        <f aca="false">IFERROR(INDEX('Output Utente'!$N$2:$N$492,MATCH(164,'Output Utente'!$Q$2:$Q$492,0)),"")</f>
        <v>7</v>
      </c>
      <c r="G167" s="47" t="n">
        <f aca="false">IFERROR(INDEX('Output Utente'!$O$2:$O$492,MATCH(164,'Output Utente'!$Q$2:$Q$492,0)),"")</f>
        <v>20</v>
      </c>
      <c r="H167" s="7" t="str">
        <f aca="false">IFERROR(INDEX('Output Utente'!$P$2:$P$492,MATCH(164,'Output Utente'!$Q$2:$Q$492,0)),"")</f>
        <v>Buono</v>
      </c>
      <c r="I167" s="47" t="n">
        <f aca="false">IFERROR(INDEX('Output Utente'!$F$2:$F$492,MATCH(164,'Output Utente'!$Q$2:$Q$492,0)),"")</f>
        <v>3</v>
      </c>
      <c r="J167" s="47" t="n">
        <f aca="false">IFERROR(INDEX('Output Utente'!$G$2:$G$492,MATCH(164,'Output Utente'!$Q$2:$Q$492,0)),"")</f>
        <v>2</v>
      </c>
      <c r="K167" s="47" t="n">
        <f aca="false">IFERROR(INDEX('Output Utente'!$H$2:$H$492,MATCH(164,'Output Utente'!$Q$2:$Q$492,0)),"")</f>
        <v>3</v>
      </c>
      <c r="L167" s="7" t="str">
        <f aca="false">IFERROR(INDEX('Output Utente'!$E$2:$E$492,MATCH(164,'Output Utente'!$Q$2:$Q$492,0)),"")</f>
        <v>NO</v>
      </c>
      <c r="M167" s="7" t="str">
        <f aca="false">IFERROR(INDEX('Output Utente'!$U$2:$U$492,MATCH(164,'Output Utente'!$Q$2:$Q$492,0)),"")</f>
        <v>OK</v>
      </c>
      <c r="N167" s="7" t="str">
        <f aca="false">IFERROR(INDEX('Output Utente'!$AE$2:$AE$492,MATCH(164,'Output Utente'!$Q$2:$Q$492,0)),"")</f>
        <v>🟡 Attesa rischiosa</v>
      </c>
    </row>
    <row r="168" customFormat="false" ht="15" hidden="false" customHeight="true" outlineLevel="0" collapsed="false">
      <c r="A168" s="46" t="n">
        <v>165</v>
      </c>
      <c r="B168" s="7" t="n">
        <f aca="false">IFERROR(INDEX('Output Utente'!$A$2:$A$492,MATCH(165,'Output Utente'!$Q$2:$Q$492,0)),"")</f>
        <v>5036</v>
      </c>
      <c r="C168" s="7" t="str">
        <f aca="false">IFERROR(INDEX('Output Utente'!$B$2:$B$492,MATCH(165,'Output Utente'!$Q$2:$Q$492,0)),"")</f>
        <v>C</v>
      </c>
      <c r="D168" s="7" t="str">
        <f aca="false">IFERROR(INDEX('Output Utente'!$C$2:$C$492,MATCH(165,'Output Utente'!$Q$2:$Q$492,0)),"")</f>
        <v>Caqueret</v>
      </c>
      <c r="E168" s="7" t="str">
        <f aca="false">IFERROR(INDEX('Input Giocatori 2026_27'!$D$3:$D$493,MATCH($B168,'Input Giocatori 2026_27'!$A$3:$A$493,0)),"")</f>
        <v>Como</v>
      </c>
      <c r="F168" s="47" t="n">
        <f aca="false">IFERROR(INDEX('Output Utente'!$N$2:$N$492,MATCH(165,'Output Utente'!$Q$2:$Q$492,0)),"")</f>
        <v>6</v>
      </c>
      <c r="G168" s="47" t="n">
        <f aca="false">IFERROR(INDEX('Output Utente'!$O$2:$O$492,MATCH(165,'Output Utente'!$Q$2:$Q$492,0)),"")</f>
        <v>20</v>
      </c>
      <c r="H168" s="7" t="str">
        <f aca="false">IFERROR(INDEX('Output Utente'!$P$2:$P$492,MATCH(165,'Output Utente'!$Q$2:$Q$492,0)),"")</f>
        <v>Buono</v>
      </c>
      <c r="I168" s="47" t="n">
        <f aca="false">IFERROR(INDEX('Output Utente'!$F$2:$F$492,MATCH(165,'Output Utente'!$Q$2:$Q$492,0)),"")</f>
        <v>3</v>
      </c>
      <c r="J168" s="47" t="n">
        <f aca="false">IFERROR(INDEX('Output Utente'!$G$2:$G$492,MATCH(165,'Output Utente'!$Q$2:$Q$492,0)),"")</f>
        <v>2</v>
      </c>
      <c r="K168" s="47" t="n">
        <f aca="false">IFERROR(INDEX('Output Utente'!$H$2:$H$492,MATCH(165,'Output Utente'!$Q$2:$Q$492,0)),"")</f>
        <v>3</v>
      </c>
      <c r="L168" s="7" t="str">
        <f aca="false">IFERROR(INDEX('Output Utente'!$E$2:$E$492,MATCH(165,'Output Utente'!$Q$2:$Q$492,0)),"")</f>
        <v>NO</v>
      </c>
      <c r="M168" s="7" t="str">
        <f aca="false">IFERROR(INDEX('Output Utente'!$U$2:$U$492,MATCH(165,'Output Utente'!$Q$2:$Q$492,0)),"")</f>
        <v>OK</v>
      </c>
      <c r="N168" s="7" t="str">
        <f aca="false">IFERROR(INDEX('Output Utente'!$AE$2:$AE$492,MATCH(165,'Output Utente'!$Q$2:$Q$492,0)),"")</f>
        <v>🟡 Attesa rischiosa</v>
      </c>
    </row>
    <row r="169" customFormat="false" ht="15" hidden="false" customHeight="true" outlineLevel="0" collapsed="false">
      <c r="A169" s="46" t="n">
        <v>166</v>
      </c>
      <c r="B169" s="7" t="n">
        <f aca="false">IFERROR(INDEX('Output Utente'!$A$2:$A$492,MATCH(166,'Output Utente'!$Q$2:$Q$492,0)),"")</f>
        <v>7464</v>
      </c>
      <c r="C169" s="7" t="str">
        <f aca="false">IFERROR(INDEX('Output Utente'!$B$2:$B$492,MATCH(166,'Output Utente'!$Q$2:$Q$492,0)),"")</f>
        <v>C</v>
      </c>
      <c r="D169" s="7" t="str">
        <f aca="false">IFERROR(INDEX('Output Utente'!$C$2:$C$492,MATCH(166,'Output Utente'!$Q$2:$Q$492,0)),"")</f>
        <v>Oulai</v>
      </c>
      <c r="E169" s="7" t="str">
        <f aca="false">IFERROR(INDEX('Input Giocatori 2026_27'!$D$3:$D$493,MATCH($B169,'Input Giocatori 2026_27'!$A$3:$A$493,0)),"")</f>
        <v>Fiorentina</v>
      </c>
      <c r="F169" s="47" t="n">
        <f aca="false">IFERROR(INDEX('Output Utente'!$N$2:$N$492,MATCH(166,'Output Utente'!$Q$2:$Q$492,0)),"")</f>
        <v>6</v>
      </c>
      <c r="G169" s="47" t="n">
        <f aca="false">IFERROR(INDEX('Output Utente'!$O$2:$O$492,MATCH(166,'Output Utente'!$Q$2:$Q$492,0)),"")</f>
        <v>20</v>
      </c>
      <c r="H169" s="7" t="str">
        <f aca="false">IFERROR(INDEX('Output Utente'!$P$2:$P$492,MATCH(166,'Output Utente'!$Q$2:$Q$492,0)),"")</f>
        <v>Buono</v>
      </c>
      <c r="I169" s="47" t="n">
        <f aca="false">IFERROR(INDEX('Output Utente'!$F$2:$F$492,MATCH(166,'Output Utente'!$Q$2:$Q$492,0)),"")</f>
        <v>3</v>
      </c>
      <c r="J169" s="47" t="n">
        <f aca="false">IFERROR(INDEX('Output Utente'!$G$2:$G$492,MATCH(166,'Output Utente'!$Q$2:$Q$492,0)),"")</f>
        <v>2</v>
      </c>
      <c r="K169" s="47" t="n">
        <f aca="false">IFERROR(INDEX('Output Utente'!$H$2:$H$492,MATCH(166,'Output Utente'!$Q$2:$Q$492,0)),"")</f>
        <v>3</v>
      </c>
      <c r="L169" s="7" t="str">
        <f aca="false">IFERROR(INDEX('Output Utente'!$E$2:$E$492,MATCH(166,'Output Utente'!$Q$2:$Q$492,0)),"")</f>
        <v>NO</v>
      </c>
      <c r="M169" s="7" t="str">
        <f aca="false">IFERROR(INDEX('Output Utente'!$U$2:$U$492,MATCH(166,'Output Utente'!$Q$2:$Q$492,0)),"")</f>
        <v>OK</v>
      </c>
      <c r="N169" s="7" t="str">
        <f aca="false">IFERROR(INDEX('Output Utente'!$AE$2:$AE$492,MATCH(166,'Output Utente'!$Q$2:$Q$492,0)),"")</f>
        <v>🟡 Attesa rischiosa</v>
      </c>
    </row>
    <row r="170" customFormat="false" ht="15" hidden="false" customHeight="true" outlineLevel="0" collapsed="false">
      <c r="A170" s="46" t="n">
        <v>167</v>
      </c>
      <c r="B170" s="7" t="n">
        <f aca="false">IFERROR(INDEX('Output Utente'!$A$2:$A$492,MATCH(167,'Output Utente'!$Q$2:$Q$492,0)),"")</f>
        <v>6680</v>
      </c>
      <c r="C170" s="7" t="str">
        <f aca="false">IFERROR(INDEX('Output Utente'!$B$2:$B$492,MATCH(167,'Output Utente'!$Q$2:$Q$492,0)),"")</f>
        <v>C</v>
      </c>
      <c r="D170" s="7" t="str">
        <f aca="false">IFERROR(INDEX('Output Utente'!$C$2:$C$492,MATCH(167,'Output Utente'!$Q$2:$Q$492,0)),"")</f>
        <v>Karlstrom</v>
      </c>
      <c r="E170" s="7" t="str">
        <f aca="false">IFERROR(INDEX('Input Giocatori 2026_27'!$D$3:$D$493,MATCH($B170,'Input Giocatori 2026_27'!$A$3:$A$493,0)),"")</f>
        <v>Udinese</v>
      </c>
      <c r="F170" s="47" t="n">
        <f aca="false">IFERROR(INDEX('Output Utente'!$N$2:$N$492,MATCH(167,'Output Utente'!$Q$2:$Q$492,0)),"")</f>
        <v>6</v>
      </c>
      <c r="G170" s="47" t="n">
        <f aca="false">IFERROR(INDEX('Output Utente'!$O$2:$O$492,MATCH(167,'Output Utente'!$Q$2:$Q$492,0)),"")</f>
        <v>20</v>
      </c>
      <c r="H170" s="7" t="str">
        <f aca="false">IFERROR(INDEX('Output Utente'!$P$2:$P$492,MATCH(167,'Output Utente'!$Q$2:$Q$492,0)),"")</f>
        <v>Buono</v>
      </c>
      <c r="I170" s="47" t="n">
        <f aca="false">IFERROR(INDEX('Output Utente'!$F$2:$F$492,MATCH(167,'Output Utente'!$Q$2:$Q$492,0)),"")</f>
        <v>3</v>
      </c>
      <c r="J170" s="47" t="n">
        <f aca="false">IFERROR(INDEX('Output Utente'!$G$2:$G$492,MATCH(167,'Output Utente'!$Q$2:$Q$492,0)),"")</f>
        <v>2</v>
      </c>
      <c r="K170" s="47" t="n">
        <f aca="false">IFERROR(INDEX('Output Utente'!$H$2:$H$492,MATCH(167,'Output Utente'!$Q$2:$Q$492,0)),"")</f>
        <v>3</v>
      </c>
      <c r="L170" s="7" t="str">
        <f aca="false">IFERROR(INDEX('Output Utente'!$E$2:$E$492,MATCH(167,'Output Utente'!$Q$2:$Q$492,0)),"")</f>
        <v>NO</v>
      </c>
      <c r="M170" s="7" t="str">
        <f aca="false">IFERROR(INDEX('Output Utente'!$U$2:$U$492,MATCH(167,'Output Utente'!$Q$2:$Q$492,0)),"")</f>
        <v>OK</v>
      </c>
      <c r="N170" s="7" t="str">
        <f aca="false">IFERROR(INDEX('Output Utente'!$AE$2:$AE$492,MATCH(167,'Output Utente'!$Q$2:$Q$492,0)),"")</f>
        <v>🟡 Attesa rischiosa</v>
      </c>
    </row>
    <row r="171" customFormat="false" ht="15" hidden="false" customHeight="true" outlineLevel="0" collapsed="false">
      <c r="A171" s="46" t="n">
        <v>168</v>
      </c>
      <c r="B171" s="7" t="n">
        <f aca="false">IFERROR(INDEX('Output Utente'!$A$2:$A$492,MATCH(168,'Output Utente'!$Q$2:$Q$492,0)),"")</f>
        <v>6164</v>
      </c>
      <c r="C171" s="7" t="str">
        <f aca="false">IFERROR(INDEX('Output Utente'!$B$2:$B$492,MATCH(168,'Output Utente'!$Q$2:$Q$492,0)),"")</f>
        <v>A</v>
      </c>
      <c r="D171" s="7" t="str">
        <f aca="false">IFERROR(INDEX('Output Utente'!$C$2:$C$492,MATCH(168,'Output Utente'!$Q$2:$Q$492,0)),"")</f>
        <v>Vitinha O.</v>
      </c>
      <c r="E171" s="7" t="str">
        <f aca="false">IFERROR(INDEX('Input Giocatori 2026_27'!$D$3:$D$493,MATCH($B171,'Input Giocatori 2026_27'!$A$3:$A$493,0)),"")</f>
        <v>Genoa</v>
      </c>
      <c r="F171" s="47" t="n">
        <f aca="false">IFERROR(INDEX('Output Utente'!$N$2:$N$492,MATCH(168,'Output Utente'!$Q$2:$Q$492,0)),"")</f>
        <v>8</v>
      </c>
      <c r="G171" s="47" t="n">
        <f aca="false">IFERROR(INDEX('Output Utente'!$O$2:$O$492,MATCH(168,'Output Utente'!$Q$2:$Q$492,0)),"")</f>
        <v>20</v>
      </c>
      <c r="H171" s="7" t="str">
        <f aca="false">IFERROR(INDEX('Output Utente'!$P$2:$P$492,MATCH(168,'Output Utente'!$Q$2:$Q$492,0)),"")</f>
        <v>Nella Media</v>
      </c>
      <c r="I171" s="47" t="n">
        <f aca="false">IFERROR(INDEX('Output Utente'!$F$2:$F$492,MATCH(168,'Output Utente'!$Q$2:$Q$492,0)),"")</f>
        <v>6</v>
      </c>
      <c r="J171" s="47" t="n">
        <f aca="false">IFERROR(INDEX('Output Utente'!$G$2:$G$492,MATCH(168,'Output Utente'!$Q$2:$Q$492,0)),"")</f>
        <v>4</v>
      </c>
      <c r="K171" s="47" t="n">
        <f aca="false">IFERROR(INDEX('Output Utente'!$H$2:$H$492,MATCH(168,'Output Utente'!$Q$2:$Q$492,0)),"")</f>
        <v>7</v>
      </c>
      <c r="L171" s="7" t="str">
        <f aca="false">IFERROR(INDEX('Output Utente'!$E$2:$E$492,MATCH(168,'Output Utente'!$Q$2:$Q$492,0)),"")</f>
        <v>NO</v>
      </c>
      <c r="M171" s="7" t="str">
        <f aca="false">IFERROR(INDEX('Output Utente'!$U$2:$U$492,MATCH(168,'Output Utente'!$Q$2:$Q$492,0)),"")</f>
        <v>OK</v>
      </c>
      <c r="N171" s="7" t="str">
        <f aca="false">IFERROR(INDEX('Output Utente'!$AE$2:$AE$492,MATCH(168,'Output Utente'!$Q$2:$Q$492,0)),"")</f>
        <v>🔴 Non aspettare</v>
      </c>
    </row>
    <row r="172" customFormat="false" ht="15" hidden="false" customHeight="true" outlineLevel="0" collapsed="false">
      <c r="A172" s="46" t="n">
        <v>169</v>
      </c>
      <c r="B172" s="7" t="n">
        <f aca="false">IFERROR(INDEX('Output Utente'!$A$2:$A$492,MATCH(169,'Output Utente'!$Q$2:$Q$492,0)),"")</f>
        <v>7449</v>
      </c>
      <c r="C172" s="7" t="str">
        <f aca="false">IFERROR(INDEX('Output Utente'!$B$2:$B$492,MATCH(169,'Output Utente'!$Q$2:$Q$492,0)),"")</f>
        <v>A</v>
      </c>
      <c r="D172" s="7" t="str">
        <f aca="false">IFERROR(INDEX('Output Utente'!$C$2:$C$492,MATCH(169,'Output Utente'!$Q$2:$Q$492,0)),"")</f>
        <v>Rrahmani Al.</v>
      </c>
      <c r="E172" s="7" t="str">
        <f aca="false">IFERROR(INDEX('Input Giocatori 2026_27'!$D$3:$D$493,MATCH($B172,'Input Giocatori 2026_27'!$A$3:$A$493,0)),"")</f>
        <v>Venezia</v>
      </c>
      <c r="F172" s="47" t="n">
        <f aca="false">IFERROR(INDEX('Output Utente'!$N$2:$N$492,MATCH(169,'Output Utente'!$Q$2:$Q$492,0)),"")</f>
        <v>8</v>
      </c>
      <c r="G172" s="47" t="n">
        <f aca="false">IFERROR(INDEX('Output Utente'!$O$2:$O$492,MATCH(169,'Output Utente'!$Q$2:$Q$492,0)),"")</f>
        <v>20</v>
      </c>
      <c r="H172" s="7" t="str">
        <f aca="false">IFERROR(INDEX('Output Utente'!$P$2:$P$492,MATCH(169,'Output Utente'!$Q$2:$Q$492,0)),"")</f>
        <v>Nella Media</v>
      </c>
      <c r="I172" s="47" t="n">
        <f aca="false">IFERROR(INDEX('Output Utente'!$F$2:$F$492,MATCH(169,'Output Utente'!$Q$2:$Q$492,0)),"")</f>
        <v>6</v>
      </c>
      <c r="J172" s="47" t="n">
        <f aca="false">IFERROR(INDEX('Output Utente'!$G$2:$G$492,MATCH(169,'Output Utente'!$Q$2:$Q$492,0)),"")</f>
        <v>4</v>
      </c>
      <c r="K172" s="47" t="n">
        <f aca="false">IFERROR(INDEX('Output Utente'!$H$2:$H$492,MATCH(169,'Output Utente'!$Q$2:$Q$492,0)),"")</f>
        <v>7</v>
      </c>
      <c r="L172" s="7" t="str">
        <f aca="false">IFERROR(INDEX('Output Utente'!$E$2:$E$492,MATCH(169,'Output Utente'!$Q$2:$Q$492,0)),"")</f>
        <v>NO</v>
      </c>
      <c r="M172" s="7" t="str">
        <f aca="false">IFERROR(INDEX('Output Utente'!$U$2:$U$492,MATCH(169,'Output Utente'!$Q$2:$Q$492,0)),"")</f>
        <v>OK</v>
      </c>
      <c r="N172" s="7" t="str">
        <f aca="false">IFERROR(INDEX('Output Utente'!$AE$2:$AE$492,MATCH(169,'Output Utente'!$Q$2:$Q$492,0)),"")</f>
        <v>🔴 Non aspettare</v>
      </c>
    </row>
    <row r="173" customFormat="false" ht="15" hidden="false" customHeight="true" outlineLevel="0" collapsed="false">
      <c r="A173" s="46" t="n">
        <v>170</v>
      </c>
      <c r="B173" s="7" t="n">
        <f aca="false">IFERROR(INDEX('Output Utente'!$A$2:$A$492,MATCH(170,'Output Utente'!$Q$2:$Q$492,0)),"")</f>
        <v>4994</v>
      </c>
      <c r="C173" s="7" t="str">
        <f aca="false">IFERROR(INDEX('Output Utente'!$B$2:$B$492,MATCH(170,'Output Utente'!$Q$2:$Q$492,0)),"")</f>
        <v>D</v>
      </c>
      <c r="D173" s="7" t="str">
        <f aca="false">IFERROR(INDEX('Output Utente'!$C$2:$C$492,MATCH(170,'Output Utente'!$Q$2:$Q$492,0)),"")</f>
        <v>Vojvoda</v>
      </c>
      <c r="E173" s="7" t="str">
        <f aca="false">IFERROR(INDEX('Input Giocatori 2026_27'!$D$3:$D$493,MATCH($B173,'Input Giocatori 2026_27'!$A$3:$A$493,0)),"")</f>
        <v>Udinese</v>
      </c>
      <c r="F173" s="47" t="n">
        <f aca="false">IFERROR(INDEX('Output Utente'!$N$2:$N$492,MATCH(170,'Output Utente'!$Q$2:$Q$492,0)),"")</f>
        <v>8</v>
      </c>
      <c r="G173" s="47" t="n">
        <f aca="false">IFERROR(INDEX('Output Utente'!$O$2:$O$492,MATCH(170,'Output Utente'!$Q$2:$Q$492,0)),"")</f>
        <v>19</v>
      </c>
      <c r="H173" s="7" t="str">
        <f aca="false">IFERROR(INDEX('Output Utente'!$P$2:$P$492,MATCH(170,'Output Utente'!$Q$2:$Q$492,0)),"")</f>
        <v>Buono</v>
      </c>
      <c r="I173" s="47" t="n">
        <f aca="false">IFERROR(INDEX('Output Utente'!$F$2:$F$492,MATCH(170,'Output Utente'!$Q$2:$Q$492,0)),"")</f>
        <v>4</v>
      </c>
      <c r="J173" s="47" t="n">
        <f aca="false">IFERROR(INDEX('Output Utente'!$G$2:$G$492,MATCH(170,'Output Utente'!$Q$2:$Q$492,0)),"")</f>
        <v>3</v>
      </c>
      <c r="K173" s="47" t="n">
        <f aca="false">IFERROR(INDEX('Output Utente'!$H$2:$H$492,MATCH(170,'Output Utente'!$Q$2:$Q$492,0)),"")</f>
        <v>4</v>
      </c>
      <c r="L173" s="7" t="str">
        <f aca="false">IFERROR(INDEX('Output Utente'!$E$2:$E$492,MATCH(170,'Output Utente'!$Q$2:$Q$492,0)),"")</f>
        <v>NO</v>
      </c>
      <c r="M173" s="7" t="str">
        <f aca="false">IFERROR(INDEX('Output Utente'!$U$2:$U$492,MATCH(170,'Output Utente'!$Q$2:$Q$492,0)),"")</f>
        <v>OK</v>
      </c>
      <c r="N173" s="7" t="str">
        <f aca="false">IFERROR(INDEX('Output Utente'!$AE$2:$AE$492,MATCH(170,'Output Utente'!$Q$2:$Q$492,0)),"")</f>
        <v>🟡 Attesa rischiosa</v>
      </c>
    </row>
    <row r="174" customFormat="false" ht="15" hidden="false" customHeight="true" outlineLevel="0" collapsed="false">
      <c r="A174" s="46" t="n">
        <v>171</v>
      </c>
      <c r="B174" s="7" t="n">
        <f aca="false">IFERROR(INDEX('Output Utente'!$A$2:$A$492,MATCH(171,'Output Utente'!$Q$2:$Q$492,0)),"")</f>
        <v>4433</v>
      </c>
      <c r="C174" s="7" t="str">
        <f aca="false">IFERROR(INDEX('Output Utente'!$B$2:$B$492,MATCH(171,'Output Utente'!$Q$2:$Q$492,0)),"")</f>
        <v>D</v>
      </c>
      <c r="D174" s="7" t="str">
        <f aca="false">IFERROR(INDEX('Output Utente'!$C$2:$C$492,MATCH(171,'Output Utente'!$Q$2:$Q$492,0)),"")</f>
        <v>Zortea</v>
      </c>
      <c r="E174" s="7" t="str">
        <f aca="false">IFERROR(INDEX('Input Giocatori 2026_27'!$D$3:$D$493,MATCH($B174,'Input Giocatori 2026_27'!$A$3:$A$493,0)),"")</f>
        <v>Bologna</v>
      </c>
      <c r="F174" s="47" t="n">
        <f aca="false">IFERROR(INDEX('Output Utente'!$N$2:$N$492,MATCH(171,'Output Utente'!$Q$2:$Q$492,0)),"")</f>
        <v>6</v>
      </c>
      <c r="G174" s="47" t="n">
        <f aca="false">IFERROR(INDEX('Output Utente'!$O$2:$O$492,MATCH(171,'Output Utente'!$Q$2:$Q$492,0)),"")</f>
        <v>19</v>
      </c>
      <c r="H174" s="7" t="str">
        <f aca="false">IFERROR(INDEX('Output Utente'!$P$2:$P$492,MATCH(171,'Output Utente'!$Q$2:$Q$492,0)),"")</f>
        <v>Buono</v>
      </c>
      <c r="I174" s="47" t="n">
        <f aca="false">IFERROR(INDEX('Output Utente'!$F$2:$F$492,MATCH(171,'Output Utente'!$Q$2:$Q$492,0)),"")</f>
        <v>4</v>
      </c>
      <c r="J174" s="47" t="n">
        <f aca="false">IFERROR(INDEX('Output Utente'!$G$2:$G$492,MATCH(171,'Output Utente'!$Q$2:$Q$492,0)),"")</f>
        <v>3</v>
      </c>
      <c r="K174" s="47" t="n">
        <f aca="false">IFERROR(INDEX('Output Utente'!$H$2:$H$492,MATCH(171,'Output Utente'!$Q$2:$Q$492,0)),"")</f>
        <v>4</v>
      </c>
      <c r="L174" s="7" t="str">
        <f aca="false">IFERROR(INDEX('Output Utente'!$E$2:$E$492,MATCH(171,'Output Utente'!$Q$2:$Q$492,0)),"")</f>
        <v>NO</v>
      </c>
      <c r="M174" s="7" t="str">
        <f aca="false">IFERROR(INDEX('Output Utente'!$U$2:$U$492,MATCH(171,'Output Utente'!$Q$2:$Q$492,0)),"")</f>
        <v>OK</v>
      </c>
      <c r="N174" s="7" t="str">
        <f aca="false">IFERROR(INDEX('Output Utente'!$AE$2:$AE$492,MATCH(171,'Output Utente'!$Q$2:$Q$492,0)),"")</f>
        <v>🟡 Attesa rischiosa</v>
      </c>
    </row>
    <row r="175" customFormat="false" ht="15" hidden="false" customHeight="true" outlineLevel="0" collapsed="false">
      <c r="A175" s="46" t="n">
        <v>172</v>
      </c>
      <c r="B175" s="7" t="n">
        <f aca="false">IFERROR(INDEX('Output Utente'!$A$2:$A$492,MATCH(172,'Output Utente'!$Q$2:$Q$492,0)),"")</f>
        <v>7410</v>
      </c>
      <c r="C175" s="7" t="str">
        <f aca="false">IFERROR(INDEX('Output Utente'!$B$2:$B$492,MATCH(172,'Output Utente'!$Q$2:$Q$492,0)),"")</f>
        <v>D</v>
      </c>
      <c r="D175" s="7" t="str">
        <f aca="false">IFERROR(INDEX('Output Utente'!$C$2:$C$492,MATCH(172,'Output Utente'!$Q$2:$Q$492,0)),"")</f>
        <v>Viery</v>
      </c>
      <c r="E175" s="7" t="str">
        <f aca="false">IFERROR(INDEX('Input Giocatori 2026_27'!$D$3:$D$493,MATCH($B175,'Input Giocatori 2026_27'!$A$3:$A$493,0)),"")</f>
        <v>Fiorentina</v>
      </c>
      <c r="F175" s="47" t="n">
        <f aca="false">IFERROR(INDEX('Output Utente'!$N$2:$N$492,MATCH(172,'Output Utente'!$Q$2:$Q$492,0)),"")</f>
        <v>6</v>
      </c>
      <c r="G175" s="47" t="n">
        <f aca="false">IFERROR(INDEX('Output Utente'!$O$2:$O$492,MATCH(172,'Output Utente'!$Q$2:$Q$492,0)),"")</f>
        <v>19</v>
      </c>
      <c r="H175" s="7" t="str">
        <f aca="false">IFERROR(INDEX('Output Utente'!$P$2:$P$492,MATCH(172,'Output Utente'!$Q$2:$Q$492,0)),"")</f>
        <v>Buono</v>
      </c>
      <c r="I175" s="47" t="n">
        <f aca="false">IFERROR(INDEX('Output Utente'!$F$2:$F$492,MATCH(172,'Output Utente'!$Q$2:$Q$492,0)),"")</f>
        <v>4</v>
      </c>
      <c r="J175" s="47" t="n">
        <f aca="false">IFERROR(INDEX('Output Utente'!$G$2:$G$492,MATCH(172,'Output Utente'!$Q$2:$Q$492,0)),"")</f>
        <v>3</v>
      </c>
      <c r="K175" s="47" t="n">
        <f aca="false">IFERROR(INDEX('Output Utente'!$H$2:$H$492,MATCH(172,'Output Utente'!$Q$2:$Q$492,0)),"")</f>
        <v>4</v>
      </c>
      <c r="L175" s="7" t="str">
        <f aca="false">IFERROR(INDEX('Output Utente'!$E$2:$E$492,MATCH(172,'Output Utente'!$Q$2:$Q$492,0)),"")</f>
        <v>NO</v>
      </c>
      <c r="M175" s="7" t="str">
        <f aca="false">IFERROR(INDEX('Output Utente'!$U$2:$U$492,MATCH(172,'Output Utente'!$Q$2:$Q$492,0)),"")</f>
        <v>OK</v>
      </c>
      <c r="N175" s="7" t="str">
        <f aca="false">IFERROR(INDEX('Output Utente'!$AE$2:$AE$492,MATCH(172,'Output Utente'!$Q$2:$Q$492,0)),"")</f>
        <v>🟡 Attesa rischiosa</v>
      </c>
    </row>
    <row r="176" customFormat="false" ht="15" hidden="false" customHeight="true" outlineLevel="0" collapsed="false">
      <c r="A176" s="46" t="n">
        <v>173</v>
      </c>
      <c r="B176" s="7" t="n">
        <f aca="false">IFERROR(INDEX('Output Utente'!$A$2:$A$492,MATCH(173,'Output Utente'!$Q$2:$Q$492,0)),"")</f>
        <v>6010</v>
      </c>
      <c r="C176" s="7" t="str">
        <f aca="false">IFERROR(INDEX('Output Utente'!$B$2:$B$492,MATCH(173,'Output Utente'!$Q$2:$Q$492,0)),"")</f>
        <v>C</v>
      </c>
      <c r="D176" s="7" t="str">
        <f aca="false">IFERROR(INDEX('Output Utente'!$C$2:$C$492,MATCH(173,'Output Utente'!$Q$2:$Q$492,0)),"")</f>
        <v>Fazzini</v>
      </c>
      <c r="E176" s="7" t="str">
        <f aca="false">IFERROR(INDEX('Input Giocatori 2026_27'!$D$3:$D$493,MATCH($B176,'Input Giocatori 2026_27'!$A$3:$A$493,0)),"")</f>
        <v>Cagliari</v>
      </c>
      <c r="F176" s="47" t="n">
        <f aca="false">IFERROR(INDEX('Output Utente'!$N$2:$N$492,MATCH(173,'Output Utente'!$Q$2:$Q$492,0)),"")</f>
        <v>7</v>
      </c>
      <c r="G176" s="47" t="n">
        <f aca="false">IFERROR(INDEX('Output Utente'!$O$2:$O$492,MATCH(173,'Output Utente'!$Q$2:$Q$492,0)),"")</f>
        <v>19</v>
      </c>
      <c r="H176" s="7" t="str">
        <f aca="false">IFERROR(INDEX('Output Utente'!$P$2:$P$492,MATCH(173,'Output Utente'!$Q$2:$Q$492,0)),"")</f>
        <v>Buono</v>
      </c>
      <c r="I176" s="47" t="n">
        <f aca="false">IFERROR(INDEX('Output Utente'!$F$2:$F$492,MATCH(173,'Output Utente'!$Q$2:$Q$492,0)),"")</f>
        <v>3</v>
      </c>
      <c r="J176" s="47" t="n">
        <f aca="false">IFERROR(INDEX('Output Utente'!$G$2:$G$492,MATCH(173,'Output Utente'!$Q$2:$Q$492,0)),"")</f>
        <v>2</v>
      </c>
      <c r="K176" s="47" t="n">
        <f aca="false">IFERROR(INDEX('Output Utente'!$H$2:$H$492,MATCH(173,'Output Utente'!$Q$2:$Q$492,0)),"")</f>
        <v>3</v>
      </c>
      <c r="L176" s="7" t="str">
        <f aca="false">IFERROR(INDEX('Output Utente'!$E$2:$E$492,MATCH(173,'Output Utente'!$Q$2:$Q$492,0)),"")</f>
        <v>NO</v>
      </c>
      <c r="M176" s="7" t="str">
        <f aca="false">IFERROR(INDEX('Output Utente'!$U$2:$U$492,MATCH(173,'Output Utente'!$Q$2:$Q$492,0)),"")</f>
        <v>OK</v>
      </c>
      <c r="N176" s="7" t="str">
        <f aca="false">IFERROR(INDEX('Output Utente'!$AE$2:$AE$492,MATCH(173,'Output Utente'!$Q$2:$Q$492,0)),"")</f>
        <v>🟡 Attesa rischiosa</v>
      </c>
    </row>
    <row r="177" customFormat="false" ht="15" hidden="false" customHeight="true" outlineLevel="0" collapsed="false">
      <c r="A177" s="46" t="n">
        <v>174</v>
      </c>
      <c r="B177" s="7" t="n">
        <f aca="false">IFERROR(INDEX('Output Utente'!$A$2:$A$492,MATCH(174,'Output Utente'!$Q$2:$Q$492,0)),"")</f>
        <v>5791</v>
      </c>
      <c r="C177" s="7" t="str">
        <f aca="false">IFERROR(INDEX('Output Utente'!$B$2:$B$492,MATCH(174,'Output Utente'!$Q$2:$Q$492,0)),"")</f>
        <v>C</v>
      </c>
      <c r="D177" s="7" t="str">
        <f aca="false">IFERROR(INDEX('Output Utente'!$C$2:$C$492,MATCH(174,'Output Utente'!$Q$2:$Q$492,0)),"")</f>
        <v>Frendrup</v>
      </c>
      <c r="E177" s="7" t="str">
        <f aca="false">IFERROR(INDEX('Input Giocatori 2026_27'!$D$3:$D$493,MATCH($B177,'Input Giocatori 2026_27'!$A$3:$A$493,0)),"")</f>
        <v>Genoa</v>
      </c>
      <c r="F177" s="47" t="n">
        <f aca="false">IFERROR(INDEX('Output Utente'!$N$2:$N$492,MATCH(174,'Output Utente'!$Q$2:$Q$492,0)),"")</f>
        <v>7</v>
      </c>
      <c r="G177" s="47" t="n">
        <f aca="false">IFERROR(INDEX('Output Utente'!$O$2:$O$492,MATCH(174,'Output Utente'!$Q$2:$Q$492,0)),"")</f>
        <v>19</v>
      </c>
      <c r="H177" s="7" t="str">
        <f aca="false">IFERROR(INDEX('Output Utente'!$P$2:$P$492,MATCH(174,'Output Utente'!$Q$2:$Q$492,0)),"")</f>
        <v>Buono</v>
      </c>
      <c r="I177" s="47" t="n">
        <f aca="false">IFERROR(INDEX('Output Utente'!$F$2:$F$492,MATCH(174,'Output Utente'!$Q$2:$Q$492,0)),"")</f>
        <v>3</v>
      </c>
      <c r="J177" s="47" t="n">
        <f aca="false">IFERROR(INDEX('Output Utente'!$G$2:$G$492,MATCH(174,'Output Utente'!$Q$2:$Q$492,0)),"")</f>
        <v>2</v>
      </c>
      <c r="K177" s="47" t="n">
        <f aca="false">IFERROR(INDEX('Output Utente'!$H$2:$H$492,MATCH(174,'Output Utente'!$Q$2:$Q$492,0)),"")</f>
        <v>3</v>
      </c>
      <c r="L177" s="7" t="str">
        <f aca="false">IFERROR(INDEX('Output Utente'!$E$2:$E$492,MATCH(174,'Output Utente'!$Q$2:$Q$492,0)),"")</f>
        <v>NO</v>
      </c>
      <c r="M177" s="7" t="str">
        <f aca="false">IFERROR(INDEX('Output Utente'!$U$2:$U$492,MATCH(174,'Output Utente'!$Q$2:$Q$492,0)),"")</f>
        <v>OK</v>
      </c>
      <c r="N177" s="7" t="str">
        <f aca="false">IFERROR(INDEX('Output Utente'!$AE$2:$AE$492,MATCH(174,'Output Utente'!$Q$2:$Q$492,0)),"")</f>
        <v>🟡 Attesa rischiosa</v>
      </c>
    </row>
    <row r="178" customFormat="false" ht="15" hidden="false" customHeight="true" outlineLevel="0" collapsed="false">
      <c r="A178" s="46" t="n">
        <v>175</v>
      </c>
      <c r="B178" s="7" t="n">
        <f aca="false">IFERROR(INDEX('Output Utente'!$A$2:$A$492,MATCH(175,'Output Utente'!$Q$2:$Q$492,0)),"")</f>
        <v>6549</v>
      </c>
      <c r="C178" s="7" t="str">
        <f aca="false">IFERROR(INDEX('Output Utente'!$B$2:$B$492,MATCH(175,'Output Utente'!$Q$2:$Q$492,0)),"")</f>
        <v>C</v>
      </c>
      <c r="D178" s="7" t="str">
        <f aca="false">IFERROR(INDEX('Output Utente'!$C$2:$C$492,MATCH(175,'Output Utente'!$Q$2:$Q$492,0)),"")</f>
        <v>Pierotti</v>
      </c>
      <c r="E178" s="7" t="str">
        <f aca="false">IFERROR(INDEX('Input Giocatori 2026_27'!$D$3:$D$493,MATCH($B178,'Input Giocatori 2026_27'!$A$3:$A$493,0)),"")</f>
        <v>Lecce</v>
      </c>
      <c r="F178" s="47" t="n">
        <f aca="false">IFERROR(INDEX('Output Utente'!$N$2:$N$492,MATCH(175,'Output Utente'!$Q$2:$Q$492,0)),"")</f>
        <v>6</v>
      </c>
      <c r="G178" s="47" t="n">
        <f aca="false">IFERROR(INDEX('Output Utente'!$O$2:$O$492,MATCH(175,'Output Utente'!$Q$2:$Q$492,0)),"")</f>
        <v>19</v>
      </c>
      <c r="H178" s="7" t="str">
        <f aca="false">IFERROR(INDEX('Output Utente'!$P$2:$P$492,MATCH(175,'Output Utente'!$Q$2:$Q$492,0)),"")</f>
        <v>Buono</v>
      </c>
      <c r="I178" s="47" t="n">
        <f aca="false">IFERROR(INDEX('Output Utente'!$F$2:$F$492,MATCH(175,'Output Utente'!$Q$2:$Q$492,0)),"")</f>
        <v>3</v>
      </c>
      <c r="J178" s="47" t="n">
        <f aca="false">IFERROR(INDEX('Output Utente'!$G$2:$G$492,MATCH(175,'Output Utente'!$Q$2:$Q$492,0)),"")</f>
        <v>2</v>
      </c>
      <c r="K178" s="47" t="n">
        <f aca="false">IFERROR(INDEX('Output Utente'!$H$2:$H$492,MATCH(175,'Output Utente'!$Q$2:$Q$492,0)),"")</f>
        <v>3</v>
      </c>
      <c r="L178" s="7" t="str">
        <f aca="false">IFERROR(INDEX('Output Utente'!$E$2:$E$492,MATCH(175,'Output Utente'!$Q$2:$Q$492,0)),"")</f>
        <v>NO</v>
      </c>
      <c r="M178" s="7" t="str">
        <f aca="false">IFERROR(INDEX('Output Utente'!$U$2:$U$492,MATCH(175,'Output Utente'!$Q$2:$Q$492,0)),"")</f>
        <v>OK</v>
      </c>
      <c r="N178" s="7" t="str">
        <f aca="false">IFERROR(INDEX('Output Utente'!$AE$2:$AE$492,MATCH(175,'Output Utente'!$Q$2:$Q$492,0)),"")</f>
        <v>🟡 Attesa rischiosa</v>
      </c>
    </row>
    <row r="179" customFormat="false" ht="15" hidden="false" customHeight="true" outlineLevel="0" collapsed="false">
      <c r="A179" s="46" t="n">
        <v>176</v>
      </c>
      <c r="B179" s="7" t="n">
        <f aca="false">IFERROR(INDEX('Output Utente'!$A$2:$A$492,MATCH(176,'Output Utente'!$Q$2:$Q$492,0)),"")</f>
        <v>5674</v>
      </c>
      <c r="C179" s="7" t="str">
        <f aca="false">IFERROR(INDEX('Output Utente'!$B$2:$B$492,MATCH(176,'Output Utente'!$Q$2:$Q$492,0)),"")</f>
        <v>C</v>
      </c>
      <c r="D179" s="7" t="str">
        <f aca="false">IFERROR(INDEX('Output Utente'!$C$2:$C$492,MATCH(176,'Output Utente'!$Q$2:$Q$492,0)),"")</f>
        <v>Basic</v>
      </c>
      <c r="E179" s="7" t="str">
        <f aca="false">IFERROR(INDEX('Input Giocatori 2026_27'!$D$3:$D$493,MATCH($B179,'Input Giocatori 2026_27'!$A$3:$A$493,0)),"")</f>
        <v>Venezia</v>
      </c>
      <c r="F179" s="47" t="n">
        <f aca="false">IFERROR(INDEX('Output Utente'!$N$2:$N$492,MATCH(176,'Output Utente'!$Q$2:$Q$492,0)),"")</f>
        <v>6</v>
      </c>
      <c r="G179" s="47" t="n">
        <f aca="false">IFERROR(INDEX('Output Utente'!$O$2:$O$492,MATCH(176,'Output Utente'!$Q$2:$Q$492,0)),"")</f>
        <v>19</v>
      </c>
      <c r="H179" s="7" t="str">
        <f aca="false">IFERROR(INDEX('Output Utente'!$P$2:$P$492,MATCH(176,'Output Utente'!$Q$2:$Q$492,0)),"")</f>
        <v>Buono</v>
      </c>
      <c r="I179" s="47" t="n">
        <f aca="false">IFERROR(INDEX('Output Utente'!$F$2:$F$492,MATCH(176,'Output Utente'!$Q$2:$Q$492,0)),"")</f>
        <v>3</v>
      </c>
      <c r="J179" s="47" t="n">
        <f aca="false">IFERROR(INDEX('Output Utente'!$G$2:$G$492,MATCH(176,'Output Utente'!$Q$2:$Q$492,0)),"")</f>
        <v>2</v>
      </c>
      <c r="K179" s="47" t="n">
        <f aca="false">IFERROR(INDEX('Output Utente'!$H$2:$H$492,MATCH(176,'Output Utente'!$Q$2:$Q$492,0)),"")</f>
        <v>3</v>
      </c>
      <c r="L179" s="7" t="str">
        <f aca="false">IFERROR(INDEX('Output Utente'!$E$2:$E$492,MATCH(176,'Output Utente'!$Q$2:$Q$492,0)),"")</f>
        <v>NO</v>
      </c>
      <c r="M179" s="7" t="str">
        <f aca="false">IFERROR(INDEX('Output Utente'!$U$2:$U$492,MATCH(176,'Output Utente'!$Q$2:$Q$492,0)),"")</f>
        <v>OK</v>
      </c>
      <c r="N179" s="7" t="str">
        <f aca="false">IFERROR(INDEX('Output Utente'!$AE$2:$AE$492,MATCH(176,'Output Utente'!$Q$2:$Q$492,0)),"")</f>
        <v>🟡 Attesa rischiosa</v>
      </c>
    </row>
    <row r="180" customFormat="false" ht="15" hidden="false" customHeight="true" outlineLevel="0" collapsed="false">
      <c r="A180" s="46" t="n">
        <v>177</v>
      </c>
      <c r="B180" s="7" t="n">
        <f aca="false">IFERROR(INDEX('Output Utente'!$A$2:$A$492,MATCH(177,'Output Utente'!$Q$2:$Q$492,0)),"")</f>
        <v>2529</v>
      </c>
      <c r="C180" s="7" t="str">
        <f aca="false">IFERROR(INDEX('Output Utente'!$B$2:$B$492,MATCH(177,'Output Utente'!$Q$2:$Q$492,0)),"")</f>
        <v>C</v>
      </c>
      <c r="D180" s="7" t="str">
        <f aca="false">IFERROR(INDEX('Output Utente'!$C$2:$C$492,MATCH(177,'Output Utente'!$Q$2:$Q$492,0)),"")</f>
        <v>Mkhitaryan</v>
      </c>
      <c r="E180" s="7" t="str">
        <f aca="false">IFERROR(INDEX('Input Giocatori 2026_27'!$D$3:$D$493,MATCH($B180,'Input Giocatori 2026_27'!$A$3:$A$493,0)),"")</f>
        <v>Inter</v>
      </c>
      <c r="F180" s="47" t="n">
        <f aca="false">IFERROR(INDEX('Output Utente'!$N$2:$N$492,MATCH(177,'Output Utente'!$Q$2:$Q$492,0)),"")</f>
        <v>5</v>
      </c>
      <c r="G180" s="47" t="n">
        <f aca="false">IFERROR(INDEX('Output Utente'!$O$2:$O$492,MATCH(177,'Output Utente'!$Q$2:$Q$492,0)),"")</f>
        <v>19</v>
      </c>
      <c r="H180" s="7" t="str">
        <f aca="false">IFERROR(INDEX('Output Utente'!$P$2:$P$492,MATCH(177,'Output Utente'!$Q$2:$Q$492,0)),"")</f>
        <v>Buono</v>
      </c>
      <c r="I180" s="47" t="n">
        <f aca="false">IFERROR(INDEX('Output Utente'!$F$2:$F$492,MATCH(177,'Output Utente'!$Q$2:$Q$492,0)),"")</f>
        <v>3</v>
      </c>
      <c r="J180" s="47" t="n">
        <f aca="false">IFERROR(INDEX('Output Utente'!$G$2:$G$492,MATCH(177,'Output Utente'!$Q$2:$Q$492,0)),"")</f>
        <v>2</v>
      </c>
      <c r="K180" s="47" t="n">
        <f aca="false">IFERROR(INDEX('Output Utente'!$H$2:$H$492,MATCH(177,'Output Utente'!$Q$2:$Q$492,0)),"")</f>
        <v>3</v>
      </c>
      <c r="L180" s="7" t="str">
        <f aca="false">IFERROR(INDEX('Output Utente'!$E$2:$E$492,MATCH(177,'Output Utente'!$Q$2:$Q$492,0)),"")</f>
        <v>NO</v>
      </c>
      <c r="M180" s="7" t="str">
        <f aca="false">IFERROR(INDEX('Output Utente'!$U$2:$U$492,MATCH(177,'Output Utente'!$Q$2:$Q$492,0)),"")</f>
        <v>OK</v>
      </c>
      <c r="N180" s="7" t="str">
        <f aca="false">IFERROR(INDEX('Output Utente'!$AE$2:$AE$492,MATCH(177,'Output Utente'!$Q$2:$Q$492,0)),"")</f>
        <v>🟡 Attesa rischiosa</v>
      </c>
    </row>
    <row r="181" customFormat="false" ht="15" hidden="false" customHeight="true" outlineLevel="0" collapsed="false">
      <c r="A181" s="46" t="n">
        <v>178</v>
      </c>
      <c r="B181" s="7" t="n">
        <f aca="false">IFERROR(INDEX('Output Utente'!$A$2:$A$492,MATCH(178,'Output Utente'!$Q$2:$Q$492,0)),"")</f>
        <v>6598</v>
      </c>
      <c r="C181" s="7" t="str">
        <f aca="false">IFERROR(INDEX('Output Utente'!$B$2:$B$492,MATCH(178,'Output Utente'!$Q$2:$Q$492,0)),"")</f>
        <v>A</v>
      </c>
      <c r="D181" s="7" t="str">
        <f aca="false">IFERROR(INDEX('Output Utente'!$C$2:$C$492,MATCH(178,'Output Utente'!$Q$2:$Q$492,0)),"")</f>
        <v>Mutandwa</v>
      </c>
      <c r="E181" s="7" t="str">
        <f aca="false">IFERROR(INDEX('Input Giocatori 2026_27'!$D$3:$D$493,MATCH($B181,'Input Giocatori 2026_27'!$A$3:$A$493,0)),"")</f>
        <v>Cagliari</v>
      </c>
      <c r="F181" s="47" t="n">
        <f aca="false">IFERROR(INDEX('Output Utente'!$N$2:$N$492,MATCH(178,'Output Utente'!$Q$2:$Q$492,0)),"")</f>
        <v>6</v>
      </c>
      <c r="G181" s="47" t="n">
        <f aca="false">IFERROR(INDEX('Output Utente'!$O$2:$O$492,MATCH(178,'Output Utente'!$Q$2:$Q$492,0)),"")</f>
        <v>19</v>
      </c>
      <c r="H181" s="7" t="str">
        <f aca="false">IFERROR(INDEX('Output Utente'!$P$2:$P$492,MATCH(178,'Output Utente'!$Q$2:$Q$492,0)),"")</f>
        <v>Nella Media</v>
      </c>
      <c r="I181" s="47" t="n">
        <f aca="false">IFERROR(INDEX('Output Utente'!$F$2:$F$492,MATCH(178,'Output Utente'!$Q$2:$Q$492,0)),"")</f>
        <v>6</v>
      </c>
      <c r="J181" s="47" t="n">
        <f aca="false">IFERROR(INDEX('Output Utente'!$G$2:$G$492,MATCH(178,'Output Utente'!$Q$2:$Q$492,0)),"")</f>
        <v>4</v>
      </c>
      <c r="K181" s="47" t="n">
        <f aca="false">IFERROR(INDEX('Output Utente'!$H$2:$H$492,MATCH(178,'Output Utente'!$Q$2:$Q$492,0)),"")</f>
        <v>7</v>
      </c>
      <c r="L181" s="7" t="str">
        <f aca="false">IFERROR(INDEX('Output Utente'!$E$2:$E$492,MATCH(178,'Output Utente'!$Q$2:$Q$492,0)),"")</f>
        <v>NO</v>
      </c>
      <c r="M181" s="7" t="str">
        <f aca="false">IFERROR(INDEX('Output Utente'!$U$2:$U$492,MATCH(178,'Output Utente'!$Q$2:$Q$492,0)),"")</f>
        <v>OK</v>
      </c>
      <c r="N181" s="7" t="str">
        <f aca="false">IFERROR(INDEX('Output Utente'!$AE$2:$AE$492,MATCH(178,'Output Utente'!$Q$2:$Q$492,0)),"")</f>
        <v>🔴 Non aspettare</v>
      </c>
    </row>
    <row r="182" customFormat="false" ht="15" hidden="false" customHeight="true" outlineLevel="0" collapsed="false">
      <c r="A182" s="46" t="n">
        <v>179</v>
      </c>
      <c r="B182" s="7" t="n">
        <f aca="false">IFERROR(INDEX('Output Utente'!$A$2:$A$492,MATCH(179,'Output Utente'!$Q$2:$Q$492,0)),"")</f>
        <v>7332</v>
      </c>
      <c r="C182" s="7" t="str">
        <f aca="false">IFERROR(INDEX('Output Utente'!$B$2:$B$492,MATCH(179,'Output Utente'!$Q$2:$Q$492,0)),"")</f>
        <v>P</v>
      </c>
      <c r="D182" s="7" t="str">
        <f aca="false">IFERROR(INDEX('Output Utente'!$C$2:$C$492,MATCH(179,'Output Utente'!$Q$2:$Q$492,0)),"")</f>
        <v>Bijlow</v>
      </c>
      <c r="E182" s="7" t="str">
        <f aca="false">IFERROR(INDEX('Input Giocatori 2026_27'!$D$3:$D$493,MATCH($B182,'Input Giocatori 2026_27'!$A$3:$A$493,0)),"")</f>
        <v>Genoa</v>
      </c>
      <c r="F182" s="47" t="n">
        <f aca="false">IFERROR(INDEX('Output Utente'!$N$2:$N$492,MATCH(179,'Output Utente'!$Q$2:$Q$492,0)),"")</f>
        <v>8</v>
      </c>
      <c r="G182" s="47" t="n">
        <f aca="false">IFERROR(INDEX('Output Utente'!$O$2:$O$492,MATCH(179,'Output Utente'!$Q$2:$Q$492,0)),"")</f>
        <v>18</v>
      </c>
      <c r="H182" s="7" t="str">
        <f aca="false">IFERROR(INDEX('Output Utente'!$P$2:$P$492,MATCH(179,'Output Utente'!$Q$2:$Q$492,0)),"")</f>
        <v>Buono</v>
      </c>
      <c r="I182" s="47" t="n">
        <f aca="false">IFERROR(INDEX('Output Utente'!$F$2:$F$492,MATCH(179,'Output Utente'!$Q$2:$Q$492,0)),"")</f>
        <v>6</v>
      </c>
      <c r="J182" s="47" t="n">
        <f aca="false">IFERROR(INDEX('Output Utente'!$G$2:$G$492,MATCH(179,'Output Utente'!$Q$2:$Q$492,0)),"")</f>
        <v>5</v>
      </c>
      <c r="K182" s="47" t="n">
        <f aca="false">IFERROR(INDEX('Output Utente'!$H$2:$H$492,MATCH(179,'Output Utente'!$Q$2:$Q$492,0)),"")</f>
        <v>7</v>
      </c>
      <c r="L182" s="7" t="str">
        <f aca="false">IFERROR(INDEX('Output Utente'!$E$2:$E$492,MATCH(179,'Output Utente'!$Q$2:$Q$492,0)),"")</f>
        <v>NO</v>
      </c>
      <c r="M182" s="7" t="str">
        <f aca="false">IFERROR(INDEX('Output Utente'!$U$2:$U$492,MATCH(179,'Output Utente'!$Q$2:$Q$492,0)),"")</f>
        <v>OK</v>
      </c>
      <c r="N182" s="7" t="str">
        <f aca="false">IFERROR(INDEX('Output Utente'!$AE$2:$AE$492,MATCH(179,'Output Utente'!$Q$2:$Q$492,0)),"")</f>
        <v>🟡 Attesa rischiosa</v>
      </c>
    </row>
    <row r="183" customFormat="false" ht="15" hidden="false" customHeight="true" outlineLevel="0" collapsed="false">
      <c r="A183" s="46" t="n">
        <v>180</v>
      </c>
      <c r="B183" s="7" t="n">
        <f aca="false">IFERROR(INDEX('Output Utente'!$A$2:$A$492,MATCH(180,'Output Utente'!$Q$2:$Q$492,0)),"")</f>
        <v>6042</v>
      </c>
      <c r="C183" s="7" t="str">
        <f aca="false">IFERROR(INDEX('Output Utente'!$B$2:$B$492,MATCH(180,'Output Utente'!$Q$2:$Q$492,0)),"")</f>
        <v>D</v>
      </c>
      <c r="D183" s="7" t="str">
        <f aca="false">IFERROR(INDEX('Output Utente'!$C$2:$C$492,MATCH(180,'Output Utente'!$Q$2:$Q$492,0)),"")</f>
        <v>Lucumì</v>
      </c>
      <c r="E183" s="7" t="str">
        <f aca="false">IFERROR(INDEX('Input Giocatori 2026_27'!$D$3:$D$493,MATCH($B183,'Input Giocatori 2026_27'!$A$3:$A$493,0)),"")</f>
        <v>Bologna</v>
      </c>
      <c r="F183" s="47" t="n">
        <f aca="false">IFERROR(INDEX('Output Utente'!$N$2:$N$492,MATCH(180,'Output Utente'!$Q$2:$Q$492,0)),"")</f>
        <v>8</v>
      </c>
      <c r="G183" s="47" t="n">
        <f aca="false">IFERROR(INDEX('Output Utente'!$O$2:$O$492,MATCH(180,'Output Utente'!$Q$2:$Q$492,0)),"")</f>
        <v>18</v>
      </c>
      <c r="H183" s="7" t="str">
        <f aca="false">IFERROR(INDEX('Output Utente'!$P$2:$P$492,MATCH(180,'Output Utente'!$Q$2:$Q$492,0)),"")</f>
        <v>Buono</v>
      </c>
      <c r="I183" s="47" t="n">
        <f aca="false">IFERROR(INDEX('Output Utente'!$F$2:$F$492,MATCH(180,'Output Utente'!$Q$2:$Q$492,0)),"")</f>
        <v>3</v>
      </c>
      <c r="J183" s="47" t="n">
        <f aca="false">IFERROR(INDEX('Output Utente'!$G$2:$G$492,MATCH(180,'Output Utente'!$Q$2:$Q$492,0)),"")</f>
        <v>2</v>
      </c>
      <c r="K183" s="47" t="n">
        <f aca="false">IFERROR(INDEX('Output Utente'!$H$2:$H$492,MATCH(180,'Output Utente'!$Q$2:$Q$492,0)),"")</f>
        <v>4</v>
      </c>
      <c r="L183" s="7" t="str">
        <f aca="false">IFERROR(INDEX('Output Utente'!$E$2:$E$492,MATCH(180,'Output Utente'!$Q$2:$Q$492,0)),"")</f>
        <v>NO</v>
      </c>
      <c r="M183" s="7" t="str">
        <f aca="false">IFERROR(INDEX('Output Utente'!$U$2:$U$492,MATCH(180,'Output Utente'!$Q$2:$Q$492,0)),"")</f>
        <v>OK</v>
      </c>
      <c r="N183" s="7" t="str">
        <f aca="false">IFERROR(INDEX('Output Utente'!$AE$2:$AE$492,MATCH(180,'Output Utente'!$Q$2:$Q$492,0)),"")</f>
        <v>🟡 Attesa rischiosa</v>
      </c>
    </row>
    <row r="184" customFormat="false" ht="15" hidden="false" customHeight="true" outlineLevel="0" collapsed="false">
      <c r="A184" s="46" t="n">
        <v>181</v>
      </c>
      <c r="B184" s="7" t="n">
        <f aca="false">IFERROR(INDEX('Output Utente'!$A$2:$A$492,MATCH(181,'Output Utente'!$Q$2:$Q$492,0)),"")</f>
        <v>2724</v>
      </c>
      <c r="C184" s="7" t="str">
        <f aca="false">IFERROR(INDEX('Output Utente'!$B$2:$B$492,MATCH(181,'Output Utente'!$Q$2:$Q$492,0)),"")</f>
        <v>D</v>
      </c>
      <c r="D184" s="7" t="str">
        <f aca="false">IFERROR(INDEX('Output Utente'!$C$2:$C$492,MATCH(181,'Output Utente'!$Q$2:$Q$492,0)),"")</f>
        <v>Buongiorno</v>
      </c>
      <c r="E184" s="7" t="str">
        <f aca="false">IFERROR(INDEX('Input Giocatori 2026_27'!$D$3:$D$493,MATCH($B184,'Input Giocatori 2026_27'!$A$3:$A$493,0)),"")</f>
        <v>Napoli</v>
      </c>
      <c r="F184" s="47" t="n">
        <f aca="false">IFERROR(INDEX('Output Utente'!$N$2:$N$492,MATCH(181,'Output Utente'!$Q$2:$Q$492,0)),"")</f>
        <v>7</v>
      </c>
      <c r="G184" s="47" t="n">
        <f aca="false">IFERROR(INDEX('Output Utente'!$O$2:$O$492,MATCH(181,'Output Utente'!$Q$2:$Q$492,0)),"")</f>
        <v>18</v>
      </c>
      <c r="H184" s="7" t="str">
        <f aca="false">IFERROR(INDEX('Output Utente'!$P$2:$P$492,MATCH(181,'Output Utente'!$Q$2:$Q$492,0)),"")</f>
        <v>Buono</v>
      </c>
      <c r="I184" s="47" t="n">
        <f aca="false">IFERROR(INDEX('Output Utente'!$F$2:$F$492,MATCH(181,'Output Utente'!$Q$2:$Q$492,0)),"")</f>
        <v>3</v>
      </c>
      <c r="J184" s="47" t="n">
        <f aca="false">IFERROR(INDEX('Output Utente'!$G$2:$G$492,MATCH(181,'Output Utente'!$Q$2:$Q$492,0)),"")</f>
        <v>2</v>
      </c>
      <c r="K184" s="47" t="n">
        <f aca="false">IFERROR(INDEX('Output Utente'!$H$2:$H$492,MATCH(181,'Output Utente'!$Q$2:$Q$492,0)),"")</f>
        <v>4</v>
      </c>
      <c r="L184" s="7" t="str">
        <f aca="false">IFERROR(INDEX('Output Utente'!$E$2:$E$492,MATCH(181,'Output Utente'!$Q$2:$Q$492,0)),"")</f>
        <v>NO</v>
      </c>
      <c r="M184" s="7" t="str">
        <f aca="false">IFERROR(INDEX('Output Utente'!$U$2:$U$492,MATCH(181,'Output Utente'!$Q$2:$Q$492,0)),"")</f>
        <v>OK</v>
      </c>
      <c r="N184" s="7" t="str">
        <f aca="false">IFERROR(INDEX('Output Utente'!$AE$2:$AE$492,MATCH(181,'Output Utente'!$Q$2:$Q$492,0)),"")</f>
        <v>🟡 Attesa rischiosa</v>
      </c>
    </row>
    <row r="185" customFormat="false" ht="15" hidden="false" customHeight="true" outlineLevel="0" collapsed="false">
      <c r="A185" s="46" t="n">
        <v>182</v>
      </c>
      <c r="B185" s="7" t="n">
        <f aca="false">IFERROR(INDEX('Output Utente'!$A$2:$A$492,MATCH(182,'Output Utente'!$Q$2:$Q$492,0)),"")</f>
        <v>6642</v>
      </c>
      <c r="C185" s="7" t="str">
        <f aca="false">IFERROR(INDEX('Output Utente'!$B$2:$B$492,MATCH(182,'Output Utente'!$Q$2:$Q$492,0)),"")</f>
        <v>D</v>
      </c>
      <c r="D185" s="7" t="str">
        <f aca="false">IFERROR(INDEX('Output Utente'!$C$2:$C$492,MATCH(182,'Output Utente'!$Q$2:$Q$492,0)),"")</f>
        <v>Coco</v>
      </c>
      <c r="E185" s="7" t="str">
        <f aca="false">IFERROR(INDEX('Input Giocatori 2026_27'!$D$3:$D$493,MATCH($B185,'Input Giocatori 2026_27'!$A$3:$A$493,0)),"")</f>
        <v>Torino</v>
      </c>
      <c r="F185" s="47" t="n">
        <f aca="false">IFERROR(INDEX('Output Utente'!$N$2:$N$492,MATCH(182,'Output Utente'!$Q$2:$Q$492,0)),"")</f>
        <v>7</v>
      </c>
      <c r="G185" s="47" t="n">
        <f aca="false">IFERROR(INDEX('Output Utente'!$O$2:$O$492,MATCH(182,'Output Utente'!$Q$2:$Q$492,0)),"")</f>
        <v>18</v>
      </c>
      <c r="H185" s="7" t="str">
        <f aca="false">IFERROR(INDEX('Output Utente'!$P$2:$P$492,MATCH(182,'Output Utente'!$Q$2:$Q$492,0)),"")</f>
        <v>Buono</v>
      </c>
      <c r="I185" s="47" t="n">
        <f aca="false">IFERROR(INDEX('Output Utente'!$F$2:$F$492,MATCH(182,'Output Utente'!$Q$2:$Q$492,0)),"")</f>
        <v>3</v>
      </c>
      <c r="J185" s="47" t="n">
        <f aca="false">IFERROR(INDEX('Output Utente'!$G$2:$G$492,MATCH(182,'Output Utente'!$Q$2:$Q$492,0)),"")</f>
        <v>2</v>
      </c>
      <c r="K185" s="47" t="n">
        <f aca="false">IFERROR(INDEX('Output Utente'!$H$2:$H$492,MATCH(182,'Output Utente'!$Q$2:$Q$492,0)),"")</f>
        <v>4</v>
      </c>
      <c r="L185" s="7" t="str">
        <f aca="false">IFERROR(INDEX('Output Utente'!$E$2:$E$492,MATCH(182,'Output Utente'!$Q$2:$Q$492,0)),"")</f>
        <v>NO</v>
      </c>
      <c r="M185" s="7" t="str">
        <f aca="false">IFERROR(INDEX('Output Utente'!$U$2:$U$492,MATCH(182,'Output Utente'!$Q$2:$Q$492,0)),"")</f>
        <v>OK</v>
      </c>
      <c r="N185" s="7" t="str">
        <f aca="false">IFERROR(INDEX('Output Utente'!$AE$2:$AE$492,MATCH(182,'Output Utente'!$Q$2:$Q$492,0)),"")</f>
        <v>🟡 Attesa rischiosa</v>
      </c>
    </row>
    <row r="186" customFormat="false" ht="15" hidden="false" customHeight="true" outlineLevel="0" collapsed="false">
      <c r="A186" s="46" t="n">
        <v>183</v>
      </c>
      <c r="B186" s="7" t="n">
        <f aca="false">IFERROR(INDEX('Output Utente'!$A$2:$A$492,MATCH(183,'Output Utente'!$Q$2:$Q$492,0)),"")</f>
        <v>5010</v>
      </c>
      <c r="C186" s="7" t="str">
        <f aca="false">IFERROR(INDEX('Output Utente'!$B$2:$B$492,MATCH(183,'Output Utente'!$Q$2:$Q$492,0)),"")</f>
        <v>D</v>
      </c>
      <c r="D186" s="7" t="str">
        <f aca="false">IFERROR(INDEX('Output Utente'!$C$2:$C$492,MATCH(183,'Output Utente'!$Q$2:$Q$492,0)),"")</f>
        <v>Ismajli</v>
      </c>
      <c r="E186" s="7" t="str">
        <f aca="false">IFERROR(INDEX('Input Giocatori 2026_27'!$D$3:$D$493,MATCH($B186,'Input Giocatori 2026_27'!$A$3:$A$493,0)),"")</f>
        <v>Torino</v>
      </c>
      <c r="F186" s="47" t="n">
        <f aca="false">IFERROR(INDEX('Output Utente'!$N$2:$N$492,MATCH(183,'Output Utente'!$Q$2:$Q$492,0)),"")</f>
        <v>7</v>
      </c>
      <c r="G186" s="47" t="n">
        <f aca="false">IFERROR(INDEX('Output Utente'!$O$2:$O$492,MATCH(183,'Output Utente'!$Q$2:$Q$492,0)),"")</f>
        <v>18</v>
      </c>
      <c r="H186" s="7" t="str">
        <f aca="false">IFERROR(INDEX('Output Utente'!$P$2:$P$492,MATCH(183,'Output Utente'!$Q$2:$Q$492,0)),"")</f>
        <v>Buono</v>
      </c>
      <c r="I186" s="47" t="n">
        <f aca="false">IFERROR(INDEX('Output Utente'!$F$2:$F$492,MATCH(183,'Output Utente'!$Q$2:$Q$492,0)),"")</f>
        <v>3</v>
      </c>
      <c r="J186" s="47" t="n">
        <f aca="false">IFERROR(INDEX('Output Utente'!$G$2:$G$492,MATCH(183,'Output Utente'!$Q$2:$Q$492,0)),"")</f>
        <v>2</v>
      </c>
      <c r="K186" s="47" t="n">
        <f aca="false">IFERROR(INDEX('Output Utente'!$H$2:$H$492,MATCH(183,'Output Utente'!$Q$2:$Q$492,0)),"")</f>
        <v>4</v>
      </c>
      <c r="L186" s="7" t="str">
        <f aca="false">IFERROR(INDEX('Output Utente'!$E$2:$E$492,MATCH(183,'Output Utente'!$Q$2:$Q$492,0)),"")</f>
        <v>NO</v>
      </c>
      <c r="M186" s="7" t="str">
        <f aca="false">IFERROR(INDEX('Output Utente'!$U$2:$U$492,MATCH(183,'Output Utente'!$Q$2:$Q$492,0)),"")</f>
        <v>OK</v>
      </c>
      <c r="N186" s="7" t="str">
        <f aca="false">IFERROR(INDEX('Output Utente'!$AE$2:$AE$492,MATCH(183,'Output Utente'!$Q$2:$Q$492,0)),"")</f>
        <v>🟡 Attesa rischiosa</v>
      </c>
    </row>
    <row r="187" customFormat="false" ht="15" hidden="false" customHeight="true" outlineLevel="0" collapsed="false">
      <c r="A187" s="46" t="n">
        <v>184</v>
      </c>
      <c r="B187" s="7" t="n">
        <f aca="false">IFERROR(INDEX('Output Utente'!$A$2:$A$492,MATCH(184,'Output Utente'!$Q$2:$Q$492,0)),"")</f>
        <v>6867</v>
      </c>
      <c r="C187" s="7" t="str">
        <f aca="false">IFERROR(INDEX('Output Utente'!$B$2:$B$492,MATCH(184,'Output Utente'!$Q$2:$Q$492,0)),"")</f>
        <v>D</v>
      </c>
      <c r="D187" s="7" t="str">
        <f aca="false">IFERROR(INDEX('Output Utente'!$C$2:$C$492,MATCH(184,'Output Utente'!$Q$2:$Q$492,0)),"")</f>
        <v>Valle</v>
      </c>
      <c r="E187" s="7" t="str">
        <f aca="false">IFERROR(INDEX('Input Giocatori 2026_27'!$D$3:$D$493,MATCH($B187,'Input Giocatori 2026_27'!$A$3:$A$493,0)),"")</f>
        <v>Como</v>
      </c>
      <c r="F187" s="47" t="n">
        <f aca="false">IFERROR(INDEX('Output Utente'!$N$2:$N$492,MATCH(184,'Output Utente'!$Q$2:$Q$492,0)),"")</f>
        <v>6</v>
      </c>
      <c r="G187" s="47" t="n">
        <f aca="false">IFERROR(INDEX('Output Utente'!$O$2:$O$492,MATCH(184,'Output Utente'!$Q$2:$Q$492,0)),"")</f>
        <v>18</v>
      </c>
      <c r="H187" s="7" t="str">
        <f aca="false">IFERROR(INDEX('Output Utente'!$P$2:$P$492,MATCH(184,'Output Utente'!$Q$2:$Q$492,0)),"")</f>
        <v>Buono</v>
      </c>
      <c r="I187" s="47" t="n">
        <f aca="false">IFERROR(INDEX('Output Utente'!$F$2:$F$492,MATCH(184,'Output Utente'!$Q$2:$Q$492,0)),"")</f>
        <v>3</v>
      </c>
      <c r="J187" s="47" t="n">
        <f aca="false">IFERROR(INDEX('Output Utente'!$G$2:$G$492,MATCH(184,'Output Utente'!$Q$2:$Q$492,0)),"")</f>
        <v>2</v>
      </c>
      <c r="K187" s="47" t="n">
        <f aca="false">IFERROR(INDEX('Output Utente'!$H$2:$H$492,MATCH(184,'Output Utente'!$Q$2:$Q$492,0)),"")</f>
        <v>4</v>
      </c>
      <c r="L187" s="7" t="str">
        <f aca="false">IFERROR(INDEX('Output Utente'!$E$2:$E$492,MATCH(184,'Output Utente'!$Q$2:$Q$492,0)),"")</f>
        <v>NO</v>
      </c>
      <c r="M187" s="7" t="str">
        <f aca="false">IFERROR(INDEX('Output Utente'!$U$2:$U$492,MATCH(184,'Output Utente'!$Q$2:$Q$492,0)),"")</f>
        <v>OK</v>
      </c>
      <c r="N187" s="7" t="str">
        <f aca="false">IFERROR(INDEX('Output Utente'!$AE$2:$AE$492,MATCH(184,'Output Utente'!$Q$2:$Q$492,0)),"")</f>
        <v>🟡 Attesa rischiosa</v>
      </c>
    </row>
    <row r="188" customFormat="false" ht="15" hidden="false" customHeight="true" outlineLevel="0" collapsed="false">
      <c r="A188" s="46" t="n">
        <v>185</v>
      </c>
      <c r="B188" s="7" t="n">
        <f aca="false">IFERROR(INDEX('Output Utente'!$A$2:$A$492,MATCH(185,'Output Utente'!$Q$2:$Q$492,0)),"")</f>
        <v>7294</v>
      </c>
      <c r="C188" s="7" t="str">
        <f aca="false">IFERROR(INDEX('Output Utente'!$B$2:$B$492,MATCH(185,'Output Utente'!$Q$2:$Q$492,0)),"")</f>
        <v>D</v>
      </c>
      <c r="D188" s="7" t="str">
        <f aca="false">IFERROR(INDEX('Output Utente'!$C$2:$C$492,MATCH(185,'Output Utente'!$Q$2:$Q$492,0)),"")</f>
        <v>Valdepenas</v>
      </c>
      <c r="E188" s="7" t="str">
        <f aca="false">IFERROR(INDEX('Input Giocatori 2026_27'!$D$3:$D$493,MATCH($B188,'Input Giocatori 2026_27'!$A$3:$A$493,0)),"")</f>
        <v>Fiorentina</v>
      </c>
      <c r="F188" s="47" t="n">
        <f aca="false">IFERROR(INDEX('Output Utente'!$N$2:$N$492,MATCH(185,'Output Utente'!$Q$2:$Q$492,0)),"")</f>
        <v>6</v>
      </c>
      <c r="G188" s="47" t="n">
        <f aca="false">IFERROR(INDEX('Output Utente'!$O$2:$O$492,MATCH(185,'Output Utente'!$Q$2:$Q$492,0)),"")</f>
        <v>18</v>
      </c>
      <c r="H188" s="7" t="str">
        <f aca="false">IFERROR(INDEX('Output Utente'!$P$2:$P$492,MATCH(185,'Output Utente'!$Q$2:$Q$492,0)),"")</f>
        <v>Buono</v>
      </c>
      <c r="I188" s="47" t="n">
        <f aca="false">IFERROR(INDEX('Output Utente'!$F$2:$F$492,MATCH(185,'Output Utente'!$Q$2:$Q$492,0)),"")</f>
        <v>3</v>
      </c>
      <c r="J188" s="47" t="n">
        <f aca="false">IFERROR(INDEX('Output Utente'!$G$2:$G$492,MATCH(185,'Output Utente'!$Q$2:$Q$492,0)),"")</f>
        <v>2</v>
      </c>
      <c r="K188" s="47" t="n">
        <f aca="false">IFERROR(INDEX('Output Utente'!$H$2:$H$492,MATCH(185,'Output Utente'!$Q$2:$Q$492,0)),"")</f>
        <v>4</v>
      </c>
      <c r="L188" s="7" t="str">
        <f aca="false">IFERROR(INDEX('Output Utente'!$E$2:$E$492,MATCH(185,'Output Utente'!$Q$2:$Q$492,0)),"")</f>
        <v>NO</v>
      </c>
      <c r="M188" s="7" t="str">
        <f aca="false">IFERROR(INDEX('Output Utente'!$U$2:$U$492,MATCH(185,'Output Utente'!$Q$2:$Q$492,0)),"")</f>
        <v>OK</v>
      </c>
      <c r="N188" s="7" t="str">
        <f aca="false">IFERROR(INDEX('Output Utente'!$AE$2:$AE$492,MATCH(185,'Output Utente'!$Q$2:$Q$492,0)),"")</f>
        <v>🟡 Attesa rischiosa</v>
      </c>
    </row>
    <row r="189" customFormat="false" ht="15" hidden="false" customHeight="true" outlineLevel="0" collapsed="false">
      <c r="A189" s="46" t="n">
        <v>186</v>
      </c>
      <c r="B189" s="7" t="n">
        <f aca="false">IFERROR(INDEX('Output Utente'!$A$2:$A$492,MATCH(186,'Output Utente'!$Q$2:$Q$492,0)),"")</f>
        <v>4177</v>
      </c>
      <c r="C189" s="7" t="str">
        <f aca="false">IFERROR(INDEX('Output Utente'!$B$2:$B$492,MATCH(186,'Output Utente'!$Q$2:$Q$492,0)),"")</f>
        <v>D</v>
      </c>
      <c r="D189" s="7" t="str">
        <f aca="false">IFERROR(INDEX('Output Utente'!$C$2:$C$492,MATCH(186,'Output Utente'!$Q$2:$Q$492,0)),"")</f>
        <v>Pavard</v>
      </c>
      <c r="E189" s="7" t="str">
        <f aca="false">IFERROR(INDEX('Input Giocatori 2026_27'!$D$3:$D$493,MATCH($B189,'Input Giocatori 2026_27'!$A$3:$A$493,0)),"")</f>
        <v>Inter</v>
      </c>
      <c r="F189" s="47" t="n">
        <f aca="false">IFERROR(INDEX('Output Utente'!$N$2:$N$492,MATCH(186,'Output Utente'!$Q$2:$Q$492,0)),"")</f>
        <v>6</v>
      </c>
      <c r="G189" s="47" t="n">
        <f aca="false">IFERROR(INDEX('Output Utente'!$O$2:$O$492,MATCH(186,'Output Utente'!$Q$2:$Q$492,0)),"")</f>
        <v>18</v>
      </c>
      <c r="H189" s="7" t="str">
        <f aca="false">IFERROR(INDEX('Output Utente'!$P$2:$P$492,MATCH(186,'Output Utente'!$Q$2:$Q$492,0)),"")</f>
        <v>Buono</v>
      </c>
      <c r="I189" s="47" t="n">
        <f aca="false">IFERROR(INDEX('Output Utente'!$F$2:$F$492,MATCH(186,'Output Utente'!$Q$2:$Q$492,0)),"")</f>
        <v>3</v>
      </c>
      <c r="J189" s="47" t="n">
        <f aca="false">IFERROR(INDEX('Output Utente'!$G$2:$G$492,MATCH(186,'Output Utente'!$Q$2:$Q$492,0)),"")</f>
        <v>2</v>
      </c>
      <c r="K189" s="47" t="n">
        <f aca="false">IFERROR(INDEX('Output Utente'!$H$2:$H$492,MATCH(186,'Output Utente'!$Q$2:$Q$492,0)),"")</f>
        <v>4</v>
      </c>
      <c r="L189" s="7" t="str">
        <f aca="false">IFERROR(INDEX('Output Utente'!$E$2:$E$492,MATCH(186,'Output Utente'!$Q$2:$Q$492,0)),"")</f>
        <v>NO</v>
      </c>
      <c r="M189" s="7" t="str">
        <f aca="false">IFERROR(INDEX('Output Utente'!$U$2:$U$492,MATCH(186,'Output Utente'!$Q$2:$Q$492,0)),"")</f>
        <v>OK</v>
      </c>
      <c r="N189" s="7" t="str">
        <f aca="false">IFERROR(INDEX('Output Utente'!$AE$2:$AE$492,MATCH(186,'Output Utente'!$Q$2:$Q$492,0)),"")</f>
        <v>🟡 Attesa rischiosa</v>
      </c>
    </row>
    <row r="190" customFormat="false" ht="15" hidden="false" customHeight="true" outlineLevel="0" collapsed="false">
      <c r="A190" s="46" t="n">
        <v>187</v>
      </c>
      <c r="B190" s="7" t="n">
        <f aca="false">IFERROR(INDEX('Output Utente'!$A$2:$A$492,MATCH(187,'Output Utente'!$Q$2:$Q$492,0)),"")</f>
        <v>6663</v>
      </c>
      <c r="C190" s="7" t="str">
        <f aca="false">IFERROR(INDEX('Output Utente'!$B$2:$B$492,MATCH(187,'Output Utente'!$Q$2:$Q$492,0)),"")</f>
        <v>D</v>
      </c>
      <c r="D190" s="7" t="str">
        <f aca="false">IFERROR(INDEX('Output Utente'!$C$2:$C$492,MATCH(187,'Output Utente'!$Q$2:$Q$492,0)),"")</f>
        <v>Circati</v>
      </c>
      <c r="E190" s="7" t="str">
        <f aca="false">IFERROR(INDEX('Input Giocatori 2026_27'!$D$3:$D$493,MATCH($B190,'Input Giocatori 2026_27'!$A$3:$A$493,0)),"")</f>
        <v>Parma</v>
      </c>
      <c r="F190" s="47" t="n">
        <f aca="false">IFERROR(INDEX('Output Utente'!$N$2:$N$492,MATCH(187,'Output Utente'!$Q$2:$Q$492,0)),"")</f>
        <v>6</v>
      </c>
      <c r="G190" s="47" t="n">
        <f aca="false">IFERROR(INDEX('Output Utente'!$O$2:$O$492,MATCH(187,'Output Utente'!$Q$2:$Q$492,0)),"")</f>
        <v>18</v>
      </c>
      <c r="H190" s="7" t="str">
        <f aca="false">IFERROR(INDEX('Output Utente'!$P$2:$P$492,MATCH(187,'Output Utente'!$Q$2:$Q$492,0)),"")</f>
        <v>Buono</v>
      </c>
      <c r="I190" s="47" t="n">
        <f aca="false">IFERROR(INDEX('Output Utente'!$F$2:$F$492,MATCH(187,'Output Utente'!$Q$2:$Q$492,0)),"")</f>
        <v>3</v>
      </c>
      <c r="J190" s="47" t="n">
        <f aca="false">IFERROR(INDEX('Output Utente'!$G$2:$G$492,MATCH(187,'Output Utente'!$Q$2:$Q$492,0)),"")</f>
        <v>2</v>
      </c>
      <c r="K190" s="47" t="n">
        <f aca="false">IFERROR(INDEX('Output Utente'!$H$2:$H$492,MATCH(187,'Output Utente'!$Q$2:$Q$492,0)),"")</f>
        <v>4</v>
      </c>
      <c r="L190" s="7" t="str">
        <f aca="false">IFERROR(INDEX('Output Utente'!$E$2:$E$492,MATCH(187,'Output Utente'!$Q$2:$Q$492,0)),"")</f>
        <v>NO</v>
      </c>
      <c r="M190" s="7" t="str">
        <f aca="false">IFERROR(INDEX('Output Utente'!$U$2:$U$492,MATCH(187,'Output Utente'!$Q$2:$Q$492,0)),"")</f>
        <v>OK</v>
      </c>
      <c r="N190" s="7" t="str">
        <f aca="false">IFERROR(INDEX('Output Utente'!$AE$2:$AE$492,MATCH(187,'Output Utente'!$Q$2:$Q$492,0)),"")</f>
        <v>🟡 Attesa rischiosa</v>
      </c>
    </row>
    <row r="191" customFormat="false" ht="15" hidden="false" customHeight="true" outlineLevel="0" collapsed="false">
      <c r="A191" s="46" t="n">
        <v>188</v>
      </c>
      <c r="B191" s="7" t="n">
        <f aca="false">IFERROR(INDEX('Output Utente'!$A$2:$A$492,MATCH(188,'Output Utente'!$Q$2:$Q$492,0)),"")</f>
        <v>5858</v>
      </c>
      <c r="C191" s="7" t="str">
        <f aca="false">IFERROR(INDEX('Output Utente'!$B$2:$B$492,MATCH(188,'Output Utente'!$Q$2:$Q$492,0)),"")</f>
        <v>C</v>
      </c>
      <c r="D191" s="7" t="str">
        <f aca="false">IFERROR(INDEX('Output Utente'!$C$2:$C$492,MATCH(188,'Output Utente'!$Q$2:$Q$492,0)),"")</f>
        <v>Ferguson</v>
      </c>
      <c r="E191" s="7" t="str">
        <f aca="false">IFERROR(INDEX('Input Giocatori 2026_27'!$D$3:$D$493,MATCH($B191,'Input Giocatori 2026_27'!$A$3:$A$493,0)),"")</f>
        <v>Bologna</v>
      </c>
      <c r="F191" s="47" t="n">
        <f aca="false">IFERROR(INDEX('Output Utente'!$N$2:$N$492,MATCH(188,'Output Utente'!$Q$2:$Q$492,0)),"")</f>
        <v>7</v>
      </c>
      <c r="G191" s="47" t="n">
        <f aca="false">IFERROR(INDEX('Output Utente'!$O$2:$O$492,MATCH(188,'Output Utente'!$Q$2:$Q$492,0)),"")</f>
        <v>18</v>
      </c>
      <c r="H191" s="7" t="str">
        <f aca="false">IFERROR(INDEX('Output Utente'!$P$2:$P$492,MATCH(188,'Output Utente'!$Q$2:$Q$492,0)),"")</f>
        <v>Nella Media</v>
      </c>
      <c r="I191" s="47" t="n">
        <f aca="false">IFERROR(INDEX('Output Utente'!$F$2:$F$492,MATCH(188,'Output Utente'!$Q$2:$Q$492,0)),"")</f>
        <v>3</v>
      </c>
      <c r="J191" s="47" t="n">
        <f aca="false">IFERROR(INDEX('Output Utente'!$G$2:$G$492,MATCH(188,'Output Utente'!$Q$2:$Q$492,0)),"")</f>
        <v>2</v>
      </c>
      <c r="K191" s="47" t="n">
        <f aca="false">IFERROR(INDEX('Output Utente'!$H$2:$H$492,MATCH(188,'Output Utente'!$Q$2:$Q$492,0)),"")</f>
        <v>3</v>
      </c>
      <c r="L191" s="7" t="str">
        <f aca="false">IFERROR(INDEX('Output Utente'!$E$2:$E$492,MATCH(188,'Output Utente'!$Q$2:$Q$492,0)),"")</f>
        <v>NO</v>
      </c>
      <c r="M191" s="7" t="str">
        <f aca="false">IFERROR(INDEX('Output Utente'!$U$2:$U$492,MATCH(188,'Output Utente'!$Q$2:$Q$492,0)),"")</f>
        <v>OK</v>
      </c>
      <c r="N191" s="7" t="str">
        <f aca="false">IFERROR(INDEX('Output Utente'!$AE$2:$AE$492,MATCH(188,'Output Utente'!$Q$2:$Q$492,0)),"")</f>
        <v>🟡 Attesa rischiosa</v>
      </c>
    </row>
    <row r="192" customFormat="false" ht="15" hidden="false" customHeight="true" outlineLevel="0" collapsed="false">
      <c r="A192" s="46" t="n">
        <v>189</v>
      </c>
      <c r="B192" s="7" t="n">
        <f aca="false">IFERROR(INDEX('Output Utente'!$A$2:$A$492,MATCH(189,'Output Utente'!$Q$2:$Q$492,0)),"")</f>
        <v>6020</v>
      </c>
      <c r="C192" s="7" t="str">
        <f aca="false">IFERROR(INDEX('Output Utente'!$B$2:$B$492,MATCH(189,'Output Utente'!$Q$2:$Q$492,0)),"")</f>
        <v>C</v>
      </c>
      <c r="D192" s="7" t="str">
        <f aca="false">IFERROR(INDEX('Output Utente'!$C$2:$C$492,MATCH(189,'Output Utente'!$Q$2:$Q$492,0)),"")</f>
        <v>Ellertsson</v>
      </c>
      <c r="E192" s="7" t="str">
        <f aca="false">IFERROR(INDEX('Input Giocatori 2026_27'!$D$3:$D$493,MATCH($B192,'Input Giocatori 2026_27'!$A$3:$A$493,0)),"")</f>
        <v>Genoa</v>
      </c>
      <c r="F192" s="47" t="n">
        <f aca="false">IFERROR(INDEX('Output Utente'!$N$2:$N$492,MATCH(189,'Output Utente'!$Q$2:$Q$492,0)),"")</f>
        <v>6</v>
      </c>
      <c r="G192" s="47" t="n">
        <f aca="false">IFERROR(INDEX('Output Utente'!$O$2:$O$492,MATCH(189,'Output Utente'!$Q$2:$Q$492,0)),"")</f>
        <v>18</v>
      </c>
      <c r="H192" s="7" t="str">
        <f aca="false">IFERROR(INDEX('Output Utente'!$P$2:$P$492,MATCH(189,'Output Utente'!$Q$2:$Q$492,0)),"")</f>
        <v>Nella Media</v>
      </c>
      <c r="I192" s="47" t="n">
        <f aca="false">IFERROR(INDEX('Output Utente'!$F$2:$F$492,MATCH(189,'Output Utente'!$Q$2:$Q$492,0)),"")</f>
        <v>3</v>
      </c>
      <c r="J192" s="47" t="n">
        <f aca="false">IFERROR(INDEX('Output Utente'!$G$2:$G$492,MATCH(189,'Output Utente'!$Q$2:$Q$492,0)),"")</f>
        <v>2</v>
      </c>
      <c r="K192" s="47" t="n">
        <f aca="false">IFERROR(INDEX('Output Utente'!$H$2:$H$492,MATCH(189,'Output Utente'!$Q$2:$Q$492,0)),"")</f>
        <v>3</v>
      </c>
      <c r="L192" s="7" t="str">
        <f aca="false">IFERROR(INDEX('Output Utente'!$E$2:$E$492,MATCH(189,'Output Utente'!$Q$2:$Q$492,0)),"")</f>
        <v>NO</v>
      </c>
      <c r="M192" s="7" t="str">
        <f aca="false">IFERROR(INDEX('Output Utente'!$U$2:$U$492,MATCH(189,'Output Utente'!$Q$2:$Q$492,0)),"")</f>
        <v>OK</v>
      </c>
      <c r="N192" s="7" t="str">
        <f aca="false">IFERROR(INDEX('Output Utente'!$AE$2:$AE$492,MATCH(189,'Output Utente'!$Q$2:$Q$492,0)),"")</f>
        <v>🟡 Attesa rischiosa</v>
      </c>
    </row>
    <row r="193" customFormat="false" ht="15" hidden="false" customHeight="true" outlineLevel="0" collapsed="false">
      <c r="A193" s="46" t="n">
        <v>190</v>
      </c>
      <c r="B193" s="7" t="n">
        <f aca="false">IFERROR(INDEX('Output Utente'!$A$2:$A$492,MATCH(190,'Output Utente'!$Q$2:$Q$492,0)),"")</f>
        <v>5761</v>
      </c>
      <c r="C193" s="7" t="str">
        <f aca="false">IFERROR(INDEX('Output Utente'!$B$2:$B$492,MATCH(190,'Output Utente'!$Q$2:$Q$492,0)),"")</f>
        <v>C</v>
      </c>
      <c r="D193" s="7" t="str">
        <f aca="false">IFERROR(INDEX('Output Utente'!$C$2:$C$492,MATCH(190,'Output Utente'!$Q$2:$Q$492,0)),"")</f>
        <v>Zhegrova</v>
      </c>
      <c r="E193" s="7" t="str">
        <f aca="false">IFERROR(INDEX('Input Giocatori 2026_27'!$D$3:$D$493,MATCH($B193,'Input Giocatori 2026_27'!$A$3:$A$493,0)),"")</f>
        <v>Juventus</v>
      </c>
      <c r="F193" s="47" t="n">
        <f aca="false">IFERROR(INDEX('Output Utente'!$N$2:$N$492,MATCH(190,'Output Utente'!$Q$2:$Q$492,0)),"")</f>
        <v>6</v>
      </c>
      <c r="G193" s="47" t="n">
        <f aca="false">IFERROR(INDEX('Output Utente'!$O$2:$O$492,MATCH(190,'Output Utente'!$Q$2:$Q$492,0)),"")</f>
        <v>18</v>
      </c>
      <c r="H193" s="7" t="str">
        <f aca="false">IFERROR(INDEX('Output Utente'!$P$2:$P$492,MATCH(190,'Output Utente'!$Q$2:$Q$492,0)),"")</f>
        <v>Nella Media</v>
      </c>
      <c r="I193" s="47" t="n">
        <f aca="false">IFERROR(INDEX('Output Utente'!$F$2:$F$492,MATCH(190,'Output Utente'!$Q$2:$Q$492,0)),"")</f>
        <v>3</v>
      </c>
      <c r="J193" s="47" t="n">
        <f aca="false">IFERROR(INDEX('Output Utente'!$G$2:$G$492,MATCH(190,'Output Utente'!$Q$2:$Q$492,0)),"")</f>
        <v>2</v>
      </c>
      <c r="K193" s="47" t="n">
        <f aca="false">IFERROR(INDEX('Output Utente'!$H$2:$H$492,MATCH(190,'Output Utente'!$Q$2:$Q$492,0)),"")</f>
        <v>3</v>
      </c>
      <c r="L193" s="7" t="str">
        <f aca="false">IFERROR(INDEX('Output Utente'!$E$2:$E$492,MATCH(190,'Output Utente'!$Q$2:$Q$492,0)),"")</f>
        <v>NO</v>
      </c>
      <c r="M193" s="7" t="str">
        <f aca="false">IFERROR(INDEX('Output Utente'!$U$2:$U$492,MATCH(190,'Output Utente'!$Q$2:$Q$492,0)),"")</f>
        <v>OK</v>
      </c>
      <c r="N193" s="7" t="str">
        <f aca="false">IFERROR(INDEX('Output Utente'!$AE$2:$AE$492,MATCH(190,'Output Utente'!$Q$2:$Q$492,0)),"")</f>
        <v>🟡 Attesa rischiosa</v>
      </c>
    </row>
    <row r="194" customFormat="false" ht="15" hidden="false" customHeight="true" outlineLevel="0" collapsed="false">
      <c r="A194" s="46" t="n">
        <v>191</v>
      </c>
      <c r="B194" s="7" t="n">
        <f aca="false">IFERROR(INDEX('Output Utente'!$A$2:$A$492,MATCH(191,'Output Utente'!$Q$2:$Q$492,0)),"")</f>
        <v>4349</v>
      </c>
      <c r="C194" s="7" t="str">
        <f aca="false">IFERROR(INDEX('Output Utente'!$B$2:$B$492,MATCH(191,'Output Utente'!$Q$2:$Q$492,0)),"")</f>
        <v>C</v>
      </c>
      <c r="D194" s="7" t="str">
        <f aca="false">IFERROR(INDEX('Output Utente'!$C$2:$C$492,MATCH(191,'Output Utente'!$Q$2:$Q$492,0)),"")</f>
        <v>Nicolussi Caviglia</v>
      </c>
      <c r="E194" s="7" t="str">
        <f aca="false">IFERROR(INDEX('Input Giocatori 2026_27'!$D$3:$D$493,MATCH($B194,'Input Giocatori 2026_27'!$A$3:$A$493,0)),"")</f>
        <v>Parma</v>
      </c>
      <c r="F194" s="47" t="n">
        <f aca="false">IFERROR(INDEX('Output Utente'!$N$2:$N$492,MATCH(191,'Output Utente'!$Q$2:$Q$492,0)),"")</f>
        <v>6</v>
      </c>
      <c r="G194" s="47" t="n">
        <f aca="false">IFERROR(INDEX('Output Utente'!$O$2:$O$492,MATCH(191,'Output Utente'!$Q$2:$Q$492,0)),"")</f>
        <v>18</v>
      </c>
      <c r="H194" s="7" t="str">
        <f aca="false">IFERROR(INDEX('Output Utente'!$P$2:$P$492,MATCH(191,'Output Utente'!$Q$2:$Q$492,0)),"")</f>
        <v>Nella Media</v>
      </c>
      <c r="I194" s="47" t="n">
        <f aca="false">IFERROR(INDEX('Output Utente'!$F$2:$F$492,MATCH(191,'Output Utente'!$Q$2:$Q$492,0)),"")</f>
        <v>3</v>
      </c>
      <c r="J194" s="47" t="n">
        <f aca="false">IFERROR(INDEX('Output Utente'!$G$2:$G$492,MATCH(191,'Output Utente'!$Q$2:$Q$492,0)),"")</f>
        <v>2</v>
      </c>
      <c r="K194" s="47" t="n">
        <f aca="false">IFERROR(INDEX('Output Utente'!$H$2:$H$492,MATCH(191,'Output Utente'!$Q$2:$Q$492,0)),"")</f>
        <v>3</v>
      </c>
      <c r="L194" s="7" t="str">
        <f aca="false">IFERROR(INDEX('Output Utente'!$E$2:$E$492,MATCH(191,'Output Utente'!$Q$2:$Q$492,0)),"")</f>
        <v>NO</v>
      </c>
      <c r="M194" s="7" t="str">
        <f aca="false">IFERROR(INDEX('Output Utente'!$U$2:$U$492,MATCH(191,'Output Utente'!$Q$2:$Q$492,0)),"")</f>
        <v>OK</v>
      </c>
      <c r="N194" s="7" t="str">
        <f aca="false">IFERROR(INDEX('Output Utente'!$AE$2:$AE$492,MATCH(191,'Output Utente'!$Q$2:$Q$492,0)),"")</f>
        <v>🟡 Attesa rischiosa</v>
      </c>
    </row>
    <row r="195" customFormat="false" ht="15" hidden="false" customHeight="true" outlineLevel="0" collapsed="false">
      <c r="A195" s="46" t="n">
        <v>192</v>
      </c>
      <c r="B195" s="7" t="n">
        <f aca="false">IFERROR(INDEX('Output Utente'!$A$2:$A$492,MATCH(192,'Output Utente'!$Q$2:$Q$492,0)),"")</f>
        <v>6984</v>
      </c>
      <c r="C195" s="7" t="str">
        <f aca="false">IFERROR(INDEX('Output Utente'!$B$2:$B$492,MATCH(192,'Output Utente'!$Q$2:$Q$492,0)),"")</f>
        <v>C</v>
      </c>
      <c r="D195" s="7" t="str">
        <f aca="false">IFERROR(INDEX('Output Utente'!$C$2:$C$492,MATCH(192,'Output Utente'!$Q$2:$Q$492,0)),"")</f>
        <v>Ondrejka</v>
      </c>
      <c r="E195" s="7" t="str">
        <f aca="false">IFERROR(INDEX('Input Giocatori 2026_27'!$D$3:$D$493,MATCH($B195,'Input Giocatori 2026_27'!$A$3:$A$493,0)),"")</f>
        <v>Parma</v>
      </c>
      <c r="F195" s="47" t="n">
        <f aca="false">IFERROR(INDEX('Output Utente'!$N$2:$N$492,MATCH(192,'Output Utente'!$Q$2:$Q$492,0)),"")</f>
        <v>5</v>
      </c>
      <c r="G195" s="47" t="n">
        <f aca="false">IFERROR(INDEX('Output Utente'!$O$2:$O$492,MATCH(192,'Output Utente'!$Q$2:$Q$492,0)),"")</f>
        <v>18</v>
      </c>
      <c r="H195" s="7" t="str">
        <f aca="false">IFERROR(INDEX('Output Utente'!$P$2:$P$492,MATCH(192,'Output Utente'!$Q$2:$Q$492,0)),"")</f>
        <v>Nella Media</v>
      </c>
      <c r="I195" s="47" t="n">
        <f aca="false">IFERROR(INDEX('Output Utente'!$F$2:$F$492,MATCH(192,'Output Utente'!$Q$2:$Q$492,0)),"")</f>
        <v>3</v>
      </c>
      <c r="J195" s="47" t="n">
        <f aca="false">IFERROR(INDEX('Output Utente'!$G$2:$G$492,MATCH(192,'Output Utente'!$Q$2:$Q$492,0)),"")</f>
        <v>2</v>
      </c>
      <c r="K195" s="47" t="n">
        <f aca="false">IFERROR(INDEX('Output Utente'!$H$2:$H$492,MATCH(192,'Output Utente'!$Q$2:$Q$492,0)),"")</f>
        <v>3</v>
      </c>
      <c r="L195" s="7" t="str">
        <f aca="false">IFERROR(INDEX('Output Utente'!$E$2:$E$492,MATCH(192,'Output Utente'!$Q$2:$Q$492,0)),"")</f>
        <v>NO</v>
      </c>
      <c r="M195" s="7" t="str">
        <f aca="false">IFERROR(INDEX('Output Utente'!$U$2:$U$492,MATCH(192,'Output Utente'!$Q$2:$Q$492,0)),"")</f>
        <v>OK</v>
      </c>
      <c r="N195" s="7" t="str">
        <f aca="false">IFERROR(INDEX('Output Utente'!$AE$2:$AE$492,MATCH(192,'Output Utente'!$Q$2:$Q$492,0)),"")</f>
        <v>🟡 Attesa rischiosa</v>
      </c>
    </row>
    <row r="196" customFormat="false" ht="15" hidden="false" customHeight="true" outlineLevel="0" collapsed="false">
      <c r="A196" s="46" t="n">
        <v>193</v>
      </c>
      <c r="B196" s="7" t="n">
        <f aca="false">IFERROR(INDEX('Output Utente'!$A$2:$A$492,MATCH(193,'Output Utente'!$Q$2:$Q$492,0)),"")</f>
        <v>7060</v>
      </c>
      <c r="C196" s="7" t="str">
        <f aca="false">IFERROR(INDEX('Output Utente'!$B$2:$B$492,MATCH(193,'Output Utente'!$Q$2:$Q$492,0)),"")</f>
        <v>C</v>
      </c>
      <c r="D196" s="7" t="str">
        <f aca="false">IFERROR(INDEX('Output Utente'!$C$2:$C$492,MATCH(193,'Output Utente'!$Q$2:$Q$492,0)),"")</f>
        <v>Cacciamani</v>
      </c>
      <c r="E196" s="7" t="str">
        <f aca="false">IFERROR(INDEX('Input Giocatori 2026_27'!$D$3:$D$493,MATCH($B196,'Input Giocatori 2026_27'!$A$3:$A$493,0)),"")</f>
        <v>Torino</v>
      </c>
      <c r="F196" s="47" t="n">
        <f aca="false">IFERROR(INDEX('Output Utente'!$N$2:$N$492,MATCH(193,'Output Utente'!$Q$2:$Q$492,0)),"")</f>
        <v>5</v>
      </c>
      <c r="G196" s="47" t="n">
        <f aca="false">IFERROR(INDEX('Output Utente'!$O$2:$O$492,MATCH(193,'Output Utente'!$Q$2:$Q$492,0)),"")</f>
        <v>18</v>
      </c>
      <c r="H196" s="7" t="str">
        <f aca="false">IFERROR(INDEX('Output Utente'!$P$2:$P$492,MATCH(193,'Output Utente'!$Q$2:$Q$492,0)),"")</f>
        <v>Nella Media</v>
      </c>
      <c r="I196" s="47" t="n">
        <f aca="false">IFERROR(INDEX('Output Utente'!$F$2:$F$492,MATCH(193,'Output Utente'!$Q$2:$Q$492,0)),"")</f>
        <v>3</v>
      </c>
      <c r="J196" s="47" t="n">
        <f aca="false">IFERROR(INDEX('Output Utente'!$G$2:$G$492,MATCH(193,'Output Utente'!$Q$2:$Q$492,0)),"")</f>
        <v>2</v>
      </c>
      <c r="K196" s="47" t="n">
        <f aca="false">IFERROR(INDEX('Output Utente'!$H$2:$H$492,MATCH(193,'Output Utente'!$Q$2:$Q$492,0)),"")</f>
        <v>3</v>
      </c>
      <c r="L196" s="7" t="str">
        <f aca="false">IFERROR(INDEX('Output Utente'!$E$2:$E$492,MATCH(193,'Output Utente'!$Q$2:$Q$492,0)),"")</f>
        <v>NO</v>
      </c>
      <c r="M196" s="7" t="str">
        <f aca="false">IFERROR(INDEX('Output Utente'!$U$2:$U$492,MATCH(193,'Output Utente'!$Q$2:$Q$492,0)),"")</f>
        <v>OK</v>
      </c>
      <c r="N196" s="7" t="str">
        <f aca="false">IFERROR(INDEX('Output Utente'!$AE$2:$AE$492,MATCH(193,'Output Utente'!$Q$2:$Q$492,0)),"")</f>
        <v>🟡 Attesa rischiosa</v>
      </c>
    </row>
    <row r="197" customFormat="false" ht="15" hidden="false" customHeight="true" outlineLevel="0" collapsed="false">
      <c r="A197" s="46" t="n">
        <v>194</v>
      </c>
      <c r="B197" s="7" t="n">
        <f aca="false">IFERROR(INDEX('Output Utente'!$A$2:$A$492,MATCH(194,'Output Utente'!$Q$2:$Q$492,0)),"")</f>
        <v>6271</v>
      </c>
      <c r="C197" s="7" t="str">
        <f aca="false">IFERROR(INDEX('Output Utente'!$B$2:$B$492,MATCH(194,'Output Utente'!$Q$2:$Q$492,0)),"")</f>
        <v>C</v>
      </c>
      <c r="D197" s="7" t="str">
        <f aca="false">IFERROR(INDEX('Output Utente'!$C$2:$C$492,MATCH(194,'Output Utente'!$Q$2:$Q$492,0)),"")</f>
        <v>El Aynaoui</v>
      </c>
      <c r="E197" s="7" t="str">
        <f aca="false">IFERROR(INDEX('Input Giocatori 2026_27'!$D$3:$D$493,MATCH($B197,'Input Giocatori 2026_27'!$A$3:$A$493,0)),"")</f>
        <v>Roma</v>
      </c>
      <c r="F197" s="47" t="n">
        <f aca="false">IFERROR(INDEX('Output Utente'!$N$2:$N$492,MATCH(194,'Output Utente'!$Q$2:$Q$492,0)),"")</f>
        <v>4</v>
      </c>
      <c r="G197" s="47" t="n">
        <f aca="false">IFERROR(INDEX('Output Utente'!$O$2:$O$492,MATCH(194,'Output Utente'!$Q$2:$Q$492,0)),"")</f>
        <v>18</v>
      </c>
      <c r="H197" s="7" t="str">
        <f aca="false">IFERROR(INDEX('Output Utente'!$P$2:$P$492,MATCH(194,'Output Utente'!$Q$2:$Q$492,0)),"")</f>
        <v>Nella Media</v>
      </c>
      <c r="I197" s="47" t="n">
        <f aca="false">IFERROR(INDEX('Output Utente'!$F$2:$F$492,MATCH(194,'Output Utente'!$Q$2:$Q$492,0)),"")</f>
        <v>3</v>
      </c>
      <c r="J197" s="47" t="n">
        <f aca="false">IFERROR(INDEX('Output Utente'!$G$2:$G$492,MATCH(194,'Output Utente'!$Q$2:$Q$492,0)),"")</f>
        <v>2</v>
      </c>
      <c r="K197" s="47" t="n">
        <f aca="false">IFERROR(INDEX('Output Utente'!$H$2:$H$492,MATCH(194,'Output Utente'!$Q$2:$Q$492,0)),"")</f>
        <v>3</v>
      </c>
      <c r="L197" s="7" t="str">
        <f aca="false">IFERROR(INDEX('Output Utente'!$E$2:$E$492,MATCH(194,'Output Utente'!$Q$2:$Q$492,0)),"")</f>
        <v>NO</v>
      </c>
      <c r="M197" s="7" t="str">
        <f aca="false">IFERROR(INDEX('Output Utente'!$U$2:$U$492,MATCH(194,'Output Utente'!$Q$2:$Q$492,0)),"")</f>
        <v>OK</v>
      </c>
      <c r="N197" s="7" t="str">
        <f aca="false">IFERROR(INDEX('Output Utente'!$AE$2:$AE$492,MATCH(194,'Output Utente'!$Q$2:$Q$492,0)),"")</f>
        <v>🟡 Attesa rischiosa</v>
      </c>
    </row>
    <row r="198" customFormat="false" ht="15" hidden="false" customHeight="true" outlineLevel="0" collapsed="false">
      <c r="A198" s="46" t="n">
        <v>195</v>
      </c>
      <c r="B198" s="7" t="n">
        <f aca="false">IFERROR(INDEX('Output Utente'!$A$2:$A$492,MATCH(195,'Output Utente'!$Q$2:$Q$492,0)),"")</f>
        <v>7252</v>
      </c>
      <c r="C198" s="7" t="str">
        <f aca="false">IFERROR(INDEX('Output Utente'!$B$2:$B$492,MATCH(195,'Output Utente'!$Q$2:$Q$492,0)),"")</f>
        <v>A</v>
      </c>
      <c r="D198" s="7" t="str">
        <f aca="false">IFERROR(INDEX('Output Utente'!$C$2:$C$492,MATCH(195,'Output Utente'!$Q$2:$Q$492,0)),"")</f>
        <v>Stulic</v>
      </c>
      <c r="E198" s="7" t="str">
        <f aca="false">IFERROR(INDEX('Input Giocatori 2026_27'!$D$3:$D$493,MATCH($B198,'Input Giocatori 2026_27'!$A$3:$A$493,0)),"")</f>
        <v>Lecce</v>
      </c>
      <c r="F198" s="47" t="n">
        <f aca="false">IFERROR(INDEX('Output Utente'!$N$2:$N$492,MATCH(195,'Output Utente'!$Q$2:$Q$492,0)),"")</f>
        <v>7</v>
      </c>
      <c r="G198" s="47" t="n">
        <f aca="false">IFERROR(INDEX('Output Utente'!$O$2:$O$492,MATCH(195,'Output Utente'!$Q$2:$Q$492,0)),"")</f>
        <v>18</v>
      </c>
      <c r="H198" s="7" t="str">
        <f aca="false">IFERROR(INDEX('Output Utente'!$P$2:$P$492,MATCH(195,'Output Utente'!$Q$2:$Q$492,0)),"")</f>
        <v>Nella Media</v>
      </c>
      <c r="I198" s="47" t="n">
        <f aca="false">IFERROR(INDEX('Output Utente'!$F$2:$F$492,MATCH(195,'Output Utente'!$Q$2:$Q$492,0)),"")</f>
        <v>6</v>
      </c>
      <c r="J198" s="47" t="n">
        <f aca="false">IFERROR(INDEX('Output Utente'!$G$2:$G$492,MATCH(195,'Output Utente'!$Q$2:$Q$492,0)),"")</f>
        <v>4</v>
      </c>
      <c r="K198" s="47" t="n">
        <f aca="false">IFERROR(INDEX('Output Utente'!$H$2:$H$492,MATCH(195,'Output Utente'!$Q$2:$Q$492,0)),"")</f>
        <v>7</v>
      </c>
      <c r="L198" s="7" t="str">
        <f aca="false">IFERROR(INDEX('Output Utente'!$E$2:$E$492,MATCH(195,'Output Utente'!$Q$2:$Q$492,0)),"")</f>
        <v>NO</v>
      </c>
      <c r="M198" s="7" t="str">
        <f aca="false">IFERROR(INDEX('Output Utente'!$U$2:$U$492,MATCH(195,'Output Utente'!$Q$2:$Q$492,0)),"")</f>
        <v>OK</v>
      </c>
      <c r="N198" s="7" t="str">
        <f aca="false">IFERROR(INDEX('Output Utente'!$AE$2:$AE$492,MATCH(195,'Output Utente'!$Q$2:$Q$492,0)),"")</f>
        <v>🔴 Non aspettare</v>
      </c>
    </row>
    <row r="199" customFormat="false" ht="15" hidden="false" customHeight="true" outlineLevel="0" collapsed="false">
      <c r="A199" s="46" t="n">
        <v>196</v>
      </c>
      <c r="B199" s="7" t="n">
        <f aca="false">IFERROR(INDEX('Output Utente'!$A$2:$A$492,MATCH(196,'Output Utente'!$Q$2:$Q$492,0)),"")</f>
        <v>608</v>
      </c>
      <c r="C199" s="7" t="str">
        <f aca="false">IFERROR(INDEX('Output Utente'!$B$2:$B$492,MATCH(196,'Output Utente'!$Q$2:$Q$492,0)),"")</f>
        <v>A</v>
      </c>
      <c r="D199" s="7" t="str">
        <f aca="false">IFERROR(INDEX('Output Utente'!$C$2:$C$492,MATCH(196,'Output Utente'!$Q$2:$Q$492,0)),"")</f>
        <v>Zapata D.</v>
      </c>
      <c r="E199" s="7" t="str">
        <f aca="false">IFERROR(INDEX('Input Giocatori 2026_27'!$D$3:$D$493,MATCH($B199,'Input Giocatori 2026_27'!$A$3:$A$493,0)),"")</f>
        <v>Torino</v>
      </c>
      <c r="F199" s="47" t="n">
        <f aca="false">IFERROR(INDEX('Output Utente'!$N$2:$N$492,MATCH(196,'Output Utente'!$Q$2:$Q$492,0)),"")</f>
        <v>7</v>
      </c>
      <c r="G199" s="47" t="n">
        <f aca="false">IFERROR(INDEX('Output Utente'!$O$2:$O$492,MATCH(196,'Output Utente'!$Q$2:$Q$492,0)),"")</f>
        <v>18</v>
      </c>
      <c r="H199" s="7" t="str">
        <f aca="false">IFERROR(INDEX('Output Utente'!$P$2:$P$492,MATCH(196,'Output Utente'!$Q$2:$Q$492,0)),"")</f>
        <v>Nella Media</v>
      </c>
      <c r="I199" s="47" t="n">
        <f aca="false">IFERROR(INDEX('Output Utente'!$F$2:$F$492,MATCH(196,'Output Utente'!$Q$2:$Q$492,0)),"")</f>
        <v>6</v>
      </c>
      <c r="J199" s="47" t="n">
        <f aca="false">IFERROR(INDEX('Output Utente'!$G$2:$G$492,MATCH(196,'Output Utente'!$Q$2:$Q$492,0)),"")</f>
        <v>4</v>
      </c>
      <c r="K199" s="47" t="n">
        <f aca="false">IFERROR(INDEX('Output Utente'!$H$2:$H$492,MATCH(196,'Output Utente'!$Q$2:$Q$492,0)),"")</f>
        <v>7</v>
      </c>
      <c r="L199" s="7" t="str">
        <f aca="false">IFERROR(INDEX('Output Utente'!$E$2:$E$492,MATCH(196,'Output Utente'!$Q$2:$Q$492,0)),"")</f>
        <v>NO</v>
      </c>
      <c r="M199" s="7" t="str">
        <f aca="false">IFERROR(INDEX('Output Utente'!$U$2:$U$492,MATCH(196,'Output Utente'!$Q$2:$Q$492,0)),"")</f>
        <v>OK</v>
      </c>
      <c r="N199" s="7" t="str">
        <f aca="false">IFERROR(INDEX('Output Utente'!$AE$2:$AE$492,MATCH(196,'Output Utente'!$Q$2:$Q$492,0)),"")</f>
        <v>🔴 Non aspettare</v>
      </c>
    </row>
    <row r="200" customFormat="false" ht="15" hidden="false" customHeight="true" outlineLevel="0" collapsed="false">
      <c r="A200" s="46" t="n">
        <v>197</v>
      </c>
      <c r="B200" s="7" t="n">
        <f aca="false">IFERROR(INDEX('Output Utente'!$A$2:$A$492,MATCH(197,'Output Utente'!$Q$2:$Q$492,0)),"")</f>
        <v>6519</v>
      </c>
      <c r="C200" s="7" t="str">
        <f aca="false">IFERROR(INDEX('Output Utente'!$B$2:$B$492,MATCH(197,'Output Utente'!$Q$2:$Q$492,0)),"")</f>
        <v>A</v>
      </c>
      <c r="D200" s="7" t="str">
        <f aca="false">IFERROR(INDEX('Output Utente'!$C$2:$C$492,MATCH(197,'Output Utente'!$Q$2:$Q$492,0)),"")</f>
        <v>Camarda</v>
      </c>
      <c r="E200" s="7" t="str">
        <f aca="false">IFERROR(INDEX('Input Giocatori 2026_27'!$D$3:$D$493,MATCH($B200,'Input Giocatori 2026_27'!$A$3:$A$493,0)),"")</f>
        <v>Milan</v>
      </c>
      <c r="F200" s="47" t="n">
        <f aca="false">IFERROR(INDEX('Output Utente'!$N$2:$N$492,MATCH(197,'Output Utente'!$Q$2:$Q$492,0)),"")</f>
        <v>5</v>
      </c>
      <c r="G200" s="47" t="n">
        <f aca="false">IFERROR(INDEX('Output Utente'!$O$2:$O$492,MATCH(197,'Output Utente'!$Q$2:$Q$492,0)),"")</f>
        <v>18</v>
      </c>
      <c r="H200" s="7" t="str">
        <f aca="false">IFERROR(INDEX('Output Utente'!$P$2:$P$492,MATCH(197,'Output Utente'!$Q$2:$Q$492,0)),"")</f>
        <v>Nella Media</v>
      </c>
      <c r="I200" s="47" t="n">
        <f aca="false">IFERROR(INDEX('Output Utente'!$F$2:$F$492,MATCH(197,'Output Utente'!$Q$2:$Q$492,0)),"")</f>
        <v>6</v>
      </c>
      <c r="J200" s="47" t="n">
        <f aca="false">IFERROR(INDEX('Output Utente'!$G$2:$G$492,MATCH(197,'Output Utente'!$Q$2:$Q$492,0)),"")</f>
        <v>4</v>
      </c>
      <c r="K200" s="47" t="n">
        <f aca="false">IFERROR(INDEX('Output Utente'!$H$2:$H$492,MATCH(197,'Output Utente'!$Q$2:$Q$492,0)),"")</f>
        <v>7</v>
      </c>
      <c r="L200" s="7" t="str">
        <f aca="false">IFERROR(INDEX('Output Utente'!$E$2:$E$492,MATCH(197,'Output Utente'!$Q$2:$Q$492,0)),"")</f>
        <v>NO</v>
      </c>
      <c r="M200" s="7" t="str">
        <f aca="false">IFERROR(INDEX('Output Utente'!$U$2:$U$492,MATCH(197,'Output Utente'!$Q$2:$Q$492,0)),"")</f>
        <v>OK</v>
      </c>
      <c r="N200" s="7" t="str">
        <f aca="false">IFERROR(INDEX('Output Utente'!$AE$2:$AE$492,MATCH(197,'Output Utente'!$Q$2:$Q$492,0)),"")</f>
        <v>🔴 Non aspettare</v>
      </c>
    </row>
    <row r="201" customFormat="false" ht="15" hidden="false" customHeight="true" outlineLevel="0" collapsed="false">
      <c r="A201" s="46" t="n">
        <v>198</v>
      </c>
      <c r="B201" s="7" t="n">
        <f aca="false">IFERROR(INDEX('Output Utente'!$A$2:$A$492,MATCH(198,'Output Utente'!$Q$2:$Q$492,0)),"")</f>
        <v>5882</v>
      </c>
      <c r="C201" s="7" t="str">
        <f aca="false">IFERROR(INDEX('Output Utente'!$B$2:$B$492,MATCH(198,'Output Utente'!$Q$2:$Q$492,0)),"")</f>
        <v>A</v>
      </c>
      <c r="D201" s="7" t="str">
        <f aca="false">IFERROR(INDEX('Output Utente'!$C$2:$C$492,MATCH(198,'Output Utente'!$Q$2:$Q$492,0)),"")</f>
        <v>Mota</v>
      </c>
      <c r="E201" s="7" t="str">
        <f aca="false">IFERROR(INDEX('Input Giocatori 2026_27'!$D$3:$D$493,MATCH($B201,'Input Giocatori 2026_27'!$A$3:$A$493,0)),"")</f>
        <v>Monza</v>
      </c>
      <c r="F201" s="47" t="n">
        <f aca="false">IFERROR(INDEX('Output Utente'!$N$2:$N$492,MATCH(198,'Output Utente'!$Q$2:$Q$492,0)),"")</f>
        <v>5</v>
      </c>
      <c r="G201" s="47" t="n">
        <f aca="false">IFERROR(INDEX('Output Utente'!$O$2:$O$492,MATCH(198,'Output Utente'!$Q$2:$Q$492,0)),"")</f>
        <v>18</v>
      </c>
      <c r="H201" s="7" t="str">
        <f aca="false">IFERROR(INDEX('Output Utente'!$P$2:$P$492,MATCH(198,'Output Utente'!$Q$2:$Q$492,0)),"")</f>
        <v>Nella Media</v>
      </c>
      <c r="I201" s="47" t="n">
        <f aca="false">IFERROR(INDEX('Output Utente'!$F$2:$F$492,MATCH(198,'Output Utente'!$Q$2:$Q$492,0)),"")</f>
        <v>6</v>
      </c>
      <c r="J201" s="47" t="n">
        <f aca="false">IFERROR(INDEX('Output Utente'!$G$2:$G$492,MATCH(198,'Output Utente'!$Q$2:$Q$492,0)),"")</f>
        <v>4</v>
      </c>
      <c r="K201" s="47" t="n">
        <f aca="false">IFERROR(INDEX('Output Utente'!$H$2:$H$492,MATCH(198,'Output Utente'!$Q$2:$Q$492,0)),"")</f>
        <v>7</v>
      </c>
      <c r="L201" s="7" t="str">
        <f aca="false">IFERROR(INDEX('Output Utente'!$E$2:$E$492,MATCH(198,'Output Utente'!$Q$2:$Q$492,0)),"")</f>
        <v>NO</v>
      </c>
      <c r="M201" s="7" t="str">
        <f aca="false">IFERROR(INDEX('Output Utente'!$U$2:$U$492,MATCH(198,'Output Utente'!$Q$2:$Q$492,0)),"")</f>
        <v>OK</v>
      </c>
      <c r="N201" s="7" t="str">
        <f aca="false">IFERROR(INDEX('Output Utente'!$AE$2:$AE$492,MATCH(198,'Output Utente'!$Q$2:$Q$492,0)),"")</f>
        <v>🔴 Non aspettare</v>
      </c>
    </row>
    <row r="202" customFormat="false" ht="15" hidden="false" customHeight="true" outlineLevel="0" collapsed="false">
      <c r="A202" s="46" t="n">
        <v>199</v>
      </c>
      <c r="B202" s="7" t="n">
        <f aca="false">IFERROR(INDEX('Output Utente'!$A$2:$A$492,MATCH(199,'Output Utente'!$Q$2:$Q$492,0)),"")</f>
        <v>6989</v>
      </c>
      <c r="C202" s="7" t="str">
        <f aca="false">IFERROR(INDEX('Output Utente'!$B$2:$B$492,MATCH(199,'Output Utente'!$Q$2:$Q$492,0)),"")</f>
        <v>D</v>
      </c>
      <c r="D202" s="7" t="str">
        <f aca="false">IFERROR(INDEX('Output Utente'!$C$2:$C$492,MATCH(199,'Output Utente'!$Q$2:$Q$492,0)),"")</f>
        <v>Tiago Gabriel</v>
      </c>
      <c r="E202" s="7" t="str">
        <f aca="false">IFERROR(INDEX('Input Giocatori 2026_27'!$D$3:$D$493,MATCH($B202,'Input Giocatori 2026_27'!$A$3:$A$493,0)),"")</f>
        <v>Lecce</v>
      </c>
      <c r="F202" s="47" t="n">
        <f aca="false">IFERROR(INDEX('Output Utente'!$N$2:$N$492,MATCH(199,'Output Utente'!$Q$2:$Q$492,0)),"")</f>
        <v>7</v>
      </c>
      <c r="G202" s="47" t="n">
        <f aca="false">IFERROR(INDEX('Output Utente'!$O$2:$O$492,MATCH(199,'Output Utente'!$Q$2:$Q$492,0)),"")</f>
        <v>17</v>
      </c>
      <c r="H202" s="7" t="str">
        <f aca="false">IFERROR(INDEX('Output Utente'!$P$2:$P$492,MATCH(199,'Output Utente'!$Q$2:$Q$492,0)),"")</f>
        <v>Buono</v>
      </c>
      <c r="I202" s="47" t="n">
        <f aca="false">IFERROR(INDEX('Output Utente'!$F$2:$F$492,MATCH(199,'Output Utente'!$Q$2:$Q$492,0)),"")</f>
        <v>3</v>
      </c>
      <c r="J202" s="47" t="n">
        <f aca="false">IFERROR(INDEX('Output Utente'!$G$2:$G$492,MATCH(199,'Output Utente'!$Q$2:$Q$492,0)),"")</f>
        <v>2</v>
      </c>
      <c r="K202" s="47" t="n">
        <f aca="false">IFERROR(INDEX('Output Utente'!$H$2:$H$492,MATCH(199,'Output Utente'!$Q$2:$Q$492,0)),"")</f>
        <v>3</v>
      </c>
      <c r="L202" s="7" t="str">
        <f aca="false">IFERROR(INDEX('Output Utente'!$E$2:$E$492,MATCH(199,'Output Utente'!$Q$2:$Q$492,0)),"")</f>
        <v>NO</v>
      </c>
      <c r="M202" s="7" t="str">
        <f aca="false">IFERROR(INDEX('Output Utente'!$U$2:$U$492,MATCH(199,'Output Utente'!$Q$2:$Q$492,0)),"")</f>
        <v>OK</v>
      </c>
      <c r="N202" s="7" t="str">
        <f aca="false">IFERROR(INDEX('Output Utente'!$AE$2:$AE$492,MATCH(199,'Output Utente'!$Q$2:$Q$492,0)),"")</f>
        <v>🟡 Attesa rischiosa</v>
      </c>
    </row>
    <row r="203" customFormat="false" ht="15" hidden="false" customHeight="true" outlineLevel="0" collapsed="false">
      <c r="A203" s="46" t="n">
        <v>200</v>
      </c>
      <c r="B203" s="7" t="n">
        <f aca="false">IFERROR(INDEX('Output Utente'!$A$2:$A$492,MATCH(200,'Output Utente'!$Q$2:$Q$492,0)),"")</f>
        <v>7219</v>
      </c>
      <c r="C203" s="7" t="str">
        <f aca="false">IFERROR(INDEX('Output Utente'!$B$2:$B$492,MATCH(200,'Output Utente'!$Q$2:$Q$492,0)),"")</f>
        <v>D</v>
      </c>
      <c r="D203" s="7" t="str">
        <f aca="false">IFERROR(INDEX('Output Utente'!$C$2:$C$492,MATCH(200,'Output Utente'!$Q$2:$Q$492,0)),"")</f>
        <v>Bernasconi</v>
      </c>
      <c r="E203" s="7" t="str">
        <f aca="false">IFERROR(INDEX('Input Giocatori 2026_27'!$D$3:$D$493,MATCH($B203,'Input Giocatori 2026_27'!$A$3:$A$493,0)),"")</f>
        <v>Atalanta</v>
      </c>
      <c r="F203" s="47" t="n">
        <f aca="false">IFERROR(INDEX('Output Utente'!$N$2:$N$492,MATCH(200,'Output Utente'!$Q$2:$Q$492,0)),"")</f>
        <v>6</v>
      </c>
      <c r="G203" s="47" t="n">
        <f aca="false">IFERROR(INDEX('Output Utente'!$O$2:$O$492,MATCH(200,'Output Utente'!$Q$2:$Q$492,0)),"")</f>
        <v>17</v>
      </c>
      <c r="H203" s="7" t="str">
        <f aca="false">IFERROR(INDEX('Output Utente'!$P$2:$P$492,MATCH(200,'Output Utente'!$Q$2:$Q$492,0)),"")</f>
        <v>Buono</v>
      </c>
      <c r="I203" s="47" t="n">
        <f aca="false">IFERROR(INDEX('Output Utente'!$F$2:$F$492,MATCH(200,'Output Utente'!$Q$2:$Q$492,0)),"")</f>
        <v>3</v>
      </c>
      <c r="J203" s="47" t="n">
        <f aca="false">IFERROR(INDEX('Output Utente'!$G$2:$G$492,MATCH(200,'Output Utente'!$Q$2:$Q$492,0)),"")</f>
        <v>2</v>
      </c>
      <c r="K203" s="47" t="n">
        <f aca="false">IFERROR(INDEX('Output Utente'!$H$2:$H$492,MATCH(200,'Output Utente'!$Q$2:$Q$492,0)),"")</f>
        <v>3</v>
      </c>
      <c r="L203" s="7" t="str">
        <f aca="false">IFERROR(INDEX('Output Utente'!$E$2:$E$492,MATCH(200,'Output Utente'!$Q$2:$Q$492,0)),"")</f>
        <v>NO</v>
      </c>
      <c r="M203" s="7" t="str">
        <f aca="false">IFERROR(INDEX('Output Utente'!$U$2:$U$492,MATCH(200,'Output Utente'!$Q$2:$Q$492,0)),"")</f>
        <v>OK</v>
      </c>
      <c r="N203" s="7" t="str">
        <f aca="false">IFERROR(INDEX('Output Utente'!$AE$2:$AE$492,MATCH(200,'Output Utente'!$Q$2:$Q$492,0)),"")</f>
        <v>🟡 Attesa rischiosa</v>
      </c>
    </row>
    <row r="204" customFormat="false" ht="15" hidden="false" customHeight="true" outlineLevel="0" collapsed="false">
      <c r="A204" s="46" t="n">
        <v>201</v>
      </c>
      <c r="B204" s="7" t="n">
        <f aca="false">IFERROR(INDEX('Output Utente'!$A$2:$A$492,MATCH(201,'Output Utente'!$Q$2:$Q$492,0)),"")</f>
        <v>5620</v>
      </c>
      <c r="C204" s="7" t="str">
        <f aca="false">IFERROR(INDEX('Output Utente'!$B$2:$B$492,MATCH(201,'Output Utente'!$Q$2:$Q$492,0)),"")</f>
        <v>D</v>
      </c>
      <c r="D204" s="7" t="str">
        <f aca="false">IFERROR(INDEX('Output Utente'!$C$2:$C$492,MATCH(201,'Output Utente'!$Q$2:$Q$492,0)),"")</f>
        <v>Tavares N.</v>
      </c>
      <c r="E204" s="7" t="str">
        <f aca="false">IFERROR(INDEX('Input Giocatori 2026_27'!$D$3:$D$493,MATCH($B204,'Input Giocatori 2026_27'!$A$3:$A$493,0)),"")</f>
        <v>Lazio</v>
      </c>
      <c r="F204" s="47" t="n">
        <f aca="false">IFERROR(INDEX('Output Utente'!$N$2:$N$492,MATCH(201,'Output Utente'!$Q$2:$Q$492,0)),"")</f>
        <v>6</v>
      </c>
      <c r="G204" s="47" t="n">
        <f aca="false">IFERROR(INDEX('Output Utente'!$O$2:$O$492,MATCH(201,'Output Utente'!$Q$2:$Q$492,0)),"")</f>
        <v>17</v>
      </c>
      <c r="H204" s="7" t="str">
        <f aca="false">IFERROR(INDEX('Output Utente'!$P$2:$P$492,MATCH(201,'Output Utente'!$Q$2:$Q$492,0)),"")</f>
        <v>Buono</v>
      </c>
      <c r="I204" s="47" t="n">
        <f aca="false">IFERROR(INDEX('Output Utente'!$F$2:$F$492,MATCH(201,'Output Utente'!$Q$2:$Q$492,0)),"")</f>
        <v>3</v>
      </c>
      <c r="J204" s="47" t="n">
        <f aca="false">IFERROR(INDEX('Output Utente'!$G$2:$G$492,MATCH(201,'Output Utente'!$Q$2:$Q$492,0)),"")</f>
        <v>2</v>
      </c>
      <c r="K204" s="47" t="n">
        <f aca="false">IFERROR(INDEX('Output Utente'!$H$2:$H$492,MATCH(201,'Output Utente'!$Q$2:$Q$492,0)),"")</f>
        <v>3</v>
      </c>
      <c r="L204" s="7" t="str">
        <f aca="false">IFERROR(INDEX('Output Utente'!$E$2:$E$492,MATCH(201,'Output Utente'!$Q$2:$Q$492,0)),"")</f>
        <v>NO</v>
      </c>
      <c r="M204" s="7" t="str">
        <f aca="false">IFERROR(INDEX('Output Utente'!$U$2:$U$492,MATCH(201,'Output Utente'!$Q$2:$Q$492,0)),"")</f>
        <v>OK</v>
      </c>
      <c r="N204" s="7" t="str">
        <f aca="false">IFERROR(INDEX('Output Utente'!$AE$2:$AE$492,MATCH(201,'Output Utente'!$Q$2:$Q$492,0)),"")</f>
        <v>🟡 Attesa rischiosa</v>
      </c>
    </row>
    <row r="205" customFormat="false" ht="15" hidden="false" customHeight="true" outlineLevel="0" collapsed="false">
      <c r="A205" s="46" t="n">
        <v>202</v>
      </c>
      <c r="B205" s="7" t="n">
        <f aca="false">IFERROR(INDEX('Output Utente'!$A$2:$A$492,MATCH(202,'Output Utente'!$Q$2:$Q$492,0)),"")</f>
        <v>6190</v>
      </c>
      <c r="C205" s="7" t="str">
        <f aca="false">IFERROR(INDEX('Output Utente'!$B$2:$B$492,MATCH(202,'Output Utente'!$Q$2:$Q$492,0)),"")</f>
        <v>C</v>
      </c>
      <c r="D205" s="7" t="str">
        <f aca="false">IFERROR(INDEX('Output Utente'!$C$2:$C$492,MATCH(202,'Output Utente'!$Q$2:$Q$492,0)),"")</f>
        <v>Pisilli</v>
      </c>
      <c r="E205" s="7" t="str">
        <f aca="false">IFERROR(INDEX('Input Giocatori 2026_27'!$D$3:$D$493,MATCH($B205,'Input Giocatori 2026_27'!$A$3:$A$493,0)),"")</f>
        <v>Roma</v>
      </c>
      <c r="F205" s="47" t="n">
        <f aca="false">IFERROR(INDEX('Output Utente'!$N$2:$N$492,MATCH(202,'Output Utente'!$Q$2:$Q$492,0)),"")</f>
        <v>5</v>
      </c>
      <c r="G205" s="47" t="n">
        <f aca="false">IFERROR(INDEX('Output Utente'!$O$2:$O$492,MATCH(202,'Output Utente'!$Q$2:$Q$492,0)),"")</f>
        <v>17</v>
      </c>
      <c r="H205" s="7" t="str">
        <f aca="false">IFERROR(INDEX('Output Utente'!$P$2:$P$492,MATCH(202,'Output Utente'!$Q$2:$Q$492,0)),"")</f>
        <v>Nella Media</v>
      </c>
      <c r="I205" s="47" t="n">
        <f aca="false">IFERROR(INDEX('Output Utente'!$F$2:$F$492,MATCH(202,'Output Utente'!$Q$2:$Q$492,0)),"")</f>
        <v>3</v>
      </c>
      <c r="J205" s="47" t="n">
        <f aca="false">IFERROR(INDEX('Output Utente'!$G$2:$G$492,MATCH(202,'Output Utente'!$Q$2:$Q$492,0)),"")</f>
        <v>2</v>
      </c>
      <c r="K205" s="47" t="n">
        <f aca="false">IFERROR(INDEX('Output Utente'!$H$2:$H$492,MATCH(202,'Output Utente'!$Q$2:$Q$492,0)),"")</f>
        <v>3</v>
      </c>
      <c r="L205" s="7" t="str">
        <f aca="false">IFERROR(INDEX('Output Utente'!$E$2:$E$492,MATCH(202,'Output Utente'!$Q$2:$Q$492,0)),"")</f>
        <v>NO</v>
      </c>
      <c r="M205" s="7" t="str">
        <f aca="false">IFERROR(INDEX('Output Utente'!$U$2:$U$492,MATCH(202,'Output Utente'!$Q$2:$Q$492,0)),"")</f>
        <v>OK</v>
      </c>
      <c r="N205" s="7" t="str">
        <f aca="false">IFERROR(INDEX('Output Utente'!$AE$2:$AE$492,MATCH(202,'Output Utente'!$Q$2:$Q$492,0)),"")</f>
        <v>🟡 Attesa rischiosa</v>
      </c>
    </row>
    <row r="206" customFormat="false" ht="15" hidden="false" customHeight="true" outlineLevel="0" collapsed="false">
      <c r="A206" s="46" t="n">
        <v>203</v>
      </c>
      <c r="B206" s="7" t="n">
        <f aca="false">IFERROR(INDEX('Output Utente'!$A$2:$A$492,MATCH(203,'Output Utente'!$Q$2:$Q$492,0)),"")</f>
        <v>6556</v>
      </c>
      <c r="C206" s="7" t="str">
        <f aca="false">IFERROR(INDEX('Output Utente'!$B$2:$B$492,MATCH(203,'Output Utente'!$Q$2:$Q$492,0)),"")</f>
        <v>A</v>
      </c>
      <c r="D206" s="7" t="str">
        <f aca="false">IFERROR(INDEX('Output Utente'!$C$2:$C$492,MATCH(203,'Output Utente'!$Q$2:$Q$492,0)),"")</f>
        <v>Noslin</v>
      </c>
      <c r="E206" s="7" t="str">
        <f aca="false">IFERROR(INDEX('Input Giocatori 2026_27'!$D$3:$D$493,MATCH($B206,'Input Giocatori 2026_27'!$A$3:$A$493,0)),"")</f>
        <v>Lazio</v>
      </c>
      <c r="F206" s="47" t="n">
        <f aca="false">IFERROR(INDEX('Output Utente'!$N$2:$N$492,MATCH(203,'Output Utente'!$Q$2:$Q$492,0)),"")</f>
        <v>6</v>
      </c>
      <c r="G206" s="47" t="n">
        <f aca="false">IFERROR(INDEX('Output Utente'!$O$2:$O$492,MATCH(203,'Output Utente'!$Q$2:$Q$492,0)),"")</f>
        <v>17</v>
      </c>
      <c r="H206" s="7" t="str">
        <f aca="false">IFERROR(INDEX('Output Utente'!$P$2:$P$492,MATCH(203,'Output Utente'!$Q$2:$Q$492,0)),"")</f>
        <v>Nella Media</v>
      </c>
      <c r="I206" s="47" t="n">
        <f aca="false">IFERROR(INDEX('Output Utente'!$F$2:$F$492,MATCH(203,'Output Utente'!$Q$2:$Q$492,0)),"")</f>
        <v>5</v>
      </c>
      <c r="J206" s="47" t="n">
        <f aca="false">IFERROR(INDEX('Output Utente'!$G$2:$G$492,MATCH(203,'Output Utente'!$Q$2:$Q$492,0)),"")</f>
        <v>3</v>
      </c>
      <c r="K206" s="47" t="n">
        <f aca="false">IFERROR(INDEX('Output Utente'!$H$2:$H$492,MATCH(203,'Output Utente'!$Q$2:$Q$492,0)),"")</f>
        <v>6</v>
      </c>
      <c r="L206" s="7" t="str">
        <f aca="false">IFERROR(INDEX('Output Utente'!$E$2:$E$492,MATCH(203,'Output Utente'!$Q$2:$Q$492,0)),"")</f>
        <v>NO</v>
      </c>
      <c r="M206" s="7" t="str">
        <f aca="false">IFERROR(INDEX('Output Utente'!$U$2:$U$492,MATCH(203,'Output Utente'!$Q$2:$Q$492,0)),"")</f>
        <v>OK</v>
      </c>
      <c r="N206" s="7" t="str">
        <f aca="false">IFERROR(INDEX('Output Utente'!$AE$2:$AE$492,MATCH(203,'Output Utente'!$Q$2:$Q$492,0)),"")</f>
        <v>🔴 Non aspettare</v>
      </c>
    </row>
    <row r="207" customFormat="false" ht="15" hidden="false" customHeight="true" outlineLevel="0" collapsed="false">
      <c r="A207" s="46" t="n">
        <v>204</v>
      </c>
      <c r="B207" s="7" t="n">
        <f aca="false">IFERROR(INDEX('Output Utente'!$A$2:$A$492,MATCH(204,'Output Utente'!$Q$2:$Q$492,0)),"")</f>
        <v>6046</v>
      </c>
      <c r="C207" s="7" t="str">
        <f aca="false">IFERROR(INDEX('Output Utente'!$B$2:$B$492,MATCH(204,'Output Utente'!$Q$2:$Q$492,0)),"")</f>
        <v>D</v>
      </c>
      <c r="D207" s="7" t="str">
        <f aca="false">IFERROR(INDEX('Output Utente'!$C$2:$C$492,MATCH(204,'Output Utente'!$Q$2:$Q$492,0)),"")</f>
        <v>Hien</v>
      </c>
      <c r="E207" s="7" t="str">
        <f aca="false">IFERROR(INDEX('Input Giocatori 2026_27'!$D$3:$D$493,MATCH($B207,'Input Giocatori 2026_27'!$A$3:$A$493,0)),"")</f>
        <v>Atalanta</v>
      </c>
      <c r="F207" s="47" t="n">
        <f aca="false">IFERROR(INDEX('Output Utente'!$N$2:$N$492,MATCH(204,'Output Utente'!$Q$2:$Q$492,0)),"")</f>
        <v>8</v>
      </c>
      <c r="G207" s="47" t="n">
        <f aca="false">IFERROR(INDEX('Output Utente'!$O$2:$O$492,MATCH(204,'Output Utente'!$Q$2:$Q$492,0)),"")</f>
        <v>16</v>
      </c>
      <c r="H207" s="7" t="str">
        <f aca="false">IFERROR(INDEX('Output Utente'!$P$2:$P$492,MATCH(204,'Output Utente'!$Q$2:$Q$492,0)),"")</f>
        <v>Buono</v>
      </c>
      <c r="I207" s="47" t="n">
        <f aca="false">IFERROR(INDEX('Output Utente'!$F$2:$F$492,MATCH(204,'Output Utente'!$Q$2:$Q$492,0)),"")</f>
        <v>3</v>
      </c>
      <c r="J207" s="47" t="n">
        <f aca="false">IFERROR(INDEX('Output Utente'!$G$2:$G$492,MATCH(204,'Output Utente'!$Q$2:$Q$492,0)),"")</f>
        <v>2</v>
      </c>
      <c r="K207" s="47" t="n">
        <f aca="false">IFERROR(INDEX('Output Utente'!$H$2:$H$492,MATCH(204,'Output Utente'!$Q$2:$Q$492,0)),"")</f>
        <v>3</v>
      </c>
      <c r="L207" s="7" t="str">
        <f aca="false">IFERROR(INDEX('Output Utente'!$E$2:$E$492,MATCH(204,'Output Utente'!$Q$2:$Q$492,0)),"")</f>
        <v>NO</v>
      </c>
      <c r="M207" s="7" t="str">
        <f aca="false">IFERROR(INDEX('Output Utente'!$U$2:$U$492,MATCH(204,'Output Utente'!$Q$2:$Q$492,0)),"")</f>
        <v>OK</v>
      </c>
      <c r="N207" s="7" t="str">
        <f aca="false">IFERROR(INDEX('Output Utente'!$AE$2:$AE$492,MATCH(204,'Output Utente'!$Q$2:$Q$492,0)),"")</f>
        <v>🟡 Attesa rischiosa</v>
      </c>
    </row>
    <row r="208" customFormat="false" ht="15" hidden="false" customHeight="true" outlineLevel="0" collapsed="false">
      <c r="A208" s="46" t="n">
        <v>205</v>
      </c>
      <c r="B208" s="7" t="n">
        <f aca="false">IFERROR(INDEX('Output Utente'!$A$2:$A$492,MATCH(205,'Output Utente'!$Q$2:$Q$492,0)),"")</f>
        <v>787</v>
      </c>
      <c r="C208" s="7" t="str">
        <f aca="false">IFERROR(INDEX('Output Utente'!$B$2:$B$492,MATCH(205,'Output Utente'!$Q$2:$Q$492,0)),"")</f>
        <v>D</v>
      </c>
      <c r="D208" s="7" t="str">
        <f aca="false">IFERROR(INDEX('Output Utente'!$C$2:$C$492,MATCH(205,'Output Utente'!$Q$2:$Q$492,0)),"")</f>
        <v>Djimsiti</v>
      </c>
      <c r="E208" s="7" t="str">
        <f aca="false">IFERROR(INDEX('Input Giocatori 2026_27'!$D$3:$D$493,MATCH($B208,'Input Giocatori 2026_27'!$A$3:$A$493,0)),"")</f>
        <v>Atalanta</v>
      </c>
      <c r="F208" s="47" t="n">
        <f aca="false">IFERROR(INDEX('Output Utente'!$N$2:$N$492,MATCH(205,'Output Utente'!$Q$2:$Q$492,0)),"")</f>
        <v>7</v>
      </c>
      <c r="G208" s="47" t="n">
        <f aca="false">IFERROR(INDEX('Output Utente'!$O$2:$O$492,MATCH(205,'Output Utente'!$Q$2:$Q$492,0)),"")</f>
        <v>16</v>
      </c>
      <c r="H208" s="7" t="str">
        <f aca="false">IFERROR(INDEX('Output Utente'!$P$2:$P$492,MATCH(205,'Output Utente'!$Q$2:$Q$492,0)),"")</f>
        <v>Buono</v>
      </c>
      <c r="I208" s="47" t="n">
        <f aca="false">IFERROR(INDEX('Output Utente'!$F$2:$F$492,MATCH(205,'Output Utente'!$Q$2:$Q$492,0)),"")</f>
        <v>3</v>
      </c>
      <c r="J208" s="47" t="n">
        <f aca="false">IFERROR(INDEX('Output Utente'!$G$2:$G$492,MATCH(205,'Output Utente'!$Q$2:$Q$492,0)),"")</f>
        <v>2</v>
      </c>
      <c r="K208" s="47" t="n">
        <f aca="false">IFERROR(INDEX('Output Utente'!$H$2:$H$492,MATCH(205,'Output Utente'!$Q$2:$Q$492,0)),"")</f>
        <v>3</v>
      </c>
      <c r="L208" s="7" t="str">
        <f aca="false">IFERROR(INDEX('Output Utente'!$E$2:$E$492,MATCH(205,'Output Utente'!$Q$2:$Q$492,0)),"")</f>
        <v>NO</v>
      </c>
      <c r="M208" s="7" t="str">
        <f aca="false">IFERROR(INDEX('Output Utente'!$U$2:$U$492,MATCH(205,'Output Utente'!$Q$2:$Q$492,0)),"")</f>
        <v>OK</v>
      </c>
      <c r="N208" s="7" t="str">
        <f aca="false">IFERROR(INDEX('Output Utente'!$AE$2:$AE$492,MATCH(205,'Output Utente'!$Q$2:$Q$492,0)),"")</f>
        <v>🟡 Attesa rischiosa</v>
      </c>
    </row>
    <row r="209" customFormat="false" ht="15" hidden="false" customHeight="true" outlineLevel="0" collapsed="false">
      <c r="A209" s="46" t="n">
        <v>206</v>
      </c>
      <c r="B209" s="7" t="n">
        <f aca="false">IFERROR(INDEX('Output Utente'!$A$2:$A$492,MATCH(206,'Output Utente'!$Q$2:$Q$492,0)),"")</f>
        <v>6916</v>
      </c>
      <c r="C209" s="7" t="str">
        <f aca="false">IFERROR(INDEX('Output Utente'!$B$2:$B$492,MATCH(206,'Output Utente'!$Q$2:$Q$492,0)),"")</f>
        <v>D</v>
      </c>
      <c r="D209" s="7" t="str">
        <f aca="false">IFERROR(INDEX('Output Utente'!$C$2:$C$492,MATCH(206,'Output Utente'!$Q$2:$Q$492,0)),"")</f>
        <v>Ahanor</v>
      </c>
      <c r="E209" s="7" t="str">
        <f aca="false">IFERROR(INDEX('Input Giocatori 2026_27'!$D$3:$D$493,MATCH($B209,'Input Giocatori 2026_27'!$A$3:$A$493,0)),"")</f>
        <v>Atalanta</v>
      </c>
      <c r="F209" s="47" t="n">
        <f aca="false">IFERROR(INDEX('Output Utente'!$N$2:$N$492,MATCH(206,'Output Utente'!$Q$2:$Q$492,0)),"")</f>
        <v>6</v>
      </c>
      <c r="G209" s="47" t="n">
        <f aca="false">IFERROR(INDEX('Output Utente'!$O$2:$O$492,MATCH(206,'Output Utente'!$Q$2:$Q$492,0)),"")</f>
        <v>16</v>
      </c>
      <c r="H209" s="7" t="str">
        <f aca="false">IFERROR(INDEX('Output Utente'!$P$2:$P$492,MATCH(206,'Output Utente'!$Q$2:$Q$492,0)),"")</f>
        <v>Buono</v>
      </c>
      <c r="I209" s="47" t="n">
        <f aca="false">IFERROR(INDEX('Output Utente'!$F$2:$F$492,MATCH(206,'Output Utente'!$Q$2:$Q$492,0)),"")</f>
        <v>3</v>
      </c>
      <c r="J209" s="47" t="n">
        <f aca="false">IFERROR(INDEX('Output Utente'!$G$2:$G$492,MATCH(206,'Output Utente'!$Q$2:$Q$492,0)),"")</f>
        <v>2</v>
      </c>
      <c r="K209" s="47" t="n">
        <f aca="false">IFERROR(INDEX('Output Utente'!$H$2:$H$492,MATCH(206,'Output Utente'!$Q$2:$Q$492,0)),"")</f>
        <v>3</v>
      </c>
      <c r="L209" s="7" t="str">
        <f aca="false">IFERROR(INDEX('Output Utente'!$E$2:$E$492,MATCH(206,'Output Utente'!$Q$2:$Q$492,0)),"")</f>
        <v>NO</v>
      </c>
      <c r="M209" s="7" t="str">
        <f aca="false">IFERROR(INDEX('Output Utente'!$U$2:$U$492,MATCH(206,'Output Utente'!$Q$2:$Q$492,0)),"")</f>
        <v>OK</v>
      </c>
      <c r="N209" s="7" t="str">
        <f aca="false">IFERROR(INDEX('Output Utente'!$AE$2:$AE$492,MATCH(206,'Output Utente'!$Q$2:$Q$492,0)),"")</f>
        <v>🟡 Attesa rischiosa</v>
      </c>
    </row>
    <row r="210" customFormat="false" ht="15" hidden="false" customHeight="true" outlineLevel="0" collapsed="false">
      <c r="A210" s="46" t="n">
        <v>207</v>
      </c>
      <c r="B210" s="7" t="n">
        <f aca="false">IFERROR(INDEX('Output Utente'!$A$2:$A$492,MATCH(207,'Output Utente'!$Q$2:$Q$492,0)),"")</f>
        <v>6202</v>
      </c>
      <c r="C210" s="7" t="str">
        <f aca="false">IFERROR(INDEX('Output Utente'!$B$2:$B$492,MATCH(207,'Output Utente'!$Q$2:$Q$492,0)),"")</f>
        <v>D</v>
      </c>
      <c r="D210" s="7" t="str">
        <f aca="false">IFERROR(INDEX('Output Utente'!$C$2:$C$492,MATCH(207,'Output Utente'!$Q$2:$Q$492,0)),"")</f>
        <v>Beukema</v>
      </c>
      <c r="E210" s="7" t="str">
        <f aca="false">IFERROR(INDEX('Input Giocatori 2026_27'!$D$3:$D$493,MATCH($B210,'Input Giocatori 2026_27'!$A$3:$A$493,0)),"")</f>
        <v>Napoli</v>
      </c>
      <c r="F210" s="47" t="n">
        <f aca="false">IFERROR(INDEX('Output Utente'!$N$2:$N$492,MATCH(207,'Output Utente'!$Q$2:$Q$492,0)),"")</f>
        <v>6</v>
      </c>
      <c r="G210" s="47" t="n">
        <f aca="false">IFERROR(INDEX('Output Utente'!$O$2:$O$492,MATCH(207,'Output Utente'!$Q$2:$Q$492,0)),"")</f>
        <v>16</v>
      </c>
      <c r="H210" s="7" t="str">
        <f aca="false">IFERROR(INDEX('Output Utente'!$P$2:$P$492,MATCH(207,'Output Utente'!$Q$2:$Q$492,0)),"")</f>
        <v>Buono</v>
      </c>
      <c r="I210" s="47" t="n">
        <f aca="false">IFERROR(INDEX('Output Utente'!$F$2:$F$492,MATCH(207,'Output Utente'!$Q$2:$Q$492,0)),"")</f>
        <v>3</v>
      </c>
      <c r="J210" s="47" t="n">
        <f aca="false">IFERROR(INDEX('Output Utente'!$G$2:$G$492,MATCH(207,'Output Utente'!$Q$2:$Q$492,0)),"")</f>
        <v>2</v>
      </c>
      <c r="K210" s="47" t="n">
        <f aca="false">IFERROR(INDEX('Output Utente'!$H$2:$H$492,MATCH(207,'Output Utente'!$Q$2:$Q$492,0)),"")</f>
        <v>3</v>
      </c>
      <c r="L210" s="7" t="str">
        <f aca="false">IFERROR(INDEX('Output Utente'!$E$2:$E$492,MATCH(207,'Output Utente'!$Q$2:$Q$492,0)),"")</f>
        <v>NO</v>
      </c>
      <c r="M210" s="7" t="str">
        <f aca="false">IFERROR(INDEX('Output Utente'!$U$2:$U$492,MATCH(207,'Output Utente'!$Q$2:$Q$492,0)),"")</f>
        <v>OK</v>
      </c>
      <c r="N210" s="7" t="str">
        <f aca="false">IFERROR(INDEX('Output Utente'!$AE$2:$AE$492,MATCH(207,'Output Utente'!$Q$2:$Q$492,0)),"")</f>
        <v>🟡 Attesa rischiosa</v>
      </c>
    </row>
    <row r="211" customFormat="false" ht="15" hidden="false" customHeight="true" outlineLevel="0" collapsed="false">
      <c r="A211" s="46" t="n">
        <v>208</v>
      </c>
      <c r="B211" s="7" t="n">
        <f aca="false">IFERROR(INDEX('Output Utente'!$A$2:$A$492,MATCH(208,'Output Utente'!$Q$2:$Q$492,0)),"")</f>
        <v>6986</v>
      </c>
      <c r="C211" s="7" t="str">
        <f aca="false">IFERROR(INDEX('Output Utente'!$B$2:$B$492,MATCH(208,'Output Utente'!$Q$2:$Q$492,0)),"")</f>
        <v>D</v>
      </c>
      <c r="D211" s="7" t="str">
        <f aca="false">IFERROR(INDEX('Output Utente'!$C$2:$C$492,MATCH(208,'Output Utente'!$Q$2:$Q$492,0)),"")</f>
        <v>Rensch</v>
      </c>
      <c r="E211" s="7" t="str">
        <f aca="false">IFERROR(INDEX('Input Giocatori 2026_27'!$D$3:$D$493,MATCH($B211,'Input Giocatori 2026_27'!$A$3:$A$493,0)),"")</f>
        <v>Roma</v>
      </c>
      <c r="F211" s="47" t="n">
        <f aca="false">IFERROR(INDEX('Output Utente'!$N$2:$N$492,MATCH(208,'Output Utente'!$Q$2:$Q$492,0)),"")</f>
        <v>5</v>
      </c>
      <c r="G211" s="47" t="n">
        <f aca="false">IFERROR(INDEX('Output Utente'!$O$2:$O$492,MATCH(208,'Output Utente'!$Q$2:$Q$492,0)),"")</f>
        <v>16</v>
      </c>
      <c r="H211" s="7" t="str">
        <f aca="false">IFERROR(INDEX('Output Utente'!$P$2:$P$492,MATCH(208,'Output Utente'!$Q$2:$Q$492,0)),"")</f>
        <v>Buono</v>
      </c>
      <c r="I211" s="47" t="n">
        <f aca="false">IFERROR(INDEX('Output Utente'!$F$2:$F$492,MATCH(208,'Output Utente'!$Q$2:$Q$492,0)),"")</f>
        <v>3</v>
      </c>
      <c r="J211" s="47" t="n">
        <f aca="false">IFERROR(INDEX('Output Utente'!$G$2:$G$492,MATCH(208,'Output Utente'!$Q$2:$Q$492,0)),"")</f>
        <v>2</v>
      </c>
      <c r="K211" s="47" t="n">
        <f aca="false">IFERROR(INDEX('Output Utente'!$H$2:$H$492,MATCH(208,'Output Utente'!$Q$2:$Q$492,0)),"")</f>
        <v>3</v>
      </c>
      <c r="L211" s="7" t="str">
        <f aca="false">IFERROR(INDEX('Output Utente'!$E$2:$E$492,MATCH(208,'Output Utente'!$Q$2:$Q$492,0)),"")</f>
        <v>NO</v>
      </c>
      <c r="M211" s="7" t="str">
        <f aca="false">IFERROR(INDEX('Output Utente'!$U$2:$U$492,MATCH(208,'Output Utente'!$Q$2:$Q$492,0)),"")</f>
        <v>OK</v>
      </c>
      <c r="N211" s="7" t="str">
        <f aca="false">IFERROR(INDEX('Output Utente'!$AE$2:$AE$492,MATCH(208,'Output Utente'!$Q$2:$Q$492,0)),"")</f>
        <v>🟡 Attesa rischiosa</v>
      </c>
    </row>
    <row r="212" customFormat="false" ht="15" hidden="false" customHeight="true" outlineLevel="0" collapsed="false">
      <c r="A212" s="46" t="n">
        <v>209</v>
      </c>
      <c r="B212" s="7" t="n">
        <f aca="false">IFERROR(INDEX('Output Utente'!$A$2:$A$492,MATCH(209,'Output Utente'!$Q$2:$Q$492,0)),"")</f>
        <v>4459</v>
      </c>
      <c r="C212" s="7" t="str">
        <f aca="false">IFERROR(INDEX('Output Utente'!$B$2:$B$492,MATCH(209,'Output Utente'!$Q$2:$Q$492,0)),"")</f>
        <v>C</v>
      </c>
      <c r="D212" s="7" t="str">
        <f aca="false">IFERROR(INDEX('Output Utente'!$C$2:$C$492,MATCH(209,'Output Utente'!$Q$2:$Q$492,0)),"")</f>
        <v>Rovella</v>
      </c>
      <c r="E212" s="7" t="str">
        <f aca="false">IFERROR(INDEX('Input Giocatori 2026_27'!$D$3:$D$493,MATCH($B212,'Input Giocatori 2026_27'!$A$3:$A$493,0)),"")</f>
        <v>Lazio</v>
      </c>
      <c r="F212" s="47" t="n">
        <f aca="false">IFERROR(INDEX('Output Utente'!$N$2:$N$492,MATCH(209,'Output Utente'!$Q$2:$Q$492,0)),"")</f>
        <v>6</v>
      </c>
      <c r="G212" s="47" t="n">
        <f aca="false">IFERROR(INDEX('Output Utente'!$O$2:$O$492,MATCH(209,'Output Utente'!$Q$2:$Q$492,0)),"")</f>
        <v>16</v>
      </c>
      <c r="H212" s="7" t="str">
        <f aca="false">IFERROR(INDEX('Output Utente'!$P$2:$P$492,MATCH(209,'Output Utente'!$Q$2:$Q$492,0)),"")</f>
        <v>Nella Media</v>
      </c>
      <c r="I212" s="47" t="n">
        <f aca="false">IFERROR(INDEX('Output Utente'!$F$2:$F$492,MATCH(209,'Output Utente'!$Q$2:$Q$492,0)),"")</f>
        <v>2</v>
      </c>
      <c r="J212" s="47" t="n">
        <f aca="false">IFERROR(INDEX('Output Utente'!$G$2:$G$492,MATCH(209,'Output Utente'!$Q$2:$Q$492,0)),"")</f>
        <v>1</v>
      </c>
      <c r="K212" s="47" t="n">
        <f aca="false">IFERROR(INDEX('Output Utente'!$H$2:$H$492,MATCH(209,'Output Utente'!$Q$2:$Q$492,0)),"")</f>
        <v>2</v>
      </c>
      <c r="L212" s="7" t="str">
        <f aca="false">IFERROR(INDEX('Output Utente'!$E$2:$E$492,MATCH(209,'Output Utente'!$Q$2:$Q$492,0)),"")</f>
        <v>NO</v>
      </c>
      <c r="M212" s="7" t="str">
        <f aca="false">IFERROR(INDEX('Output Utente'!$U$2:$U$492,MATCH(209,'Output Utente'!$Q$2:$Q$492,0)),"")</f>
        <v>OK</v>
      </c>
      <c r="N212" s="7" t="str">
        <f aca="false">IFERROR(INDEX('Output Utente'!$AE$2:$AE$492,MATCH(209,'Output Utente'!$Q$2:$Q$492,0)),"")</f>
        <v>🟡 Attesa rischiosa</v>
      </c>
    </row>
    <row r="213" customFormat="false" ht="15" hidden="false" customHeight="true" outlineLevel="0" collapsed="false">
      <c r="A213" s="46" t="n">
        <v>210</v>
      </c>
      <c r="B213" s="7" t="n">
        <f aca="false">IFERROR(INDEX('Output Utente'!$A$2:$A$492,MATCH(210,'Output Utente'!$Q$2:$Q$492,0)),"")</f>
        <v>6593</v>
      </c>
      <c r="C213" s="7" t="str">
        <f aca="false">IFERROR(INDEX('Output Utente'!$B$2:$B$492,MATCH(210,'Output Utente'!$Q$2:$Q$492,0)),"")</f>
        <v>C</v>
      </c>
      <c r="D213" s="7" t="str">
        <f aca="false">IFERROR(INDEX('Output Utente'!$C$2:$C$492,MATCH(210,'Output Utente'!$Q$2:$Q$492,0)),"")</f>
        <v>Akinsanmiro</v>
      </c>
      <c r="E213" s="7" t="str">
        <f aca="false">IFERROR(INDEX('Input Giocatori 2026_27'!$D$3:$D$493,MATCH($B213,'Input Giocatori 2026_27'!$A$3:$A$493,0)),"")</f>
        <v>Monza</v>
      </c>
      <c r="F213" s="47" t="n">
        <f aca="false">IFERROR(INDEX('Output Utente'!$N$2:$N$492,MATCH(210,'Output Utente'!$Q$2:$Q$492,0)),"")</f>
        <v>6</v>
      </c>
      <c r="G213" s="47" t="n">
        <f aca="false">IFERROR(INDEX('Output Utente'!$O$2:$O$492,MATCH(210,'Output Utente'!$Q$2:$Q$492,0)),"")</f>
        <v>16</v>
      </c>
      <c r="H213" s="7" t="str">
        <f aca="false">IFERROR(INDEX('Output Utente'!$P$2:$P$492,MATCH(210,'Output Utente'!$Q$2:$Q$492,0)),"")</f>
        <v>Nella Media</v>
      </c>
      <c r="I213" s="47" t="n">
        <f aca="false">IFERROR(INDEX('Output Utente'!$F$2:$F$492,MATCH(210,'Output Utente'!$Q$2:$Q$492,0)),"")</f>
        <v>2</v>
      </c>
      <c r="J213" s="47" t="n">
        <f aca="false">IFERROR(INDEX('Output Utente'!$G$2:$G$492,MATCH(210,'Output Utente'!$Q$2:$Q$492,0)),"")</f>
        <v>1</v>
      </c>
      <c r="K213" s="47" t="n">
        <f aca="false">IFERROR(INDEX('Output Utente'!$H$2:$H$492,MATCH(210,'Output Utente'!$Q$2:$Q$492,0)),"")</f>
        <v>2</v>
      </c>
      <c r="L213" s="7" t="str">
        <f aca="false">IFERROR(INDEX('Output Utente'!$E$2:$E$492,MATCH(210,'Output Utente'!$Q$2:$Q$492,0)),"")</f>
        <v>NO</v>
      </c>
      <c r="M213" s="7" t="str">
        <f aca="false">IFERROR(INDEX('Output Utente'!$U$2:$U$492,MATCH(210,'Output Utente'!$Q$2:$Q$492,0)),"")</f>
        <v>OK</v>
      </c>
      <c r="N213" s="7" t="str">
        <f aca="false">IFERROR(INDEX('Output Utente'!$AE$2:$AE$492,MATCH(210,'Output Utente'!$Q$2:$Q$492,0)),"")</f>
        <v>🟡 Attesa rischiosa</v>
      </c>
    </row>
    <row r="214" customFormat="false" ht="15" hidden="false" customHeight="true" outlineLevel="0" collapsed="false">
      <c r="A214" s="46" t="n">
        <v>211</v>
      </c>
      <c r="B214" s="7" t="n">
        <f aca="false">IFERROR(INDEX('Output Utente'!$A$2:$A$492,MATCH(211,'Output Utente'!$Q$2:$Q$492,0)),"")</f>
        <v>6015</v>
      </c>
      <c r="C214" s="7" t="str">
        <f aca="false">IFERROR(INDEX('Output Utente'!$B$2:$B$492,MATCH(211,'Output Utente'!$Q$2:$Q$492,0)),"")</f>
        <v>C</v>
      </c>
      <c r="D214" s="7" t="str">
        <f aca="false">IFERROR(INDEX('Output Utente'!$C$2:$C$492,MATCH(211,'Output Utente'!$Q$2:$Q$492,0)),"")</f>
        <v>Berisha M.</v>
      </c>
      <c r="E214" s="7" t="str">
        <f aca="false">IFERROR(INDEX('Input Giocatori 2026_27'!$D$3:$D$493,MATCH($B214,'Input Giocatori 2026_27'!$A$3:$A$493,0)),"")</f>
        <v>Lecce</v>
      </c>
      <c r="F214" s="47" t="n">
        <f aca="false">IFERROR(INDEX('Output Utente'!$N$2:$N$492,MATCH(211,'Output Utente'!$Q$2:$Q$492,0)),"")</f>
        <v>5</v>
      </c>
      <c r="G214" s="47" t="n">
        <f aca="false">IFERROR(INDEX('Output Utente'!$O$2:$O$492,MATCH(211,'Output Utente'!$Q$2:$Q$492,0)),"")</f>
        <v>16</v>
      </c>
      <c r="H214" s="7" t="str">
        <f aca="false">IFERROR(INDEX('Output Utente'!$P$2:$P$492,MATCH(211,'Output Utente'!$Q$2:$Q$492,0)),"")</f>
        <v>Nella Media</v>
      </c>
      <c r="I214" s="47" t="n">
        <f aca="false">IFERROR(INDEX('Output Utente'!$F$2:$F$492,MATCH(211,'Output Utente'!$Q$2:$Q$492,0)),"")</f>
        <v>2</v>
      </c>
      <c r="J214" s="47" t="n">
        <f aca="false">IFERROR(INDEX('Output Utente'!$G$2:$G$492,MATCH(211,'Output Utente'!$Q$2:$Q$492,0)),"")</f>
        <v>1</v>
      </c>
      <c r="K214" s="47" t="n">
        <f aca="false">IFERROR(INDEX('Output Utente'!$H$2:$H$492,MATCH(211,'Output Utente'!$Q$2:$Q$492,0)),"")</f>
        <v>2</v>
      </c>
      <c r="L214" s="7" t="str">
        <f aca="false">IFERROR(INDEX('Output Utente'!$E$2:$E$492,MATCH(211,'Output Utente'!$Q$2:$Q$492,0)),"")</f>
        <v>NO</v>
      </c>
      <c r="M214" s="7" t="str">
        <f aca="false">IFERROR(INDEX('Output Utente'!$U$2:$U$492,MATCH(211,'Output Utente'!$Q$2:$Q$492,0)),"")</f>
        <v>OK</v>
      </c>
      <c r="N214" s="7" t="str">
        <f aca="false">IFERROR(INDEX('Output Utente'!$AE$2:$AE$492,MATCH(211,'Output Utente'!$Q$2:$Q$492,0)),"")</f>
        <v>🟡 Attesa rischiosa</v>
      </c>
    </row>
    <row r="215" customFormat="false" ht="15" hidden="false" customHeight="true" outlineLevel="0" collapsed="false">
      <c r="A215" s="46" t="n">
        <v>212</v>
      </c>
      <c r="B215" s="7" t="n">
        <f aca="false">IFERROR(INDEX('Output Utente'!$A$2:$A$492,MATCH(212,'Output Utente'!$Q$2:$Q$492,0)),"")</f>
        <v>7036</v>
      </c>
      <c r="C215" s="7" t="str">
        <f aca="false">IFERROR(INDEX('Output Utente'!$B$2:$B$492,MATCH(212,'Output Utente'!$Q$2:$Q$492,0)),"")</f>
        <v>C</v>
      </c>
      <c r="D215" s="7" t="str">
        <f aca="false">IFERROR(INDEX('Output Utente'!$C$2:$C$492,MATCH(212,'Output Utente'!$Q$2:$Q$492,0)),"")</f>
        <v>Bakola</v>
      </c>
      <c r="E215" s="7" t="str">
        <f aca="false">IFERROR(INDEX('Input Giocatori 2026_27'!$D$3:$D$493,MATCH($B215,'Input Giocatori 2026_27'!$A$3:$A$493,0)),"")</f>
        <v>Sassuolo</v>
      </c>
      <c r="F215" s="47" t="n">
        <f aca="false">IFERROR(INDEX('Output Utente'!$N$2:$N$492,MATCH(212,'Output Utente'!$Q$2:$Q$492,0)),"")</f>
        <v>5</v>
      </c>
      <c r="G215" s="47" t="n">
        <f aca="false">IFERROR(INDEX('Output Utente'!$O$2:$O$492,MATCH(212,'Output Utente'!$Q$2:$Q$492,0)),"")</f>
        <v>16</v>
      </c>
      <c r="H215" s="7" t="str">
        <f aca="false">IFERROR(INDEX('Output Utente'!$P$2:$P$492,MATCH(212,'Output Utente'!$Q$2:$Q$492,0)),"")</f>
        <v>Nella Media</v>
      </c>
      <c r="I215" s="47" t="n">
        <f aca="false">IFERROR(INDEX('Output Utente'!$F$2:$F$492,MATCH(212,'Output Utente'!$Q$2:$Q$492,0)),"")</f>
        <v>2</v>
      </c>
      <c r="J215" s="47" t="n">
        <f aca="false">IFERROR(INDEX('Output Utente'!$G$2:$G$492,MATCH(212,'Output Utente'!$Q$2:$Q$492,0)),"")</f>
        <v>1</v>
      </c>
      <c r="K215" s="47" t="n">
        <f aca="false">IFERROR(INDEX('Output Utente'!$H$2:$H$492,MATCH(212,'Output Utente'!$Q$2:$Q$492,0)),"")</f>
        <v>2</v>
      </c>
      <c r="L215" s="7" t="str">
        <f aca="false">IFERROR(INDEX('Output Utente'!$E$2:$E$492,MATCH(212,'Output Utente'!$Q$2:$Q$492,0)),"")</f>
        <v>NO</v>
      </c>
      <c r="M215" s="7" t="str">
        <f aca="false">IFERROR(INDEX('Output Utente'!$U$2:$U$492,MATCH(212,'Output Utente'!$Q$2:$Q$492,0)),"")</f>
        <v>OK</v>
      </c>
      <c r="N215" s="7" t="str">
        <f aca="false">IFERROR(INDEX('Output Utente'!$AE$2:$AE$492,MATCH(212,'Output Utente'!$Q$2:$Q$492,0)),"")</f>
        <v>🟡 Attesa rischiosa</v>
      </c>
    </row>
    <row r="216" customFormat="false" ht="15" hidden="false" customHeight="true" outlineLevel="0" collapsed="false">
      <c r="A216" s="46" t="n">
        <v>213</v>
      </c>
      <c r="B216" s="7" t="n">
        <f aca="false">IFERROR(INDEX('Output Utente'!$A$2:$A$492,MATCH(213,'Output Utente'!$Q$2:$Q$492,0)),"")</f>
        <v>5918</v>
      </c>
      <c r="C216" s="7" t="str">
        <f aca="false">IFERROR(INDEX('Output Utente'!$B$2:$B$492,MATCH(213,'Output Utente'!$Q$2:$Q$492,0)),"")</f>
        <v>A</v>
      </c>
      <c r="D216" s="7" t="str">
        <f aca="false">IFERROR(INDEX('Output Utente'!$C$2:$C$492,MATCH(213,'Output Utente'!$Q$2:$Q$492,0)),"")</f>
        <v>Sulemana K.</v>
      </c>
      <c r="E216" s="7" t="str">
        <f aca="false">IFERROR(INDEX('Input Giocatori 2026_27'!$D$3:$D$493,MATCH($B216,'Input Giocatori 2026_27'!$A$3:$A$493,0)),"")</f>
        <v>Atalanta</v>
      </c>
      <c r="F216" s="47" t="n">
        <f aca="false">IFERROR(INDEX('Output Utente'!$N$2:$N$492,MATCH(213,'Output Utente'!$Q$2:$Q$492,0)),"")</f>
        <v>6</v>
      </c>
      <c r="G216" s="47" t="n">
        <f aca="false">IFERROR(INDEX('Output Utente'!$O$2:$O$492,MATCH(213,'Output Utente'!$Q$2:$Q$492,0)),"")</f>
        <v>16</v>
      </c>
      <c r="H216" s="7" t="str">
        <f aca="false">IFERROR(INDEX('Output Utente'!$P$2:$P$492,MATCH(213,'Output Utente'!$Q$2:$Q$492,0)),"")</f>
        <v>Nella Media</v>
      </c>
      <c r="I216" s="47" t="n">
        <f aca="false">IFERROR(INDEX('Output Utente'!$F$2:$F$492,MATCH(213,'Output Utente'!$Q$2:$Q$492,0)),"")</f>
        <v>5</v>
      </c>
      <c r="J216" s="47" t="n">
        <f aca="false">IFERROR(INDEX('Output Utente'!$G$2:$G$492,MATCH(213,'Output Utente'!$Q$2:$Q$492,0)),"")</f>
        <v>3</v>
      </c>
      <c r="K216" s="47" t="n">
        <f aca="false">IFERROR(INDEX('Output Utente'!$H$2:$H$492,MATCH(213,'Output Utente'!$Q$2:$Q$492,0)),"")</f>
        <v>6</v>
      </c>
      <c r="L216" s="7" t="str">
        <f aca="false">IFERROR(INDEX('Output Utente'!$E$2:$E$492,MATCH(213,'Output Utente'!$Q$2:$Q$492,0)),"")</f>
        <v>NO</v>
      </c>
      <c r="M216" s="7" t="str">
        <f aca="false">IFERROR(INDEX('Output Utente'!$U$2:$U$492,MATCH(213,'Output Utente'!$Q$2:$Q$492,0)),"")</f>
        <v>OK</v>
      </c>
      <c r="N216" s="7" t="str">
        <f aca="false">IFERROR(INDEX('Output Utente'!$AE$2:$AE$492,MATCH(213,'Output Utente'!$Q$2:$Q$492,0)),"")</f>
        <v>🔴 Non aspettare</v>
      </c>
    </row>
    <row r="217" customFormat="false" ht="15" hidden="false" customHeight="true" outlineLevel="0" collapsed="false">
      <c r="A217" s="46" t="n">
        <v>214</v>
      </c>
      <c r="B217" s="7" t="n">
        <f aca="false">IFERROR(INDEX('Output Utente'!$A$2:$A$492,MATCH(214,'Output Utente'!$Q$2:$Q$492,0)),"")</f>
        <v>4236</v>
      </c>
      <c r="C217" s="7" t="str">
        <f aca="false">IFERROR(INDEX('Output Utente'!$B$2:$B$492,MATCH(214,'Output Utente'!$Q$2:$Q$492,0)),"")</f>
        <v>P</v>
      </c>
      <c r="D217" s="7" t="str">
        <f aca="false">IFERROR(INDEX('Output Utente'!$C$2:$C$492,MATCH(214,'Output Utente'!$Q$2:$Q$492,0)),"")</f>
        <v>Muric</v>
      </c>
      <c r="E217" s="7" t="str">
        <f aca="false">IFERROR(INDEX('Input Giocatori 2026_27'!$D$3:$D$493,MATCH($B217,'Input Giocatori 2026_27'!$A$3:$A$493,0)),"")</f>
        <v>Sassuolo</v>
      </c>
      <c r="F217" s="47" t="n">
        <f aca="false">IFERROR(INDEX('Output Utente'!$N$2:$N$492,MATCH(214,'Output Utente'!$Q$2:$Q$492,0)),"")</f>
        <v>7</v>
      </c>
      <c r="G217" s="47" t="n">
        <f aca="false">IFERROR(INDEX('Output Utente'!$O$2:$O$492,MATCH(214,'Output Utente'!$Q$2:$Q$492,0)),"")</f>
        <v>15</v>
      </c>
      <c r="H217" s="7" t="str">
        <f aca="false">IFERROR(INDEX('Output Utente'!$P$2:$P$492,MATCH(214,'Output Utente'!$Q$2:$Q$492,0)),"")</f>
        <v>Buono</v>
      </c>
      <c r="I217" s="47" t="n">
        <f aca="false">IFERROR(INDEX('Output Utente'!$F$2:$F$492,MATCH(214,'Output Utente'!$Q$2:$Q$492,0)),"")</f>
        <v>5</v>
      </c>
      <c r="J217" s="47" t="n">
        <f aca="false">IFERROR(INDEX('Output Utente'!$G$2:$G$492,MATCH(214,'Output Utente'!$Q$2:$Q$492,0)),"")</f>
        <v>4</v>
      </c>
      <c r="K217" s="47" t="n">
        <f aca="false">IFERROR(INDEX('Output Utente'!$H$2:$H$492,MATCH(214,'Output Utente'!$Q$2:$Q$492,0)),"")</f>
        <v>6</v>
      </c>
      <c r="L217" s="7" t="str">
        <f aca="false">IFERROR(INDEX('Output Utente'!$E$2:$E$492,MATCH(214,'Output Utente'!$Q$2:$Q$492,0)),"")</f>
        <v>NO</v>
      </c>
      <c r="M217" s="7" t="str">
        <f aca="false">IFERROR(INDEX('Output Utente'!$U$2:$U$492,MATCH(214,'Output Utente'!$Q$2:$Q$492,0)),"")</f>
        <v>OK</v>
      </c>
      <c r="N217" s="7" t="str">
        <f aca="false">IFERROR(INDEX('Output Utente'!$AE$2:$AE$492,MATCH(214,'Output Utente'!$Q$2:$Q$492,0)),"")</f>
        <v>🟡 Attesa rischiosa</v>
      </c>
    </row>
    <row r="218" customFormat="false" ht="15" hidden="false" customHeight="true" outlineLevel="0" collapsed="false">
      <c r="A218" s="46" t="n">
        <v>215</v>
      </c>
      <c r="B218" s="7" t="n">
        <f aca="false">IFERROR(INDEX('Output Utente'!$A$2:$A$492,MATCH(215,'Output Utente'!$Q$2:$Q$492,0)),"")</f>
        <v>6485</v>
      </c>
      <c r="C218" s="7" t="str">
        <f aca="false">IFERROR(INDEX('Output Utente'!$B$2:$B$492,MATCH(215,'Output Utente'!$Q$2:$Q$492,0)),"")</f>
        <v>D</v>
      </c>
      <c r="D218" s="7" t="str">
        <f aca="false">IFERROR(INDEX('Output Utente'!$C$2:$C$492,MATCH(215,'Output Utente'!$Q$2:$Q$492,0)),"")</f>
        <v>Kristensen T.</v>
      </c>
      <c r="E218" s="7" t="str">
        <f aca="false">IFERROR(INDEX('Input Giocatori 2026_27'!$D$3:$D$493,MATCH($B218,'Input Giocatori 2026_27'!$A$3:$A$493,0)),"")</f>
        <v>Udinese</v>
      </c>
      <c r="F218" s="47" t="n">
        <f aca="false">IFERROR(INDEX('Output Utente'!$N$2:$N$492,MATCH(215,'Output Utente'!$Q$2:$Q$492,0)),"")</f>
        <v>7</v>
      </c>
      <c r="G218" s="47" t="n">
        <f aca="false">IFERROR(INDEX('Output Utente'!$O$2:$O$492,MATCH(215,'Output Utente'!$Q$2:$Q$492,0)),"")</f>
        <v>15</v>
      </c>
      <c r="H218" s="7" t="str">
        <f aca="false">IFERROR(INDEX('Output Utente'!$P$2:$P$492,MATCH(215,'Output Utente'!$Q$2:$Q$492,0)),"")</f>
        <v>Buono</v>
      </c>
      <c r="I218" s="47" t="n">
        <f aca="false">IFERROR(INDEX('Output Utente'!$F$2:$F$492,MATCH(215,'Output Utente'!$Q$2:$Q$492,0)),"")</f>
        <v>3</v>
      </c>
      <c r="J218" s="47" t="n">
        <f aca="false">IFERROR(INDEX('Output Utente'!$G$2:$G$492,MATCH(215,'Output Utente'!$Q$2:$Q$492,0)),"")</f>
        <v>2</v>
      </c>
      <c r="K218" s="47" t="n">
        <f aca="false">IFERROR(INDEX('Output Utente'!$H$2:$H$492,MATCH(215,'Output Utente'!$Q$2:$Q$492,0)),"")</f>
        <v>3</v>
      </c>
      <c r="L218" s="7" t="str">
        <f aca="false">IFERROR(INDEX('Output Utente'!$E$2:$E$492,MATCH(215,'Output Utente'!$Q$2:$Q$492,0)),"")</f>
        <v>NO</v>
      </c>
      <c r="M218" s="7" t="str">
        <f aca="false">IFERROR(INDEX('Output Utente'!$U$2:$U$492,MATCH(215,'Output Utente'!$Q$2:$Q$492,0)),"")</f>
        <v>OK</v>
      </c>
      <c r="N218" s="7" t="str">
        <f aca="false">IFERROR(INDEX('Output Utente'!$AE$2:$AE$492,MATCH(215,'Output Utente'!$Q$2:$Q$492,0)),"")</f>
        <v>🟡 Attesa rischiosa</v>
      </c>
    </row>
    <row r="219" customFormat="false" ht="15" hidden="false" customHeight="true" outlineLevel="0" collapsed="false">
      <c r="A219" s="46" t="n">
        <v>216</v>
      </c>
      <c r="B219" s="7" t="n">
        <f aca="false">IFERROR(INDEX('Output Utente'!$A$2:$A$492,MATCH(216,'Output Utente'!$Q$2:$Q$492,0)),"")</f>
        <v>4887</v>
      </c>
      <c r="C219" s="7" t="str">
        <f aca="false">IFERROR(INDEX('Output Utente'!$B$2:$B$492,MATCH(216,'Output Utente'!$Q$2:$Q$492,0)),"")</f>
        <v>D</v>
      </c>
      <c r="D219" s="7" t="str">
        <f aca="false">IFERROR(INDEX('Output Utente'!$C$2:$C$492,MATCH(216,'Output Utente'!$Q$2:$Q$492,0)),"")</f>
        <v>Bellanova</v>
      </c>
      <c r="E219" s="7" t="str">
        <f aca="false">IFERROR(INDEX('Input Giocatori 2026_27'!$D$3:$D$493,MATCH($B219,'Input Giocatori 2026_27'!$A$3:$A$493,0)),"")</f>
        <v>Atalanta</v>
      </c>
      <c r="F219" s="47" t="n">
        <f aca="false">IFERROR(INDEX('Output Utente'!$N$2:$N$492,MATCH(216,'Output Utente'!$Q$2:$Q$492,0)),"")</f>
        <v>6</v>
      </c>
      <c r="G219" s="47" t="n">
        <f aca="false">IFERROR(INDEX('Output Utente'!$O$2:$O$492,MATCH(216,'Output Utente'!$Q$2:$Q$492,0)),"")</f>
        <v>15</v>
      </c>
      <c r="H219" s="7" t="str">
        <f aca="false">IFERROR(INDEX('Output Utente'!$P$2:$P$492,MATCH(216,'Output Utente'!$Q$2:$Q$492,0)),"")</f>
        <v>Buono</v>
      </c>
      <c r="I219" s="47" t="n">
        <f aca="false">IFERROR(INDEX('Output Utente'!$F$2:$F$492,MATCH(216,'Output Utente'!$Q$2:$Q$492,0)),"")</f>
        <v>3</v>
      </c>
      <c r="J219" s="47" t="n">
        <f aca="false">IFERROR(INDEX('Output Utente'!$G$2:$G$492,MATCH(216,'Output Utente'!$Q$2:$Q$492,0)),"")</f>
        <v>2</v>
      </c>
      <c r="K219" s="47" t="n">
        <f aca="false">IFERROR(INDEX('Output Utente'!$H$2:$H$492,MATCH(216,'Output Utente'!$Q$2:$Q$492,0)),"")</f>
        <v>3</v>
      </c>
      <c r="L219" s="7" t="str">
        <f aca="false">IFERROR(INDEX('Output Utente'!$E$2:$E$492,MATCH(216,'Output Utente'!$Q$2:$Q$492,0)),"")</f>
        <v>NO</v>
      </c>
      <c r="M219" s="7" t="str">
        <f aca="false">IFERROR(INDEX('Output Utente'!$U$2:$U$492,MATCH(216,'Output Utente'!$Q$2:$Q$492,0)),"")</f>
        <v>OK</v>
      </c>
      <c r="N219" s="7" t="str">
        <f aca="false">IFERROR(INDEX('Output Utente'!$AE$2:$AE$492,MATCH(216,'Output Utente'!$Q$2:$Q$492,0)),"")</f>
        <v>🟡 Attesa rischiosa</v>
      </c>
    </row>
    <row r="220" customFormat="false" ht="15" hidden="false" customHeight="true" outlineLevel="0" collapsed="false">
      <c r="A220" s="46" t="n">
        <v>217</v>
      </c>
      <c r="B220" s="7" t="n">
        <f aca="false">IFERROR(INDEX('Output Utente'!$A$2:$A$492,MATCH(217,'Output Utente'!$Q$2:$Q$492,0)),"")</f>
        <v>7212</v>
      </c>
      <c r="C220" s="7" t="str">
        <f aca="false">IFERROR(INDEX('Output Utente'!$B$2:$B$492,MATCH(217,'Output Utente'!$Q$2:$Q$492,0)),"")</f>
        <v>D</v>
      </c>
      <c r="D220" s="7" t="str">
        <f aca="false">IFERROR(INDEX('Output Utente'!$C$2:$C$492,MATCH(217,'Output Utente'!$Q$2:$Q$492,0)),"")</f>
        <v>Heggem</v>
      </c>
      <c r="E220" s="7" t="str">
        <f aca="false">IFERROR(INDEX('Input Giocatori 2026_27'!$D$3:$D$493,MATCH($B220,'Input Giocatori 2026_27'!$A$3:$A$493,0)),"")</f>
        <v>Bologna</v>
      </c>
      <c r="F220" s="47" t="n">
        <f aca="false">IFERROR(INDEX('Output Utente'!$N$2:$N$492,MATCH(217,'Output Utente'!$Q$2:$Q$492,0)),"")</f>
        <v>6</v>
      </c>
      <c r="G220" s="47" t="n">
        <f aca="false">IFERROR(INDEX('Output Utente'!$O$2:$O$492,MATCH(217,'Output Utente'!$Q$2:$Q$492,0)),"")</f>
        <v>15</v>
      </c>
      <c r="H220" s="7" t="str">
        <f aca="false">IFERROR(INDEX('Output Utente'!$P$2:$P$492,MATCH(217,'Output Utente'!$Q$2:$Q$492,0)),"")</f>
        <v>Buono</v>
      </c>
      <c r="I220" s="47" t="n">
        <f aca="false">IFERROR(INDEX('Output Utente'!$F$2:$F$492,MATCH(217,'Output Utente'!$Q$2:$Q$492,0)),"")</f>
        <v>3</v>
      </c>
      <c r="J220" s="47" t="n">
        <f aca="false">IFERROR(INDEX('Output Utente'!$G$2:$G$492,MATCH(217,'Output Utente'!$Q$2:$Q$492,0)),"")</f>
        <v>2</v>
      </c>
      <c r="K220" s="47" t="n">
        <f aca="false">IFERROR(INDEX('Output Utente'!$H$2:$H$492,MATCH(217,'Output Utente'!$Q$2:$Q$492,0)),"")</f>
        <v>3</v>
      </c>
      <c r="L220" s="7" t="str">
        <f aca="false">IFERROR(INDEX('Output Utente'!$E$2:$E$492,MATCH(217,'Output Utente'!$Q$2:$Q$492,0)),"")</f>
        <v>NO</v>
      </c>
      <c r="M220" s="7" t="str">
        <f aca="false">IFERROR(INDEX('Output Utente'!$U$2:$U$492,MATCH(217,'Output Utente'!$Q$2:$Q$492,0)),"")</f>
        <v>OK</v>
      </c>
      <c r="N220" s="7" t="str">
        <f aca="false">IFERROR(INDEX('Output Utente'!$AE$2:$AE$492,MATCH(217,'Output Utente'!$Q$2:$Q$492,0)),"")</f>
        <v>🟡 Attesa rischiosa</v>
      </c>
    </row>
    <row r="221" customFormat="false" ht="15" hidden="false" customHeight="true" outlineLevel="0" collapsed="false">
      <c r="A221" s="46" t="n">
        <v>218</v>
      </c>
      <c r="B221" s="7" t="n">
        <f aca="false">IFERROR(INDEX('Output Utente'!$A$2:$A$492,MATCH(218,'Output Utente'!$Q$2:$Q$492,0)),"")</f>
        <v>7485</v>
      </c>
      <c r="C221" s="7" t="str">
        <f aca="false">IFERROR(INDEX('Output Utente'!$B$2:$B$492,MATCH(218,'Output Utente'!$Q$2:$Q$492,0)),"")</f>
        <v>D</v>
      </c>
      <c r="D221" s="7" t="str">
        <f aca="false">IFERROR(INDEX('Output Utente'!$C$2:$C$492,MATCH(218,'Output Utente'!$Q$2:$Q$492,0)),"")</f>
        <v>Mangas</v>
      </c>
      <c r="E221" s="7" t="str">
        <f aca="false">IFERROR(INDEX('Input Giocatori 2026_27'!$D$3:$D$493,MATCH($B221,'Input Giocatori 2026_27'!$A$3:$A$493,0)),"")</f>
        <v>Monza</v>
      </c>
      <c r="F221" s="47" t="n">
        <f aca="false">IFERROR(INDEX('Output Utente'!$N$2:$N$492,MATCH(218,'Output Utente'!$Q$2:$Q$492,0)),"")</f>
        <v>6</v>
      </c>
      <c r="G221" s="47" t="n">
        <f aca="false">IFERROR(INDEX('Output Utente'!$O$2:$O$492,MATCH(218,'Output Utente'!$Q$2:$Q$492,0)),"")</f>
        <v>15</v>
      </c>
      <c r="H221" s="7" t="str">
        <f aca="false">IFERROR(INDEX('Output Utente'!$P$2:$P$492,MATCH(218,'Output Utente'!$Q$2:$Q$492,0)),"")</f>
        <v>Buono</v>
      </c>
      <c r="I221" s="47" t="n">
        <f aca="false">IFERROR(INDEX('Output Utente'!$F$2:$F$492,MATCH(218,'Output Utente'!$Q$2:$Q$492,0)),"")</f>
        <v>3</v>
      </c>
      <c r="J221" s="47" t="n">
        <f aca="false">IFERROR(INDEX('Output Utente'!$G$2:$G$492,MATCH(218,'Output Utente'!$Q$2:$Q$492,0)),"")</f>
        <v>2</v>
      </c>
      <c r="K221" s="47" t="n">
        <f aca="false">IFERROR(INDEX('Output Utente'!$H$2:$H$492,MATCH(218,'Output Utente'!$Q$2:$Q$492,0)),"")</f>
        <v>3</v>
      </c>
      <c r="L221" s="7" t="str">
        <f aca="false">IFERROR(INDEX('Output Utente'!$E$2:$E$492,MATCH(218,'Output Utente'!$Q$2:$Q$492,0)),"")</f>
        <v>NO</v>
      </c>
      <c r="M221" s="7" t="str">
        <f aca="false">IFERROR(INDEX('Output Utente'!$U$2:$U$492,MATCH(218,'Output Utente'!$Q$2:$Q$492,0)),"")</f>
        <v>OK</v>
      </c>
      <c r="N221" s="7" t="str">
        <f aca="false">IFERROR(INDEX('Output Utente'!$AE$2:$AE$492,MATCH(218,'Output Utente'!$Q$2:$Q$492,0)),"")</f>
        <v>🟡 Attesa rischiosa</v>
      </c>
    </row>
    <row r="222" customFormat="false" ht="15" hidden="false" customHeight="true" outlineLevel="0" collapsed="false">
      <c r="A222" s="46" t="n">
        <v>219</v>
      </c>
      <c r="B222" s="7" t="n">
        <f aca="false">IFERROR(INDEX('Output Utente'!$A$2:$A$492,MATCH(219,'Output Utente'!$Q$2:$Q$492,0)),"")</f>
        <v>2593</v>
      </c>
      <c r="C222" s="7" t="str">
        <f aca="false">IFERROR(INDEX('Output Utente'!$B$2:$B$492,MATCH(219,'Output Utente'!$Q$2:$Q$492,0)),"")</f>
        <v>D</v>
      </c>
      <c r="D222" s="7" t="str">
        <f aca="false">IFERROR(INDEX('Output Utente'!$C$2:$C$492,MATCH(219,'Output Utente'!$Q$2:$Q$492,0)),"")</f>
        <v>Martin</v>
      </c>
      <c r="E222" s="7" t="str">
        <f aca="false">IFERROR(INDEX('Input Giocatori 2026_27'!$D$3:$D$493,MATCH($B222,'Input Giocatori 2026_27'!$A$3:$A$493,0)),"")</f>
        <v>Genoa</v>
      </c>
      <c r="F222" s="47" t="n">
        <f aca="false">IFERROR(INDEX('Output Utente'!$N$2:$N$492,MATCH(219,'Output Utente'!$Q$2:$Q$492,0)),"")</f>
        <v>5</v>
      </c>
      <c r="G222" s="47" t="n">
        <f aca="false">IFERROR(INDEX('Output Utente'!$O$2:$O$492,MATCH(219,'Output Utente'!$Q$2:$Q$492,0)),"")</f>
        <v>15</v>
      </c>
      <c r="H222" s="7" t="str">
        <f aca="false">IFERROR(INDEX('Output Utente'!$P$2:$P$492,MATCH(219,'Output Utente'!$Q$2:$Q$492,0)),"")</f>
        <v>Buono</v>
      </c>
      <c r="I222" s="47" t="n">
        <f aca="false">IFERROR(INDEX('Output Utente'!$F$2:$F$492,MATCH(219,'Output Utente'!$Q$2:$Q$492,0)),"")</f>
        <v>3</v>
      </c>
      <c r="J222" s="47" t="n">
        <f aca="false">IFERROR(INDEX('Output Utente'!$G$2:$G$492,MATCH(219,'Output Utente'!$Q$2:$Q$492,0)),"")</f>
        <v>2</v>
      </c>
      <c r="K222" s="47" t="n">
        <f aca="false">IFERROR(INDEX('Output Utente'!$H$2:$H$492,MATCH(219,'Output Utente'!$Q$2:$Q$492,0)),"")</f>
        <v>3</v>
      </c>
      <c r="L222" s="7" t="str">
        <f aca="false">IFERROR(INDEX('Output Utente'!$E$2:$E$492,MATCH(219,'Output Utente'!$Q$2:$Q$492,0)),"")</f>
        <v>NO</v>
      </c>
      <c r="M222" s="7" t="str">
        <f aca="false">IFERROR(INDEX('Output Utente'!$U$2:$U$492,MATCH(219,'Output Utente'!$Q$2:$Q$492,0)),"")</f>
        <v>OK</v>
      </c>
      <c r="N222" s="7" t="str">
        <f aca="false">IFERROR(INDEX('Output Utente'!$AE$2:$AE$492,MATCH(219,'Output Utente'!$Q$2:$Q$492,0)),"")</f>
        <v>🟡 Attesa rischiosa</v>
      </c>
    </row>
    <row r="223" customFormat="false" ht="15" hidden="false" customHeight="true" outlineLevel="0" collapsed="false">
      <c r="A223" s="46" t="n">
        <v>220</v>
      </c>
      <c r="B223" s="7" t="n">
        <f aca="false">IFERROR(INDEX('Output Utente'!$A$2:$A$492,MATCH(220,'Output Utente'!$Q$2:$Q$492,0)),"")</f>
        <v>4817</v>
      </c>
      <c r="C223" s="7" t="str">
        <f aca="false">IFERROR(INDEX('Output Utente'!$B$2:$B$492,MATCH(220,'Output Utente'!$Q$2:$Q$492,0)),"")</f>
        <v>D</v>
      </c>
      <c r="D223" s="7" t="str">
        <f aca="false">IFERROR(INDEX('Output Utente'!$C$2:$C$492,MATCH(220,'Output Utente'!$Q$2:$Q$492,0)),"")</f>
        <v>Pedraza</v>
      </c>
      <c r="E223" s="7" t="str">
        <f aca="false">IFERROR(INDEX('Input Giocatori 2026_27'!$D$3:$D$493,MATCH($B223,'Input Giocatori 2026_27'!$A$3:$A$493,0)),"")</f>
        <v>Lazio</v>
      </c>
      <c r="F223" s="47" t="n">
        <f aca="false">IFERROR(INDEX('Output Utente'!$N$2:$N$492,MATCH(220,'Output Utente'!$Q$2:$Q$492,0)),"")</f>
        <v>5</v>
      </c>
      <c r="G223" s="47" t="n">
        <f aca="false">IFERROR(INDEX('Output Utente'!$O$2:$O$492,MATCH(220,'Output Utente'!$Q$2:$Q$492,0)),"")</f>
        <v>15</v>
      </c>
      <c r="H223" s="7" t="str">
        <f aca="false">IFERROR(INDEX('Output Utente'!$P$2:$P$492,MATCH(220,'Output Utente'!$Q$2:$Q$492,0)),"")</f>
        <v>Buono</v>
      </c>
      <c r="I223" s="47" t="n">
        <f aca="false">IFERROR(INDEX('Output Utente'!$F$2:$F$492,MATCH(220,'Output Utente'!$Q$2:$Q$492,0)),"")</f>
        <v>3</v>
      </c>
      <c r="J223" s="47" t="n">
        <f aca="false">IFERROR(INDEX('Output Utente'!$G$2:$G$492,MATCH(220,'Output Utente'!$Q$2:$Q$492,0)),"")</f>
        <v>2</v>
      </c>
      <c r="K223" s="47" t="n">
        <f aca="false">IFERROR(INDEX('Output Utente'!$H$2:$H$492,MATCH(220,'Output Utente'!$Q$2:$Q$492,0)),"")</f>
        <v>3</v>
      </c>
      <c r="L223" s="7" t="str">
        <f aca="false">IFERROR(INDEX('Output Utente'!$E$2:$E$492,MATCH(220,'Output Utente'!$Q$2:$Q$492,0)),"")</f>
        <v>NO</v>
      </c>
      <c r="M223" s="7" t="str">
        <f aca="false">IFERROR(INDEX('Output Utente'!$U$2:$U$492,MATCH(220,'Output Utente'!$Q$2:$Q$492,0)),"")</f>
        <v>OK</v>
      </c>
      <c r="N223" s="7" t="str">
        <f aca="false">IFERROR(INDEX('Output Utente'!$AE$2:$AE$492,MATCH(220,'Output Utente'!$Q$2:$Q$492,0)),"")</f>
        <v>🟡 Attesa rischiosa</v>
      </c>
    </row>
    <row r="224" customFormat="false" ht="15" hidden="false" customHeight="true" outlineLevel="0" collapsed="false">
      <c r="A224" s="46" t="n">
        <v>221</v>
      </c>
      <c r="B224" s="7" t="n">
        <f aca="false">IFERROR(INDEX('Output Utente'!$A$2:$A$492,MATCH(221,'Output Utente'!$Q$2:$Q$492,0)),"")</f>
        <v>6898</v>
      </c>
      <c r="C224" s="7" t="str">
        <f aca="false">IFERROR(INDEX('Output Utente'!$B$2:$B$492,MATCH(221,'Output Utente'!$Q$2:$Q$492,0)),"")</f>
        <v>C</v>
      </c>
      <c r="D224" s="7" t="str">
        <f aca="false">IFERROR(INDEX('Output Utente'!$C$2:$C$492,MATCH(221,'Output Utente'!$Q$2:$Q$492,0)),"")</f>
        <v>Keita M.</v>
      </c>
      <c r="E224" s="7" t="str">
        <f aca="false">IFERROR(INDEX('Input Giocatori 2026_27'!$D$3:$D$493,MATCH($B224,'Input Giocatori 2026_27'!$A$3:$A$493,0)),"")</f>
        <v>Parma</v>
      </c>
      <c r="F224" s="47" t="n">
        <f aca="false">IFERROR(INDEX('Output Utente'!$N$2:$N$492,MATCH(221,'Output Utente'!$Q$2:$Q$492,0)),"")</f>
        <v>5</v>
      </c>
      <c r="G224" s="47" t="n">
        <f aca="false">IFERROR(INDEX('Output Utente'!$O$2:$O$492,MATCH(221,'Output Utente'!$Q$2:$Q$492,0)),"")</f>
        <v>15</v>
      </c>
      <c r="H224" s="7" t="str">
        <f aca="false">IFERROR(INDEX('Output Utente'!$P$2:$P$492,MATCH(221,'Output Utente'!$Q$2:$Q$492,0)),"")</f>
        <v>Nella Media</v>
      </c>
      <c r="I224" s="47" t="n">
        <f aca="false">IFERROR(INDEX('Output Utente'!$F$2:$F$492,MATCH(221,'Output Utente'!$Q$2:$Q$492,0)),"")</f>
        <v>2</v>
      </c>
      <c r="J224" s="47" t="n">
        <f aca="false">IFERROR(INDEX('Output Utente'!$G$2:$G$492,MATCH(221,'Output Utente'!$Q$2:$Q$492,0)),"")</f>
        <v>1</v>
      </c>
      <c r="K224" s="47" t="n">
        <f aca="false">IFERROR(INDEX('Output Utente'!$H$2:$H$492,MATCH(221,'Output Utente'!$Q$2:$Q$492,0)),"")</f>
        <v>2</v>
      </c>
      <c r="L224" s="7" t="str">
        <f aca="false">IFERROR(INDEX('Output Utente'!$E$2:$E$492,MATCH(221,'Output Utente'!$Q$2:$Q$492,0)),"")</f>
        <v>NO</v>
      </c>
      <c r="M224" s="7" t="str">
        <f aca="false">IFERROR(INDEX('Output Utente'!$U$2:$U$492,MATCH(221,'Output Utente'!$Q$2:$Q$492,0)),"")</f>
        <v>OK</v>
      </c>
      <c r="N224" s="7" t="str">
        <f aca="false">IFERROR(INDEX('Output Utente'!$AE$2:$AE$492,MATCH(221,'Output Utente'!$Q$2:$Q$492,0)),"")</f>
        <v>🟡 Attesa rischiosa</v>
      </c>
    </row>
    <row r="225" customFormat="false" ht="15" hidden="false" customHeight="true" outlineLevel="0" collapsed="false">
      <c r="A225" s="46" t="n">
        <v>222</v>
      </c>
      <c r="B225" s="7" t="n">
        <f aca="false">IFERROR(INDEX('Output Utente'!$A$2:$A$492,MATCH(222,'Output Utente'!$Q$2:$Q$492,0)),"")</f>
        <v>2528</v>
      </c>
      <c r="C225" s="7" t="str">
        <f aca="false">IFERROR(INDEX('Output Utente'!$B$2:$B$492,MATCH(222,'Output Utente'!$Q$2:$Q$492,0)),"")</f>
        <v>C</v>
      </c>
      <c r="D225" s="7" t="str">
        <f aca="false">IFERROR(INDEX('Output Utente'!$C$2:$C$492,MATCH(222,'Output Utente'!$Q$2:$Q$492,0)),"")</f>
        <v>Matic</v>
      </c>
      <c r="E225" s="7" t="str">
        <f aca="false">IFERROR(INDEX('Input Giocatori 2026_27'!$D$3:$D$493,MATCH($B225,'Input Giocatori 2026_27'!$A$3:$A$493,0)),"")</f>
        <v>Sassuolo</v>
      </c>
      <c r="F225" s="47" t="n">
        <f aca="false">IFERROR(INDEX('Output Utente'!$N$2:$N$492,MATCH(222,'Output Utente'!$Q$2:$Q$492,0)),"")</f>
        <v>5</v>
      </c>
      <c r="G225" s="47" t="n">
        <f aca="false">IFERROR(INDEX('Output Utente'!$O$2:$O$492,MATCH(222,'Output Utente'!$Q$2:$Q$492,0)),"")</f>
        <v>15</v>
      </c>
      <c r="H225" s="7" t="str">
        <f aca="false">IFERROR(INDEX('Output Utente'!$P$2:$P$492,MATCH(222,'Output Utente'!$Q$2:$Q$492,0)),"")</f>
        <v>Nella Media</v>
      </c>
      <c r="I225" s="47" t="n">
        <f aca="false">IFERROR(INDEX('Output Utente'!$F$2:$F$492,MATCH(222,'Output Utente'!$Q$2:$Q$492,0)),"")</f>
        <v>2</v>
      </c>
      <c r="J225" s="47" t="n">
        <f aca="false">IFERROR(INDEX('Output Utente'!$G$2:$G$492,MATCH(222,'Output Utente'!$Q$2:$Q$492,0)),"")</f>
        <v>1</v>
      </c>
      <c r="K225" s="47" t="n">
        <f aca="false">IFERROR(INDEX('Output Utente'!$H$2:$H$492,MATCH(222,'Output Utente'!$Q$2:$Q$492,0)),"")</f>
        <v>2</v>
      </c>
      <c r="L225" s="7" t="str">
        <f aca="false">IFERROR(INDEX('Output Utente'!$E$2:$E$492,MATCH(222,'Output Utente'!$Q$2:$Q$492,0)),"")</f>
        <v>NO</v>
      </c>
      <c r="M225" s="7" t="str">
        <f aca="false">IFERROR(INDEX('Output Utente'!$U$2:$U$492,MATCH(222,'Output Utente'!$Q$2:$Q$492,0)),"")</f>
        <v>OK</v>
      </c>
      <c r="N225" s="7" t="str">
        <f aca="false">IFERROR(INDEX('Output Utente'!$AE$2:$AE$492,MATCH(222,'Output Utente'!$Q$2:$Q$492,0)),"")</f>
        <v>🟡 Attesa rischiosa</v>
      </c>
    </row>
    <row r="226" customFormat="false" ht="15" hidden="false" customHeight="true" outlineLevel="0" collapsed="false">
      <c r="A226" s="46" t="n">
        <v>223</v>
      </c>
      <c r="B226" s="7" t="n">
        <f aca="false">IFERROR(INDEX('Output Utente'!$A$2:$A$492,MATCH(223,'Output Utente'!$Q$2:$Q$492,0)),"")</f>
        <v>7198</v>
      </c>
      <c r="C226" s="7" t="str">
        <f aca="false">IFERROR(INDEX('Output Utente'!$B$2:$B$492,MATCH(223,'Output Utente'!$Q$2:$Q$492,0)),"")</f>
        <v>C</v>
      </c>
      <c r="D226" s="7" t="str">
        <f aca="false">IFERROR(INDEX('Output Utente'!$C$2:$C$492,MATCH(223,'Output Utente'!$Q$2:$Q$492,0)),"")</f>
        <v>Piotrowski</v>
      </c>
      <c r="E226" s="7" t="str">
        <f aca="false">IFERROR(INDEX('Input Giocatori 2026_27'!$D$3:$D$493,MATCH($B226,'Input Giocatori 2026_27'!$A$3:$A$493,0)),"")</f>
        <v>Udinese</v>
      </c>
      <c r="F226" s="47" t="n">
        <f aca="false">IFERROR(INDEX('Output Utente'!$N$2:$N$492,MATCH(223,'Output Utente'!$Q$2:$Q$492,0)),"")</f>
        <v>5</v>
      </c>
      <c r="G226" s="47" t="n">
        <f aca="false">IFERROR(INDEX('Output Utente'!$O$2:$O$492,MATCH(223,'Output Utente'!$Q$2:$Q$492,0)),"")</f>
        <v>15</v>
      </c>
      <c r="H226" s="7" t="str">
        <f aca="false">IFERROR(INDEX('Output Utente'!$P$2:$P$492,MATCH(223,'Output Utente'!$Q$2:$Q$492,0)),"")</f>
        <v>Nella Media</v>
      </c>
      <c r="I226" s="47" t="n">
        <f aca="false">IFERROR(INDEX('Output Utente'!$F$2:$F$492,MATCH(223,'Output Utente'!$Q$2:$Q$492,0)),"")</f>
        <v>2</v>
      </c>
      <c r="J226" s="47" t="n">
        <f aca="false">IFERROR(INDEX('Output Utente'!$G$2:$G$492,MATCH(223,'Output Utente'!$Q$2:$Q$492,0)),"")</f>
        <v>1</v>
      </c>
      <c r="K226" s="47" t="n">
        <f aca="false">IFERROR(INDEX('Output Utente'!$H$2:$H$492,MATCH(223,'Output Utente'!$Q$2:$Q$492,0)),"")</f>
        <v>2</v>
      </c>
      <c r="L226" s="7" t="str">
        <f aca="false">IFERROR(INDEX('Output Utente'!$E$2:$E$492,MATCH(223,'Output Utente'!$Q$2:$Q$492,0)),"")</f>
        <v>NO</v>
      </c>
      <c r="M226" s="7" t="str">
        <f aca="false">IFERROR(INDEX('Output Utente'!$U$2:$U$492,MATCH(223,'Output Utente'!$Q$2:$Q$492,0)),"")</f>
        <v>OK</v>
      </c>
      <c r="N226" s="7" t="str">
        <f aca="false">IFERROR(INDEX('Output Utente'!$AE$2:$AE$492,MATCH(223,'Output Utente'!$Q$2:$Q$492,0)),"")</f>
        <v>🟡 Attesa rischiosa</v>
      </c>
    </row>
    <row r="227" customFormat="false" ht="15" hidden="false" customHeight="true" outlineLevel="0" collapsed="false">
      <c r="A227" s="46" t="n">
        <v>224</v>
      </c>
      <c r="B227" s="7" t="n">
        <f aca="false">IFERROR(INDEX('Output Utente'!$A$2:$A$492,MATCH(224,'Output Utente'!$Q$2:$Q$492,0)),"")</f>
        <v>6204</v>
      </c>
      <c r="C227" s="7" t="str">
        <f aca="false">IFERROR(INDEX('Output Utente'!$B$2:$B$492,MATCH(224,'Output Utente'!$Q$2:$Q$492,0)),"")</f>
        <v>A</v>
      </c>
      <c r="D227" s="7" t="str">
        <f aca="false">IFERROR(INDEX('Output Utente'!$C$2:$C$492,MATCH(224,'Output Utente'!$Q$2:$Q$492,0)),"")</f>
        <v>Kvernadze</v>
      </c>
      <c r="E227" s="7" t="str">
        <f aca="false">IFERROR(INDEX('Input Giocatori 2026_27'!$D$3:$D$493,MATCH($B227,'Input Giocatori 2026_27'!$A$3:$A$493,0)),"")</f>
        <v>Frosinone</v>
      </c>
      <c r="F227" s="47" t="n">
        <f aca="false">IFERROR(INDEX('Output Utente'!$N$2:$N$492,MATCH(224,'Output Utente'!$Q$2:$Q$492,0)),"")</f>
        <v>4</v>
      </c>
      <c r="G227" s="47" t="n">
        <f aca="false">IFERROR(INDEX('Output Utente'!$O$2:$O$492,MATCH(224,'Output Utente'!$Q$2:$Q$492,0)),"")</f>
        <v>15</v>
      </c>
      <c r="H227" s="7" t="str">
        <f aca="false">IFERROR(INDEX('Output Utente'!$P$2:$P$492,MATCH(224,'Output Utente'!$Q$2:$Q$492,0)),"")</f>
        <v>Nella Media</v>
      </c>
      <c r="I227" s="47" t="n">
        <f aca="false">IFERROR(INDEX('Output Utente'!$F$2:$F$492,MATCH(224,'Output Utente'!$Q$2:$Q$492,0)),"")</f>
        <v>5</v>
      </c>
      <c r="J227" s="47" t="n">
        <f aca="false">IFERROR(INDEX('Output Utente'!$G$2:$G$492,MATCH(224,'Output Utente'!$Q$2:$Q$492,0)),"")</f>
        <v>3</v>
      </c>
      <c r="K227" s="47" t="n">
        <f aca="false">IFERROR(INDEX('Output Utente'!$H$2:$H$492,MATCH(224,'Output Utente'!$Q$2:$Q$492,0)),"")</f>
        <v>6</v>
      </c>
      <c r="L227" s="7" t="str">
        <f aca="false">IFERROR(INDEX('Output Utente'!$E$2:$E$492,MATCH(224,'Output Utente'!$Q$2:$Q$492,0)),"")</f>
        <v>NO</v>
      </c>
      <c r="M227" s="7" t="str">
        <f aca="false">IFERROR(INDEX('Output Utente'!$U$2:$U$492,MATCH(224,'Output Utente'!$Q$2:$Q$492,0)),"")</f>
        <v>OK</v>
      </c>
      <c r="N227" s="7" t="str">
        <f aca="false">IFERROR(INDEX('Output Utente'!$AE$2:$AE$492,MATCH(224,'Output Utente'!$Q$2:$Q$492,0)),"")</f>
        <v>🔴 Non aspettare</v>
      </c>
    </row>
    <row r="228" customFormat="false" ht="15" hidden="false" customHeight="true" outlineLevel="0" collapsed="false">
      <c r="A228" s="46" t="n">
        <v>225</v>
      </c>
      <c r="B228" s="7" t="n">
        <f aca="false">IFERROR(INDEX('Output Utente'!$A$2:$A$492,MATCH(225,'Output Utente'!$Q$2:$Q$492,0)),"")</f>
        <v>6248</v>
      </c>
      <c r="C228" s="7" t="str">
        <f aca="false">IFERROR(INDEX('Output Utente'!$B$2:$B$492,MATCH(225,'Output Utente'!$Q$2:$Q$492,0)),"")</f>
        <v>P</v>
      </c>
      <c r="D228" s="7" t="str">
        <f aca="false">IFERROR(INDEX('Output Utente'!$C$2:$C$492,MATCH(225,'Output Utente'!$Q$2:$Q$492,0)),"")</f>
        <v>Stankovic F.</v>
      </c>
      <c r="E228" s="7" t="str">
        <f aca="false">IFERROR(INDEX('Input Giocatori 2026_27'!$D$3:$D$493,MATCH($B228,'Input Giocatori 2026_27'!$A$3:$A$493,0)),"")</f>
        <v>Venezia</v>
      </c>
      <c r="F228" s="47" t="n">
        <f aca="false">IFERROR(INDEX('Output Utente'!$N$2:$N$492,MATCH(225,'Output Utente'!$Q$2:$Q$492,0)),"")</f>
        <v>6</v>
      </c>
      <c r="G228" s="47" t="n">
        <f aca="false">IFERROR(INDEX('Output Utente'!$O$2:$O$492,MATCH(225,'Output Utente'!$Q$2:$Q$492,0)),"")</f>
        <v>14</v>
      </c>
      <c r="H228" s="7" t="str">
        <f aca="false">IFERROR(INDEX('Output Utente'!$P$2:$P$492,MATCH(225,'Output Utente'!$Q$2:$Q$492,0)),"")</f>
        <v>Buono</v>
      </c>
      <c r="I228" s="47" t="n">
        <f aca="false">IFERROR(INDEX('Output Utente'!$F$2:$F$492,MATCH(225,'Output Utente'!$Q$2:$Q$492,0)),"")</f>
        <v>5</v>
      </c>
      <c r="J228" s="47" t="n">
        <f aca="false">IFERROR(INDEX('Output Utente'!$G$2:$G$492,MATCH(225,'Output Utente'!$Q$2:$Q$492,0)),"")</f>
        <v>4</v>
      </c>
      <c r="K228" s="47" t="n">
        <f aca="false">IFERROR(INDEX('Output Utente'!$H$2:$H$492,MATCH(225,'Output Utente'!$Q$2:$Q$492,0)),"")</f>
        <v>5</v>
      </c>
      <c r="L228" s="7" t="str">
        <f aca="false">IFERROR(INDEX('Output Utente'!$E$2:$E$492,MATCH(225,'Output Utente'!$Q$2:$Q$492,0)),"")</f>
        <v>NO</v>
      </c>
      <c r="M228" s="7" t="str">
        <f aca="false">IFERROR(INDEX('Output Utente'!$U$2:$U$492,MATCH(225,'Output Utente'!$Q$2:$Q$492,0)),"")</f>
        <v>OK</v>
      </c>
      <c r="N228" s="7" t="str">
        <f aca="false">IFERROR(INDEX('Output Utente'!$AE$2:$AE$492,MATCH(225,'Output Utente'!$Q$2:$Q$492,0)),"")</f>
        <v>🟡 Attesa rischiosa</v>
      </c>
    </row>
    <row r="229" customFormat="false" ht="15" hidden="false" customHeight="true" outlineLevel="0" collapsed="false">
      <c r="A229" s="46" t="n">
        <v>226</v>
      </c>
      <c r="B229" s="7" t="n">
        <f aca="false">IFERROR(INDEX('Output Utente'!$A$2:$A$492,MATCH(226,'Output Utente'!$Q$2:$Q$492,0)),"")</f>
        <v>5701</v>
      </c>
      <c r="C229" s="7" t="str">
        <f aca="false">IFERROR(INDEX('Output Utente'!$B$2:$B$492,MATCH(226,'Output Utente'!$Q$2:$Q$492,0)),"")</f>
        <v>D</v>
      </c>
      <c r="D229" s="7" t="str">
        <f aca="false">IFERROR(INDEX('Output Utente'!$C$2:$C$492,MATCH(226,'Output Utente'!$Q$2:$Q$492,0)),"")</f>
        <v>Obert</v>
      </c>
      <c r="E229" s="7" t="str">
        <f aca="false">IFERROR(INDEX('Input Giocatori 2026_27'!$D$3:$D$493,MATCH($B229,'Input Giocatori 2026_27'!$A$3:$A$493,0)),"")</f>
        <v>Cagliari</v>
      </c>
      <c r="F229" s="47" t="n">
        <f aca="false">IFERROR(INDEX('Output Utente'!$N$2:$N$492,MATCH(226,'Output Utente'!$Q$2:$Q$492,0)),"")</f>
        <v>7</v>
      </c>
      <c r="G229" s="47" t="n">
        <f aca="false">IFERROR(INDEX('Output Utente'!$O$2:$O$492,MATCH(226,'Output Utente'!$Q$2:$Q$492,0)),"")</f>
        <v>14</v>
      </c>
      <c r="H229" s="7" t="str">
        <f aca="false">IFERROR(INDEX('Output Utente'!$P$2:$P$492,MATCH(226,'Output Utente'!$Q$2:$Q$492,0)),"")</f>
        <v>Buono</v>
      </c>
      <c r="I229" s="47" t="n">
        <f aca="false">IFERROR(INDEX('Output Utente'!$F$2:$F$492,MATCH(226,'Output Utente'!$Q$2:$Q$492,0)),"")</f>
        <v>3</v>
      </c>
      <c r="J229" s="47" t="n">
        <f aca="false">IFERROR(INDEX('Output Utente'!$G$2:$G$492,MATCH(226,'Output Utente'!$Q$2:$Q$492,0)),"")</f>
        <v>2</v>
      </c>
      <c r="K229" s="47" t="n">
        <f aca="false">IFERROR(INDEX('Output Utente'!$H$2:$H$492,MATCH(226,'Output Utente'!$Q$2:$Q$492,0)),"")</f>
        <v>3</v>
      </c>
      <c r="L229" s="7" t="str">
        <f aca="false">IFERROR(INDEX('Output Utente'!$E$2:$E$492,MATCH(226,'Output Utente'!$Q$2:$Q$492,0)),"")</f>
        <v>NO</v>
      </c>
      <c r="M229" s="7" t="str">
        <f aca="false">IFERROR(INDEX('Output Utente'!$U$2:$U$492,MATCH(226,'Output Utente'!$Q$2:$Q$492,0)),"")</f>
        <v>OK</v>
      </c>
      <c r="N229" s="7" t="str">
        <f aca="false">IFERROR(INDEX('Output Utente'!$AE$2:$AE$492,MATCH(226,'Output Utente'!$Q$2:$Q$492,0)),"")</f>
        <v>🟡 Attesa rischiosa</v>
      </c>
    </row>
    <row r="230" customFormat="false" ht="15" hidden="false" customHeight="true" outlineLevel="0" collapsed="false">
      <c r="A230" s="46" t="n">
        <v>227</v>
      </c>
      <c r="B230" s="7" t="n">
        <f aca="false">IFERROR(INDEX('Output Utente'!$A$2:$A$492,MATCH(227,'Output Utente'!$Q$2:$Q$492,0)),"")</f>
        <v>4952</v>
      </c>
      <c r="C230" s="7" t="str">
        <f aca="false">IFERROR(INDEX('Output Utente'!$B$2:$B$492,MATCH(227,'Output Utente'!$Q$2:$Q$492,0)),"")</f>
        <v>D</v>
      </c>
      <c r="D230" s="7" t="str">
        <f aca="false">IFERROR(INDEX('Output Utente'!$C$2:$C$492,MATCH(227,'Output Utente'!$Q$2:$Q$492,0)),"")</f>
        <v>Monterisi</v>
      </c>
      <c r="E230" s="7" t="str">
        <f aca="false">IFERROR(INDEX('Input Giocatori 2026_27'!$D$3:$D$493,MATCH($B230,'Input Giocatori 2026_27'!$A$3:$A$493,0)),"")</f>
        <v>Frosinone</v>
      </c>
      <c r="F230" s="47" t="n">
        <f aca="false">IFERROR(INDEX('Output Utente'!$N$2:$N$492,MATCH(227,'Output Utente'!$Q$2:$Q$492,0)),"")</f>
        <v>6</v>
      </c>
      <c r="G230" s="47" t="n">
        <f aca="false">IFERROR(INDEX('Output Utente'!$O$2:$O$492,MATCH(227,'Output Utente'!$Q$2:$Q$492,0)),"")</f>
        <v>14</v>
      </c>
      <c r="H230" s="7" t="str">
        <f aca="false">IFERROR(INDEX('Output Utente'!$P$2:$P$492,MATCH(227,'Output Utente'!$Q$2:$Q$492,0)),"")</f>
        <v>Buono</v>
      </c>
      <c r="I230" s="47" t="n">
        <f aca="false">IFERROR(INDEX('Output Utente'!$F$2:$F$492,MATCH(227,'Output Utente'!$Q$2:$Q$492,0)),"")</f>
        <v>3</v>
      </c>
      <c r="J230" s="47" t="n">
        <f aca="false">IFERROR(INDEX('Output Utente'!$G$2:$G$492,MATCH(227,'Output Utente'!$Q$2:$Q$492,0)),"")</f>
        <v>2</v>
      </c>
      <c r="K230" s="47" t="n">
        <f aca="false">IFERROR(INDEX('Output Utente'!$H$2:$H$492,MATCH(227,'Output Utente'!$Q$2:$Q$492,0)),"")</f>
        <v>3</v>
      </c>
      <c r="L230" s="7" t="str">
        <f aca="false">IFERROR(INDEX('Output Utente'!$E$2:$E$492,MATCH(227,'Output Utente'!$Q$2:$Q$492,0)),"")</f>
        <v>NO</v>
      </c>
      <c r="M230" s="7" t="str">
        <f aca="false">IFERROR(INDEX('Output Utente'!$U$2:$U$492,MATCH(227,'Output Utente'!$Q$2:$Q$492,0)),"")</f>
        <v>OK</v>
      </c>
      <c r="N230" s="7" t="str">
        <f aca="false">IFERROR(INDEX('Output Utente'!$AE$2:$AE$492,MATCH(227,'Output Utente'!$Q$2:$Q$492,0)),"")</f>
        <v>🟡 Attesa rischiosa</v>
      </c>
    </row>
    <row r="231" customFormat="false" ht="15" hidden="false" customHeight="true" outlineLevel="0" collapsed="false">
      <c r="A231" s="46" t="n">
        <v>228</v>
      </c>
      <c r="B231" s="7" t="n">
        <f aca="false">IFERROR(INDEX('Output Utente'!$A$2:$A$492,MATCH(228,'Output Utente'!$Q$2:$Q$492,0)),"")</f>
        <v>5298</v>
      </c>
      <c r="C231" s="7" t="str">
        <f aca="false">IFERROR(INDEX('Output Utente'!$B$2:$B$492,MATCH(228,'Output Utente'!$Q$2:$Q$492,0)),"")</f>
        <v>C</v>
      </c>
      <c r="D231" s="7" t="str">
        <f aca="false">IFERROR(INDEX('Output Utente'!$C$2:$C$492,MATCH(228,'Output Utente'!$Q$2:$Q$492,0)),"")</f>
        <v>Pobega</v>
      </c>
      <c r="E231" s="7" t="str">
        <f aca="false">IFERROR(INDEX('Input Giocatori 2026_27'!$D$3:$D$493,MATCH($B231,'Input Giocatori 2026_27'!$A$3:$A$493,0)),"")</f>
        <v>Bologna</v>
      </c>
      <c r="F231" s="47" t="n">
        <f aca="false">IFERROR(INDEX('Output Utente'!$N$2:$N$492,MATCH(228,'Output Utente'!$Q$2:$Q$492,0)),"")</f>
        <v>6</v>
      </c>
      <c r="G231" s="47" t="n">
        <f aca="false">IFERROR(INDEX('Output Utente'!$O$2:$O$492,MATCH(228,'Output Utente'!$Q$2:$Q$492,0)),"")</f>
        <v>14</v>
      </c>
      <c r="H231" s="7" t="str">
        <f aca="false">IFERROR(INDEX('Output Utente'!$P$2:$P$492,MATCH(228,'Output Utente'!$Q$2:$Q$492,0)),"")</f>
        <v>Nella Media</v>
      </c>
      <c r="I231" s="47" t="n">
        <f aca="false">IFERROR(INDEX('Output Utente'!$F$2:$F$492,MATCH(228,'Output Utente'!$Q$2:$Q$492,0)),"")</f>
        <v>2</v>
      </c>
      <c r="J231" s="47" t="n">
        <f aca="false">IFERROR(INDEX('Output Utente'!$G$2:$G$492,MATCH(228,'Output Utente'!$Q$2:$Q$492,0)),"")</f>
        <v>1</v>
      </c>
      <c r="K231" s="47" t="n">
        <f aca="false">IFERROR(INDEX('Output Utente'!$H$2:$H$492,MATCH(228,'Output Utente'!$Q$2:$Q$492,0)),"")</f>
        <v>2</v>
      </c>
      <c r="L231" s="7" t="str">
        <f aca="false">IFERROR(INDEX('Output Utente'!$E$2:$E$492,MATCH(228,'Output Utente'!$Q$2:$Q$492,0)),"")</f>
        <v>NO</v>
      </c>
      <c r="M231" s="7" t="str">
        <f aca="false">IFERROR(INDEX('Output Utente'!$U$2:$U$492,MATCH(228,'Output Utente'!$Q$2:$Q$492,0)),"")</f>
        <v>OK</v>
      </c>
      <c r="N231" s="7" t="str">
        <f aca="false">IFERROR(INDEX('Output Utente'!$AE$2:$AE$492,MATCH(228,'Output Utente'!$Q$2:$Q$492,0)),"")</f>
        <v>🟡 Attesa rischiosa</v>
      </c>
    </row>
    <row r="232" customFormat="false" ht="15" hidden="false" customHeight="true" outlineLevel="0" collapsed="false">
      <c r="A232" s="46" t="n">
        <v>229</v>
      </c>
      <c r="B232" s="7" t="n">
        <f aca="false">IFERROR(INDEX('Output Utente'!$A$2:$A$492,MATCH(229,'Output Utente'!$Q$2:$Q$492,0)),"")</f>
        <v>4260</v>
      </c>
      <c r="C232" s="7" t="str">
        <f aca="false">IFERROR(INDEX('Output Utente'!$B$2:$B$492,MATCH(229,'Output Utente'!$Q$2:$Q$492,0)),"")</f>
        <v>C</v>
      </c>
      <c r="D232" s="7" t="str">
        <f aca="false">IFERROR(INDEX('Output Utente'!$C$2:$C$492,MATCH(229,'Output Utente'!$Q$2:$Q$492,0)),"")</f>
        <v>Winks</v>
      </c>
      <c r="E232" s="7" t="str">
        <f aca="false">IFERROR(INDEX('Input Giocatori 2026_27'!$D$3:$D$493,MATCH($B232,'Input Giocatori 2026_27'!$A$3:$A$493,0)),"")</f>
        <v>Cagliari</v>
      </c>
      <c r="F232" s="47" t="n">
        <f aca="false">IFERROR(INDEX('Output Utente'!$N$2:$N$492,MATCH(229,'Output Utente'!$Q$2:$Q$492,0)),"")</f>
        <v>6</v>
      </c>
      <c r="G232" s="47" t="n">
        <f aca="false">IFERROR(INDEX('Output Utente'!$O$2:$O$492,MATCH(229,'Output Utente'!$Q$2:$Q$492,0)),"")</f>
        <v>14</v>
      </c>
      <c r="H232" s="7" t="str">
        <f aca="false">IFERROR(INDEX('Output Utente'!$P$2:$P$492,MATCH(229,'Output Utente'!$Q$2:$Q$492,0)),"")</f>
        <v>Nella Media</v>
      </c>
      <c r="I232" s="47" t="n">
        <f aca="false">IFERROR(INDEX('Output Utente'!$F$2:$F$492,MATCH(229,'Output Utente'!$Q$2:$Q$492,0)),"")</f>
        <v>2</v>
      </c>
      <c r="J232" s="47" t="n">
        <f aca="false">IFERROR(INDEX('Output Utente'!$G$2:$G$492,MATCH(229,'Output Utente'!$Q$2:$Q$492,0)),"")</f>
        <v>1</v>
      </c>
      <c r="K232" s="47" t="n">
        <f aca="false">IFERROR(INDEX('Output Utente'!$H$2:$H$492,MATCH(229,'Output Utente'!$Q$2:$Q$492,0)),"")</f>
        <v>2</v>
      </c>
      <c r="L232" s="7" t="str">
        <f aca="false">IFERROR(INDEX('Output Utente'!$E$2:$E$492,MATCH(229,'Output Utente'!$Q$2:$Q$492,0)),"")</f>
        <v>NO</v>
      </c>
      <c r="M232" s="7" t="str">
        <f aca="false">IFERROR(INDEX('Output Utente'!$U$2:$U$492,MATCH(229,'Output Utente'!$Q$2:$Q$492,0)),"")</f>
        <v>OK</v>
      </c>
      <c r="N232" s="7" t="str">
        <f aca="false">IFERROR(INDEX('Output Utente'!$AE$2:$AE$492,MATCH(229,'Output Utente'!$Q$2:$Q$492,0)),"")</f>
        <v>🟡 Attesa rischiosa</v>
      </c>
    </row>
    <row r="233" customFormat="false" ht="15" hidden="false" customHeight="true" outlineLevel="0" collapsed="false">
      <c r="A233" s="46" t="n">
        <v>230</v>
      </c>
      <c r="B233" s="7" t="n">
        <f aca="false">IFERROR(INDEX('Output Utente'!$A$2:$A$492,MATCH(230,'Output Utente'!$Q$2:$Q$492,0)),"")</f>
        <v>5504</v>
      </c>
      <c r="C233" s="7" t="str">
        <f aca="false">IFERROR(INDEX('Output Utente'!$B$2:$B$492,MATCH(230,'Output Utente'!$Q$2:$Q$492,0)),"")</f>
        <v>C</v>
      </c>
      <c r="D233" s="7" t="str">
        <f aca="false">IFERROR(INDEX('Output Utente'!$C$2:$C$492,MATCH(230,'Output Utente'!$Q$2:$Q$492,0)),"")</f>
        <v>Coulibaly L.</v>
      </c>
      <c r="E233" s="7" t="str">
        <f aca="false">IFERROR(INDEX('Input Giocatori 2026_27'!$D$3:$D$493,MATCH($B233,'Input Giocatori 2026_27'!$A$3:$A$493,0)),"")</f>
        <v>Lecce</v>
      </c>
      <c r="F233" s="47" t="n">
        <f aca="false">IFERROR(INDEX('Output Utente'!$N$2:$N$492,MATCH(230,'Output Utente'!$Q$2:$Q$492,0)),"")</f>
        <v>6</v>
      </c>
      <c r="G233" s="47" t="n">
        <f aca="false">IFERROR(INDEX('Output Utente'!$O$2:$O$492,MATCH(230,'Output Utente'!$Q$2:$Q$492,0)),"")</f>
        <v>14</v>
      </c>
      <c r="H233" s="7" t="str">
        <f aca="false">IFERROR(INDEX('Output Utente'!$P$2:$P$492,MATCH(230,'Output Utente'!$Q$2:$Q$492,0)),"")</f>
        <v>Nella Media</v>
      </c>
      <c r="I233" s="47" t="n">
        <f aca="false">IFERROR(INDEX('Output Utente'!$F$2:$F$492,MATCH(230,'Output Utente'!$Q$2:$Q$492,0)),"")</f>
        <v>2</v>
      </c>
      <c r="J233" s="47" t="n">
        <f aca="false">IFERROR(INDEX('Output Utente'!$G$2:$G$492,MATCH(230,'Output Utente'!$Q$2:$Q$492,0)),"")</f>
        <v>1</v>
      </c>
      <c r="K233" s="47" t="n">
        <f aca="false">IFERROR(INDEX('Output Utente'!$H$2:$H$492,MATCH(230,'Output Utente'!$Q$2:$Q$492,0)),"")</f>
        <v>2</v>
      </c>
      <c r="L233" s="7" t="str">
        <f aca="false">IFERROR(INDEX('Output Utente'!$E$2:$E$492,MATCH(230,'Output Utente'!$Q$2:$Q$492,0)),"")</f>
        <v>NO</v>
      </c>
      <c r="M233" s="7" t="str">
        <f aca="false">IFERROR(INDEX('Output Utente'!$U$2:$U$492,MATCH(230,'Output Utente'!$Q$2:$Q$492,0)),"")</f>
        <v>OK</v>
      </c>
      <c r="N233" s="7" t="str">
        <f aca="false">IFERROR(INDEX('Output Utente'!$AE$2:$AE$492,MATCH(230,'Output Utente'!$Q$2:$Q$492,0)),"")</f>
        <v>🟡 Attesa rischiosa</v>
      </c>
    </row>
    <row r="234" customFormat="false" ht="15" hidden="false" customHeight="true" outlineLevel="0" collapsed="false">
      <c r="A234" s="46" t="n">
        <v>231</v>
      </c>
      <c r="B234" s="7" t="n">
        <f aca="false">IFERROR(INDEX('Output Utente'!$A$2:$A$492,MATCH(231,'Output Utente'!$Q$2:$Q$492,0)),"")</f>
        <v>7412</v>
      </c>
      <c r="C234" s="7" t="str">
        <f aca="false">IFERROR(INDEX('Output Utente'!$B$2:$B$492,MATCH(231,'Output Utente'!$Q$2:$Q$492,0)),"")</f>
        <v>C</v>
      </c>
      <c r="D234" s="7" t="str">
        <f aca="false">IFERROR(INDEX('Output Utente'!$C$2:$C$492,MATCH(231,'Output Utente'!$Q$2:$Q$492,0)),"")</f>
        <v>Milla</v>
      </c>
      <c r="E234" s="7" t="str">
        <f aca="false">IFERROR(INDEX('Input Giocatori 2026_27'!$D$3:$D$493,MATCH($B234,'Input Giocatori 2026_27'!$A$3:$A$493,0)),"")</f>
        <v>Como</v>
      </c>
      <c r="F234" s="47" t="n">
        <f aca="false">IFERROR(INDEX('Output Utente'!$N$2:$N$492,MATCH(231,'Output Utente'!$Q$2:$Q$492,0)),"")</f>
        <v>5</v>
      </c>
      <c r="G234" s="47" t="n">
        <f aca="false">IFERROR(INDEX('Output Utente'!$O$2:$O$492,MATCH(231,'Output Utente'!$Q$2:$Q$492,0)),"")</f>
        <v>14</v>
      </c>
      <c r="H234" s="7" t="str">
        <f aca="false">IFERROR(INDEX('Output Utente'!$P$2:$P$492,MATCH(231,'Output Utente'!$Q$2:$Q$492,0)),"")</f>
        <v>Nella Media</v>
      </c>
      <c r="I234" s="47" t="n">
        <f aca="false">IFERROR(INDEX('Output Utente'!$F$2:$F$492,MATCH(231,'Output Utente'!$Q$2:$Q$492,0)),"")</f>
        <v>2</v>
      </c>
      <c r="J234" s="47" t="n">
        <f aca="false">IFERROR(INDEX('Output Utente'!$G$2:$G$492,MATCH(231,'Output Utente'!$Q$2:$Q$492,0)),"")</f>
        <v>1</v>
      </c>
      <c r="K234" s="47" t="n">
        <f aca="false">IFERROR(INDEX('Output Utente'!$H$2:$H$492,MATCH(231,'Output Utente'!$Q$2:$Q$492,0)),"")</f>
        <v>2</v>
      </c>
      <c r="L234" s="7" t="str">
        <f aca="false">IFERROR(INDEX('Output Utente'!$E$2:$E$492,MATCH(231,'Output Utente'!$Q$2:$Q$492,0)),"")</f>
        <v>NO</v>
      </c>
      <c r="M234" s="7" t="str">
        <f aca="false">IFERROR(INDEX('Output Utente'!$U$2:$U$492,MATCH(231,'Output Utente'!$Q$2:$Q$492,0)),"")</f>
        <v>OK</v>
      </c>
      <c r="N234" s="7" t="str">
        <f aca="false">IFERROR(INDEX('Output Utente'!$AE$2:$AE$492,MATCH(231,'Output Utente'!$Q$2:$Q$492,0)),"")</f>
        <v>🟡 Attesa rischiosa</v>
      </c>
    </row>
    <row r="235" customFormat="false" ht="15" hidden="false" customHeight="true" outlineLevel="0" collapsed="false">
      <c r="A235" s="46" t="n">
        <v>232</v>
      </c>
      <c r="B235" s="7" t="n">
        <f aca="false">IFERROR(INDEX('Output Utente'!$A$2:$A$492,MATCH(232,'Output Utente'!$Q$2:$Q$492,0)),"")</f>
        <v>7409</v>
      </c>
      <c r="C235" s="7" t="str">
        <f aca="false">IFERROR(INDEX('Output Utente'!$B$2:$B$492,MATCH(232,'Output Utente'!$Q$2:$Q$492,0)),"")</f>
        <v>C</v>
      </c>
      <c r="D235" s="7" t="str">
        <f aca="false">IFERROR(INDEX('Output Utente'!$C$2:$C$492,MATCH(232,'Output Utente'!$Q$2:$Q$492,0)),"")</f>
        <v>Meichtry</v>
      </c>
      <c r="E235" s="7" t="str">
        <f aca="false">IFERROR(INDEX('Input Giocatori 2026_27'!$D$3:$D$493,MATCH($B235,'Input Giocatori 2026_27'!$A$3:$A$493,0)),"")</f>
        <v>Genoa</v>
      </c>
      <c r="F235" s="47" t="n">
        <f aca="false">IFERROR(INDEX('Output Utente'!$N$2:$N$492,MATCH(232,'Output Utente'!$Q$2:$Q$492,0)),"")</f>
        <v>5</v>
      </c>
      <c r="G235" s="47" t="n">
        <f aca="false">IFERROR(INDEX('Output Utente'!$O$2:$O$492,MATCH(232,'Output Utente'!$Q$2:$Q$492,0)),"")</f>
        <v>14</v>
      </c>
      <c r="H235" s="7" t="str">
        <f aca="false">IFERROR(INDEX('Output Utente'!$P$2:$P$492,MATCH(232,'Output Utente'!$Q$2:$Q$492,0)),"")</f>
        <v>Nella Media</v>
      </c>
      <c r="I235" s="47" t="n">
        <f aca="false">IFERROR(INDEX('Output Utente'!$F$2:$F$492,MATCH(232,'Output Utente'!$Q$2:$Q$492,0)),"")</f>
        <v>2</v>
      </c>
      <c r="J235" s="47" t="n">
        <f aca="false">IFERROR(INDEX('Output Utente'!$G$2:$G$492,MATCH(232,'Output Utente'!$Q$2:$Q$492,0)),"")</f>
        <v>1</v>
      </c>
      <c r="K235" s="47" t="n">
        <f aca="false">IFERROR(INDEX('Output Utente'!$H$2:$H$492,MATCH(232,'Output Utente'!$Q$2:$Q$492,0)),"")</f>
        <v>2</v>
      </c>
      <c r="L235" s="7" t="str">
        <f aca="false">IFERROR(INDEX('Output Utente'!$E$2:$E$492,MATCH(232,'Output Utente'!$Q$2:$Q$492,0)),"")</f>
        <v>NO</v>
      </c>
      <c r="M235" s="7" t="str">
        <f aca="false">IFERROR(INDEX('Output Utente'!$U$2:$U$492,MATCH(232,'Output Utente'!$Q$2:$Q$492,0)),"")</f>
        <v>OK</v>
      </c>
      <c r="N235" s="7" t="str">
        <f aca="false">IFERROR(INDEX('Output Utente'!$AE$2:$AE$492,MATCH(232,'Output Utente'!$Q$2:$Q$492,0)),"")</f>
        <v>🟡 Attesa rischiosa</v>
      </c>
    </row>
    <row r="236" customFormat="false" ht="15" hidden="false" customHeight="true" outlineLevel="0" collapsed="false">
      <c r="A236" s="46" t="n">
        <v>233</v>
      </c>
      <c r="B236" s="7" t="n">
        <f aca="false">IFERROR(INDEX('Output Utente'!$A$2:$A$492,MATCH(233,'Output Utente'!$Q$2:$Q$492,0)),"")</f>
        <v>5685</v>
      </c>
      <c r="C236" s="7" t="str">
        <f aca="false">IFERROR(INDEX('Output Utente'!$B$2:$B$492,MATCH(233,'Output Utente'!$Q$2:$Q$492,0)),"")</f>
        <v>C</v>
      </c>
      <c r="D236" s="7" t="str">
        <f aca="false">IFERROR(INDEX('Output Utente'!$C$2:$C$492,MATCH(233,'Output Utente'!$Q$2:$Q$492,0)),"")</f>
        <v>Koopmeiners</v>
      </c>
      <c r="E236" s="7" t="str">
        <f aca="false">IFERROR(INDEX('Input Giocatori 2026_27'!$D$3:$D$493,MATCH($B236,'Input Giocatori 2026_27'!$A$3:$A$493,0)),"")</f>
        <v>Juventus</v>
      </c>
      <c r="F236" s="47" t="n">
        <f aca="false">IFERROR(INDEX('Output Utente'!$N$2:$N$492,MATCH(233,'Output Utente'!$Q$2:$Q$492,0)),"")</f>
        <v>5</v>
      </c>
      <c r="G236" s="47" t="n">
        <f aca="false">IFERROR(INDEX('Output Utente'!$O$2:$O$492,MATCH(233,'Output Utente'!$Q$2:$Q$492,0)),"")</f>
        <v>14</v>
      </c>
      <c r="H236" s="7" t="str">
        <f aca="false">IFERROR(INDEX('Output Utente'!$P$2:$P$492,MATCH(233,'Output Utente'!$Q$2:$Q$492,0)),"")</f>
        <v>Nella Media</v>
      </c>
      <c r="I236" s="47" t="n">
        <f aca="false">IFERROR(INDEX('Output Utente'!$F$2:$F$492,MATCH(233,'Output Utente'!$Q$2:$Q$492,0)),"")</f>
        <v>2</v>
      </c>
      <c r="J236" s="47" t="n">
        <f aca="false">IFERROR(INDEX('Output Utente'!$G$2:$G$492,MATCH(233,'Output Utente'!$Q$2:$Q$492,0)),"")</f>
        <v>1</v>
      </c>
      <c r="K236" s="47" t="n">
        <f aca="false">IFERROR(INDEX('Output Utente'!$H$2:$H$492,MATCH(233,'Output Utente'!$Q$2:$Q$492,0)),"")</f>
        <v>2</v>
      </c>
      <c r="L236" s="7" t="str">
        <f aca="false">IFERROR(INDEX('Output Utente'!$E$2:$E$492,MATCH(233,'Output Utente'!$Q$2:$Q$492,0)),"")</f>
        <v>NO</v>
      </c>
      <c r="M236" s="7" t="str">
        <f aca="false">IFERROR(INDEX('Output Utente'!$U$2:$U$492,MATCH(233,'Output Utente'!$Q$2:$Q$492,0)),"")</f>
        <v>OK</v>
      </c>
      <c r="N236" s="7" t="str">
        <f aca="false">IFERROR(INDEX('Output Utente'!$AE$2:$AE$492,MATCH(233,'Output Utente'!$Q$2:$Q$492,0)),"")</f>
        <v>🟡 Attesa rischiosa</v>
      </c>
    </row>
    <row r="237" customFormat="false" ht="15" hidden="false" customHeight="true" outlineLevel="0" collapsed="false">
      <c r="A237" s="46" t="n">
        <v>234</v>
      </c>
      <c r="B237" s="7" t="n">
        <f aca="false">IFERROR(INDEX('Output Utente'!$A$2:$A$492,MATCH(234,'Output Utente'!$Q$2:$Q$492,0)),"")</f>
        <v>7318</v>
      </c>
      <c r="C237" s="7" t="str">
        <f aca="false">IFERROR(INDEX('Output Utente'!$B$2:$B$492,MATCH(234,'Output Utente'!$Q$2:$Q$492,0)),"")</f>
        <v>C</v>
      </c>
      <c r="D237" s="7" t="str">
        <f aca="false">IFERROR(INDEX('Output Utente'!$C$2:$C$492,MATCH(234,'Output Utente'!$Q$2:$Q$492,0)),"")</f>
        <v>Gandelman</v>
      </c>
      <c r="E237" s="7" t="str">
        <f aca="false">IFERROR(INDEX('Input Giocatori 2026_27'!$D$3:$D$493,MATCH($B237,'Input Giocatori 2026_27'!$A$3:$A$493,0)),"")</f>
        <v>Lecce</v>
      </c>
      <c r="F237" s="47" t="n">
        <f aca="false">IFERROR(INDEX('Output Utente'!$N$2:$N$492,MATCH(234,'Output Utente'!$Q$2:$Q$492,0)),"")</f>
        <v>5</v>
      </c>
      <c r="G237" s="47" t="n">
        <f aca="false">IFERROR(INDEX('Output Utente'!$O$2:$O$492,MATCH(234,'Output Utente'!$Q$2:$Q$492,0)),"")</f>
        <v>14</v>
      </c>
      <c r="H237" s="7" t="str">
        <f aca="false">IFERROR(INDEX('Output Utente'!$P$2:$P$492,MATCH(234,'Output Utente'!$Q$2:$Q$492,0)),"")</f>
        <v>Nella Media</v>
      </c>
      <c r="I237" s="47" t="n">
        <f aca="false">IFERROR(INDEX('Output Utente'!$F$2:$F$492,MATCH(234,'Output Utente'!$Q$2:$Q$492,0)),"")</f>
        <v>2</v>
      </c>
      <c r="J237" s="47" t="n">
        <f aca="false">IFERROR(INDEX('Output Utente'!$G$2:$G$492,MATCH(234,'Output Utente'!$Q$2:$Q$492,0)),"")</f>
        <v>1</v>
      </c>
      <c r="K237" s="47" t="n">
        <f aca="false">IFERROR(INDEX('Output Utente'!$H$2:$H$492,MATCH(234,'Output Utente'!$Q$2:$Q$492,0)),"")</f>
        <v>2</v>
      </c>
      <c r="L237" s="7" t="str">
        <f aca="false">IFERROR(INDEX('Output Utente'!$E$2:$E$492,MATCH(234,'Output Utente'!$Q$2:$Q$492,0)),"")</f>
        <v>NO</v>
      </c>
      <c r="M237" s="7" t="str">
        <f aca="false">IFERROR(INDEX('Output Utente'!$U$2:$U$492,MATCH(234,'Output Utente'!$Q$2:$Q$492,0)),"")</f>
        <v>OK</v>
      </c>
      <c r="N237" s="7" t="str">
        <f aca="false">IFERROR(INDEX('Output Utente'!$AE$2:$AE$492,MATCH(234,'Output Utente'!$Q$2:$Q$492,0)),"")</f>
        <v>🟡 Attesa rischiosa</v>
      </c>
    </row>
    <row r="238" customFormat="false" ht="15" hidden="false" customHeight="true" outlineLevel="0" collapsed="false">
      <c r="A238" s="46" t="n">
        <v>235</v>
      </c>
      <c r="B238" s="7" t="n">
        <f aca="false">IFERROR(INDEX('Output Utente'!$A$2:$A$492,MATCH(235,'Output Utente'!$Q$2:$Q$492,0)),"")</f>
        <v>6677</v>
      </c>
      <c r="C238" s="7" t="str">
        <f aca="false">IFERROR(INDEX('Output Utente'!$B$2:$B$492,MATCH(235,'Output Utente'!$Q$2:$Q$492,0)),"")</f>
        <v>C</v>
      </c>
      <c r="D238" s="7" t="str">
        <f aca="false">IFERROR(INDEX('Output Utente'!$C$2:$C$492,MATCH(235,'Output Utente'!$Q$2:$Q$492,0)),"")</f>
        <v>Adzic</v>
      </c>
      <c r="E238" s="7" t="str">
        <f aca="false">IFERROR(INDEX('Input Giocatori 2026_27'!$D$3:$D$493,MATCH($B238,'Input Giocatori 2026_27'!$A$3:$A$493,0)),"")</f>
        <v>Sassuolo</v>
      </c>
      <c r="F238" s="47" t="n">
        <f aca="false">IFERROR(INDEX('Output Utente'!$N$2:$N$492,MATCH(235,'Output Utente'!$Q$2:$Q$492,0)),"")</f>
        <v>5</v>
      </c>
      <c r="G238" s="47" t="n">
        <f aca="false">IFERROR(INDEX('Output Utente'!$O$2:$O$492,MATCH(235,'Output Utente'!$Q$2:$Q$492,0)),"")</f>
        <v>14</v>
      </c>
      <c r="H238" s="7" t="str">
        <f aca="false">IFERROR(INDEX('Output Utente'!$P$2:$P$492,MATCH(235,'Output Utente'!$Q$2:$Q$492,0)),"")</f>
        <v>Nella Media</v>
      </c>
      <c r="I238" s="47" t="n">
        <f aca="false">IFERROR(INDEX('Output Utente'!$F$2:$F$492,MATCH(235,'Output Utente'!$Q$2:$Q$492,0)),"")</f>
        <v>2</v>
      </c>
      <c r="J238" s="47" t="n">
        <f aca="false">IFERROR(INDEX('Output Utente'!$G$2:$G$492,MATCH(235,'Output Utente'!$Q$2:$Q$492,0)),"")</f>
        <v>1</v>
      </c>
      <c r="K238" s="47" t="n">
        <f aca="false">IFERROR(INDEX('Output Utente'!$H$2:$H$492,MATCH(235,'Output Utente'!$Q$2:$Q$492,0)),"")</f>
        <v>2</v>
      </c>
      <c r="L238" s="7" t="str">
        <f aca="false">IFERROR(INDEX('Output Utente'!$E$2:$E$492,MATCH(235,'Output Utente'!$Q$2:$Q$492,0)),"")</f>
        <v>NO</v>
      </c>
      <c r="M238" s="7" t="str">
        <f aca="false">IFERROR(INDEX('Output Utente'!$U$2:$U$492,MATCH(235,'Output Utente'!$Q$2:$Q$492,0)),"")</f>
        <v>OK</v>
      </c>
      <c r="N238" s="7" t="str">
        <f aca="false">IFERROR(INDEX('Output Utente'!$AE$2:$AE$492,MATCH(235,'Output Utente'!$Q$2:$Q$492,0)),"")</f>
        <v>🟡 Attesa rischiosa</v>
      </c>
    </row>
    <row r="239" customFormat="false" ht="15" hidden="false" customHeight="true" outlineLevel="0" collapsed="false">
      <c r="A239" s="46" t="n">
        <v>236</v>
      </c>
      <c r="B239" s="7" t="n">
        <f aca="false">IFERROR(INDEX('Output Utente'!$A$2:$A$492,MATCH(236,'Output Utente'!$Q$2:$Q$492,0)),"")</f>
        <v>5507</v>
      </c>
      <c r="C239" s="7" t="str">
        <f aca="false">IFERROR(INDEX('Output Utente'!$B$2:$B$492,MATCH(236,'Output Utente'!$Q$2:$Q$492,0)),"")</f>
        <v>C</v>
      </c>
      <c r="D239" s="7" t="str">
        <f aca="false">IFERROR(INDEX('Output Utente'!$C$2:$C$492,MATCH(236,'Output Utente'!$Q$2:$Q$492,0)),"")</f>
        <v>Busio</v>
      </c>
      <c r="E239" s="7" t="str">
        <f aca="false">IFERROR(INDEX('Input Giocatori 2026_27'!$D$3:$D$493,MATCH($B239,'Input Giocatori 2026_27'!$A$3:$A$493,0)),"")</f>
        <v>Venezia</v>
      </c>
      <c r="F239" s="47" t="n">
        <f aca="false">IFERROR(INDEX('Output Utente'!$N$2:$N$492,MATCH(236,'Output Utente'!$Q$2:$Q$492,0)),"")</f>
        <v>5</v>
      </c>
      <c r="G239" s="47" t="n">
        <f aca="false">IFERROR(INDEX('Output Utente'!$O$2:$O$492,MATCH(236,'Output Utente'!$Q$2:$Q$492,0)),"")</f>
        <v>14</v>
      </c>
      <c r="H239" s="7" t="str">
        <f aca="false">IFERROR(INDEX('Output Utente'!$P$2:$P$492,MATCH(236,'Output Utente'!$Q$2:$Q$492,0)),"")</f>
        <v>Nella Media</v>
      </c>
      <c r="I239" s="47" t="n">
        <f aca="false">IFERROR(INDEX('Output Utente'!$F$2:$F$492,MATCH(236,'Output Utente'!$Q$2:$Q$492,0)),"")</f>
        <v>2</v>
      </c>
      <c r="J239" s="47" t="n">
        <f aca="false">IFERROR(INDEX('Output Utente'!$G$2:$G$492,MATCH(236,'Output Utente'!$Q$2:$Q$492,0)),"")</f>
        <v>1</v>
      </c>
      <c r="K239" s="47" t="n">
        <f aca="false">IFERROR(INDEX('Output Utente'!$H$2:$H$492,MATCH(236,'Output Utente'!$Q$2:$Q$492,0)),"")</f>
        <v>2</v>
      </c>
      <c r="L239" s="7" t="str">
        <f aca="false">IFERROR(INDEX('Output Utente'!$E$2:$E$492,MATCH(236,'Output Utente'!$Q$2:$Q$492,0)),"")</f>
        <v>NO</v>
      </c>
      <c r="M239" s="7" t="str">
        <f aca="false">IFERROR(INDEX('Output Utente'!$U$2:$U$492,MATCH(236,'Output Utente'!$Q$2:$Q$492,0)),"")</f>
        <v>OK</v>
      </c>
      <c r="N239" s="7" t="str">
        <f aca="false">IFERROR(INDEX('Output Utente'!$AE$2:$AE$492,MATCH(236,'Output Utente'!$Q$2:$Q$492,0)),"")</f>
        <v>🟡 Attesa rischiosa</v>
      </c>
    </row>
    <row r="240" customFormat="false" ht="15" hidden="false" customHeight="true" outlineLevel="0" collapsed="false">
      <c r="A240" s="46" t="n">
        <v>237</v>
      </c>
      <c r="B240" s="7" t="n">
        <f aca="false">IFERROR(INDEX('Output Utente'!$A$2:$A$492,MATCH(237,'Output Utente'!$Q$2:$Q$492,0)),"")</f>
        <v>5319</v>
      </c>
      <c r="C240" s="7" t="str">
        <f aca="false">IFERROR(INDEX('Output Utente'!$B$2:$B$492,MATCH(237,'Output Utente'!$Q$2:$Q$492,0)),"")</f>
        <v>C</v>
      </c>
      <c r="D240" s="7" t="str">
        <f aca="false">IFERROR(INDEX('Output Utente'!$C$2:$C$492,MATCH(237,'Output Utente'!$Q$2:$Q$492,0)),"")</f>
        <v>Sohm</v>
      </c>
      <c r="E240" s="7" t="str">
        <f aca="false">IFERROR(INDEX('Input Giocatori 2026_27'!$D$3:$D$493,MATCH($B240,'Input Giocatori 2026_27'!$A$3:$A$493,0)),"")</f>
        <v>Venezia</v>
      </c>
      <c r="F240" s="47" t="n">
        <f aca="false">IFERROR(INDEX('Output Utente'!$N$2:$N$492,MATCH(237,'Output Utente'!$Q$2:$Q$492,0)),"")</f>
        <v>5</v>
      </c>
      <c r="G240" s="47" t="n">
        <f aca="false">IFERROR(INDEX('Output Utente'!$O$2:$O$492,MATCH(237,'Output Utente'!$Q$2:$Q$492,0)),"")</f>
        <v>14</v>
      </c>
      <c r="H240" s="7" t="str">
        <f aca="false">IFERROR(INDEX('Output Utente'!$P$2:$P$492,MATCH(237,'Output Utente'!$Q$2:$Q$492,0)),"")</f>
        <v>Nella Media</v>
      </c>
      <c r="I240" s="47" t="n">
        <f aca="false">IFERROR(INDEX('Output Utente'!$F$2:$F$492,MATCH(237,'Output Utente'!$Q$2:$Q$492,0)),"")</f>
        <v>2</v>
      </c>
      <c r="J240" s="47" t="n">
        <f aca="false">IFERROR(INDEX('Output Utente'!$G$2:$G$492,MATCH(237,'Output Utente'!$Q$2:$Q$492,0)),"")</f>
        <v>1</v>
      </c>
      <c r="K240" s="47" t="n">
        <f aca="false">IFERROR(INDEX('Output Utente'!$H$2:$H$492,MATCH(237,'Output Utente'!$Q$2:$Q$492,0)),"")</f>
        <v>2</v>
      </c>
      <c r="L240" s="7" t="str">
        <f aca="false">IFERROR(INDEX('Output Utente'!$E$2:$E$492,MATCH(237,'Output Utente'!$Q$2:$Q$492,0)),"")</f>
        <v>NO</v>
      </c>
      <c r="M240" s="7" t="str">
        <f aca="false">IFERROR(INDEX('Output Utente'!$U$2:$U$492,MATCH(237,'Output Utente'!$Q$2:$Q$492,0)),"")</f>
        <v>OK</v>
      </c>
      <c r="N240" s="7" t="str">
        <f aca="false">IFERROR(INDEX('Output Utente'!$AE$2:$AE$492,MATCH(237,'Output Utente'!$Q$2:$Q$492,0)),"")</f>
        <v>🟡 Attesa rischiosa</v>
      </c>
    </row>
    <row r="241" customFormat="false" ht="15" hidden="false" customHeight="true" outlineLevel="0" collapsed="false">
      <c r="A241" s="46" t="n">
        <v>238</v>
      </c>
      <c r="B241" s="7" t="n">
        <f aca="false">IFERROR(INDEX('Output Utente'!$A$2:$A$492,MATCH(238,'Output Utente'!$Q$2:$Q$492,0)),"")</f>
        <v>6994</v>
      </c>
      <c r="C241" s="7" t="str">
        <f aca="false">IFERROR(INDEX('Output Utente'!$B$2:$B$492,MATCH(238,'Output Utente'!$Q$2:$Q$492,0)),"")</f>
        <v>C</v>
      </c>
      <c r="D241" s="7" t="str">
        <f aca="false">IFERROR(INDEX('Output Utente'!$C$2:$C$492,MATCH(238,'Output Utente'!$Q$2:$Q$492,0)),"")</f>
        <v>Perez K.</v>
      </c>
      <c r="E241" s="7" t="str">
        <f aca="false">IFERROR(INDEX('Input Giocatori 2026_27'!$D$3:$D$493,MATCH($B241,'Input Giocatori 2026_27'!$A$3:$A$493,0)),"")</f>
        <v>Venezia</v>
      </c>
      <c r="F241" s="47" t="n">
        <f aca="false">IFERROR(INDEX('Output Utente'!$N$2:$N$492,MATCH(238,'Output Utente'!$Q$2:$Q$492,0)),"")</f>
        <v>5</v>
      </c>
      <c r="G241" s="47" t="n">
        <f aca="false">IFERROR(INDEX('Output Utente'!$O$2:$O$492,MATCH(238,'Output Utente'!$Q$2:$Q$492,0)),"")</f>
        <v>14</v>
      </c>
      <c r="H241" s="7" t="str">
        <f aca="false">IFERROR(INDEX('Output Utente'!$P$2:$P$492,MATCH(238,'Output Utente'!$Q$2:$Q$492,0)),"")</f>
        <v>Nella Media</v>
      </c>
      <c r="I241" s="47" t="n">
        <f aca="false">IFERROR(INDEX('Output Utente'!$F$2:$F$492,MATCH(238,'Output Utente'!$Q$2:$Q$492,0)),"")</f>
        <v>2</v>
      </c>
      <c r="J241" s="47" t="n">
        <f aca="false">IFERROR(INDEX('Output Utente'!$G$2:$G$492,MATCH(238,'Output Utente'!$Q$2:$Q$492,0)),"")</f>
        <v>1</v>
      </c>
      <c r="K241" s="47" t="n">
        <f aca="false">IFERROR(INDEX('Output Utente'!$H$2:$H$492,MATCH(238,'Output Utente'!$Q$2:$Q$492,0)),"")</f>
        <v>2</v>
      </c>
      <c r="L241" s="7" t="str">
        <f aca="false">IFERROR(INDEX('Output Utente'!$E$2:$E$492,MATCH(238,'Output Utente'!$Q$2:$Q$492,0)),"")</f>
        <v>NO</v>
      </c>
      <c r="M241" s="7" t="str">
        <f aca="false">IFERROR(INDEX('Output Utente'!$U$2:$U$492,MATCH(238,'Output Utente'!$Q$2:$Q$492,0)),"")</f>
        <v>OK</v>
      </c>
      <c r="N241" s="7" t="str">
        <f aca="false">IFERROR(INDEX('Output Utente'!$AE$2:$AE$492,MATCH(238,'Output Utente'!$Q$2:$Q$492,0)),"")</f>
        <v>🟡 Attesa rischiosa</v>
      </c>
    </row>
    <row r="242" customFormat="false" ht="15" hidden="false" customHeight="true" outlineLevel="0" collapsed="false">
      <c r="A242" s="46" t="n">
        <v>239</v>
      </c>
      <c r="B242" s="7" t="n">
        <f aca="false">IFERROR(INDEX('Output Utente'!$A$2:$A$492,MATCH(239,'Output Utente'!$Q$2:$Q$492,0)),"")</f>
        <v>6207</v>
      </c>
      <c r="C242" s="7" t="str">
        <f aca="false">IFERROR(INDEX('Output Utente'!$B$2:$B$492,MATCH(239,'Output Utente'!$Q$2:$Q$492,0)),"")</f>
        <v>C</v>
      </c>
      <c r="D242" s="7" t="str">
        <f aca="false">IFERROR(INDEX('Output Utente'!$C$2:$C$492,MATCH(239,'Output Utente'!$Q$2:$Q$492,0)),"")</f>
        <v>Almqvist</v>
      </c>
      <c r="E242" s="7" t="str">
        <f aca="false">IFERROR(INDEX('Input Giocatori 2026_27'!$D$3:$D$493,MATCH($B242,'Input Giocatori 2026_27'!$A$3:$A$493,0)),"")</f>
        <v>Parma</v>
      </c>
      <c r="F242" s="47" t="n">
        <f aca="false">IFERROR(INDEX('Output Utente'!$N$2:$N$492,MATCH(239,'Output Utente'!$Q$2:$Q$492,0)),"")</f>
        <v>4</v>
      </c>
      <c r="G242" s="47" t="n">
        <f aca="false">IFERROR(INDEX('Output Utente'!$O$2:$O$492,MATCH(239,'Output Utente'!$Q$2:$Q$492,0)),"")</f>
        <v>14</v>
      </c>
      <c r="H242" s="7" t="str">
        <f aca="false">IFERROR(INDEX('Output Utente'!$P$2:$P$492,MATCH(239,'Output Utente'!$Q$2:$Q$492,0)),"")</f>
        <v>Nella Media</v>
      </c>
      <c r="I242" s="47" t="n">
        <f aca="false">IFERROR(INDEX('Output Utente'!$F$2:$F$492,MATCH(239,'Output Utente'!$Q$2:$Q$492,0)),"")</f>
        <v>2</v>
      </c>
      <c r="J242" s="47" t="n">
        <f aca="false">IFERROR(INDEX('Output Utente'!$G$2:$G$492,MATCH(239,'Output Utente'!$Q$2:$Q$492,0)),"")</f>
        <v>1</v>
      </c>
      <c r="K242" s="47" t="n">
        <f aca="false">IFERROR(INDEX('Output Utente'!$H$2:$H$492,MATCH(239,'Output Utente'!$Q$2:$Q$492,0)),"")</f>
        <v>2</v>
      </c>
      <c r="L242" s="7" t="str">
        <f aca="false">IFERROR(INDEX('Output Utente'!$E$2:$E$492,MATCH(239,'Output Utente'!$Q$2:$Q$492,0)),"")</f>
        <v>NO</v>
      </c>
      <c r="M242" s="7" t="str">
        <f aca="false">IFERROR(INDEX('Output Utente'!$U$2:$U$492,MATCH(239,'Output Utente'!$Q$2:$Q$492,0)),"")</f>
        <v>OK</v>
      </c>
      <c r="N242" s="7" t="str">
        <f aca="false">IFERROR(INDEX('Output Utente'!$AE$2:$AE$492,MATCH(239,'Output Utente'!$Q$2:$Q$492,0)),"")</f>
        <v>🟡 Attesa rischiosa</v>
      </c>
    </row>
    <row r="243" customFormat="false" ht="15" hidden="false" customHeight="true" outlineLevel="0" collapsed="false">
      <c r="A243" s="46" t="n">
        <v>240</v>
      </c>
      <c r="B243" s="7" t="n">
        <f aca="false">IFERROR(INDEX('Output Utente'!$A$2:$A$492,MATCH(240,'Output Utente'!$Q$2:$Q$492,0)),"")</f>
        <v>7008</v>
      </c>
      <c r="C243" s="7" t="str">
        <f aca="false">IFERROR(INDEX('Output Utente'!$B$2:$B$492,MATCH(240,'Output Utente'!$Q$2:$Q$492,0)),"")</f>
        <v>A</v>
      </c>
      <c r="D243" s="7" t="str">
        <f aca="false">IFERROR(INDEX('Output Utente'!$C$2:$C$492,MATCH(240,'Output Utente'!$Q$2:$Q$492,0)),"")</f>
        <v>Gimenez</v>
      </c>
      <c r="E243" s="7" t="str">
        <f aca="false">IFERROR(INDEX('Input Giocatori 2026_27'!$D$3:$D$493,MATCH($B243,'Input Giocatori 2026_27'!$A$3:$A$493,0)),"")</f>
        <v>Milan</v>
      </c>
      <c r="F243" s="47" t="n">
        <f aca="false">IFERROR(INDEX('Output Utente'!$N$2:$N$492,MATCH(240,'Output Utente'!$Q$2:$Q$492,0)),"")</f>
        <v>6</v>
      </c>
      <c r="G243" s="47" t="n">
        <f aca="false">IFERROR(INDEX('Output Utente'!$O$2:$O$492,MATCH(240,'Output Utente'!$Q$2:$Q$492,0)),"")</f>
        <v>14</v>
      </c>
      <c r="H243" s="7" t="str">
        <f aca="false">IFERROR(INDEX('Output Utente'!$P$2:$P$492,MATCH(240,'Output Utente'!$Q$2:$Q$492,0)),"")</f>
        <v>Nella Media</v>
      </c>
      <c r="I243" s="47" t="n">
        <f aca="false">IFERROR(INDEX('Output Utente'!$F$2:$F$492,MATCH(240,'Output Utente'!$Q$2:$Q$492,0)),"")</f>
        <v>4</v>
      </c>
      <c r="J243" s="47" t="n">
        <f aca="false">IFERROR(INDEX('Output Utente'!$G$2:$G$492,MATCH(240,'Output Utente'!$Q$2:$Q$492,0)),"")</f>
        <v>3</v>
      </c>
      <c r="K243" s="47" t="n">
        <f aca="false">IFERROR(INDEX('Output Utente'!$H$2:$H$492,MATCH(240,'Output Utente'!$Q$2:$Q$492,0)),"")</f>
        <v>5</v>
      </c>
      <c r="L243" s="7" t="str">
        <f aca="false">IFERROR(INDEX('Output Utente'!$E$2:$E$492,MATCH(240,'Output Utente'!$Q$2:$Q$492,0)),"")</f>
        <v>NO</v>
      </c>
      <c r="M243" s="7" t="str">
        <f aca="false">IFERROR(INDEX('Output Utente'!$U$2:$U$492,MATCH(240,'Output Utente'!$Q$2:$Q$492,0)),"")</f>
        <v>OK</v>
      </c>
      <c r="N243" s="7" t="str">
        <f aca="false">IFERROR(INDEX('Output Utente'!$AE$2:$AE$492,MATCH(240,'Output Utente'!$Q$2:$Q$492,0)),"")</f>
        <v>🔴 Non aspettare</v>
      </c>
    </row>
    <row r="244" customFormat="false" ht="15" hidden="false" customHeight="true" outlineLevel="0" collapsed="false">
      <c r="A244" s="46" t="n">
        <v>241</v>
      </c>
      <c r="B244" s="7" t="n">
        <f aca="false">IFERROR(INDEX('Output Utente'!$A$2:$A$492,MATCH(241,'Output Utente'!$Q$2:$Q$492,0)),"")</f>
        <v>4896</v>
      </c>
      <c r="C244" s="7" t="str">
        <f aca="false">IFERROR(INDEX('Output Utente'!$B$2:$B$492,MATCH(241,'Output Utente'!$Q$2:$Q$492,0)),"")</f>
        <v>A</v>
      </c>
      <c r="D244" s="7" t="str">
        <f aca="false">IFERROR(INDEX('Output Utente'!$C$2:$C$492,MATCH(241,'Output Utente'!$Q$2:$Q$492,0)),"")</f>
        <v>Maldini</v>
      </c>
      <c r="E244" s="7" t="str">
        <f aca="false">IFERROR(INDEX('Input Giocatori 2026_27'!$D$3:$D$493,MATCH($B244,'Input Giocatori 2026_27'!$A$3:$A$493,0)),"")</f>
        <v>Atalanta</v>
      </c>
      <c r="F244" s="47" t="n">
        <f aca="false">IFERROR(INDEX('Output Utente'!$N$2:$N$492,MATCH(241,'Output Utente'!$Q$2:$Q$492,0)),"")</f>
        <v>5</v>
      </c>
      <c r="G244" s="47" t="n">
        <f aca="false">IFERROR(INDEX('Output Utente'!$O$2:$O$492,MATCH(241,'Output Utente'!$Q$2:$Q$492,0)),"")</f>
        <v>14</v>
      </c>
      <c r="H244" s="7" t="str">
        <f aca="false">IFERROR(INDEX('Output Utente'!$P$2:$P$492,MATCH(241,'Output Utente'!$Q$2:$Q$492,0)),"")</f>
        <v>Nella Media</v>
      </c>
      <c r="I244" s="47" t="n">
        <f aca="false">IFERROR(INDEX('Output Utente'!$F$2:$F$492,MATCH(241,'Output Utente'!$Q$2:$Q$492,0)),"")</f>
        <v>4</v>
      </c>
      <c r="J244" s="47" t="n">
        <f aca="false">IFERROR(INDEX('Output Utente'!$G$2:$G$492,MATCH(241,'Output Utente'!$Q$2:$Q$492,0)),"")</f>
        <v>3</v>
      </c>
      <c r="K244" s="47" t="n">
        <f aca="false">IFERROR(INDEX('Output Utente'!$H$2:$H$492,MATCH(241,'Output Utente'!$Q$2:$Q$492,0)),"")</f>
        <v>5</v>
      </c>
      <c r="L244" s="7" t="str">
        <f aca="false">IFERROR(INDEX('Output Utente'!$E$2:$E$492,MATCH(241,'Output Utente'!$Q$2:$Q$492,0)),"")</f>
        <v>NO</v>
      </c>
      <c r="M244" s="7" t="str">
        <f aca="false">IFERROR(INDEX('Output Utente'!$U$2:$U$492,MATCH(241,'Output Utente'!$Q$2:$Q$492,0)),"")</f>
        <v>OK</v>
      </c>
      <c r="N244" s="7" t="str">
        <f aca="false">IFERROR(INDEX('Output Utente'!$AE$2:$AE$492,MATCH(241,'Output Utente'!$Q$2:$Q$492,0)),"")</f>
        <v>🔴 Non aspettare</v>
      </c>
    </row>
    <row r="245" customFormat="false" ht="15" hidden="false" customHeight="true" outlineLevel="0" collapsed="false">
      <c r="A245" s="46" t="n">
        <v>242</v>
      </c>
      <c r="B245" s="7" t="n">
        <f aca="false">IFERROR(INDEX('Output Utente'!$A$2:$A$492,MATCH(242,'Output Utente'!$Q$2:$Q$492,0)),"")</f>
        <v>4387</v>
      </c>
      <c r="C245" s="7" t="str">
        <f aca="false">IFERROR(INDEX('Output Utente'!$B$2:$B$492,MATCH(242,'Output Utente'!$Q$2:$Q$492,0)),"")</f>
        <v>A</v>
      </c>
      <c r="D245" s="7" t="str">
        <f aca="false">IFERROR(INDEX('Output Utente'!$C$2:$C$492,MATCH(242,'Output Utente'!$Q$2:$Q$492,0)),"")</f>
        <v>Adorante</v>
      </c>
      <c r="E245" s="7" t="str">
        <f aca="false">IFERROR(INDEX('Input Giocatori 2026_27'!$D$3:$D$493,MATCH($B245,'Input Giocatori 2026_27'!$A$3:$A$493,0)),"")</f>
        <v>Venezia</v>
      </c>
      <c r="F245" s="47" t="n">
        <f aca="false">IFERROR(INDEX('Output Utente'!$N$2:$N$492,MATCH(242,'Output Utente'!$Q$2:$Q$492,0)),"")</f>
        <v>5</v>
      </c>
      <c r="G245" s="47" t="n">
        <f aca="false">IFERROR(INDEX('Output Utente'!$O$2:$O$492,MATCH(242,'Output Utente'!$Q$2:$Q$492,0)),"")</f>
        <v>14</v>
      </c>
      <c r="H245" s="7" t="str">
        <f aca="false">IFERROR(INDEX('Output Utente'!$P$2:$P$492,MATCH(242,'Output Utente'!$Q$2:$Q$492,0)),"")</f>
        <v>Nella Media</v>
      </c>
      <c r="I245" s="47" t="n">
        <f aca="false">IFERROR(INDEX('Output Utente'!$F$2:$F$492,MATCH(242,'Output Utente'!$Q$2:$Q$492,0)),"")</f>
        <v>4</v>
      </c>
      <c r="J245" s="47" t="n">
        <f aca="false">IFERROR(INDEX('Output Utente'!$G$2:$G$492,MATCH(242,'Output Utente'!$Q$2:$Q$492,0)),"")</f>
        <v>3</v>
      </c>
      <c r="K245" s="47" t="n">
        <f aca="false">IFERROR(INDEX('Output Utente'!$H$2:$H$492,MATCH(242,'Output Utente'!$Q$2:$Q$492,0)),"")</f>
        <v>5</v>
      </c>
      <c r="L245" s="7" t="str">
        <f aca="false">IFERROR(INDEX('Output Utente'!$E$2:$E$492,MATCH(242,'Output Utente'!$Q$2:$Q$492,0)),"")</f>
        <v>NO</v>
      </c>
      <c r="M245" s="7" t="str">
        <f aca="false">IFERROR(INDEX('Output Utente'!$U$2:$U$492,MATCH(242,'Output Utente'!$Q$2:$Q$492,0)),"")</f>
        <v>OK</v>
      </c>
      <c r="N245" s="7" t="str">
        <f aca="false">IFERROR(INDEX('Output Utente'!$AE$2:$AE$492,MATCH(242,'Output Utente'!$Q$2:$Q$492,0)),"")</f>
        <v>🔴 Non aspettare</v>
      </c>
    </row>
    <row r="246" customFormat="false" ht="15" hidden="false" customHeight="true" outlineLevel="0" collapsed="false">
      <c r="A246" s="46" t="n">
        <v>243</v>
      </c>
      <c r="B246" s="7" t="n">
        <f aca="false">IFERROR(INDEX('Output Utente'!$A$2:$A$492,MATCH(243,'Output Utente'!$Q$2:$Q$492,0)),"")</f>
        <v>6660</v>
      </c>
      <c r="C246" s="7" t="str">
        <f aca="false">IFERROR(INDEX('Output Utente'!$B$2:$B$492,MATCH(243,'Output Utente'!$Q$2:$Q$492,0)),"")</f>
        <v>D</v>
      </c>
      <c r="D246" s="7" t="str">
        <f aca="false">IFERROR(INDEX('Output Utente'!$C$2:$C$492,MATCH(243,'Output Utente'!$Q$2:$Q$492,0)),"")</f>
        <v>Marcandalli</v>
      </c>
      <c r="E246" s="7" t="str">
        <f aca="false">IFERROR(INDEX('Input Giocatori 2026_27'!$D$3:$D$493,MATCH($B246,'Input Giocatori 2026_27'!$A$3:$A$493,0)),"")</f>
        <v>Genoa</v>
      </c>
      <c r="F246" s="47" t="n">
        <f aca="false">IFERROR(INDEX('Output Utente'!$N$2:$N$492,MATCH(243,'Output Utente'!$Q$2:$Q$492,0)),"")</f>
        <v>6</v>
      </c>
      <c r="G246" s="47" t="n">
        <f aca="false">IFERROR(INDEX('Output Utente'!$O$2:$O$492,MATCH(243,'Output Utente'!$Q$2:$Q$492,0)),"")</f>
        <v>13</v>
      </c>
      <c r="H246" s="7" t="str">
        <f aca="false">IFERROR(INDEX('Output Utente'!$P$2:$P$492,MATCH(243,'Output Utente'!$Q$2:$Q$492,0)),"")</f>
        <v>Buono</v>
      </c>
      <c r="I246" s="47" t="n">
        <f aca="false">IFERROR(INDEX('Output Utente'!$F$2:$F$492,MATCH(243,'Output Utente'!$Q$2:$Q$492,0)),"")</f>
        <v>3</v>
      </c>
      <c r="J246" s="47" t="n">
        <f aca="false">IFERROR(INDEX('Output Utente'!$G$2:$G$492,MATCH(243,'Output Utente'!$Q$2:$Q$492,0)),"")</f>
        <v>2</v>
      </c>
      <c r="K246" s="47" t="n">
        <f aca="false">IFERROR(INDEX('Output Utente'!$H$2:$H$492,MATCH(243,'Output Utente'!$Q$2:$Q$492,0)),"")</f>
        <v>3</v>
      </c>
      <c r="L246" s="7" t="str">
        <f aca="false">IFERROR(INDEX('Output Utente'!$E$2:$E$492,MATCH(243,'Output Utente'!$Q$2:$Q$492,0)),"")</f>
        <v>NO</v>
      </c>
      <c r="M246" s="7" t="str">
        <f aca="false">IFERROR(INDEX('Output Utente'!$U$2:$U$492,MATCH(243,'Output Utente'!$Q$2:$Q$492,0)),"")</f>
        <v>OK</v>
      </c>
      <c r="N246" s="7" t="str">
        <f aca="false">IFERROR(INDEX('Output Utente'!$AE$2:$AE$492,MATCH(243,'Output Utente'!$Q$2:$Q$492,0)),"")</f>
        <v>🟡 Attesa rischiosa</v>
      </c>
    </row>
    <row r="247" customFormat="false" ht="15" hidden="false" customHeight="true" outlineLevel="0" collapsed="false">
      <c r="A247" s="46" t="n">
        <v>244</v>
      </c>
      <c r="B247" s="7" t="n">
        <f aca="false">IFERROR(INDEX('Output Utente'!$A$2:$A$492,MATCH(244,'Output Utente'!$Q$2:$Q$492,0)),"")</f>
        <v>4502</v>
      </c>
      <c r="C247" s="7" t="str">
        <f aca="false">IFERROR(INDEX('Output Utente'!$B$2:$B$492,MATCH(244,'Output Utente'!$Q$2:$Q$492,0)),"")</f>
        <v>D</v>
      </c>
      <c r="D247" s="7" t="str">
        <f aca="false">IFERROR(INDEX('Output Utente'!$C$2:$C$492,MATCH(244,'Output Utente'!$Q$2:$Q$492,0)),"")</f>
        <v>Gallo</v>
      </c>
      <c r="E247" s="7" t="str">
        <f aca="false">IFERROR(INDEX('Input Giocatori 2026_27'!$D$3:$D$493,MATCH($B247,'Input Giocatori 2026_27'!$A$3:$A$493,0)),"")</f>
        <v>Lecce</v>
      </c>
      <c r="F247" s="47" t="n">
        <f aca="false">IFERROR(INDEX('Output Utente'!$N$2:$N$492,MATCH(244,'Output Utente'!$Q$2:$Q$492,0)),"")</f>
        <v>6</v>
      </c>
      <c r="G247" s="47" t="n">
        <f aca="false">IFERROR(INDEX('Output Utente'!$O$2:$O$492,MATCH(244,'Output Utente'!$Q$2:$Q$492,0)),"")</f>
        <v>13</v>
      </c>
      <c r="H247" s="7" t="str">
        <f aca="false">IFERROR(INDEX('Output Utente'!$P$2:$P$492,MATCH(244,'Output Utente'!$Q$2:$Q$492,0)),"")</f>
        <v>Buono</v>
      </c>
      <c r="I247" s="47" t="n">
        <f aca="false">IFERROR(INDEX('Output Utente'!$F$2:$F$492,MATCH(244,'Output Utente'!$Q$2:$Q$492,0)),"")</f>
        <v>3</v>
      </c>
      <c r="J247" s="47" t="n">
        <f aca="false">IFERROR(INDEX('Output Utente'!$G$2:$G$492,MATCH(244,'Output Utente'!$Q$2:$Q$492,0)),"")</f>
        <v>2</v>
      </c>
      <c r="K247" s="47" t="n">
        <f aca="false">IFERROR(INDEX('Output Utente'!$H$2:$H$492,MATCH(244,'Output Utente'!$Q$2:$Q$492,0)),"")</f>
        <v>3</v>
      </c>
      <c r="L247" s="7" t="str">
        <f aca="false">IFERROR(INDEX('Output Utente'!$E$2:$E$492,MATCH(244,'Output Utente'!$Q$2:$Q$492,0)),"")</f>
        <v>NO</v>
      </c>
      <c r="M247" s="7" t="str">
        <f aca="false">IFERROR(INDEX('Output Utente'!$U$2:$U$492,MATCH(244,'Output Utente'!$Q$2:$Q$492,0)),"")</f>
        <v>OK</v>
      </c>
      <c r="N247" s="7" t="str">
        <f aca="false">IFERROR(INDEX('Output Utente'!$AE$2:$AE$492,MATCH(244,'Output Utente'!$Q$2:$Q$492,0)),"")</f>
        <v>🟡 Attesa rischiosa</v>
      </c>
    </row>
    <row r="248" customFormat="false" ht="15" hidden="false" customHeight="true" outlineLevel="0" collapsed="false">
      <c r="A248" s="46" t="n">
        <v>245</v>
      </c>
      <c r="B248" s="7" t="n">
        <f aca="false">IFERROR(INDEX('Output Utente'!$A$2:$A$492,MATCH(245,'Output Utente'!$Q$2:$Q$492,0)),"")</f>
        <v>7253</v>
      </c>
      <c r="C248" s="7" t="str">
        <f aca="false">IFERROR(INDEX('Output Utente'!$B$2:$B$492,MATCH(245,'Output Utente'!$Q$2:$Q$492,0)),"")</f>
        <v>D</v>
      </c>
      <c r="D248" s="7" t="str">
        <f aca="false">IFERROR(INDEX('Output Utente'!$C$2:$C$492,MATCH(245,'Output Utente'!$Q$2:$Q$492,0)),"")</f>
        <v>Bella-Kotchap</v>
      </c>
      <c r="E248" s="7" t="str">
        <f aca="false">IFERROR(INDEX('Input Giocatori 2026_27'!$D$3:$D$493,MATCH($B248,'Input Giocatori 2026_27'!$A$3:$A$493,0)),"")</f>
        <v>Venezia</v>
      </c>
      <c r="F248" s="47" t="n">
        <f aca="false">IFERROR(INDEX('Output Utente'!$N$2:$N$492,MATCH(245,'Output Utente'!$Q$2:$Q$492,0)),"")</f>
        <v>6</v>
      </c>
      <c r="G248" s="47" t="n">
        <f aca="false">IFERROR(INDEX('Output Utente'!$O$2:$O$492,MATCH(245,'Output Utente'!$Q$2:$Q$492,0)),"")</f>
        <v>13</v>
      </c>
      <c r="H248" s="7" t="str">
        <f aca="false">IFERROR(INDEX('Output Utente'!$P$2:$P$492,MATCH(245,'Output Utente'!$Q$2:$Q$492,0)),"")</f>
        <v>Buono</v>
      </c>
      <c r="I248" s="47" t="n">
        <f aca="false">IFERROR(INDEX('Output Utente'!$F$2:$F$492,MATCH(245,'Output Utente'!$Q$2:$Q$492,0)),"")</f>
        <v>3</v>
      </c>
      <c r="J248" s="47" t="n">
        <f aca="false">IFERROR(INDEX('Output Utente'!$G$2:$G$492,MATCH(245,'Output Utente'!$Q$2:$Q$492,0)),"")</f>
        <v>2</v>
      </c>
      <c r="K248" s="47" t="n">
        <f aca="false">IFERROR(INDEX('Output Utente'!$H$2:$H$492,MATCH(245,'Output Utente'!$Q$2:$Q$492,0)),"")</f>
        <v>3</v>
      </c>
      <c r="L248" s="7" t="str">
        <f aca="false">IFERROR(INDEX('Output Utente'!$E$2:$E$492,MATCH(245,'Output Utente'!$Q$2:$Q$492,0)),"")</f>
        <v>NO</v>
      </c>
      <c r="M248" s="7" t="str">
        <f aca="false">IFERROR(INDEX('Output Utente'!$U$2:$U$492,MATCH(245,'Output Utente'!$Q$2:$Q$492,0)),"")</f>
        <v>OK</v>
      </c>
      <c r="N248" s="7" t="str">
        <f aca="false">IFERROR(INDEX('Output Utente'!$AE$2:$AE$492,MATCH(245,'Output Utente'!$Q$2:$Q$492,0)),"")</f>
        <v>🟡 Attesa rischiosa</v>
      </c>
    </row>
    <row r="249" customFormat="false" ht="15" hidden="false" customHeight="true" outlineLevel="0" collapsed="false">
      <c r="A249" s="46" t="n">
        <v>246</v>
      </c>
      <c r="B249" s="7" t="n">
        <f aca="false">IFERROR(INDEX('Output Utente'!$A$2:$A$492,MATCH(246,'Output Utente'!$Q$2:$Q$492,0)),"")</f>
        <v>5678</v>
      </c>
      <c r="C249" s="7" t="str">
        <f aca="false">IFERROR(INDEX('Output Utente'!$B$2:$B$492,MATCH(246,'Output Utente'!$Q$2:$Q$492,0)),"")</f>
        <v>D</v>
      </c>
      <c r="D249" s="7" t="str">
        <f aca="false">IFERROR(INDEX('Output Utente'!$C$2:$C$492,MATCH(246,'Output Utente'!$Q$2:$Q$492,0)),"")</f>
        <v>Holm</v>
      </c>
      <c r="E249" s="7" t="str">
        <f aca="false">IFERROR(INDEX('Input Giocatori 2026_27'!$D$3:$D$493,MATCH($B249,'Input Giocatori 2026_27'!$A$3:$A$493,0)),"")</f>
        <v>Bologna</v>
      </c>
      <c r="F249" s="47" t="n">
        <f aca="false">IFERROR(INDEX('Output Utente'!$N$2:$N$492,MATCH(246,'Output Utente'!$Q$2:$Q$492,0)),"")</f>
        <v>5</v>
      </c>
      <c r="G249" s="47" t="n">
        <f aca="false">IFERROR(INDEX('Output Utente'!$O$2:$O$492,MATCH(246,'Output Utente'!$Q$2:$Q$492,0)),"")</f>
        <v>13</v>
      </c>
      <c r="H249" s="7" t="str">
        <f aca="false">IFERROR(INDEX('Output Utente'!$P$2:$P$492,MATCH(246,'Output Utente'!$Q$2:$Q$492,0)),"")</f>
        <v>Buono</v>
      </c>
      <c r="I249" s="47" t="n">
        <f aca="false">IFERROR(INDEX('Output Utente'!$F$2:$F$492,MATCH(246,'Output Utente'!$Q$2:$Q$492,0)),"")</f>
        <v>3</v>
      </c>
      <c r="J249" s="47" t="n">
        <f aca="false">IFERROR(INDEX('Output Utente'!$G$2:$G$492,MATCH(246,'Output Utente'!$Q$2:$Q$492,0)),"")</f>
        <v>2</v>
      </c>
      <c r="K249" s="47" t="n">
        <f aca="false">IFERROR(INDEX('Output Utente'!$H$2:$H$492,MATCH(246,'Output Utente'!$Q$2:$Q$492,0)),"")</f>
        <v>3</v>
      </c>
      <c r="L249" s="7" t="str">
        <f aca="false">IFERROR(INDEX('Output Utente'!$E$2:$E$492,MATCH(246,'Output Utente'!$Q$2:$Q$492,0)),"")</f>
        <v>NO</v>
      </c>
      <c r="M249" s="7" t="str">
        <f aca="false">IFERROR(INDEX('Output Utente'!$U$2:$U$492,MATCH(246,'Output Utente'!$Q$2:$Q$492,0)),"")</f>
        <v>OK</v>
      </c>
      <c r="N249" s="7" t="str">
        <f aca="false">IFERROR(INDEX('Output Utente'!$AE$2:$AE$492,MATCH(246,'Output Utente'!$Q$2:$Q$492,0)),"")</f>
        <v>🟡 Attesa rischiosa</v>
      </c>
    </row>
    <row r="250" customFormat="false" ht="15" hidden="false" customHeight="true" outlineLevel="0" collapsed="false">
      <c r="A250" s="46" t="n">
        <v>247</v>
      </c>
      <c r="B250" s="7" t="n">
        <f aca="false">IFERROR(INDEX('Output Utente'!$A$2:$A$492,MATCH(247,'Output Utente'!$Q$2:$Q$492,0)),"")</f>
        <v>6893</v>
      </c>
      <c r="C250" s="7" t="str">
        <f aca="false">IFERROR(INDEX('Output Utente'!$B$2:$B$492,MATCH(247,'Output Utente'!$Q$2:$Q$492,0)),"")</f>
        <v>D</v>
      </c>
      <c r="D250" s="7" t="str">
        <f aca="false">IFERROR(INDEX('Output Utente'!$C$2:$C$492,MATCH(247,'Output Utente'!$Q$2:$Q$492,0)),"")</f>
        <v>Kempf</v>
      </c>
      <c r="E250" s="7" t="str">
        <f aca="false">IFERROR(INDEX('Input Giocatori 2026_27'!$D$3:$D$493,MATCH($B250,'Input Giocatori 2026_27'!$A$3:$A$493,0)),"")</f>
        <v>Como</v>
      </c>
      <c r="F250" s="47" t="n">
        <f aca="false">IFERROR(INDEX('Output Utente'!$N$2:$N$492,MATCH(247,'Output Utente'!$Q$2:$Q$492,0)),"")</f>
        <v>5</v>
      </c>
      <c r="G250" s="47" t="n">
        <f aca="false">IFERROR(INDEX('Output Utente'!$O$2:$O$492,MATCH(247,'Output Utente'!$Q$2:$Q$492,0)),"")</f>
        <v>13</v>
      </c>
      <c r="H250" s="7" t="str">
        <f aca="false">IFERROR(INDEX('Output Utente'!$P$2:$P$492,MATCH(247,'Output Utente'!$Q$2:$Q$492,0)),"")</f>
        <v>Buono</v>
      </c>
      <c r="I250" s="47" t="n">
        <f aca="false">IFERROR(INDEX('Output Utente'!$F$2:$F$492,MATCH(247,'Output Utente'!$Q$2:$Q$492,0)),"")</f>
        <v>3</v>
      </c>
      <c r="J250" s="47" t="n">
        <f aca="false">IFERROR(INDEX('Output Utente'!$G$2:$G$492,MATCH(247,'Output Utente'!$Q$2:$Q$492,0)),"")</f>
        <v>2</v>
      </c>
      <c r="K250" s="47" t="n">
        <f aca="false">IFERROR(INDEX('Output Utente'!$H$2:$H$492,MATCH(247,'Output Utente'!$Q$2:$Q$492,0)),"")</f>
        <v>3</v>
      </c>
      <c r="L250" s="7" t="str">
        <f aca="false">IFERROR(INDEX('Output Utente'!$E$2:$E$492,MATCH(247,'Output Utente'!$Q$2:$Q$492,0)),"")</f>
        <v>NO</v>
      </c>
      <c r="M250" s="7" t="str">
        <f aca="false">IFERROR(INDEX('Output Utente'!$U$2:$U$492,MATCH(247,'Output Utente'!$Q$2:$Q$492,0)),"")</f>
        <v>OK</v>
      </c>
      <c r="N250" s="7" t="str">
        <f aca="false">IFERROR(INDEX('Output Utente'!$AE$2:$AE$492,MATCH(247,'Output Utente'!$Q$2:$Q$492,0)),"")</f>
        <v>🟡 Attesa rischiosa</v>
      </c>
    </row>
    <row r="251" customFormat="false" ht="15" hidden="false" customHeight="true" outlineLevel="0" collapsed="false">
      <c r="A251" s="46" t="n">
        <v>248</v>
      </c>
      <c r="B251" s="7" t="n">
        <f aca="false">IFERROR(INDEX('Output Utente'!$A$2:$A$492,MATCH(248,'Output Utente'!$Q$2:$Q$492,0)),"")</f>
        <v>6766</v>
      </c>
      <c r="C251" s="7" t="str">
        <f aca="false">IFERROR(INDEX('Output Utente'!$B$2:$B$492,MATCH(248,'Output Utente'!$Q$2:$Q$492,0)),"")</f>
        <v>D</v>
      </c>
      <c r="D251" s="7" t="str">
        <f aca="false">IFERROR(INDEX('Output Utente'!$C$2:$C$492,MATCH(248,'Output Utente'!$Q$2:$Q$492,0)),"")</f>
        <v>Kelly L.</v>
      </c>
      <c r="E251" s="7" t="str">
        <f aca="false">IFERROR(INDEX('Input Giocatori 2026_27'!$D$3:$D$493,MATCH($B251,'Input Giocatori 2026_27'!$A$3:$A$493,0)),"")</f>
        <v>Juventus</v>
      </c>
      <c r="F251" s="47" t="n">
        <f aca="false">IFERROR(INDEX('Output Utente'!$N$2:$N$492,MATCH(248,'Output Utente'!$Q$2:$Q$492,0)),"")</f>
        <v>5</v>
      </c>
      <c r="G251" s="47" t="n">
        <f aca="false">IFERROR(INDEX('Output Utente'!$O$2:$O$492,MATCH(248,'Output Utente'!$Q$2:$Q$492,0)),"")</f>
        <v>13</v>
      </c>
      <c r="H251" s="7" t="str">
        <f aca="false">IFERROR(INDEX('Output Utente'!$P$2:$P$492,MATCH(248,'Output Utente'!$Q$2:$Q$492,0)),"")</f>
        <v>Buono</v>
      </c>
      <c r="I251" s="47" t="n">
        <f aca="false">IFERROR(INDEX('Output Utente'!$F$2:$F$492,MATCH(248,'Output Utente'!$Q$2:$Q$492,0)),"")</f>
        <v>3</v>
      </c>
      <c r="J251" s="47" t="n">
        <f aca="false">IFERROR(INDEX('Output Utente'!$G$2:$G$492,MATCH(248,'Output Utente'!$Q$2:$Q$492,0)),"")</f>
        <v>2</v>
      </c>
      <c r="K251" s="47" t="n">
        <f aca="false">IFERROR(INDEX('Output Utente'!$H$2:$H$492,MATCH(248,'Output Utente'!$Q$2:$Q$492,0)),"")</f>
        <v>3</v>
      </c>
      <c r="L251" s="7" t="str">
        <f aca="false">IFERROR(INDEX('Output Utente'!$E$2:$E$492,MATCH(248,'Output Utente'!$Q$2:$Q$492,0)),"")</f>
        <v>NO</v>
      </c>
      <c r="M251" s="7" t="str">
        <f aca="false">IFERROR(INDEX('Output Utente'!$U$2:$U$492,MATCH(248,'Output Utente'!$Q$2:$Q$492,0)),"")</f>
        <v>OK</v>
      </c>
      <c r="N251" s="7" t="str">
        <f aca="false">IFERROR(INDEX('Output Utente'!$AE$2:$AE$492,MATCH(248,'Output Utente'!$Q$2:$Q$492,0)),"")</f>
        <v>🟡 Attesa rischiosa</v>
      </c>
    </row>
    <row r="252" customFormat="false" ht="15" hidden="false" customHeight="true" outlineLevel="0" collapsed="false">
      <c r="A252" s="46" t="n">
        <v>249</v>
      </c>
      <c r="B252" s="7" t="n">
        <f aca="false">IFERROR(INDEX('Output Utente'!$A$2:$A$492,MATCH(249,'Output Utente'!$Q$2:$Q$492,0)),"")</f>
        <v>5840</v>
      </c>
      <c r="C252" s="7" t="str">
        <f aca="false">IFERROR(INDEX('Output Utente'!$B$2:$B$492,MATCH(249,'Output Utente'!$Q$2:$Q$492,0)),"")</f>
        <v>D</v>
      </c>
      <c r="D252" s="7" t="str">
        <f aca="false">IFERROR(INDEX('Output Utente'!$C$2:$C$492,MATCH(249,'Output Utente'!$Q$2:$Q$492,0)),"")</f>
        <v>Olivera</v>
      </c>
      <c r="E252" s="7" t="str">
        <f aca="false">IFERROR(INDEX('Input Giocatori 2026_27'!$D$3:$D$493,MATCH($B252,'Input Giocatori 2026_27'!$A$3:$A$493,0)),"")</f>
        <v>Napoli</v>
      </c>
      <c r="F252" s="47" t="n">
        <f aca="false">IFERROR(INDEX('Output Utente'!$N$2:$N$492,MATCH(249,'Output Utente'!$Q$2:$Q$492,0)),"")</f>
        <v>5</v>
      </c>
      <c r="G252" s="47" t="n">
        <f aca="false">IFERROR(INDEX('Output Utente'!$O$2:$O$492,MATCH(249,'Output Utente'!$Q$2:$Q$492,0)),"")</f>
        <v>13</v>
      </c>
      <c r="H252" s="7" t="str">
        <f aca="false">IFERROR(INDEX('Output Utente'!$P$2:$P$492,MATCH(249,'Output Utente'!$Q$2:$Q$492,0)),"")</f>
        <v>Buono</v>
      </c>
      <c r="I252" s="47" t="n">
        <f aca="false">IFERROR(INDEX('Output Utente'!$F$2:$F$492,MATCH(249,'Output Utente'!$Q$2:$Q$492,0)),"")</f>
        <v>3</v>
      </c>
      <c r="J252" s="47" t="n">
        <f aca="false">IFERROR(INDEX('Output Utente'!$G$2:$G$492,MATCH(249,'Output Utente'!$Q$2:$Q$492,0)),"")</f>
        <v>2</v>
      </c>
      <c r="K252" s="47" t="n">
        <f aca="false">IFERROR(INDEX('Output Utente'!$H$2:$H$492,MATCH(249,'Output Utente'!$Q$2:$Q$492,0)),"")</f>
        <v>3</v>
      </c>
      <c r="L252" s="7" t="str">
        <f aca="false">IFERROR(INDEX('Output Utente'!$E$2:$E$492,MATCH(249,'Output Utente'!$Q$2:$Q$492,0)),"")</f>
        <v>NO</v>
      </c>
      <c r="M252" s="7" t="str">
        <f aca="false">IFERROR(INDEX('Output Utente'!$U$2:$U$492,MATCH(249,'Output Utente'!$Q$2:$Q$492,0)),"")</f>
        <v>OK</v>
      </c>
      <c r="N252" s="7" t="str">
        <f aca="false">IFERROR(INDEX('Output Utente'!$AE$2:$AE$492,MATCH(249,'Output Utente'!$Q$2:$Q$492,0)),"")</f>
        <v>🟡 Attesa rischiosa</v>
      </c>
    </row>
    <row r="253" customFormat="false" ht="15" hidden="false" customHeight="true" outlineLevel="0" collapsed="false">
      <c r="A253" s="46" t="n">
        <v>250</v>
      </c>
      <c r="B253" s="7" t="n">
        <f aca="false">IFERROR(INDEX('Output Utente'!$A$2:$A$492,MATCH(250,'Output Utente'!$Q$2:$Q$492,0)),"")</f>
        <v>6426</v>
      </c>
      <c r="C253" s="7" t="str">
        <f aca="false">IFERROR(INDEX('Output Utente'!$B$2:$B$492,MATCH(250,'Output Utente'!$Q$2:$Q$492,0)),"")</f>
        <v>D</v>
      </c>
      <c r="D253" s="7" t="str">
        <f aca="false">IFERROR(INDEX('Output Utente'!$C$2:$C$492,MATCH(250,'Output Utente'!$Q$2:$Q$492,0)),"")</f>
        <v>Pedersen</v>
      </c>
      <c r="E253" s="7" t="str">
        <f aca="false">IFERROR(INDEX('Input Giocatori 2026_27'!$D$3:$D$493,MATCH($B253,'Input Giocatori 2026_27'!$A$3:$A$493,0)),"")</f>
        <v>Torino</v>
      </c>
      <c r="F253" s="47" t="n">
        <f aca="false">IFERROR(INDEX('Output Utente'!$N$2:$N$492,MATCH(250,'Output Utente'!$Q$2:$Q$492,0)),"")</f>
        <v>5</v>
      </c>
      <c r="G253" s="47" t="n">
        <f aca="false">IFERROR(INDEX('Output Utente'!$O$2:$O$492,MATCH(250,'Output Utente'!$Q$2:$Q$492,0)),"")</f>
        <v>13</v>
      </c>
      <c r="H253" s="7" t="str">
        <f aca="false">IFERROR(INDEX('Output Utente'!$P$2:$P$492,MATCH(250,'Output Utente'!$Q$2:$Q$492,0)),"")</f>
        <v>Buono</v>
      </c>
      <c r="I253" s="47" t="n">
        <f aca="false">IFERROR(INDEX('Output Utente'!$F$2:$F$492,MATCH(250,'Output Utente'!$Q$2:$Q$492,0)),"")</f>
        <v>3</v>
      </c>
      <c r="J253" s="47" t="n">
        <f aca="false">IFERROR(INDEX('Output Utente'!$G$2:$G$492,MATCH(250,'Output Utente'!$Q$2:$Q$492,0)),"")</f>
        <v>2</v>
      </c>
      <c r="K253" s="47" t="n">
        <f aca="false">IFERROR(INDEX('Output Utente'!$H$2:$H$492,MATCH(250,'Output Utente'!$Q$2:$Q$492,0)),"")</f>
        <v>3</v>
      </c>
      <c r="L253" s="7" t="str">
        <f aca="false">IFERROR(INDEX('Output Utente'!$E$2:$E$492,MATCH(250,'Output Utente'!$Q$2:$Q$492,0)),"")</f>
        <v>NO</v>
      </c>
      <c r="M253" s="7" t="str">
        <f aca="false">IFERROR(INDEX('Output Utente'!$U$2:$U$492,MATCH(250,'Output Utente'!$Q$2:$Q$492,0)),"")</f>
        <v>OK</v>
      </c>
      <c r="N253" s="7" t="str">
        <f aca="false">IFERROR(INDEX('Output Utente'!$AE$2:$AE$492,MATCH(250,'Output Utente'!$Q$2:$Q$492,0)),"")</f>
        <v>🟡 Attesa rischiosa</v>
      </c>
    </row>
    <row r="254" customFormat="false" ht="15" hidden="false" customHeight="true" outlineLevel="0" collapsed="false">
      <c r="A254" s="46" t="n">
        <v>251</v>
      </c>
      <c r="B254" s="7" t="n">
        <f aca="false">IFERROR(INDEX('Output Utente'!$A$2:$A$492,MATCH(251,'Output Utente'!$Q$2:$Q$492,0)),"")</f>
        <v>5851</v>
      </c>
      <c r="C254" s="7" t="str">
        <f aca="false">IFERROR(INDEX('Output Utente'!$B$2:$B$492,MATCH(251,'Output Utente'!$Q$2:$Q$492,0)),"")</f>
        <v>D</v>
      </c>
      <c r="D254" s="7" t="str">
        <f aca="false">IFERROR(INDEX('Output Utente'!$C$2:$C$492,MATCH(251,'Output Utente'!$Q$2:$Q$492,0)),"")</f>
        <v>Doig</v>
      </c>
      <c r="E254" s="7" t="str">
        <f aca="false">IFERROR(INDEX('Input Giocatori 2026_27'!$D$3:$D$493,MATCH($B254,'Input Giocatori 2026_27'!$A$3:$A$493,0)),"")</f>
        <v>Sassuolo</v>
      </c>
      <c r="F254" s="47" t="n">
        <f aca="false">IFERROR(INDEX('Output Utente'!$N$2:$N$492,MATCH(251,'Output Utente'!$Q$2:$Q$492,0)),"")</f>
        <v>4</v>
      </c>
      <c r="G254" s="47" t="n">
        <f aca="false">IFERROR(INDEX('Output Utente'!$O$2:$O$492,MATCH(251,'Output Utente'!$Q$2:$Q$492,0)),"")</f>
        <v>13</v>
      </c>
      <c r="H254" s="7" t="str">
        <f aca="false">IFERROR(INDEX('Output Utente'!$P$2:$P$492,MATCH(251,'Output Utente'!$Q$2:$Q$492,0)),"")</f>
        <v>Buono</v>
      </c>
      <c r="I254" s="47" t="n">
        <f aca="false">IFERROR(INDEX('Output Utente'!$F$2:$F$492,MATCH(251,'Output Utente'!$Q$2:$Q$492,0)),"")</f>
        <v>3</v>
      </c>
      <c r="J254" s="47" t="n">
        <f aca="false">IFERROR(INDEX('Output Utente'!$G$2:$G$492,MATCH(251,'Output Utente'!$Q$2:$Q$492,0)),"")</f>
        <v>2</v>
      </c>
      <c r="K254" s="47" t="n">
        <f aca="false">IFERROR(INDEX('Output Utente'!$H$2:$H$492,MATCH(251,'Output Utente'!$Q$2:$Q$492,0)),"")</f>
        <v>3</v>
      </c>
      <c r="L254" s="7" t="str">
        <f aca="false">IFERROR(INDEX('Output Utente'!$E$2:$E$492,MATCH(251,'Output Utente'!$Q$2:$Q$492,0)),"")</f>
        <v>NO</v>
      </c>
      <c r="M254" s="7" t="str">
        <f aca="false">IFERROR(INDEX('Output Utente'!$U$2:$U$492,MATCH(251,'Output Utente'!$Q$2:$Q$492,0)),"")</f>
        <v>OK</v>
      </c>
      <c r="N254" s="7" t="str">
        <f aca="false">IFERROR(INDEX('Output Utente'!$AE$2:$AE$492,MATCH(251,'Output Utente'!$Q$2:$Q$492,0)),"")</f>
        <v>🟡 Attesa rischiosa</v>
      </c>
    </row>
    <row r="255" customFormat="false" ht="15" hidden="false" customHeight="true" outlineLevel="0" collapsed="false">
      <c r="A255" s="46" t="n">
        <v>252</v>
      </c>
      <c r="B255" s="7" t="n">
        <f aca="false">IFERROR(INDEX('Output Utente'!$A$2:$A$492,MATCH(252,'Output Utente'!$Q$2:$Q$492,0)),"")</f>
        <v>2848</v>
      </c>
      <c r="C255" s="7" t="str">
        <f aca="false">IFERROR(INDEX('Output Utente'!$B$2:$B$492,MATCH(252,'Output Utente'!$Q$2:$Q$492,0)),"")</f>
        <v>C</v>
      </c>
      <c r="D255" s="7" t="str">
        <f aca="false">IFERROR(INDEX('Output Utente'!$C$2:$C$492,MATCH(252,'Output Utente'!$Q$2:$Q$492,0)),"")</f>
        <v>Frattesi</v>
      </c>
      <c r="E255" s="7" t="str">
        <f aca="false">IFERROR(INDEX('Input Giocatori 2026_27'!$D$3:$D$493,MATCH($B255,'Input Giocatori 2026_27'!$A$3:$A$493,0)),"")</f>
        <v>Inter</v>
      </c>
      <c r="F255" s="47" t="n">
        <f aca="false">IFERROR(INDEX('Output Utente'!$N$2:$N$492,MATCH(252,'Output Utente'!$Q$2:$Q$492,0)),"")</f>
        <v>7</v>
      </c>
      <c r="G255" s="47" t="n">
        <f aca="false">IFERROR(INDEX('Output Utente'!$O$2:$O$492,MATCH(252,'Output Utente'!$Q$2:$Q$492,0)),"")</f>
        <v>13</v>
      </c>
      <c r="H255" s="7" t="str">
        <f aca="false">IFERROR(INDEX('Output Utente'!$P$2:$P$492,MATCH(252,'Output Utente'!$Q$2:$Q$492,0)),"")</f>
        <v>Nella Media</v>
      </c>
      <c r="I255" s="47" t="n">
        <f aca="false">IFERROR(INDEX('Output Utente'!$F$2:$F$492,MATCH(252,'Output Utente'!$Q$2:$Q$492,0)),"")</f>
        <v>2</v>
      </c>
      <c r="J255" s="47" t="n">
        <f aca="false">IFERROR(INDEX('Output Utente'!$G$2:$G$492,MATCH(252,'Output Utente'!$Q$2:$Q$492,0)),"")</f>
        <v>1</v>
      </c>
      <c r="K255" s="47" t="n">
        <f aca="false">IFERROR(INDEX('Output Utente'!$H$2:$H$492,MATCH(252,'Output Utente'!$Q$2:$Q$492,0)),"")</f>
        <v>2</v>
      </c>
      <c r="L255" s="7" t="str">
        <f aca="false">IFERROR(INDEX('Output Utente'!$E$2:$E$492,MATCH(252,'Output Utente'!$Q$2:$Q$492,0)),"")</f>
        <v>NO</v>
      </c>
      <c r="M255" s="7" t="str">
        <f aca="false">IFERROR(INDEX('Output Utente'!$U$2:$U$492,MATCH(252,'Output Utente'!$Q$2:$Q$492,0)),"")</f>
        <v>OK</v>
      </c>
      <c r="N255" s="7" t="str">
        <f aca="false">IFERROR(INDEX('Output Utente'!$AE$2:$AE$492,MATCH(252,'Output Utente'!$Q$2:$Q$492,0)),"")</f>
        <v>🟡 Attesa rischiosa</v>
      </c>
    </row>
    <row r="256" customFormat="false" ht="15" hidden="false" customHeight="true" outlineLevel="0" collapsed="false">
      <c r="A256" s="46" t="n">
        <v>253</v>
      </c>
      <c r="B256" s="7" t="n">
        <f aca="false">IFERROR(INDEX('Output Utente'!$A$2:$A$492,MATCH(253,'Output Utente'!$Q$2:$Q$492,0)),"")</f>
        <v>4870</v>
      </c>
      <c r="C256" s="7" t="str">
        <f aca="false">IFERROR(INDEX('Output Utente'!$B$2:$B$492,MATCH(253,'Output Utente'!$Q$2:$Q$492,0)),"")</f>
        <v>C</v>
      </c>
      <c r="D256" s="7" t="str">
        <f aca="false">IFERROR(INDEX('Output Utente'!$C$2:$C$492,MATCH(253,'Output Utente'!$Q$2:$Q$492,0)),"")</f>
        <v>Adopo</v>
      </c>
      <c r="E256" s="7" t="str">
        <f aca="false">IFERROR(INDEX('Input Giocatori 2026_27'!$D$3:$D$493,MATCH($B256,'Input Giocatori 2026_27'!$A$3:$A$493,0)),"")</f>
        <v>Cagliari</v>
      </c>
      <c r="F256" s="47" t="n">
        <f aca="false">IFERROR(INDEX('Output Utente'!$N$2:$N$492,MATCH(253,'Output Utente'!$Q$2:$Q$492,0)),"")</f>
        <v>6</v>
      </c>
      <c r="G256" s="47" t="n">
        <f aca="false">IFERROR(INDEX('Output Utente'!$O$2:$O$492,MATCH(253,'Output Utente'!$Q$2:$Q$492,0)),"")</f>
        <v>13</v>
      </c>
      <c r="H256" s="7" t="str">
        <f aca="false">IFERROR(INDEX('Output Utente'!$P$2:$P$492,MATCH(253,'Output Utente'!$Q$2:$Q$492,0)),"")</f>
        <v>Nella Media</v>
      </c>
      <c r="I256" s="47" t="n">
        <f aca="false">IFERROR(INDEX('Output Utente'!$F$2:$F$492,MATCH(253,'Output Utente'!$Q$2:$Q$492,0)),"")</f>
        <v>2</v>
      </c>
      <c r="J256" s="47" t="n">
        <f aca="false">IFERROR(INDEX('Output Utente'!$G$2:$G$492,MATCH(253,'Output Utente'!$Q$2:$Q$492,0)),"")</f>
        <v>1</v>
      </c>
      <c r="K256" s="47" t="n">
        <f aca="false">IFERROR(INDEX('Output Utente'!$H$2:$H$492,MATCH(253,'Output Utente'!$Q$2:$Q$492,0)),"")</f>
        <v>2</v>
      </c>
      <c r="L256" s="7" t="str">
        <f aca="false">IFERROR(INDEX('Output Utente'!$E$2:$E$492,MATCH(253,'Output Utente'!$Q$2:$Q$492,0)),"")</f>
        <v>NO</v>
      </c>
      <c r="M256" s="7" t="str">
        <f aca="false">IFERROR(INDEX('Output Utente'!$U$2:$U$492,MATCH(253,'Output Utente'!$Q$2:$Q$492,0)),"")</f>
        <v>OK</v>
      </c>
      <c r="N256" s="7" t="str">
        <f aca="false">IFERROR(INDEX('Output Utente'!$AE$2:$AE$492,MATCH(253,'Output Utente'!$Q$2:$Q$492,0)),"")</f>
        <v>🟡 Attesa rischiosa</v>
      </c>
    </row>
    <row r="257" customFormat="false" ht="15" hidden="false" customHeight="true" outlineLevel="0" collapsed="false">
      <c r="A257" s="46" t="n">
        <v>254</v>
      </c>
      <c r="B257" s="7" t="n">
        <f aca="false">IFERROR(INDEX('Output Utente'!$A$2:$A$492,MATCH(254,'Output Utente'!$Q$2:$Q$492,0)),"")</f>
        <v>5998</v>
      </c>
      <c r="C257" s="7" t="str">
        <f aca="false">IFERROR(INDEX('Output Utente'!$B$2:$B$492,MATCH(254,'Output Utente'!$Q$2:$Q$492,0)),"")</f>
        <v>C</v>
      </c>
      <c r="D257" s="7" t="str">
        <f aca="false">IFERROR(INDEX('Output Utente'!$C$2:$C$492,MATCH(254,'Output Utente'!$Q$2:$Q$492,0)),"")</f>
        <v>Zerbin</v>
      </c>
      <c r="E257" s="7" t="str">
        <f aca="false">IFERROR(INDEX('Input Giocatori 2026_27'!$D$3:$D$493,MATCH($B257,'Input Giocatori 2026_27'!$A$3:$A$493,0)),"")</f>
        <v>Frosinone</v>
      </c>
      <c r="F257" s="47" t="n">
        <f aca="false">IFERROR(INDEX('Output Utente'!$N$2:$N$492,MATCH(254,'Output Utente'!$Q$2:$Q$492,0)),"")</f>
        <v>5</v>
      </c>
      <c r="G257" s="47" t="n">
        <f aca="false">IFERROR(INDEX('Output Utente'!$O$2:$O$492,MATCH(254,'Output Utente'!$Q$2:$Q$492,0)),"")</f>
        <v>13</v>
      </c>
      <c r="H257" s="7" t="str">
        <f aca="false">IFERROR(INDEX('Output Utente'!$P$2:$P$492,MATCH(254,'Output Utente'!$Q$2:$Q$492,0)),"")</f>
        <v>Nella Media</v>
      </c>
      <c r="I257" s="47" t="n">
        <f aca="false">IFERROR(INDEX('Output Utente'!$F$2:$F$492,MATCH(254,'Output Utente'!$Q$2:$Q$492,0)),"")</f>
        <v>2</v>
      </c>
      <c r="J257" s="47" t="n">
        <f aca="false">IFERROR(INDEX('Output Utente'!$G$2:$G$492,MATCH(254,'Output Utente'!$Q$2:$Q$492,0)),"")</f>
        <v>1</v>
      </c>
      <c r="K257" s="47" t="n">
        <f aca="false">IFERROR(INDEX('Output Utente'!$H$2:$H$492,MATCH(254,'Output Utente'!$Q$2:$Q$492,0)),"")</f>
        <v>2</v>
      </c>
      <c r="L257" s="7" t="str">
        <f aca="false">IFERROR(INDEX('Output Utente'!$E$2:$E$492,MATCH(254,'Output Utente'!$Q$2:$Q$492,0)),"")</f>
        <v>NO</v>
      </c>
      <c r="M257" s="7" t="str">
        <f aca="false">IFERROR(INDEX('Output Utente'!$U$2:$U$492,MATCH(254,'Output Utente'!$Q$2:$Q$492,0)),"")</f>
        <v>OK</v>
      </c>
      <c r="N257" s="7" t="str">
        <f aca="false">IFERROR(INDEX('Output Utente'!$AE$2:$AE$492,MATCH(254,'Output Utente'!$Q$2:$Q$492,0)),"")</f>
        <v>🟡 Attesa rischiosa</v>
      </c>
    </row>
    <row r="258" customFormat="false" ht="15" hidden="false" customHeight="true" outlineLevel="0" collapsed="false">
      <c r="A258" s="46" t="n">
        <v>255</v>
      </c>
      <c r="B258" s="7" t="n">
        <f aca="false">IFERROR(INDEX('Output Utente'!$A$2:$A$492,MATCH(255,'Output Utente'!$Q$2:$Q$492,0)),"")</f>
        <v>6629</v>
      </c>
      <c r="C258" s="7" t="str">
        <f aca="false">IFERROR(INDEX('Output Utente'!$B$2:$B$492,MATCH(255,'Output Utente'!$Q$2:$Q$492,0)),"")</f>
        <v>C</v>
      </c>
      <c r="D258" s="7" t="str">
        <f aca="false">IFERROR(INDEX('Output Utente'!$C$2:$C$492,MATCH(255,'Output Utente'!$Q$2:$Q$492,0)),"")</f>
        <v>Dele-Bashiru</v>
      </c>
      <c r="E258" s="7" t="str">
        <f aca="false">IFERROR(INDEX('Input Giocatori 2026_27'!$D$3:$D$493,MATCH($B258,'Input Giocatori 2026_27'!$A$3:$A$493,0)),"")</f>
        <v>Lazio</v>
      </c>
      <c r="F258" s="47" t="n">
        <f aca="false">IFERROR(INDEX('Output Utente'!$N$2:$N$492,MATCH(255,'Output Utente'!$Q$2:$Q$492,0)),"")</f>
        <v>5</v>
      </c>
      <c r="G258" s="47" t="n">
        <f aca="false">IFERROR(INDEX('Output Utente'!$O$2:$O$492,MATCH(255,'Output Utente'!$Q$2:$Q$492,0)),"")</f>
        <v>13</v>
      </c>
      <c r="H258" s="7" t="str">
        <f aca="false">IFERROR(INDEX('Output Utente'!$P$2:$P$492,MATCH(255,'Output Utente'!$Q$2:$Q$492,0)),"")</f>
        <v>Nella Media</v>
      </c>
      <c r="I258" s="47" t="n">
        <f aca="false">IFERROR(INDEX('Output Utente'!$F$2:$F$492,MATCH(255,'Output Utente'!$Q$2:$Q$492,0)),"")</f>
        <v>2</v>
      </c>
      <c r="J258" s="47" t="n">
        <f aca="false">IFERROR(INDEX('Output Utente'!$G$2:$G$492,MATCH(255,'Output Utente'!$Q$2:$Q$492,0)),"")</f>
        <v>1</v>
      </c>
      <c r="K258" s="47" t="n">
        <f aca="false">IFERROR(INDEX('Output Utente'!$H$2:$H$492,MATCH(255,'Output Utente'!$Q$2:$Q$492,0)),"")</f>
        <v>2</v>
      </c>
      <c r="L258" s="7" t="str">
        <f aca="false">IFERROR(INDEX('Output Utente'!$E$2:$E$492,MATCH(255,'Output Utente'!$Q$2:$Q$492,0)),"")</f>
        <v>NO</v>
      </c>
      <c r="M258" s="7" t="str">
        <f aca="false">IFERROR(INDEX('Output Utente'!$U$2:$U$492,MATCH(255,'Output Utente'!$Q$2:$Q$492,0)),"")</f>
        <v>OK</v>
      </c>
      <c r="N258" s="7" t="str">
        <f aca="false">IFERROR(INDEX('Output Utente'!$AE$2:$AE$492,MATCH(255,'Output Utente'!$Q$2:$Q$492,0)),"")</f>
        <v>🟡 Attesa rischiosa</v>
      </c>
    </row>
    <row r="259" customFormat="false" ht="15" hidden="false" customHeight="true" outlineLevel="0" collapsed="false">
      <c r="A259" s="46" t="n">
        <v>256</v>
      </c>
      <c r="B259" s="7" t="n">
        <f aca="false">IFERROR(INDEX('Output Utente'!$A$2:$A$492,MATCH(256,'Output Utente'!$Q$2:$Q$492,0)),"")</f>
        <v>6170</v>
      </c>
      <c r="C259" s="7" t="str">
        <f aca="false">IFERROR(INDEX('Output Utente'!$B$2:$B$492,MATCH(256,'Output Utente'!$Q$2:$Q$492,0)),"")</f>
        <v>C</v>
      </c>
      <c r="D259" s="7" t="str">
        <f aca="false">IFERROR(INDEX('Output Utente'!$C$2:$C$492,MATCH(256,'Output Utente'!$Q$2:$Q$492,0)),"")</f>
        <v>Gineitis</v>
      </c>
      <c r="E259" s="7" t="str">
        <f aca="false">IFERROR(INDEX('Input Giocatori 2026_27'!$D$3:$D$493,MATCH($B259,'Input Giocatori 2026_27'!$A$3:$A$493,0)),"")</f>
        <v>Torino</v>
      </c>
      <c r="F259" s="47" t="n">
        <f aca="false">IFERROR(INDEX('Output Utente'!$N$2:$N$492,MATCH(256,'Output Utente'!$Q$2:$Q$492,0)),"")</f>
        <v>5</v>
      </c>
      <c r="G259" s="47" t="n">
        <f aca="false">IFERROR(INDEX('Output Utente'!$O$2:$O$492,MATCH(256,'Output Utente'!$Q$2:$Q$492,0)),"")</f>
        <v>13</v>
      </c>
      <c r="H259" s="7" t="str">
        <f aca="false">IFERROR(INDEX('Output Utente'!$P$2:$P$492,MATCH(256,'Output Utente'!$Q$2:$Q$492,0)),"")</f>
        <v>Nella Media</v>
      </c>
      <c r="I259" s="47" t="n">
        <f aca="false">IFERROR(INDEX('Output Utente'!$F$2:$F$492,MATCH(256,'Output Utente'!$Q$2:$Q$492,0)),"")</f>
        <v>2</v>
      </c>
      <c r="J259" s="47" t="n">
        <f aca="false">IFERROR(INDEX('Output Utente'!$G$2:$G$492,MATCH(256,'Output Utente'!$Q$2:$Q$492,0)),"")</f>
        <v>1</v>
      </c>
      <c r="K259" s="47" t="n">
        <f aca="false">IFERROR(INDEX('Output Utente'!$H$2:$H$492,MATCH(256,'Output Utente'!$Q$2:$Q$492,0)),"")</f>
        <v>2</v>
      </c>
      <c r="L259" s="7" t="str">
        <f aca="false">IFERROR(INDEX('Output Utente'!$E$2:$E$492,MATCH(256,'Output Utente'!$Q$2:$Q$492,0)),"")</f>
        <v>NO</v>
      </c>
      <c r="M259" s="7" t="str">
        <f aca="false">IFERROR(INDEX('Output Utente'!$U$2:$U$492,MATCH(256,'Output Utente'!$Q$2:$Q$492,0)),"")</f>
        <v>OK</v>
      </c>
      <c r="N259" s="7" t="str">
        <f aca="false">IFERROR(INDEX('Output Utente'!$AE$2:$AE$492,MATCH(256,'Output Utente'!$Q$2:$Q$492,0)),"")</f>
        <v>🟡 Attesa rischiosa</v>
      </c>
    </row>
    <row r="260" customFormat="false" ht="15" hidden="false" customHeight="true" outlineLevel="0" collapsed="false">
      <c r="A260" s="46" t="n">
        <v>257</v>
      </c>
      <c r="B260" s="7" t="n">
        <f aca="false">IFERROR(INDEX('Output Utente'!$A$2:$A$492,MATCH(257,'Output Utente'!$Q$2:$Q$492,0)),"")</f>
        <v>5301</v>
      </c>
      <c r="C260" s="7" t="str">
        <f aca="false">IFERROR(INDEX('Output Utente'!$B$2:$B$492,MATCH(257,'Output Utente'!$Q$2:$Q$492,0)),"")</f>
        <v>C</v>
      </c>
      <c r="D260" s="7" t="str">
        <f aca="false">IFERROR(INDEX('Output Utente'!$C$2:$C$492,MATCH(257,'Output Utente'!$Q$2:$Q$492,0)),"")</f>
        <v>Luis Henrique</v>
      </c>
      <c r="E260" s="7" t="str">
        <f aca="false">IFERROR(INDEX('Input Giocatori 2026_27'!$D$3:$D$493,MATCH($B260,'Input Giocatori 2026_27'!$A$3:$A$493,0)),"")</f>
        <v>Inter</v>
      </c>
      <c r="F260" s="47" t="n">
        <f aca="false">IFERROR(INDEX('Output Utente'!$N$2:$N$492,MATCH(257,'Output Utente'!$Q$2:$Q$492,0)),"")</f>
        <v>4</v>
      </c>
      <c r="G260" s="47" t="n">
        <f aca="false">IFERROR(INDEX('Output Utente'!$O$2:$O$492,MATCH(257,'Output Utente'!$Q$2:$Q$492,0)),"")</f>
        <v>13</v>
      </c>
      <c r="H260" s="7" t="str">
        <f aca="false">IFERROR(INDEX('Output Utente'!$P$2:$P$492,MATCH(257,'Output Utente'!$Q$2:$Q$492,0)),"")</f>
        <v>Nella Media</v>
      </c>
      <c r="I260" s="47" t="n">
        <f aca="false">IFERROR(INDEX('Output Utente'!$F$2:$F$492,MATCH(257,'Output Utente'!$Q$2:$Q$492,0)),"")</f>
        <v>2</v>
      </c>
      <c r="J260" s="47" t="n">
        <f aca="false">IFERROR(INDEX('Output Utente'!$G$2:$G$492,MATCH(257,'Output Utente'!$Q$2:$Q$492,0)),"")</f>
        <v>1</v>
      </c>
      <c r="K260" s="47" t="n">
        <f aca="false">IFERROR(INDEX('Output Utente'!$H$2:$H$492,MATCH(257,'Output Utente'!$Q$2:$Q$492,0)),"")</f>
        <v>2</v>
      </c>
      <c r="L260" s="7" t="str">
        <f aca="false">IFERROR(INDEX('Output Utente'!$E$2:$E$492,MATCH(257,'Output Utente'!$Q$2:$Q$492,0)),"")</f>
        <v>NO</v>
      </c>
      <c r="M260" s="7" t="str">
        <f aca="false">IFERROR(INDEX('Output Utente'!$U$2:$U$492,MATCH(257,'Output Utente'!$Q$2:$Q$492,0)),"")</f>
        <v>OK</v>
      </c>
      <c r="N260" s="7" t="str">
        <f aca="false">IFERROR(INDEX('Output Utente'!$AE$2:$AE$492,MATCH(257,'Output Utente'!$Q$2:$Q$492,0)),"")</f>
        <v>🟡 Attesa rischiosa</v>
      </c>
    </row>
    <row r="261" customFormat="false" ht="15" hidden="false" customHeight="true" outlineLevel="0" collapsed="false">
      <c r="A261" s="46" t="n">
        <v>258</v>
      </c>
      <c r="B261" s="7" t="n">
        <f aca="false">IFERROR(INDEX('Output Utente'!$A$2:$A$492,MATCH(258,'Output Utente'!$Q$2:$Q$492,0)),"")</f>
        <v>7535</v>
      </c>
      <c r="C261" s="7" t="str">
        <f aca="false">IFERROR(INDEX('Output Utente'!$B$2:$B$492,MATCH(258,'Output Utente'!$Q$2:$Q$492,0)),"")</f>
        <v>C</v>
      </c>
      <c r="D261" s="7" t="str">
        <f aca="false">IFERROR(INDEX('Output Utente'!$C$2:$C$492,MATCH(258,'Output Utente'!$Q$2:$Q$492,0)),"")</f>
        <v>Fitz-Jim</v>
      </c>
      <c r="E261" s="7" t="str">
        <f aca="false">IFERROR(INDEX('Input Giocatori 2026_27'!$D$3:$D$493,MATCH($B261,'Input Giocatori 2026_27'!$A$3:$A$493,0)),"")</f>
        <v>Torino</v>
      </c>
      <c r="F261" s="47" t="n">
        <f aca="false">IFERROR(INDEX('Output Utente'!$N$2:$N$492,MATCH(258,'Output Utente'!$Q$2:$Q$492,0)),"")</f>
        <v>4</v>
      </c>
      <c r="G261" s="47" t="n">
        <f aca="false">IFERROR(INDEX('Output Utente'!$O$2:$O$492,MATCH(258,'Output Utente'!$Q$2:$Q$492,0)),"")</f>
        <v>13</v>
      </c>
      <c r="H261" s="7" t="str">
        <f aca="false">IFERROR(INDEX('Output Utente'!$P$2:$P$492,MATCH(258,'Output Utente'!$Q$2:$Q$492,0)),"")</f>
        <v>Nella Media</v>
      </c>
      <c r="I261" s="47" t="n">
        <f aca="false">IFERROR(INDEX('Output Utente'!$F$2:$F$492,MATCH(258,'Output Utente'!$Q$2:$Q$492,0)),"")</f>
        <v>2</v>
      </c>
      <c r="J261" s="47" t="n">
        <f aca="false">IFERROR(INDEX('Output Utente'!$G$2:$G$492,MATCH(258,'Output Utente'!$Q$2:$Q$492,0)),"")</f>
        <v>1</v>
      </c>
      <c r="K261" s="47" t="n">
        <f aca="false">IFERROR(INDEX('Output Utente'!$H$2:$H$492,MATCH(258,'Output Utente'!$Q$2:$Q$492,0)),"")</f>
        <v>2</v>
      </c>
      <c r="L261" s="7" t="str">
        <f aca="false">IFERROR(INDEX('Output Utente'!$E$2:$E$492,MATCH(258,'Output Utente'!$Q$2:$Q$492,0)),"")</f>
        <v>NO</v>
      </c>
      <c r="M261" s="7" t="str">
        <f aca="false">IFERROR(INDEX('Output Utente'!$U$2:$U$492,MATCH(258,'Output Utente'!$Q$2:$Q$492,0)),"")</f>
        <v>OK</v>
      </c>
      <c r="N261" s="7" t="str">
        <f aca="false">IFERROR(INDEX('Output Utente'!$AE$2:$AE$492,MATCH(258,'Output Utente'!$Q$2:$Q$492,0)),"")</f>
        <v>🟡 Attesa rischiosa</v>
      </c>
    </row>
    <row r="262" customFormat="false" ht="15" hidden="false" customHeight="true" outlineLevel="0" collapsed="false">
      <c r="A262" s="46" t="n">
        <v>259</v>
      </c>
      <c r="B262" s="7" t="n">
        <f aca="false">IFERROR(INDEX('Output Utente'!$A$2:$A$492,MATCH(259,'Output Utente'!$Q$2:$Q$492,0)),"")</f>
        <v>7213</v>
      </c>
      <c r="C262" s="7" t="str">
        <f aca="false">IFERROR(INDEX('Output Utente'!$B$2:$B$492,MATCH(259,'Output Utente'!$Q$2:$Q$492,0)),"")</f>
        <v>A</v>
      </c>
      <c r="D262" s="7" t="str">
        <f aca="false">IFERROR(INDEX('Output Utente'!$C$2:$C$492,MATCH(259,'Output Utente'!$Q$2:$Q$492,0)),"")</f>
        <v>Frigan</v>
      </c>
      <c r="E262" s="7" t="str">
        <f aca="false">IFERROR(INDEX('Input Giocatori 2026_27'!$D$3:$D$493,MATCH($B262,'Input Giocatori 2026_27'!$A$3:$A$493,0)),"")</f>
        <v>Parma</v>
      </c>
      <c r="F262" s="47" t="n">
        <f aca="false">IFERROR(INDEX('Output Utente'!$N$2:$N$492,MATCH(259,'Output Utente'!$Q$2:$Q$492,0)),"")</f>
        <v>5</v>
      </c>
      <c r="G262" s="47" t="n">
        <f aca="false">IFERROR(INDEX('Output Utente'!$O$2:$O$492,MATCH(259,'Output Utente'!$Q$2:$Q$492,0)),"")</f>
        <v>13</v>
      </c>
      <c r="H262" s="7" t="str">
        <f aca="false">IFERROR(INDEX('Output Utente'!$P$2:$P$492,MATCH(259,'Output Utente'!$Q$2:$Q$492,0)),"")</f>
        <v>Scommessa/Riserva</v>
      </c>
      <c r="I262" s="47" t="n">
        <f aca="false">IFERROR(INDEX('Output Utente'!$F$2:$F$492,MATCH(259,'Output Utente'!$Q$2:$Q$492,0)),"")</f>
        <v>4</v>
      </c>
      <c r="J262" s="47" t="n">
        <f aca="false">IFERROR(INDEX('Output Utente'!$G$2:$G$492,MATCH(259,'Output Utente'!$Q$2:$Q$492,0)),"")</f>
        <v>3</v>
      </c>
      <c r="K262" s="47" t="n">
        <f aca="false">IFERROR(INDEX('Output Utente'!$H$2:$H$492,MATCH(259,'Output Utente'!$Q$2:$Q$492,0)),"")</f>
        <v>5</v>
      </c>
      <c r="L262" s="7" t="str">
        <f aca="false">IFERROR(INDEX('Output Utente'!$E$2:$E$492,MATCH(259,'Output Utente'!$Q$2:$Q$492,0)),"")</f>
        <v>NO</v>
      </c>
      <c r="M262" s="7" t="str">
        <f aca="false">IFERROR(INDEX('Output Utente'!$U$2:$U$492,MATCH(259,'Output Utente'!$Q$2:$Q$492,0)),"")</f>
        <v>OK</v>
      </c>
      <c r="N262" s="7" t="str">
        <f aca="false">IFERROR(INDEX('Output Utente'!$AE$2:$AE$492,MATCH(259,'Output Utente'!$Q$2:$Q$492,0)),"")</f>
        <v>🔴 Non aspettare</v>
      </c>
    </row>
    <row r="263" customFormat="false" ht="15" hidden="false" customHeight="true" outlineLevel="0" collapsed="false">
      <c r="A263" s="46" t="n">
        <v>260</v>
      </c>
      <c r="B263" s="7" t="n">
        <f aca="false">IFERROR(INDEX('Output Utente'!$A$2:$A$492,MATCH(260,'Output Utente'!$Q$2:$Q$492,0)),"")</f>
        <v>4485</v>
      </c>
      <c r="C263" s="7" t="str">
        <f aca="false">IFERROR(INDEX('Output Utente'!$B$2:$B$492,MATCH(260,'Output Utente'!$Q$2:$Q$492,0)),"")</f>
        <v>P</v>
      </c>
      <c r="D263" s="7" t="str">
        <f aca="false">IFERROR(INDEX('Output Utente'!$C$2:$C$492,MATCH(260,'Output Utente'!$Q$2:$Q$492,0)),"")</f>
        <v>Thiam</v>
      </c>
      <c r="E263" s="7" t="str">
        <f aca="false">IFERROR(INDEX('Input Giocatori 2026_27'!$D$3:$D$493,MATCH($B263,'Input Giocatori 2026_27'!$A$3:$A$493,0)),"")</f>
        <v>Monza</v>
      </c>
      <c r="F263" s="47" t="n">
        <f aca="false">IFERROR(INDEX('Output Utente'!$N$2:$N$492,MATCH(260,'Output Utente'!$Q$2:$Q$492,0)),"")</f>
        <v>5</v>
      </c>
      <c r="G263" s="47" t="n">
        <f aca="false">IFERROR(INDEX('Output Utente'!$O$2:$O$492,MATCH(260,'Output Utente'!$Q$2:$Q$492,0)),"")</f>
        <v>12</v>
      </c>
      <c r="H263" s="7" t="str">
        <f aca="false">IFERROR(INDEX('Output Utente'!$P$2:$P$492,MATCH(260,'Output Utente'!$Q$2:$Q$492,0)),"")</f>
        <v>Buono</v>
      </c>
      <c r="I263" s="47" t="n">
        <f aca="false">IFERROR(INDEX('Output Utente'!$F$2:$F$492,MATCH(260,'Output Utente'!$Q$2:$Q$492,0)),"")</f>
        <v>4</v>
      </c>
      <c r="J263" s="47" t="n">
        <f aca="false">IFERROR(INDEX('Output Utente'!$G$2:$G$492,MATCH(260,'Output Utente'!$Q$2:$Q$492,0)),"")</f>
        <v>3</v>
      </c>
      <c r="K263" s="47" t="n">
        <f aca="false">IFERROR(INDEX('Output Utente'!$H$2:$H$492,MATCH(260,'Output Utente'!$Q$2:$Q$492,0)),"")</f>
        <v>5</v>
      </c>
      <c r="L263" s="7" t="str">
        <f aca="false">IFERROR(INDEX('Output Utente'!$E$2:$E$492,MATCH(260,'Output Utente'!$Q$2:$Q$492,0)),"")</f>
        <v>NO</v>
      </c>
      <c r="M263" s="7" t="str">
        <f aca="false">IFERROR(INDEX('Output Utente'!$U$2:$U$492,MATCH(260,'Output Utente'!$Q$2:$Q$492,0)),"")</f>
        <v>OK</v>
      </c>
      <c r="N263" s="7" t="str">
        <f aca="false">IFERROR(INDEX('Output Utente'!$AE$2:$AE$492,MATCH(260,'Output Utente'!$Q$2:$Q$492,0)),"")</f>
        <v>🟡 Attesa rischiosa</v>
      </c>
    </row>
    <row r="264" customFormat="false" ht="15" hidden="false" customHeight="true" outlineLevel="0" collapsed="false">
      <c r="A264" s="46" t="n">
        <v>261</v>
      </c>
      <c r="B264" s="7" t="n">
        <f aca="false">IFERROR(INDEX('Output Utente'!$A$2:$A$492,MATCH(261,'Output Utente'!$Q$2:$Q$492,0)),"")</f>
        <v>5555</v>
      </c>
      <c r="C264" s="7" t="str">
        <f aca="false">IFERROR(INDEX('Output Utente'!$B$2:$B$492,MATCH(261,'Output Utente'!$Q$2:$Q$492,0)),"")</f>
        <v>D</v>
      </c>
      <c r="D264" s="7" t="str">
        <f aca="false">IFERROR(INDEX('Output Utente'!$C$2:$C$492,MATCH(261,'Output Utente'!$Q$2:$Q$492,0)),"")</f>
        <v>Kamara H.</v>
      </c>
      <c r="E264" s="7" t="str">
        <f aca="false">IFERROR(INDEX('Input Giocatori 2026_27'!$D$3:$D$493,MATCH($B264,'Input Giocatori 2026_27'!$A$3:$A$493,0)),"")</f>
        <v>Udinese</v>
      </c>
      <c r="F264" s="47" t="n">
        <f aca="false">IFERROR(INDEX('Output Utente'!$N$2:$N$492,MATCH(261,'Output Utente'!$Q$2:$Q$492,0)),"")</f>
        <v>6</v>
      </c>
      <c r="G264" s="47" t="n">
        <f aca="false">IFERROR(INDEX('Output Utente'!$O$2:$O$492,MATCH(261,'Output Utente'!$Q$2:$Q$492,0)),"")</f>
        <v>12</v>
      </c>
      <c r="H264" s="7" t="str">
        <f aca="false">IFERROR(INDEX('Output Utente'!$P$2:$P$492,MATCH(261,'Output Utente'!$Q$2:$Q$492,0)),"")</f>
        <v>Nella Media</v>
      </c>
      <c r="I264" s="47" t="n">
        <f aca="false">IFERROR(INDEX('Output Utente'!$F$2:$F$492,MATCH(261,'Output Utente'!$Q$2:$Q$492,0)),"")</f>
        <v>2</v>
      </c>
      <c r="J264" s="47" t="n">
        <f aca="false">IFERROR(INDEX('Output Utente'!$G$2:$G$492,MATCH(261,'Output Utente'!$Q$2:$Q$492,0)),"")</f>
        <v>2</v>
      </c>
      <c r="K264" s="47" t="n">
        <f aca="false">IFERROR(INDEX('Output Utente'!$H$2:$H$492,MATCH(261,'Output Utente'!$Q$2:$Q$492,0)),"")</f>
        <v>2</v>
      </c>
      <c r="L264" s="7" t="str">
        <f aca="false">IFERROR(INDEX('Output Utente'!$E$2:$E$492,MATCH(261,'Output Utente'!$Q$2:$Q$492,0)),"")</f>
        <v>NO</v>
      </c>
      <c r="M264" s="7" t="str">
        <f aca="false">IFERROR(INDEX('Output Utente'!$U$2:$U$492,MATCH(261,'Output Utente'!$Q$2:$Q$492,0)),"")</f>
        <v>OK</v>
      </c>
      <c r="N264" s="7" t="str">
        <f aca="false">IFERROR(INDEX('Output Utente'!$AE$2:$AE$492,MATCH(261,'Output Utente'!$Q$2:$Q$492,0)),"")</f>
        <v>🟡 Attesa rischiosa</v>
      </c>
    </row>
    <row r="265" customFormat="false" ht="15" hidden="false" customHeight="true" outlineLevel="0" collapsed="false">
      <c r="A265" s="46" t="n">
        <v>262</v>
      </c>
      <c r="B265" s="7" t="n">
        <f aca="false">IFERROR(INDEX('Output Utente'!$A$2:$A$492,MATCH(262,'Output Utente'!$Q$2:$Q$492,0)),"")</f>
        <v>2640</v>
      </c>
      <c r="C265" s="7" t="str">
        <f aca="false">IFERROR(INDEX('Output Utente'!$B$2:$B$492,MATCH(262,'Output Utente'!$Q$2:$Q$492,0)),"")</f>
        <v>D</v>
      </c>
      <c r="D265" s="7" t="str">
        <f aca="false">IFERROR(INDEX('Output Utente'!$C$2:$C$492,MATCH(262,'Output Utente'!$Q$2:$Q$492,0)),"")</f>
        <v>Kolasinac</v>
      </c>
      <c r="E265" s="7" t="str">
        <f aca="false">IFERROR(INDEX('Input Giocatori 2026_27'!$D$3:$D$493,MATCH($B265,'Input Giocatori 2026_27'!$A$3:$A$493,0)),"")</f>
        <v>Atalanta</v>
      </c>
      <c r="F265" s="47" t="n">
        <f aca="false">IFERROR(INDEX('Output Utente'!$N$2:$N$492,MATCH(262,'Output Utente'!$Q$2:$Q$492,0)),"")</f>
        <v>5</v>
      </c>
      <c r="G265" s="47" t="n">
        <f aca="false">IFERROR(INDEX('Output Utente'!$O$2:$O$492,MATCH(262,'Output Utente'!$Q$2:$Q$492,0)),"")</f>
        <v>12</v>
      </c>
      <c r="H265" s="7" t="str">
        <f aca="false">IFERROR(INDEX('Output Utente'!$P$2:$P$492,MATCH(262,'Output Utente'!$Q$2:$Q$492,0)),"")</f>
        <v>Nella Media</v>
      </c>
      <c r="I265" s="47" t="n">
        <f aca="false">IFERROR(INDEX('Output Utente'!$F$2:$F$492,MATCH(262,'Output Utente'!$Q$2:$Q$492,0)),"")</f>
        <v>2</v>
      </c>
      <c r="J265" s="47" t="n">
        <f aca="false">IFERROR(INDEX('Output Utente'!$G$2:$G$492,MATCH(262,'Output Utente'!$Q$2:$Q$492,0)),"")</f>
        <v>2</v>
      </c>
      <c r="K265" s="47" t="n">
        <f aca="false">IFERROR(INDEX('Output Utente'!$H$2:$H$492,MATCH(262,'Output Utente'!$Q$2:$Q$492,0)),"")</f>
        <v>2</v>
      </c>
      <c r="L265" s="7" t="str">
        <f aca="false">IFERROR(INDEX('Output Utente'!$E$2:$E$492,MATCH(262,'Output Utente'!$Q$2:$Q$492,0)),"")</f>
        <v>NO</v>
      </c>
      <c r="M265" s="7" t="str">
        <f aca="false">IFERROR(INDEX('Output Utente'!$U$2:$U$492,MATCH(262,'Output Utente'!$Q$2:$Q$492,0)),"")</f>
        <v>OK</v>
      </c>
      <c r="N265" s="7" t="str">
        <f aca="false">IFERROR(INDEX('Output Utente'!$AE$2:$AE$492,MATCH(262,'Output Utente'!$Q$2:$Q$492,0)),"")</f>
        <v>🟡 Attesa rischiosa</v>
      </c>
    </row>
    <row r="266" customFormat="false" ht="15" hidden="false" customHeight="true" outlineLevel="0" collapsed="false">
      <c r="A266" s="46" t="n">
        <v>263</v>
      </c>
      <c r="B266" s="7" t="n">
        <f aca="false">IFERROR(INDEX('Output Utente'!$A$2:$A$492,MATCH(263,'Output Utente'!$Q$2:$Q$492,0)),"")</f>
        <v>5449</v>
      </c>
      <c r="C266" s="7" t="str">
        <f aca="false">IFERROR(INDEX('Output Utente'!$B$2:$B$492,MATCH(263,'Output Utente'!$Q$2:$Q$492,0)),"")</f>
        <v>D</v>
      </c>
      <c r="D266" s="7" t="str">
        <f aca="false">IFERROR(INDEX('Output Utente'!$C$2:$C$492,MATCH(263,'Output Utente'!$Q$2:$Q$492,0)),"")</f>
        <v>Parisi</v>
      </c>
      <c r="E266" s="7" t="str">
        <f aca="false">IFERROR(INDEX('Input Giocatori 2026_27'!$D$3:$D$493,MATCH($B266,'Input Giocatori 2026_27'!$A$3:$A$493,0)),"")</f>
        <v>Fiorentina</v>
      </c>
      <c r="F266" s="47" t="n">
        <f aca="false">IFERROR(INDEX('Output Utente'!$N$2:$N$492,MATCH(263,'Output Utente'!$Q$2:$Q$492,0)),"")</f>
        <v>5</v>
      </c>
      <c r="G266" s="47" t="n">
        <f aca="false">IFERROR(INDEX('Output Utente'!$O$2:$O$492,MATCH(263,'Output Utente'!$Q$2:$Q$492,0)),"")</f>
        <v>12</v>
      </c>
      <c r="H266" s="7" t="str">
        <f aca="false">IFERROR(INDEX('Output Utente'!$P$2:$P$492,MATCH(263,'Output Utente'!$Q$2:$Q$492,0)),"")</f>
        <v>Nella Media</v>
      </c>
      <c r="I266" s="47" t="n">
        <f aca="false">IFERROR(INDEX('Output Utente'!$F$2:$F$492,MATCH(263,'Output Utente'!$Q$2:$Q$492,0)),"")</f>
        <v>2</v>
      </c>
      <c r="J266" s="47" t="n">
        <f aca="false">IFERROR(INDEX('Output Utente'!$G$2:$G$492,MATCH(263,'Output Utente'!$Q$2:$Q$492,0)),"")</f>
        <v>2</v>
      </c>
      <c r="K266" s="47" t="n">
        <f aca="false">IFERROR(INDEX('Output Utente'!$H$2:$H$492,MATCH(263,'Output Utente'!$Q$2:$Q$492,0)),"")</f>
        <v>2</v>
      </c>
      <c r="L266" s="7" t="str">
        <f aca="false">IFERROR(INDEX('Output Utente'!$E$2:$E$492,MATCH(263,'Output Utente'!$Q$2:$Q$492,0)),"")</f>
        <v>NO</v>
      </c>
      <c r="M266" s="7" t="str">
        <f aca="false">IFERROR(INDEX('Output Utente'!$U$2:$U$492,MATCH(263,'Output Utente'!$Q$2:$Q$492,0)),"")</f>
        <v>OK</v>
      </c>
      <c r="N266" s="7" t="str">
        <f aca="false">IFERROR(INDEX('Output Utente'!$AE$2:$AE$492,MATCH(263,'Output Utente'!$Q$2:$Q$492,0)),"")</f>
        <v>🟡 Attesa rischiosa</v>
      </c>
    </row>
    <row r="267" customFormat="false" ht="15" hidden="false" customHeight="true" outlineLevel="0" collapsed="false">
      <c r="A267" s="46" t="n">
        <v>264</v>
      </c>
      <c r="B267" s="7" t="n">
        <f aca="false">IFERROR(INDEX('Output Utente'!$A$2:$A$492,MATCH(264,'Output Utente'!$Q$2:$Q$492,0)),"")</f>
        <v>6238</v>
      </c>
      <c r="C267" s="7" t="str">
        <f aca="false">IFERROR(INDEX('Output Utente'!$B$2:$B$492,MATCH(264,'Output Utente'!$Q$2:$Q$492,0)),"")</f>
        <v>D</v>
      </c>
      <c r="D267" s="7" t="str">
        <f aca="false">IFERROR(INDEX('Output Utente'!$C$2:$C$492,MATCH(264,'Output Utente'!$Q$2:$Q$492,0)),"")</f>
        <v>Oyono A.</v>
      </c>
      <c r="E267" s="7" t="str">
        <f aca="false">IFERROR(INDEX('Input Giocatori 2026_27'!$D$3:$D$493,MATCH($B267,'Input Giocatori 2026_27'!$A$3:$A$493,0)),"")</f>
        <v>Frosinone</v>
      </c>
      <c r="F267" s="47" t="n">
        <f aca="false">IFERROR(INDEX('Output Utente'!$N$2:$N$492,MATCH(264,'Output Utente'!$Q$2:$Q$492,0)),"")</f>
        <v>5</v>
      </c>
      <c r="G267" s="47" t="n">
        <f aca="false">IFERROR(INDEX('Output Utente'!$O$2:$O$492,MATCH(264,'Output Utente'!$Q$2:$Q$492,0)),"")</f>
        <v>12</v>
      </c>
      <c r="H267" s="7" t="str">
        <f aca="false">IFERROR(INDEX('Output Utente'!$P$2:$P$492,MATCH(264,'Output Utente'!$Q$2:$Q$492,0)),"")</f>
        <v>Nella Media</v>
      </c>
      <c r="I267" s="47" t="n">
        <f aca="false">IFERROR(INDEX('Output Utente'!$F$2:$F$492,MATCH(264,'Output Utente'!$Q$2:$Q$492,0)),"")</f>
        <v>2</v>
      </c>
      <c r="J267" s="47" t="n">
        <f aca="false">IFERROR(INDEX('Output Utente'!$G$2:$G$492,MATCH(264,'Output Utente'!$Q$2:$Q$492,0)),"")</f>
        <v>2</v>
      </c>
      <c r="K267" s="47" t="n">
        <f aca="false">IFERROR(INDEX('Output Utente'!$H$2:$H$492,MATCH(264,'Output Utente'!$Q$2:$Q$492,0)),"")</f>
        <v>2</v>
      </c>
      <c r="L267" s="7" t="str">
        <f aca="false">IFERROR(INDEX('Output Utente'!$E$2:$E$492,MATCH(264,'Output Utente'!$Q$2:$Q$492,0)),"")</f>
        <v>NO</v>
      </c>
      <c r="M267" s="7" t="str">
        <f aca="false">IFERROR(INDEX('Output Utente'!$U$2:$U$492,MATCH(264,'Output Utente'!$Q$2:$Q$492,0)),"")</f>
        <v>OK</v>
      </c>
      <c r="N267" s="7" t="str">
        <f aca="false">IFERROR(INDEX('Output Utente'!$AE$2:$AE$492,MATCH(264,'Output Utente'!$Q$2:$Q$492,0)),"")</f>
        <v>🟡 Attesa rischiosa</v>
      </c>
    </row>
    <row r="268" customFormat="false" ht="15" hidden="false" customHeight="true" outlineLevel="0" collapsed="false">
      <c r="A268" s="46" t="n">
        <v>265</v>
      </c>
      <c r="B268" s="7" t="n">
        <f aca="false">IFERROR(INDEX('Output Utente'!$A$2:$A$492,MATCH(265,'Output Utente'!$Q$2:$Q$492,0)),"")</f>
        <v>6632</v>
      </c>
      <c r="C268" s="7" t="str">
        <f aca="false">IFERROR(INDEX('Output Utente'!$B$2:$B$492,MATCH(265,'Output Utente'!$Q$2:$Q$492,0)),"")</f>
        <v>D</v>
      </c>
      <c r="D268" s="7" t="str">
        <f aca="false">IFERROR(INDEX('Output Utente'!$C$2:$C$492,MATCH(265,'Output Utente'!$Q$2:$Q$492,0)),"")</f>
        <v>Gaspar K.</v>
      </c>
      <c r="E268" s="7" t="str">
        <f aca="false">IFERROR(INDEX('Input Giocatori 2026_27'!$D$3:$D$493,MATCH($B268,'Input Giocatori 2026_27'!$A$3:$A$493,0)),"")</f>
        <v>Lecce</v>
      </c>
      <c r="F268" s="47" t="n">
        <f aca="false">IFERROR(INDEX('Output Utente'!$N$2:$N$492,MATCH(265,'Output Utente'!$Q$2:$Q$492,0)),"")</f>
        <v>5</v>
      </c>
      <c r="G268" s="47" t="n">
        <f aca="false">IFERROR(INDEX('Output Utente'!$O$2:$O$492,MATCH(265,'Output Utente'!$Q$2:$Q$492,0)),"")</f>
        <v>12</v>
      </c>
      <c r="H268" s="7" t="str">
        <f aca="false">IFERROR(INDEX('Output Utente'!$P$2:$P$492,MATCH(265,'Output Utente'!$Q$2:$Q$492,0)),"")</f>
        <v>Nella Media</v>
      </c>
      <c r="I268" s="47" t="n">
        <f aca="false">IFERROR(INDEX('Output Utente'!$F$2:$F$492,MATCH(265,'Output Utente'!$Q$2:$Q$492,0)),"")</f>
        <v>2</v>
      </c>
      <c r="J268" s="47" t="n">
        <f aca="false">IFERROR(INDEX('Output Utente'!$G$2:$G$492,MATCH(265,'Output Utente'!$Q$2:$Q$492,0)),"")</f>
        <v>2</v>
      </c>
      <c r="K268" s="47" t="n">
        <f aca="false">IFERROR(INDEX('Output Utente'!$H$2:$H$492,MATCH(265,'Output Utente'!$Q$2:$Q$492,0)),"")</f>
        <v>2</v>
      </c>
      <c r="L268" s="7" t="str">
        <f aca="false">IFERROR(INDEX('Output Utente'!$E$2:$E$492,MATCH(265,'Output Utente'!$Q$2:$Q$492,0)),"")</f>
        <v>NO</v>
      </c>
      <c r="M268" s="7" t="str">
        <f aca="false">IFERROR(INDEX('Output Utente'!$U$2:$U$492,MATCH(265,'Output Utente'!$Q$2:$Q$492,0)),"")</f>
        <v>OK</v>
      </c>
      <c r="N268" s="7" t="str">
        <f aca="false">IFERROR(INDEX('Output Utente'!$AE$2:$AE$492,MATCH(265,'Output Utente'!$Q$2:$Q$492,0)),"")</f>
        <v>🟡 Attesa rischiosa</v>
      </c>
    </row>
    <row r="269" customFormat="false" ht="15" hidden="false" customHeight="true" outlineLevel="0" collapsed="false">
      <c r="A269" s="46" t="n">
        <v>266</v>
      </c>
      <c r="B269" s="7" t="n">
        <f aca="false">IFERROR(INDEX('Output Utente'!$A$2:$A$492,MATCH(266,'Output Utente'!$Q$2:$Q$492,0)),"")</f>
        <v>7240</v>
      </c>
      <c r="C269" s="7" t="str">
        <f aca="false">IFERROR(INDEX('Output Utente'!$B$2:$B$492,MATCH(266,'Output Utente'!$Q$2:$Q$492,0)),"")</f>
        <v>D</v>
      </c>
      <c r="D269" s="7" t="str">
        <f aca="false">IFERROR(INDEX('Output Utente'!$C$2:$C$492,MATCH(266,'Output Utente'!$Q$2:$Q$492,0)),"")</f>
        <v>Siebert</v>
      </c>
      <c r="E269" s="7" t="str">
        <f aca="false">IFERROR(INDEX('Input Giocatori 2026_27'!$D$3:$D$493,MATCH($B269,'Input Giocatori 2026_27'!$A$3:$A$493,0)),"")</f>
        <v>Lecce</v>
      </c>
      <c r="F269" s="47" t="n">
        <f aca="false">IFERROR(INDEX('Output Utente'!$N$2:$N$492,MATCH(266,'Output Utente'!$Q$2:$Q$492,0)),"")</f>
        <v>4</v>
      </c>
      <c r="G269" s="47" t="n">
        <f aca="false">IFERROR(INDEX('Output Utente'!$O$2:$O$492,MATCH(266,'Output Utente'!$Q$2:$Q$492,0)),"")</f>
        <v>12</v>
      </c>
      <c r="H269" s="7" t="str">
        <f aca="false">IFERROR(INDEX('Output Utente'!$P$2:$P$492,MATCH(266,'Output Utente'!$Q$2:$Q$492,0)),"")</f>
        <v>Nella Media</v>
      </c>
      <c r="I269" s="47" t="n">
        <f aca="false">IFERROR(INDEX('Output Utente'!$F$2:$F$492,MATCH(266,'Output Utente'!$Q$2:$Q$492,0)),"")</f>
        <v>2</v>
      </c>
      <c r="J269" s="47" t="n">
        <f aca="false">IFERROR(INDEX('Output Utente'!$G$2:$G$492,MATCH(266,'Output Utente'!$Q$2:$Q$492,0)),"")</f>
        <v>2</v>
      </c>
      <c r="K269" s="47" t="n">
        <f aca="false">IFERROR(INDEX('Output Utente'!$H$2:$H$492,MATCH(266,'Output Utente'!$Q$2:$Q$492,0)),"")</f>
        <v>2</v>
      </c>
      <c r="L269" s="7" t="str">
        <f aca="false">IFERROR(INDEX('Output Utente'!$E$2:$E$492,MATCH(266,'Output Utente'!$Q$2:$Q$492,0)),"")</f>
        <v>NO</v>
      </c>
      <c r="M269" s="7" t="str">
        <f aca="false">IFERROR(INDEX('Output Utente'!$U$2:$U$492,MATCH(266,'Output Utente'!$Q$2:$Q$492,0)),"")</f>
        <v>OK</v>
      </c>
      <c r="N269" s="7" t="str">
        <f aca="false">IFERROR(INDEX('Output Utente'!$AE$2:$AE$492,MATCH(266,'Output Utente'!$Q$2:$Q$492,0)),"")</f>
        <v>🟡 Attesa rischiosa</v>
      </c>
    </row>
    <row r="270" customFormat="false" ht="15" hidden="false" customHeight="true" outlineLevel="0" collapsed="false">
      <c r="A270" s="46" t="n">
        <v>267</v>
      </c>
      <c r="B270" s="7" t="n">
        <f aca="false">IFERROR(INDEX('Output Utente'!$A$2:$A$492,MATCH(267,'Output Utente'!$Q$2:$Q$492,0)),"")</f>
        <v>6659</v>
      </c>
      <c r="C270" s="7" t="str">
        <f aca="false">IFERROR(INDEX('Output Utente'!$B$2:$B$492,MATCH(267,'Output Utente'!$Q$2:$Q$492,0)),"")</f>
        <v>D</v>
      </c>
      <c r="D270" s="7" t="str">
        <f aca="false">IFERROR(INDEX('Output Utente'!$C$2:$C$492,MATCH(267,'Output Utente'!$Q$2:$Q$492,0)),"")</f>
        <v>Lucchesi</v>
      </c>
      <c r="E270" s="7" t="str">
        <f aca="false">IFERROR(INDEX('Input Giocatori 2026_27'!$D$3:$D$493,MATCH($B270,'Input Giocatori 2026_27'!$A$3:$A$493,0)),"")</f>
        <v>Monza</v>
      </c>
      <c r="F270" s="47" t="n">
        <f aca="false">IFERROR(INDEX('Output Utente'!$N$2:$N$492,MATCH(267,'Output Utente'!$Q$2:$Q$492,0)),"")</f>
        <v>4</v>
      </c>
      <c r="G270" s="47" t="n">
        <f aca="false">IFERROR(INDEX('Output Utente'!$O$2:$O$492,MATCH(267,'Output Utente'!$Q$2:$Q$492,0)),"")</f>
        <v>12</v>
      </c>
      <c r="H270" s="7" t="str">
        <f aca="false">IFERROR(INDEX('Output Utente'!$P$2:$P$492,MATCH(267,'Output Utente'!$Q$2:$Q$492,0)),"")</f>
        <v>Nella Media</v>
      </c>
      <c r="I270" s="47" t="n">
        <f aca="false">IFERROR(INDEX('Output Utente'!$F$2:$F$492,MATCH(267,'Output Utente'!$Q$2:$Q$492,0)),"")</f>
        <v>2</v>
      </c>
      <c r="J270" s="47" t="n">
        <f aca="false">IFERROR(INDEX('Output Utente'!$G$2:$G$492,MATCH(267,'Output Utente'!$Q$2:$Q$492,0)),"")</f>
        <v>2</v>
      </c>
      <c r="K270" s="47" t="n">
        <f aca="false">IFERROR(INDEX('Output Utente'!$H$2:$H$492,MATCH(267,'Output Utente'!$Q$2:$Q$492,0)),"")</f>
        <v>2</v>
      </c>
      <c r="L270" s="7" t="str">
        <f aca="false">IFERROR(INDEX('Output Utente'!$E$2:$E$492,MATCH(267,'Output Utente'!$Q$2:$Q$492,0)),"")</f>
        <v>NO</v>
      </c>
      <c r="M270" s="7" t="str">
        <f aca="false">IFERROR(INDEX('Output Utente'!$U$2:$U$492,MATCH(267,'Output Utente'!$Q$2:$Q$492,0)),"")</f>
        <v>OK</v>
      </c>
      <c r="N270" s="7" t="str">
        <f aca="false">IFERROR(INDEX('Output Utente'!$AE$2:$AE$492,MATCH(267,'Output Utente'!$Q$2:$Q$492,0)),"")</f>
        <v>🟡 Attesa rischiosa</v>
      </c>
    </row>
    <row r="271" customFormat="false" ht="15" hidden="false" customHeight="true" outlineLevel="0" collapsed="false">
      <c r="A271" s="46" t="n">
        <v>268</v>
      </c>
      <c r="B271" s="7" t="n">
        <f aca="false">IFERROR(INDEX('Output Utente'!$A$2:$A$492,MATCH(268,'Output Utente'!$Q$2:$Q$492,0)),"")</f>
        <v>5838</v>
      </c>
      <c r="C271" s="7" t="str">
        <f aca="false">IFERROR(INDEX('Output Utente'!$B$2:$B$492,MATCH(268,'Output Utente'!$Q$2:$Q$492,0)),"")</f>
        <v>D</v>
      </c>
      <c r="D271" s="7" t="str">
        <f aca="false">IFERROR(INDEX('Output Utente'!$C$2:$C$492,MATCH(268,'Output Utente'!$Q$2:$Q$492,0)),"")</f>
        <v>Birindelli</v>
      </c>
      <c r="E271" s="7" t="str">
        <f aca="false">IFERROR(INDEX('Input Giocatori 2026_27'!$D$3:$D$493,MATCH($B271,'Input Giocatori 2026_27'!$A$3:$A$493,0)),"")</f>
        <v>Monza</v>
      </c>
      <c r="F271" s="47" t="n">
        <f aca="false">IFERROR(INDEX('Output Utente'!$N$2:$N$492,MATCH(268,'Output Utente'!$Q$2:$Q$492,0)),"")</f>
        <v>4</v>
      </c>
      <c r="G271" s="47" t="n">
        <f aca="false">IFERROR(INDEX('Output Utente'!$O$2:$O$492,MATCH(268,'Output Utente'!$Q$2:$Q$492,0)),"")</f>
        <v>12</v>
      </c>
      <c r="H271" s="7" t="str">
        <f aca="false">IFERROR(INDEX('Output Utente'!$P$2:$P$492,MATCH(268,'Output Utente'!$Q$2:$Q$492,0)),"")</f>
        <v>Nella Media</v>
      </c>
      <c r="I271" s="47" t="n">
        <f aca="false">IFERROR(INDEX('Output Utente'!$F$2:$F$492,MATCH(268,'Output Utente'!$Q$2:$Q$492,0)),"")</f>
        <v>2</v>
      </c>
      <c r="J271" s="47" t="n">
        <f aca="false">IFERROR(INDEX('Output Utente'!$G$2:$G$492,MATCH(268,'Output Utente'!$Q$2:$Q$492,0)),"")</f>
        <v>2</v>
      </c>
      <c r="K271" s="47" t="n">
        <f aca="false">IFERROR(INDEX('Output Utente'!$H$2:$H$492,MATCH(268,'Output Utente'!$Q$2:$Q$492,0)),"")</f>
        <v>2</v>
      </c>
      <c r="L271" s="7" t="str">
        <f aca="false">IFERROR(INDEX('Output Utente'!$E$2:$E$492,MATCH(268,'Output Utente'!$Q$2:$Q$492,0)),"")</f>
        <v>NO</v>
      </c>
      <c r="M271" s="7" t="str">
        <f aca="false">IFERROR(INDEX('Output Utente'!$U$2:$U$492,MATCH(268,'Output Utente'!$Q$2:$Q$492,0)),"")</f>
        <v>OK</v>
      </c>
      <c r="N271" s="7" t="str">
        <f aca="false">IFERROR(INDEX('Output Utente'!$AE$2:$AE$492,MATCH(268,'Output Utente'!$Q$2:$Q$492,0)),"")</f>
        <v>🟡 Attesa rischiosa</v>
      </c>
    </row>
    <row r="272" customFormat="false" ht="15" hidden="false" customHeight="true" outlineLevel="0" collapsed="false">
      <c r="A272" s="46" t="n">
        <v>269</v>
      </c>
      <c r="B272" s="7" t="n">
        <f aca="false">IFERROR(INDEX('Output Utente'!$A$2:$A$492,MATCH(269,'Output Utente'!$Q$2:$Q$492,0)),"")</f>
        <v>4845</v>
      </c>
      <c r="C272" s="7" t="str">
        <f aca="false">IFERROR(INDEX('Output Utente'!$B$2:$B$492,MATCH(269,'Output Utente'!$Q$2:$Q$492,0)),"")</f>
        <v>D</v>
      </c>
      <c r="D272" s="7" t="str">
        <f aca="false">IFERROR(INDEX('Output Utente'!$C$2:$C$492,MATCH(269,'Output Utente'!$Q$2:$Q$492,0)),"")</f>
        <v>Correia T.</v>
      </c>
      <c r="E272" s="7" t="str">
        <f aca="false">IFERROR(INDEX('Input Giocatori 2026_27'!$D$3:$D$493,MATCH($B272,'Input Giocatori 2026_27'!$A$3:$A$493,0)),"")</f>
        <v>Venezia</v>
      </c>
      <c r="F272" s="47" t="n">
        <f aca="false">IFERROR(INDEX('Output Utente'!$N$2:$N$492,MATCH(269,'Output Utente'!$Q$2:$Q$492,0)),"")</f>
        <v>4</v>
      </c>
      <c r="G272" s="47" t="n">
        <f aca="false">IFERROR(INDEX('Output Utente'!$O$2:$O$492,MATCH(269,'Output Utente'!$Q$2:$Q$492,0)),"")</f>
        <v>12</v>
      </c>
      <c r="H272" s="7" t="str">
        <f aca="false">IFERROR(INDEX('Output Utente'!$P$2:$P$492,MATCH(269,'Output Utente'!$Q$2:$Q$492,0)),"")</f>
        <v>Nella Media</v>
      </c>
      <c r="I272" s="47" t="n">
        <f aca="false">IFERROR(INDEX('Output Utente'!$F$2:$F$492,MATCH(269,'Output Utente'!$Q$2:$Q$492,0)),"")</f>
        <v>2</v>
      </c>
      <c r="J272" s="47" t="n">
        <f aca="false">IFERROR(INDEX('Output Utente'!$G$2:$G$492,MATCH(269,'Output Utente'!$Q$2:$Q$492,0)),"")</f>
        <v>2</v>
      </c>
      <c r="K272" s="47" t="n">
        <f aca="false">IFERROR(INDEX('Output Utente'!$H$2:$H$492,MATCH(269,'Output Utente'!$Q$2:$Q$492,0)),"")</f>
        <v>2</v>
      </c>
      <c r="L272" s="7" t="str">
        <f aca="false">IFERROR(INDEX('Output Utente'!$E$2:$E$492,MATCH(269,'Output Utente'!$Q$2:$Q$492,0)),"")</f>
        <v>NO</v>
      </c>
      <c r="M272" s="7" t="str">
        <f aca="false">IFERROR(INDEX('Output Utente'!$U$2:$U$492,MATCH(269,'Output Utente'!$Q$2:$Q$492,0)),"")</f>
        <v>OK</v>
      </c>
      <c r="N272" s="7" t="str">
        <f aca="false">IFERROR(INDEX('Output Utente'!$AE$2:$AE$492,MATCH(269,'Output Utente'!$Q$2:$Q$492,0)),"")</f>
        <v>🟡 Attesa rischiosa</v>
      </c>
    </row>
    <row r="273" customFormat="false" ht="15" hidden="false" customHeight="true" outlineLevel="0" collapsed="false">
      <c r="A273" s="46" t="n">
        <v>270</v>
      </c>
      <c r="B273" s="7" t="n">
        <f aca="false">IFERROR(INDEX('Output Utente'!$A$2:$A$492,MATCH(270,'Output Utente'!$Q$2:$Q$492,0)),"")</f>
        <v>7131</v>
      </c>
      <c r="C273" s="7" t="str">
        <f aca="false">IFERROR(INDEX('Output Utente'!$B$2:$B$492,MATCH(270,'Output Utente'!$Q$2:$Q$492,0)),"")</f>
        <v>D</v>
      </c>
      <c r="D273" s="7" t="str">
        <f aca="false">IFERROR(INDEX('Output Utente'!$C$2:$C$492,MATCH(270,'Output Utente'!$Q$2:$Q$492,0)),"")</f>
        <v>Floriani Mussolini</v>
      </c>
      <c r="E273" s="7" t="str">
        <f aca="false">IFERROR(INDEX('Input Giocatori 2026_27'!$D$3:$D$493,MATCH($B273,'Input Giocatori 2026_27'!$A$3:$A$493,0)),"")</f>
        <v>Lazio</v>
      </c>
      <c r="F273" s="47" t="n">
        <f aca="false">IFERROR(INDEX('Output Utente'!$N$2:$N$492,MATCH(270,'Output Utente'!$Q$2:$Q$492,0)),"")</f>
        <v>3</v>
      </c>
      <c r="G273" s="47" t="n">
        <f aca="false">IFERROR(INDEX('Output Utente'!$O$2:$O$492,MATCH(270,'Output Utente'!$Q$2:$Q$492,0)),"")</f>
        <v>12</v>
      </c>
      <c r="H273" s="7" t="str">
        <f aca="false">IFERROR(INDEX('Output Utente'!$P$2:$P$492,MATCH(270,'Output Utente'!$Q$2:$Q$492,0)),"")</f>
        <v>Nella Media</v>
      </c>
      <c r="I273" s="47" t="n">
        <f aca="false">IFERROR(INDEX('Output Utente'!$F$2:$F$492,MATCH(270,'Output Utente'!$Q$2:$Q$492,0)),"")</f>
        <v>2</v>
      </c>
      <c r="J273" s="47" t="n">
        <f aca="false">IFERROR(INDEX('Output Utente'!$G$2:$G$492,MATCH(270,'Output Utente'!$Q$2:$Q$492,0)),"")</f>
        <v>2</v>
      </c>
      <c r="K273" s="47" t="n">
        <f aca="false">IFERROR(INDEX('Output Utente'!$H$2:$H$492,MATCH(270,'Output Utente'!$Q$2:$Q$492,0)),"")</f>
        <v>2</v>
      </c>
      <c r="L273" s="7" t="str">
        <f aca="false">IFERROR(INDEX('Output Utente'!$E$2:$E$492,MATCH(270,'Output Utente'!$Q$2:$Q$492,0)),"")</f>
        <v>NO</v>
      </c>
      <c r="M273" s="7" t="str">
        <f aca="false">IFERROR(INDEX('Output Utente'!$U$2:$U$492,MATCH(270,'Output Utente'!$Q$2:$Q$492,0)),"")</f>
        <v>OK</v>
      </c>
      <c r="N273" s="7" t="str">
        <f aca="false">IFERROR(INDEX('Output Utente'!$AE$2:$AE$492,MATCH(270,'Output Utente'!$Q$2:$Q$492,0)),"")</f>
        <v>🟡 Attesa rischiosa</v>
      </c>
    </row>
    <row r="274" customFormat="false" ht="15" hidden="false" customHeight="true" outlineLevel="0" collapsed="false">
      <c r="A274" s="46" t="n">
        <v>271</v>
      </c>
      <c r="B274" s="7" t="n">
        <f aca="false">IFERROR(INDEX('Output Utente'!$A$2:$A$492,MATCH(271,'Output Utente'!$Q$2:$Q$492,0)),"")</f>
        <v>5739</v>
      </c>
      <c r="C274" s="7" t="str">
        <f aca="false">IFERROR(INDEX('Output Utente'!$B$2:$B$492,MATCH(271,'Output Utente'!$Q$2:$Q$492,0)),"")</f>
        <v>D</v>
      </c>
      <c r="D274" s="7" t="str">
        <f aca="false">IFERROR(INDEX('Output Utente'!$C$2:$C$492,MATCH(271,'Output Utente'!$Q$2:$Q$492,0)),"")</f>
        <v>De Winter</v>
      </c>
      <c r="E274" s="7" t="str">
        <f aca="false">IFERROR(INDEX('Input Giocatori 2026_27'!$D$3:$D$493,MATCH($B274,'Input Giocatori 2026_27'!$A$3:$A$493,0)),"")</f>
        <v>Milan</v>
      </c>
      <c r="F274" s="47" t="n">
        <f aca="false">IFERROR(INDEX('Output Utente'!$N$2:$N$492,MATCH(271,'Output Utente'!$Q$2:$Q$492,0)),"")</f>
        <v>3</v>
      </c>
      <c r="G274" s="47" t="n">
        <f aca="false">IFERROR(INDEX('Output Utente'!$O$2:$O$492,MATCH(271,'Output Utente'!$Q$2:$Q$492,0)),"")</f>
        <v>12</v>
      </c>
      <c r="H274" s="7" t="str">
        <f aca="false">IFERROR(INDEX('Output Utente'!$P$2:$P$492,MATCH(271,'Output Utente'!$Q$2:$Q$492,0)),"")</f>
        <v>Nella Media</v>
      </c>
      <c r="I274" s="47" t="n">
        <f aca="false">IFERROR(INDEX('Output Utente'!$F$2:$F$492,MATCH(271,'Output Utente'!$Q$2:$Q$492,0)),"")</f>
        <v>2</v>
      </c>
      <c r="J274" s="47" t="n">
        <f aca="false">IFERROR(INDEX('Output Utente'!$G$2:$G$492,MATCH(271,'Output Utente'!$Q$2:$Q$492,0)),"")</f>
        <v>2</v>
      </c>
      <c r="K274" s="47" t="n">
        <f aca="false">IFERROR(INDEX('Output Utente'!$H$2:$H$492,MATCH(271,'Output Utente'!$Q$2:$Q$492,0)),"")</f>
        <v>2</v>
      </c>
      <c r="L274" s="7" t="str">
        <f aca="false">IFERROR(INDEX('Output Utente'!$E$2:$E$492,MATCH(271,'Output Utente'!$Q$2:$Q$492,0)),"")</f>
        <v>NO</v>
      </c>
      <c r="M274" s="7" t="str">
        <f aca="false">IFERROR(INDEX('Output Utente'!$U$2:$U$492,MATCH(271,'Output Utente'!$Q$2:$Q$492,0)),"")</f>
        <v>OK</v>
      </c>
      <c r="N274" s="7" t="str">
        <f aca="false">IFERROR(INDEX('Output Utente'!$AE$2:$AE$492,MATCH(271,'Output Utente'!$Q$2:$Q$492,0)),"")</f>
        <v>🟡 Attesa rischiosa</v>
      </c>
    </row>
    <row r="275" customFormat="false" ht="15" hidden="false" customHeight="true" outlineLevel="0" collapsed="false">
      <c r="A275" s="46" t="n">
        <v>272</v>
      </c>
      <c r="B275" s="7" t="n">
        <f aca="false">IFERROR(INDEX('Output Utente'!$A$2:$A$492,MATCH(272,'Output Utente'!$Q$2:$Q$492,0)),"")</f>
        <v>6985</v>
      </c>
      <c r="C275" s="7" t="str">
        <f aca="false">IFERROR(INDEX('Output Utente'!$B$2:$B$492,MATCH(272,'Output Utente'!$Q$2:$Q$492,0)),"")</f>
        <v>D</v>
      </c>
      <c r="D275" s="7" t="str">
        <f aca="false">IFERROR(INDEX('Output Utente'!$C$2:$C$492,MATCH(272,'Output Utente'!$Q$2:$Q$492,0)),"")</f>
        <v>Candè</v>
      </c>
      <c r="E275" s="7" t="str">
        <f aca="false">IFERROR(INDEX('Input Giocatori 2026_27'!$D$3:$D$493,MATCH($B275,'Input Giocatori 2026_27'!$A$3:$A$493,0)),"")</f>
        <v>Sassuolo</v>
      </c>
      <c r="F275" s="47" t="n">
        <f aca="false">IFERROR(INDEX('Output Utente'!$N$2:$N$492,MATCH(272,'Output Utente'!$Q$2:$Q$492,0)),"")</f>
        <v>3</v>
      </c>
      <c r="G275" s="47" t="n">
        <f aca="false">IFERROR(INDEX('Output Utente'!$O$2:$O$492,MATCH(272,'Output Utente'!$Q$2:$Q$492,0)),"")</f>
        <v>12</v>
      </c>
      <c r="H275" s="7" t="str">
        <f aca="false">IFERROR(INDEX('Output Utente'!$P$2:$P$492,MATCH(272,'Output Utente'!$Q$2:$Q$492,0)),"")</f>
        <v>Nella Media</v>
      </c>
      <c r="I275" s="47" t="n">
        <f aca="false">IFERROR(INDEX('Output Utente'!$F$2:$F$492,MATCH(272,'Output Utente'!$Q$2:$Q$492,0)),"")</f>
        <v>2</v>
      </c>
      <c r="J275" s="47" t="n">
        <f aca="false">IFERROR(INDEX('Output Utente'!$G$2:$G$492,MATCH(272,'Output Utente'!$Q$2:$Q$492,0)),"")</f>
        <v>2</v>
      </c>
      <c r="K275" s="47" t="n">
        <f aca="false">IFERROR(INDEX('Output Utente'!$H$2:$H$492,MATCH(272,'Output Utente'!$Q$2:$Q$492,0)),"")</f>
        <v>2</v>
      </c>
      <c r="L275" s="7" t="str">
        <f aca="false">IFERROR(INDEX('Output Utente'!$E$2:$E$492,MATCH(272,'Output Utente'!$Q$2:$Q$492,0)),"")</f>
        <v>NO</v>
      </c>
      <c r="M275" s="7" t="str">
        <f aca="false">IFERROR(INDEX('Output Utente'!$U$2:$U$492,MATCH(272,'Output Utente'!$Q$2:$Q$492,0)),"")</f>
        <v>OK</v>
      </c>
      <c r="N275" s="7" t="str">
        <f aca="false">IFERROR(INDEX('Output Utente'!$AE$2:$AE$492,MATCH(272,'Output Utente'!$Q$2:$Q$492,0)),"")</f>
        <v>🟡 Attesa rischiosa</v>
      </c>
    </row>
    <row r="276" customFormat="false" ht="15" hidden="false" customHeight="true" outlineLevel="0" collapsed="false">
      <c r="A276" s="46" t="n">
        <v>273</v>
      </c>
      <c r="B276" s="7" t="n">
        <f aca="false">IFERROR(INDEX('Output Utente'!$A$2:$A$492,MATCH(273,'Output Utente'!$Q$2:$Q$492,0)),"")</f>
        <v>7528</v>
      </c>
      <c r="C276" s="7" t="str">
        <f aca="false">IFERROR(INDEX('Output Utente'!$B$2:$B$492,MATCH(273,'Output Utente'!$Q$2:$Q$492,0)),"")</f>
        <v>C</v>
      </c>
      <c r="D276" s="7" t="str">
        <f aca="false">IFERROR(INDEX('Output Utente'!$C$2:$C$492,MATCH(273,'Output Utente'!$Q$2:$Q$492,0)),"")</f>
        <v>Amondarain</v>
      </c>
      <c r="E276" s="7" t="str">
        <f aca="false">IFERROR(INDEX('Input Giocatori 2026_27'!$D$3:$D$493,MATCH($B276,'Input Giocatori 2026_27'!$A$3:$A$493,0)),"")</f>
        <v>Bologna</v>
      </c>
      <c r="F276" s="47" t="n">
        <f aca="false">IFERROR(INDEX('Output Utente'!$N$2:$N$492,MATCH(273,'Output Utente'!$Q$2:$Q$492,0)),"")</f>
        <v>5</v>
      </c>
      <c r="G276" s="47" t="n">
        <f aca="false">IFERROR(INDEX('Output Utente'!$O$2:$O$492,MATCH(273,'Output Utente'!$Q$2:$Q$492,0)),"")</f>
        <v>12</v>
      </c>
      <c r="H276" s="7" t="str">
        <f aca="false">IFERROR(INDEX('Output Utente'!$P$2:$P$492,MATCH(273,'Output Utente'!$Q$2:$Q$492,0)),"")</f>
        <v>Nella Media</v>
      </c>
      <c r="I276" s="47" t="n">
        <f aca="false">IFERROR(INDEX('Output Utente'!$F$2:$F$492,MATCH(273,'Output Utente'!$Q$2:$Q$492,0)),"")</f>
        <v>2</v>
      </c>
      <c r="J276" s="47" t="n">
        <f aca="false">IFERROR(INDEX('Output Utente'!$G$2:$G$492,MATCH(273,'Output Utente'!$Q$2:$Q$492,0)),"")</f>
        <v>1</v>
      </c>
      <c r="K276" s="47" t="n">
        <f aca="false">IFERROR(INDEX('Output Utente'!$H$2:$H$492,MATCH(273,'Output Utente'!$Q$2:$Q$492,0)),"")</f>
        <v>2</v>
      </c>
      <c r="L276" s="7" t="str">
        <f aca="false">IFERROR(INDEX('Output Utente'!$E$2:$E$492,MATCH(273,'Output Utente'!$Q$2:$Q$492,0)),"")</f>
        <v>NO</v>
      </c>
      <c r="M276" s="7" t="str">
        <f aca="false">IFERROR(INDEX('Output Utente'!$U$2:$U$492,MATCH(273,'Output Utente'!$Q$2:$Q$492,0)),"")</f>
        <v>OK</v>
      </c>
      <c r="N276" s="7" t="str">
        <f aca="false">IFERROR(INDEX('Output Utente'!$AE$2:$AE$492,MATCH(273,'Output Utente'!$Q$2:$Q$492,0)),"")</f>
        <v>🟡 Attesa rischiosa</v>
      </c>
    </row>
    <row r="277" customFormat="false" ht="15" hidden="false" customHeight="true" outlineLevel="0" collapsed="false">
      <c r="A277" s="46" t="n">
        <v>274</v>
      </c>
      <c r="B277" s="7" t="n">
        <f aca="false">IFERROR(INDEX('Output Utente'!$A$2:$A$492,MATCH(274,'Output Utente'!$Q$2:$Q$492,0)),"")</f>
        <v>7311</v>
      </c>
      <c r="C277" s="7" t="str">
        <f aca="false">IFERROR(INDEX('Output Utente'!$B$2:$B$492,MATCH(274,'Output Utente'!$Q$2:$Q$492,0)),"")</f>
        <v>C</v>
      </c>
      <c r="D277" s="7" t="str">
        <f aca="false">IFERROR(INDEX('Output Utente'!$C$2:$C$492,MATCH(274,'Output Utente'!$Q$2:$Q$492,0)),"")</f>
        <v>Romano</v>
      </c>
      <c r="E277" s="7" t="str">
        <f aca="false">IFERROR(INDEX('Input Giocatori 2026_27'!$D$3:$D$493,MATCH($B277,'Input Giocatori 2026_27'!$A$3:$A$493,0)),"")</f>
        <v>Cagliari</v>
      </c>
      <c r="F277" s="47" t="n">
        <f aca="false">IFERROR(INDEX('Output Utente'!$N$2:$N$492,MATCH(274,'Output Utente'!$Q$2:$Q$492,0)),"")</f>
        <v>5</v>
      </c>
      <c r="G277" s="47" t="n">
        <f aca="false">IFERROR(INDEX('Output Utente'!$O$2:$O$492,MATCH(274,'Output Utente'!$Q$2:$Q$492,0)),"")</f>
        <v>12</v>
      </c>
      <c r="H277" s="7" t="str">
        <f aca="false">IFERROR(INDEX('Output Utente'!$P$2:$P$492,MATCH(274,'Output Utente'!$Q$2:$Q$492,0)),"")</f>
        <v>Nella Media</v>
      </c>
      <c r="I277" s="47" t="n">
        <f aca="false">IFERROR(INDEX('Output Utente'!$F$2:$F$492,MATCH(274,'Output Utente'!$Q$2:$Q$492,0)),"")</f>
        <v>2</v>
      </c>
      <c r="J277" s="47" t="n">
        <f aca="false">IFERROR(INDEX('Output Utente'!$G$2:$G$492,MATCH(274,'Output Utente'!$Q$2:$Q$492,0)),"")</f>
        <v>1</v>
      </c>
      <c r="K277" s="47" t="n">
        <f aca="false">IFERROR(INDEX('Output Utente'!$H$2:$H$492,MATCH(274,'Output Utente'!$Q$2:$Q$492,0)),"")</f>
        <v>2</v>
      </c>
      <c r="L277" s="7" t="str">
        <f aca="false">IFERROR(INDEX('Output Utente'!$E$2:$E$492,MATCH(274,'Output Utente'!$Q$2:$Q$492,0)),"")</f>
        <v>NO</v>
      </c>
      <c r="M277" s="7" t="str">
        <f aca="false">IFERROR(INDEX('Output Utente'!$U$2:$U$492,MATCH(274,'Output Utente'!$Q$2:$Q$492,0)),"")</f>
        <v>OK</v>
      </c>
      <c r="N277" s="7" t="str">
        <f aca="false">IFERROR(INDEX('Output Utente'!$AE$2:$AE$492,MATCH(274,'Output Utente'!$Q$2:$Q$492,0)),"")</f>
        <v>🟡 Attesa rischiosa</v>
      </c>
    </row>
    <row r="278" customFormat="false" ht="15" hidden="false" customHeight="true" outlineLevel="0" collapsed="false">
      <c r="A278" s="46" t="n">
        <v>275</v>
      </c>
      <c r="B278" s="7" t="n">
        <f aca="false">IFERROR(INDEX('Output Utente'!$A$2:$A$492,MATCH(275,'Output Utente'!$Q$2:$Q$492,0)),"")</f>
        <v>22</v>
      </c>
      <c r="C278" s="7" t="str">
        <f aca="false">IFERROR(INDEX('Output Utente'!$B$2:$B$492,MATCH(275,'Output Utente'!$Q$2:$Q$492,0)),"")</f>
        <v>C</v>
      </c>
      <c r="D278" s="7" t="str">
        <f aca="false">IFERROR(INDEX('Output Utente'!$C$2:$C$492,MATCH(275,'Output Utente'!$Q$2:$Q$492,0)),"")</f>
        <v>De Roon</v>
      </c>
      <c r="E278" s="7" t="str">
        <f aca="false">IFERROR(INDEX('Input Giocatori 2026_27'!$D$3:$D$493,MATCH($B278,'Input Giocatori 2026_27'!$A$3:$A$493,0)),"")</f>
        <v>Atalanta</v>
      </c>
      <c r="F278" s="47" t="n">
        <f aca="false">IFERROR(INDEX('Output Utente'!$N$2:$N$492,MATCH(275,'Output Utente'!$Q$2:$Q$492,0)),"")</f>
        <v>4</v>
      </c>
      <c r="G278" s="47" t="n">
        <f aca="false">IFERROR(INDEX('Output Utente'!$O$2:$O$492,MATCH(275,'Output Utente'!$Q$2:$Q$492,0)),"")</f>
        <v>12</v>
      </c>
      <c r="H278" s="7" t="str">
        <f aca="false">IFERROR(INDEX('Output Utente'!$P$2:$P$492,MATCH(275,'Output Utente'!$Q$2:$Q$492,0)),"")</f>
        <v>Nella Media</v>
      </c>
      <c r="I278" s="47" t="n">
        <f aca="false">IFERROR(INDEX('Output Utente'!$F$2:$F$492,MATCH(275,'Output Utente'!$Q$2:$Q$492,0)),"")</f>
        <v>2</v>
      </c>
      <c r="J278" s="47" t="n">
        <f aca="false">IFERROR(INDEX('Output Utente'!$G$2:$G$492,MATCH(275,'Output Utente'!$Q$2:$Q$492,0)),"")</f>
        <v>1</v>
      </c>
      <c r="K278" s="47" t="n">
        <f aca="false">IFERROR(INDEX('Output Utente'!$H$2:$H$492,MATCH(275,'Output Utente'!$Q$2:$Q$492,0)),"")</f>
        <v>2</v>
      </c>
      <c r="L278" s="7" t="str">
        <f aca="false">IFERROR(INDEX('Output Utente'!$E$2:$E$492,MATCH(275,'Output Utente'!$Q$2:$Q$492,0)),"")</f>
        <v>NO</v>
      </c>
      <c r="M278" s="7" t="str">
        <f aca="false">IFERROR(INDEX('Output Utente'!$U$2:$U$492,MATCH(275,'Output Utente'!$Q$2:$Q$492,0)),"")</f>
        <v>OK</v>
      </c>
      <c r="N278" s="7" t="str">
        <f aca="false">IFERROR(INDEX('Output Utente'!$AE$2:$AE$492,MATCH(275,'Output Utente'!$Q$2:$Q$492,0)),"")</f>
        <v>🟡 Attesa rischiosa</v>
      </c>
    </row>
    <row r="279" customFormat="false" ht="15" hidden="false" customHeight="true" outlineLevel="0" collapsed="false">
      <c r="A279" s="46" t="n">
        <v>276</v>
      </c>
      <c r="B279" s="7" t="n">
        <f aca="false">IFERROR(INDEX('Output Utente'!$A$2:$A$492,MATCH(276,'Output Utente'!$Q$2:$Q$492,0)),"")</f>
        <v>7474</v>
      </c>
      <c r="C279" s="7" t="str">
        <f aca="false">IFERROR(INDEX('Output Utente'!$B$2:$B$492,MATCH(276,'Output Utente'!$Q$2:$Q$492,0)),"")</f>
        <v>C</v>
      </c>
      <c r="D279" s="7" t="str">
        <f aca="false">IFERROR(INDEX('Output Utente'!$C$2:$C$492,MATCH(276,'Output Utente'!$Q$2:$Q$492,0)),"")</f>
        <v>Koutsoupias</v>
      </c>
      <c r="E279" s="7" t="str">
        <f aca="false">IFERROR(INDEX('Input Giocatori 2026_27'!$D$3:$D$493,MATCH($B279,'Input Giocatori 2026_27'!$A$3:$A$493,0)),"")</f>
        <v>Frosinone</v>
      </c>
      <c r="F279" s="47" t="n">
        <f aca="false">IFERROR(INDEX('Output Utente'!$N$2:$N$492,MATCH(276,'Output Utente'!$Q$2:$Q$492,0)),"")</f>
        <v>4</v>
      </c>
      <c r="G279" s="47" t="n">
        <f aca="false">IFERROR(INDEX('Output Utente'!$O$2:$O$492,MATCH(276,'Output Utente'!$Q$2:$Q$492,0)),"")</f>
        <v>12</v>
      </c>
      <c r="H279" s="7" t="str">
        <f aca="false">IFERROR(INDEX('Output Utente'!$P$2:$P$492,MATCH(276,'Output Utente'!$Q$2:$Q$492,0)),"")</f>
        <v>Nella Media</v>
      </c>
      <c r="I279" s="47" t="n">
        <f aca="false">IFERROR(INDEX('Output Utente'!$F$2:$F$492,MATCH(276,'Output Utente'!$Q$2:$Q$492,0)),"")</f>
        <v>2</v>
      </c>
      <c r="J279" s="47" t="n">
        <f aca="false">IFERROR(INDEX('Output Utente'!$G$2:$G$492,MATCH(276,'Output Utente'!$Q$2:$Q$492,0)),"")</f>
        <v>1</v>
      </c>
      <c r="K279" s="47" t="n">
        <f aca="false">IFERROR(INDEX('Output Utente'!$H$2:$H$492,MATCH(276,'Output Utente'!$Q$2:$Q$492,0)),"")</f>
        <v>2</v>
      </c>
      <c r="L279" s="7" t="str">
        <f aca="false">IFERROR(INDEX('Output Utente'!$E$2:$E$492,MATCH(276,'Output Utente'!$Q$2:$Q$492,0)),"")</f>
        <v>NO</v>
      </c>
      <c r="M279" s="7" t="str">
        <f aca="false">IFERROR(INDEX('Output Utente'!$U$2:$U$492,MATCH(276,'Output Utente'!$Q$2:$Q$492,0)),"")</f>
        <v>OK</v>
      </c>
      <c r="N279" s="7" t="str">
        <f aca="false">IFERROR(INDEX('Output Utente'!$AE$2:$AE$492,MATCH(276,'Output Utente'!$Q$2:$Q$492,0)),"")</f>
        <v>🟡 Attesa rischiosa</v>
      </c>
    </row>
    <row r="280" customFormat="false" ht="15" hidden="false" customHeight="true" outlineLevel="0" collapsed="false">
      <c r="A280" s="46" t="n">
        <v>277</v>
      </c>
      <c r="B280" s="7" t="n">
        <f aca="false">IFERROR(INDEX('Output Utente'!$A$2:$A$492,MATCH(277,'Output Utente'!$Q$2:$Q$492,0)),"")</f>
        <v>4911</v>
      </c>
      <c r="C280" s="7" t="str">
        <f aca="false">IFERROR(INDEX('Output Utente'!$B$2:$B$492,MATCH(277,'Output Utente'!$Q$2:$Q$492,0)),"")</f>
        <v>C</v>
      </c>
      <c r="D280" s="7" t="str">
        <f aca="false">IFERROR(INDEX('Output Utente'!$C$2:$C$492,MATCH(277,'Output Utente'!$Q$2:$Q$492,0)),"")</f>
        <v>Douglas Luiz</v>
      </c>
      <c r="E280" s="7" t="str">
        <f aca="false">IFERROR(INDEX('Input Giocatori 2026_27'!$D$3:$D$493,MATCH($B280,'Input Giocatori 2026_27'!$A$3:$A$493,0)),"")</f>
        <v>Juventus</v>
      </c>
      <c r="F280" s="47" t="n">
        <f aca="false">IFERROR(INDEX('Output Utente'!$N$2:$N$492,MATCH(277,'Output Utente'!$Q$2:$Q$492,0)),"")</f>
        <v>4</v>
      </c>
      <c r="G280" s="47" t="n">
        <f aca="false">IFERROR(INDEX('Output Utente'!$O$2:$O$492,MATCH(277,'Output Utente'!$Q$2:$Q$492,0)),"")</f>
        <v>12</v>
      </c>
      <c r="H280" s="7" t="str">
        <f aca="false">IFERROR(INDEX('Output Utente'!$P$2:$P$492,MATCH(277,'Output Utente'!$Q$2:$Q$492,0)),"")</f>
        <v>Nella Media</v>
      </c>
      <c r="I280" s="47" t="n">
        <f aca="false">IFERROR(INDEX('Output Utente'!$F$2:$F$492,MATCH(277,'Output Utente'!$Q$2:$Q$492,0)),"")</f>
        <v>2</v>
      </c>
      <c r="J280" s="47" t="n">
        <f aca="false">IFERROR(INDEX('Output Utente'!$G$2:$G$492,MATCH(277,'Output Utente'!$Q$2:$Q$492,0)),"")</f>
        <v>1</v>
      </c>
      <c r="K280" s="47" t="n">
        <f aca="false">IFERROR(INDEX('Output Utente'!$H$2:$H$492,MATCH(277,'Output Utente'!$Q$2:$Q$492,0)),"")</f>
        <v>2</v>
      </c>
      <c r="L280" s="7" t="str">
        <f aca="false">IFERROR(INDEX('Output Utente'!$E$2:$E$492,MATCH(277,'Output Utente'!$Q$2:$Q$492,0)),"")</f>
        <v>NO</v>
      </c>
      <c r="M280" s="7" t="str">
        <f aca="false">IFERROR(INDEX('Output Utente'!$U$2:$U$492,MATCH(277,'Output Utente'!$Q$2:$Q$492,0)),"")</f>
        <v>OK</v>
      </c>
      <c r="N280" s="7" t="str">
        <f aca="false">IFERROR(INDEX('Output Utente'!$AE$2:$AE$492,MATCH(277,'Output Utente'!$Q$2:$Q$492,0)),"")</f>
        <v>🟡 Attesa rischiosa</v>
      </c>
    </row>
    <row r="281" customFormat="false" ht="15" hidden="false" customHeight="true" outlineLevel="0" collapsed="false">
      <c r="A281" s="46" t="n">
        <v>278</v>
      </c>
      <c r="B281" s="7" t="n">
        <f aca="false">IFERROR(INDEX('Output Utente'!$A$2:$A$492,MATCH(278,'Output Utente'!$Q$2:$Q$492,0)),"")</f>
        <v>333</v>
      </c>
      <c r="C281" s="7" t="str">
        <f aca="false">IFERROR(INDEX('Output Utente'!$B$2:$B$492,MATCH(278,'Output Utente'!$Q$2:$Q$492,0)),"")</f>
        <v>C</v>
      </c>
      <c r="D281" s="7" t="str">
        <f aca="false">IFERROR(INDEX('Output Utente'!$C$2:$C$492,MATCH(278,'Output Utente'!$Q$2:$Q$492,0)),"")</f>
        <v>Cataldi</v>
      </c>
      <c r="E281" s="7" t="str">
        <f aca="false">IFERROR(INDEX('Input Giocatori 2026_27'!$D$3:$D$493,MATCH($B281,'Input Giocatori 2026_27'!$A$3:$A$493,0)),"")</f>
        <v>Lazio</v>
      </c>
      <c r="F281" s="47" t="n">
        <f aca="false">IFERROR(INDEX('Output Utente'!$N$2:$N$492,MATCH(278,'Output Utente'!$Q$2:$Q$492,0)),"")</f>
        <v>4</v>
      </c>
      <c r="G281" s="47" t="n">
        <f aca="false">IFERROR(INDEX('Output Utente'!$O$2:$O$492,MATCH(278,'Output Utente'!$Q$2:$Q$492,0)),"")</f>
        <v>12</v>
      </c>
      <c r="H281" s="7" t="str">
        <f aca="false">IFERROR(INDEX('Output Utente'!$P$2:$P$492,MATCH(278,'Output Utente'!$Q$2:$Q$492,0)),"")</f>
        <v>Nella Media</v>
      </c>
      <c r="I281" s="47" t="n">
        <f aca="false">IFERROR(INDEX('Output Utente'!$F$2:$F$492,MATCH(278,'Output Utente'!$Q$2:$Q$492,0)),"")</f>
        <v>2</v>
      </c>
      <c r="J281" s="47" t="n">
        <f aca="false">IFERROR(INDEX('Output Utente'!$G$2:$G$492,MATCH(278,'Output Utente'!$Q$2:$Q$492,0)),"")</f>
        <v>1</v>
      </c>
      <c r="K281" s="47" t="n">
        <f aca="false">IFERROR(INDEX('Output Utente'!$H$2:$H$492,MATCH(278,'Output Utente'!$Q$2:$Q$492,0)),"")</f>
        <v>2</v>
      </c>
      <c r="L281" s="7" t="str">
        <f aca="false">IFERROR(INDEX('Output Utente'!$E$2:$E$492,MATCH(278,'Output Utente'!$Q$2:$Q$492,0)),"")</f>
        <v>NO</v>
      </c>
      <c r="M281" s="7" t="str">
        <f aca="false">IFERROR(INDEX('Output Utente'!$U$2:$U$492,MATCH(278,'Output Utente'!$Q$2:$Q$492,0)),"")</f>
        <v>OK</v>
      </c>
      <c r="N281" s="7" t="str">
        <f aca="false">IFERROR(INDEX('Output Utente'!$AE$2:$AE$492,MATCH(278,'Output Utente'!$Q$2:$Q$492,0)),"")</f>
        <v>🟡 Attesa rischiosa</v>
      </c>
    </row>
    <row r="282" customFormat="false" ht="15" hidden="false" customHeight="true" outlineLevel="0" collapsed="false">
      <c r="A282" s="46" t="n">
        <v>279</v>
      </c>
      <c r="B282" s="7" t="n">
        <f aca="false">IFERROR(INDEX('Output Utente'!$A$2:$A$492,MATCH(279,'Output Utente'!$Q$2:$Q$492,0)),"")</f>
        <v>6827</v>
      </c>
      <c r="C282" s="7" t="str">
        <f aca="false">IFERROR(INDEX('Output Utente'!$B$2:$B$492,MATCH(279,'Output Utente'!$Q$2:$Q$492,0)),"")</f>
        <v>C</v>
      </c>
      <c r="D282" s="7" t="str">
        <f aca="false">IFERROR(INDEX('Output Utente'!$C$2:$C$492,MATCH(279,'Output Utente'!$Q$2:$Q$492,0)),"")</f>
        <v>Njie</v>
      </c>
      <c r="E282" s="7" t="str">
        <f aca="false">IFERROR(INDEX('Input Giocatori 2026_27'!$D$3:$D$493,MATCH($B282,'Input Giocatori 2026_27'!$A$3:$A$493,0)),"")</f>
        <v>Torino</v>
      </c>
      <c r="F282" s="47" t="n">
        <f aca="false">IFERROR(INDEX('Output Utente'!$N$2:$N$492,MATCH(279,'Output Utente'!$Q$2:$Q$492,0)),"")</f>
        <v>4</v>
      </c>
      <c r="G282" s="47" t="n">
        <f aca="false">IFERROR(INDEX('Output Utente'!$O$2:$O$492,MATCH(279,'Output Utente'!$Q$2:$Q$492,0)),"")</f>
        <v>12</v>
      </c>
      <c r="H282" s="7" t="str">
        <f aca="false">IFERROR(INDEX('Output Utente'!$P$2:$P$492,MATCH(279,'Output Utente'!$Q$2:$Q$492,0)),"")</f>
        <v>Nella Media</v>
      </c>
      <c r="I282" s="47" t="n">
        <f aca="false">IFERROR(INDEX('Output Utente'!$F$2:$F$492,MATCH(279,'Output Utente'!$Q$2:$Q$492,0)),"")</f>
        <v>2</v>
      </c>
      <c r="J282" s="47" t="n">
        <f aca="false">IFERROR(INDEX('Output Utente'!$G$2:$G$492,MATCH(279,'Output Utente'!$Q$2:$Q$492,0)),"")</f>
        <v>1</v>
      </c>
      <c r="K282" s="47" t="n">
        <f aca="false">IFERROR(INDEX('Output Utente'!$H$2:$H$492,MATCH(279,'Output Utente'!$Q$2:$Q$492,0)),"")</f>
        <v>2</v>
      </c>
      <c r="L282" s="7" t="str">
        <f aca="false">IFERROR(INDEX('Output Utente'!$E$2:$E$492,MATCH(279,'Output Utente'!$Q$2:$Q$492,0)),"")</f>
        <v>NO</v>
      </c>
      <c r="M282" s="7" t="str">
        <f aca="false">IFERROR(INDEX('Output Utente'!$U$2:$U$492,MATCH(279,'Output Utente'!$Q$2:$Q$492,0)),"")</f>
        <v>OK</v>
      </c>
      <c r="N282" s="7" t="str">
        <f aca="false">IFERROR(INDEX('Output Utente'!$AE$2:$AE$492,MATCH(279,'Output Utente'!$Q$2:$Q$492,0)),"")</f>
        <v>🟡 Attesa rischiosa</v>
      </c>
    </row>
    <row r="283" customFormat="false" ht="15" hidden="false" customHeight="true" outlineLevel="0" collapsed="false">
      <c r="A283" s="46" t="n">
        <v>280</v>
      </c>
      <c r="B283" s="7" t="n">
        <f aca="false">IFERROR(INDEX('Output Utente'!$A$2:$A$492,MATCH(280,'Output Utente'!$Q$2:$Q$492,0)),"")</f>
        <v>7209</v>
      </c>
      <c r="C283" s="7" t="str">
        <f aca="false">IFERROR(INDEX('Output Utente'!$B$2:$B$492,MATCH(280,'Output Utente'!$Q$2:$Q$492,0)),"")</f>
        <v>C</v>
      </c>
      <c r="D283" s="7" t="str">
        <f aca="false">IFERROR(INDEX('Output Utente'!$C$2:$C$492,MATCH(280,'Output Utente'!$Q$2:$Q$492,0)),"")</f>
        <v>Sorensen O.</v>
      </c>
      <c r="E283" s="7" t="str">
        <f aca="false">IFERROR(INDEX('Input Giocatori 2026_27'!$D$3:$D$493,MATCH($B283,'Input Giocatori 2026_27'!$A$3:$A$493,0)),"")</f>
        <v>Parma</v>
      </c>
      <c r="F283" s="47" t="n">
        <f aca="false">IFERROR(INDEX('Output Utente'!$N$2:$N$492,MATCH(280,'Output Utente'!$Q$2:$Q$492,0)),"")</f>
        <v>3</v>
      </c>
      <c r="G283" s="47" t="n">
        <f aca="false">IFERROR(INDEX('Output Utente'!$O$2:$O$492,MATCH(280,'Output Utente'!$Q$2:$Q$492,0)),"")</f>
        <v>12</v>
      </c>
      <c r="H283" s="7" t="str">
        <f aca="false">IFERROR(INDEX('Output Utente'!$P$2:$P$492,MATCH(280,'Output Utente'!$Q$2:$Q$492,0)),"")</f>
        <v>Nella Media</v>
      </c>
      <c r="I283" s="47" t="n">
        <f aca="false">IFERROR(INDEX('Output Utente'!$F$2:$F$492,MATCH(280,'Output Utente'!$Q$2:$Q$492,0)),"")</f>
        <v>2</v>
      </c>
      <c r="J283" s="47" t="n">
        <f aca="false">IFERROR(INDEX('Output Utente'!$G$2:$G$492,MATCH(280,'Output Utente'!$Q$2:$Q$492,0)),"")</f>
        <v>1</v>
      </c>
      <c r="K283" s="47" t="n">
        <f aca="false">IFERROR(INDEX('Output Utente'!$H$2:$H$492,MATCH(280,'Output Utente'!$Q$2:$Q$492,0)),"")</f>
        <v>2</v>
      </c>
      <c r="L283" s="7" t="str">
        <f aca="false">IFERROR(INDEX('Output Utente'!$E$2:$E$492,MATCH(280,'Output Utente'!$Q$2:$Q$492,0)),"")</f>
        <v>NO</v>
      </c>
      <c r="M283" s="7" t="str">
        <f aca="false">IFERROR(INDEX('Output Utente'!$U$2:$U$492,MATCH(280,'Output Utente'!$Q$2:$Q$492,0)),"")</f>
        <v>OK</v>
      </c>
      <c r="N283" s="7" t="str">
        <f aca="false">IFERROR(INDEX('Output Utente'!$AE$2:$AE$492,MATCH(280,'Output Utente'!$Q$2:$Q$492,0)),"")</f>
        <v>🟡 Attesa rischiosa</v>
      </c>
    </row>
    <row r="284" customFormat="false" ht="15" hidden="false" customHeight="true" outlineLevel="0" collapsed="false">
      <c r="A284" s="46" t="n">
        <v>281</v>
      </c>
      <c r="B284" s="7" t="n">
        <f aca="false">IFERROR(INDEX('Output Utente'!$A$2:$A$492,MATCH(281,'Output Utente'!$Q$2:$Q$492,0)),"")</f>
        <v>7536</v>
      </c>
      <c r="C284" s="7" t="str">
        <f aca="false">IFERROR(INDEX('Output Utente'!$B$2:$B$492,MATCH(281,'Output Utente'!$Q$2:$Q$492,0)),"")</f>
        <v>C</v>
      </c>
      <c r="D284" s="7" t="str">
        <f aca="false">IFERROR(INDEX('Output Utente'!$C$2:$C$492,MATCH(281,'Output Utente'!$Q$2:$Q$492,0)),"")</f>
        <v>Diallo O.</v>
      </c>
      <c r="E284" s="7" t="str">
        <f aca="false">IFERROR(INDEX('Input Giocatori 2026_27'!$D$3:$D$493,MATCH($B284,'Input Giocatori 2026_27'!$A$3:$A$493,0)),"")</f>
        <v>Parma</v>
      </c>
      <c r="F284" s="47" t="n">
        <f aca="false">IFERROR(INDEX('Output Utente'!$N$2:$N$492,MATCH(281,'Output Utente'!$Q$2:$Q$492,0)),"")</f>
        <v>3</v>
      </c>
      <c r="G284" s="47" t="n">
        <f aca="false">IFERROR(INDEX('Output Utente'!$O$2:$O$492,MATCH(281,'Output Utente'!$Q$2:$Q$492,0)),"")</f>
        <v>12</v>
      </c>
      <c r="H284" s="7" t="str">
        <f aca="false">IFERROR(INDEX('Output Utente'!$P$2:$P$492,MATCH(281,'Output Utente'!$Q$2:$Q$492,0)),"")</f>
        <v>Nella Media</v>
      </c>
      <c r="I284" s="47" t="n">
        <f aca="false">IFERROR(INDEX('Output Utente'!$F$2:$F$492,MATCH(281,'Output Utente'!$Q$2:$Q$492,0)),"")</f>
        <v>2</v>
      </c>
      <c r="J284" s="47" t="n">
        <f aca="false">IFERROR(INDEX('Output Utente'!$G$2:$G$492,MATCH(281,'Output Utente'!$Q$2:$Q$492,0)),"")</f>
        <v>1</v>
      </c>
      <c r="K284" s="47" t="n">
        <f aca="false">IFERROR(INDEX('Output Utente'!$H$2:$H$492,MATCH(281,'Output Utente'!$Q$2:$Q$492,0)),"")</f>
        <v>2</v>
      </c>
      <c r="L284" s="7" t="str">
        <f aca="false">IFERROR(INDEX('Output Utente'!$E$2:$E$492,MATCH(281,'Output Utente'!$Q$2:$Q$492,0)),"")</f>
        <v>NO</v>
      </c>
      <c r="M284" s="7" t="str">
        <f aca="false">IFERROR(INDEX('Output Utente'!$U$2:$U$492,MATCH(281,'Output Utente'!$Q$2:$Q$492,0)),"")</f>
        <v>OK</v>
      </c>
      <c r="N284" s="7" t="str">
        <f aca="false">IFERROR(INDEX('Output Utente'!$AE$2:$AE$492,MATCH(281,'Output Utente'!$Q$2:$Q$492,0)),"")</f>
        <v>🟡 Attesa rischiosa</v>
      </c>
    </row>
    <row r="285" customFormat="false" ht="15" hidden="false" customHeight="true" outlineLevel="0" collapsed="false">
      <c r="A285" s="46" t="n">
        <v>282</v>
      </c>
      <c r="B285" s="7" t="n">
        <f aca="false">IFERROR(INDEX('Output Utente'!$A$2:$A$492,MATCH(282,'Output Utente'!$Q$2:$Q$492,0)),"")</f>
        <v>7208</v>
      </c>
      <c r="C285" s="7" t="str">
        <f aca="false">IFERROR(INDEX('Output Utente'!$B$2:$B$492,MATCH(282,'Output Utente'!$Q$2:$Q$492,0)),"")</f>
        <v>C</v>
      </c>
      <c r="D285" s="7" t="str">
        <f aca="false">IFERROR(INDEX('Output Utente'!$C$2:$C$492,MATCH(282,'Output Utente'!$Q$2:$Q$492,0)),"")</f>
        <v>Miller L.</v>
      </c>
      <c r="E285" s="7" t="str">
        <f aca="false">IFERROR(INDEX('Input Giocatori 2026_27'!$D$3:$D$493,MATCH($B285,'Input Giocatori 2026_27'!$A$3:$A$493,0)),"")</f>
        <v>Udinese</v>
      </c>
      <c r="F285" s="47" t="n">
        <f aca="false">IFERROR(INDEX('Output Utente'!$N$2:$N$492,MATCH(282,'Output Utente'!$Q$2:$Q$492,0)),"")</f>
        <v>3</v>
      </c>
      <c r="G285" s="47" t="n">
        <f aca="false">IFERROR(INDEX('Output Utente'!$O$2:$O$492,MATCH(282,'Output Utente'!$Q$2:$Q$492,0)),"")</f>
        <v>12</v>
      </c>
      <c r="H285" s="7" t="str">
        <f aca="false">IFERROR(INDEX('Output Utente'!$P$2:$P$492,MATCH(282,'Output Utente'!$Q$2:$Q$492,0)),"")</f>
        <v>Nella Media</v>
      </c>
      <c r="I285" s="47" t="n">
        <f aca="false">IFERROR(INDEX('Output Utente'!$F$2:$F$492,MATCH(282,'Output Utente'!$Q$2:$Q$492,0)),"")</f>
        <v>2</v>
      </c>
      <c r="J285" s="47" t="n">
        <f aca="false">IFERROR(INDEX('Output Utente'!$G$2:$G$492,MATCH(282,'Output Utente'!$Q$2:$Q$492,0)),"")</f>
        <v>1</v>
      </c>
      <c r="K285" s="47" t="n">
        <f aca="false">IFERROR(INDEX('Output Utente'!$H$2:$H$492,MATCH(282,'Output Utente'!$Q$2:$Q$492,0)),"")</f>
        <v>2</v>
      </c>
      <c r="L285" s="7" t="str">
        <f aca="false">IFERROR(INDEX('Output Utente'!$E$2:$E$492,MATCH(282,'Output Utente'!$Q$2:$Q$492,0)),"")</f>
        <v>NO</v>
      </c>
      <c r="M285" s="7" t="str">
        <f aca="false">IFERROR(INDEX('Output Utente'!$U$2:$U$492,MATCH(282,'Output Utente'!$Q$2:$Q$492,0)),"")</f>
        <v>OK</v>
      </c>
      <c r="N285" s="7" t="str">
        <f aca="false">IFERROR(INDEX('Output Utente'!$AE$2:$AE$492,MATCH(282,'Output Utente'!$Q$2:$Q$492,0)),"")</f>
        <v>🟡 Attesa rischiosa</v>
      </c>
    </row>
    <row r="286" customFormat="false" ht="15" hidden="false" customHeight="true" outlineLevel="0" collapsed="false">
      <c r="A286" s="46" t="n">
        <v>283</v>
      </c>
      <c r="B286" s="7" t="n">
        <f aca="false">IFERROR(INDEX('Output Utente'!$A$2:$A$492,MATCH(283,'Output Utente'!$Q$2:$Q$492,0)),"")</f>
        <v>6495</v>
      </c>
      <c r="C286" s="7" t="str">
        <f aca="false">IFERROR(INDEX('Output Utente'!$B$2:$B$492,MATCH(283,'Output Utente'!$Q$2:$Q$492,0)),"")</f>
        <v>D</v>
      </c>
      <c r="D286" s="7" t="str">
        <f aca="false">IFERROR(INDEX('Output Utente'!$C$2:$C$492,MATCH(283,'Output Utente'!$Q$2:$Q$492,0)),"")</f>
        <v>Comuzzo</v>
      </c>
      <c r="E286" s="7" t="str">
        <f aca="false">IFERROR(INDEX('Input Giocatori 2026_27'!$D$3:$D$493,MATCH($B286,'Input Giocatori 2026_27'!$A$3:$A$493,0)),"")</f>
        <v>Torino</v>
      </c>
      <c r="F286" s="47" t="n">
        <f aca="false">IFERROR(INDEX('Output Utente'!$N$2:$N$492,MATCH(283,'Output Utente'!$Q$2:$Q$492,0)),"")</f>
        <v>6</v>
      </c>
      <c r="G286" s="47" t="n">
        <f aca="false">IFERROR(INDEX('Output Utente'!$O$2:$O$492,MATCH(283,'Output Utente'!$Q$2:$Q$492,0)),"")</f>
        <v>11</v>
      </c>
      <c r="H286" s="7" t="str">
        <f aca="false">IFERROR(INDEX('Output Utente'!$P$2:$P$492,MATCH(283,'Output Utente'!$Q$2:$Q$492,0)),"")</f>
        <v>Nella Media</v>
      </c>
      <c r="I286" s="47" t="n">
        <f aca="false">IFERROR(INDEX('Output Utente'!$F$2:$F$492,MATCH(283,'Output Utente'!$Q$2:$Q$492,0)),"")</f>
        <v>2</v>
      </c>
      <c r="J286" s="47" t="n">
        <f aca="false">IFERROR(INDEX('Output Utente'!$G$2:$G$492,MATCH(283,'Output Utente'!$Q$2:$Q$492,0)),"")</f>
        <v>1</v>
      </c>
      <c r="K286" s="47" t="n">
        <f aca="false">IFERROR(INDEX('Output Utente'!$H$2:$H$492,MATCH(283,'Output Utente'!$Q$2:$Q$492,0)),"")</f>
        <v>2</v>
      </c>
      <c r="L286" s="7" t="str">
        <f aca="false">IFERROR(INDEX('Output Utente'!$E$2:$E$492,MATCH(283,'Output Utente'!$Q$2:$Q$492,0)),"")</f>
        <v>NO</v>
      </c>
      <c r="M286" s="7" t="str">
        <f aca="false">IFERROR(INDEX('Output Utente'!$U$2:$U$492,MATCH(283,'Output Utente'!$Q$2:$Q$492,0)),"")</f>
        <v>OK</v>
      </c>
      <c r="N286" s="7" t="str">
        <f aca="false">IFERROR(INDEX('Output Utente'!$AE$2:$AE$492,MATCH(283,'Output Utente'!$Q$2:$Q$492,0)),"")</f>
        <v>🟡 Attesa rischiosa</v>
      </c>
    </row>
    <row r="287" customFormat="false" ht="15" hidden="false" customHeight="true" outlineLevel="0" collapsed="false">
      <c r="A287" s="46" t="n">
        <v>284</v>
      </c>
      <c r="B287" s="7" t="n">
        <f aca="false">IFERROR(INDEX('Output Utente'!$A$2:$A$492,MATCH(284,'Output Utente'!$Q$2:$Q$492,0)),"")</f>
        <v>7068</v>
      </c>
      <c r="C287" s="7" t="str">
        <f aca="false">IFERROR(INDEX('Output Utente'!$B$2:$B$492,MATCH(284,'Output Utente'!$Q$2:$Q$492,0)),"")</f>
        <v>D</v>
      </c>
      <c r="D287" s="7" t="str">
        <f aca="false">IFERROR(INDEX('Output Utente'!$C$2:$C$492,MATCH(284,'Output Utente'!$Q$2:$Q$492,0)),"")</f>
        <v>Vitik</v>
      </c>
      <c r="E287" s="7" t="str">
        <f aca="false">IFERROR(INDEX('Input Giocatori 2026_27'!$D$3:$D$493,MATCH($B287,'Input Giocatori 2026_27'!$A$3:$A$493,0)),"")</f>
        <v>Bologna</v>
      </c>
      <c r="F287" s="47" t="n">
        <f aca="false">IFERROR(INDEX('Output Utente'!$N$2:$N$492,MATCH(284,'Output Utente'!$Q$2:$Q$492,0)),"")</f>
        <v>5</v>
      </c>
      <c r="G287" s="47" t="n">
        <f aca="false">IFERROR(INDEX('Output Utente'!$O$2:$O$492,MATCH(284,'Output Utente'!$Q$2:$Q$492,0)),"")</f>
        <v>11</v>
      </c>
      <c r="H287" s="7" t="str">
        <f aca="false">IFERROR(INDEX('Output Utente'!$P$2:$P$492,MATCH(284,'Output Utente'!$Q$2:$Q$492,0)),"")</f>
        <v>Nella Media</v>
      </c>
      <c r="I287" s="47" t="n">
        <f aca="false">IFERROR(INDEX('Output Utente'!$F$2:$F$492,MATCH(284,'Output Utente'!$Q$2:$Q$492,0)),"")</f>
        <v>2</v>
      </c>
      <c r="J287" s="47" t="n">
        <f aca="false">IFERROR(INDEX('Output Utente'!$G$2:$G$492,MATCH(284,'Output Utente'!$Q$2:$Q$492,0)),"")</f>
        <v>1</v>
      </c>
      <c r="K287" s="47" t="n">
        <f aca="false">IFERROR(INDEX('Output Utente'!$H$2:$H$492,MATCH(284,'Output Utente'!$Q$2:$Q$492,0)),"")</f>
        <v>2</v>
      </c>
      <c r="L287" s="7" t="str">
        <f aca="false">IFERROR(INDEX('Output Utente'!$E$2:$E$492,MATCH(284,'Output Utente'!$Q$2:$Q$492,0)),"")</f>
        <v>NO</v>
      </c>
      <c r="M287" s="7" t="str">
        <f aca="false">IFERROR(INDEX('Output Utente'!$U$2:$U$492,MATCH(284,'Output Utente'!$Q$2:$Q$492,0)),"")</f>
        <v>OK</v>
      </c>
      <c r="N287" s="7" t="str">
        <f aca="false">IFERROR(INDEX('Output Utente'!$AE$2:$AE$492,MATCH(284,'Output Utente'!$Q$2:$Q$492,0)),"")</f>
        <v>🟡 Attesa rischiosa</v>
      </c>
    </row>
    <row r="288" customFormat="false" ht="15" hidden="false" customHeight="true" outlineLevel="0" collapsed="false">
      <c r="A288" s="46" t="n">
        <v>285</v>
      </c>
      <c r="B288" s="7" t="n">
        <f aca="false">IFERROR(INDEX('Output Utente'!$A$2:$A$492,MATCH(285,'Output Utente'!$Q$2:$Q$492,0)),"")</f>
        <v>7532</v>
      </c>
      <c r="C288" s="7" t="str">
        <f aca="false">IFERROR(INDEX('Output Utente'!$B$2:$B$492,MATCH(285,'Output Utente'!$Q$2:$Q$492,0)),"")</f>
        <v>D</v>
      </c>
      <c r="D288" s="7" t="str">
        <f aca="false">IFERROR(INDEX('Output Utente'!$C$2:$C$492,MATCH(285,'Output Utente'!$Q$2:$Q$492,0)),"")</f>
        <v>Kofler</v>
      </c>
      <c r="E288" s="7" t="str">
        <f aca="false">IFERROR(INDEX('Input Giocatori 2026_27'!$D$3:$D$493,MATCH($B288,'Input Giocatori 2026_27'!$A$3:$A$493,0)),"")</f>
        <v>Cagliari</v>
      </c>
      <c r="F288" s="47" t="n">
        <f aca="false">IFERROR(INDEX('Output Utente'!$N$2:$N$492,MATCH(285,'Output Utente'!$Q$2:$Q$492,0)),"")</f>
        <v>5</v>
      </c>
      <c r="G288" s="47" t="n">
        <f aca="false">IFERROR(INDEX('Output Utente'!$O$2:$O$492,MATCH(285,'Output Utente'!$Q$2:$Q$492,0)),"")</f>
        <v>11</v>
      </c>
      <c r="H288" s="7" t="str">
        <f aca="false">IFERROR(INDEX('Output Utente'!$P$2:$P$492,MATCH(285,'Output Utente'!$Q$2:$Q$492,0)),"")</f>
        <v>Nella Media</v>
      </c>
      <c r="I288" s="47" t="n">
        <f aca="false">IFERROR(INDEX('Output Utente'!$F$2:$F$492,MATCH(285,'Output Utente'!$Q$2:$Q$492,0)),"")</f>
        <v>2</v>
      </c>
      <c r="J288" s="47" t="n">
        <f aca="false">IFERROR(INDEX('Output Utente'!$G$2:$G$492,MATCH(285,'Output Utente'!$Q$2:$Q$492,0)),"")</f>
        <v>1</v>
      </c>
      <c r="K288" s="47" t="n">
        <f aca="false">IFERROR(INDEX('Output Utente'!$H$2:$H$492,MATCH(285,'Output Utente'!$Q$2:$Q$492,0)),"")</f>
        <v>2</v>
      </c>
      <c r="L288" s="7" t="str">
        <f aca="false">IFERROR(INDEX('Output Utente'!$E$2:$E$492,MATCH(285,'Output Utente'!$Q$2:$Q$492,0)),"")</f>
        <v>NO</v>
      </c>
      <c r="M288" s="7" t="str">
        <f aca="false">IFERROR(INDEX('Output Utente'!$U$2:$U$492,MATCH(285,'Output Utente'!$Q$2:$Q$492,0)),"")</f>
        <v>OK</v>
      </c>
      <c r="N288" s="7" t="str">
        <f aca="false">IFERROR(INDEX('Output Utente'!$AE$2:$AE$492,MATCH(285,'Output Utente'!$Q$2:$Q$492,0)),"")</f>
        <v>🟡 Attesa rischiosa</v>
      </c>
    </row>
    <row r="289" customFormat="false" ht="15" hidden="false" customHeight="true" outlineLevel="0" collapsed="false">
      <c r="A289" s="46" t="n">
        <v>286</v>
      </c>
      <c r="B289" s="7" t="n">
        <f aca="false">IFERROR(INDEX('Output Utente'!$A$2:$A$492,MATCH(286,'Output Utente'!$Q$2:$Q$492,0)),"")</f>
        <v>7274</v>
      </c>
      <c r="C289" s="7" t="str">
        <f aca="false">IFERROR(INDEX('Output Utente'!$B$2:$B$492,MATCH(286,'Output Utente'!$Q$2:$Q$492,0)),"")</f>
        <v>D</v>
      </c>
      <c r="D289" s="7" t="str">
        <f aca="false">IFERROR(INDEX('Output Utente'!$C$2:$C$492,MATCH(286,'Output Utente'!$Q$2:$Q$492,0)),"")</f>
        <v>Zè Pedro</v>
      </c>
      <c r="E289" s="7" t="str">
        <f aca="false">IFERROR(INDEX('Input Giocatori 2026_27'!$D$3:$D$493,MATCH($B289,'Input Giocatori 2026_27'!$A$3:$A$493,0)),"")</f>
        <v>Cagliari</v>
      </c>
      <c r="F289" s="47" t="n">
        <f aca="false">IFERROR(INDEX('Output Utente'!$N$2:$N$492,MATCH(286,'Output Utente'!$Q$2:$Q$492,0)),"")</f>
        <v>5</v>
      </c>
      <c r="G289" s="47" t="n">
        <f aca="false">IFERROR(INDEX('Output Utente'!$O$2:$O$492,MATCH(286,'Output Utente'!$Q$2:$Q$492,0)),"")</f>
        <v>11</v>
      </c>
      <c r="H289" s="7" t="str">
        <f aca="false">IFERROR(INDEX('Output Utente'!$P$2:$P$492,MATCH(286,'Output Utente'!$Q$2:$Q$492,0)),"")</f>
        <v>Nella Media</v>
      </c>
      <c r="I289" s="47" t="n">
        <f aca="false">IFERROR(INDEX('Output Utente'!$F$2:$F$492,MATCH(286,'Output Utente'!$Q$2:$Q$492,0)),"")</f>
        <v>2</v>
      </c>
      <c r="J289" s="47" t="n">
        <f aca="false">IFERROR(INDEX('Output Utente'!$G$2:$G$492,MATCH(286,'Output Utente'!$Q$2:$Q$492,0)),"")</f>
        <v>1</v>
      </c>
      <c r="K289" s="47" t="n">
        <f aca="false">IFERROR(INDEX('Output Utente'!$H$2:$H$492,MATCH(286,'Output Utente'!$Q$2:$Q$492,0)),"")</f>
        <v>2</v>
      </c>
      <c r="L289" s="7" t="str">
        <f aca="false">IFERROR(INDEX('Output Utente'!$E$2:$E$492,MATCH(286,'Output Utente'!$Q$2:$Q$492,0)),"")</f>
        <v>NO</v>
      </c>
      <c r="M289" s="7" t="str">
        <f aca="false">IFERROR(INDEX('Output Utente'!$U$2:$U$492,MATCH(286,'Output Utente'!$Q$2:$Q$492,0)),"")</f>
        <v>OK</v>
      </c>
      <c r="N289" s="7" t="str">
        <f aca="false">IFERROR(INDEX('Output Utente'!$AE$2:$AE$492,MATCH(286,'Output Utente'!$Q$2:$Q$492,0)),"")</f>
        <v>🟡 Attesa rischiosa</v>
      </c>
    </row>
    <row r="290" customFormat="false" ht="15" hidden="false" customHeight="true" outlineLevel="0" collapsed="false">
      <c r="A290" s="46" t="n">
        <v>287</v>
      </c>
      <c r="B290" s="7" t="n">
        <f aca="false">IFERROR(INDEX('Output Utente'!$A$2:$A$492,MATCH(287,'Output Utente'!$Q$2:$Q$492,0)),"")</f>
        <v>7469</v>
      </c>
      <c r="C290" s="7" t="str">
        <f aca="false">IFERROR(INDEX('Output Utente'!$B$2:$B$492,MATCH(287,'Output Utente'!$Q$2:$Q$492,0)),"")</f>
        <v>D</v>
      </c>
      <c r="D290" s="7" t="str">
        <f aca="false">IFERROR(INDEX('Output Utente'!$C$2:$C$492,MATCH(287,'Output Utente'!$Q$2:$Q$492,0)),"")</f>
        <v>Bracaglia</v>
      </c>
      <c r="E290" s="7" t="str">
        <f aca="false">IFERROR(INDEX('Input Giocatori 2026_27'!$D$3:$D$493,MATCH($B290,'Input Giocatori 2026_27'!$A$3:$A$493,0)),"")</f>
        <v>Frosinone</v>
      </c>
      <c r="F290" s="47" t="n">
        <f aca="false">IFERROR(INDEX('Output Utente'!$N$2:$N$492,MATCH(287,'Output Utente'!$Q$2:$Q$492,0)),"")</f>
        <v>5</v>
      </c>
      <c r="G290" s="47" t="n">
        <f aca="false">IFERROR(INDEX('Output Utente'!$O$2:$O$492,MATCH(287,'Output Utente'!$Q$2:$Q$492,0)),"")</f>
        <v>11</v>
      </c>
      <c r="H290" s="7" t="str">
        <f aca="false">IFERROR(INDEX('Output Utente'!$P$2:$P$492,MATCH(287,'Output Utente'!$Q$2:$Q$492,0)),"")</f>
        <v>Nella Media</v>
      </c>
      <c r="I290" s="47" t="n">
        <f aca="false">IFERROR(INDEX('Output Utente'!$F$2:$F$492,MATCH(287,'Output Utente'!$Q$2:$Q$492,0)),"")</f>
        <v>2</v>
      </c>
      <c r="J290" s="47" t="n">
        <f aca="false">IFERROR(INDEX('Output Utente'!$G$2:$G$492,MATCH(287,'Output Utente'!$Q$2:$Q$492,0)),"")</f>
        <v>1</v>
      </c>
      <c r="K290" s="47" t="n">
        <f aca="false">IFERROR(INDEX('Output Utente'!$H$2:$H$492,MATCH(287,'Output Utente'!$Q$2:$Q$492,0)),"")</f>
        <v>2</v>
      </c>
      <c r="L290" s="7" t="str">
        <f aca="false">IFERROR(INDEX('Output Utente'!$E$2:$E$492,MATCH(287,'Output Utente'!$Q$2:$Q$492,0)),"")</f>
        <v>NO</v>
      </c>
      <c r="M290" s="7" t="str">
        <f aca="false">IFERROR(INDEX('Output Utente'!$U$2:$U$492,MATCH(287,'Output Utente'!$Q$2:$Q$492,0)),"")</f>
        <v>OK</v>
      </c>
      <c r="N290" s="7" t="str">
        <f aca="false">IFERROR(INDEX('Output Utente'!$AE$2:$AE$492,MATCH(287,'Output Utente'!$Q$2:$Q$492,0)),"")</f>
        <v>🟡 Attesa rischiosa</v>
      </c>
    </row>
    <row r="291" customFormat="false" ht="15" hidden="false" customHeight="true" outlineLevel="0" collapsed="false">
      <c r="A291" s="46" t="n">
        <v>288</v>
      </c>
      <c r="B291" s="7" t="n">
        <f aca="false">IFERROR(INDEX('Output Utente'!$A$2:$A$492,MATCH(288,'Output Utente'!$Q$2:$Q$492,0)),"")</f>
        <v>6990</v>
      </c>
      <c r="C291" s="7" t="str">
        <f aca="false">IFERROR(INDEX('Output Utente'!$B$2:$B$492,MATCH(288,'Output Utente'!$Q$2:$Q$492,0)),"")</f>
        <v>D</v>
      </c>
      <c r="D291" s="7" t="str">
        <f aca="false">IFERROR(INDEX('Output Utente'!$C$2:$C$492,MATCH(288,'Output Utente'!$Q$2:$Q$492,0)),"")</f>
        <v>Veiga D.</v>
      </c>
      <c r="E291" s="7" t="str">
        <f aca="false">IFERROR(INDEX('Input Giocatori 2026_27'!$D$3:$D$493,MATCH($B291,'Input Giocatori 2026_27'!$A$3:$A$493,0)),"")</f>
        <v>Lecce</v>
      </c>
      <c r="F291" s="47" t="n">
        <f aca="false">IFERROR(INDEX('Output Utente'!$N$2:$N$492,MATCH(288,'Output Utente'!$Q$2:$Q$492,0)),"")</f>
        <v>5</v>
      </c>
      <c r="G291" s="47" t="n">
        <f aca="false">IFERROR(INDEX('Output Utente'!$O$2:$O$492,MATCH(288,'Output Utente'!$Q$2:$Q$492,0)),"")</f>
        <v>11</v>
      </c>
      <c r="H291" s="7" t="str">
        <f aca="false">IFERROR(INDEX('Output Utente'!$P$2:$P$492,MATCH(288,'Output Utente'!$Q$2:$Q$492,0)),"")</f>
        <v>Nella Media</v>
      </c>
      <c r="I291" s="47" t="n">
        <f aca="false">IFERROR(INDEX('Output Utente'!$F$2:$F$492,MATCH(288,'Output Utente'!$Q$2:$Q$492,0)),"")</f>
        <v>2</v>
      </c>
      <c r="J291" s="47" t="n">
        <f aca="false">IFERROR(INDEX('Output Utente'!$G$2:$G$492,MATCH(288,'Output Utente'!$Q$2:$Q$492,0)),"")</f>
        <v>1</v>
      </c>
      <c r="K291" s="47" t="n">
        <f aca="false">IFERROR(INDEX('Output Utente'!$H$2:$H$492,MATCH(288,'Output Utente'!$Q$2:$Q$492,0)),"")</f>
        <v>2</v>
      </c>
      <c r="L291" s="7" t="str">
        <f aca="false">IFERROR(INDEX('Output Utente'!$E$2:$E$492,MATCH(288,'Output Utente'!$Q$2:$Q$492,0)),"")</f>
        <v>NO</v>
      </c>
      <c r="M291" s="7" t="str">
        <f aca="false">IFERROR(INDEX('Output Utente'!$U$2:$U$492,MATCH(288,'Output Utente'!$Q$2:$Q$492,0)),"")</f>
        <v>OK</v>
      </c>
      <c r="N291" s="7" t="str">
        <f aca="false">IFERROR(INDEX('Output Utente'!$AE$2:$AE$492,MATCH(288,'Output Utente'!$Q$2:$Q$492,0)),"")</f>
        <v>🟡 Attesa rischiosa</v>
      </c>
    </row>
    <row r="292" customFormat="false" ht="15" hidden="false" customHeight="true" outlineLevel="0" collapsed="false">
      <c r="A292" s="46" t="n">
        <v>289</v>
      </c>
      <c r="B292" s="7" t="n">
        <f aca="false">IFERROR(INDEX('Output Utente'!$A$2:$A$492,MATCH(289,'Output Utente'!$Q$2:$Q$492,0)),"")</f>
        <v>6890</v>
      </c>
      <c r="C292" s="7" t="str">
        <f aca="false">IFERROR(INDEX('Output Utente'!$B$2:$B$492,MATCH(289,'Output Utente'!$Q$2:$Q$492,0)),"")</f>
        <v>D</v>
      </c>
      <c r="D292" s="7" t="str">
        <f aca="false">IFERROR(INDEX('Output Utente'!$C$2:$C$492,MATCH(289,'Output Utente'!$Q$2:$Q$492,0)),"")</f>
        <v>Moreno M.</v>
      </c>
      <c r="E292" s="7" t="str">
        <f aca="false">IFERROR(INDEX('Input Giocatori 2026_27'!$D$3:$D$493,MATCH($B292,'Input Giocatori 2026_27'!$A$3:$A$493,0)),"")</f>
        <v>Venezia</v>
      </c>
      <c r="F292" s="47" t="n">
        <f aca="false">IFERROR(INDEX('Output Utente'!$N$2:$N$492,MATCH(289,'Output Utente'!$Q$2:$Q$492,0)),"")</f>
        <v>5</v>
      </c>
      <c r="G292" s="47" t="n">
        <f aca="false">IFERROR(INDEX('Output Utente'!$O$2:$O$492,MATCH(289,'Output Utente'!$Q$2:$Q$492,0)),"")</f>
        <v>11</v>
      </c>
      <c r="H292" s="7" t="str">
        <f aca="false">IFERROR(INDEX('Output Utente'!$P$2:$P$492,MATCH(289,'Output Utente'!$Q$2:$Q$492,0)),"")</f>
        <v>Nella Media</v>
      </c>
      <c r="I292" s="47" t="n">
        <f aca="false">IFERROR(INDEX('Output Utente'!$F$2:$F$492,MATCH(289,'Output Utente'!$Q$2:$Q$492,0)),"")</f>
        <v>2</v>
      </c>
      <c r="J292" s="47" t="n">
        <f aca="false">IFERROR(INDEX('Output Utente'!$G$2:$G$492,MATCH(289,'Output Utente'!$Q$2:$Q$492,0)),"")</f>
        <v>1</v>
      </c>
      <c r="K292" s="47" t="n">
        <f aca="false">IFERROR(INDEX('Output Utente'!$H$2:$H$492,MATCH(289,'Output Utente'!$Q$2:$Q$492,0)),"")</f>
        <v>2</v>
      </c>
      <c r="L292" s="7" t="str">
        <f aca="false">IFERROR(INDEX('Output Utente'!$E$2:$E$492,MATCH(289,'Output Utente'!$Q$2:$Q$492,0)),"")</f>
        <v>NO</v>
      </c>
      <c r="M292" s="7" t="str">
        <f aca="false">IFERROR(INDEX('Output Utente'!$U$2:$U$492,MATCH(289,'Output Utente'!$Q$2:$Q$492,0)),"")</f>
        <v>OK</v>
      </c>
      <c r="N292" s="7" t="str">
        <f aca="false">IFERROR(INDEX('Output Utente'!$AE$2:$AE$492,MATCH(289,'Output Utente'!$Q$2:$Q$492,0)),"")</f>
        <v>🟡 Attesa rischiosa</v>
      </c>
    </row>
    <row r="293" customFormat="false" ht="15" hidden="false" customHeight="true" outlineLevel="0" collapsed="false">
      <c r="A293" s="46" t="n">
        <v>290</v>
      </c>
      <c r="B293" s="7" t="n">
        <f aca="false">IFERROR(INDEX('Output Utente'!$A$2:$A$492,MATCH(290,'Output Utente'!$Q$2:$Q$492,0)),"")</f>
        <v>5695</v>
      </c>
      <c r="C293" s="7" t="str">
        <f aca="false">IFERROR(INDEX('Output Utente'!$B$2:$B$492,MATCH(290,'Output Utente'!$Q$2:$Q$492,0)),"")</f>
        <v>D</v>
      </c>
      <c r="D293" s="7" t="str">
        <f aca="false">IFERROR(INDEX('Output Utente'!$C$2:$C$492,MATCH(290,'Output Utente'!$Q$2:$Q$492,0)),"")</f>
        <v>Haps</v>
      </c>
      <c r="E293" s="7" t="str">
        <f aca="false">IFERROR(INDEX('Input Giocatori 2026_27'!$D$3:$D$493,MATCH($B293,'Input Giocatori 2026_27'!$A$3:$A$493,0)),"")</f>
        <v>Venezia</v>
      </c>
      <c r="F293" s="47" t="n">
        <f aca="false">IFERROR(INDEX('Output Utente'!$N$2:$N$492,MATCH(290,'Output Utente'!$Q$2:$Q$492,0)),"")</f>
        <v>5</v>
      </c>
      <c r="G293" s="47" t="n">
        <f aca="false">IFERROR(INDEX('Output Utente'!$O$2:$O$492,MATCH(290,'Output Utente'!$Q$2:$Q$492,0)),"")</f>
        <v>11</v>
      </c>
      <c r="H293" s="7" t="str">
        <f aca="false">IFERROR(INDEX('Output Utente'!$P$2:$P$492,MATCH(290,'Output Utente'!$Q$2:$Q$492,0)),"")</f>
        <v>Nella Media</v>
      </c>
      <c r="I293" s="47" t="n">
        <f aca="false">IFERROR(INDEX('Output Utente'!$F$2:$F$492,MATCH(290,'Output Utente'!$Q$2:$Q$492,0)),"")</f>
        <v>2</v>
      </c>
      <c r="J293" s="47" t="n">
        <f aca="false">IFERROR(INDEX('Output Utente'!$G$2:$G$492,MATCH(290,'Output Utente'!$Q$2:$Q$492,0)),"")</f>
        <v>1</v>
      </c>
      <c r="K293" s="47" t="n">
        <f aca="false">IFERROR(INDEX('Output Utente'!$H$2:$H$492,MATCH(290,'Output Utente'!$Q$2:$Q$492,0)),"")</f>
        <v>2</v>
      </c>
      <c r="L293" s="7" t="str">
        <f aca="false">IFERROR(INDEX('Output Utente'!$E$2:$E$492,MATCH(290,'Output Utente'!$Q$2:$Q$492,0)),"")</f>
        <v>NO</v>
      </c>
      <c r="M293" s="7" t="str">
        <f aca="false">IFERROR(INDEX('Output Utente'!$U$2:$U$492,MATCH(290,'Output Utente'!$Q$2:$Q$492,0)),"")</f>
        <v>OK</v>
      </c>
      <c r="N293" s="7" t="str">
        <f aca="false">IFERROR(INDEX('Output Utente'!$AE$2:$AE$492,MATCH(290,'Output Utente'!$Q$2:$Q$492,0)),"")</f>
        <v>🟡 Attesa rischiosa</v>
      </c>
    </row>
    <row r="294" customFormat="false" ht="15" hidden="false" customHeight="true" outlineLevel="0" collapsed="false">
      <c r="A294" s="46" t="n">
        <v>291</v>
      </c>
      <c r="B294" s="7" t="n">
        <f aca="false">IFERROR(INDEX('Output Utente'!$A$2:$A$492,MATCH(291,'Output Utente'!$Q$2:$Q$492,0)),"")</f>
        <v>2115</v>
      </c>
      <c r="C294" s="7" t="str">
        <f aca="false">IFERROR(INDEX('Output Utente'!$B$2:$B$492,MATCH(291,'Output Utente'!$Q$2:$Q$492,0)),"")</f>
        <v>D</v>
      </c>
      <c r="D294" s="7" t="str">
        <f aca="false">IFERROR(INDEX('Output Utente'!$C$2:$C$492,MATCH(291,'Output Utente'!$Q$2:$Q$492,0)),"")</f>
        <v>Delli Carri</v>
      </c>
      <c r="E294" s="7" t="str">
        <f aca="false">IFERROR(INDEX('Input Giocatori 2026_27'!$D$3:$D$493,MATCH($B294,'Input Giocatori 2026_27'!$A$3:$A$493,0)),"")</f>
        <v>Monza</v>
      </c>
      <c r="F294" s="47" t="n">
        <f aca="false">IFERROR(INDEX('Output Utente'!$N$2:$N$492,MATCH(291,'Output Utente'!$Q$2:$Q$492,0)),"")</f>
        <v>4</v>
      </c>
      <c r="G294" s="47" t="n">
        <f aca="false">IFERROR(INDEX('Output Utente'!$O$2:$O$492,MATCH(291,'Output Utente'!$Q$2:$Q$492,0)),"")</f>
        <v>11</v>
      </c>
      <c r="H294" s="7" t="str">
        <f aca="false">IFERROR(INDEX('Output Utente'!$P$2:$P$492,MATCH(291,'Output Utente'!$Q$2:$Q$492,0)),"")</f>
        <v>Nella Media</v>
      </c>
      <c r="I294" s="47" t="n">
        <f aca="false">IFERROR(INDEX('Output Utente'!$F$2:$F$492,MATCH(291,'Output Utente'!$Q$2:$Q$492,0)),"")</f>
        <v>2</v>
      </c>
      <c r="J294" s="47" t="n">
        <f aca="false">IFERROR(INDEX('Output Utente'!$G$2:$G$492,MATCH(291,'Output Utente'!$Q$2:$Q$492,0)),"")</f>
        <v>1</v>
      </c>
      <c r="K294" s="47" t="n">
        <f aca="false">IFERROR(INDEX('Output Utente'!$H$2:$H$492,MATCH(291,'Output Utente'!$Q$2:$Q$492,0)),"")</f>
        <v>2</v>
      </c>
      <c r="L294" s="7" t="str">
        <f aca="false">IFERROR(INDEX('Output Utente'!$E$2:$E$492,MATCH(291,'Output Utente'!$Q$2:$Q$492,0)),"")</f>
        <v>NO</v>
      </c>
      <c r="M294" s="7" t="str">
        <f aca="false">IFERROR(INDEX('Output Utente'!$U$2:$U$492,MATCH(291,'Output Utente'!$Q$2:$Q$492,0)),"")</f>
        <v>OK</v>
      </c>
      <c r="N294" s="7" t="str">
        <f aca="false">IFERROR(INDEX('Output Utente'!$AE$2:$AE$492,MATCH(291,'Output Utente'!$Q$2:$Q$492,0)),"")</f>
        <v>🟡 Attesa rischiosa</v>
      </c>
    </row>
    <row r="295" customFormat="false" ht="15" hidden="false" customHeight="true" outlineLevel="0" collapsed="false">
      <c r="A295" s="46" t="n">
        <v>292</v>
      </c>
      <c r="B295" s="7" t="n">
        <f aca="false">IFERROR(INDEX('Output Utente'!$A$2:$A$492,MATCH(292,'Output Utente'!$Q$2:$Q$492,0)),"")</f>
        <v>4856</v>
      </c>
      <c r="C295" s="7" t="str">
        <f aca="false">IFERROR(INDEX('Output Utente'!$B$2:$B$492,MATCH(292,'Output Utente'!$Q$2:$Q$492,0)),"")</f>
        <v>C</v>
      </c>
      <c r="D295" s="7" t="str">
        <f aca="false">IFERROR(INDEX('Output Utente'!$C$2:$C$492,MATCH(292,'Output Utente'!$Q$2:$Q$492,0)),"")</f>
        <v>Chukwueze</v>
      </c>
      <c r="E295" s="7" t="str">
        <f aca="false">IFERROR(INDEX('Input Giocatori 2026_27'!$D$3:$D$493,MATCH($B295,'Input Giocatori 2026_27'!$A$3:$A$493,0)),"")</f>
        <v>Milan</v>
      </c>
      <c r="F295" s="47" t="n">
        <f aca="false">IFERROR(INDEX('Output Utente'!$N$2:$N$492,MATCH(292,'Output Utente'!$Q$2:$Q$492,0)),"")</f>
        <v>6</v>
      </c>
      <c r="G295" s="47" t="n">
        <f aca="false">IFERROR(INDEX('Output Utente'!$O$2:$O$492,MATCH(292,'Output Utente'!$Q$2:$Q$492,0)),"")</f>
        <v>11</v>
      </c>
      <c r="H295" s="7" t="str">
        <f aca="false">IFERROR(INDEX('Output Utente'!$P$2:$P$492,MATCH(292,'Output Utente'!$Q$2:$Q$492,0)),"")</f>
        <v>Nella Media</v>
      </c>
      <c r="I295" s="47" t="n">
        <f aca="false">IFERROR(INDEX('Output Utente'!$F$2:$F$492,MATCH(292,'Output Utente'!$Q$2:$Q$492,0)),"")</f>
        <v>2</v>
      </c>
      <c r="J295" s="47" t="n">
        <f aca="false">IFERROR(INDEX('Output Utente'!$G$2:$G$492,MATCH(292,'Output Utente'!$Q$2:$Q$492,0)),"")</f>
        <v>1</v>
      </c>
      <c r="K295" s="47" t="n">
        <f aca="false">IFERROR(INDEX('Output Utente'!$H$2:$H$492,MATCH(292,'Output Utente'!$Q$2:$Q$492,0)),"")</f>
        <v>2</v>
      </c>
      <c r="L295" s="7" t="str">
        <f aca="false">IFERROR(INDEX('Output Utente'!$E$2:$E$492,MATCH(292,'Output Utente'!$Q$2:$Q$492,0)),"")</f>
        <v>NO</v>
      </c>
      <c r="M295" s="7" t="str">
        <f aca="false">IFERROR(INDEX('Output Utente'!$U$2:$U$492,MATCH(292,'Output Utente'!$Q$2:$Q$492,0)),"")</f>
        <v>OK</v>
      </c>
      <c r="N295" s="7" t="str">
        <f aca="false">IFERROR(INDEX('Output Utente'!$AE$2:$AE$492,MATCH(292,'Output Utente'!$Q$2:$Q$492,0)),"")</f>
        <v>🟡 Attesa rischiosa</v>
      </c>
    </row>
    <row r="296" customFormat="false" ht="15" hidden="false" customHeight="true" outlineLevel="0" collapsed="false">
      <c r="A296" s="46" t="n">
        <v>293</v>
      </c>
      <c r="B296" s="7" t="n">
        <f aca="false">IFERROR(INDEX('Output Utente'!$A$2:$A$492,MATCH(293,'Output Utente'!$Q$2:$Q$492,0)),"")</f>
        <v>2857</v>
      </c>
      <c r="C296" s="7" t="str">
        <f aca="false">IFERROR(INDEX('Output Utente'!$B$2:$B$492,MATCH(293,'Output Utente'!$Q$2:$Q$492,0)),"")</f>
        <v>C</v>
      </c>
      <c r="D296" s="7" t="str">
        <f aca="false">IFERROR(INDEX('Output Utente'!$C$2:$C$492,MATCH(293,'Output Utente'!$Q$2:$Q$492,0)),"")</f>
        <v>Traorè Hj.</v>
      </c>
      <c r="E296" s="7" t="str">
        <f aca="false">IFERROR(INDEX('Input Giocatori 2026_27'!$D$3:$D$493,MATCH($B296,'Input Giocatori 2026_27'!$A$3:$A$493,0)),"")</f>
        <v>Genoa</v>
      </c>
      <c r="F296" s="47" t="n">
        <f aca="false">IFERROR(INDEX('Output Utente'!$N$2:$N$492,MATCH(293,'Output Utente'!$Q$2:$Q$492,0)),"")</f>
        <v>5</v>
      </c>
      <c r="G296" s="47" t="n">
        <f aca="false">IFERROR(INDEX('Output Utente'!$O$2:$O$492,MATCH(293,'Output Utente'!$Q$2:$Q$492,0)),"")</f>
        <v>11</v>
      </c>
      <c r="H296" s="7" t="str">
        <f aca="false">IFERROR(INDEX('Output Utente'!$P$2:$P$492,MATCH(293,'Output Utente'!$Q$2:$Q$492,0)),"")</f>
        <v>Nella Media</v>
      </c>
      <c r="I296" s="47" t="n">
        <f aca="false">IFERROR(INDEX('Output Utente'!$F$2:$F$492,MATCH(293,'Output Utente'!$Q$2:$Q$492,0)),"")</f>
        <v>2</v>
      </c>
      <c r="J296" s="47" t="n">
        <f aca="false">IFERROR(INDEX('Output Utente'!$G$2:$G$492,MATCH(293,'Output Utente'!$Q$2:$Q$492,0)),"")</f>
        <v>1</v>
      </c>
      <c r="K296" s="47" t="n">
        <f aca="false">IFERROR(INDEX('Output Utente'!$H$2:$H$492,MATCH(293,'Output Utente'!$Q$2:$Q$492,0)),"")</f>
        <v>2</v>
      </c>
      <c r="L296" s="7" t="str">
        <f aca="false">IFERROR(INDEX('Output Utente'!$E$2:$E$492,MATCH(293,'Output Utente'!$Q$2:$Q$492,0)),"")</f>
        <v>NO</v>
      </c>
      <c r="M296" s="7" t="str">
        <f aca="false">IFERROR(INDEX('Output Utente'!$U$2:$U$492,MATCH(293,'Output Utente'!$Q$2:$Q$492,0)),"")</f>
        <v>OK</v>
      </c>
      <c r="N296" s="7" t="str">
        <f aca="false">IFERROR(INDEX('Output Utente'!$AE$2:$AE$492,MATCH(293,'Output Utente'!$Q$2:$Q$492,0)),"")</f>
        <v>🟡 Attesa rischiosa</v>
      </c>
    </row>
    <row r="297" customFormat="false" ht="15" hidden="false" customHeight="true" outlineLevel="0" collapsed="false">
      <c r="A297" s="46" t="n">
        <v>294</v>
      </c>
      <c r="B297" s="7" t="n">
        <f aca="false">IFERROR(INDEX('Output Utente'!$A$2:$A$492,MATCH(294,'Output Utente'!$Q$2:$Q$492,0)),"")</f>
        <v>7473</v>
      </c>
      <c r="C297" s="7" t="str">
        <f aca="false">IFERROR(INDEX('Output Utente'!$B$2:$B$492,MATCH(294,'Output Utente'!$Q$2:$Q$492,0)),"")</f>
        <v>C</v>
      </c>
      <c r="D297" s="7" t="str">
        <f aca="false">IFERROR(INDEX('Output Utente'!$C$2:$C$492,MATCH(294,'Output Utente'!$Q$2:$Q$492,0)),"")</f>
        <v>Cichella</v>
      </c>
      <c r="E297" s="7" t="str">
        <f aca="false">IFERROR(INDEX('Input Giocatori 2026_27'!$D$3:$D$493,MATCH($B297,'Input Giocatori 2026_27'!$A$3:$A$493,0)),"")</f>
        <v>Frosinone</v>
      </c>
      <c r="F297" s="47" t="n">
        <f aca="false">IFERROR(INDEX('Output Utente'!$N$2:$N$492,MATCH(294,'Output Utente'!$Q$2:$Q$492,0)),"")</f>
        <v>4</v>
      </c>
      <c r="G297" s="47" t="n">
        <f aca="false">IFERROR(INDEX('Output Utente'!$O$2:$O$492,MATCH(294,'Output Utente'!$Q$2:$Q$492,0)),"")</f>
        <v>11</v>
      </c>
      <c r="H297" s="7" t="str">
        <f aca="false">IFERROR(INDEX('Output Utente'!$P$2:$P$492,MATCH(294,'Output Utente'!$Q$2:$Q$492,0)),"")</f>
        <v>Nella Media</v>
      </c>
      <c r="I297" s="47" t="n">
        <f aca="false">IFERROR(INDEX('Output Utente'!$F$2:$F$492,MATCH(294,'Output Utente'!$Q$2:$Q$492,0)),"")</f>
        <v>2</v>
      </c>
      <c r="J297" s="47" t="n">
        <f aca="false">IFERROR(INDEX('Output Utente'!$G$2:$G$492,MATCH(294,'Output Utente'!$Q$2:$Q$492,0)),"")</f>
        <v>1</v>
      </c>
      <c r="K297" s="47" t="n">
        <f aca="false">IFERROR(INDEX('Output Utente'!$H$2:$H$492,MATCH(294,'Output Utente'!$Q$2:$Q$492,0)),"")</f>
        <v>2</v>
      </c>
      <c r="L297" s="7" t="str">
        <f aca="false">IFERROR(INDEX('Output Utente'!$E$2:$E$492,MATCH(294,'Output Utente'!$Q$2:$Q$492,0)),"")</f>
        <v>NO</v>
      </c>
      <c r="M297" s="7" t="str">
        <f aca="false">IFERROR(INDEX('Output Utente'!$U$2:$U$492,MATCH(294,'Output Utente'!$Q$2:$Q$492,0)),"")</f>
        <v>OK</v>
      </c>
      <c r="N297" s="7" t="str">
        <f aca="false">IFERROR(INDEX('Output Utente'!$AE$2:$AE$492,MATCH(294,'Output Utente'!$Q$2:$Q$492,0)),"")</f>
        <v>🟡 Attesa rischiosa</v>
      </c>
    </row>
    <row r="298" customFormat="false" ht="15" hidden="false" customHeight="true" outlineLevel="0" collapsed="false">
      <c r="A298" s="46" t="n">
        <v>295</v>
      </c>
      <c r="B298" s="7" t="n">
        <f aca="false">IFERROR(INDEX('Output Utente'!$A$2:$A$492,MATCH(295,'Output Utente'!$Q$2:$Q$492,0)),"")</f>
        <v>7341</v>
      </c>
      <c r="C298" s="7" t="str">
        <f aca="false">IFERROR(INDEX('Output Utente'!$B$2:$B$492,MATCH(295,'Output Utente'!$Q$2:$Q$492,0)),"")</f>
        <v>C</v>
      </c>
      <c r="D298" s="7" t="str">
        <f aca="false">IFERROR(INDEX('Output Utente'!$C$2:$C$492,MATCH(295,'Output Utente'!$Q$2:$Q$492,0)),"")</f>
        <v>Amorim</v>
      </c>
      <c r="E298" s="7" t="str">
        <f aca="false">IFERROR(INDEX('Input Giocatori 2026_27'!$D$3:$D$493,MATCH($B298,'Input Giocatori 2026_27'!$A$3:$A$493,0)),"")</f>
        <v>Genoa</v>
      </c>
      <c r="F298" s="47" t="n">
        <f aca="false">IFERROR(INDEX('Output Utente'!$N$2:$N$492,MATCH(295,'Output Utente'!$Q$2:$Q$492,0)),"")</f>
        <v>4</v>
      </c>
      <c r="G298" s="47" t="n">
        <f aca="false">IFERROR(INDEX('Output Utente'!$O$2:$O$492,MATCH(295,'Output Utente'!$Q$2:$Q$492,0)),"")</f>
        <v>11</v>
      </c>
      <c r="H298" s="7" t="str">
        <f aca="false">IFERROR(INDEX('Output Utente'!$P$2:$P$492,MATCH(295,'Output Utente'!$Q$2:$Q$492,0)),"")</f>
        <v>Nella Media</v>
      </c>
      <c r="I298" s="47" t="n">
        <f aca="false">IFERROR(INDEX('Output Utente'!$F$2:$F$492,MATCH(295,'Output Utente'!$Q$2:$Q$492,0)),"")</f>
        <v>2</v>
      </c>
      <c r="J298" s="47" t="n">
        <f aca="false">IFERROR(INDEX('Output Utente'!$G$2:$G$492,MATCH(295,'Output Utente'!$Q$2:$Q$492,0)),"")</f>
        <v>1</v>
      </c>
      <c r="K298" s="47" t="n">
        <f aca="false">IFERROR(INDEX('Output Utente'!$H$2:$H$492,MATCH(295,'Output Utente'!$Q$2:$Q$492,0)),"")</f>
        <v>2</v>
      </c>
      <c r="L298" s="7" t="str">
        <f aca="false">IFERROR(INDEX('Output Utente'!$E$2:$E$492,MATCH(295,'Output Utente'!$Q$2:$Q$492,0)),"")</f>
        <v>NO</v>
      </c>
      <c r="M298" s="7" t="str">
        <f aca="false">IFERROR(INDEX('Output Utente'!$U$2:$U$492,MATCH(295,'Output Utente'!$Q$2:$Q$492,0)),"")</f>
        <v>OK</v>
      </c>
      <c r="N298" s="7" t="str">
        <f aca="false">IFERROR(INDEX('Output Utente'!$AE$2:$AE$492,MATCH(295,'Output Utente'!$Q$2:$Q$492,0)),"")</f>
        <v>🟡 Attesa rischiosa</v>
      </c>
    </row>
    <row r="299" customFormat="false" ht="15" hidden="false" customHeight="true" outlineLevel="0" collapsed="false">
      <c r="A299" s="46" t="n">
        <v>296</v>
      </c>
      <c r="B299" s="7" t="n">
        <f aca="false">IFERROR(INDEX('Output Utente'!$A$2:$A$492,MATCH(296,'Output Utente'!$Q$2:$Q$492,0)),"")</f>
        <v>7322</v>
      </c>
      <c r="C299" s="7" t="str">
        <f aca="false">IFERROR(INDEX('Output Utente'!$B$2:$B$492,MATCH(296,'Output Utente'!$Q$2:$Q$492,0)),"")</f>
        <v>C</v>
      </c>
      <c r="D299" s="7" t="str">
        <f aca="false">IFERROR(INDEX('Output Utente'!$C$2:$C$492,MATCH(296,'Output Utente'!$Q$2:$Q$492,0)),"")</f>
        <v>Ngom</v>
      </c>
      <c r="E299" s="7" t="str">
        <f aca="false">IFERROR(INDEX('Input Giocatori 2026_27'!$D$3:$D$493,MATCH($B299,'Input Giocatori 2026_27'!$A$3:$A$493,0)),"")</f>
        <v>Lecce</v>
      </c>
      <c r="F299" s="47" t="n">
        <f aca="false">IFERROR(INDEX('Output Utente'!$N$2:$N$492,MATCH(296,'Output Utente'!$Q$2:$Q$492,0)),"")</f>
        <v>4</v>
      </c>
      <c r="G299" s="47" t="n">
        <f aca="false">IFERROR(INDEX('Output Utente'!$O$2:$O$492,MATCH(296,'Output Utente'!$Q$2:$Q$492,0)),"")</f>
        <v>11</v>
      </c>
      <c r="H299" s="7" t="str">
        <f aca="false">IFERROR(INDEX('Output Utente'!$P$2:$P$492,MATCH(296,'Output Utente'!$Q$2:$Q$492,0)),"")</f>
        <v>Nella Media</v>
      </c>
      <c r="I299" s="47" t="n">
        <f aca="false">IFERROR(INDEX('Output Utente'!$F$2:$F$492,MATCH(296,'Output Utente'!$Q$2:$Q$492,0)),"")</f>
        <v>2</v>
      </c>
      <c r="J299" s="47" t="n">
        <f aca="false">IFERROR(INDEX('Output Utente'!$G$2:$G$492,MATCH(296,'Output Utente'!$Q$2:$Q$492,0)),"")</f>
        <v>1</v>
      </c>
      <c r="K299" s="47" t="n">
        <f aca="false">IFERROR(INDEX('Output Utente'!$H$2:$H$492,MATCH(296,'Output Utente'!$Q$2:$Q$492,0)),"")</f>
        <v>2</v>
      </c>
      <c r="L299" s="7" t="str">
        <f aca="false">IFERROR(INDEX('Output Utente'!$E$2:$E$492,MATCH(296,'Output Utente'!$Q$2:$Q$492,0)),"")</f>
        <v>NO</v>
      </c>
      <c r="M299" s="7" t="str">
        <f aca="false">IFERROR(INDEX('Output Utente'!$U$2:$U$492,MATCH(296,'Output Utente'!$Q$2:$Q$492,0)),"")</f>
        <v>OK</v>
      </c>
      <c r="N299" s="7" t="str">
        <f aca="false">IFERROR(INDEX('Output Utente'!$AE$2:$AE$492,MATCH(296,'Output Utente'!$Q$2:$Q$492,0)),"")</f>
        <v>🟡 Attesa rischiosa</v>
      </c>
    </row>
    <row r="300" customFormat="false" ht="15" hidden="false" customHeight="true" outlineLevel="0" collapsed="false">
      <c r="A300" s="46" t="n">
        <v>297</v>
      </c>
      <c r="B300" s="7" t="n">
        <f aca="false">IFERROR(INDEX('Output Utente'!$A$2:$A$492,MATCH(297,'Output Utente'!$Q$2:$Q$492,0)),"")</f>
        <v>5453</v>
      </c>
      <c r="C300" s="7" t="str">
        <f aca="false">IFERROR(INDEX('Output Utente'!$B$2:$B$492,MATCH(297,'Output Utente'!$Q$2:$Q$492,0)),"")</f>
        <v>C</v>
      </c>
      <c r="D300" s="7" t="str">
        <f aca="false">IFERROR(INDEX('Output Utente'!$C$2:$C$492,MATCH(297,'Output Utente'!$Q$2:$Q$492,0)),"")</f>
        <v>Ricci S.</v>
      </c>
      <c r="E300" s="7" t="str">
        <f aca="false">IFERROR(INDEX('Input Giocatori 2026_27'!$D$3:$D$493,MATCH($B300,'Input Giocatori 2026_27'!$A$3:$A$493,0)),"")</f>
        <v>Milan</v>
      </c>
      <c r="F300" s="47" t="n">
        <f aca="false">IFERROR(INDEX('Output Utente'!$N$2:$N$492,MATCH(297,'Output Utente'!$Q$2:$Q$492,0)),"")</f>
        <v>4</v>
      </c>
      <c r="G300" s="47" t="n">
        <f aca="false">IFERROR(INDEX('Output Utente'!$O$2:$O$492,MATCH(297,'Output Utente'!$Q$2:$Q$492,0)),"")</f>
        <v>11</v>
      </c>
      <c r="H300" s="7" t="str">
        <f aca="false">IFERROR(INDEX('Output Utente'!$P$2:$P$492,MATCH(297,'Output Utente'!$Q$2:$Q$492,0)),"")</f>
        <v>Nella Media</v>
      </c>
      <c r="I300" s="47" t="n">
        <f aca="false">IFERROR(INDEX('Output Utente'!$F$2:$F$492,MATCH(297,'Output Utente'!$Q$2:$Q$492,0)),"")</f>
        <v>2</v>
      </c>
      <c r="J300" s="47" t="n">
        <f aca="false">IFERROR(INDEX('Output Utente'!$G$2:$G$492,MATCH(297,'Output Utente'!$Q$2:$Q$492,0)),"")</f>
        <v>1</v>
      </c>
      <c r="K300" s="47" t="n">
        <f aca="false">IFERROR(INDEX('Output Utente'!$H$2:$H$492,MATCH(297,'Output Utente'!$Q$2:$Q$492,0)),"")</f>
        <v>2</v>
      </c>
      <c r="L300" s="7" t="str">
        <f aca="false">IFERROR(INDEX('Output Utente'!$E$2:$E$492,MATCH(297,'Output Utente'!$Q$2:$Q$492,0)),"")</f>
        <v>NO</v>
      </c>
      <c r="M300" s="7" t="str">
        <f aca="false">IFERROR(INDEX('Output Utente'!$U$2:$U$492,MATCH(297,'Output Utente'!$Q$2:$Q$492,0)),"")</f>
        <v>OK</v>
      </c>
      <c r="N300" s="7" t="str">
        <f aca="false">IFERROR(INDEX('Output Utente'!$AE$2:$AE$492,MATCH(297,'Output Utente'!$Q$2:$Q$492,0)),"")</f>
        <v>🟡 Attesa rischiosa</v>
      </c>
    </row>
    <row r="301" customFormat="false" ht="15" hidden="false" customHeight="true" outlineLevel="0" collapsed="false">
      <c r="A301" s="46" t="n">
        <v>298</v>
      </c>
      <c r="B301" s="7" t="n">
        <f aca="false">IFERROR(INDEX('Output Utente'!$A$2:$A$492,MATCH(298,'Output Utente'!$Q$2:$Q$492,0)),"")</f>
        <v>7203</v>
      </c>
      <c r="C301" s="7" t="str">
        <f aca="false">IFERROR(INDEX('Output Utente'!$B$2:$B$492,MATCH(298,'Output Utente'!$Q$2:$Q$492,0)),"")</f>
        <v>C</v>
      </c>
      <c r="D301" s="7" t="str">
        <f aca="false">IFERROR(INDEX('Output Utente'!$C$2:$C$492,MATCH(298,'Output Utente'!$Q$2:$Q$492,0)),"")</f>
        <v>Jashari</v>
      </c>
      <c r="E301" s="7" t="str">
        <f aca="false">IFERROR(INDEX('Input Giocatori 2026_27'!$D$3:$D$493,MATCH($B301,'Input Giocatori 2026_27'!$A$3:$A$493,0)),"")</f>
        <v>Milan</v>
      </c>
      <c r="F301" s="47" t="n">
        <f aca="false">IFERROR(INDEX('Output Utente'!$N$2:$N$492,MATCH(298,'Output Utente'!$Q$2:$Q$492,0)),"")</f>
        <v>4</v>
      </c>
      <c r="G301" s="47" t="n">
        <f aca="false">IFERROR(INDEX('Output Utente'!$O$2:$O$492,MATCH(298,'Output Utente'!$Q$2:$Q$492,0)),"")</f>
        <v>11</v>
      </c>
      <c r="H301" s="7" t="str">
        <f aca="false">IFERROR(INDEX('Output Utente'!$P$2:$P$492,MATCH(298,'Output Utente'!$Q$2:$Q$492,0)),"")</f>
        <v>Nella Media</v>
      </c>
      <c r="I301" s="47" t="n">
        <f aca="false">IFERROR(INDEX('Output Utente'!$F$2:$F$492,MATCH(298,'Output Utente'!$Q$2:$Q$492,0)),"")</f>
        <v>2</v>
      </c>
      <c r="J301" s="47" t="n">
        <f aca="false">IFERROR(INDEX('Output Utente'!$G$2:$G$492,MATCH(298,'Output Utente'!$Q$2:$Q$492,0)),"")</f>
        <v>1</v>
      </c>
      <c r="K301" s="47" t="n">
        <f aca="false">IFERROR(INDEX('Output Utente'!$H$2:$H$492,MATCH(298,'Output Utente'!$Q$2:$Q$492,0)),"")</f>
        <v>2</v>
      </c>
      <c r="L301" s="7" t="str">
        <f aca="false">IFERROR(INDEX('Output Utente'!$E$2:$E$492,MATCH(298,'Output Utente'!$Q$2:$Q$492,0)),"")</f>
        <v>NO</v>
      </c>
      <c r="M301" s="7" t="str">
        <f aca="false">IFERROR(INDEX('Output Utente'!$U$2:$U$492,MATCH(298,'Output Utente'!$Q$2:$Q$492,0)),"")</f>
        <v>OK</v>
      </c>
      <c r="N301" s="7" t="str">
        <f aca="false">IFERROR(INDEX('Output Utente'!$AE$2:$AE$492,MATCH(298,'Output Utente'!$Q$2:$Q$492,0)),"")</f>
        <v>🟡 Attesa rischiosa</v>
      </c>
    </row>
    <row r="302" customFormat="false" ht="15" hidden="false" customHeight="true" outlineLevel="0" collapsed="false">
      <c r="A302" s="46" t="n">
        <v>299</v>
      </c>
      <c r="B302" s="7" t="n">
        <f aca="false">IFERROR(INDEX('Output Utente'!$A$2:$A$492,MATCH(299,'Output Utente'!$Q$2:$Q$492,0)),"")</f>
        <v>4199</v>
      </c>
      <c r="C302" s="7" t="str">
        <f aca="false">IFERROR(INDEX('Output Utente'!$B$2:$B$492,MATCH(299,'Output Utente'!$Q$2:$Q$492,0)),"")</f>
        <v>C</v>
      </c>
      <c r="D302" s="7" t="str">
        <f aca="false">IFERROR(INDEX('Output Utente'!$C$2:$C$492,MATCH(299,'Output Utente'!$Q$2:$Q$492,0)),"")</f>
        <v>Loftus-Cheek</v>
      </c>
      <c r="E302" s="7" t="str">
        <f aca="false">IFERROR(INDEX('Input Giocatori 2026_27'!$D$3:$D$493,MATCH($B302,'Input Giocatori 2026_27'!$A$3:$A$493,0)),"")</f>
        <v>Milan</v>
      </c>
      <c r="F302" s="47" t="n">
        <f aca="false">IFERROR(INDEX('Output Utente'!$N$2:$N$492,MATCH(299,'Output Utente'!$Q$2:$Q$492,0)),"")</f>
        <v>4</v>
      </c>
      <c r="G302" s="47" t="n">
        <f aca="false">IFERROR(INDEX('Output Utente'!$O$2:$O$492,MATCH(299,'Output Utente'!$Q$2:$Q$492,0)),"")</f>
        <v>11</v>
      </c>
      <c r="H302" s="7" t="str">
        <f aca="false">IFERROR(INDEX('Output Utente'!$P$2:$P$492,MATCH(299,'Output Utente'!$Q$2:$Q$492,0)),"")</f>
        <v>Nella Media</v>
      </c>
      <c r="I302" s="47" t="n">
        <f aca="false">IFERROR(INDEX('Output Utente'!$F$2:$F$492,MATCH(299,'Output Utente'!$Q$2:$Q$492,0)),"")</f>
        <v>2</v>
      </c>
      <c r="J302" s="47" t="n">
        <f aca="false">IFERROR(INDEX('Output Utente'!$G$2:$G$492,MATCH(299,'Output Utente'!$Q$2:$Q$492,0)),"")</f>
        <v>1</v>
      </c>
      <c r="K302" s="47" t="n">
        <f aca="false">IFERROR(INDEX('Output Utente'!$H$2:$H$492,MATCH(299,'Output Utente'!$Q$2:$Q$492,0)),"")</f>
        <v>2</v>
      </c>
      <c r="L302" s="7" t="str">
        <f aca="false">IFERROR(INDEX('Output Utente'!$E$2:$E$492,MATCH(299,'Output Utente'!$Q$2:$Q$492,0)),"")</f>
        <v>NO</v>
      </c>
      <c r="M302" s="7" t="str">
        <f aca="false">IFERROR(INDEX('Output Utente'!$U$2:$U$492,MATCH(299,'Output Utente'!$Q$2:$Q$492,0)),"")</f>
        <v>OK</v>
      </c>
      <c r="N302" s="7" t="str">
        <f aca="false">IFERROR(INDEX('Output Utente'!$AE$2:$AE$492,MATCH(299,'Output Utente'!$Q$2:$Q$492,0)),"")</f>
        <v>🟡 Attesa rischiosa</v>
      </c>
    </row>
    <row r="303" customFormat="false" ht="15" hidden="false" customHeight="true" outlineLevel="0" collapsed="false">
      <c r="A303" s="46" t="n">
        <v>300</v>
      </c>
      <c r="B303" s="7" t="n">
        <f aca="false">IFERROR(INDEX('Output Utente'!$A$2:$A$492,MATCH(300,'Output Utente'!$Q$2:$Q$492,0)),"")</f>
        <v>5813</v>
      </c>
      <c r="C303" s="7" t="str">
        <f aca="false">IFERROR(INDEX('Output Utente'!$B$2:$B$492,MATCH(300,'Output Utente'!$Q$2:$Q$492,0)),"")</f>
        <v>C</v>
      </c>
      <c r="D303" s="7" t="str">
        <f aca="false">IFERROR(INDEX('Output Utente'!$C$2:$C$492,MATCH(300,'Output Utente'!$Q$2:$Q$492,0)),"")</f>
        <v>Miretti</v>
      </c>
      <c r="E303" s="7" t="str">
        <f aca="false">IFERROR(INDEX('Input Giocatori 2026_27'!$D$3:$D$493,MATCH($B303,'Input Giocatori 2026_27'!$A$3:$A$493,0)),"")</f>
        <v>Juventus</v>
      </c>
      <c r="F303" s="47" t="n">
        <f aca="false">IFERROR(INDEX('Output Utente'!$N$2:$N$492,MATCH(300,'Output Utente'!$Q$2:$Q$492,0)),"")</f>
        <v>3</v>
      </c>
      <c r="G303" s="47" t="n">
        <f aca="false">IFERROR(INDEX('Output Utente'!$O$2:$O$492,MATCH(300,'Output Utente'!$Q$2:$Q$492,0)),"")</f>
        <v>11</v>
      </c>
      <c r="H303" s="7" t="str">
        <f aca="false">IFERROR(INDEX('Output Utente'!$P$2:$P$492,MATCH(300,'Output Utente'!$Q$2:$Q$492,0)),"")</f>
        <v>Nella Media</v>
      </c>
      <c r="I303" s="47" t="n">
        <f aca="false">IFERROR(INDEX('Output Utente'!$F$2:$F$492,MATCH(300,'Output Utente'!$Q$2:$Q$492,0)),"")</f>
        <v>2</v>
      </c>
      <c r="J303" s="47" t="n">
        <f aca="false">IFERROR(INDEX('Output Utente'!$G$2:$G$492,MATCH(300,'Output Utente'!$Q$2:$Q$492,0)),"")</f>
        <v>1</v>
      </c>
      <c r="K303" s="47" t="n">
        <f aca="false">IFERROR(INDEX('Output Utente'!$H$2:$H$492,MATCH(300,'Output Utente'!$Q$2:$Q$492,0)),"")</f>
        <v>2</v>
      </c>
      <c r="L303" s="7" t="str">
        <f aca="false">IFERROR(INDEX('Output Utente'!$E$2:$E$492,MATCH(300,'Output Utente'!$Q$2:$Q$492,0)),"")</f>
        <v>NO</v>
      </c>
      <c r="M303" s="7" t="str">
        <f aca="false">IFERROR(INDEX('Output Utente'!$U$2:$U$492,MATCH(300,'Output Utente'!$Q$2:$Q$492,0)),"")</f>
        <v>OK</v>
      </c>
      <c r="N303" s="7" t="str">
        <f aca="false">IFERROR(INDEX('Output Utente'!$AE$2:$AE$492,MATCH(300,'Output Utente'!$Q$2:$Q$492,0)),"")</f>
        <v>🟡 Attesa rischiosa</v>
      </c>
    </row>
    <row r="304" customFormat="false" ht="15" hidden="false" customHeight="true" outlineLevel="0" collapsed="false">
      <c r="A304" s="46" t="n">
        <v>301</v>
      </c>
      <c r="B304" s="7" t="n">
        <f aca="false">IFERROR(INDEX('Output Utente'!$A$2:$A$492,MATCH(301,'Output Utente'!$Q$2:$Q$492,0)),"")</f>
        <v>7342</v>
      </c>
      <c r="C304" s="7" t="str">
        <f aca="false">IFERROR(INDEX('Output Utente'!$B$2:$B$492,MATCH(301,'Output Utente'!$Q$2:$Q$492,0)),"")</f>
        <v>A</v>
      </c>
      <c r="D304" s="7" t="str">
        <f aca="false">IFERROR(INDEX('Output Utente'!$C$2:$C$492,MATCH(301,'Output Utente'!$Q$2:$Q$492,0)),"")</f>
        <v>Elphege</v>
      </c>
      <c r="E304" s="7" t="str">
        <f aca="false">IFERROR(INDEX('Input Giocatori 2026_27'!$D$3:$D$493,MATCH($B304,'Input Giocatori 2026_27'!$A$3:$A$493,0)),"")</f>
        <v>Parma</v>
      </c>
      <c r="F304" s="47" t="n">
        <f aca="false">IFERROR(INDEX('Output Utente'!$N$2:$N$492,MATCH(301,'Output Utente'!$Q$2:$Q$492,0)),"")</f>
        <v>3</v>
      </c>
      <c r="G304" s="47" t="n">
        <f aca="false">IFERROR(INDEX('Output Utente'!$O$2:$O$492,MATCH(301,'Output Utente'!$Q$2:$Q$492,0)),"")</f>
        <v>11</v>
      </c>
      <c r="H304" s="7" t="str">
        <f aca="false">IFERROR(INDEX('Output Utente'!$P$2:$P$492,MATCH(301,'Output Utente'!$Q$2:$Q$492,0)),"")</f>
        <v>Scommessa/Riserva</v>
      </c>
      <c r="I304" s="47" t="n">
        <f aca="false">IFERROR(INDEX('Output Utente'!$F$2:$F$492,MATCH(301,'Output Utente'!$Q$2:$Q$492,0)),"")</f>
        <v>3</v>
      </c>
      <c r="J304" s="47" t="n">
        <f aca="false">IFERROR(INDEX('Output Utente'!$G$2:$G$492,MATCH(301,'Output Utente'!$Q$2:$Q$492,0)),"")</f>
        <v>2</v>
      </c>
      <c r="K304" s="47" t="n">
        <f aca="false">IFERROR(INDEX('Output Utente'!$H$2:$H$492,MATCH(301,'Output Utente'!$Q$2:$Q$492,0)),"")</f>
        <v>4</v>
      </c>
      <c r="L304" s="7" t="str">
        <f aca="false">IFERROR(INDEX('Output Utente'!$E$2:$E$492,MATCH(301,'Output Utente'!$Q$2:$Q$492,0)),"")</f>
        <v>NO</v>
      </c>
      <c r="M304" s="7" t="str">
        <f aca="false">IFERROR(INDEX('Output Utente'!$U$2:$U$492,MATCH(301,'Output Utente'!$Q$2:$Q$492,0)),"")</f>
        <v>OK</v>
      </c>
      <c r="N304" s="7" t="str">
        <f aca="false">IFERROR(INDEX('Output Utente'!$AE$2:$AE$492,MATCH(301,'Output Utente'!$Q$2:$Q$492,0)),"")</f>
        <v>🔴 Non aspettare</v>
      </c>
    </row>
    <row r="305" customFormat="false" ht="15" hidden="false" customHeight="true" outlineLevel="0" collapsed="false">
      <c r="A305" s="46" t="n">
        <v>302</v>
      </c>
      <c r="B305" s="7" t="n">
        <f aca="false">IFERROR(INDEX('Output Utente'!$A$2:$A$492,MATCH(302,'Output Utente'!$Q$2:$Q$492,0)),"")</f>
        <v>218</v>
      </c>
      <c r="C305" s="7" t="str">
        <f aca="false">IFERROR(INDEX('Output Utente'!$B$2:$B$492,MATCH(302,'Output Utente'!$Q$2:$Q$492,0)),"")</f>
        <v>P</v>
      </c>
      <c r="D305" s="7" t="str">
        <f aca="false">IFERROR(INDEX('Output Utente'!$C$2:$C$492,MATCH(302,'Output Utente'!$Q$2:$Q$492,0)),"")</f>
        <v>Perin</v>
      </c>
      <c r="E305" s="7" t="str">
        <f aca="false">IFERROR(INDEX('Input Giocatori 2026_27'!$D$3:$D$493,MATCH($B305,'Input Giocatori 2026_27'!$A$3:$A$493,0)),"")</f>
        <v>Juventus</v>
      </c>
      <c r="F305" s="47" t="n">
        <f aca="false">IFERROR(INDEX('Output Utente'!$N$2:$N$492,MATCH(302,'Output Utente'!$Q$2:$Q$492,0)),"")</f>
        <v>6</v>
      </c>
      <c r="G305" s="47" t="n">
        <f aca="false">IFERROR(INDEX('Output Utente'!$O$2:$O$492,MATCH(302,'Output Utente'!$Q$2:$Q$492,0)),"")</f>
        <v>10</v>
      </c>
      <c r="H305" s="7" t="str">
        <f aca="false">IFERROR(INDEX('Output Utente'!$P$2:$P$492,MATCH(302,'Output Utente'!$Q$2:$Q$492,0)),"")</f>
        <v>Buono</v>
      </c>
      <c r="I305" s="47" t="n">
        <f aca="false">IFERROR(INDEX('Output Utente'!$F$2:$F$492,MATCH(302,'Output Utente'!$Q$2:$Q$492,0)),"")</f>
        <v>4</v>
      </c>
      <c r="J305" s="47" t="n">
        <f aca="false">IFERROR(INDEX('Output Utente'!$G$2:$G$492,MATCH(302,'Output Utente'!$Q$2:$Q$492,0)),"")</f>
        <v>3</v>
      </c>
      <c r="K305" s="47" t="n">
        <f aca="false">IFERROR(INDEX('Output Utente'!$H$2:$H$492,MATCH(302,'Output Utente'!$Q$2:$Q$492,0)),"")</f>
        <v>4</v>
      </c>
      <c r="L305" s="7" t="str">
        <f aca="false">IFERROR(INDEX('Output Utente'!$E$2:$E$492,MATCH(302,'Output Utente'!$Q$2:$Q$492,0)),"")</f>
        <v>NO</v>
      </c>
      <c r="M305" s="7" t="str">
        <f aca="false">IFERROR(INDEX('Output Utente'!$U$2:$U$492,MATCH(302,'Output Utente'!$Q$2:$Q$492,0)),"")</f>
        <v>OK</v>
      </c>
      <c r="N305" s="7" t="str">
        <f aca="false">IFERROR(INDEX('Output Utente'!$AE$2:$AE$492,MATCH(302,'Output Utente'!$Q$2:$Q$492,0)),"")</f>
        <v>🟡 Attesa rischiosa</v>
      </c>
    </row>
    <row r="306" customFormat="false" ht="15" hidden="false" customHeight="true" outlineLevel="0" collapsed="false">
      <c r="A306" s="46" t="n">
        <v>303</v>
      </c>
      <c r="B306" s="7" t="n">
        <f aca="false">IFERROR(INDEX('Output Utente'!$A$2:$A$492,MATCH(303,'Output Utente'!$Q$2:$Q$492,0)),"")</f>
        <v>2170</v>
      </c>
      <c r="C306" s="7" t="str">
        <f aca="false">IFERROR(INDEX('Output Utente'!$B$2:$B$492,MATCH(303,'Output Utente'!$Q$2:$Q$492,0)),"")</f>
        <v>P</v>
      </c>
      <c r="D306" s="7" t="str">
        <f aca="false">IFERROR(INDEX('Output Utente'!$C$2:$C$492,MATCH(303,'Output Utente'!$Q$2:$Q$492,0)),"")</f>
        <v>Milinkovic-Savic V.</v>
      </c>
      <c r="E306" s="7" t="str">
        <f aca="false">IFERROR(INDEX('Input Giocatori 2026_27'!$D$3:$D$493,MATCH($B306,'Input Giocatori 2026_27'!$A$3:$A$493,0)),"")</f>
        <v>Napoli</v>
      </c>
      <c r="F306" s="47" t="n">
        <f aca="false">IFERROR(INDEX('Output Utente'!$N$2:$N$492,MATCH(303,'Output Utente'!$Q$2:$Q$492,0)),"")</f>
        <v>5</v>
      </c>
      <c r="G306" s="47" t="n">
        <f aca="false">IFERROR(INDEX('Output Utente'!$O$2:$O$492,MATCH(303,'Output Utente'!$Q$2:$Q$492,0)),"")</f>
        <v>10</v>
      </c>
      <c r="H306" s="7" t="str">
        <f aca="false">IFERROR(INDEX('Output Utente'!$P$2:$P$492,MATCH(303,'Output Utente'!$Q$2:$Q$492,0)),"")</f>
        <v>Buono</v>
      </c>
      <c r="I306" s="47" t="n">
        <f aca="false">IFERROR(INDEX('Output Utente'!$F$2:$F$492,MATCH(303,'Output Utente'!$Q$2:$Q$492,0)),"")</f>
        <v>4</v>
      </c>
      <c r="J306" s="47" t="n">
        <f aca="false">IFERROR(INDEX('Output Utente'!$G$2:$G$492,MATCH(303,'Output Utente'!$Q$2:$Q$492,0)),"")</f>
        <v>3</v>
      </c>
      <c r="K306" s="47" t="n">
        <f aca="false">IFERROR(INDEX('Output Utente'!$H$2:$H$492,MATCH(303,'Output Utente'!$Q$2:$Q$492,0)),"")</f>
        <v>4</v>
      </c>
      <c r="L306" s="7" t="str">
        <f aca="false">IFERROR(INDEX('Output Utente'!$E$2:$E$492,MATCH(303,'Output Utente'!$Q$2:$Q$492,0)),"")</f>
        <v>NO</v>
      </c>
      <c r="M306" s="7" t="str">
        <f aca="false">IFERROR(INDEX('Output Utente'!$U$2:$U$492,MATCH(303,'Output Utente'!$Q$2:$Q$492,0)),"")</f>
        <v>OK</v>
      </c>
      <c r="N306" s="7" t="str">
        <f aca="false">IFERROR(INDEX('Output Utente'!$AE$2:$AE$492,MATCH(303,'Output Utente'!$Q$2:$Q$492,0)),"")</f>
        <v>🟡 Attesa rischiosa</v>
      </c>
    </row>
    <row r="307" customFormat="false" ht="15" hidden="false" customHeight="true" outlineLevel="0" collapsed="false">
      <c r="A307" s="46" t="n">
        <v>304</v>
      </c>
      <c r="B307" s="7" t="n">
        <f aca="false">IFERROR(INDEX('Output Utente'!$A$2:$A$492,MATCH(304,'Output Utente'!$Q$2:$Q$492,0)),"")</f>
        <v>7014</v>
      </c>
      <c r="C307" s="7" t="str">
        <f aca="false">IFERROR(INDEX('Output Utente'!$B$2:$B$492,MATCH(304,'Output Utente'!$Q$2:$Q$492,0)),"")</f>
        <v>D</v>
      </c>
      <c r="D307" s="7" t="str">
        <f aca="false">IFERROR(INDEX('Output Utente'!$C$2:$C$492,MATCH(304,'Output Utente'!$Q$2:$Q$492,0)),"")</f>
        <v>Smolcic I.</v>
      </c>
      <c r="E307" s="7" t="str">
        <f aca="false">IFERROR(INDEX('Input Giocatori 2026_27'!$D$3:$D$493,MATCH($B307,'Input Giocatori 2026_27'!$A$3:$A$493,0)),"")</f>
        <v>Como</v>
      </c>
      <c r="F307" s="47" t="n">
        <f aca="false">IFERROR(INDEX('Output Utente'!$N$2:$N$492,MATCH(304,'Output Utente'!$Q$2:$Q$492,0)),"")</f>
        <v>4</v>
      </c>
      <c r="G307" s="47" t="n">
        <f aca="false">IFERROR(INDEX('Output Utente'!$O$2:$O$492,MATCH(304,'Output Utente'!$Q$2:$Q$492,0)),"")</f>
        <v>10</v>
      </c>
      <c r="H307" s="7" t="str">
        <f aca="false">IFERROR(INDEX('Output Utente'!$P$2:$P$492,MATCH(304,'Output Utente'!$Q$2:$Q$492,0)),"")</f>
        <v>Nella Media</v>
      </c>
      <c r="I307" s="47" t="n">
        <f aca="false">IFERROR(INDEX('Output Utente'!$F$2:$F$492,MATCH(304,'Output Utente'!$Q$2:$Q$492,0)),"")</f>
        <v>2</v>
      </c>
      <c r="J307" s="47" t="n">
        <f aca="false">IFERROR(INDEX('Output Utente'!$G$2:$G$492,MATCH(304,'Output Utente'!$Q$2:$Q$492,0)),"")</f>
        <v>1</v>
      </c>
      <c r="K307" s="47" t="n">
        <f aca="false">IFERROR(INDEX('Output Utente'!$H$2:$H$492,MATCH(304,'Output Utente'!$Q$2:$Q$492,0)),"")</f>
        <v>2</v>
      </c>
      <c r="L307" s="7" t="str">
        <f aca="false">IFERROR(INDEX('Output Utente'!$E$2:$E$492,MATCH(304,'Output Utente'!$Q$2:$Q$492,0)),"")</f>
        <v>NO</v>
      </c>
      <c r="M307" s="7" t="str">
        <f aca="false">IFERROR(INDEX('Output Utente'!$U$2:$U$492,MATCH(304,'Output Utente'!$Q$2:$Q$492,0)),"")</f>
        <v>OK</v>
      </c>
      <c r="N307" s="7" t="str">
        <f aca="false">IFERROR(INDEX('Output Utente'!$AE$2:$AE$492,MATCH(304,'Output Utente'!$Q$2:$Q$492,0)),"")</f>
        <v>🟡 Attesa rischiosa</v>
      </c>
    </row>
    <row r="308" customFormat="false" ht="15" hidden="false" customHeight="true" outlineLevel="0" collapsed="false">
      <c r="A308" s="46" t="n">
        <v>305</v>
      </c>
      <c r="B308" s="7" t="n">
        <f aca="false">IFERROR(INDEX('Output Utente'!$A$2:$A$492,MATCH(305,'Output Utente'!$Q$2:$Q$492,0)),"")</f>
        <v>7467</v>
      </c>
      <c r="C308" s="7" t="str">
        <f aca="false">IFERROR(INDEX('Output Utente'!$B$2:$B$492,MATCH(305,'Output Utente'!$Q$2:$Q$492,0)),"")</f>
        <v>D</v>
      </c>
      <c r="D308" s="7" t="str">
        <f aca="false">IFERROR(INDEX('Output Utente'!$C$2:$C$492,MATCH(305,'Output Utente'!$Q$2:$Q$492,0)),"")</f>
        <v>Calvani</v>
      </c>
      <c r="E308" s="7" t="str">
        <f aca="false">IFERROR(INDEX('Input Giocatori 2026_27'!$D$3:$D$493,MATCH($B308,'Input Giocatori 2026_27'!$A$3:$A$493,0)),"")</f>
        <v>Frosinone</v>
      </c>
      <c r="F308" s="47" t="n">
        <f aca="false">IFERROR(INDEX('Output Utente'!$N$2:$N$492,MATCH(305,'Output Utente'!$Q$2:$Q$492,0)),"")</f>
        <v>4</v>
      </c>
      <c r="G308" s="47" t="n">
        <f aca="false">IFERROR(INDEX('Output Utente'!$O$2:$O$492,MATCH(305,'Output Utente'!$Q$2:$Q$492,0)),"")</f>
        <v>10</v>
      </c>
      <c r="H308" s="7" t="str">
        <f aca="false">IFERROR(INDEX('Output Utente'!$P$2:$P$492,MATCH(305,'Output Utente'!$Q$2:$Q$492,0)),"")</f>
        <v>Nella Media</v>
      </c>
      <c r="I308" s="47" t="n">
        <f aca="false">IFERROR(INDEX('Output Utente'!$F$2:$F$492,MATCH(305,'Output Utente'!$Q$2:$Q$492,0)),"")</f>
        <v>2</v>
      </c>
      <c r="J308" s="47" t="n">
        <f aca="false">IFERROR(INDEX('Output Utente'!$G$2:$G$492,MATCH(305,'Output Utente'!$Q$2:$Q$492,0)),"")</f>
        <v>1</v>
      </c>
      <c r="K308" s="47" t="n">
        <f aca="false">IFERROR(INDEX('Output Utente'!$H$2:$H$492,MATCH(305,'Output Utente'!$Q$2:$Q$492,0)),"")</f>
        <v>2</v>
      </c>
      <c r="L308" s="7" t="str">
        <f aca="false">IFERROR(INDEX('Output Utente'!$E$2:$E$492,MATCH(305,'Output Utente'!$Q$2:$Q$492,0)),"")</f>
        <v>NO</v>
      </c>
      <c r="M308" s="7" t="str">
        <f aca="false">IFERROR(INDEX('Output Utente'!$U$2:$U$492,MATCH(305,'Output Utente'!$Q$2:$Q$492,0)),"")</f>
        <v>OK</v>
      </c>
      <c r="N308" s="7" t="str">
        <f aca="false">IFERROR(INDEX('Output Utente'!$AE$2:$AE$492,MATCH(305,'Output Utente'!$Q$2:$Q$492,0)),"")</f>
        <v>🟡 Attesa rischiosa</v>
      </c>
    </row>
    <row r="309" customFormat="false" ht="15" hidden="false" customHeight="true" outlineLevel="0" collapsed="false">
      <c r="A309" s="46" t="n">
        <v>306</v>
      </c>
      <c r="B309" s="7" t="n">
        <f aca="false">IFERROR(INDEX('Output Utente'!$A$2:$A$492,MATCH(306,'Output Utente'!$Q$2:$Q$492,0)),"")</f>
        <v>5831</v>
      </c>
      <c r="C309" s="7" t="str">
        <f aca="false">IFERROR(INDEX('Output Utente'!$B$2:$B$492,MATCH(306,'Output Utente'!$Q$2:$Q$492,0)),"")</f>
        <v>D</v>
      </c>
      <c r="D309" s="7" t="str">
        <f aca="false">IFERROR(INDEX('Output Utente'!$C$2:$C$492,MATCH(306,'Output Utente'!$Q$2:$Q$492,0)),"")</f>
        <v>Gatti</v>
      </c>
      <c r="E309" s="7" t="str">
        <f aca="false">IFERROR(INDEX('Input Giocatori 2026_27'!$D$3:$D$493,MATCH($B309,'Input Giocatori 2026_27'!$A$3:$A$493,0)),"")</f>
        <v>Juventus</v>
      </c>
      <c r="F309" s="47" t="n">
        <f aca="false">IFERROR(INDEX('Output Utente'!$N$2:$N$492,MATCH(306,'Output Utente'!$Q$2:$Q$492,0)),"")</f>
        <v>4</v>
      </c>
      <c r="G309" s="47" t="n">
        <f aca="false">IFERROR(INDEX('Output Utente'!$O$2:$O$492,MATCH(306,'Output Utente'!$Q$2:$Q$492,0)),"")</f>
        <v>10</v>
      </c>
      <c r="H309" s="7" t="str">
        <f aca="false">IFERROR(INDEX('Output Utente'!$P$2:$P$492,MATCH(306,'Output Utente'!$Q$2:$Q$492,0)),"")</f>
        <v>Nella Media</v>
      </c>
      <c r="I309" s="47" t="n">
        <f aca="false">IFERROR(INDEX('Output Utente'!$F$2:$F$492,MATCH(306,'Output Utente'!$Q$2:$Q$492,0)),"")</f>
        <v>2</v>
      </c>
      <c r="J309" s="47" t="n">
        <f aca="false">IFERROR(INDEX('Output Utente'!$G$2:$G$492,MATCH(306,'Output Utente'!$Q$2:$Q$492,0)),"")</f>
        <v>1</v>
      </c>
      <c r="K309" s="47" t="n">
        <f aca="false">IFERROR(INDEX('Output Utente'!$H$2:$H$492,MATCH(306,'Output Utente'!$Q$2:$Q$492,0)),"")</f>
        <v>2</v>
      </c>
      <c r="L309" s="7" t="str">
        <f aca="false">IFERROR(INDEX('Output Utente'!$E$2:$E$492,MATCH(306,'Output Utente'!$Q$2:$Q$492,0)),"")</f>
        <v>NO</v>
      </c>
      <c r="M309" s="7" t="str">
        <f aca="false">IFERROR(INDEX('Output Utente'!$U$2:$U$492,MATCH(306,'Output Utente'!$Q$2:$Q$492,0)),"")</f>
        <v>OK</v>
      </c>
      <c r="N309" s="7" t="str">
        <f aca="false">IFERROR(INDEX('Output Utente'!$AE$2:$AE$492,MATCH(306,'Output Utente'!$Q$2:$Q$492,0)),"")</f>
        <v>🟡 Attesa rischiosa</v>
      </c>
    </row>
    <row r="310" customFormat="false" ht="15" hidden="false" customHeight="true" outlineLevel="0" collapsed="false">
      <c r="A310" s="46" t="n">
        <v>307</v>
      </c>
      <c r="B310" s="7" t="n">
        <f aca="false">IFERROR(INDEX('Output Utente'!$A$2:$A$492,MATCH(307,'Output Utente'!$Q$2:$Q$492,0)),"")</f>
        <v>5307</v>
      </c>
      <c r="C310" s="7" t="str">
        <f aca="false">IFERROR(INDEX('Output Utente'!$B$2:$B$492,MATCH(307,'Output Utente'!$Q$2:$Q$492,0)),"")</f>
        <v>D</v>
      </c>
      <c r="D310" s="7" t="str">
        <f aca="false">IFERROR(INDEX('Output Utente'!$C$2:$C$492,MATCH(307,'Output Utente'!$Q$2:$Q$492,0)),"")</f>
        <v>Valenti</v>
      </c>
      <c r="E310" s="7" t="str">
        <f aca="false">IFERROR(INDEX('Input Giocatori 2026_27'!$D$3:$D$493,MATCH($B310,'Input Giocatori 2026_27'!$A$3:$A$493,0)),"")</f>
        <v>Parma</v>
      </c>
      <c r="F310" s="47" t="n">
        <f aca="false">IFERROR(INDEX('Output Utente'!$N$2:$N$492,MATCH(307,'Output Utente'!$Q$2:$Q$492,0)),"")</f>
        <v>4</v>
      </c>
      <c r="G310" s="47" t="n">
        <f aca="false">IFERROR(INDEX('Output Utente'!$O$2:$O$492,MATCH(307,'Output Utente'!$Q$2:$Q$492,0)),"")</f>
        <v>10</v>
      </c>
      <c r="H310" s="7" t="str">
        <f aca="false">IFERROR(INDEX('Output Utente'!$P$2:$P$492,MATCH(307,'Output Utente'!$Q$2:$Q$492,0)),"")</f>
        <v>Nella Media</v>
      </c>
      <c r="I310" s="47" t="n">
        <f aca="false">IFERROR(INDEX('Output Utente'!$F$2:$F$492,MATCH(307,'Output Utente'!$Q$2:$Q$492,0)),"")</f>
        <v>2</v>
      </c>
      <c r="J310" s="47" t="n">
        <f aca="false">IFERROR(INDEX('Output Utente'!$G$2:$G$492,MATCH(307,'Output Utente'!$Q$2:$Q$492,0)),"")</f>
        <v>1</v>
      </c>
      <c r="K310" s="47" t="n">
        <f aca="false">IFERROR(INDEX('Output Utente'!$H$2:$H$492,MATCH(307,'Output Utente'!$Q$2:$Q$492,0)),"")</f>
        <v>2</v>
      </c>
      <c r="L310" s="7" t="str">
        <f aca="false">IFERROR(INDEX('Output Utente'!$E$2:$E$492,MATCH(307,'Output Utente'!$Q$2:$Q$492,0)),"")</f>
        <v>NO</v>
      </c>
      <c r="M310" s="7" t="str">
        <f aca="false">IFERROR(INDEX('Output Utente'!$U$2:$U$492,MATCH(307,'Output Utente'!$Q$2:$Q$492,0)),"")</f>
        <v>OK</v>
      </c>
      <c r="N310" s="7" t="str">
        <f aca="false">IFERROR(INDEX('Output Utente'!$AE$2:$AE$492,MATCH(307,'Output Utente'!$Q$2:$Q$492,0)),"")</f>
        <v>🟡 Attesa rischiosa</v>
      </c>
    </row>
    <row r="311" customFormat="false" ht="15" hidden="false" customHeight="true" outlineLevel="0" collapsed="false">
      <c r="A311" s="46" t="n">
        <v>308</v>
      </c>
      <c r="B311" s="7" t="n">
        <f aca="false">IFERROR(INDEX('Output Utente'!$A$2:$A$492,MATCH(308,'Output Utente'!$Q$2:$Q$492,0)),"")</f>
        <v>6631</v>
      </c>
      <c r="C311" s="7" t="str">
        <f aca="false">IFERROR(INDEX('Output Utente'!$B$2:$B$492,MATCH(308,'Output Utente'!$Q$2:$Q$492,0)),"")</f>
        <v>D</v>
      </c>
      <c r="D311" s="7" t="str">
        <f aca="false">IFERROR(INDEX('Output Utente'!$C$2:$C$492,MATCH(308,'Output Utente'!$Q$2:$Q$492,0)),"")</f>
        <v>Ghilardi</v>
      </c>
      <c r="E311" s="7" t="str">
        <f aca="false">IFERROR(INDEX('Input Giocatori 2026_27'!$D$3:$D$493,MATCH($B311,'Input Giocatori 2026_27'!$A$3:$A$493,0)),"")</f>
        <v>Roma</v>
      </c>
      <c r="F311" s="47" t="n">
        <f aca="false">IFERROR(INDEX('Output Utente'!$N$2:$N$492,MATCH(308,'Output Utente'!$Q$2:$Q$492,0)),"")</f>
        <v>4</v>
      </c>
      <c r="G311" s="47" t="n">
        <f aca="false">IFERROR(INDEX('Output Utente'!$O$2:$O$492,MATCH(308,'Output Utente'!$Q$2:$Q$492,0)),"")</f>
        <v>10</v>
      </c>
      <c r="H311" s="7" t="str">
        <f aca="false">IFERROR(INDEX('Output Utente'!$P$2:$P$492,MATCH(308,'Output Utente'!$Q$2:$Q$492,0)),"")</f>
        <v>Nella Media</v>
      </c>
      <c r="I311" s="47" t="n">
        <f aca="false">IFERROR(INDEX('Output Utente'!$F$2:$F$492,MATCH(308,'Output Utente'!$Q$2:$Q$492,0)),"")</f>
        <v>2</v>
      </c>
      <c r="J311" s="47" t="n">
        <f aca="false">IFERROR(INDEX('Output Utente'!$G$2:$G$492,MATCH(308,'Output Utente'!$Q$2:$Q$492,0)),"")</f>
        <v>1</v>
      </c>
      <c r="K311" s="47" t="n">
        <f aca="false">IFERROR(INDEX('Output Utente'!$H$2:$H$492,MATCH(308,'Output Utente'!$Q$2:$Q$492,0)),"")</f>
        <v>2</v>
      </c>
      <c r="L311" s="7" t="str">
        <f aca="false">IFERROR(INDEX('Output Utente'!$E$2:$E$492,MATCH(308,'Output Utente'!$Q$2:$Q$492,0)),"")</f>
        <v>NO</v>
      </c>
      <c r="M311" s="7" t="str">
        <f aca="false">IFERROR(INDEX('Output Utente'!$U$2:$U$492,MATCH(308,'Output Utente'!$Q$2:$Q$492,0)),"")</f>
        <v>OK</v>
      </c>
      <c r="N311" s="7" t="str">
        <f aca="false">IFERROR(INDEX('Output Utente'!$AE$2:$AE$492,MATCH(308,'Output Utente'!$Q$2:$Q$492,0)),"")</f>
        <v>🟡 Attesa rischiosa</v>
      </c>
    </row>
    <row r="312" customFormat="false" ht="15" hidden="false" customHeight="true" outlineLevel="0" collapsed="false">
      <c r="A312" s="46" t="n">
        <v>309</v>
      </c>
      <c r="B312" s="7" t="n">
        <f aca="false">IFERROR(INDEX('Output Utente'!$A$2:$A$492,MATCH(309,'Output Utente'!$Q$2:$Q$492,0)),"")</f>
        <v>4374</v>
      </c>
      <c r="C312" s="7" t="str">
        <f aca="false">IFERROR(INDEX('Output Utente'!$B$2:$B$492,MATCH(309,'Output Utente'!$Q$2:$Q$492,0)),"")</f>
        <v>D</v>
      </c>
      <c r="D312" s="7" t="str">
        <f aca="false">IFERROR(INDEX('Output Utente'!$C$2:$C$492,MATCH(309,'Output Utente'!$Q$2:$Q$492,0)),"")</f>
        <v>Walukiewicz</v>
      </c>
      <c r="E312" s="7" t="str">
        <f aca="false">IFERROR(INDEX('Input Giocatori 2026_27'!$D$3:$D$493,MATCH($B312,'Input Giocatori 2026_27'!$A$3:$A$493,0)),"")</f>
        <v>Sassuolo</v>
      </c>
      <c r="F312" s="47" t="n">
        <f aca="false">IFERROR(INDEX('Output Utente'!$N$2:$N$492,MATCH(309,'Output Utente'!$Q$2:$Q$492,0)),"")</f>
        <v>4</v>
      </c>
      <c r="G312" s="47" t="n">
        <f aca="false">IFERROR(INDEX('Output Utente'!$O$2:$O$492,MATCH(309,'Output Utente'!$Q$2:$Q$492,0)),"")</f>
        <v>10</v>
      </c>
      <c r="H312" s="7" t="str">
        <f aca="false">IFERROR(INDEX('Output Utente'!$P$2:$P$492,MATCH(309,'Output Utente'!$Q$2:$Q$492,0)),"")</f>
        <v>Nella Media</v>
      </c>
      <c r="I312" s="47" t="n">
        <f aca="false">IFERROR(INDEX('Output Utente'!$F$2:$F$492,MATCH(309,'Output Utente'!$Q$2:$Q$492,0)),"")</f>
        <v>2</v>
      </c>
      <c r="J312" s="47" t="n">
        <f aca="false">IFERROR(INDEX('Output Utente'!$G$2:$G$492,MATCH(309,'Output Utente'!$Q$2:$Q$492,0)),"")</f>
        <v>1</v>
      </c>
      <c r="K312" s="47" t="n">
        <f aca="false">IFERROR(INDEX('Output Utente'!$H$2:$H$492,MATCH(309,'Output Utente'!$Q$2:$Q$492,0)),"")</f>
        <v>2</v>
      </c>
      <c r="L312" s="7" t="str">
        <f aca="false">IFERROR(INDEX('Output Utente'!$E$2:$E$492,MATCH(309,'Output Utente'!$Q$2:$Q$492,0)),"")</f>
        <v>NO</v>
      </c>
      <c r="M312" s="7" t="str">
        <f aca="false">IFERROR(INDEX('Output Utente'!$U$2:$U$492,MATCH(309,'Output Utente'!$Q$2:$Q$492,0)),"")</f>
        <v>OK</v>
      </c>
      <c r="N312" s="7" t="str">
        <f aca="false">IFERROR(INDEX('Output Utente'!$AE$2:$AE$492,MATCH(309,'Output Utente'!$Q$2:$Q$492,0)),"")</f>
        <v>🟡 Attesa rischiosa</v>
      </c>
    </row>
    <row r="313" customFormat="false" ht="15" hidden="false" customHeight="true" outlineLevel="0" collapsed="false">
      <c r="A313" s="46" t="n">
        <v>310</v>
      </c>
      <c r="B313" s="7" t="n">
        <f aca="false">IFERROR(INDEX('Output Utente'!$A$2:$A$492,MATCH(310,'Output Utente'!$Q$2:$Q$492,0)),"")</f>
        <v>7526</v>
      </c>
      <c r="C313" s="7" t="str">
        <f aca="false">IFERROR(INDEX('Output Utente'!$B$2:$B$492,MATCH(310,'Output Utente'!$Q$2:$Q$492,0)),"")</f>
        <v>D</v>
      </c>
      <c r="D313" s="7" t="str">
        <f aca="false">IFERROR(INDEX('Output Utente'!$C$2:$C$492,MATCH(310,'Output Utente'!$Q$2:$Q$492,0)),"")</f>
        <v>Comert</v>
      </c>
      <c r="E313" s="7" t="str">
        <f aca="false">IFERROR(INDEX('Input Giocatori 2026_27'!$D$3:$D$493,MATCH($B313,'Input Giocatori 2026_27'!$A$3:$A$493,0)),"")</f>
        <v>Torino</v>
      </c>
      <c r="F313" s="47" t="n">
        <f aca="false">IFERROR(INDEX('Output Utente'!$N$2:$N$492,MATCH(310,'Output Utente'!$Q$2:$Q$492,0)),"")</f>
        <v>4</v>
      </c>
      <c r="G313" s="47" t="n">
        <f aca="false">IFERROR(INDEX('Output Utente'!$O$2:$O$492,MATCH(310,'Output Utente'!$Q$2:$Q$492,0)),"")</f>
        <v>10</v>
      </c>
      <c r="H313" s="7" t="str">
        <f aca="false">IFERROR(INDEX('Output Utente'!$P$2:$P$492,MATCH(310,'Output Utente'!$Q$2:$Q$492,0)),"")</f>
        <v>Nella Media</v>
      </c>
      <c r="I313" s="47" t="n">
        <f aca="false">IFERROR(INDEX('Output Utente'!$F$2:$F$492,MATCH(310,'Output Utente'!$Q$2:$Q$492,0)),"")</f>
        <v>2</v>
      </c>
      <c r="J313" s="47" t="n">
        <f aca="false">IFERROR(INDEX('Output Utente'!$G$2:$G$492,MATCH(310,'Output Utente'!$Q$2:$Q$492,0)),"")</f>
        <v>1</v>
      </c>
      <c r="K313" s="47" t="n">
        <f aca="false">IFERROR(INDEX('Output Utente'!$H$2:$H$492,MATCH(310,'Output Utente'!$Q$2:$Q$492,0)),"")</f>
        <v>2</v>
      </c>
      <c r="L313" s="7" t="str">
        <f aca="false">IFERROR(INDEX('Output Utente'!$E$2:$E$492,MATCH(310,'Output Utente'!$Q$2:$Q$492,0)),"")</f>
        <v>NO</v>
      </c>
      <c r="M313" s="7" t="str">
        <f aca="false">IFERROR(INDEX('Output Utente'!$U$2:$U$492,MATCH(310,'Output Utente'!$Q$2:$Q$492,0)),"")</f>
        <v>OK</v>
      </c>
      <c r="N313" s="7" t="str">
        <f aca="false">IFERROR(INDEX('Output Utente'!$AE$2:$AE$492,MATCH(310,'Output Utente'!$Q$2:$Q$492,0)),"")</f>
        <v>🟡 Attesa rischiosa</v>
      </c>
    </row>
    <row r="314" customFormat="false" ht="15" hidden="false" customHeight="true" outlineLevel="0" collapsed="false">
      <c r="A314" s="46" t="n">
        <v>311</v>
      </c>
      <c r="B314" s="7" t="n">
        <f aca="false">IFERROR(INDEX('Output Utente'!$A$2:$A$492,MATCH(311,'Output Utente'!$Q$2:$Q$492,0)),"")</f>
        <v>5820</v>
      </c>
      <c r="C314" s="7" t="str">
        <f aca="false">IFERROR(INDEX('Output Utente'!$B$2:$B$492,MATCH(311,'Output Utente'!$Q$2:$Q$492,0)),"")</f>
        <v>D</v>
      </c>
      <c r="D314" s="7" t="str">
        <f aca="false">IFERROR(INDEX('Output Utente'!$C$2:$C$492,MATCH(311,'Output Utente'!$Q$2:$Q$492,0)),"")</f>
        <v>Bertola</v>
      </c>
      <c r="E314" s="7" t="str">
        <f aca="false">IFERROR(INDEX('Input Giocatori 2026_27'!$D$3:$D$493,MATCH($B314,'Input Giocatori 2026_27'!$A$3:$A$493,0)),"")</f>
        <v>Udinese</v>
      </c>
      <c r="F314" s="47" t="n">
        <f aca="false">IFERROR(INDEX('Output Utente'!$N$2:$N$492,MATCH(311,'Output Utente'!$Q$2:$Q$492,0)),"")</f>
        <v>4</v>
      </c>
      <c r="G314" s="47" t="n">
        <f aca="false">IFERROR(INDEX('Output Utente'!$O$2:$O$492,MATCH(311,'Output Utente'!$Q$2:$Q$492,0)),"")</f>
        <v>10</v>
      </c>
      <c r="H314" s="7" t="str">
        <f aca="false">IFERROR(INDEX('Output Utente'!$P$2:$P$492,MATCH(311,'Output Utente'!$Q$2:$Q$492,0)),"")</f>
        <v>Nella Media</v>
      </c>
      <c r="I314" s="47" t="n">
        <f aca="false">IFERROR(INDEX('Output Utente'!$F$2:$F$492,MATCH(311,'Output Utente'!$Q$2:$Q$492,0)),"")</f>
        <v>2</v>
      </c>
      <c r="J314" s="47" t="n">
        <f aca="false">IFERROR(INDEX('Output Utente'!$G$2:$G$492,MATCH(311,'Output Utente'!$Q$2:$Q$492,0)),"")</f>
        <v>1</v>
      </c>
      <c r="K314" s="47" t="n">
        <f aca="false">IFERROR(INDEX('Output Utente'!$H$2:$H$492,MATCH(311,'Output Utente'!$Q$2:$Q$492,0)),"")</f>
        <v>2</v>
      </c>
      <c r="L314" s="7" t="str">
        <f aca="false">IFERROR(INDEX('Output Utente'!$E$2:$E$492,MATCH(311,'Output Utente'!$Q$2:$Q$492,0)),"")</f>
        <v>NO</v>
      </c>
      <c r="M314" s="7" t="str">
        <f aca="false">IFERROR(INDEX('Output Utente'!$U$2:$U$492,MATCH(311,'Output Utente'!$Q$2:$Q$492,0)),"")</f>
        <v>OK</v>
      </c>
      <c r="N314" s="7" t="str">
        <f aca="false">IFERROR(INDEX('Output Utente'!$AE$2:$AE$492,MATCH(311,'Output Utente'!$Q$2:$Q$492,0)),"")</f>
        <v>🟡 Attesa rischiosa</v>
      </c>
    </row>
    <row r="315" customFormat="false" ht="15" hidden="false" customHeight="true" outlineLevel="0" collapsed="false">
      <c r="A315" s="46" t="n">
        <v>312</v>
      </c>
      <c r="B315" s="7" t="n">
        <f aca="false">IFERROR(INDEX('Output Utente'!$A$2:$A$492,MATCH(312,'Output Utente'!$Q$2:$Q$492,0)),"")</f>
        <v>5527</v>
      </c>
      <c r="C315" s="7" t="str">
        <f aca="false">IFERROR(INDEX('Output Utente'!$B$2:$B$492,MATCH(312,'Output Utente'!$Q$2:$Q$492,0)),"")</f>
        <v>D</v>
      </c>
      <c r="D315" s="7" t="str">
        <f aca="false">IFERROR(INDEX('Output Utente'!$C$2:$C$492,MATCH(312,'Output Utente'!$Q$2:$Q$492,0)),"")</f>
        <v>Zanoli</v>
      </c>
      <c r="E315" s="7" t="str">
        <f aca="false">IFERROR(INDEX('Input Giocatori 2026_27'!$D$3:$D$493,MATCH($B315,'Input Giocatori 2026_27'!$A$3:$A$493,0)),"")</f>
        <v>Udinese</v>
      </c>
      <c r="F315" s="47" t="n">
        <f aca="false">IFERROR(INDEX('Output Utente'!$N$2:$N$492,MATCH(312,'Output Utente'!$Q$2:$Q$492,0)),"")</f>
        <v>4</v>
      </c>
      <c r="G315" s="47" t="n">
        <f aca="false">IFERROR(INDEX('Output Utente'!$O$2:$O$492,MATCH(312,'Output Utente'!$Q$2:$Q$492,0)),"")</f>
        <v>10</v>
      </c>
      <c r="H315" s="7" t="str">
        <f aca="false">IFERROR(INDEX('Output Utente'!$P$2:$P$492,MATCH(312,'Output Utente'!$Q$2:$Q$492,0)),"")</f>
        <v>Nella Media</v>
      </c>
      <c r="I315" s="47" t="n">
        <f aca="false">IFERROR(INDEX('Output Utente'!$F$2:$F$492,MATCH(312,'Output Utente'!$Q$2:$Q$492,0)),"")</f>
        <v>2</v>
      </c>
      <c r="J315" s="47" t="n">
        <f aca="false">IFERROR(INDEX('Output Utente'!$G$2:$G$492,MATCH(312,'Output Utente'!$Q$2:$Q$492,0)),"")</f>
        <v>1</v>
      </c>
      <c r="K315" s="47" t="n">
        <f aca="false">IFERROR(INDEX('Output Utente'!$H$2:$H$492,MATCH(312,'Output Utente'!$Q$2:$Q$492,0)),"")</f>
        <v>2</v>
      </c>
      <c r="L315" s="7" t="str">
        <f aca="false">IFERROR(INDEX('Output Utente'!$E$2:$E$492,MATCH(312,'Output Utente'!$Q$2:$Q$492,0)),"")</f>
        <v>NO</v>
      </c>
      <c r="M315" s="7" t="str">
        <f aca="false">IFERROR(INDEX('Output Utente'!$U$2:$U$492,MATCH(312,'Output Utente'!$Q$2:$Q$492,0)),"")</f>
        <v>OK</v>
      </c>
      <c r="N315" s="7" t="str">
        <f aca="false">IFERROR(INDEX('Output Utente'!$AE$2:$AE$492,MATCH(312,'Output Utente'!$Q$2:$Q$492,0)),"")</f>
        <v>🟡 Attesa rischiosa</v>
      </c>
    </row>
    <row r="316" customFormat="false" ht="15" hidden="false" customHeight="true" outlineLevel="0" collapsed="false">
      <c r="A316" s="46" t="n">
        <v>313</v>
      </c>
      <c r="B316" s="7" t="n">
        <f aca="false">IFERROR(INDEX('Output Utente'!$A$2:$A$492,MATCH(313,'Output Utente'!$Q$2:$Q$492,0)),"")</f>
        <v>7538</v>
      </c>
      <c r="C316" s="7" t="str">
        <f aca="false">IFERROR(INDEX('Output Utente'!$B$2:$B$492,MATCH(313,'Output Utente'!$Q$2:$Q$492,0)),"")</f>
        <v>D</v>
      </c>
      <c r="D316" s="7" t="str">
        <f aca="false">IFERROR(INDEX('Output Utente'!$C$2:$C$492,MATCH(313,'Output Utente'!$Q$2:$Q$492,0)),"")</f>
        <v>Halhal</v>
      </c>
      <c r="E316" s="7" t="str">
        <f aca="false">IFERROR(INDEX('Input Giocatori 2026_27'!$D$3:$D$493,MATCH($B316,'Input Giocatori 2026_27'!$A$3:$A$493,0)),"")</f>
        <v>Venezia</v>
      </c>
      <c r="F316" s="47" t="n">
        <f aca="false">IFERROR(INDEX('Output Utente'!$N$2:$N$492,MATCH(313,'Output Utente'!$Q$2:$Q$492,0)),"")</f>
        <v>4</v>
      </c>
      <c r="G316" s="47" t="n">
        <f aca="false">IFERROR(INDEX('Output Utente'!$O$2:$O$492,MATCH(313,'Output Utente'!$Q$2:$Q$492,0)),"")</f>
        <v>10</v>
      </c>
      <c r="H316" s="7" t="str">
        <f aca="false">IFERROR(INDEX('Output Utente'!$P$2:$P$492,MATCH(313,'Output Utente'!$Q$2:$Q$492,0)),"")</f>
        <v>Nella Media</v>
      </c>
      <c r="I316" s="47" t="n">
        <f aca="false">IFERROR(INDEX('Output Utente'!$F$2:$F$492,MATCH(313,'Output Utente'!$Q$2:$Q$492,0)),"")</f>
        <v>2</v>
      </c>
      <c r="J316" s="47" t="n">
        <f aca="false">IFERROR(INDEX('Output Utente'!$G$2:$G$492,MATCH(313,'Output Utente'!$Q$2:$Q$492,0)),"")</f>
        <v>1</v>
      </c>
      <c r="K316" s="47" t="n">
        <f aca="false">IFERROR(INDEX('Output Utente'!$H$2:$H$492,MATCH(313,'Output Utente'!$Q$2:$Q$492,0)),"")</f>
        <v>2</v>
      </c>
      <c r="L316" s="7" t="str">
        <f aca="false">IFERROR(INDEX('Output Utente'!$E$2:$E$492,MATCH(313,'Output Utente'!$Q$2:$Q$492,0)),"")</f>
        <v>NO</v>
      </c>
      <c r="M316" s="7" t="str">
        <f aca="false">IFERROR(INDEX('Output Utente'!$U$2:$U$492,MATCH(313,'Output Utente'!$Q$2:$Q$492,0)),"")</f>
        <v>OK</v>
      </c>
      <c r="N316" s="7" t="str">
        <f aca="false">IFERROR(INDEX('Output Utente'!$AE$2:$AE$492,MATCH(313,'Output Utente'!$Q$2:$Q$492,0)),"")</f>
        <v>🟡 Attesa rischiosa</v>
      </c>
    </row>
    <row r="317" customFormat="false" ht="15" hidden="false" customHeight="true" outlineLevel="0" collapsed="false">
      <c r="A317" s="46" t="n">
        <v>314</v>
      </c>
      <c r="B317" s="7" t="n">
        <f aca="false">IFERROR(INDEX('Output Utente'!$A$2:$A$492,MATCH(314,'Output Utente'!$Q$2:$Q$492,0)),"")</f>
        <v>7268</v>
      </c>
      <c r="C317" s="7" t="str">
        <f aca="false">IFERROR(INDEX('Output Utente'!$B$2:$B$492,MATCH(314,'Output Utente'!$Q$2:$Q$492,0)),"")</f>
        <v>D</v>
      </c>
      <c r="D317" s="7" t="str">
        <f aca="false">IFERROR(INDEX('Output Utente'!$C$2:$C$492,MATCH(314,'Output Utente'!$Q$2:$Q$492,0)),"")</f>
        <v>Rodriguez Ju.</v>
      </c>
      <c r="E317" s="7" t="str">
        <f aca="false">IFERROR(INDEX('Input Giocatori 2026_27'!$D$3:$D$493,MATCH($B317,'Input Giocatori 2026_27'!$A$3:$A$493,0)),"")</f>
        <v>Cagliari</v>
      </c>
      <c r="F317" s="47" t="n">
        <f aca="false">IFERROR(INDEX('Output Utente'!$N$2:$N$492,MATCH(314,'Output Utente'!$Q$2:$Q$492,0)),"")</f>
        <v>3</v>
      </c>
      <c r="G317" s="47" t="n">
        <f aca="false">IFERROR(INDEX('Output Utente'!$O$2:$O$492,MATCH(314,'Output Utente'!$Q$2:$Q$492,0)),"")</f>
        <v>10</v>
      </c>
      <c r="H317" s="7" t="str">
        <f aca="false">IFERROR(INDEX('Output Utente'!$P$2:$P$492,MATCH(314,'Output Utente'!$Q$2:$Q$492,0)),"")</f>
        <v>Nella Media</v>
      </c>
      <c r="I317" s="47" t="n">
        <f aca="false">IFERROR(INDEX('Output Utente'!$F$2:$F$492,MATCH(314,'Output Utente'!$Q$2:$Q$492,0)),"")</f>
        <v>2</v>
      </c>
      <c r="J317" s="47" t="n">
        <f aca="false">IFERROR(INDEX('Output Utente'!$G$2:$G$492,MATCH(314,'Output Utente'!$Q$2:$Q$492,0)),"")</f>
        <v>1</v>
      </c>
      <c r="K317" s="47" t="n">
        <f aca="false">IFERROR(INDEX('Output Utente'!$H$2:$H$492,MATCH(314,'Output Utente'!$Q$2:$Q$492,0)),"")</f>
        <v>2</v>
      </c>
      <c r="L317" s="7" t="str">
        <f aca="false">IFERROR(INDEX('Output Utente'!$E$2:$E$492,MATCH(314,'Output Utente'!$Q$2:$Q$492,0)),"")</f>
        <v>NO</v>
      </c>
      <c r="M317" s="7" t="str">
        <f aca="false">IFERROR(INDEX('Output Utente'!$U$2:$U$492,MATCH(314,'Output Utente'!$Q$2:$Q$492,0)),"")</f>
        <v>OK</v>
      </c>
      <c r="N317" s="7" t="str">
        <f aca="false">IFERROR(INDEX('Output Utente'!$AE$2:$AE$492,MATCH(314,'Output Utente'!$Q$2:$Q$492,0)),"")</f>
        <v>🟡 Attesa rischiosa</v>
      </c>
    </row>
    <row r="318" customFormat="false" ht="15" hidden="false" customHeight="true" outlineLevel="0" collapsed="false">
      <c r="A318" s="46" t="n">
        <v>315</v>
      </c>
      <c r="B318" s="7" t="n">
        <f aca="false">IFERROR(INDEX('Output Utente'!$A$2:$A$492,MATCH(315,'Output Utente'!$Q$2:$Q$492,0)),"")</f>
        <v>7012</v>
      </c>
      <c r="C318" s="7" t="str">
        <f aca="false">IFERROR(INDEX('Output Utente'!$B$2:$B$492,MATCH(315,'Output Utente'!$Q$2:$Q$492,0)),"")</f>
        <v>D</v>
      </c>
      <c r="D318" s="7" t="str">
        <f aca="false">IFERROR(INDEX('Output Utente'!$C$2:$C$492,MATCH(315,'Output Utente'!$Q$2:$Q$492,0)),"")</f>
        <v>Provstgaard</v>
      </c>
      <c r="E318" s="7" t="str">
        <f aca="false">IFERROR(INDEX('Input Giocatori 2026_27'!$D$3:$D$493,MATCH($B318,'Input Giocatori 2026_27'!$A$3:$A$493,0)),"")</f>
        <v>Lazio</v>
      </c>
      <c r="F318" s="47" t="n">
        <f aca="false">IFERROR(INDEX('Output Utente'!$N$2:$N$492,MATCH(315,'Output Utente'!$Q$2:$Q$492,0)),"")</f>
        <v>3</v>
      </c>
      <c r="G318" s="47" t="n">
        <f aca="false">IFERROR(INDEX('Output Utente'!$O$2:$O$492,MATCH(315,'Output Utente'!$Q$2:$Q$492,0)),"")</f>
        <v>10</v>
      </c>
      <c r="H318" s="7" t="str">
        <f aca="false">IFERROR(INDEX('Output Utente'!$P$2:$P$492,MATCH(315,'Output Utente'!$Q$2:$Q$492,0)),"")</f>
        <v>Nella Media</v>
      </c>
      <c r="I318" s="47" t="n">
        <f aca="false">IFERROR(INDEX('Output Utente'!$F$2:$F$492,MATCH(315,'Output Utente'!$Q$2:$Q$492,0)),"")</f>
        <v>2</v>
      </c>
      <c r="J318" s="47" t="n">
        <f aca="false">IFERROR(INDEX('Output Utente'!$G$2:$G$492,MATCH(315,'Output Utente'!$Q$2:$Q$492,0)),"")</f>
        <v>1</v>
      </c>
      <c r="K318" s="47" t="n">
        <f aca="false">IFERROR(INDEX('Output Utente'!$H$2:$H$492,MATCH(315,'Output Utente'!$Q$2:$Q$492,0)),"")</f>
        <v>2</v>
      </c>
      <c r="L318" s="7" t="str">
        <f aca="false">IFERROR(INDEX('Output Utente'!$E$2:$E$492,MATCH(315,'Output Utente'!$Q$2:$Q$492,0)),"")</f>
        <v>NO</v>
      </c>
      <c r="M318" s="7" t="str">
        <f aca="false">IFERROR(INDEX('Output Utente'!$U$2:$U$492,MATCH(315,'Output Utente'!$Q$2:$Q$492,0)),"")</f>
        <v>OK</v>
      </c>
      <c r="N318" s="7" t="str">
        <f aca="false">IFERROR(INDEX('Output Utente'!$AE$2:$AE$492,MATCH(315,'Output Utente'!$Q$2:$Q$492,0)),"")</f>
        <v>🟡 Attesa rischiosa</v>
      </c>
    </row>
    <row r="319" customFormat="false" ht="15" hidden="false" customHeight="true" outlineLevel="0" collapsed="false">
      <c r="A319" s="46" t="n">
        <v>316</v>
      </c>
      <c r="B319" s="7" t="n">
        <f aca="false">IFERROR(INDEX('Output Utente'!$A$2:$A$492,MATCH(316,'Output Utente'!$Q$2:$Q$492,0)),"")</f>
        <v>7255</v>
      </c>
      <c r="C319" s="7" t="str">
        <f aca="false">IFERROR(INDEX('Output Utente'!$B$2:$B$492,MATCH(316,'Output Utente'!$Q$2:$Q$492,0)),"")</f>
        <v>D</v>
      </c>
      <c r="D319" s="7" t="str">
        <f aca="false">IFERROR(INDEX('Output Utente'!$C$2:$C$492,MATCH(316,'Output Utente'!$Q$2:$Q$492,0)),"")</f>
        <v>Britschgi</v>
      </c>
      <c r="E319" s="7" t="str">
        <f aca="false">IFERROR(INDEX('Input Giocatori 2026_27'!$D$3:$D$493,MATCH($B319,'Input Giocatori 2026_27'!$A$3:$A$493,0)),"")</f>
        <v>Parma</v>
      </c>
      <c r="F319" s="47" t="n">
        <f aca="false">IFERROR(INDEX('Output Utente'!$N$2:$N$492,MATCH(316,'Output Utente'!$Q$2:$Q$492,0)),"")</f>
        <v>3</v>
      </c>
      <c r="G319" s="47" t="n">
        <f aca="false">IFERROR(INDEX('Output Utente'!$O$2:$O$492,MATCH(316,'Output Utente'!$Q$2:$Q$492,0)),"")</f>
        <v>10</v>
      </c>
      <c r="H319" s="7" t="str">
        <f aca="false">IFERROR(INDEX('Output Utente'!$P$2:$P$492,MATCH(316,'Output Utente'!$Q$2:$Q$492,0)),"")</f>
        <v>Nella Media</v>
      </c>
      <c r="I319" s="47" t="n">
        <f aca="false">IFERROR(INDEX('Output Utente'!$F$2:$F$492,MATCH(316,'Output Utente'!$Q$2:$Q$492,0)),"")</f>
        <v>2</v>
      </c>
      <c r="J319" s="47" t="n">
        <f aca="false">IFERROR(INDEX('Output Utente'!$G$2:$G$492,MATCH(316,'Output Utente'!$Q$2:$Q$492,0)),"")</f>
        <v>1</v>
      </c>
      <c r="K319" s="47" t="n">
        <f aca="false">IFERROR(INDEX('Output Utente'!$H$2:$H$492,MATCH(316,'Output Utente'!$Q$2:$Q$492,0)),"")</f>
        <v>2</v>
      </c>
      <c r="L319" s="7" t="str">
        <f aca="false">IFERROR(INDEX('Output Utente'!$E$2:$E$492,MATCH(316,'Output Utente'!$Q$2:$Q$492,0)),"")</f>
        <v>NO</v>
      </c>
      <c r="M319" s="7" t="str">
        <f aca="false">IFERROR(INDEX('Output Utente'!$U$2:$U$492,MATCH(316,'Output Utente'!$Q$2:$Q$492,0)),"")</f>
        <v>OK</v>
      </c>
      <c r="N319" s="7" t="str">
        <f aca="false">IFERROR(INDEX('Output Utente'!$AE$2:$AE$492,MATCH(316,'Output Utente'!$Q$2:$Q$492,0)),"")</f>
        <v>🟡 Attesa rischiosa</v>
      </c>
    </row>
    <row r="320" customFormat="false" ht="15" hidden="false" customHeight="true" outlineLevel="0" collapsed="false">
      <c r="A320" s="46" t="n">
        <v>317</v>
      </c>
      <c r="B320" s="7" t="n">
        <f aca="false">IFERROR(INDEX('Output Utente'!$A$2:$A$492,MATCH(317,'Output Utente'!$Q$2:$Q$492,0)),"")</f>
        <v>6640</v>
      </c>
      <c r="C320" s="7" t="str">
        <f aca="false">IFERROR(INDEX('Output Utente'!$B$2:$B$492,MATCH(317,'Output Utente'!$Q$2:$Q$492,0)),"")</f>
        <v>C</v>
      </c>
      <c r="D320" s="7" t="str">
        <f aca="false">IFERROR(INDEX('Output Utente'!$C$2:$C$492,MATCH(317,'Output Utente'!$Q$2:$Q$492,0)),"")</f>
        <v>Felici</v>
      </c>
      <c r="E320" s="7" t="str">
        <f aca="false">IFERROR(INDEX('Input Giocatori 2026_27'!$D$3:$D$493,MATCH($B320,'Input Giocatori 2026_27'!$A$3:$A$493,0)),"")</f>
        <v>Cagliari</v>
      </c>
      <c r="F320" s="47" t="n">
        <f aca="false">IFERROR(INDEX('Output Utente'!$N$2:$N$492,MATCH(317,'Output Utente'!$Q$2:$Q$492,0)),"")</f>
        <v>5</v>
      </c>
      <c r="G320" s="47" t="n">
        <f aca="false">IFERROR(INDEX('Output Utente'!$O$2:$O$492,MATCH(317,'Output Utente'!$Q$2:$Q$492,0)),"")</f>
        <v>10</v>
      </c>
      <c r="H320" s="7" t="str">
        <f aca="false">IFERROR(INDEX('Output Utente'!$P$2:$P$492,MATCH(317,'Output Utente'!$Q$2:$Q$492,0)),"")</f>
        <v>Scommessa/Riserva</v>
      </c>
      <c r="I320" s="47" t="n">
        <f aca="false">IFERROR(INDEX('Output Utente'!$F$2:$F$492,MATCH(317,'Output Utente'!$Q$2:$Q$492,0)),"")</f>
        <v>1</v>
      </c>
      <c r="J320" s="47" t="n">
        <f aca="false">IFERROR(INDEX('Output Utente'!$G$2:$G$492,MATCH(317,'Output Utente'!$Q$2:$Q$492,0)),"")</f>
        <v>1</v>
      </c>
      <c r="K320" s="47" t="n">
        <f aca="false">IFERROR(INDEX('Output Utente'!$H$2:$H$492,MATCH(317,'Output Utente'!$Q$2:$Q$492,0)),"")</f>
        <v>1</v>
      </c>
      <c r="L320" s="7" t="str">
        <f aca="false">IFERROR(INDEX('Output Utente'!$E$2:$E$492,MATCH(317,'Output Utente'!$Q$2:$Q$492,0)),"")</f>
        <v>NO</v>
      </c>
      <c r="M320" s="7" t="str">
        <f aca="false">IFERROR(INDEX('Output Utente'!$U$2:$U$492,MATCH(317,'Output Utente'!$Q$2:$Q$492,0)),"")</f>
        <v>OK</v>
      </c>
      <c r="N320" s="7" t="str">
        <f aca="false">IFERROR(INDEX('Output Utente'!$AE$2:$AE$492,MATCH(317,'Output Utente'!$Q$2:$Q$492,0)),"")</f>
        <v>🟡 Attesa rischiosa</v>
      </c>
    </row>
    <row r="321" customFormat="false" ht="15" hidden="false" customHeight="true" outlineLevel="0" collapsed="false">
      <c r="A321" s="46" t="n">
        <v>318</v>
      </c>
      <c r="B321" s="7" t="n">
        <f aca="false">IFERROR(INDEX('Output Utente'!$A$2:$A$492,MATCH(318,'Output Utente'!$Q$2:$Q$492,0)),"")</f>
        <v>7127</v>
      </c>
      <c r="C321" s="7" t="str">
        <f aca="false">IFERROR(INDEX('Output Utente'!$B$2:$B$492,MATCH(318,'Output Utente'!$Q$2:$Q$492,0)),"")</f>
        <v>C</v>
      </c>
      <c r="D321" s="7" t="str">
        <f aca="false">IFERROR(INDEX('Output Utente'!$C$2:$C$492,MATCH(318,'Output Utente'!$Q$2:$Q$492,0)),"")</f>
        <v>Addai</v>
      </c>
      <c r="E321" s="7" t="str">
        <f aca="false">IFERROR(INDEX('Input Giocatori 2026_27'!$D$3:$D$493,MATCH($B321,'Input Giocatori 2026_27'!$A$3:$A$493,0)),"")</f>
        <v>Como</v>
      </c>
      <c r="F321" s="47" t="n">
        <f aca="false">IFERROR(INDEX('Output Utente'!$N$2:$N$492,MATCH(318,'Output Utente'!$Q$2:$Q$492,0)),"")</f>
        <v>5</v>
      </c>
      <c r="G321" s="47" t="n">
        <f aca="false">IFERROR(INDEX('Output Utente'!$O$2:$O$492,MATCH(318,'Output Utente'!$Q$2:$Q$492,0)),"")</f>
        <v>10</v>
      </c>
      <c r="H321" s="7" t="str">
        <f aca="false">IFERROR(INDEX('Output Utente'!$P$2:$P$492,MATCH(318,'Output Utente'!$Q$2:$Q$492,0)),"")</f>
        <v>Scommessa/Riserva</v>
      </c>
      <c r="I321" s="47" t="n">
        <f aca="false">IFERROR(INDEX('Output Utente'!$F$2:$F$492,MATCH(318,'Output Utente'!$Q$2:$Q$492,0)),"")</f>
        <v>1</v>
      </c>
      <c r="J321" s="47" t="n">
        <f aca="false">IFERROR(INDEX('Output Utente'!$G$2:$G$492,MATCH(318,'Output Utente'!$Q$2:$Q$492,0)),"")</f>
        <v>1</v>
      </c>
      <c r="K321" s="47" t="n">
        <f aca="false">IFERROR(INDEX('Output Utente'!$H$2:$H$492,MATCH(318,'Output Utente'!$Q$2:$Q$492,0)),"")</f>
        <v>1</v>
      </c>
      <c r="L321" s="7" t="str">
        <f aca="false">IFERROR(INDEX('Output Utente'!$E$2:$E$492,MATCH(318,'Output Utente'!$Q$2:$Q$492,0)),"")</f>
        <v>NO</v>
      </c>
      <c r="M321" s="7" t="str">
        <f aca="false">IFERROR(INDEX('Output Utente'!$U$2:$U$492,MATCH(318,'Output Utente'!$Q$2:$Q$492,0)),"")</f>
        <v>OK</v>
      </c>
      <c r="N321" s="7" t="str">
        <f aca="false">IFERROR(INDEX('Output Utente'!$AE$2:$AE$492,MATCH(318,'Output Utente'!$Q$2:$Q$492,0)),"")</f>
        <v>🟡 Attesa rischiosa</v>
      </c>
    </row>
    <row r="322" customFormat="false" ht="15" hidden="false" customHeight="true" outlineLevel="0" collapsed="false">
      <c r="A322" s="46" t="n">
        <v>319</v>
      </c>
      <c r="B322" s="7" t="n">
        <f aca="false">IFERROR(INDEX('Output Utente'!$A$2:$A$492,MATCH(319,'Output Utente'!$Q$2:$Q$492,0)),"")</f>
        <v>6054</v>
      </c>
      <c r="C322" s="7" t="str">
        <f aca="false">IFERROR(INDEX('Output Utente'!$B$2:$B$492,MATCH(319,'Output Utente'!$Q$2:$Q$492,0)),"")</f>
        <v>C</v>
      </c>
      <c r="D322" s="7" t="str">
        <f aca="false">IFERROR(INDEX('Output Utente'!$C$2:$C$492,MATCH(319,'Output Utente'!$Q$2:$Q$492,0)),"")</f>
        <v>Moro N.</v>
      </c>
      <c r="E322" s="7" t="str">
        <f aca="false">IFERROR(INDEX('Input Giocatori 2026_27'!$D$3:$D$493,MATCH($B322,'Input Giocatori 2026_27'!$A$3:$A$493,0)),"")</f>
        <v>Bologna</v>
      </c>
      <c r="F322" s="47" t="n">
        <f aca="false">IFERROR(INDEX('Output Utente'!$N$2:$N$492,MATCH(319,'Output Utente'!$Q$2:$Q$492,0)),"")</f>
        <v>4</v>
      </c>
      <c r="G322" s="47" t="n">
        <f aca="false">IFERROR(INDEX('Output Utente'!$O$2:$O$492,MATCH(319,'Output Utente'!$Q$2:$Q$492,0)),"")</f>
        <v>10</v>
      </c>
      <c r="H322" s="7" t="str">
        <f aca="false">IFERROR(INDEX('Output Utente'!$P$2:$P$492,MATCH(319,'Output Utente'!$Q$2:$Q$492,0)),"")</f>
        <v>Scommessa/Riserva</v>
      </c>
      <c r="I322" s="47" t="n">
        <f aca="false">IFERROR(INDEX('Output Utente'!$F$2:$F$492,MATCH(319,'Output Utente'!$Q$2:$Q$492,0)),"")</f>
        <v>1</v>
      </c>
      <c r="J322" s="47" t="n">
        <f aca="false">IFERROR(INDEX('Output Utente'!$G$2:$G$492,MATCH(319,'Output Utente'!$Q$2:$Q$492,0)),"")</f>
        <v>1</v>
      </c>
      <c r="K322" s="47" t="n">
        <f aca="false">IFERROR(INDEX('Output Utente'!$H$2:$H$492,MATCH(319,'Output Utente'!$Q$2:$Q$492,0)),"")</f>
        <v>1</v>
      </c>
      <c r="L322" s="7" t="str">
        <f aca="false">IFERROR(INDEX('Output Utente'!$E$2:$E$492,MATCH(319,'Output Utente'!$Q$2:$Q$492,0)),"")</f>
        <v>NO</v>
      </c>
      <c r="M322" s="7" t="str">
        <f aca="false">IFERROR(INDEX('Output Utente'!$U$2:$U$492,MATCH(319,'Output Utente'!$Q$2:$Q$492,0)),"")</f>
        <v>OK</v>
      </c>
      <c r="N322" s="7" t="str">
        <f aca="false">IFERROR(INDEX('Output Utente'!$AE$2:$AE$492,MATCH(319,'Output Utente'!$Q$2:$Q$492,0)),"")</f>
        <v>🟡 Attesa rischiosa</v>
      </c>
    </row>
    <row r="323" customFormat="false" ht="15" hidden="false" customHeight="true" outlineLevel="0" collapsed="false">
      <c r="A323" s="46" t="n">
        <v>320</v>
      </c>
      <c r="B323" s="7" t="n">
        <f aca="false">IFERROR(INDEX('Output Utente'!$A$2:$A$492,MATCH(320,'Output Utente'!$Q$2:$Q$492,0)),"")</f>
        <v>6252</v>
      </c>
      <c r="C323" s="7" t="str">
        <f aca="false">IFERROR(INDEX('Output Utente'!$B$2:$B$492,MATCH(320,'Output Utente'!$Q$2:$Q$492,0)),"")</f>
        <v>C</v>
      </c>
      <c r="D323" s="7" t="str">
        <f aca="false">IFERROR(INDEX('Output Utente'!$C$2:$C$492,MATCH(320,'Output Utente'!$Q$2:$Q$492,0)),"")</f>
        <v>Folorunsho</v>
      </c>
      <c r="E323" s="7" t="str">
        <f aca="false">IFERROR(INDEX('Input Giocatori 2026_27'!$D$3:$D$493,MATCH($B323,'Input Giocatori 2026_27'!$A$3:$A$493,0)),"")</f>
        <v>Napoli</v>
      </c>
      <c r="F323" s="47" t="n">
        <f aca="false">IFERROR(INDEX('Output Utente'!$N$2:$N$492,MATCH(320,'Output Utente'!$Q$2:$Q$492,0)),"")</f>
        <v>4</v>
      </c>
      <c r="G323" s="47" t="n">
        <f aca="false">IFERROR(INDEX('Output Utente'!$O$2:$O$492,MATCH(320,'Output Utente'!$Q$2:$Q$492,0)),"")</f>
        <v>10</v>
      </c>
      <c r="H323" s="7" t="str">
        <f aca="false">IFERROR(INDEX('Output Utente'!$P$2:$P$492,MATCH(320,'Output Utente'!$Q$2:$Q$492,0)),"")</f>
        <v>Scommessa/Riserva</v>
      </c>
      <c r="I323" s="47" t="n">
        <f aca="false">IFERROR(INDEX('Output Utente'!$F$2:$F$492,MATCH(320,'Output Utente'!$Q$2:$Q$492,0)),"")</f>
        <v>1</v>
      </c>
      <c r="J323" s="47" t="n">
        <f aca="false">IFERROR(INDEX('Output Utente'!$G$2:$G$492,MATCH(320,'Output Utente'!$Q$2:$Q$492,0)),"")</f>
        <v>1</v>
      </c>
      <c r="K323" s="47" t="n">
        <f aca="false">IFERROR(INDEX('Output Utente'!$H$2:$H$492,MATCH(320,'Output Utente'!$Q$2:$Q$492,0)),"")</f>
        <v>1</v>
      </c>
      <c r="L323" s="7" t="str">
        <f aca="false">IFERROR(INDEX('Output Utente'!$E$2:$E$492,MATCH(320,'Output Utente'!$Q$2:$Q$492,0)),"")</f>
        <v>NO</v>
      </c>
      <c r="M323" s="7" t="str">
        <f aca="false">IFERROR(INDEX('Output Utente'!$U$2:$U$492,MATCH(320,'Output Utente'!$Q$2:$Q$492,0)),"")</f>
        <v>OK</v>
      </c>
      <c r="N323" s="7" t="str">
        <f aca="false">IFERROR(INDEX('Output Utente'!$AE$2:$AE$492,MATCH(320,'Output Utente'!$Q$2:$Q$492,0)),"")</f>
        <v>🟡 Attesa rischiosa</v>
      </c>
    </row>
    <row r="324" customFormat="false" ht="15" hidden="false" customHeight="true" outlineLevel="0" collapsed="false">
      <c r="A324" s="46" t="n">
        <v>321</v>
      </c>
      <c r="B324" s="7" t="n">
        <f aca="false">IFERROR(INDEX('Output Utente'!$A$2:$A$492,MATCH(321,'Output Utente'!$Q$2:$Q$492,0)),"")</f>
        <v>6005</v>
      </c>
      <c r="C324" s="7" t="str">
        <f aca="false">IFERROR(INDEX('Output Utente'!$B$2:$B$492,MATCH(321,'Output Utente'!$Q$2:$Q$492,0)),"")</f>
        <v>C</v>
      </c>
      <c r="D324" s="7" t="str">
        <f aca="false">IFERROR(INDEX('Output Utente'!$C$2:$C$492,MATCH(321,'Output Utente'!$Q$2:$Q$492,0)),"")</f>
        <v>Ilkhan</v>
      </c>
      <c r="E324" s="7" t="str">
        <f aca="false">IFERROR(INDEX('Input Giocatori 2026_27'!$D$3:$D$493,MATCH($B324,'Input Giocatori 2026_27'!$A$3:$A$493,0)),"")</f>
        <v>Torino</v>
      </c>
      <c r="F324" s="47" t="n">
        <f aca="false">IFERROR(INDEX('Output Utente'!$N$2:$N$492,MATCH(321,'Output Utente'!$Q$2:$Q$492,0)),"")</f>
        <v>4</v>
      </c>
      <c r="G324" s="47" t="n">
        <f aca="false">IFERROR(INDEX('Output Utente'!$O$2:$O$492,MATCH(321,'Output Utente'!$Q$2:$Q$492,0)),"")</f>
        <v>10</v>
      </c>
      <c r="H324" s="7" t="str">
        <f aca="false">IFERROR(INDEX('Output Utente'!$P$2:$P$492,MATCH(321,'Output Utente'!$Q$2:$Q$492,0)),"")</f>
        <v>Scommessa/Riserva</v>
      </c>
      <c r="I324" s="47" t="n">
        <f aca="false">IFERROR(INDEX('Output Utente'!$F$2:$F$492,MATCH(321,'Output Utente'!$Q$2:$Q$492,0)),"")</f>
        <v>1</v>
      </c>
      <c r="J324" s="47" t="n">
        <f aca="false">IFERROR(INDEX('Output Utente'!$G$2:$G$492,MATCH(321,'Output Utente'!$Q$2:$Q$492,0)),"")</f>
        <v>1</v>
      </c>
      <c r="K324" s="47" t="n">
        <f aca="false">IFERROR(INDEX('Output Utente'!$H$2:$H$492,MATCH(321,'Output Utente'!$Q$2:$Q$492,0)),"")</f>
        <v>1</v>
      </c>
      <c r="L324" s="7" t="str">
        <f aca="false">IFERROR(INDEX('Output Utente'!$E$2:$E$492,MATCH(321,'Output Utente'!$Q$2:$Q$492,0)),"")</f>
        <v>NO</v>
      </c>
      <c r="M324" s="7" t="str">
        <f aca="false">IFERROR(INDEX('Output Utente'!$U$2:$U$492,MATCH(321,'Output Utente'!$Q$2:$Q$492,0)),"")</f>
        <v>OK</v>
      </c>
      <c r="N324" s="7" t="str">
        <f aca="false">IFERROR(INDEX('Output Utente'!$AE$2:$AE$492,MATCH(321,'Output Utente'!$Q$2:$Q$492,0)),"")</f>
        <v>🟡 Attesa rischiosa</v>
      </c>
    </row>
    <row r="325" customFormat="false" ht="15" hidden="false" customHeight="true" outlineLevel="0" collapsed="false">
      <c r="A325" s="46" t="n">
        <v>322</v>
      </c>
      <c r="B325" s="7" t="n">
        <f aca="false">IFERROR(INDEX('Output Utente'!$A$2:$A$492,MATCH(322,'Output Utente'!$Q$2:$Q$492,0)),"")</f>
        <v>6503</v>
      </c>
      <c r="C325" s="7" t="str">
        <f aca="false">IFERROR(INDEX('Output Utente'!$B$2:$B$492,MATCH(322,'Output Utente'!$Q$2:$Q$492,0)),"")</f>
        <v>C</v>
      </c>
      <c r="D325" s="7" t="str">
        <f aca="false">IFERROR(INDEX('Output Utente'!$C$2:$C$492,MATCH(322,'Output Utente'!$Q$2:$Q$492,0)),"")</f>
        <v>Stankovic A.</v>
      </c>
      <c r="E325" s="7" t="str">
        <f aca="false">IFERROR(INDEX('Input Giocatori 2026_27'!$D$3:$D$493,MATCH($B325,'Input Giocatori 2026_27'!$A$3:$A$493,0)),"")</f>
        <v>Inter</v>
      </c>
      <c r="F325" s="47" t="n">
        <f aca="false">IFERROR(INDEX('Output Utente'!$N$2:$N$492,MATCH(322,'Output Utente'!$Q$2:$Q$492,0)),"")</f>
        <v>3</v>
      </c>
      <c r="G325" s="47" t="n">
        <f aca="false">IFERROR(INDEX('Output Utente'!$O$2:$O$492,MATCH(322,'Output Utente'!$Q$2:$Q$492,0)),"")</f>
        <v>10</v>
      </c>
      <c r="H325" s="7" t="str">
        <f aca="false">IFERROR(INDEX('Output Utente'!$P$2:$P$492,MATCH(322,'Output Utente'!$Q$2:$Q$492,0)),"")</f>
        <v>Scommessa/Riserva</v>
      </c>
      <c r="I325" s="47" t="n">
        <f aca="false">IFERROR(INDEX('Output Utente'!$F$2:$F$492,MATCH(322,'Output Utente'!$Q$2:$Q$492,0)),"")</f>
        <v>1</v>
      </c>
      <c r="J325" s="47" t="n">
        <f aca="false">IFERROR(INDEX('Output Utente'!$G$2:$G$492,MATCH(322,'Output Utente'!$Q$2:$Q$492,0)),"")</f>
        <v>1</v>
      </c>
      <c r="K325" s="47" t="n">
        <f aca="false">IFERROR(INDEX('Output Utente'!$H$2:$H$492,MATCH(322,'Output Utente'!$Q$2:$Q$492,0)),"")</f>
        <v>1</v>
      </c>
      <c r="L325" s="7" t="str">
        <f aca="false">IFERROR(INDEX('Output Utente'!$E$2:$E$492,MATCH(322,'Output Utente'!$Q$2:$Q$492,0)),"")</f>
        <v>NO</v>
      </c>
      <c r="M325" s="7" t="str">
        <f aca="false">IFERROR(INDEX('Output Utente'!$U$2:$U$492,MATCH(322,'Output Utente'!$Q$2:$Q$492,0)),"")</f>
        <v>OK</v>
      </c>
      <c r="N325" s="7" t="str">
        <f aca="false">IFERROR(INDEX('Output Utente'!$AE$2:$AE$492,MATCH(322,'Output Utente'!$Q$2:$Q$492,0)),"")</f>
        <v>🟡 Attesa rischiosa</v>
      </c>
    </row>
    <row r="326" customFormat="false" ht="15" hidden="false" customHeight="true" outlineLevel="0" collapsed="false">
      <c r="A326" s="46" t="n">
        <v>323</v>
      </c>
      <c r="B326" s="7" t="n">
        <f aca="false">IFERROR(INDEX('Output Utente'!$A$2:$A$492,MATCH(323,'Output Utente'!$Q$2:$Q$492,0)),"")</f>
        <v>313</v>
      </c>
      <c r="C326" s="7" t="str">
        <f aca="false">IFERROR(INDEX('Output Utente'!$B$2:$B$492,MATCH(323,'Output Utente'!$Q$2:$Q$492,0)),"")</f>
        <v>A</v>
      </c>
      <c r="D326" s="7" t="str">
        <f aca="false">IFERROR(INDEX('Output Utente'!$C$2:$C$492,MATCH(323,'Output Utente'!$Q$2:$Q$492,0)),"")</f>
        <v>Morata</v>
      </c>
      <c r="E326" s="7" t="str">
        <f aca="false">IFERROR(INDEX('Input Giocatori 2026_27'!$D$3:$D$493,MATCH($B326,'Input Giocatori 2026_27'!$A$3:$A$493,0)),"")</f>
        <v>Como</v>
      </c>
      <c r="F326" s="47" t="n">
        <f aca="false">IFERROR(INDEX('Output Utente'!$N$2:$N$492,MATCH(323,'Output Utente'!$Q$2:$Q$492,0)),"")</f>
        <v>4</v>
      </c>
      <c r="G326" s="47" t="n">
        <f aca="false">IFERROR(INDEX('Output Utente'!$O$2:$O$492,MATCH(323,'Output Utente'!$Q$2:$Q$492,0)),"")</f>
        <v>10</v>
      </c>
      <c r="H326" s="7" t="str">
        <f aca="false">IFERROR(INDEX('Output Utente'!$P$2:$P$492,MATCH(323,'Output Utente'!$Q$2:$Q$492,0)),"")</f>
        <v>Scommessa/Riserva</v>
      </c>
      <c r="I326" s="47" t="n">
        <f aca="false">IFERROR(INDEX('Output Utente'!$F$2:$F$492,MATCH(323,'Output Utente'!$Q$2:$Q$492,0)),"")</f>
        <v>3</v>
      </c>
      <c r="J326" s="47" t="n">
        <f aca="false">IFERROR(INDEX('Output Utente'!$G$2:$G$492,MATCH(323,'Output Utente'!$Q$2:$Q$492,0)),"")</f>
        <v>2</v>
      </c>
      <c r="K326" s="47" t="n">
        <f aca="false">IFERROR(INDEX('Output Utente'!$H$2:$H$492,MATCH(323,'Output Utente'!$Q$2:$Q$492,0)),"")</f>
        <v>4</v>
      </c>
      <c r="L326" s="7" t="str">
        <f aca="false">IFERROR(INDEX('Output Utente'!$E$2:$E$492,MATCH(323,'Output Utente'!$Q$2:$Q$492,0)),"")</f>
        <v>NO</v>
      </c>
      <c r="M326" s="7" t="str">
        <f aca="false">IFERROR(INDEX('Output Utente'!$U$2:$U$492,MATCH(323,'Output Utente'!$Q$2:$Q$492,0)),"")</f>
        <v>OK</v>
      </c>
      <c r="N326" s="7" t="str">
        <f aca="false">IFERROR(INDEX('Output Utente'!$AE$2:$AE$492,MATCH(323,'Output Utente'!$Q$2:$Q$492,0)),"")</f>
        <v>🔴 Non aspettare</v>
      </c>
    </row>
    <row r="327" customFormat="false" ht="15" hidden="false" customHeight="true" outlineLevel="0" collapsed="false">
      <c r="A327" s="46" t="n">
        <v>324</v>
      </c>
      <c r="B327" s="7" t="n">
        <f aca="false">IFERROR(INDEX('Output Utente'!$A$2:$A$492,MATCH(324,'Output Utente'!$Q$2:$Q$492,0)),"")</f>
        <v>7162</v>
      </c>
      <c r="C327" s="7" t="str">
        <f aca="false">IFERROR(INDEX('Output Utente'!$B$2:$B$492,MATCH(324,'Output Utente'!$Q$2:$Q$492,0)),"")</f>
        <v>A</v>
      </c>
      <c r="D327" s="7" t="str">
        <f aca="false">IFERROR(INDEX('Output Utente'!$C$2:$C$492,MATCH(324,'Output Utente'!$Q$2:$Q$492,0)),"")</f>
        <v>Giovane</v>
      </c>
      <c r="E327" s="7" t="str">
        <f aca="false">IFERROR(INDEX('Input Giocatori 2026_27'!$D$3:$D$493,MATCH($B327,'Input Giocatori 2026_27'!$A$3:$A$493,0)),"")</f>
        <v>Napoli</v>
      </c>
      <c r="F327" s="47" t="n">
        <f aca="false">IFERROR(INDEX('Output Utente'!$N$2:$N$492,MATCH(324,'Output Utente'!$Q$2:$Q$492,0)),"")</f>
        <v>4</v>
      </c>
      <c r="G327" s="47" t="n">
        <f aca="false">IFERROR(INDEX('Output Utente'!$O$2:$O$492,MATCH(324,'Output Utente'!$Q$2:$Q$492,0)),"")</f>
        <v>10</v>
      </c>
      <c r="H327" s="7" t="str">
        <f aca="false">IFERROR(INDEX('Output Utente'!$P$2:$P$492,MATCH(324,'Output Utente'!$Q$2:$Q$492,0)),"")</f>
        <v>Scommessa/Riserva</v>
      </c>
      <c r="I327" s="47" t="n">
        <f aca="false">IFERROR(INDEX('Output Utente'!$F$2:$F$492,MATCH(324,'Output Utente'!$Q$2:$Q$492,0)),"")</f>
        <v>3</v>
      </c>
      <c r="J327" s="47" t="n">
        <f aca="false">IFERROR(INDEX('Output Utente'!$G$2:$G$492,MATCH(324,'Output Utente'!$Q$2:$Q$492,0)),"")</f>
        <v>2</v>
      </c>
      <c r="K327" s="47" t="n">
        <f aca="false">IFERROR(INDEX('Output Utente'!$H$2:$H$492,MATCH(324,'Output Utente'!$Q$2:$Q$492,0)),"")</f>
        <v>4</v>
      </c>
      <c r="L327" s="7" t="str">
        <f aca="false">IFERROR(INDEX('Output Utente'!$E$2:$E$492,MATCH(324,'Output Utente'!$Q$2:$Q$492,0)),"")</f>
        <v>NO</v>
      </c>
      <c r="M327" s="7" t="str">
        <f aca="false">IFERROR(INDEX('Output Utente'!$U$2:$U$492,MATCH(324,'Output Utente'!$Q$2:$Q$492,0)),"")</f>
        <v>OK</v>
      </c>
      <c r="N327" s="7" t="str">
        <f aca="false">IFERROR(INDEX('Output Utente'!$AE$2:$AE$492,MATCH(324,'Output Utente'!$Q$2:$Q$492,0)),"")</f>
        <v>🔴 Non aspettare</v>
      </c>
    </row>
    <row r="328" customFormat="false" ht="15" hidden="false" customHeight="true" outlineLevel="0" collapsed="false">
      <c r="A328" s="46" t="n">
        <v>325</v>
      </c>
      <c r="B328" s="7" t="n">
        <f aca="false">IFERROR(INDEX('Output Utente'!$A$2:$A$492,MATCH(325,'Output Utente'!$Q$2:$Q$492,0)),"")</f>
        <v>6822</v>
      </c>
      <c r="C328" s="7" t="str">
        <f aca="false">IFERROR(INDEX('Output Utente'!$B$2:$B$492,MATCH(325,'Output Utente'!$Q$2:$Q$492,0)),"")</f>
        <v>A</v>
      </c>
      <c r="D328" s="7" t="str">
        <f aca="false">IFERROR(INDEX('Output Utente'!$C$2:$C$492,MATCH(325,'Output Utente'!$Q$2:$Q$492,0)),"")</f>
        <v>Ekhator</v>
      </c>
      <c r="E328" s="7" t="str">
        <f aca="false">IFERROR(INDEX('Input Giocatori 2026_27'!$D$3:$D$493,MATCH($B328,'Input Giocatori 2026_27'!$A$3:$A$493,0)),"")</f>
        <v>Juventus</v>
      </c>
      <c r="F328" s="47" t="n">
        <f aca="false">IFERROR(INDEX('Output Utente'!$N$2:$N$492,MATCH(325,'Output Utente'!$Q$2:$Q$492,0)),"")</f>
        <v>3</v>
      </c>
      <c r="G328" s="47" t="n">
        <f aca="false">IFERROR(INDEX('Output Utente'!$O$2:$O$492,MATCH(325,'Output Utente'!$Q$2:$Q$492,0)),"")</f>
        <v>10</v>
      </c>
      <c r="H328" s="7" t="str">
        <f aca="false">IFERROR(INDEX('Output Utente'!$P$2:$P$492,MATCH(325,'Output Utente'!$Q$2:$Q$492,0)),"")</f>
        <v>Scommessa/Riserva</v>
      </c>
      <c r="I328" s="47" t="n">
        <f aca="false">IFERROR(INDEX('Output Utente'!$F$2:$F$492,MATCH(325,'Output Utente'!$Q$2:$Q$492,0)),"")</f>
        <v>3</v>
      </c>
      <c r="J328" s="47" t="n">
        <f aca="false">IFERROR(INDEX('Output Utente'!$G$2:$G$492,MATCH(325,'Output Utente'!$Q$2:$Q$492,0)),"")</f>
        <v>2</v>
      </c>
      <c r="K328" s="47" t="n">
        <f aca="false">IFERROR(INDEX('Output Utente'!$H$2:$H$492,MATCH(325,'Output Utente'!$Q$2:$Q$492,0)),"")</f>
        <v>4</v>
      </c>
      <c r="L328" s="7" t="str">
        <f aca="false">IFERROR(INDEX('Output Utente'!$E$2:$E$492,MATCH(325,'Output Utente'!$Q$2:$Q$492,0)),"")</f>
        <v>NO</v>
      </c>
      <c r="M328" s="7" t="str">
        <f aca="false">IFERROR(INDEX('Output Utente'!$U$2:$U$492,MATCH(325,'Output Utente'!$Q$2:$Q$492,0)),"")</f>
        <v>OK</v>
      </c>
      <c r="N328" s="7" t="str">
        <f aca="false">IFERROR(INDEX('Output Utente'!$AE$2:$AE$492,MATCH(325,'Output Utente'!$Q$2:$Q$492,0)),"")</f>
        <v>🔴 Non aspettare</v>
      </c>
    </row>
    <row r="329" customFormat="false" ht="15" hidden="false" customHeight="true" outlineLevel="0" collapsed="false">
      <c r="A329" s="46" t="n">
        <v>326</v>
      </c>
      <c r="B329" s="7" t="n">
        <f aca="false">IFERROR(INDEX('Output Utente'!$A$2:$A$492,MATCH(326,'Output Utente'!$Q$2:$Q$492,0)),"")</f>
        <v>7120</v>
      </c>
      <c r="C329" s="7" t="str">
        <f aca="false">IFERROR(INDEX('Output Utente'!$B$2:$B$492,MATCH(326,'Output Utente'!$Q$2:$Q$492,0)),"")</f>
        <v>A</v>
      </c>
      <c r="D329" s="7" t="str">
        <f aca="false">IFERROR(INDEX('Output Utente'!$C$2:$C$492,MATCH(326,'Output Utente'!$Q$2:$Q$492,0)),"")</f>
        <v>Lang</v>
      </c>
      <c r="E329" s="7" t="str">
        <f aca="false">IFERROR(INDEX('Input Giocatori 2026_27'!$D$3:$D$493,MATCH($B329,'Input Giocatori 2026_27'!$A$3:$A$493,0)),"")</f>
        <v>Napoli</v>
      </c>
      <c r="F329" s="47" t="n">
        <f aca="false">IFERROR(INDEX('Output Utente'!$N$2:$N$492,MATCH(326,'Output Utente'!$Q$2:$Q$492,0)),"")</f>
        <v>3</v>
      </c>
      <c r="G329" s="47" t="n">
        <f aca="false">IFERROR(INDEX('Output Utente'!$O$2:$O$492,MATCH(326,'Output Utente'!$Q$2:$Q$492,0)),"")</f>
        <v>10</v>
      </c>
      <c r="H329" s="7" t="str">
        <f aca="false">IFERROR(INDEX('Output Utente'!$P$2:$P$492,MATCH(326,'Output Utente'!$Q$2:$Q$492,0)),"")</f>
        <v>Scommessa/Riserva</v>
      </c>
      <c r="I329" s="47" t="n">
        <f aca="false">IFERROR(INDEX('Output Utente'!$F$2:$F$492,MATCH(326,'Output Utente'!$Q$2:$Q$492,0)),"")</f>
        <v>3</v>
      </c>
      <c r="J329" s="47" t="n">
        <f aca="false">IFERROR(INDEX('Output Utente'!$G$2:$G$492,MATCH(326,'Output Utente'!$Q$2:$Q$492,0)),"")</f>
        <v>2</v>
      </c>
      <c r="K329" s="47" t="n">
        <f aca="false">IFERROR(INDEX('Output Utente'!$H$2:$H$492,MATCH(326,'Output Utente'!$Q$2:$Q$492,0)),"")</f>
        <v>4</v>
      </c>
      <c r="L329" s="7" t="str">
        <f aca="false">IFERROR(INDEX('Output Utente'!$E$2:$E$492,MATCH(326,'Output Utente'!$Q$2:$Q$492,0)),"")</f>
        <v>NO</v>
      </c>
      <c r="M329" s="7" t="str">
        <f aca="false">IFERROR(INDEX('Output Utente'!$U$2:$U$492,MATCH(326,'Output Utente'!$Q$2:$Q$492,0)),"")</f>
        <v>OK</v>
      </c>
      <c r="N329" s="7" t="str">
        <f aca="false">IFERROR(INDEX('Output Utente'!$AE$2:$AE$492,MATCH(326,'Output Utente'!$Q$2:$Q$492,0)),"")</f>
        <v>🔴 Non aspettare</v>
      </c>
    </row>
    <row r="330" customFormat="false" ht="15" hidden="false" customHeight="true" outlineLevel="0" collapsed="false">
      <c r="A330" s="46" t="n">
        <v>327</v>
      </c>
      <c r="B330" s="7" t="n">
        <f aca="false">IFERROR(INDEX('Output Utente'!$A$2:$A$492,MATCH(327,'Output Utente'!$Q$2:$Q$492,0)),"")</f>
        <v>6215</v>
      </c>
      <c r="C330" s="7" t="str">
        <f aca="false">IFERROR(INDEX('Output Utente'!$B$2:$B$492,MATCH(327,'Output Utente'!$Q$2:$Q$492,0)),"")</f>
        <v>A</v>
      </c>
      <c r="D330" s="7" t="str">
        <f aca="false">IFERROR(INDEX('Output Utente'!$C$2:$C$492,MATCH(327,'Output Utente'!$Q$2:$Q$492,0)),"")</f>
        <v>Lucca</v>
      </c>
      <c r="E330" s="7" t="str">
        <f aca="false">IFERROR(INDEX('Input Giocatori 2026_27'!$D$3:$D$493,MATCH($B330,'Input Giocatori 2026_27'!$A$3:$A$493,0)),"")</f>
        <v>Napoli</v>
      </c>
      <c r="F330" s="47" t="n">
        <f aca="false">IFERROR(INDEX('Output Utente'!$N$2:$N$492,MATCH(327,'Output Utente'!$Q$2:$Q$492,0)),"")</f>
        <v>3</v>
      </c>
      <c r="G330" s="47" t="n">
        <f aca="false">IFERROR(INDEX('Output Utente'!$O$2:$O$492,MATCH(327,'Output Utente'!$Q$2:$Q$492,0)),"")</f>
        <v>10</v>
      </c>
      <c r="H330" s="7" t="str">
        <f aca="false">IFERROR(INDEX('Output Utente'!$P$2:$P$492,MATCH(327,'Output Utente'!$Q$2:$Q$492,0)),"")</f>
        <v>Scommessa/Riserva</v>
      </c>
      <c r="I330" s="47" t="n">
        <f aca="false">IFERROR(INDEX('Output Utente'!$F$2:$F$492,MATCH(327,'Output Utente'!$Q$2:$Q$492,0)),"")</f>
        <v>3</v>
      </c>
      <c r="J330" s="47" t="n">
        <f aca="false">IFERROR(INDEX('Output Utente'!$G$2:$G$492,MATCH(327,'Output Utente'!$Q$2:$Q$492,0)),"")</f>
        <v>2</v>
      </c>
      <c r="K330" s="47" t="n">
        <f aca="false">IFERROR(INDEX('Output Utente'!$H$2:$H$492,MATCH(327,'Output Utente'!$Q$2:$Q$492,0)),"")</f>
        <v>4</v>
      </c>
      <c r="L330" s="7" t="str">
        <f aca="false">IFERROR(INDEX('Output Utente'!$E$2:$E$492,MATCH(327,'Output Utente'!$Q$2:$Q$492,0)),"")</f>
        <v>NO</v>
      </c>
      <c r="M330" s="7" t="str">
        <f aca="false">IFERROR(INDEX('Output Utente'!$U$2:$U$492,MATCH(327,'Output Utente'!$Q$2:$Q$492,0)),"")</f>
        <v>OK</v>
      </c>
      <c r="N330" s="7" t="str">
        <f aca="false">IFERROR(INDEX('Output Utente'!$AE$2:$AE$492,MATCH(327,'Output Utente'!$Q$2:$Q$492,0)),"")</f>
        <v>🔴 Non aspettare</v>
      </c>
    </row>
    <row r="331" customFormat="false" ht="15" hidden="false" customHeight="true" outlineLevel="0" collapsed="false">
      <c r="A331" s="46" t="n">
        <v>328</v>
      </c>
      <c r="B331" s="7" t="n">
        <f aca="false">IFERROR(INDEX('Output Utente'!$A$2:$A$492,MATCH(328,'Output Utente'!$Q$2:$Q$492,0)),"")</f>
        <v>4461</v>
      </c>
      <c r="C331" s="7" t="str">
        <f aca="false">IFERROR(INDEX('Output Utente'!$B$2:$B$492,MATCH(328,'Output Utente'!$Q$2:$Q$492,0)),"")</f>
        <v>D</v>
      </c>
      <c r="D331" s="7" t="str">
        <f aca="false">IFERROR(INDEX('Output Utente'!$C$2:$C$492,MATCH(328,'Output Utente'!$Q$2:$Q$492,0)),"")</f>
        <v>Zappa</v>
      </c>
      <c r="E331" s="7" t="str">
        <f aca="false">IFERROR(INDEX('Input Giocatori 2026_27'!$D$3:$D$493,MATCH($B331,'Input Giocatori 2026_27'!$A$3:$A$493,0)),"")</f>
        <v>Cagliari</v>
      </c>
      <c r="F331" s="47" t="n">
        <f aca="false">IFERROR(INDEX('Output Utente'!$N$2:$N$492,MATCH(328,'Output Utente'!$Q$2:$Q$492,0)),"")</f>
        <v>4</v>
      </c>
      <c r="G331" s="47" t="n">
        <f aca="false">IFERROR(INDEX('Output Utente'!$O$2:$O$492,MATCH(328,'Output Utente'!$Q$2:$Q$492,0)),"")</f>
        <v>9</v>
      </c>
      <c r="H331" s="7" t="str">
        <f aca="false">IFERROR(INDEX('Output Utente'!$P$2:$P$492,MATCH(328,'Output Utente'!$Q$2:$Q$492,0)),"")</f>
        <v>Nella Media</v>
      </c>
      <c r="I331" s="47" t="n">
        <f aca="false">IFERROR(INDEX('Output Utente'!$F$2:$F$492,MATCH(328,'Output Utente'!$Q$2:$Q$492,0)),"")</f>
        <v>2</v>
      </c>
      <c r="J331" s="47" t="n">
        <f aca="false">IFERROR(INDEX('Output Utente'!$G$2:$G$492,MATCH(328,'Output Utente'!$Q$2:$Q$492,0)),"")</f>
        <v>1</v>
      </c>
      <c r="K331" s="47" t="n">
        <f aca="false">IFERROR(INDEX('Output Utente'!$H$2:$H$492,MATCH(328,'Output Utente'!$Q$2:$Q$492,0)),"")</f>
        <v>2</v>
      </c>
      <c r="L331" s="7" t="str">
        <f aca="false">IFERROR(INDEX('Output Utente'!$E$2:$E$492,MATCH(328,'Output Utente'!$Q$2:$Q$492,0)),"")</f>
        <v>NO</v>
      </c>
      <c r="M331" s="7" t="str">
        <f aca="false">IFERROR(INDEX('Output Utente'!$U$2:$U$492,MATCH(328,'Output Utente'!$Q$2:$Q$492,0)),"")</f>
        <v>OK</v>
      </c>
      <c r="N331" s="7" t="str">
        <f aca="false">IFERROR(INDEX('Output Utente'!$AE$2:$AE$492,MATCH(328,'Output Utente'!$Q$2:$Q$492,0)),"")</f>
        <v>🟡 Attesa rischiosa</v>
      </c>
    </row>
    <row r="332" customFormat="false" ht="15" hidden="false" customHeight="true" outlineLevel="0" collapsed="false">
      <c r="A332" s="46" t="n">
        <v>329</v>
      </c>
      <c r="B332" s="7" t="n">
        <f aca="false">IFERROR(INDEX('Output Utente'!$A$2:$A$492,MATCH(329,'Output Utente'!$Q$2:$Q$492,0)),"")</f>
        <v>7537</v>
      </c>
      <c r="C332" s="7" t="str">
        <f aca="false">IFERROR(INDEX('Output Utente'!$B$2:$B$492,MATCH(329,'Output Utente'!$Q$2:$Q$492,0)),"")</f>
        <v>D</v>
      </c>
      <c r="D332" s="7" t="str">
        <f aca="false">IFERROR(INDEX('Output Utente'!$C$2:$C$492,MATCH(329,'Output Utente'!$Q$2:$Q$492,0)),"")</f>
        <v>Mitaj</v>
      </c>
      <c r="E332" s="7" t="str">
        <f aca="false">IFERROR(INDEX('Input Giocatori 2026_27'!$D$3:$D$493,MATCH($B332,'Input Giocatori 2026_27'!$A$3:$A$493,0)),"")</f>
        <v>Genoa</v>
      </c>
      <c r="F332" s="47" t="n">
        <f aca="false">IFERROR(INDEX('Output Utente'!$N$2:$N$492,MATCH(329,'Output Utente'!$Q$2:$Q$492,0)),"")</f>
        <v>4</v>
      </c>
      <c r="G332" s="47" t="n">
        <f aca="false">IFERROR(INDEX('Output Utente'!$O$2:$O$492,MATCH(329,'Output Utente'!$Q$2:$Q$492,0)),"")</f>
        <v>9</v>
      </c>
      <c r="H332" s="7" t="str">
        <f aca="false">IFERROR(INDEX('Output Utente'!$P$2:$P$492,MATCH(329,'Output Utente'!$Q$2:$Q$492,0)),"")</f>
        <v>Nella Media</v>
      </c>
      <c r="I332" s="47" t="n">
        <f aca="false">IFERROR(INDEX('Output Utente'!$F$2:$F$492,MATCH(329,'Output Utente'!$Q$2:$Q$492,0)),"")</f>
        <v>2</v>
      </c>
      <c r="J332" s="47" t="n">
        <f aca="false">IFERROR(INDEX('Output Utente'!$G$2:$G$492,MATCH(329,'Output Utente'!$Q$2:$Q$492,0)),"")</f>
        <v>1</v>
      </c>
      <c r="K332" s="47" t="n">
        <f aca="false">IFERROR(INDEX('Output Utente'!$H$2:$H$492,MATCH(329,'Output Utente'!$Q$2:$Q$492,0)),"")</f>
        <v>2</v>
      </c>
      <c r="L332" s="7" t="str">
        <f aca="false">IFERROR(INDEX('Output Utente'!$E$2:$E$492,MATCH(329,'Output Utente'!$Q$2:$Q$492,0)),"")</f>
        <v>NO</v>
      </c>
      <c r="M332" s="7" t="str">
        <f aca="false">IFERROR(INDEX('Output Utente'!$U$2:$U$492,MATCH(329,'Output Utente'!$Q$2:$Q$492,0)),"")</f>
        <v>OK</v>
      </c>
      <c r="N332" s="7" t="str">
        <f aca="false">IFERROR(INDEX('Output Utente'!$AE$2:$AE$492,MATCH(329,'Output Utente'!$Q$2:$Q$492,0)),"")</f>
        <v>🟡 Attesa rischiosa</v>
      </c>
    </row>
    <row r="333" customFormat="false" ht="15" hidden="false" customHeight="true" outlineLevel="0" collapsed="false">
      <c r="A333" s="46" t="n">
        <v>330</v>
      </c>
      <c r="B333" s="7" t="n">
        <f aca="false">IFERROR(INDEX('Output Utente'!$A$2:$A$492,MATCH(330,'Output Utente'!$Q$2:$Q$492,0)),"")</f>
        <v>4263</v>
      </c>
      <c r="C333" s="7" t="str">
        <f aca="false">IFERROR(INDEX('Output Utente'!$B$2:$B$492,MATCH(330,'Output Utente'!$Q$2:$Q$492,0)),"")</f>
        <v>D</v>
      </c>
      <c r="D333" s="7" t="str">
        <f aca="false">IFERROR(INDEX('Output Utente'!$C$2:$C$492,MATCH(330,'Output Utente'!$Q$2:$Q$492,0)),"")</f>
        <v>Kabasele</v>
      </c>
      <c r="E333" s="7" t="str">
        <f aca="false">IFERROR(INDEX('Input Giocatori 2026_27'!$D$3:$D$493,MATCH($B333,'Input Giocatori 2026_27'!$A$3:$A$493,0)),"")</f>
        <v>Udinese</v>
      </c>
      <c r="F333" s="47" t="n">
        <f aca="false">IFERROR(INDEX('Output Utente'!$N$2:$N$492,MATCH(330,'Output Utente'!$Q$2:$Q$492,0)),"")</f>
        <v>4</v>
      </c>
      <c r="G333" s="47" t="n">
        <f aca="false">IFERROR(INDEX('Output Utente'!$O$2:$O$492,MATCH(330,'Output Utente'!$Q$2:$Q$492,0)),"")</f>
        <v>9</v>
      </c>
      <c r="H333" s="7" t="str">
        <f aca="false">IFERROR(INDEX('Output Utente'!$P$2:$P$492,MATCH(330,'Output Utente'!$Q$2:$Q$492,0)),"")</f>
        <v>Nella Media</v>
      </c>
      <c r="I333" s="47" t="n">
        <f aca="false">IFERROR(INDEX('Output Utente'!$F$2:$F$492,MATCH(330,'Output Utente'!$Q$2:$Q$492,0)),"")</f>
        <v>2</v>
      </c>
      <c r="J333" s="47" t="n">
        <f aca="false">IFERROR(INDEX('Output Utente'!$G$2:$G$492,MATCH(330,'Output Utente'!$Q$2:$Q$492,0)),"")</f>
        <v>1</v>
      </c>
      <c r="K333" s="47" t="n">
        <f aca="false">IFERROR(INDEX('Output Utente'!$H$2:$H$492,MATCH(330,'Output Utente'!$Q$2:$Q$492,0)),"")</f>
        <v>2</v>
      </c>
      <c r="L333" s="7" t="str">
        <f aca="false">IFERROR(INDEX('Output Utente'!$E$2:$E$492,MATCH(330,'Output Utente'!$Q$2:$Q$492,0)),"")</f>
        <v>NO</v>
      </c>
      <c r="M333" s="7" t="str">
        <f aca="false">IFERROR(INDEX('Output Utente'!$U$2:$U$492,MATCH(330,'Output Utente'!$Q$2:$Q$492,0)),"")</f>
        <v>OK</v>
      </c>
      <c r="N333" s="7" t="str">
        <f aca="false">IFERROR(INDEX('Output Utente'!$AE$2:$AE$492,MATCH(330,'Output Utente'!$Q$2:$Q$492,0)),"")</f>
        <v>🟡 Attesa rischiosa</v>
      </c>
    </row>
    <row r="334" customFormat="false" ht="15" hidden="false" customHeight="true" outlineLevel="0" collapsed="false">
      <c r="A334" s="46" t="n">
        <v>331</v>
      </c>
      <c r="B334" s="7" t="n">
        <f aca="false">IFERROR(INDEX('Output Utente'!$A$2:$A$492,MATCH(331,'Output Utente'!$Q$2:$Q$492,0)),"")</f>
        <v>5273</v>
      </c>
      <c r="C334" s="7" t="str">
        <f aca="false">IFERROR(INDEX('Output Utente'!$B$2:$B$492,MATCH(331,'Output Utente'!$Q$2:$Q$492,0)),"")</f>
        <v>D</v>
      </c>
      <c r="D334" s="7" t="str">
        <f aca="false">IFERROR(INDEX('Output Utente'!$C$2:$C$492,MATCH(331,'Output Utente'!$Q$2:$Q$492,0)),"")</f>
        <v>Estupinan</v>
      </c>
      <c r="E334" s="7" t="str">
        <f aca="false">IFERROR(INDEX('Input Giocatori 2026_27'!$D$3:$D$493,MATCH($B334,'Input Giocatori 2026_27'!$A$3:$A$493,0)),"")</f>
        <v>Milan</v>
      </c>
      <c r="F334" s="47" t="n">
        <f aca="false">IFERROR(INDEX('Output Utente'!$N$2:$N$492,MATCH(331,'Output Utente'!$Q$2:$Q$492,0)),"")</f>
        <v>3</v>
      </c>
      <c r="G334" s="47" t="n">
        <f aca="false">IFERROR(INDEX('Output Utente'!$O$2:$O$492,MATCH(331,'Output Utente'!$Q$2:$Q$492,0)),"")</f>
        <v>9</v>
      </c>
      <c r="H334" s="7" t="str">
        <f aca="false">IFERROR(INDEX('Output Utente'!$P$2:$P$492,MATCH(331,'Output Utente'!$Q$2:$Q$492,0)),"")</f>
        <v>Nella Media</v>
      </c>
      <c r="I334" s="47" t="n">
        <f aca="false">IFERROR(INDEX('Output Utente'!$F$2:$F$492,MATCH(331,'Output Utente'!$Q$2:$Q$492,0)),"")</f>
        <v>2</v>
      </c>
      <c r="J334" s="47" t="n">
        <f aca="false">IFERROR(INDEX('Output Utente'!$G$2:$G$492,MATCH(331,'Output Utente'!$Q$2:$Q$492,0)),"")</f>
        <v>1</v>
      </c>
      <c r="K334" s="47" t="n">
        <f aca="false">IFERROR(INDEX('Output Utente'!$H$2:$H$492,MATCH(331,'Output Utente'!$Q$2:$Q$492,0)),"")</f>
        <v>2</v>
      </c>
      <c r="L334" s="7" t="str">
        <f aca="false">IFERROR(INDEX('Output Utente'!$E$2:$E$492,MATCH(331,'Output Utente'!$Q$2:$Q$492,0)),"")</f>
        <v>NO</v>
      </c>
      <c r="M334" s="7" t="str">
        <f aca="false">IFERROR(INDEX('Output Utente'!$U$2:$U$492,MATCH(331,'Output Utente'!$Q$2:$Q$492,0)),"")</f>
        <v>OK</v>
      </c>
      <c r="N334" s="7" t="str">
        <f aca="false">IFERROR(INDEX('Output Utente'!$AE$2:$AE$492,MATCH(331,'Output Utente'!$Q$2:$Q$492,0)),"")</f>
        <v>🟡 Attesa rischiosa</v>
      </c>
    </row>
    <row r="335" customFormat="false" ht="15" hidden="false" customHeight="true" outlineLevel="0" collapsed="false">
      <c r="A335" s="46" t="n">
        <v>332</v>
      </c>
      <c r="B335" s="7" t="n">
        <f aca="false">IFERROR(INDEX('Output Utente'!$A$2:$A$492,MATCH(332,'Output Utente'!$Q$2:$Q$492,0)),"")</f>
        <v>7238</v>
      </c>
      <c r="C335" s="7" t="str">
        <f aca="false">IFERROR(INDEX('Output Utente'!$B$2:$B$492,MATCH(332,'Output Utente'!$Q$2:$Q$492,0)),"")</f>
        <v>D</v>
      </c>
      <c r="D335" s="7" t="str">
        <f aca="false">IFERROR(INDEX('Output Utente'!$C$2:$C$492,MATCH(332,'Output Utente'!$Q$2:$Q$492,0)),"")</f>
        <v>Kouadio</v>
      </c>
      <c r="E335" s="7" t="str">
        <f aca="false">IFERROR(INDEX('Input Giocatori 2026_27'!$D$3:$D$493,MATCH($B335,'Input Giocatori 2026_27'!$A$3:$A$493,0)),"")</f>
        <v>Monza</v>
      </c>
      <c r="F335" s="47" t="n">
        <f aca="false">IFERROR(INDEX('Output Utente'!$N$2:$N$492,MATCH(332,'Output Utente'!$Q$2:$Q$492,0)),"")</f>
        <v>3</v>
      </c>
      <c r="G335" s="47" t="n">
        <f aca="false">IFERROR(INDEX('Output Utente'!$O$2:$O$492,MATCH(332,'Output Utente'!$Q$2:$Q$492,0)),"")</f>
        <v>9</v>
      </c>
      <c r="H335" s="7" t="str">
        <f aca="false">IFERROR(INDEX('Output Utente'!$P$2:$P$492,MATCH(332,'Output Utente'!$Q$2:$Q$492,0)),"")</f>
        <v>Nella Media</v>
      </c>
      <c r="I335" s="47" t="n">
        <f aca="false">IFERROR(INDEX('Output Utente'!$F$2:$F$492,MATCH(332,'Output Utente'!$Q$2:$Q$492,0)),"")</f>
        <v>2</v>
      </c>
      <c r="J335" s="47" t="n">
        <f aca="false">IFERROR(INDEX('Output Utente'!$G$2:$G$492,MATCH(332,'Output Utente'!$Q$2:$Q$492,0)),"")</f>
        <v>1</v>
      </c>
      <c r="K335" s="47" t="n">
        <f aca="false">IFERROR(INDEX('Output Utente'!$H$2:$H$492,MATCH(332,'Output Utente'!$Q$2:$Q$492,0)),"")</f>
        <v>2</v>
      </c>
      <c r="L335" s="7" t="str">
        <f aca="false">IFERROR(INDEX('Output Utente'!$E$2:$E$492,MATCH(332,'Output Utente'!$Q$2:$Q$492,0)),"")</f>
        <v>NO</v>
      </c>
      <c r="M335" s="7" t="str">
        <f aca="false">IFERROR(INDEX('Output Utente'!$U$2:$U$492,MATCH(332,'Output Utente'!$Q$2:$Q$492,0)),"")</f>
        <v>OK</v>
      </c>
      <c r="N335" s="7" t="str">
        <f aca="false">IFERROR(INDEX('Output Utente'!$AE$2:$AE$492,MATCH(332,'Output Utente'!$Q$2:$Q$492,0)),"")</f>
        <v>🟡 Attesa rischiosa</v>
      </c>
    </row>
    <row r="336" customFormat="false" ht="15" hidden="false" customHeight="true" outlineLevel="0" collapsed="false">
      <c r="A336" s="46" t="n">
        <v>333</v>
      </c>
      <c r="B336" s="7" t="n">
        <f aca="false">IFERROR(INDEX('Output Utente'!$A$2:$A$492,MATCH(333,'Output Utente'!$Q$2:$Q$492,0)),"")</f>
        <v>4925</v>
      </c>
      <c r="C336" s="7" t="str">
        <f aca="false">IFERROR(INDEX('Output Utente'!$B$2:$B$492,MATCH(333,'Output Utente'!$Q$2:$Q$492,0)),"")</f>
        <v>D</v>
      </c>
      <c r="D336" s="7" t="str">
        <f aca="false">IFERROR(INDEX('Output Utente'!$C$2:$C$492,MATCH(333,'Output Utente'!$Q$2:$Q$492,0)),"")</f>
        <v>Carboni A.</v>
      </c>
      <c r="E336" s="7" t="str">
        <f aca="false">IFERROR(INDEX('Input Giocatori 2026_27'!$D$3:$D$493,MATCH($B336,'Input Giocatori 2026_27'!$A$3:$A$493,0)),"")</f>
        <v>Monza</v>
      </c>
      <c r="F336" s="47" t="n">
        <f aca="false">IFERROR(INDEX('Output Utente'!$N$2:$N$492,MATCH(333,'Output Utente'!$Q$2:$Q$492,0)),"")</f>
        <v>3</v>
      </c>
      <c r="G336" s="47" t="n">
        <f aca="false">IFERROR(INDEX('Output Utente'!$O$2:$O$492,MATCH(333,'Output Utente'!$Q$2:$Q$492,0)),"")</f>
        <v>9</v>
      </c>
      <c r="H336" s="7" t="str">
        <f aca="false">IFERROR(INDEX('Output Utente'!$P$2:$P$492,MATCH(333,'Output Utente'!$Q$2:$Q$492,0)),"")</f>
        <v>Nella Media</v>
      </c>
      <c r="I336" s="47" t="n">
        <f aca="false">IFERROR(INDEX('Output Utente'!$F$2:$F$492,MATCH(333,'Output Utente'!$Q$2:$Q$492,0)),"")</f>
        <v>2</v>
      </c>
      <c r="J336" s="47" t="n">
        <f aca="false">IFERROR(INDEX('Output Utente'!$G$2:$G$492,MATCH(333,'Output Utente'!$Q$2:$Q$492,0)),"")</f>
        <v>1</v>
      </c>
      <c r="K336" s="47" t="n">
        <f aca="false">IFERROR(INDEX('Output Utente'!$H$2:$H$492,MATCH(333,'Output Utente'!$Q$2:$Q$492,0)),"")</f>
        <v>2</v>
      </c>
      <c r="L336" s="7" t="str">
        <f aca="false">IFERROR(INDEX('Output Utente'!$E$2:$E$492,MATCH(333,'Output Utente'!$Q$2:$Q$492,0)),"")</f>
        <v>NO</v>
      </c>
      <c r="M336" s="7" t="str">
        <f aca="false">IFERROR(INDEX('Output Utente'!$U$2:$U$492,MATCH(333,'Output Utente'!$Q$2:$Q$492,0)),"")</f>
        <v>OK</v>
      </c>
      <c r="N336" s="7" t="str">
        <f aca="false">IFERROR(INDEX('Output Utente'!$AE$2:$AE$492,MATCH(333,'Output Utente'!$Q$2:$Q$492,0)),"")</f>
        <v>🟡 Attesa rischiosa</v>
      </c>
    </row>
    <row r="337" customFormat="false" ht="15" hidden="false" customHeight="true" outlineLevel="0" collapsed="false">
      <c r="A337" s="46" t="n">
        <v>334</v>
      </c>
      <c r="B337" s="7" t="n">
        <f aca="false">IFERROR(INDEX('Output Utente'!$A$2:$A$492,MATCH(334,'Output Utente'!$Q$2:$Q$492,0)),"")</f>
        <v>6506</v>
      </c>
      <c r="C337" s="7" t="str">
        <f aca="false">IFERROR(INDEX('Output Utente'!$B$2:$B$492,MATCH(334,'Output Utente'!$Q$2:$Q$492,0)),"")</f>
        <v>C</v>
      </c>
      <c r="D337" s="7" t="str">
        <f aca="false">IFERROR(INDEX('Output Utente'!$C$2:$C$492,MATCH(334,'Output Utente'!$Q$2:$Q$492,0)),"")</f>
        <v>Fini </v>
      </c>
      <c r="E337" s="7" t="str">
        <f aca="false">IFERROR(INDEX('Input Giocatori 2026_27'!$D$3:$D$493,MATCH($B337,'Input Giocatori 2026_27'!$A$3:$A$493,0)),"")</f>
        <v>Frosinone</v>
      </c>
      <c r="F337" s="47" t="n">
        <f aca="false">IFERROR(INDEX('Output Utente'!$N$2:$N$492,MATCH(334,'Output Utente'!$Q$2:$Q$492,0)),"")</f>
        <v>3</v>
      </c>
      <c r="G337" s="47" t="n">
        <f aca="false">IFERROR(INDEX('Output Utente'!$O$2:$O$492,MATCH(334,'Output Utente'!$Q$2:$Q$492,0)),"")</f>
        <v>9</v>
      </c>
      <c r="H337" s="7" t="str">
        <f aca="false">IFERROR(INDEX('Output Utente'!$P$2:$P$492,MATCH(334,'Output Utente'!$Q$2:$Q$492,0)),"")</f>
        <v>Scommessa/Riserva</v>
      </c>
      <c r="I337" s="47" t="n">
        <f aca="false">IFERROR(INDEX('Output Utente'!$F$2:$F$492,MATCH(334,'Output Utente'!$Q$2:$Q$492,0)),"")</f>
        <v>1</v>
      </c>
      <c r="J337" s="47" t="n">
        <f aca="false">IFERROR(INDEX('Output Utente'!$G$2:$G$492,MATCH(334,'Output Utente'!$Q$2:$Q$492,0)),"")</f>
        <v>1</v>
      </c>
      <c r="K337" s="47" t="n">
        <f aca="false">IFERROR(INDEX('Output Utente'!$H$2:$H$492,MATCH(334,'Output Utente'!$Q$2:$Q$492,0)),"")</f>
        <v>1</v>
      </c>
      <c r="L337" s="7" t="str">
        <f aca="false">IFERROR(INDEX('Output Utente'!$E$2:$E$492,MATCH(334,'Output Utente'!$Q$2:$Q$492,0)),"")</f>
        <v>NO</v>
      </c>
      <c r="M337" s="7" t="str">
        <f aca="false">IFERROR(INDEX('Output Utente'!$U$2:$U$492,MATCH(334,'Output Utente'!$Q$2:$Q$492,0)),"")</f>
        <v>OK</v>
      </c>
      <c r="N337" s="7" t="str">
        <f aca="false">IFERROR(INDEX('Output Utente'!$AE$2:$AE$492,MATCH(334,'Output Utente'!$Q$2:$Q$492,0)),"")</f>
        <v>🟡 Attesa rischiosa</v>
      </c>
    </row>
    <row r="338" customFormat="false" ht="15" hidden="false" customHeight="true" outlineLevel="0" collapsed="false">
      <c r="A338" s="46" t="n">
        <v>335</v>
      </c>
      <c r="B338" s="7" t="n">
        <f aca="false">IFERROR(INDEX('Output Utente'!$A$2:$A$492,MATCH(335,'Output Utente'!$Q$2:$Q$492,0)),"")</f>
        <v>5131</v>
      </c>
      <c r="C338" s="7" t="str">
        <f aca="false">IFERROR(INDEX('Output Utente'!$B$2:$B$492,MATCH(335,'Output Utente'!$Q$2:$Q$492,0)),"")</f>
        <v>C</v>
      </c>
      <c r="D338" s="7" t="str">
        <f aca="false">IFERROR(INDEX('Output Utente'!$C$2:$C$492,MATCH(335,'Output Utente'!$Q$2:$Q$492,0)),"")</f>
        <v>Gilmour</v>
      </c>
      <c r="E338" s="7" t="str">
        <f aca="false">IFERROR(INDEX('Input Giocatori 2026_27'!$D$3:$D$493,MATCH($B338,'Input Giocatori 2026_27'!$A$3:$A$493,0)),"")</f>
        <v>Napoli</v>
      </c>
      <c r="F338" s="47" t="n">
        <f aca="false">IFERROR(INDEX('Output Utente'!$N$2:$N$492,MATCH(335,'Output Utente'!$Q$2:$Q$492,0)),"")</f>
        <v>3</v>
      </c>
      <c r="G338" s="47" t="n">
        <f aca="false">IFERROR(INDEX('Output Utente'!$O$2:$O$492,MATCH(335,'Output Utente'!$Q$2:$Q$492,0)),"")</f>
        <v>9</v>
      </c>
      <c r="H338" s="7" t="str">
        <f aca="false">IFERROR(INDEX('Output Utente'!$P$2:$P$492,MATCH(335,'Output Utente'!$Q$2:$Q$492,0)),"")</f>
        <v>Scommessa/Riserva</v>
      </c>
      <c r="I338" s="47" t="n">
        <f aca="false">IFERROR(INDEX('Output Utente'!$F$2:$F$492,MATCH(335,'Output Utente'!$Q$2:$Q$492,0)),"")</f>
        <v>1</v>
      </c>
      <c r="J338" s="47" t="n">
        <f aca="false">IFERROR(INDEX('Output Utente'!$G$2:$G$492,MATCH(335,'Output Utente'!$Q$2:$Q$492,0)),"")</f>
        <v>1</v>
      </c>
      <c r="K338" s="47" t="n">
        <f aca="false">IFERROR(INDEX('Output Utente'!$H$2:$H$492,MATCH(335,'Output Utente'!$Q$2:$Q$492,0)),"")</f>
        <v>1</v>
      </c>
      <c r="L338" s="7" t="str">
        <f aca="false">IFERROR(INDEX('Output Utente'!$E$2:$E$492,MATCH(335,'Output Utente'!$Q$2:$Q$492,0)),"")</f>
        <v>NO</v>
      </c>
      <c r="M338" s="7" t="str">
        <f aca="false">IFERROR(INDEX('Output Utente'!$U$2:$U$492,MATCH(335,'Output Utente'!$Q$2:$Q$492,0)),"")</f>
        <v>OK</v>
      </c>
      <c r="N338" s="7" t="str">
        <f aca="false">IFERROR(INDEX('Output Utente'!$AE$2:$AE$492,MATCH(335,'Output Utente'!$Q$2:$Q$492,0)),"")</f>
        <v>🟡 Attesa rischiosa</v>
      </c>
    </row>
    <row r="339" customFormat="false" ht="15" hidden="false" customHeight="true" outlineLevel="0" collapsed="false">
      <c r="A339" s="46" t="n">
        <v>336</v>
      </c>
      <c r="B339" s="7" t="n">
        <f aca="false">IFERROR(INDEX('Output Utente'!$A$2:$A$492,MATCH(336,'Output Utente'!$Q$2:$Q$492,0)),"")</f>
        <v>6243</v>
      </c>
      <c r="C339" s="7" t="str">
        <f aca="false">IFERROR(INDEX('Output Utente'!$B$2:$B$492,MATCH(336,'Output Utente'!$Q$2:$Q$492,0)),"")</f>
        <v>A</v>
      </c>
      <c r="D339" s="7" t="str">
        <f aca="false">IFERROR(INDEX('Output Utente'!$C$2:$C$492,MATCH(336,'Output Utente'!$Q$2:$Q$492,0)),"")</f>
        <v>Borrelli</v>
      </c>
      <c r="E339" s="7" t="str">
        <f aca="false">IFERROR(INDEX('Input Giocatori 2026_27'!$D$3:$D$493,MATCH($B339,'Input Giocatori 2026_27'!$A$3:$A$493,0)),"")</f>
        <v>Cagliari</v>
      </c>
      <c r="F339" s="47" t="n">
        <f aca="false">IFERROR(INDEX('Output Utente'!$N$2:$N$492,MATCH(336,'Output Utente'!$Q$2:$Q$492,0)),"")</f>
        <v>4</v>
      </c>
      <c r="G339" s="47" t="n">
        <f aca="false">IFERROR(INDEX('Output Utente'!$O$2:$O$492,MATCH(336,'Output Utente'!$Q$2:$Q$492,0)),"")</f>
        <v>9</v>
      </c>
      <c r="H339" s="7" t="str">
        <f aca="false">IFERROR(INDEX('Output Utente'!$P$2:$P$492,MATCH(336,'Output Utente'!$Q$2:$Q$492,0)),"")</f>
        <v>Scommessa/Riserva</v>
      </c>
      <c r="I339" s="47" t="n">
        <f aca="false">IFERROR(INDEX('Output Utente'!$F$2:$F$492,MATCH(336,'Output Utente'!$Q$2:$Q$492,0)),"")</f>
        <v>3</v>
      </c>
      <c r="J339" s="47" t="n">
        <f aca="false">IFERROR(INDEX('Output Utente'!$G$2:$G$492,MATCH(336,'Output Utente'!$Q$2:$Q$492,0)),"")</f>
        <v>2</v>
      </c>
      <c r="K339" s="47" t="n">
        <f aca="false">IFERROR(INDEX('Output Utente'!$H$2:$H$492,MATCH(336,'Output Utente'!$Q$2:$Q$492,0)),"")</f>
        <v>3</v>
      </c>
      <c r="L339" s="7" t="str">
        <f aca="false">IFERROR(INDEX('Output Utente'!$E$2:$E$492,MATCH(336,'Output Utente'!$Q$2:$Q$492,0)),"")</f>
        <v>NO</v>
      </c>
      <c r="M339" s="7" t="str">
        <f aca="false">IFERROR(INDEX('Output Utente'!$U$2:$U$492,MATCH(336,'Output Utente'!$Q$2:$Q$492,0)),"")</f>
        <v>OK</v>
      </c>
      <c r="N339" s="7" t="str">
        <f aca="false">IFERROR(INDEX('Output Utente'!$AE$2:$AE$492,MATCH(336,'Output Utente'!$Q$2:$Q$492,0)),"")</f>
        <v>🔴 Non aspettare</v>
      </c>
    </row>
    <row r="340" customFormat="false" ht="15" hidden="false" customHeight="true" outlineLevel="0" collapsed="false">
      <c r="A340" s="46" t="n">
        <v>337</v>
      </c>
      <c r="B340" s="7" t="n">
        <f aca="false">IFERROR(INDEX('Output Utente'!$A$2:$A$492,MATCH(337,'Output Utente'!$Q$2:$Q$492,0)),"")</f>
        <v>7374</v>
      </c>
      <c r="C340" s="7" t="str">
        <f aca="false">IFERROR(INDEX('Output Utente'!$B$2:$B$492,MATCH(337,'Output Utente'!$Q$2:$Q$492,0)),"")</f>
        <v>A</v>
      </c>
      <c r="D340" s="7" t="str">
        <f aca="false">IFERROR(INDEX('Output Utente'!$C$2:$C$492,MATCH(337,'Output Utente'!$Q$2:$Q$492,0)),"")</f>
        <v>Mendy P.</v>
      </c>
      <c r="E340" s="7" t="str">
        <f aca="false">IFERROR(INDEX('Input Giocatori 2026_27'!$D$3:$D$493,MATCH($B340,'Input Giocatori 2026_27'!$A$3:$A$493,0)),"")</f>
        <v>Cagliari</v>
      </c>
      <c r="F340" s="47" t="n">
        <f aca="false">IFERROR(INDEX('Output Utente'!$N$2:$N$492,MATCH(337,'Output Utente'!$Q$2:$Q$492,0)),"")</f>
        <v>4</v>
      </c>
      <c r="G340" s="47" t="n">
        <f aca="false">IFERROR(INDEX('Output Utente'!$O$2:$O$492,MATCH(337,'Output Utente'!$Q$2:$Q$492,0)),"")</f>
        <v>9</v>
      </c>
      <c r="H340" s="7" t="str">
        <f aca="false">IFERROR(INDEX('Output Utente'!$P$2:$P$492,MATCH(337,'Output Utente'!$Q$2:$Q$492,0)),"")</f>
        <v>Scommessa/Riserva</v>
      </c>
      <c r="I340" s="47" t="n">
        <f aca="false">IFERROR(INDEX('Output Utente'!$F$2:$F$492,MATCH(337,'Output Utente'!$Q$2:$Q$492,0)),"")</f>
        <v>3</v>
      </c>
      <c r="J340" s="47" t="n">
        <f aca="false">IFERROR(INDEX('Output Utente'!$G$2:$G$492,MATCH(337,'Output Utente'!$Q$2:$Q$492,0)),"")</f>
        <v>2</v>
      </c>
      <c r="K340" s="47" t="n">
        <f aca="false">IFERROR(INDEX('Output Utente'!$H$2:$H$492,MATCH(337,'Output Utente'!$Q$2:$Q$492,0)),"")</f>
        <v>3</v>
      </c>
      <c r="L340" s="7" t="str">
        <f aca="false">IFERROR(INDEX('Output Utente'!$E$2:$E$492,MATCH(337,'Output Utente'!$Q$2:$Q$492,0)),"")</f>
        <v>NO</v>
      </c>
      <c r="M340" s="7" t="str">
        <f aca="false">IFERROR(INDEX('Output Utente'!$U$2:$U$492,MATCH(337,'Output Utente'!$Q$2:$Q$492,0)),"")</f>
        <v>OK</v>
      </c>
      <c r="N340" s="7" t="str">
        <f aca="false">IFERROR(INDEX('Output Utente'!$AE$2:$AE$492,MATCH(337,'Output Utente'!$Q$2:$Q$492,0)),"")</f>
        <v>🔴 Non aspettare</v>
      </c>
    </row>
    <row r="341" customFormat="false" ht="15" hidden="false" customHeight="true" outlineLevel="0" collapsed="false">
      <c r="A341" s="46" t="n">
        <v>338</v>
      </c>
      <c r="B341" s="7" t="n">
        <f aca="false">IFERROR(INDEX('Output Utente'!$A$2:$A$492,MATCH(338,'Output Utente'!$Q$2:$Q$492,0)),"")</f>
        <v>7453</v>
      </c>
      <c r="C341" s="7" t="str">
        <f aca="false">IFERROR(INDEX('Output Utente'!$B$2:$B$492,MATCH(338,'Output Utente'!$Q$2:$Q$492,0)),"")</f>
        <v>A</v>
      </c>
      <c r="D341" s="7" t="str">
        <f aca="false">IFERROR(INDEX('Output Utente'!$C$2:$C$492,MATCH(338,'Output Utente'!$Q$2:$Q$492,0)),"")</f>
        <v>Havel</v>
      </c>
      <c r="E341" s="7" t="str">
        <f aca="false">IFERROR(INDEX('Input Giocatori 2026_27'!$D$3:$D$493,MATCH($B341,'Input Giocatori 2026_27'!$A$3:$A$493,0)),"")</f>
        <v>Genoa</v>
      </c>
      <c r="F341" s="47" t="n">
        <f aca="false">IFERROR(INDEX('Output Utente'!$N$2:$N$492,MATCH(338,'Output Utente'!$Q$2:$Q$492,0)),"")</f>
        <v>4</v>
      </c>
      <c r="G341" s="47" t="n">
        <f aca="false">IFERROR(INDEX('Output Utente'!$O$2:$O$492,MATCH(338,'Output Utente'!$Q$2:$Q$492,0)),"")</f>
        <v>9</v>
      </c>
      <c r="H341" s="7" t="str">
        <f aca="false">IFERROR(INDEX('Output Utente'!$P$2:$P$492,MATCH(338,'Output Utente'!$Q$2:$Q$492,0)),"")</f>
        <v>Scommessa/Riserva</v>
      </c>
      <c r="I341" s="47" t="n">
        <f aca="false">IFERROR(INDEX('Output Utente'!$F$2:$F$492,MATCH(338,'Output Utente'!$Q$2:$Q$492,0)),"")</f>
        <v>3</v>
      </c>
      <c r="J341" s="47" t="n">
        <f aca="false">IFERROR(INDEX('Output Utente'!$G$2:$G$492,MATCH(338,'Output Utente'!$Q$2:$Q$492,0)),"")</f>
        <v>2</v>
      </c>
      <c r="K341" s="47" t="n">
        <f aca="false">IFERROR(INDEX('Output Utente'!$H$2:$H$492,MATCH(338,'Output Utente'!$Q$2:$Q$492,0)),"")</f>
        <v>3</v>
      </c>
      <c r="L341" s="7" t="str">
        <f aca="false">IFERROR(INDEX('Output Utente'!$E$2:$E$492,MATCH(338,'Output Utente'!$Q$2:$Q$492,0)),"")</f>
        <v>NO</v>
      </c>
      <c r="M341" s="7" t="str">
        <f aca="false">IFERROR(INDEX('Output Utente'!$U$2:$U$492,MATCH(338,'Output Utente'!$Q$2:$Q$492,0)),"")</f>
        <v>OK</v>
      </c>
      <c r="N341" s="7" t="str">
        <f aca="false">IFERROR(INDEX('Output Utente'!$AE$2:$AE$492,MATCH(338,'Output Utente'!$Q$2:$Q$492,0)),"")</f>
        <v>🔴 Non aspettare</v>
      </c>
    </row>
    <row r="342" customFormat="false" ht="15" hidden="false" customHeight="true" outlineLevel="0" collapsed="false">
      <c r="A342" s="46" t="n">
        <v>339</v>
      </c>
      <c r="B342" s="7" t="n">
        <f aca="false">IFERROR(INDEX('Output Utente'!$A$2:$A$492,MATCH(339,'Output Utente'!$Q$2:$Q$492,0)),"")</f>
        <v>7349</v>
      </c>
      <c r="C342" s="7" t="str">
        <f aca="false">IFERROR(INDEX('Output Utente'!$B$2:$B$492,MATCH(339,'Output Utente'!$Q$2:$Q$492,0)),"")</f>
        <v>A</v>
      </c>
      <c r="D342" s="7" t="str">
        <f aca="false">IFERROR(INDEX('Output Utente'!$C$2:$C$492,MATCH(339,'Output Utente'!$Q$2:$Q$492,0)),"")</f>
        <v>Kulenovic</v>
      </c>
      <c r="E342" s="7" t="str">
        <f aca="false">IFERROR(INDEX('Input Giocatori 2026_27'!$D$3:$D$493,MATCH($B342,'Input Giocatori 2026_27'!$A$3:$A$493,0)),"")</f>
        <v>Torino</v>
      </c>
      <c r="F342" s="47" t="n">
        <f aca="false">IFERROR(INDEX('Output Utente'!$N$2:$N$492,MATCH(339,'Output Utente'!$Q$2:$Q$492,0)),"")</f>
        <v>4</v>
      </c>
      <c r="G342" s="47" t="n">
        <f aca="false">IFERROR(INDEX('Output Utente'!$O$2:$O$492,MATCH(339,'Output Utente'!$Q$2:$Q$492,0)),"")</f>
        <v>9</v>
      </c>
      <c r="H342" s="7" t="str">
        <f aca="false">IFERROR(INDEX('Output Utente'!$P$2:$P$492,MATCH(339,'Output Utente'!$Q$2:$Q$492,0)),"")</f>
        <v>Scommessa/Riserva</v>
      </c>
      <c r="I342" s="47" t="n">
        <f aca="false">IFERROR(INDEX('Output Utente'!$F$2:$F$492,MATCH(339,'Output Utente'!$Q$2:$Q$492,0)),"")</f>
        <v>3</v>
      </c>
      <c r="J342" s="47" t="n">
        <f aca="false">IFERROR(INDEX('Output Utente'!$G$2:$G$492,MATCH(339,'Output Utente'!$Q$2:$Q$492,0)),"")</f>
        <v>2</v>
      </c>
      <c r="K342" s="47" t="n">
        <f aca="false">IFERROR(INDEX('Output Utente'!$H$2:$H$492,MATCH(339,'Output Utente'!$Q$2:$Q$492,0)),"")</f>
        <v>3</v>
      </c>
      <c r="L342" s="7" t="str">
        <f aca="false">IFERROR(INDEX('Output Utente'!$E$2:$E$492,MATCH(339,'Output Utente'!$Q$2:$Q$492,0)),"")</f>
        <v>NO</v>
      </c>
      <c r="M342" s="7" t="str">
        <f aca="false">IFERROR(INDEX('Output Utente'!$U$2:$U$492,MATCH(339,'Output Utente'!$Q$2:$Q$492,0)),"")</f>
        <v>OK</v>
      </c>
      <c r="N342" s="7" t="str">
        <f aca="false">IFERROR(INDEX('Output Utente'!$AE$2:$AE$492,MATCH(339,'Output Utente'!$Q$2:$Q$492,0)),"")</f>
        <v>🔴 Non aspettare</v>
      </c>
    </row>
    <row r="343" customFormat="false" ht="15" hidden="false" customHeight="true" outlineLevel="0" collapsed="false">
      <c r="A343" s="46" t="n">
        <v>340</v>
      </c>
      <c r="B343" s="7" t="n">
        <f aca="false">IFERROR(INDEX('Output Utente'!$A$2:$A$492,MATCH(340,'Output Utente'!$Q$2:$Q$492,0)),"")</f>
        <v>7001</v>
      </c>
      <c r="C343" s="7" t="str">
        <f aca="false">IFERROR(INDEX('Output Utente'!$B$2:$B$492,MATCH(340,'Output Utente'!$Q$2:$Q$492,0)),"")</f>
        <v>A</v>
      </c>
      <c r="D343" s="7" t="str">
        <f aca="false">IFERROR(INDEX('Output Utente'!$C$2:$C$492,MATCH(340,'Output Utente'!$Q$2:$Q$492,0)),"")</f>
        <v>N'Dri</v>
      </c>
      <c r="E343" s="7" t="str">
        <f aca="false">IFERROR(INDEX('Input Giocatori 2026_27'!$D$3:$D$493,MATCH($B343,'Input Giocatori 2026_27'!$A$3:$A$493,0)),"")</f>
        <v>Lecce</v>
      </c>
      <c r="F343" s="47" t="n">
        <f aca="false">IFERROR(INDEX('Output Utente'!$N$2:$N$492,MATCH(340,'Output Utente'!$Q$2:$Q$492,0)),"")</f>
        <v>3</v>
      </c>
      <c r="G343" s="47" t="n">
        <f aca="false">IFERROR(INDEX('Output Utente'!$O$2:$O$492,MATCH(340,'Output Utente'!$Q$2:$Q$492,0)),"")</f>
        <v>9</v>
      </c>
      <c r="H343" s="7" t="str">
        <f aca="false">IFERROR(INDEX('Output Utente'!$P$2:$P$492,MATCH(340,'Output Utente'!$Q$2:$Q$492,0)),"")</f>
        <v>Scommessa/Riserva</v>
      </c>
      <c r="I343" s="47" t="n">
        <f aca="false">IFERROR(INDEX('Output Utente'!$F$2:$F$492,MATCH(340,'Output Utente'!$Q$2:$Q$492,0)),"")</f>
        <v>3</v>
      </c>
      <c r="J343" s="47" t="n">
        <f aca="false">IFERROR(INDEX('Output Utente'!$G$2:$G$492,MATCH(340,'Output Utente'!$Q$2:$Q$492,0)),"")</f>
        <v>2</v>
      </c>
      <c r="K343" s="47" t="n">
        <f aca="false">IFERROR(INDEX('Output Utente'!$H$2:$H$492,MATCH(340,'Output Utente'!$Q$2:$Q$492,0)),"")</f>
        <v>3</v>
      </c>
      <c r="L343" s="7" t="str">
        <f aca="false">IFERROR(INDEX('Output Utente'!$E$2:$E$492,MATCH(340,'Output Utente'!$Q$2:$Q$492,0)),"")</f>
        <v>NO</v>
      </c>
      <c r="M343" s="7" t="str">
        <f aca="false">IFERROR(INDEX('Output Utente'!$U$2:$U$492,MATCH(340,'Output Utente'!$Q$2:$Q$492,0)),"")</f>
        <v>OK</v>
      </c>
      <c r="N343" s="7" t="str">
        <f aca="false">IFERROR(INDEX('Output Utente'!$AE$2:$AE$492,MATCH(340,'Output Utente'!$Q$2:$Q$492,0)),"")</f>
        <v>🔴 Non aspettare</v>
      </c>
    </row>
    <row r="344" customFormat="false" ht="15" hidden="false" customHeight="true" outlineLevel="0" collapsed="false">
      <c r="A344" s="46" t="n">
        <v>341</v>
      </c>
      <c r="B344" s="7" t="n">
        <f aca="false">IFERROR(INDEX('Output Utente'!$A$2:$A$492,MATCH(341,'Output Utente'!$Q$2:$Q$492,0)),"")</f>
        <v>6415</v>
      </c>
      <c r="C344" s="7" t="str">
        <f aca="false">IFERROR(INDEX('Output Utente'!$B$2:$B$492,MATCH(341,'Output Utente'!$Q$2:$Q$492,0)),"")</f>
        <v>P</v>
      </c>
      <c r="D344" s="7" t="str">
        <f aca="false">IFERROR(INDEX('Output Utente'!$C$2:$C$492,MATCH(341,'Output Utente'!$Q$2:$Q$492,0)),"")</f>
        <v>Palmisani</v>
      </c>
      <c r="E344" s="7" t="str">
        <f aca="false">IFERROR(INDEX('Input Giocatori 2026_27'!$D$3:$D$493,MATCH($B344,'Input Giocatori 2026_27'!$A$3:$A$493,0)),"")</f>
        <v>Frosinone</v>
      </c>
      <c r="F344" s="47" t="n">
        <f aca="false">IFERROR(INDEX('Output Utente'!$N$2:$N$492,MATCH(341,'Output Utente'!$Q$2:$Q$492,0)),"")</f>
        <v>4</v>
      </c>
      <c r="G344" s="47" t="n">
        <f aca="false">IFERROR(INDEX('Output Utente'!$O$2:$O$492,MATCH(341,'Output Utente'!$Q$2:$Q$492,0)),"")</f>
        <v>8</v>
      </c>
      <c r="H344" s="7" t="str">
        <f aca="false">IFERROR(INDEX('Output Utente'!$P$2:$P$492,MATCH(341,'Output Utente'!$Q$2:$Q$492,0)),"")</f>
        <v>Buono</v>
      </c>
      <c r="I344" s="47" t="n">
        <f aca="false">IFERROR(INDEX('Output Utente'!$F$2:$F$492,MATCH(341,'Output Utente'!$Q$2:$Q$492,0)),"")</f>
        <v>3</v>
      </c>
      <c r="J344" s="47" t="n">
        <f aca="false">IFERROR(INDEX('Output Utente'!$G$2:$G$492,MATCH(341,'Output Utente'!$Q$2:$Q$492,0)),"")</f>
        <v>2</v>
      </c>
      <c r="K344" s="47" t="n">
        <f aca="false">IFERROR(INDEX('Output Utente'!$H$2:$H$492,MATCH(341,'Output Utente'!$Q$2:$Q$492,0)),"")</f>
        <v>3</v>
      </c>
      <c r="L344" s="7" t="str">
        <f aca="false">IFERROR(INDEX('Output Utente'!$E$2:$E$492,MATCH(341,'Output Utente'!$Q$2:$Q$492,0)),"")</f>
        <v>NO</v>
      </c>
      <c r="M344" s="7" t="str">
        <f aca="false">IFERROR(INDEX('Output Utente'!$U$2:$U$492,MATCH(341,'Output Utente'!$Q$2:$Q$492,0)),"")</f>
        <v>OK</v>
      </c>
      <c r="N344" s="7" t="str">
        <f aca="false">IFERROR(INDEX('Output Utente'!$AE$2:$AE$492,MATCH(341,'Output Utente'!$Q$2:$Q$492,0)),"")</f>
        <v>🟡 Attesa rischiosa</v>
      </c>
    </row>
    <row r="345" customFormat="false" ht="15" hidden="false" customHeight="true" outlineLevel="0" collapsed="false">
      <c r="A345" s="46" t="n">
        <v>342</v>
      </c>
      <c r="B345" s="7" t="n">
        <f aca="false">IFERROR(INDEX('Output Utente'!$A$2:$A$492,MATCH(342,'Output Utente'!$Q$2:$Q$492,0)),"")</f>
        <v>7463</v>
      </c>
      <c r="C345" s="7" t="str">
        <f aca="false">IFERROR(INDEX('Output Utente'!$B$2:$B$492,MATCH(342,'Output Utente'!$Q$2:$Q$492,0)),"")</f>
        <v>P</v>
      </c>
      <c r="D345" s="7" t="str">
        <f aca="false">IFERROR(INDEX('Output Utente'!$C$2:$C$492,MATCH(342,'Output Utente'!$Q$2:$Q$492,0)),"")</f>
        <v>Desplanches</v>
      </c>
      <c r="E345" s="7" t="str">
        <f aca="false">IFERROR(INDEX('Input Giocatori 2026_27'!$D$3:$D$493,MATCH($B345,'Input Giocatori 2026_27'!$A$3:$A$493,0)),"")</f>
        <v>Frosinone</v>
      </c>
      <c r="F345" s="47" t="n">
        <f aca="false">IFERROR(INDEX('Output Utente'!$N$2:$N$492,MATCH(342,'Output Utente'!$Q$2:$Q$492,0)),"")</f>
        <v>2</v>
      </c>
      <c r="G345" s="47" t="n">
        <f aca="false">IFERROR(INDEX('Output Utente'!$O$2:$O$492,MATCH(342,'Output Utente'!$Q$2:$Q$492,0)),"")</f>
        <v>8</v>
      </c>
      <c r="H345" s="7" t="str">
        <f aca="false">IFERROR(INDEX('Output Utente'!$P$2:$P$492,MATCH(342,'Output Utente'!$Q$2:$Q$492,0)),"")</f>
        <v>Buono</v>
      </c>
      <c r="I345" s="47" t="n">
        <f aca="false">IFERROR(INDEX('Output Utente'!$F$2:$F$492,MATCH(342,'Output Utente'!$Q$2:$Q$492,0)),"")</f>
        <v>3</v>
      </c>
      <c r="J345" s="47" t="n">
        <f aca="false">IFERROR(INDEX('Output Utente'!$G$2:$G$492,MATCH(342,'Output Utente'!$Q$2:$Q$492,0)),"")</f>
        <v>2</v>
      </c>
      <c r="K345" s="47" t="n">
        <f aca="false">IFERROR(INDEX('Output Utente'!$H$2:$H$492,MATCH(342,'Output Utente'!$Q$2:$Q$492,0)),"")</f>
        <v>3</v>
      </c>
      <c r="L345" s="7" t="str">
        <f aca="false">IFERROR(INDEX('Output Utente'!$E$2:$E$492,MATCH(342,'Output Utente'!$Q$2:$Q$492,0)),"")</f>
        <v>NO</v>
      </c>
      <c r="M345" s="7" t="str">
        <f aca="false">IFERROR(INDEX('Output Utente'!$U$2:$U$492,MATCH(342,'Output Utente'!$Q$2:$Q$492,0)),"")</f>
        <v>OK</v>
      </c>
      <c r="N345" s="7" t="str">
        <f aca="false">IFERROR(INDEX('Output Utente'!$AE$2:$AE$492,MATCH(342,'Output Utente'!$Q$2:$Q$492,0)),"")</f>
        <v>🟡 Attesa rischiosa</v>
      </c>
    </row>
    <row r="346" customFormat="false" ht="15" hidden="false" customHeight="true" outlineLevel="0" collapsed="false">
      <c r="A346" s="46" t="n">
        <v>343</v>
      </c>
      <c r="B346" s="7" t="n">
        <f aca="false">IFERROR(INDEX('Output Utente'!$A$2:$A$492,MATCH(343,'Output Utente'!$Q$2:$Q$492,0)),"")</f>
        <v>5603</v>
      </c>
      <c r="C346" s="7" t="str">
        <f aca="false">IFERROR(INDEX('Output Utente'!$B$2:$B$492,MATCH(343,'Output Utente'!$Q$2:$Q$492,0)),"")</f>
        <v>D</v>
      </c>
      <c r="D346" s="7" t="str">
        <f aca="false">IFERROR(INDEX('Output Utente'!$C$2:$C$492,MATCH(343,'Output Utente'!$Q$2:$Q$492,0)),"")</f>
        <v>Pongracic</v>
      </c>
      <c r="E346" s="7" t="str">
        <f aca="false">IFERROR(INDEX('Input Giocatori 2026_27'!$D$3:$D$493,MATCH($B346,'Input Giocatori 2026_27'!$A$3:$A$493,0)),"")</f>
        <v>Fiorentina</v>
      </c>
      <c r="F346" s="47" t="n">
        <f aca="false">IFERROR(INDEX('Output Utente'!$N$2:$N$492,MATCH(343,'Output Utente'!$Q$2:$Q$492,0)),"")</f>
        <v>4</v>
      </c>
      <c r="G346" s="47" t="n">
        <f aca="false">IFERROR(INDEX('Output Utente'!$O$2:$O$492,MATCH(343,'Output Utente'!$Q$2:$Q$492,0)),"")</f>
        <v>8</v>
      </c>
      <c r="H346" s="7" t="str">
        <f aca="false">IFERROR(INDEX('Output Utente'!$P$2:$P$492,MATCH(343,'Output Utente'!$Q$2:$Q$492,0)),"")</f>
        <v>Nella Media</v>
      </c>
      <c r="I346" s="47" t="n">
        <f aca="false">IFERROR(INDEX('Output Utente'!$F$2:$F$492,MATCH(343,'Output Utente'!$Q$2:$Q$492,0)),"")</f>
        <v>2</v>
      </c>
      <c r="J346" s="47" t="n">
        <f aca="false">IFERROR(INDEX('Output Utente'!$G$2:$G$492,MATCH(343,'Output Utente'!$Q$2:$Q$492,0)),"")</f>
        <v>1</v>
      </c>
      <c r="K346" s="47" t="n">
        <f aca="false">IFERROR(INDEX('Output Utente'!$H$2:$H$492,MATCH(343,'Output Utente'!$Q$2:$Q$492,0)),"")</f>
        <v>2</v>
      </c>
      <c r="L346" s="7" t="str">
        <f aca="false">IFERROR(INDEX('Output Utente'!$E$2:$E$492,MATCH(343,'Output Utente'!$Q$2:$Q$492,0)),"")</f>
        <v>NO</v>
      </c>
      <c r="M346" s="7" t="str">
        <f aca="false">IFERROR(INDEX('Output Utente'!$U$2:$U$492,MATCH(343,'Output Utente'!$Q$2:$Q$492,0)),"")</f>
        <v>OK</v>
      </c>
      <c r="N346" s="7" t="str">
        <f aca="false">IFERROR(INDEX('Output Utente'!$AE$2:$AE$492,MATCH(343,'Output Utente'!$Q$2:$Q$492,0)),"")</f>
        <v>🟡 Attesa rischiosa</v>
      </c>
    </row>
    <row r="347" customFormat="false" ht="15" hidden="false" customHeight="true" outlineLevel="0" collapsed="false">
      <c r="A347" s="46" t="n">
        <v>344</v>
      </c>
      <c r="B347" s="7" t="n">
        <f aca="false">IFERROR(INDEX('Output Utente'!$A$2:$A$492,MATCH(344,'Output Utente'!$Q$2:$Q$492,0)),"")</f>
        <v>7312</v>
      </c>
      <c r="C347" s="7" t="str">
        <f aca="false">IFERROR(INDEX('Output Utente'!$B$2:$B$492,MATCH(344,'Output Utente'!$Q$2:$Q$492,0)),"")</f>
        <v>D</v>
      </c>
      <c r="D347" s="7" t="str">
        <f aca="false">IFERROR(INDEX('Output Utente'!$C$2:$C$492,MATCH(344,'Output Utente'!$Q$2:$Q$492,0)),"")</f>
        <v>Arizala</v>
      </c>
      <c r="E347" s="7" t="str">
        <f aca="false">IFERROR(INDEX('Input Giocatori 2026_27'!$D$3:$D$493,MATCH($B347,'Input Giocatori 2026_27'!$A$3:$A$493,0)),"")</f>
        <v>Udinese</v>
      </c>
      <c r="F347" s="47" t="n">
        <f aca="false">IFERROR(INDEX('Output Utente'!$N$2:$N$492,MATCH(344,'Output Utente'!$Q$2:$Q$492,0)),"")</f>
        <v>4</v>
      </c>
      <c r="G347" s="47" t="n">
        <f aca="false">IFERROR(INDEX('Output Utente'!$O$2:$O$492,MATCH(344,'Output Utente'!$Q$2:$Q$492,0)),"")</f>
        <v>8</v>
      </c>
      <c r="H347" s="7" t="str">
        <f aca="false">IFERROR(INDEX('Output Utente'!$P$2:$P$492,MATCH(344,'Output Utente'!$Q$2:$Q$492,0)),"")</f>
        <v>Nella Media</v>
      </c>
      <c r="I347" s="47" t="n">
        <f aca="false">IFERROR(INDEX('Output Utente'!$F$2:$F$492,MATCH(344,'Output Utente'!$Q$2:$Q$492,0)),"")</f>
        <v>2</v>
      </c>
      <c r="J347" s="47" t="n">
        <f aca="false">IFERROR(INDEX('Output Utente'!$G$2:$G$492,MATCH(344,'Output Utente'!$Q$2:$Q$492,0)),"")</f>
        <v>1</v>
      </c>
      <c r="K347" s="47" t="n">
        <f aca="false">IFERROR(INDEX('Output Utente'!$H$2:$H$492,MATCH(344,'Output Utente'!$Q$2:$Q$492,0)),"")</f>
        <v>2</v>
      </c>
      <c r="L347" s="7" t="str">
        <f aca="false">IFERROR(INDEX('Output Utente'!$E$2:$E$492,MATCH(344,'Output Utente'!$Q$2:$Q$492,0)),"")</f>
        <v>NO</v>
      </c>
      <c r="M347" s="7" t="str">
        <f aca="false">IFERROR(INDEX('Output Utente'!$U$2:$U$492,MATCH(344,'Output Utente'!$Q$2:$Q$492,0)),"")</f>
        <v>OK</v>
      </c>
      <c r="N347" s="7" t="str">
        <f aca="false">IFERROR(INDEX('Output Utente'!$AE$2:$AE$492,MATCH(344,'Output Utente'!$Q$2:$Q$492,0)),"")</f>
        <v>🟡 Attesa rischiosa</v>
      </c>
    </row>
    <row r="348" customFormat="false" ht="15" hidden="false" customHeight="true" outlineLevel="0" collapsed="false">
      <c r="A348" s="46" t="n">
        <v>345</v>
      </c>
      <c r="B348" s="7" t="n">
        <f aca="false">IFERROR(INDEX('Output Utente'!$A$2:$A$492,MATCH(345,'Output Utente'!$Q$2:$Q$492,0)),"")</f>
        <v>5757</v>
      </c>
      <c r="C348" s="7" t="str">
        <f aca="false">IFERROR(INDEX('Output Utente'!$B$2:$B$492,MATCH(345,'Output Utente'!$Q$2:$Q$492,0)),"")</f>
        <v>D</v>
      </c>
      <c r="D348" s="7" t="str">
        <f aca="false">IFERROR(INDEX('Output Utente'!$C$2:$C$492,MATCH(345,'Output Utente'!$Q$2:$Q$492,0)),"")</f>
        <v>Cittadini</v>
      </c>
      <c r="E348" s="7" t="str">
        <f aca="false">IFERROR(INDEX('Input Giocatori 2026_27'!$D$3:$D$493,MATCH($B348,'Input Giocatori 2026_27'!$A$3:$A$493,0)),"")</f>
        <v>Frosinone</v>
      </c>
      <c r="F348" s="47" t="n">
        <f aca="false">IFERROR(INDEX('Output Utente'!$N$2:$N$492,MATCH(345,'Output Utente'!$Q$2:$Q$492,0)),"")</f>
        <v>3</v>
      </c>
      <c r="G348" s="47" t="n">
        <f aca="false">IFERROR(INDEX('Output Utente'!$O$2:$O$492,MATCH(345,'Output Utente'!$Q$2:$Q$492,0)),"")</f>
        <v>8</v>
      </c>
      <c r="H348" s="7" t="str">
        <f aca="false">IFERROR(INDEX('Output Utente'!$P$2:$P$492,MATCH(345,'Output Utente'!$Q$2:$Q$492,0)),"")</f>
        <v>Nella Media</v>
      </c>
      <c r="I348" s="47" t="n">
        <f aca="false">IFERROR(INDEX('Output Utente'!$F$2:$F$492,MATCH(345,'Output Utente'!$Q$2:$Q$492,0)),"")</f>
        <v>2</v>
      </c>
      <c r="J348" s="47" t="n">
        <f aca="false">IFERROR(INDEX('Output Utente'!$G$2:$G$492,MATCH(345,'Output Utente'!$Q$2:$Q$492,0)),"")</f>
        <v>1</v>
      </c>
      <c r="K348" s="47" t="n">
        <f aca="false">IFERROR(INDEX('Output Utente'!$H$2:$H$492,MATCH(345,'Output Utente'!$Q$2:$Q$492,0)),"")</f>
        <v>2</v>
      </c>
      <c r="L348" s="7" t="str">
        <f aca="false">IFERROR(INDEX('Output Utente'!$E$2:$E$492,MATCH(345,'Output Utente'!$Q$2:$Q$492,0)),"")</f>
        <v>NO</v>
      </c>
      <c r="M348" s="7" t="str">
        <f aca="false">IFERROR(INDEX('Output Utente'!$U$2:$U$492,MATCH(345,'Output Utente'!$Q$2:$Q$492,0)),"")</f>
        <v>OK</v>
      </c>
      <c r="N348" s="7" t="str">
        <f aca="false">IFERROR(INDEX('Output Utente'!$AE$2:$AE$492,MATCH(345,'Output Utente'!$Q$2:$Q$492,0)),"")</f>
        <v>🟡 Attesa rischiosa</v>
      </c>
    </row>
    <row r="349" customFormat="false" ht="15" hidden="false" customHeight="true" outlineLevel="0" collapsed="false">
      <c r="A349" s="46" t="n">
        <v>346</v>
      </c>
      <c r="B349" s="7" t="n">
        <f aca="false">IFERROR(INDEX('Output Utente'!$A$2:$A$492,MATCH(346,'Output Utente'!$Q$2:$Q$492,0)),"")</f>
        <v>7211</v>
      </c>
      <c r="C349" s="7" t="str">
        <f aca="false">IFERROR(INDEX('Output Utente'!$B$2:$B$492,MATCH(346,'Output Utente'!$Q$2:$Q$492,0)),"")</f>
        <v>D</v>
      </c>
      <c r="D349" s="7" t="str">
        <f aca="false">IFERROR(INDEX('Output Utente'!$C$2:$C$492,MATCH(346,'Output Utente'!$Q$2:$Q$492,0)),"")</f>
        <v>Athekame</v>
      </c>
      <c r="E349" s="7" t="str">
        <f aca="false">IFERROR(INDEX('Input Giocatori 2026_27'!$D$3:$D$493,MATCH($B349,'Input Giocatori 2026_27'!$A$3:$A$493,0)),"")</f>
        <v>Milan</v>
      </c>
      <c r="F349" s="47" t="n">
        <f aca="false">IFERROR(INDEX('Output Utente'!$N$2:$N$492,MATCH(346,'Output Utente'!$Q$2:$Q$492,0)),"")</f>
        <v>3</v>
      </c>
      <c r="G349" s="47" t="n">
        <f aca="false">IFERROR(INDEX('Output Utente'!$O$2:$O$492,MATCH(346,'Output Utente'!$Q$2:$Q$492,0)),"")</f>
        <v>8</v>
      </c>
      <c r="H349" s="7" t="str">
        <f aca="false">IFERROR(INDEX('Output Utente'!$P$2:$P$492,MATCH(346,'Output Utente'!$Q$2:$Q$492,0)),"")</f>
        <v>Nella Media</v>
      </c>
      <c r="I349" s="47" t="n">
        <f aca="false">IFERROR(INDEX('Output Utente'!$F$2:$F$492,MATCH(346,'Output Utente'!$Q$2:$Q$492,0)),"")</f>
        <v>2</v>
      </c>
      <c r="J349" s="47" t="n">
        <f aca="false">IFERROR(INDEX('Output Utente'!$G$2:$G$492,MATCH(346,'Output Utente'!$Q$2:$Q$492,0)),"")</f>
        <v>1</v>
      </c>
      <c r="K349" s="47" t="n">
        <f aca="false">IFERROR(INDEX('Output Utente'!$H$2:$H$492,MATCH(346,'Output Utente'!$Q$2:$Q$492,0)),"")</f>
        <v>2</v>
      </c>
      <c r="L349" s="7" t="str">
        <f aca="false">IFERROR(INDEX('Output Utente'!$E$2:$E$492,MATCH(346,'Output Utente'!$Q$2:$Q$492,0)),"")</f>
        <v>NO</v>
      </c>
      <c r="M349" s="7" t="str">
        <f aca="false">IFERROR(INDEX('Output Utente'!$U$2:$U$492,MATCH(346,'Output Utente'!$Q$2:$Q$492,0)),"")</f>
        <v>OK</v>
      </c>
      <c r="N349" s="7" t="str">
        <f aca="false">IFERROR(INDEX('Output Utente'!$AE$2:$AE$492,MATCH(346,'Output Utente'!$Q$2:$Q$492,0)),"")</f>
        <v>🟡 Attesa rischiosa</v>
      </c>
    </row>
    <row r="350" customFormat="false" ht="15" hidden="false" customHeight="true" outlineLevel="0" collapsed="false">
      <c r="A350" s="46" t="n">
        <v>347</v>
      </c>
      <c r="B350" s="7" t="n">
        <f aca="false">IFERROR(INDEX('Output Utente'!$A$2:$A$492,MATCH(347,'Output Utente'!$Q$2:$Q$492,0)),"")</f>
        <v>7235</v>
      </c>
      <c r="C350" s="7" t="str">
        <f aca="false">IFERROR(INDEX('Output Utente'!$B$2:$B$492,MATCH(347,'Output Utente'!$Q$2:$Q$492,0)),"")</f>
        <v>D</v>
      </c>
      <c r="D350" s="7" t="str">
        <f aca="false">IFERROR(INDEX('Output Utente'!$C$2:$C$492,MATCH(347,'Output Utente'!$Q$2:$Q$492,0)),"")</f>
        <v>Troilo</v>
      </c>
      <c r="E350" s="7" t="str">
        <f aca="false">IFERROR(INDEX('Input Giocatori 2026_27'!$D$3:$D$493,MATCH($B350,'Input Giocatori 2026_27'!$A$3:$A$493,0)),"")</f>
        <v>Parma</v>
      </c>
      <c r="F350" s="47" t="n">
        <f aca="false">IFERROR(INDEX('Output Utente'!$N$2:$N$492,MATCH(347,'Output Utente'!$Q$2:$Q$492,0)),"")</f>
        <v>3</v>
      </c>
      <c r="G350" s="47" t="n">
        <f aca="false">IFERROR(INDEX('Output Utente'!$O$2:$O$492,MATCH(347,'Output Utente'!$Q$2:$Q$492,0)),"")</f>
        <v>8</v>
      </c>
      <c r="H350" s="7" t="str">
        <f aca="false">IFERROR(INDEX('Output Utente'!$P$2:$P$492,MATCH(347,'Output Utente'!$Q$2:$Q$492,0)),"")</f>
        <v>Nella Media</v>
      </c>
      <c r="I350" s="47" t="n">
        <f aca="false">IFERROR(INDEX('Output Utente'!$F$2:$F$492,MATCH(347,'Output Utente'!$Q$2:$Q$492,0)),"")</f>
        <v>2</v>
      </c>
      <c r="J350" s="47" t="n">
        <f aca="false">IFERROR(INDEX('Output Utente'!$G$2:$G$492,MATCH(347,'Output Utente'!$Q$2:$Q$492,0)),"")</f>
        <v>1</v>
      </c>
      <c r="K350" s="47" t="n">
        <f aca="false">IFERROR(INDEX('Output Utente'!$H$2:$H$492,MATCH(347,'Output Utente'!$Q$2:$Q$492,0)),"")</f>
        <v>2</v>
      </c>
      <c r="L350" s="7" t="str">
        <f aca="false">IFERROR(INDEX('Output Utente'!$E$2:$E$492,MATCH(347,'Output Utente'!$Q$2:$Q$492,0)),"")</f>
        <v>NO</v>
      </c>
      <c r="M350" s="7" t="str">
        <f aca="false">IFERROR(INDEX('Output Utente'!$U$2:$U$492,MATCH(347,'Output Utente'!$Q$2:$Q$492,0)),"")</f>
        <v>OK</v>
      </c>
      <c r="N350" s="7" t="str">
        <f aca="false">IFERROR(INDEX('Output Utente'!$AE$2:$AE$492,MATCH(347,'Output Utente'!$Q$2:$Q$492,0)),"")</f>
        <v>🟡 Attesa rischiosa</v>
      </c>
    </row>
    <row r="351" customFormat="false" ht="15" hidden="false" customHeight="true" outlineLevel="0" collapsed="false">
      <c r="A351" s="46" t="n">
        <v>348</v>
      </c>
      <c r="B351" s="7" t="n">
        <f aca="false">IFERROR(INDEX('Output Utente'!$A$2:$A$492,MATCH(348,'Output Utente'!$Q$2:$Q$492,0)),"")</f>
        <v>2263</v>
      </c>
      <c r="C351" s="7" t="str">
        <f aca="false">IFERROR(INDEX('Output Utente'!$B$2:$B$492,MATCH(348,'Output Utente'!$Q$2:$Q$492,0)),"")</f>
        <v>D</v>
      </c>
      <c r="D351" s="7" t="str">
        <f aca="false">IFERROR(INDEX('Output Utente'!$C$2:$C$492,MATCH(348,'Output Utente'!$Q$2:$Q$492,0)),"")</f>
        <v>Lazzari</v>
      </c>
      <c r="E351" s="7" t="str">
        <f aca="false">IFERROR(INDEX('Input Giocatori 2026_27'!$D$3:$D$493,MATCH($B351,'Input Giocatori 2026_27'!$A$3:$A$493,0)),"")</f>
        <v>Lazio</v>
      </c>
      <c r="F351" s="47" t="n">
        <f aca="false">IFERROR(INDEX('Output Utente'!$N$2:$N$492,MATCH(348,'Output Utente'!$Q$2:$Q$492,0)),"")</f>
        <v>2</v>
      </c>
      <c r="G351" s="47" t="n">
        <f aca="false">IFERROR(INDEX('Output Utente'!$O$2:$O$492,MATCH(348,'Output Utente'!$Q$2:$Q$492,0)),"")</f>
        <v>8</v>
      </c>
      <c r="H351" s="7" t="str">
        <f aca="false">IFERROR(INDEX('Output Utente'!$P$2:$P$492,MATCH(348,'Output Utente'!$Q$2:$Q$492,0)),"")</f>
        <v>Nella Media</v>
      </c>
      <c r="I351" s="47" t="n">
        <f aca="false">IFERROR(INDEX('Output Utente'!$F$2:$F$492,MATCH(348,'Output Utente'!$Q$2:$Q$492,0)),"")</f>
        <v>2</v>
      </c>
      <c r="J351" s="47" t="n">
        <f aca="false">IFERROR(INDEX('Output Utente'!$G$2:$G$492,MATCH(348,'Output Utente'!$Q$2:$Q$492,0)),"")</f>
        <v>1</v>
      </c>
      <c r="K351" s="47" t="n">
        <f aca="false">IFERROR(INDEX('Output Utente'!$H$2:$H$492,MATCH(348,'Output Utente'!$Q$2:$Q$492,0)),"")</f>
        <v>2</v>
      </c>
      <c r="L351" s="7" t="str">
        <f aca="false">IFERROR(INDEX('Output Utente'!$E$2:$E$492,MATCH(348,'Output Utente'!$Q$2:$Q$492,0)),"")</f>
        <v>NO</v>
      </c>
      <c r="M351" s="7" t="str">
        <f aca="false">IFERROR(INDEX('Output Utente'!$U$2:$U$492,MATCH(348,'Output Utente'!$Q$2:$Q$492,0)),"")</f>
        <v>OK</v>
      </c>
      <c r="N351" s="7" t="str">
        <f aca="false">IFERROR(INDEX('Output Utente'!$AE$2:$AE$492,MATCH(348,'Output Utente'!$Q$2:$Q$492,0)),"")</f>
        <v>🟡 Attesa rischiosa</v>
      </c>
    </row>
    <row r="352" customFormat="false" ht="15" hidden="false" customHeight="true" outlineLevel="0" collapsed="false">
      <c r="A352" s="46" t="n">
        <v>349</v>
      </c>
      <c r="B352" s="7" t="n">
        <f aca="false">IFERROR(INDEX('Output Utente'!$A$2:$A$492,MATCH(349,'Output Utente'!$Q$2:$Q$492,0)),"")</f>
        <v>7407</v>
      </c>
      <c r="C352" s="7" t="str">
        <f aca="false">IFERROR(INDEX('Output Utente'!$B$2:$B$492,MATCH(349,'Output Utente'!$Q$2:$Q$492,0)),"")</f>
        <v>D</v>
      </c>
      <c r="D352" s="7" t="str">
        <f aca="false">IFERROR(INDEX('Output Utente'!$C$2:$C$492,MATCH(349,'Output Utente'!$Q$2:$Q$492,0)),"")</f>
        <v>Cuenca A.</v>
      </c>
      <c r="E352" s="7" t="str">
        <f aca="false">IFERROR(INDEX('Input Giocatori 2026_27'!$D$3:$D$493,MATCH($B352,'Input Giocatori 2026_27'!$A$3:$A$493,0)),"")</f>
        <v>Como</v>
      </c>
      <c r="F352" s="47" t="n">
        <f aca="false">IFERROR(INDEX('Output Utente'!$N$2:$N$492,MATCH(349,'Output Utente'!$Q$2:$Q$492,0)),"")</f>
        <v>1</v>
      </c>
      <c r="G352" s="47" t="n">
        <f aca="false">IFERROR(INDEX('Output Utente'!$O$2:$O$492,MATCH(349,'Output Utente'!$Q$2:$Q$492,0)),"")</f>
        <v>8</v>
      </c>
      <c r="H352" s="7" t="str">
        <f aca="false">IFERROR(INDEX('Output Utente'!$P$2:$P$492,MATCH(349,'Output Utente'!$Q$2:$Q$492,0)),"")</f>
        <v>Nella Media</v>
      </c>
      <c r="I352" s="47" t="n">
        <f aca="false">IFERROR(INDEX('Output Utente'!$F$2:$F$492,MATCH(349,'Output Utente'!$Q$2:$Q$492,0)),"")</f>
        <v>2</v>
      </c>
      <c r="J352" s="47" t="n">
        <f aca="false">IFERROR(INDEX('Output Utente'!$G$2:$G$492,MATCH(349,'Output Utente'!$Q$2:$Q$492,0)),"")</f>
        <v>1</v>
      </c>
      <c r="K352" s="47" t="n">
        <f aca="false">IFERROR(INDEX('Output Utente'!$H$2:$H$492,MATCH(349,'Output Utente'!$Q$2:$Q$492,0)),"")</f>
        <v>2</v>
      </c>
      <c r="L352" s="7" t="str">
        <f aca="false">IFERROR(INDEX('Output Utente'!$E$2:$E$492,MATCH(349,'Output Utente'!$Q$2:$Q$492,0)),"")</f>
        <v>NO</v>
      </c>
      <c r="M352" s="7" t="str">
        <f aca="false">IFERROR(INDEX('Output Utente'!$U$2:$U$492,MATCH(349,'Output Utente'!$Q$2:$Q$492,0)),"")</f>
        <v>OK</v>
      </c>
      <c r="N352" s="7" t="str">
        <f aca="false">IFERROR(INDEX('Output Utente'!$AE$2:$AE$492,MATCH(349,'Output Utente'!$Q$2:$Q$492,0)),"")</f>
        <v>🟡 Attesa rischiosa</v>
      </c>
    </row>
    <row r="353" customFormat="false" ht="15" hidden="false" customHeight="true" outlineLevel="0" collapsed="false">
      <c r="A353" s="46" t="n">
        <v>350</v>
      </c>
      <c r="B353" s="7" t="n">
        <f aca="false">IFERROR(INDEX('Output Utente'!$A$2:$A$492,MATCH(350,'Output Utente'!$Q$2:$Q$492,0)),"")</f>
        <v>6206</v>
      </c>
      <c r="C353" s="7" t="str">
        <f aca="false">IFERROR(INDEX('Output Utente'!$B$2:$B$492,MATCH(350,'Output Utente'!$Q$2:$Q$492,0)),"")</f>
        <v>C</v>
      </c>
      <c r="D353" s="7" t="str">
        <f aca="false">IFERROR(INDEX('Output Utente'!$C$2:$C$492,MATCH(350,'Output Utente'!$Q$2:$Q$492,0)),"")</f>
        <v>Fabbian</v>
      </c>
      <c r="E353" s="7" t="str">
        <f aca="false">IFERROR(INDEX('Input Giocatori 2026_27'!$D$3:$D$493,MATCH($B353,'Input Giocatori 2026_27'!$A$3:$A$493,0)),"")</f>
        <v>Fiorentina</v>
      </c>
      <c r="F353" s="47" t="n">
        <f aca="false">IFERROR(INDEX('Output Utente'!$N$2:$N$492,MATCH(350,'Output Utente'!$Q$2:$Q$492,0)),"")</f>
        <v>4</v>
      </c>
      <c r="G353" s="47" t="n">
        <f aca="false">IFERROR(INDEX('Output Utente'!$O$2:$O$492,MATCH(350,'Output Utente'!$Q$2:$Q$492,0)),"")</f>
        <v>8</v>
      </c>
      <c r="H353" s="7" t="str">
        <f aca="false">IFERROR(INDEX('Output Utente'!$P$2:$P$492,MATCH(350,'Output Utente'!$Q$2:$Q$492,0)),"")</f>
        <v>Scommessa/Riserva</v>
      </c>
      <c r="I353" s="47" t="n">
        <f aca="false">IFERROR(INDEX('Output Utente'!$F$2:$F$492,MATCH(350,'Output Utente'!$Q$2:$Q$492,0)),"")</f>
        <v>1</v>
      </c>
      <c r="J353" s="47" t="n">
        <f aca="false">IFERROR(INDEX('Output Utente'!$G$2:$G$492,MATCH(350,'Output Utente'!$Q$2:$Q$492,0)),"")</f>
        <v>1</v>
      </c>
      <c r="K353" s="47" t="n">
        <f aca="false">IFERROR(INDEX('Output Utente'!$H$2:$H$492,MATCH(350,'Output Utente'!$Q$2:$Q$492,0)),"")</f>
        <v>1</v>
      </c>
      <c r="L353" s="7" t="str">
        <f aca="false">IFERROR(INDEX('Output Utente'!$E$2:$E$492,MATCH(350,'Output Utente'!$Q$2:$Q$492,0)),"")</f>
        <v>NO</v>
      </c>
      <c r="M353" s="7" t="str">
        <f aca="false">IFERROR(INDEX('Output Utente'!$U$2:$U$492,MATCH(350,'Output Utente'!$Q$2:$Q$492,0)),"")</f>
        <v>OK</v>
      </c>
      <c r="N353" s="7" t="str">
        <f aca="false">IFERROR(INDEX('Output Utente'!$AE$2:$AE$492,MATCH(350,'Output Utente'!$Q$2:$Q$492,0)),"")</f>
        <v>🟡 Attesa rischiosa</v>
      </c>
    </row>
    <row r="354" customFormat="false" ht="15" hidden="false" customHeight="true" outlineLevel="0" collapsed="false">
      <c r="A354" s="46" t="n">
        <v>351</v>
      </c>
      <c r="B354" s="7" t="n">
        <f aca="false">IFERROR(INDEX('Output Utente'!$A$2:$A$492,MATCH(351,'Output Utente'!$Q$2:$Q$492,0)),"")</f>
        <v>6895</v>
      </c>
      <c r="C354" s="7" t="str">
        <f aca="false">IFERROR(INDEX('Output Utente'!$B$2:$B$492,MATCH(351,'Output Utente'!$Q$2:$Q$492,0)),"")</f>
        <v>C</v>
      </c>
      <c r="D354" s="7" t="str">
        <f aca="false">IFERROR(INDEX('Output Utente'!$C$2:$C$492,MATCH(351,'Output Utente'!$Q$2:$Q$492,0)),"")</f>
        <v>Dominguez B.</v>
      </c>
      <c r="E354" s="7" t="str">
        <f aca="false">IFERROR(INDEX('Input Giocatori 2026_27'!$D$3:$D$493,MATCH($B354,'Input Giocatori 2026_27'!$A$3:$A$493,0)),"")</f>
        <v>Bologna</v>
      </c>
      <c r="F354" s="47" t="n">
        <f aca="false">IFERROR(INDEX('Output Utente'!$N$2:$N$492,MATCH(351,'Output Utente'!$Q$2:$Q$492,0)),"")</f>
        <v>3</v>
      </c>
      <c r="G354" s="47" t="n">
        <f aca="false">IFERROR(INDEX('Output Utente'!$O$2:$O$492,MATCH(351,'Output Utente'!$Q$2:$Q$492,0)),"")</f>
        <v>8</v>
      </c>
      <c r="H354" s="7" t="str">
        <f aca="false">IFERROR(INDEX('Output Utente'!$P$2:$P$492,MATCH(351,'Output Utente'!$Q$2:$Q$492,0)),"")</f>
        <v>Scommessa/Riserva</v>
      </c>
      <c r="I354" s="47" t="n">
        <f aca="false">IFERROR(INDEX('Output Utente'!$F$2:$F$492,MATCH(351,'Output Utente'!$Q$2:$Q$492,0)),"")</f>
        <v>1</v>
      </c>
      <c r="J354" s="47" t="n">
        <f aca="false">IFERROR(INDEX('Output Utente'!$G$2:$G$492,MATCH(351,'Output Utente'!$Q$2:$Q$492,0)),"")</f>
        <v>1</v>
      </c>
      <c r="K354" s="47" t="n">
        <f aca="false">IFERROR(INDEX('Output Utente'!$H$2:$H$492,MATCH(351,'Output Utente'!$Q$2:$Q$492,0)),"")</f>
        <v>1</v>
      </c>
      <c r="L354" s="7" t="str">
        <f aca="false">IFERROR(INDEX('Output Utente'!$E$2:$E$492,MATCH(351,'Output Utente'!$Q$2:$Q$492,0)),"")</f>
        <v>NO</v>
      </c>
      <c r="M354" s="7" t="str">
        <f aca="false">IFERROR(INDEX('Output Utente'!$U$2:$U$492,MATCH(351,'Output Utente'!$Q$2:$Q$492,0)),"")</f>
        <v>OK</v>
      </c>
      <c r="N354" s="7" t="str">
        <f aca="false">IFERROR(INDEX('Output Utente'!$AE$2:$AE$492,MATCH(351,'Output Utente'!$Q$2:$Q$492,0)),"")</f>
        <v>🟡 Attesa rischiosa</v>
      </c>
    </row>
    <row r="355" customFormat="false" ht="15" hidden="false" customHeight="true" outlineLevel="0" collapsed="false">
      <c r="A355" s="46" t="n">
        <v>352</v>
      </c>
      <c r="B355" s="7" t="n">
        <f aca="false">IFERROR(INDEX('Output Utente'!$A$2:$A$492,MATCH(352,'Output Utente'!$Q$2:$Q$492,0)),"")</f>
        <v>1871</v>
      </c>
      <c r="C355" s="7" t="str">
        <f aca="false">IFERROR(INDEX('Output Utente'!$B$2:$B$492,MATCH(352,'Output Utente'!$Q$2:$Q$492,0)),"")</f>
        <v>C</v>
      </c>
      <c r="D355" s="7" t="str">
        <f aca="false">IFERROR(INDEX('Output Utente'!$C$2:$C$492,MATCH(352,'Output Utente'!$Q$2:$Q$492,0)),"")</f>
        <v>Deiola</v>
      </c>
      <c r="E355" s="7" t="str">
        <f aca="false">IFERROR(INDEX('Input Giocatori 2026_27'!$D$3:$D$493,MATCH($B355,'Input Giocatori 2026_27'!$A$3:$A$493,0)),"")</f>
        <v>Cagliari</v>
      </c>
      <c r="F355" s="47" t="n">
        <f aca="false">IFERROR(INDEX('Output Utente'!$N$2:$N$492,MATCH(352,'Output Utente'!$Q$2:$Q$492,0)),"")</f>
        <v>3</v>
      </c>
      <c r="G355" s="47" t="n">
        <f aca="false">IFERROR(INDEX('Output Utente'!$O$2:$O$492,MATCH(352,'Output Utente'!$Q$2:$Q$492,0)),"")</f>
        <v>8</v>
      </c>
      <c r="H355" s="7" t="str">
        <f aca="false">IFERROR(INDEX('Output Utente'!$P$2:$P$492,MATCH(352,'Output Utente'!$Q$2:$Q$492,0)),"")</f>
        <v>Scommessa/Riserva</v>
      </c>
      <c r="I355" s="47" t="n">
        <f aca="false">IFERROR(INDEX('Output Utente'!$F$2:$F$492,MATCH(352,'Output Utente'!$Q$2:$Q$492,0)),"")</f>
        <v>1</v>
      </c>
      <c r="J355" s="47" t="n">
        <f aca="false">IFERROR(INDEX('Output Utente'!$G$2:$G$492,MATCH(352,'Output Utente'!$Q$2:$Q$492,0)),"")</f>
        <v>1</v>
      </c>
      <c r="K355" s="47" t="n">
        <f aca="false">IFERROR(INDEX('Output Utente'!$H$2:$H$492,MATCH(352,'Output Utente'!$Q$2:$Q$492,0)),"")</f>
        <v>1</v>
      </c>
      <c r="L355" s="7" t="str">
        <f aca="false">IFERROR(INDEX('Output Utente'!$E$2:$E$492,MATCH(352,'Output Utente'!$Q$2:$Q$492,0)),"")</f>
        <v>NO</v>
      </c>
      <c r="M355" s="7" t="str">
        <f aca="false">IFERROR(INDEX('Output Utente'!$U$2:$U$492,MATCH(352,'Output Utente'!$Q$2:$Q$492,0)),"")</f>
        <v>OK</v>
      </c>
      <c r="N355" s="7" t="str">
        <f aca="false">IFERROR(INDEX('Output Utente'!$AE$2:$AE$492,MATCH(352,'Output Utente'!$Q$2:$Q$492,0)),"")</f>
        <v>🟡 Attesa rischiosa</v>
      </c>
    </row>
    <row r="356" customFormat="false" ht="15" hidden="false" customHeight="true" outlineLevel="0" collapsed="false">
      <c r="A356" s="46" t="n">
        <v>353</v>
      </c>
      <c r="B356" s="7" t="n">
        <f aca="false">IFERROR(INDEX('Output Utente'!$A$2:$A$492,MATCH(353,'Output Utente'!$Q$2:$Q$492,0)),"")</f>
        <v>6241</v>
      </c>
      <c r="C356" s="7" t="str">
        <f aca="false">IFERROR(INDEX('Output Utente'!$B$2:$B$492,MATCH(353,'Output Utente'!$Q$2:$Q$492,0)),"")</f>
        <v>C</v>
      </c>
      <c r="D356" s="7" t="str">
        <f aca="false">IFERROR(INDEX('Output Utente'!$C$2:$C$492,MATCH(353,'Output Utente'!$Q$2:$Q$492,0)),"")</f>
        <v>Gelli F.</v>
      </c>
      <c r="E356" s="7" t="str">
        <f aca="false">IFERROR(INDEX('Input Giocatori 2026_27'!$D$3:$D$493,MATCH($B356,'Input Giocatori 2026_27'!$A$3:$A$493,0)),"")</f>
        <v>Frosinone</v>
      </c>
      <c r="F356" s="47" t="n">
        <f aca="false">IFERROR(INDEX('Output Utente'!$N$2:$N$492,MATCH(353,'Output Utente'!$Q$2:$Q$492,0)),"")</f>
        <v>3</v>
      </c>
      <c r="G356" s="47" t="n">
        <f aca="false">IFERROR(INDEX('Output Utente'!$O$2:$O$492,MATCH(353,'Output Utente'!$Q$2:$Q$492,0)),"")</f>
        <v>8</v>
      </c>
      <c r="H356" s="7" t="str">
        <f aca="false">IFERROR(INDEX('Output Utente'!$P$2:$P$492,MATCH(353,'Output Utente'!$Q$2:$Q$492,0)),"")</f>
        <v>Scommessa/Riserva</v>
      </c>
      <c r="I356" s="47" t="n">
        <f aca="false">IFERROR(INDEX('Output Utente'!$F$2:$F$492,MATCH(353,'Output Utente'!$Q$2:$Q$492,0)),"")</f>
        <v>1</v>
      </c>
      <c r="J356" s="47" t="n">
        <f aca="false">IFERROR(INDEX('Output Utente'!$G$2:$G$492,MATCH(353,'Output Utente'!$Q$2:$Q$492,0)),"")</f>
        <v>1</v>
      </c>
      <c r="K356" s="47" t="n">
        <f aca="false">IFERROR(INDEX('Output Utente'!$H$2:$H$492,MATCH(353,'Output Utente'!$Q$2:$Q$492,0)),"")</f>
        <v>1</v>
      </c>
      <c r="L356" s="7" t="str">
        <f aca="false">IFERROR(INDEX('Output Utente'!$E$2:$E$492,MATCH(353,'Output Utente'!$Q$2:$Q$492,0)),"")</f>
        <v>NO</v>
      </c>
      <c r="M356" s="7" t="str">
        <f aca="false">IFERROR(INDEX('Output Utente'!$U$2:$U$492,MATCH(353,'Output Utente'!$Q$2:$Q$492,0)),"")</f>
        <v>OK</v>
      </c>
      <c r="N356" s="7" t="str">
        <f aca="false">IFERROR(INDEX('Output Utente'!$AE$2:$AE$492,MATCH(353,'Output Utente'!$Q$2:$Q$492,0)),"")</f>
        <v>🟡 Attesa rischiosa</v>
      </c>
    </row>
    <row r="357" customFormat="false" ht="15" hidden="false" customHeight="true" outlineLevel="0" collapsed="false">
      <c r="A357" s="46" t="n">
        <v>354</v>
      </c>
      <c r="B357" s="7" t="n">
        <f aca="false">IFERROR(INDEX('Output Utente'!$A$2:$A$492,MATCH(354,'Output Utente'!$Q$2:$Q$492,0)),"")</f>
        <v>4970</v>
      </c>
      <c r="C357" s="7" t="str">
        <f aca="false">IFERROR(INDEX('Output Utente'!$B$2:$B$492,MATCH(354,'Output Utente'!$Q$2:$Q$492,0)),"")</f>
        <v>C</v>
      </c>
      <c r="D357" s="7" t="str">
        <f aca="false">IFERROR(INDEX('Output Utente'!$C$2:$C$492,MATCH(354,'Output Utente'!$Q$2:$Q$492,0)),"")</f>
        <v>Messias</v>
      </c>
      <c r="E357" s="7" t="str">
        <f aca="false">IFERROR(INDEX('Input Giocatori 2026_27'!$D$3:$D$493,MATCH($B357,'Input Giocatori 2026_27'!$A$3:$A$493,0)),"")</f>
        <v>Genoa</v>
      </c>
      <c r="F357" s="47" t="n">
        <f aca="false">IFERROR(INDEX('Output Utente'!$N$2:$N$492,MATCH(354,'Output Utente'!$Q$2:$Q$492,0)),"")</f>
        <v>3</v>
      </c>
      <c r="G357" s="47" t="n">
        <f aca="false">IFERROR(INDEX('Output Utente'!$O$2:$O$492,MATCH(354,'Output Utente'!$Q$2:$Q$492,0)),"")</f>
        <v>8</v>
      </c>
      <c r="H357" s="7" t="str">
        <f aca="false">IFERROR(INDEX('Output Utente'!$P$2:$P$492,MATCH(354,'Output Utente'!$Q$2:$Q$492,0)),"")</f>
        <v>Scommessa/Riserva</v>
      </c>
      <c r="I357" s="47" t="n">
        <f aca="false">IFERROR(INDEX('Output Utente'!$F$2:$F$492,MATCH(354,'Output Utente'!$Q$2:$Q$492,0)),"")</f>
        <v>1</v>
      </c>
      <c r="J357" s="47" t="n">
        <f aca="false">IFERROR(INDEX('Output Utente'!$G$2:$G$492,MATCH(354,'Output Utente'!$Q$2:$Q$492,0)),"")</f>
        <v>1</v>
      </c>
      <c r="K357" s="47" t="n">
        <f aca="false">IFERROR(INDEX('Output Utente'!$H$2:$H$492,MATCH(354,'Output Utente'!$Q$2:$Q$492,0)),"")</f>
        <v>1</v>
      </c>
      <c r="L357" s="7" t="str">
        <f aca="false">IFERROR(INDEX('Output Utente'!$E$2:$E$492,MATCH(354,'Output Utente'!$Q$2:$Q$492,0)),"")</f>
        <v>NO</v>
      </c>
      <c r="M357" s="7" t="str">
        <f aca="false">IFERROR(INDEX('Output Utente'!$U$2:$U$492,MATCH(354,'Output Utente'!$Q$2:$Q$492,0)),"")</f>
        <v>OK</v>
      </c>
      <c r="N357" s="7" t="str">
        <f aca="false">IFERROR(INDEX('Output Utente'!$AE$2:$AE$492,MATCH(354,'Output Utente'!$Q$2:$Q$492,0)),"")</f>
        <v>🟡 Attesa rischiosa</v>
      </c>
    </row>
    <row r="358" customFormat="false" ht="15" hidden="false" customHeight="true" outlineLevel="0" collapsed="false">
      <c r="A358" s="46" t="n">
        <v>355</v>
      </c>
      <c r="B358" s="7" t="n">
        <f aca="false">IFERROR(INDEX('Output Utente'!$A$2:$A$492,MATCH(355,'Output Utente'!$Q$2:$Q$492,0)),"")</f>
        <v>5578</v>
      </c>
      <c r="C358" s="7" t="str">
        <f aca="false">IFERROR(INDEX('Output Utente'!$B$2:$B$492,MATCH(355,'Output Utente'!$Q$2:$Q$492,0)),"")</f>
        <v>D</v>
      </c>
      <c r="D358" s="7" t="str">
        <f aca="false">IFERROR(INDEX('Output Utente'!$C$2:$C$492,MATCH(355,'Output Utente'!$Q$2:$Q$492,0)),"")</f>
        <v>Kossounou</v>
      </c>
      <c r="E358" s="7" t="str">
        <f aca="false">IFERROR(INDEX('Input Giocatori 2026_27'!$D$3:$D$493,MATCH($B358,'Input Giocatori 2026_27'!$A$3:$A$493,0)),"")</f>
        <v>Atalanta</v>
      </c>
      <c r="F358" s="47" t="n">
        <f aca="false">IFERROR(INDEX('Output Utente'!$N$2:$N$492,MATCH(355,'Output Utente'!$Q$2:$Q$492,0)),"")</f>
        <v>3</v>
      </c>
      <c r="G358" s="47" t="n">
        <f aca="false">IFERROR(INDEX('Output Utente'!$O$2:$O$492,MATCH(355,'Output Utente'!$Q$2:$Q$492,0)),"")</f>
        <v>7</v>
      </c>
      <c r="H358" s="7" t="str">
        <f aca="false">IFERROR(INDEX('Output Utente'!$P$2:$P$492,MATCH(355,'Output Utente'!$Q$2:$Q$492,0)),"")</f>
        <v>Scommessa/Riserva</v>
      </c>
      <c r="I358" s="47" t="n">
        <f aca="false">IFERROR(INDEX('Output Utente'!$F$2:$F$492,MATCH(355,'Output Utente'!$Q$2:$Q$492,0)),"")</f>
        <v>1</v>
      </c>
      <c r="J358" s="47" t="n">
        <f aca="false">IFERROR(INDEX('Output Utente'!$G$2:$G$492,MATCH(355,'Output Utente'!$Q$2:$Q$492,0)),"")</f>
        <v>1</v>
      </c>
      <c r="K358" s="47" t="n">
        <f aca="false">IFERROR(INDEX('Output Utente'!$H$2:$H$492,MATCH(355,'Output Utente'!$Q$2:$Q$492,0)),"")</f>
        <v>1</v>
      </c>
      <c r="L358" s="7" t="str">
        <f aca="false">IFERROR(INDEX('Output Utente'!$E$2:$E$492,MATCH(355,'Output Utente'!$Q$2:$Q$492,0)),"")</f>
        <v>NO</v>
      </c>
      <c r="M358" s="7" t="str">
        <f aca="false">IFERROR(INDEX('Output Utente'!$U$2:$U$492,MATCH(355,'Output Utente'!$Q$2:$Q$492,0)),"")</f>
        <v>OK</v>
      </c>
      <c r="N358" s="7" t="str">
        <f aca="false">IFERROR(INDEX('Output Utente'!$AE$2:$AE$492,MATCH(355,'Output Utente'!$Q$2:$Q$492,0)),"")</f>
        <v>🟡 Attesa rischiosa</v>
      </c>
    </row>
    <row r="359" customFormat="false" ht="15" hidden="false" customHeight="true" outlineLevel="0" collapsed="false">
      <c r="A359" s="46" t="n">
        <v>356</v>
      </c>
      <c r="B359" s="7" t="n">
        <f aca="false">IFERROR(INDEX('Output Utente'!$A$2:$A$492,MATCH(356,'Output Utente'!$Q$2:$Q$492,0)),"")</f>
        <v>7125</v>
      </c>
      <c r="C359" s="7" t="str">
        <f aca="false">IFERROR(INDEX('Output Utente'!$B$2:$B$492,MATCH(356,'Output Utente'!$Q$2:$Q$492,0)),"")</f>
        <v>D</v>
      </c>
      <c r="D359" s="7" t="str">
        <f aca="false">IFERROR(INDEX('Output Utente'!$C$2:$C$492,MATCH(356,'Output Utente'!$Q$2:$Q$492,0)),"")</f>
        <v>Idrissi R.</v>
      </c>
      <c r="E359" s="7" t="str">
        <f aca="false">IFERROR(INDEX('Input Giocatori 2026_27'!$D$3:$D$493,MATCH($B359,'Input Giocatori 2026_27'!$A$3:$A$493,0)),"")</f>
        <v>Cagliari</v>
      </c>
      <c r="F359" s="47" t="n">
        <f aca="false">IFERROR(INDEX('Output Utente'!$N$2:$N$492,MATCH(356,'Output Utente'!$Q$2:$Q$492,0)),"")</f>
        <v>3</v>
      </c>
      <c r="G359" s="47" t="n">
        <f aca="false">IFERROR(INDEX('Output Utente'!$O$2:$O$492,MATCH(356,'Output Utente'!$Q$2:$Q$492,0)),"")</f>
        <v>7</v>
      </c>
      <c r="H359" s="7" t="str">
        <f aca="false">IFERROR(INDEX('Output Utente'!$P$2:$P$492,MATCH(356,'Output Utente'!$Q$2:$Q$492,0)),"")</f>
        <v>Scommessa/Riserva</v>
      </c>
      <c r="I359" s="47" t="n">
        <f aca="false">IFERROR(INDEX('Output Utente'!$F$2:$F$492,MATCH(356,'Output Utente'!$Q$2:$Q$492,0)),"")</f>
        <v>1</v>
      </c>
      <c r="J359" s="47" t="n">
        <f aca="false">IFERROR(INDEX('Output Utente'!$G$2:$G$492,MATCH(356,'Output Utente'!$Q$2:$Q$492,0)),"")</f>
        <v>1</v>
      </c>
      <c r="K359" s="47" t="n">
        <f aca="false">IFERROR(INDEX('Output Utente'!$H$2:$H$492,MATCH(356,'Output Utente'!$Q$2:$Q$492,0)),"")</f>
        <v>1</v>
      </c>
      <c r="L359" s="7" t="str">
        <f aca="false">IFERROR(INDEX('Output Utente'!$E$2:$E$492,MATCH(356,'Output Utente'!$Q$2:$Q$492,0)),"")</f>
        <v>NO</v>
      </c>
      <c r="M359" s="7" t="str">
        <f aca="false">IFERROR(INDEX('Output Utente'!$U$2:$U$492,MATCH(356,'Output Utente'!$Q$2:$Q$492,0)),"")</f>
        <v>OK</v>
      </c>
      <c r="N359" s="7" t="str">
        <f aca="false">IFERROR(INDEX('Output Utente'!$AE$2:$AE$492,MATCH(356,'Output Utente'!$Q$2:$Q$492,0)),"")</f>
        <v>🟡 Attesa rischiosa</v>
      </c>
    </row>
    <row r="360" customFormat="false" ht="15" hidden="false" customHeight="true" outlineLevel="0" collapsed="false">
      <c r="A360" s="46" t="n">
        <v>357</v>
      </c>
      <c r="B360" s="7" t="n">
        <f aca="false">IFERROR(INDEX('Output Utente'!$A$2:$A$492,MATCH(357,'Output Utente'!$Q$2:$Q$492,0)),"")</f>
        <v>4378</v>
      </c>
      <c r="C360" s="7" t="str">
        <f aca="false">IFERROR(INDEX('Output Utente'!$B$2:$B$492,MATCH(357,'Output Utente'!$Q$2:$Q$492,0)),"")</f>
        <v>D</v>
      </c>
      <c r="D360" s="7" t="str">
        <f aca="false">IFERROR(INDEX('Output Utente'!$C$2:$C$492,MATCH(357,'Output Utente'!$Q$2:$Q$492,0)),"")</f>
        <v>Ranieri L.</v>
      </c>
      <c r="E360" s="7" t="str">
        <f aca="false">IFERROR(INDEX('Input Giocatori 2026_27'!$D$3:$D$493,MATCH($B360,'Input Giocatori 2026_27'!$A$3:$A$493,0)),"")</f>
        <v>Fiorentina</v>
      </c>
      <c r="F360" s="47" t="n">
        <f aca="false">IFERROR(INDEX('Output Utente'!$N$2:$N$492,MATCH(357,'Output Utente'!$Q$2:$Q$492,0)),"")</f>
        <v>3</v>
      </c>
      <c r="G360" s="47" t="n">
        <f aca="false">IFERROR(INDEX('Output Utente'!$O$2:$O$492,MATCH(357,'Output Utente'!$Q$2:$Q$492,0)),"")</f>
        <v>7</v>
      </c>
      <c r="H360" s="7" t="str">
        <f aca="false">IFERROR(INDEX('Output Utente'!$P$2:$P$492,MATCH(357,'Output Utente'!$Q$2:$Q$492,0)),"")</f>
        <v>Scommessa/Riserva</v>
      </c>
      <c r="I360" s="47" t="n">
        <f aca="false">IFERROR(INDEX('Output Utente'!$F$2:$F$492,MATCH(357,'Output Utente'!$Q$2:$Q$492,0)),"")</f>
        <v>1</v>
      </c>
      <c r="J360" s="47" t="n">
        <f aca="false">IFERROR(INDEX('Output Utente'!$G$2:$G$492,MATCH(357,'Output Utente'!$Q$2:$Q$492,0)),"")</f>
        <v>1</v>
      </c>
      <c r="K360" s="47" t="n">
        <f aca="false">IFERROR(INDEX('Output Utente'!$H$2:$H$492,MATCH(357,'Output Utente'!$Q$2:$Q$492,0)),"")</f>
        <v>1</v>
      </c>
      <c r="L360" s="7" t="str">
        <f aca="false">IFERROR(INDEX('Output Utente'!$E$2:$E$492,MATCH(357,'Output Utente'!$Q$2:$Q$492,0)),"")</f>
        <v>NO</v>
      </c>
      <c r="M360" s="7" t="str">
        <f aca="false">IFERROR(INDEX('Output Utente'!$U$2:$U$492,MATCH(357,'Output Utente'!$Q$2:$Q$492,0)),"")</f>
        <v>OK</v>
      </c>
      <c r="N360" s="7" t="str">
        <f aca="false">IFERROR(INDEX('Output Utente'!$AE$2:$AE$492,MATCH(357,'Output Utente'!$Q$2:$Q$492,0)),"")</f>
        <v>🟡 Attesa rischiosa</v>
      </c>
    </row>
    <row r="361" customFormat="false" ht="15" hidden="false" customHeight="true" outlineLevel="0" collapsed="false">
      <c r="A361" s="46" t="n">
        <v>358</v>
      </c>
      <c r="B361" s="7" t="n">
        <f aca="false">IFERROR(INDEX('Output Utente'!$A$2:$A$492,MATCH(358,'Output Utente'!$Q$2:$Q$492,0)),"")</f>
        <v>7175</v>
      </c>
      <c r="C361" s="7" t="str">
        <f aca="false">IFERROR(INDEX('Output Utente'!$B$2:$B$492,MATCH(358,'Output Utente'!$Q$2:$Q$492,0)),"")</f>
        <v>D</v>
      </c>
      <c r="D361" s="7" t="str">
        <f aca="false">IFERROR(INDEX('Output Utente'!$C$2:$C$492,MATCH(358,'Output Utente'!$Q$2:$Q$492,0)),"")</f>
        <v>Joao Mario</v>
      </c>
      <c r="E361" s="7" t="str">
        <f aca="false">IFERROR(INDEX('Input Giocatori 2026_27'!$D$3:$D$493,MATCH($B361,'Input Giocatori 2026_27'!$A$3:$A$493,0)),"")</f>
        <v>Fiorentina</v>
      </c>
      <c r="F361" s="47" t="n">
        <f aca="false">IFERROR(INDEX('Output Utente'!$N$2:$N$492,MATCH(358,'Output Utente'!$Q$2:$Q$492,0)),"")</f>
        <v>3</v>
      </c>
      <c r="G361" s="47" t="n">
        <f aca="false">IFERROR(INDEX('Output Utente'!$O$2:$O$492,MATCH(358,'Output Utente'!$Q$2:$Q$492,0)),"")</f>
        <v>7</v>
      </c>
      <c r="H361" s="7" t="str">
        <f aca="false">IFERROR(INDEX('Output Utente'!$P$2:$P$492,MATCH(358,'Output Utente'!$Q$2:$Q$492,0)),"")</f>
        <v>Scommessa/Riserva</v>
      </c>
      <c r="I361" s="47" t="n">
        <f aca="false">IFERROR(INDEX('Output Utente'!$F$2:$F$492,MATCH(358,'Output Utente'!$Q$2:$Q$492,0)),"")</f>
        <v>1</v>
      </c>
      <c r="J361" s="47" t="n">
        <f aca="false">IFERROR(INDEX('Output Utente'!$G$2:$G$492,MATCH(358,'Output Utente'!$Q$2:$Q$492,0)),"")</f>
        <v>1</v>
      </c>
      <c r="K361" s="47" t="n">
        <f aca="false">IFERROR(INDEX('Output Utente'!$H$2:$H$492,MATCH(358,'Output Utente'!$Q$2:$Q$492,0)),"")</f>
        <v>1</v>
      </c>
      <c r="L361" s="7" t="str">
        <f aca="false">IFERROR(INDEX('Output Utente'!$E$2:$E$492,MATCH(358,'Output Utente'!$Q$2:$Q$492,0)),"")</f>
        <v>NO</v>
      </c>
      <c r="M361" s="7" t="str">
        <f aca="false">IFERROR(INDEX('Output Utente'!$U$2:$U$492,MATCH(358,'Output Utente'!$Q$2:$Q$492,0)),"")</f>
        <v>OK</v>
      </c>
      <c r="N361" s="7" t="str">
        <f aca="false">IFERROR(INDEX('Output Utente'!$AE$2:$AE$492,MATCH(358,'Output Utente'!$Q$2:$Q$492,0)),"")</f>
        <v>🟡 Attesa rischiosa</v>
      </c>
    </row>
    <row r="362" customFormat="false" ht="15" hidden="false" customHeight="true" outlineLevel="0" collapsed="false">
      <c r="A362" s="46" t="n">
        <v>359</v>
      </c>
      <c r="B362" s="7" t="n">
        <f aca="false">IFERROR(INDEX('Output Utente'!$A$2:$A$492,MATCH(359,'Output Utente'!$Q$2:$Q$492,0)),"")</f>
        <v>7540</v>
      </c>
      <c r="C362" s="7" t="str">
        <f aca="false">IFERROR(INDEX('Output Utente'!$B$2:$B$492,MATCH(359,'Output Utente'!$Q$2:$Q$492,0)),"")</f>
        <v>D</v>
      </c>
      <c r="D362" s="7" t="str">
        <f aca="false">IFERROR(INDEX('Output Utente'!$C$2:$C$492,MATCH(359,'Output Utente'!$Q$2:$Q$492,0)),"")</f>
        <v>Akpoguma</v>
      </c>
      <c r="E362" s="7" t="str">
        <f aca="false">IFERROR(INDEX('Input Giocatori 2026_27'!$D$3:$D$493,MATCH($B362,'Input Giocatori 2026_27'!$A$3:$A$493,0)),"")</f>
        <v>Frosinone</v>
      </c>
      <c r="F362" s="47" t="n">
        <f aca="false">IFERROR(INDEX('Output Utente'!$N$2:$N$492,MATCH(359,'Output Utente'!$Q$2:$Q$492,0)),"")</f>
        <v>3</v>
      </c>
      <c r="G362" s="47" t="n">
        <f aca="false">IFERROR(INDEX('Output Utente'!$O$2:$O$492,MATCH(359,'Output Utente'!$Q$2:$Q$492,0)),"")</f>
        <v>7</v>
      </c>
      <c r="H362" s="7" t="str">
        <f aca="false">IFERROR(INDEX('Output Utente'!$P$2:$P$492,MATCH(359,'Output Utente'!$Q$2:$Q$492,0)),"")</f>
        <v>Scommessa/Riserva</v>
      </c>
      <c r="I362" s="47" t="n">
        <f aca="false">IFERROR(INDEX('Output Utente'!$F$2:$F$492,MATCH(359,'Output Utente'!$Q$2:$Q$492,0)),"")</f>
        <v>1</v>
      </c>
      <c r="J362" s="47" t="n">
        <f aca="false">IFERROR(INDEX('Output Utente'!$G$2:$G$492,MATCH(359,'Output Utente'!$Q$2:$Q$492,0)),"")</f>
        <v>1</v>
      </c>
      <c r="K362" s="47" t="n">
        <f aca="false">IFERROR(INDEX('Output Utente'!$H$2:$H$492,MATCH(359,'Output Utente'!$Q$2:$Q$492,0)),"")</f>
        <v>1</v>
      </c>
      <c r="L362" s="7" t="str">
        <f aca="false">IFERROR(INDEX('Output Utente'!$E$2:$E$492,MATCH(359,'Output Utente'!$Q$2:$Q$492,0)),"")</f>
        <v>NO</v>
      </c>
      <c r="M362" s="7" t="str">
        <f aca="false">IFERROR(INDEX('Output Utente'!$U$2:$U$492,MATCH(359,'Output Utente'!$Q$2:$Q$492,0)),"")</f>
        <v>OK</v>
      </c>
      <c r="N362" s="7" t="str">
        <f aca="false">IFERROR(INDEX('Output Utente'!$AE$2:$AE$492,MATCH(359,'Output Utente'!$Q$2:$Q$492,0)),"")</f>
        <v>🟡 Attesa rischiosa</v>
      </c>
    </row>
    <row r="363" customFormat="false" ht="15" hidden="false" customHeight="true" outlineLevel="0" collapsed="false">
      <c r="A363" s="46" t="n">
        <v>360</v>
      </c>
      <c r="B363" s="7" t="n">
        <f aca="false">IFERROR(INDEX('Output Utente'!$A$2:$A$492,MATCH(360,'Output Utente'!$Q$2:$Q$492,0)),"")</f>
        <v>6892</v>
      </c>
      <c r="C363" s="7" t="str">
        <f aca="false">IFERROR(INDEX('Output Utente'!$B$2:$B$492,MATCH(360,'Output Utente'!$Q$2:$Q$492,0)),"")</f>
        <v>D</v>
      </c>
      <c r="D363" s="7" t="str">
        <f aca="false">IFERROR(INDEX('Output Utente'!$C$2:$C$492,MATCH(360,'Output Utente'!$Q$2:$Q$492,0)),"")</f>
        <v>Schingtienne</v>
      </c>
      <c r="E363" s="7" t="str">
        <f aca="false">IFERROR(INDEX('Input Giocatori 2026_27'!$D$3:$D$493,MATCH($B363,'Input Giocatori 2026_27'!$A$3:$A$493,0)),"")</f>
        <v>Venezia</v>
      </c>
      <c r="F363" s="47" t="n">
        <f aca="false">IFERROR(INDEX('Output Utente'!$N$2:$N$492,MATCH(360,'Output Utente'!$Q$2:$Q$492,0)),"")</f>
        <v>3</v>
      </c>
      <c r="G363" s="47" t="n">
        <f aca="false">IFERROR(INDEX('Output Utente'!$O$2:$O$492,MATCH(360,'Output Utente'!$Q$2:$Q$492,0)),"")</f>
        <v>7</v>
      </c>
      <c r="H363" s="7" t="str">
        <f aca="false">IFERROR(INDEX('Output Utente'!$P$2:$P$492,MATCH(360,'Output Utente'!$Q$2:$Q$492,0)),"")</f>
        <v>Scommessa/Riserva</v>
      </c>
      <c r="I363" s="47" t="n">
        <f aca="false">IFERROR(INDEX('Output Utente'!$F$2:$F$492,MATCH(360,'Output Utente'!$Q$2:$Q$492,0)),"")</f>
        <v>1</v>
      </c>
      <c r="J363" s="47" t="n">
        <f aca="false">IFERROR(INDEX('Output Utente'!$G$2:$G$492,MATCH(360,'Output Utente'!$Q$2:$Q$492,0)),"")</f>
        <v>1</v>
      </c>
      <c r="K363" s="47" t="n">
        <f aca="false">IFERROR(INDEX('Output Utente'!$H$2:$H$492,MATCH(360,'Output Utente'!$Q$2:$Q$492,0)),"")</f>
        <v>1</v>
      </c>
      <c r="L363" s="7" t="str">
        <f aca="false">IFERROR(INDEX('Output Utente'!$E$2:$E$492,MATCH(360,'Output Utente'!$Q$2:$Q$492,0)),"")</f>
        <v>NO</v>
      </c>
      <c r="M363" s="7" t="str">
        <f aca="false">IFERROR(INDEX('Output Utente'!$U$2:$U$492,MATCH(360,'Output Utente'!$Q$2:$Q$492,0)),"")</f>
        <v>OK</v>
      </c>
      <c r="N363" s="7" t="str">
        <f aca="false">IFERROR(INDEX('Output Utente'!$AE$2:$AE$492,MATCH(360,'Output Utente'!$Q$2:$Q$492,0)),"")</f>
        <v>🟡 Attesa rischiosa</v>
      </c>
    </row>
    <row r="364" customFormat="false" ht="15" hidden="false" customHeight="true" outlineLevel="0" collapsed="false">
      <c r="A364" s="46" t="n">
        <v>361</v>
      </c>
      <c r="B364" s="7" t="n">
        <f aca="false">IFERROR(INDEX('Output Utente'!$A$2:$A$492,MATCH(361,'Output Utente'!$Q$2:$Q$492,0)),"")</f>
        <v>6673</v>
      </c>
      <c r="C364" s="7" t="str">
        <f aca="false">IFERROR(INDEX('Output Utente'!$B$2:$B$492,MATCH(361,'Output Utente'!$Q$2:$Q$492,0)),"")</f>
        <v>D</v>
      </c>
      <c r="D364" s="7" t="str">
        <f aca="false">IFERROR(INDEX('Output Utente'!$C$2:$C$492,MATCH(361,'Output Utente'!$Q$2:$Q$492,0)),"")</f>
        <v>Sverko</v>
      </c>
      <c r="E364" s="7" t="str">
        <f aca="false">IFERROR(INDEX('Input Giocatori 2026_27'!$D$3:$D$493,MATCH($B364,'Input Giocatori 2026_27'!$A$3:$A$493,0)),"")</f>
        <v>Venezia</v>
      </c>
      <c r="F364" s="47" t="n">
        <f aca="false">IFERROR(INDEX('Output Utente'!$N$2:$N$492,MATCH(361,'Output Utente'!$Q$2:$Q$492,0)),"")</f>
        <v>3</v>
      </c>
      <c r="G364" s="47" t="n">
        <f aca="false">IFERROR(INDEX('Output Utente'!$O$2:$O$492,MATCH(361,'Output Utente'!$Q$2:$Q$492,0)),"")</f>
        <v>7</v>
      </c>
      <c r="H364" s="7" t="str">
        <f aca="false">IFERROR(INDEX('Output Utente'!$P$2:$P$492,MATCH(361,'Output Utente'!$Q$2:$Q$492,0)),"")</f>
        <v>Scommessa/Riserva</v>
      </c>
      <c r="I364" s="47" t="n">
        <f aca="false">IFERROR(INDEX('Output Utente'!$F$2:$F$492,MATCH(361,'Output Utente'!$Q$2:$Q$492,0)),"")</f>
        <v>1</v>
      </c>
      <c r="J364" s="47" t="n">
        <f aca="false">IFERROR(INDEX('Output Utente'!$G$2:$G$492,MATCH(361,'Output Utente'!$Q$2:$Q$492,0)),"")</f>
        <v>1</v>
      </c>
      <c r="K364" s="47" t="n">
        <f aca="false">IFERROR(INDEX('Output Utente'!$H$2:$H$492,MATCH(361,'Output Utente'!$Q$2:$Q$492,0)),"")</f>
        <v>1</v>
      </c>
      <c r="L364" s="7" t="str">
        <f aca="false">IFERROR(INDEX('Output Utente'!$E$2:$E$492,MATCH(361,'Output Utente'!$Q$2:$Q$492,0)),"")</f>
        <v>NO</v>
      </c>
      <c r="M364" s="7" t="str">
        <f aca="false">IFERROR(INDEX('Output Utente'!$U$2:$U$492,MATCH(361,'Output Utente'!$Q$2:$Q$492,0)),"")</f>
        <v>OK</v>
      </c>
      <c r="N364" s="7" t="str">
        <f aca="false">IFERROR(INDEX('Output Utente'!$AE$2:$AE$492,MATCH(361,'Output Utente'!$Q$2:$Q$492,0)),"")</f>
        <v>🟡 Attesa rischiosa</v>
      </c>
    </row>
    <row r="365" customFormat="false" ht="15" hidden="false" customHeight="true" outlineLevel="0" collapsed="false">
      <c r="A365" s="46" t="n">
        <v>362</v>
      </c>
      <c r="B365" s="7" t="n">
        <f aca="false">IFERROR(INDEX('Output Utente'!$A$2:$A$492,MATCH(362,'Output Utente'!$Q$2:$Q$492,0)),"")</f>
        <v>6821</v>
      </c>
      <c r="C365" s="7" t="str">
        <f aca="false">IFERROR(INDEX('Output Utente'!$B$2:$B$492,MATCH(362,'Output Utente'!$Q$2:$Q$492,0)),"")</f>
        <v>D</v>
      </c>
      <c r="D365" s="7" t="str">
        <f aca="false">IFERROR(INDEX('Output Utente'!$C$2:$C$492,MATCH(362,'Output Utente'!$Q$2:$Q$492,0)),"")</f>
        <v>Hainaut</v>
      </c>
      <c r="E365" s="7" t="str">
        <f aca="false">IFERROR(INDEX('Input Giocatori 2026_27'!$D$3:$D$493,MATCH($B365,'Input Giocatori 2026_27'!$A$3:$A$493,0)),"")</f>
        <v>Venezia</v>
      </c>
      <c r="F365" s="47" t="n">
        <f aca="false">IFERROR(INDEX('Output Utente'!$N$2:$N$492,MATCH(362,'Output Utente'!$Q$2:$Q$492,0)),"")</f>
        <v>3</v>
      </c>
      <c r="G365" s="47" t="n">
        <f aca="false">IFERROR(INDEX('Output Utente'!$O$2:$O$492,MATCH(362,'Output Utente'!$Q$2:$Q$492,0)),"")</f>
        <v>7</v>
      </c>
      <c r="H365" s="7" t="str">
        <f aca="false">IFERROR(INDEX('Output Utente'!$P$2:$P$492,MATCH(362,'Output Utente'!$Q$2:$Q$492,0)),"")</f>
        <v>Scommessa/Riserva</v>
      </c>
      <c r="I365" s="47" t="n">
        <f aca="false">IFERROR(INDEX('Output Utente'!$F$2:$F$492,MATCH(362,'Output Utente'!$Q$2:$Q$492,0)),"")</f>
        <v>1</v>
      </c>
      <c r="J365" s="47" t="n">
        <f aca="false">IFERROR(INDEX('Output Utente'!$G$2:$G$492,MATCH(362,'Output Utente'!$Q$2:$Q$492,0)),"")</f>
        <v>1</v>
      </c>
      <c r="K365" s="47" t="n">
        <f aca="false">IFERROR(INDEX('Output Utente'!$H$2:$H$492,MATCH(362,'Output Utente'!$Q$2:$Q$492,0)),"")</f>
        <v>1</v>
      </c>
      <c r="L365" s="7" t="str">
        <f aca="false">IFERROR(INDEX('Output Utente'!$E$2:$E$492,MATCH(362,'Output Utente'!$Q$2:$Q$492,0)),"")</f>
        <v>NO</v>
      </c>
      <c r="M365" s="7" t="str">
        <f aca="false">IFERROR(INDEX('Output Utente'!$U$2:$U$492,MATCH(362,'Output Utente'!$Q$2:$Q$492,0)),"")</f>
        <v>OK</v>
      </c>
      <c r="N365" s="7" t="str">
        <f aca="false">IFERROR(INDEX('Output Utente'!$AE$2:$AE$492,MATCH(362,'Output Utente'!$Q$2:$Q$492,0)),"")</f>
        <v>🟡 Attesa rischiosa</v>
      </c>
    </row>
    <row r="366" customFormat="false" ht="15" hidden="false" customHeight="true" outlineLevel="0" collapsed="false">
      <c r="A366" s="46" t="n">
        <v>363</v>
      </c>
      <c r="B366" s="7" t="n">
        <f aca="false">IFERROR(INDEX('Output Utente'!$A$2:$A$492,MATCH(363,'Output Utente'!$Q$2:$Q$492,0)),"")</f>
        <v>7413</v>
      </c>
      <c r="C366" s="7" t="str">
        <f aca="false">IFERROR(INDEX('Output Utente'!$B$2:$B$492,MATCH(363,'Output Utente'!$Q$2:$Q$492,0)),"")</f>
        <v>D</v>
      </c>
      <c r="D366" s="7" t="str">
        <f aca="false">IFERROR(INDEX('Output Utente'!$C$2:$C$492,MATCH(363,'Output Utente'!$Q$2:$Q$492,0)),"")</f>
        <v>Puczka</v>
      </c>
      <c r="E366" s="7" t="str">
        <f aca="false">IFERROR(INDEX('Input Giocatori 2026_27'!$D$3:$D$493,MATCH($B366,'Input Giocatori 2026_27'!$A$3:$A$493,0)),"")</f>
        <v>Genoa</v>
      </c>
      <c r="F366" s="47" t="n">
        <f aca="false">IFERROR(INDEX('Output Utente'!$N$2:$N$492,MATCH(363,'Output Utente'!$Q$2:$Q$492,0)),"")</f>
        <v>2</v>
      </c>
      <c r="G366" s="47" t="n">
        <f aca="false">IFERROR(INDEX('Output Utente'!$O$2:$O$492,MATCH(363,'Output Utente'!$Q$2:$Q$492,0)),"")</f>
        <v>7</v>
      </c>
      <c r="H366" s="7" t="str">
        <f aca="false">IFERROR(INDEX('Output Utente'!$P$2:$P$492,MATCH(363,'Output Utente'!$Q$2:$Q$492,0)),"")</f>
        <v>Scommessa/Riserva</v>
      </c>
      <c r="I366" s="47" t="n">
        <f aca="false">IFERROR(INDEX('Output Utente'!$F$2:$F$492,MATCH(363,'Output Utente'!$Q$2:$Q$492,0)),"")</f>
        <v>1</v>
      </c>
      <c r="J366" s="47" t="n">
        <f aca="false">IFERROR(INDEX('Output Utente'!$G$2:$G$492,MATCH(363,'Output Utente'!$Q$2:$Q$492,0)),"")</f>
        <v>1</v>
      </c>
      <c r="K366" s="47" t="n">
        <f aca="false">IFERROR(INDEX('Output Utente'!$H$2:$H$492,MATCH(363,'Output Utente'!$Q$2:$Q$492,0)),"")</f>
        <v>1</v>
      </c>
      <c r="L366" s="7" t="str">
        <f aca="false">IFERROR(INDEX('Output Utente'!$E$2:$E$492,MATCH(363,'Output Utente'!$Q$2:$Q$492,0)),"")</f>
        <v>NO</v>
      </c>
      <c r="M366" s="7" t="str">
        <f aca="false">IFERROR(INDEX('Output Utente'!$U$2:$U$492,MATCH(363,'Output Utente'!$Q$2:$Q$492,0)),"")</f>
        <v>OK</v>
      </c>
      <c r="N366" s="7" t="str">
        <f aca="false">IFERROR(INDEX('Output Utente'!$AE$2:$AE$492,MATCH(363,'Output Utente'!$Q$2:$Q$492,0)),"")</f>
        <v>🟡 Attesa rischiosa</v>
      </c>
    </row>
    <row r="367" customFormat="false" ht="15" hidden="false" customHeight="true" outlineLevel="0" collapsed="false">
      <c r="A367" s="46" t="n">
        <v>364</v>
      </c>
      <c r="B367" s="7" t="n">
        <f aca="false">IFERROR(INDEX('Output Utente'!$A$2:$A$492,MATCH(364,'Output Utente'!$Q$2:$Q$492,0)),"")</f>
        <v>6424</v>
      </c>
      <c r="C367" s="7" t="str">
        <f aca="false">IFERROR(INDEX('Output Utente'!$B$2:$B$492,MATCH(364,'Output Utente'!$Q$2:$Q$492,0)),"")</f>
        <v>C</v>
      </c>
      <c r="D367" s="7" t="str">
        <f aca="false">IFERROR(INDEX('Output Utente'!$C$2:$C$492,MATCH(364,'Output Utente'!$Q$2:$Q$492,0)),"")</f>
        <v>Prati</v>
      </c>
      <c r="E367" s="7" t="str">
        <f aca="false">IFERROR(INDEX('Input Giocatori 2026_27'!$D$3:$D$493,MATCH($B367,'Input Giocatori 2026_27'!$A$3:$A$493,0)),"")</f>
        <v>Cagliari</v>
      </c>
      <c r="F367" s="47" t="n">
        <f aca="false">IFERROR(INDEX('Output Utente'!$N$2:$N$492,MATCH(364,'Output Utente'!$Q$2:$Q$492,0)),"")</f>
        <v>4</v>
      </c>
      <c r="G367" s="47" t="n">
        <f aca="false">IFERROR(INDEX('Output Utente'!$O$2:$O$492,MATCH(364,'Output Utente'!$Q$2:$Q$492,0)),"")</f>
        <v>7</v>
      </c>
      <c r="H367" s="7" t="str">
        <f aca="false">IFERROR(INDEX('Output Utente'!$P$2:$P$492,MATCH(364,'Output Utente'!$Q$2:$Q$492,0)),"")</f>
        <v>Scommessa/Riserva</v>
      </c>
      <c r="I367" s="47" t="n">
        <f aca="false">IFERROR(INDEX('Output Utente'!$F$2:$F$492,MATCH(364,'Output Utente'!$Q$2:$Q$492,0)),"")</f>
        <v>1</v>
      </c>
      <c r="J367" s="47" t="n">
        <f aca="false">IFERROR(INDEX('Output Utente'!$G$2:$G$492,MATCH(364,'Output Utente'!$Q$2:$Q$492,0)),"")</f>
        <v>1</v>
      </c>
      <c r="K367" s="47" t="n">
        <f aca="false">IFERROR(INDEX('Output Utente'!$H$2:$H$492,MATCH(364,'Output Utente'!$Q$2:$Q$492,0)),"")</f>
        <v>1</v>
      </c>
      <c r="L367" s="7" t="str">
        <f aca="false">IFERROR(INDEX('Output Utente'!$E$2:$E$492,MATCH(364,'Output Utente'!$Q$2:$Q$492,0)),"")</f>
        <v>NO</v>
      </c>
      <c r="M367" s="7" t="str">
        <f aca="false">IFERROR(INDEX('Output Utente'!$U$2:$U$492,MATCH(364,'Output Utente'!$Q$2:$Q$492,0)),"")</f>
        <v>OK</v>
      </c>
      <c r="N367" s="7" t="str">
        <f aca="false">IFERROR(INDEX('Output Utente'!$AE$2:$AE$492,MATCH(364,'Output Utente'!$Q$2:$Q$492,0)),"")</f>
        <v>🟡 Attesa rischiosa</v>
      </c>
    </row>
    <row r="368" customFormat="false" ht="15" hidden="false" customHeight="true" outlineLevel="0" collapsed="false">
      <c r="A368" s="46" t="n">
        <v>365</v>
      </c>
      <c r="B368" s="7" t="n">
        <f aca="false">IFERROR(INDEX('Output Utente'!$A$2:$A$492,MATCH(365,'Output Utente'!$Q$2:$Q$492,0)),"")</f>
        <v>6024</v>
      </c>
      <c r="C368" s="7" t="str">
        <f aca="false">IFERROR(INDEX('Output Utente'!$B$2:$B$492,MATCH(365,'Output Utente'!$Q$2:$Q$492,0)),"")</f>
        <v>C</v>
      </c>
      <c r="D368" s="7" t="str">
        <f aca="false">IFERROR(INDEX('Output Utente'!$C$2:$C$492,MATCH(365,'Output Utente'!$Q$2:$Q$492,0)),"")</f>
        <v>Sulemana I.</v>
      </c>
      <c r="E368" s="7" t="str">
        <f aca="false">IFERROR(INDEX('Input Giocatori 2026_27'!$D$3:$D$493,MATCH($B368,'Input Giocatori 2026_27'!$A$3:$A$493,0)),"")</f>
        <v>Atalanta</v>
      </c>
      <c r="F368" s="47" t="n">
        <f aca="false">IFERROR(INDEX('Output Utente'!$N$2:$N$492,MATCH(365,'Output Utente'!$Q$2:$Q$492,0)),"")</f>
        <v>3</v>
      </c>
      <c r="G368" s="47" t="n">
        <f aca="false">IFERROR(INDEX('Output Utente'!$O$2:$O$492,MATCH(365,'Output Utente'!$Q$2:$Q$492,0)),"")</f>
        <v>7</v>
      </c>
      <c r="H368" s="7" t="str">
        <f aca="false">IFERROR(INDEX('Output Utente'!$P$2:$P$492,MATCH(365,'Output Utente'!$Q$2:$Q$492,0)),"")</f>
        <v>Scommessa/Riserva</v>
      </c>
      <c r="I368" s="47" t="n">
        <f aca="false">IFERROR(INDEX('Output Utente'!$F$2:$F$492,MATCH(365,'Output Utente'!$Q$2:$Q$492,0)),"")</f>
        <v>1</v>
      </c>
      <c r="J368" s="47" t="n">
        <f aca="false">IFERROR(INDEX('Output Utente'!$G$2:$G$492,MATCH(365,'Output Utente'!$Q$2:$Q$492,0)),"")</f>
        <v>1</v>
      </c>
      <c r="K368" s="47" t="n">
        <f aca="false">IFERROR(INDEX('Output Utente'!$H$2:$H$492,MATCH(365,'Output Utente'!$Q$2:$Q$492,0)),"")</f>
        <v>1</v>
      </c>
      <c r="L368" s="7" t="str">
        <f aca="false">IFERROR(INDEX('Output Utente'!$E$2:$E$492,MATCH(365,'Output Utente'!$Q$2:$Q$492,0)),"")</f>
        <v>NO</v>
      </c>
      <c r="M368" s="7" t="str">
        <f aca="false">IFERROR(INDEX('Output Utente'!$U$2:$U$492,MATCH(365,'Output Utente'!$Q$2:$Q$492,0)),"")</f>
        <v>OK</v>
      </c>
      <c r="N368" s="7" t="str">
        <f aca="false">IFERROR(INDEX('Output Utente'!$AE$2:$AE$492,MATCH(365,'Output Utente'!$Q$2:$Q$492,0)),"")</f>
        <v>🟡 Attesa rischiosa</v>
      </c>
    </row>
    <row r="369" customFormat="false" ht="15" hidden="false" customHeight="true" outlineLevel="0" collapsed="false">
      <c r="A369" s="46" t="n">
        <v>366</v>
      </c>
      <c r="B369" s="7" t="n">
        <f aca="false">IFERROR(INDEX('Output Utente'!$A$2:$A$492,MATCH(366,'Output Utente'!$Q$2:$Q$492,0)),"")</f>
        <v>4947</v>
      </c>
      <c r="C369" s="7" t="str">
        <f aca="false">IFERROR(INDEX('Output Utente'!$B$2:$B$492,MATCH(366,'Output Utente'!$Q$2:$Q$492,0)),"")</f>
        <v>C</v>
      </c>
      <c r="D369" s="7" t="str">
        <f aca="false">IFERROR(INDEX('Output Utente'!$C$2:$C$492,MATCH(366,'Output Utente'!$Q$2:$Q$492,0)),"")</f>
        <v>Brescianini</v>
      </c>
      <c r="E369" s="7" t="str">
        <f aca="false">IFERROR(INDEX('Input Giocatori 2026_27'!$D$3:$D$493,MATCH($B369,'Input Giocatori 2026_27'!$A$3:$A$493,0)),"")</f>
        <v>Fiorentina</v>
      </c>
      <c r="F369" s="47" t="n">
        <f aca="false">IFERROR(INDEX('Output Utente'!$N$2:$N$492,MATCH(366,'Output Utente'!$Q$2:$Q$492,0)),"")</f>
        <v>3</v>
      </c>
      <c r="G369" s="47" t="n">
        <f aca="false">IFERROR(INDEX('Output Utente'!$O$2:$O$492,MATCH(366,'Output Utente'!$Q$2:$Q$492,0)),"")</f>
        <v>7</v>
      </c>
      <c r="H369" s="7" t="str">
        <f aca="false">IFERROR(INDEX('Output Utente'!$P$2:$P$492,MATCH(366,'Output Utente'!$Q$2:$Q$492,0)),"")</f>
        <v>Scommessa/Riserva</v>
      </c>
      <c r="I369" s="47" t="n">
        <f aca="false">IFERROR(INDEX('Output Utente'!$F$2:$F$492,MATCH(366,'Output Utente'!$Q$2:$Q$492,0)),"")</f>
        <v>1</v>
      </c>
      <c r="J369" s="47" t="n">
        <f aca="false">IFERROR(INDEX('Output Utente'!$G$2:$G$492,MATCH(366,'Output Utente'!$Q$2:$Q$492,0)),"")</f>
        <v>1</v>
      </c>
      <c r="K369" s="47" t="n">
        <f aca="false">IFERROR(INDEX('Output Utente'!$H$2:$H$492,MATCH(366,'Output Utente'!$Q$2:$Q$492,0)),"")</f>
        <v>1</v>
      </c>
      <c r="L369" s="7" t="str">
        <f aca="false">IFERROR(INDEX('Output Utente'!$E$2:$E$492,MATCH(366,'Output Utente'!$Q$2:$Q$492,0)),"")</f>
        <v>NO</v>
      </c>
      <c r="M369" s="7" t="str">
        <f aca="false">IFERROR(INDEX('Output Utente'!$U$2:$U$492,MATCH(366,'Output Utente'!$Q$2:$Q$492,0)),"")</f>
        <v>OK</v>
      </c>
      <c r="N369" s="7" t="str">
        <f aca="false">IFERROR(INDEX('Output Utente'!$AE$2:$AE$492,MATCH(366,'Output Utente'!$Q$2:$Q$492,0)),"")</f>
        <v>🟡 Attesa rischiosa</v>
      </c>
    </row>
    <row r="370" customFormat="false" ht="15" hidden="false" customHeight="true" outlineLevel="0" collapsed="false">
      <c r="A370" s="46" t="n">
        <v>367</v>
      </c>
      <c r="B370" s="7" t="n">
        <f aca="false">IFERROR(INDEX('Output Utente'!$A$2:$A$492,MATCH(367,'Output Utente'!$Q$2:$Q$492,0)),"")</f>
        <v>7477</v>
      </c>
      <c r="C370" s="7" t="str">
        <f aca="false">IFERROR(INDEX('Output Utente'!$B$2:$B$492,MATCH(367,'Output Utente'!$Q$2:$Q$492,0)),"")</f>
        <v>C</v>
      </c>
      <c r="D370" s="7" t="str">
        <f aca="false">IFERROR(INDEX('Output Utente'!$C$2:$C$492,MATCH(367,'Output Utente'!$Q$2:$Q$492,0)),"")</f>
        <v>Colombo L.</v>
      </c>
      <c r="E370" s="7" t="str">
        <f aca="false">IFERROR(INDEX('Input Giocatori 2026_27'!$D$3:$D$493,MATCH($B370,'Input Giocatori 2026_27'!$A$3:$A$493,0)),"")</f>
        <v>Monza</v>
      </c>
      <c r="F370" s="47" t="n">
        <f aca="false">IFERROR(INDEX('Output Utente'!$N$2:$N$492,MATCH(367,'Output Utente'!$Q$2:$Q$492,0)),"")</f>
        <v>3</v>
      </c>
      <c r="G370" s="47" t="n">
        <f aca="false">IFERROR(INDEX('Output Utente'!$O$2:$O$492,MATCH(367,'Output Utente'!$Q$2:$Q$492,0)),"")</f>
        <v>7</v>
      </c>
      <c r="H370" s="7" t="str">
        <f aca="false">IFERROR(INDEX('Output Utente'!$P$2:$P$492,MATCH(367,'Output Utente'!$Q$2:$Q$492,0)),"")</f>
        <v>Scommessa/Riserva</v>
      </c>
      <c r="I370" s="47" t="n">
        <f aca="false">IFERROR(INDEX('Output Utente'!$F$2:$F$492,MATCH(367,'Output Utente'!$Q$2:$Q$492,0)),"")</f>
        <v>1</v>
      </c>
      <c r="J370" s="47" t="n">
        <f aca="false">IFERROR(INDEX('Output Utente'!$G$2:$G$492,MATCH(367,'Output Utente'!$Q$2:$Q$492,0)),"")</f>
        <v>1</v>
      </c>
      <c r="K370" s="47" t="n">
        <f aca="false">IFERROR(INDEX('Output Utente'!$H$2:$H$492,MATCH(367,'Output Utente'!$Q$2:$Q$492,0)),"")</f>
        <v>1</v>
      </c>
      <c r="L370" s="7" t="str">
        <f aca="false">IFERROR(INDEX('Output Utente'!$E$2:$E$492,MATCH(367,'Output Utente'!$Q$2:$Q$492,0)),"")</f>
        <v>NO</v>
      </c>
      <c r="M370" s="7" t="str">
        <f aca="false">IFERROR(INDEX('Output Utente'!$U$2:$U$492,MATCH(367,'Output Utente'!$Q$2:$Q$492,0)),"")</f>
        <v>OK</v>
      </c>
      <c r="N370" s="7" t="str">
        <f aca="false">IFERROR(INDEX('Output Utente'!$AE$2:$AE$492,MATCH(367,'Output Utente'!$Q$2:$Q$492,0)),"")</f>
        <v>🟡 Attesa rischiosa</v>
      </c>
    </row>
    <row r="371" customFormat="false" ht="15" hidden="false" customHeight="true" outlineLevel="0" collapsed="false">
      <c r="A371" s="46" t="n">
        <v>368</v>
      </c>
      <c r="B371" s="7" t="n">
        <f aca="false">IFERROR(INDEX('Output Utente'!$A$2:$A$492,MATCH(368,'Output Utente'!$Q$2:$Q$492,0)),"")</f>
        <v>5872</v>
      </c>
      <c r="C371" s="7" t="str">
        <f aca="false">IFERROR(INDEX('Output Utente'!$B$2:$B$492,MATCH(368,'Output Utente'!$Q$2:$Q$492,0)),"")</f>
        <v>C</v>
      </c>
      <c r="D371" s="7" t="str">
        <f aca="false">IFERROR(INDEX('Output Utente'!$C$2:$C$492,MATCH(368,'Output Utente'!$Q$2:$Q$492,0)),"")</f>
        <v>Helgason</v>
      </c>
      <c r="E371" s="7" t="str">
        <f aca="false">IFERROR(INDEX('Input Giocatori 2026_27'!$D$3:$D$493,MATCH($B371,'Input Giocatori 2026_27'!$A$3:$A$493,0)),"")</f>
        <v>Venezia</v>
      </c>
      <c r="F371" s="47" t="n">
        <f aca="false">IFERROR(INDEX('Output Utente'!$N$2:$N$492,MATCH(368,'Output Utente'!$Q$2:$Q$492,0)),"")</f>
        <v>3</v>
      </c>
      <c r="G371" s="47" t="n">
        <f aca="false">IFERROR(INDEX('Output Utente'!$O$2:$O$492,MATCH(368,'Output Utente'!$Q$2:$Q$492,0)),"")</f>
        <v>7</v>
      </c>
      <c r="H371" s="7" t="str">
        <f aca="false">IFERROR(INDEX('Output Utente'!$P$2:$P$492,MATCH(368,'Output Utente'!$Q$2:$Q$492,0)),"")</f>
        <v>Scommessa/Riserva</v>
      </c>
      <c r="I371" s="47" t="n">
        <f aca="false">IFERROR(INDEX('Output Utente'!$F$2:$F$492,MATCH(368,'Output Utente'!$Q$2:$Q$492,0)),"")</f>
        <v>1</v>
      </c>
      <c r="J371" s="47" t="n">
        <f aca="false">IFERROR(INDEX('Output Utente'!$G$2:$G$492,MATCH(368,'Output Utente'!$Q$2:$Q$492,0)),"")</f>
        <v>1</v>
      </c>
      <c r="K371" s="47" t="n">
        <f aca="false">IFERROR(INDEX('Output Utente'!$H$2:$H$492,MATCH(368,'Output Utente'!$Q$2:$Q$492,0)),"")</f>
        <v>1</v>
      </c>
      <c r="L371" s="7" t="str">
        <f aca="false">IFERROR(INDEX('Output Utente'!$E$2:$E$492,MATCH(368,'Output Utente'!$Q$2:$Q$492,0)),"")</f>
        <v>NO</v>
      </c>
      <c r="M371" s="7" t="str">
        <f aca="false">IFERROR(INDEX('Output Utente'!$U$2:$U$492,MATCH(368,'Output Utente'!$Q$2:$Q$492,0)),"")</f>
        <v>OK</v>
      </c>
      <c r="N371" s="7" t="str">
        <f aca="false">IFERROR(INDEX('Output Utente'!$AE$2:$AE$492,MATCH(368,'Output Utente'!$Q$2:$Q$492,0)),"")</f>
        <v>🟡 Attesa rischiosa</v>
      </c>
    </row>
    <row r="372" customFormat="false" ht="15" hidden="false" customHeight="true" outlineLevel="0" collapsed="false">
      <c r="A372" s="46" t="n">
        <v>369</v>
      </c>
      <c r="B372" s="7" t="n">
        <f aca="false">IFERROR(INDEX('Output Utente'!$A$2:$A$492,MATCH(369,'Output Utente'!$Q$2:$Q$492,0)),"")</f>
        <v>7272</v>
      </c>
      <c r="C372" s="7" t="str">
        <f aca="false">IFERROR(INDEX('Output Utente'!$B$2:$B$492,MATCH(369,'Output Utente'!$Q$2:$Q$492,0)),"")</f>
        <v>A</v>
      </c>
      <c r="D372" s="7" t="str">
        <f aca="false">IFERROR(INDEX('Output Utente'!$C$2:$C$492,MATCH(369,'Output Utente'!$Q$2:$Q$492,0)),"")</f>
        <v>Gueye</v>
      </c>
      <c r="E372" s="7" t="str">
        <f aca="false">IFERROR(INDEX('Input Giocatori 2026_27'!$D$3:$D$493,MATCH($B372,'Input Giocatori 2026_27'!$A$3:$A$493,0)),"")</f>
        <v>Udinese</v>
      </c>
      <c r="F372" s="47" t="n">
        <f aca="false">IFERROR(INDEX('Output Utente'!$N$2:$N$492,MATCH(369,'Output Utente'!$Q$2:$Q$492,0)),"")</f>
        <v>4</v>
      </c>
      <c r="G372" s="47" t="n">
        <f aca="false">IFERROR(INDEX('Output Utente'!$O$2:$O$492,MATCH(369,'Output Utente'!$Q$2:$Q$492,0)),"")</f>
        <v>7</v>
      </c>
      <c r="H372" s="7" t="str">
        <f aca="false">IFERROR(INDEX('Output Utente'!$P$2:$P$492,MATCH(369,'Output Utente'!$Q$2:$Q$492,0)),"")</f>
        <v>Scommessa/Riserva</v>
      </c>
      <c r="I372" s="47" t="n">
        <f aca="false">IFERROR(INDEX('Output Utente'!$F$2:$F$492,MATCH(369,'Output Utente'!$Q$2:$Q$492,0)),"")</f>
        <v>2</v>
      </c>
      <c r="J372" s="47" t="n">
        <f aca="false">IFERROR(INDEX('Output Utente'!$G$2:$G$492,MATCH(369,'Output Utente'!$Q$2:$Q$492,0)),"")</f>
        <v>1</v>
      </c>
      <c r="K372" s="47" t="n">
        <f aca="false">IFERROR(INDEX('Output Utente'!$H$2:$H$492,MATCH(369,'Output Utente'!$Q$2:$Q$492,0)),"")</f>
        <v>3</v>
      </c>
      <c r="L372" s="7" t="str">
        <f aca="false">IFERROR(INDEX('Output Utente'!$E$2:$E$492,MATCH(369,'Output Utente'!$Q$2:$Q$492,0)),"")</f>
        <v>NO</v>
      </c>
      <c r="M372" s="7" t="str">
        <f aca="false">IFERROR(INDEX('Output Utente'!$U$2:$U$492,MATCH(369,'Output Utente'!$Q$2:$Q$492,0)),"")</f>
        <v>OK</v>
      </c>
      <c r="N372" s="7" t="str">
        <f aca="false">IFERROR(INDEX('Output Utente'!$AE$2:$AE$492,MATCH(369,'Output Utente'!$Q$2:$Q$492,0)),"")</f>
        <v>🔴 Non aspettare</v>
      </c>
    </row>
    <row r="373" customFormat="false" ht="15" hidden="false" customHeight="true" outlineLevel="0" collapsed="false">
      <c r="A373" s="46" t="n">
        <v>370</v>
      </c>
      <c r="B373" s="7" t="n">
        <f aca="false">IFERROR(INDEX('Output Utente'!$A$2:$A$492,MATCH(370,'Output Utente'!$Q$2:$Q$492,0)),"")</f>
        <v>7523</v>
      </c>
      <c r="C373" s="7" t="str">
        <f aca="false">IFERROR(INDEX('Output Utente'!$B$2:$B$492,MATCH(370,'Output Utente'!$Q$2:$Q$492,0)),"")</f>
        <v>A</v>
      </c>
      <c r="D373" s="7" t="str">
        <f aca="false">IFERROR(INDEX('Output Utente'!$C$2:$C$492,MATCH(370,'Output Utente'!$Q$2:$Q$492,0)),"")</f>
        <v>Varela G.</v>
      </c>
      <c r="E373" s="7" t="str">
        <f aca="false">IFERROR(INDEX('Input Giocatori 2026_27'!$D$3:$D$493,MATCH($B373,'Input Giocatori 2026_27'!$A$3:$A$493,0)),"")</f>
        <v>Monza</v>
      </c>
      <c r="F373" s="47" t="n">
        <f aca="false">IFERROR(INDEX('Output Utente'!$N$2:$N$492,MATCH(370,'Output Utente'!$Q$2:$Q$492,0)),"")</f>
        <v>3</v>
      </c>
      <c r="G373" s="47" t="n">
        <f aca="false">IFERROR(INDEX('Output Utente'!$O$2:$O$492,MATCH(370,'Output Utente'!$Q$2:$Q$492,0)),"")</f>
        <v>7</v>
      </c>
      <c r="H373" s="7" t="str">
        <f aca="false">IFERROR(INDEX('Output Utente'!$P$2:$P$492,MATCH(370,'Output Utente'!$Q$2:$Q$492,0)),"")</f>
        <v>Scommessa/Riserva</v>
      </c>
      <c r="I373" s="47" t="n">
        <f aca="false">IFERROR(INDEX('Output Utente'!$F$2:$F$492,MATCH(370,'Output Utente'!$Q$2:$Q$492,0)),"")</f>
        <v>2</v>
      </c>
      <c r="J373" s="47" t="n">
        <f aca="false">IFERROR(INDEX('Output Utente'!$G$2:$G$492,MATCH(370,'Output Utente'!$Q$2:$Q$492,0)),"")</f>
        <v>1</v>
      </c>
      <c r="K373" s="47" t="n">
        <f aca="false">IFERROR(INDEX('Output Utente'!$H$2:$H$492,MATCH(370,'Output Utente'!$Q$2:$Q$492,0)),"")</f>
        <v>3</v>
      </c>
      <c r="L373" s="7" t="str">
        <f aca="false">IFERROR(INDEX('Output Utente'!$E$2:$E$492,MATCH(370,'Output Utente'!$Q$2:$Q$492,0)),"")</f>
        <v>NO</v>
      </c>
      <c r="M373" s="7" t="str">
        <f aca="false">IFERROR(INDEX('Output Utente'!$U$2:$U$492,MATCH(370,'Output Utente'!$Q$2:$Q$492,0)),"")</f>
        <v>OK</v>
      </c>
      <c r="N373" s="7" t="str">
        <f aca="false">IFERROR(INDEX('Output Utente'!$AE$2:$AE$492,MATCH(370,'Output Utente'!$Q$2:$Q$492,0)),"")</f>
        <v>🔴 Non aspettare</v>
      </c>
    </row>
    <row r="374" customFormat="false" ht="15" hidden="false" customHeight="true" outlineLevel="0" collapsed="false">
      <c r="A374" s="46" t="n">
        <v>371</v>
      </c>
      <c r="B374" s="7" t="n">
        <f aca="false">IFERROR(INDEX('Output Utente'!$A$2:$A$492,MATCH(371,'Output Utente'!$Q$2:$Q$492,0)),"")</f>
        <v>5498</v>
      </c>
      <c r="C374" s="7" t="str">
        <f aca="false">IFERROR(INDEX('Output Utente'!$B$2:$B$492,MATCH(371,'Output Utente'!$Q$2:$Q$492,0)),"")</f>
        <v>D</v>
      </c>
      <c r="D374" s="7" t="str">
        <f aca="false">IFERROR(INDEX('Output Utente'!$C$2:$C$492,MATCH(371,'Output Utente'!$Q$2:$Q$492,0)),"")</f>
        <v>Casale</v>
      </c>
      <c r="E374" s="7" t="str">
        <f aca="false">IFERROR(INDEX('Input Giocatori 2026_27'!$D$3:$D$493,MATCH($B374,'Input Giocatori 2026_27'!$A$3:$A$493,0)),"")</f>
        <v>Bologna</v>
      </c>
      <c r="F374" s="47" t="n">
        <f aca="false">IFERROR(INDEX('Output Utente'!$N$2:$N$492,MATCH(371,'Output Utente'!$Q$2:$Q$492,0)),"")</f>
        <v>3</v>
      </c>
      <c r="G374" s="47" t="n">
        <f aca="false">IFERROR(INDEX('Output Utente'!$O$2:$O$492,MATCH(371,'Output Utente'!$Q$2:$Q$492,0)),"")</f>
        <v>6</v>
      </c>
      <c r="H374" s="7" t="str">
        <f aca="false">IFERROR(INDEX('Output Utente'!$P$2:$P$492,MATCH(371,'Output Utente'!$Q$2:$Q$492,0)),"")</f>
        <v>Scommessa/Riserva</v>
      </c>
      <c r="I374" s="47" t="n">
        <f aca="false">IFERROR(INDEX('Output Utente'!$F$2:$F$492,MATCH(371,'Output Utente'!$Q$2:$Q$492,0)),"")</f>
        <v>1</v>
      </c>
      <c r="J374" s="47" t="n">
        <f aca="false">IFERROR(INDEX('Output Utente'!$G$2:$G$492,MATCH(371,'Output Utente'!$Q$2:$Q$492,0)),"")</f>
        <v>1</v>
      </c>
      <c r="K374" s="47" t="n">
        <f aca="false">IFERROR(INDEX('Output Utente'!$H$2:$H$492,MATCH(371,'Output Utente'!$Q$2:$Q$492,0)),"")</f>
        <v>1</v>
      </c>
      <c r="L374" s="7" t="str">
        <f aca="false">IFERROR(INDEX('Output Utente'!$E$2:$E$492,MATCH(371,'Output Utente'!$Q$2:$Q$492,0)),"")</f>
        <v>NO</v>
      </c>
      <c r="M374" s="7" t="str">
        <f aca="false">IFERROR(INDEX('Output Utente'!$U$2:$U$492,MATCH(371,'Output Utente'!$Q$2:$Q$492,0)),"")</f>
        <v>OK</v>
      </c>
      <c r="N374" s="7" t="str">
        <f aca="false">IFERROR(INDEX('Output Utente'!$AE$2:$AE$492,MATCH(371,'Output Utente'!$Q$2:$Q$492,0)),"")</f>
        <v>🟡 Attesa rischiosa</v>
      </c>
    </row>
    <row r="375" customFormat="false" ht="15" hidden="false" customHeight="true" outlineLevel="0" collapsed="false">
      <c r="A375" s="46" t="n">
        <v>372</v>
      </c>
      <c r="B375" s="7" t="n">
        <f aca="false">IFERROR(INDEX('Output Utente'!$A$2:$A$492,MATCH(372,'Output Utente'!$Q$2:$Q$492,0)),"")</f>
        <v>7483</v>
      </c>
      <c r="C375" s="7" t="str">
        <f aca="false">IFERROR(INDEX('Output Utente'!$B$2:$B$492,MATCH(372,'Output Utente'!$Q$2:$Q$492,0)),"")</f>
        <v>D</v>
      </c>
      <c r="D375" s="7" t="str">
        <f aca="false">IFERROR(INDEX('Output Utente'!$C$2:$C$492,MATCH(372,'Output Utente'!$Q$2:$Q$492,0)),"")</f>
        <v>Alhassane</v>
      </c>
      <c r="E375" s="7" t="str">
        <f aca="false">IFERROR(INDEX('Input Giocatori 2026_27'!$D$3:$D$493,MATCH($B375,'Input Giocatori 2026_27'!$A$3:$A$493,0)),"")</f>
        <v>Bologna</v>
      </c>
      <c r="F375" s="47" t="n">
        <f aca="false">IFERROR(INDEX('Output Utente'!$N$2:$N$492,MATCH(372,'Output Utente'!$Q$2:$Q$492,0)),"")</f>
        <v>2</v>
      </c>
      <c r="G375" s="47" t="n">
        <f aca="false">IFERROR(INDEX('Output Utente'!$O$2:$O$492,MATCH(372,'Output Utente'!$Q$2:$Q$492,0)),"")</f>
        <v>6</v>
      </c>
      <c r="H375" s="7" t="str">
        <f aca="false">IFERROR(INDEX('Output Utente'!$P$2:$P$492,MATCH(372,'Output Utente'!$Q$2:$Q$492,0)),"")</f>
        <v>Scommessa/Riserva</v>
      </c>
      <c r="I375" s="47" t="n">
        <f aca="false">IFERROR(INDEX('Output Utente'!$F$2:$F$492,MATCH(372,'Output Utente'!$Q$2:$Q$492,0)),"")</f>
        <v>1</v>
      </c>
      <c r="J375" s="47" t="n">
        <f aca="false">IFERROR(INDEX('Output Utente'!$G$2:$G$492,MATCH(372,'Output Utente'!$Q$2:$Q$492,0)),"")</f>
        <v>1</v>
      </c>
      <c r="K375" s="47" t="n">
        <f aca="false">IFERROR(INDEX('Output Utente'!$H$2:$H$492,MATCH(372,'Output Utente'!$Q$2:$Q$492,0)),"")</f>
        <v>1</v>
      </c>
      <c r="L375" s="7" t="str">
        <f aca="false">IFERROR(INDEX('Output Utente'!$E$2:$E$492,MATCH(372,'Output Utente'!$Q$2:$Q$492,0)),"")</f>
        <v>NO</v>
      </c>
      <c r="M375" s="7" t="str">
        <f aca="false">IFERROR(INDEX('Output Utente'!$U$2:$U$492,MATCH(372,'Output Utente'!$Q$2:$Q$492,0)),"")</f>
        <v>OK</v>
      </c>
      <c r="N375" s="7" t="str">
        <f aca="false">IFERROR(INDEX('Output Utente'!$AE$2:$AE$492,MATCH(372,'Output Utente'!$Q$2:$Q$492,0)),"")</f>
        <v>🟡 Attesa rischiosa</v>
      </c>
    </row>
    <row r="376" customFormat="false" ht="15" hidden="false" customHeight="true" outlineLevel="0" collapsed="false">
      <c r="A376" s="46" t="n">
        <v>373</v>
      </c>
      <c r="B376" s="7" t="n">
        <f aca="false">IFERROR(INDEX('Output Utente'!$A$2:$A$492,MATCH(373,'Output Utente'!$Q$2:$Q$492,0)),"")</f>
        <v>6638</v>
      </c>
      <c r="C376" s="7" t="str">
        <f aca="false">IFERROR(INDEX('Output Utente'!$B$2:$B$492,MATCH(373,'Output Utente'!$Q$2:$Q$492,0)),"")</f>
        <v>D</v>
      </c>
      <c r="D376" s="7" t="str">
        <f aca="false">IFERROR(INDEX('Output Utente'!$C$2:$C$492,MATCH(373,'Output Utente'!$Q$2:$Q$492,0)),"")</f>
        <v>Marin R.</v>
      </c>
      <c r="E376" s="7" t="str">
        <f aca="false">IFERROR(INDEX('Input Giocatori 2026_27'!$D$3:$D$493,MATCH($B376,'Input Giocatori 2026_27'!$A$3:$A$493,0)),"")</f>
        <v>Napoli</v>
      </c>
      <c r="F376" s="47" t="n">
        <f aca="false">IFERROR(INDEX('Output Utente'!$N$2:$N$492,MATCH(373,'Output Utente'!$Q$2:$Q$492,0)),"")</f>
        <v>2</v>
      </c>
      <c r="G376" s="47" t="n">
        <f aca="false">IFERROR(INDEX('Output Utente'!$O$2:$O$492,MATCH(373,'Output Utente'!$Q$2:$Q$492,0)),"")</f>
        <v>6</v>
      </c>
      <c r="H376" s="7" t="str">
        <f aca="false">IFERROR(INDEX('Output Utente'!$P$2:$P$492,MATCH(373,'Output Utente'!$Q$2:$Q$492,0)),"")</f>
        <v>Scommessa/Riserva</v>
      </c>
      <c r="I376" s="47" t="n">
        <f aca="false">IFERROR(INDEX('Output Utente'!$F$2:$F$492,MATCH(373,'Output Utente'!$Q$2:$Q$492,0)),"")</f>
        <v>1</v>
      </c>
      <c r="J376" s="47" t="n">
        <f aca="false">IFERROR(INDEX('Output Utente'!$G$2:$G$492,MATCH(373,'Output Utente'!$Q$2:$Q$492,0)),"")</f>
        <v>1</v>
      </c>
      <c r="K376" s="47" t="n">
        <f aca="false">IFERROR(INDEX('Output Utente'!$H$2:$H$492,MATCH(373,'Output Utente'!$Q$2:$Q$492,0)),"")</f>
        <v>1</v>
      </c>
      <c r="L376" s="7" t="str">
        <f aca="false">IFERROR(INDEX('Output Utente'!$E$2:$E$492,MATCH(373,'Output Utente'!$Q$2:$Q$492,0)),"")</f>
        <v>NO</v>
      </c>
      <c r="M376" s="7" t="str">
        <f aca="false">IFERROR(INDEX('Output Utente'!$U$2:$U$492,MATCH(373,'Output Utente'!$Q$2:$Q$492,0)),"")</f>
        <v>OK</v>
      </c>
      <c r="N376" s="7" t="str">
        <f aca="false">IFERROR(INDEX('Output Utente'!$AE$2:$AE$492,MATCH(373,'Output Utente'!$Q$2:$Q$492,0)),"")</f>
        <v>🟡 Attesa rischiosa</v>
      </c>
    </row>
    <row r="377" customFormat="false" ht="15" hidden="false" customHeight="true" outlineLevel="0" collapsed="false">
      <c r="A377" s="46" t="n">
        <v>374</v>
      </c>
      <c r="B377" s="7" t="n">
        <f aca="false">IFERROR(INDEX('Output Utente'!$A$2:$A$492,MATCH(374,'Output Utente'!$Q$2:$Q$492,0)),"")</f>
        <v>6980</v>
      </c>
      <c r="C377" s="7" t="str">
        <f aca="false">IFERROR(INDEX('Output Utente'!$B$2:$B$492,MATCH(374,'Output Utente'!$Q$2:$Q$492,0)),"")</f>
        <v>C</v>
      </c>
      <c r="D377" s="7" t="str">
        <f aca="false">IFERROR(INDEX('Output Utente'!$C$2:$C$492,MATCH(374,'Output Utente'!$Q$2:$Q$492,0)),"")</f>
        <v>Venturino</v>
      </c>
      <c r="E377" s="7" t="str">
        <f aca="false">IFERROR(INDEX('Input Giocatori 2026_27'!$D$3:$D$493,MATCH($B377,'Input Giocatori 2026_27'!$A$3:$A$493,0)),"")</f>
        <v>Genoa</v>
      </c>
      <c r="F377" s="47" t="n">
        <f aca="false">IFERROR(INDEX('Output Utente'!$N$2:$N$492,MATCH(374,'Output Utente'!$Q$2:$Q$492,0)),"")</f>
        <v>2</v>
      </c>
      <c r="G377" s="47" t="n">
        <f aca="false">IFERROR(INDEX('Output Utente'!$O$2:$O$492,MATCH(374,'Output Utente'!$Q$2:$Q$492,0)),"")</f>
        <v>6</v>
      </c>
      <c r="H377" s="7" t="str">
        <f aca="false">IFERROR(INDEX('Output Utente'!$P$2:$P$492,MATCH(374,'Output Utente'!$Q$2:$Q$492,0)),"")</f>
        <v>Scommessa/Riserva</v>
      </c>
      <c r="I377" s="47" t="n">
        <f aca="false">IFERROR(INDEX('Output Utente'!$F$2:$F$492,MATCH(374,'Output Utente'!$Q$2:$Q$492,0)),"")</f>
        <v>1</v>
      </c>
      <c r="J377" s="47" t="n">
        <f aca="false">IFERROR(INDEX('Output Utente'!$G$2:$G$492,MATCH(374,'Output Utente'!$Q$2:$Q$492,0)),"")</f>
        <v>1</v>
      </c>
      <c r="K377" s="47" t="n">
        <f aca="false">IFERROR(INDEX('Output Utente'!$H$2:$H$492,MATCH(374,'Output Utente'!$Q$2:$Q$492,0)),"")</f>
        <v>1</v>
      </c>
      <c r="L377" s="7" t="str">
        <f aca="false">IFERROR(INDEX('Output Utente'!$E$2:$E$492,MATCH(374,'Output Utente'!$Q$2:$Q$492,0)),"")</f>
        <v>NO</v>
      </c>
      <c r="M377" s="7" t="str">
        <f aca="false">IFERROR(INDEX('Output Utente'!$U$2:$U$492,MATCH(374,'Output Utente'!$Q$2:$Q$492,0)),"")</f>
        <v>OK</v>
      </c>
      <c r="N377" s="7" t="str">
        <f aca="false">IFERROR(INDEX('Output Utente'!$AE$2:$AE$492,MATCH(374,'Output Utente'!$Q$2:$Q$492,0)),"")</f>
        <v>🟡 Attesa rischiosa</v>
      </c>
    </row>
    <row r="378" customFormat="false" ht="15" hidden="false" customHeight="true" outlineLevel="0" collapsed="false">
      <c r="A378" s="46" t="n">
        <v>375</v>
      </c>
      <c r="B378" s="7" t="n">
        <f aca="false">IFERROR(INDEX('Output Utente'!$A$2:$A$492,MATCH(375,'Output Utente'!$Q$2:$Q$492,0)),"")</f>
        <v>5295</v>
      </c>
      <c r="C378" s="7" t="str">
        <f aca="false">IFERROR(INDEX('Output Utente'!$B$2:$B$492,MATCH(375,'Output Utente'!$Q$2:$Q$492,0)),"")</f>
        <v>C</v>
      </c>
      <c r="D378" s="7" t="str">
        <f aca="false">IFERROR(INDEX('Output Utente'!$C$2:$C$492,MATCH(375,'Output Utente'!$Q$2:$Q$492,0)),"")</f>
        <v>Musah</v>
      </c>
      <c r="E378" s="7" t="str">
        <f aca="false">IFERROR(INDEX('Input Giocatori 2026_27'!$D$3:$D$493,MATCH($B378,'Input Giocatori 2026_27'!$A$3:$A$493,0)),"")</f>
        <v>Milan</v>
      </c>
      <c r="F378" s="47" t="n">
        <f aca="false">IFERROR(INDEX('Output Utente'!$N$2:$N$492,MATCH(375,'Output Utente'!$Q$2:$Q$492,0)),"")</f>
        <v>2</v>
      </c>
      <c r="G378" s="47" t="n">
        <f aca="false">IFERROR(INDEX('Output Utente'!$O$2:$O$492,MATCH(375,'Output Utente'!$Q$2:$Q$492,0)),"")</f>
        <v>6</v>
      </c>
      <c r="H378" s="7" t="str">
        <f aca="false">IFERROR(INDEX('Output Utente'!$P$2:$P$492,MATCH(375,'Output Utente'!$Q$2:$Q$492,0)),"")</f>
        <v>Scommessa/Riserva</v>
      </c>
      <c r="I378" s="47" t="n">
        <f aca="false">IFERROR(INDEX('Output Utente'!$F$2:$F$492,MATCH(375,'Output Utente'!$Q$2:$Q$492,0)),"")</f>
        <v>1</v>
      </c>
      <c r="J378" s="47" t="n">
        <f aca="false">IFERROR(INDEX('Output Utente'!$G$2:$G$492,MATCH(375,'Output Utente'!$Q$2:$Q$492,0)),"")</f>
        <v>1</v>
      </c>
      <c r="K378" s="47" t="n">
        <f aca="false">IFERROR(INDEX('Output Utente'!$H$2:$H$492,MATCH(375,'Output Utente'!$Q$2:$Q$492,0)),"")</f>
        <v>1</v>
      </c>
      <c r="L378" s="7" t="str">
        <f aca="false">IFERROR(INDEX('Output Utente'!$E$2:$E$492,MATCH(375,'Output Utente'!$Q$2:$Q$492,0)),"")</f>
        <v>NO</v>
      </c>
      <c r="M378" s="7" t="str">
        <f aca="false">IFERROR(INDEX('Output Utente'!$U$2:$U$492,MATCH(375,'Output Utente'!$Q$2:$Q$492,0)),"")</f>
        <v>OK</v>
      </c>
      <c r="N378" s="7" t="str">
        <f aca="false">IFERROR(INDEX('Output Utente'!$AE$2:$AE$492,MATCH(375,'Output Utente'!$Q$2:$Q$492,0)),"")</f>
        <v>🟡 Attesa rischiosa</v>
      </c>
    </row>
    <row r="379" customFormat="false" ht="15" hidden="false" customHeight="true" outlineLevel="0" collapsed="false">
      <c r="A379" s="46" t="n">
        <v>376</v>
      </c>
      <c r="B379" s="7" t="n">
        <f aca="false">IFERROR(INDEX('Output Utente'!$A$2:$A$492,MATCH(376,'Output Utente'!$Q$2:$Q$492,0)),"")</f>
        <v>5880</v>
      </c>
      <c r="C379" s="7" t="str">
        <f aca="false">IFERROR(INDEX('Output Utente'!$B$2:$B$492,MATCH(376,'Output Utente'!$Q$2:$Q$492,0)),"")</f>
        <v>C</v>
      </c>
      <c r="D379" s="7" t="str">
        <f aca="false">IFERROR(INDEX('Output Utente'!$C$2:$C$492,MATCH(376,'Output Utente'!$Q$2:$Q$492,0)),"")</f>
        <v>Ciurria</v>
      </c>
      <c r="E379" s="7" t="str">
        <f aca="false">IFERROR(INDEX('Input Giocatori 2026_27'!$D$3:$D$493,MATCH($B379,'Input Giocatori 2026_27'!$A$3:$A$493,0)),"")</f>
        <v>Monza</v>
      </c>
      <c r="F379" s="47" t="n">
        <f aca="false">IFERROR(INDEX('Output Utente'!$N$2:$N$492,MATCH(376,'Output Utente'!$Q$2:$Q$492,0)),"")</f>
        <v>2</v>
      </c>
      <c r="G379" s="47" t="n">
        <f aca="false">IFERROR(INDEX('Output Utente'!$O$2:$O$492,MATCH(376,'Output Utente'!$Q$2:$Q$492,0)),"")</f>
        <v>6</v>
      </c>
      <c r="H379" s="7" t="str">
        <f aca="false">IFERROR(INDEX('Output Utente'!$P$2:$P$492,MATCH(376,'Output Utente'!$Q$2:$Q$492,0)),"")</f>
        <v>Scommessa/Riserva</v>
      </c>
      <c r="I379" s="47" t="n">
        <f aca="false">IFERROR(INDEX('Output Utente'!$F$2:$F$492,MATCH(376,'Output Utente'!$Q$2:$Q$492,0)),"")</f>
        <v>1</v>
      </c>
      <c r="J379" s="47" t="n">
        <f aca="false">IFERROR(INDEX('Output Utente'!$G$2:$G$492,MATCH(376,'Output Utente'!$Q$2:$Q$492,0)),"")</f>
        <v>1</v>
      </c>
      <c r="K379" s="47" t="n">
        <f aca="false">IFERROR(INDEX('Output Utente'!$H$2:$H$492,MATCH(376,'Output Utente'!$Q$2:$Q$492,0)),"")</f>
        <v>1</v>
      </c>
      <c r="L379" s="7" t="str">
        <f aca="false">IFERROR(INDEX('Output Utente'!$E$2:$E$492,MATCH(376,'Output Utente'!$Q$2:$Q$492,0)),"")</f>
        <v>NO</v>
      </c>
      <c r="M379" s="7" t="str">
        <f aca="false">IFERROR(INDEX('Output Utente'!$U$2:$U$492,MATCH(376,'Output Utente'!$Q$2:$Q$492,0)),"")</f>
        <v>OK</v>
      </c>
      <c r="N379" s="7" t="str">
        <f aca="false">IFERROR(INDEX('Output Utente'!$AE$2:$AE$492,MATCH(376,'Output Utente'!$Q$2:$Q$492,0)),"")</f>
        <v>🟡 Attesa rischiosa</v>
      </c>
    </row>
    <row r="380" customFormat="false" ht="15" hidden="false" customHeight="true" outlineLevel="0" collapsed="false">
      <c r="A380" s="46" t="n">
        <v>377</v>
      </c>
      <c r="B380" s="7" t="n">
        <f aca="false">IFERROR(INDEX('Output Utente'!$A$2:$A$492,MATCH(377,'Output Utente'!$Q$2:$Q$492,0)),"")</f>
        <v>7418</v>
      </c>
      <c r="C380" s="7" t="str">
        <f aca="false">IFERROR(INDEX('Output Utente'!$B$2:$B$492,MATCH(377,'Output Utente'!$Q$2:$Q$492,0)),"")</f>
        <v>C</v>
      </c>
      <c r="D380" s="7" t="str">
        <f aca="false">IFERROR(INDEX('Output Utente'!$C$2:$C$492,MATCH(377,'Output Utente'!$Q$2:$Q$492,0)),"")</f>
        <v>Chakvetadze</v>
      </c>
      <c r="E380" s="7" t="str">
        <f aca="false">IFERROR(INDEX('Input Giocatori 2026_27'!$D$3:$D$493,MATCH($B380,'Input Giocatori 2026_27'!$A$3:$A$493,0)),"")</f>
        <v>Udinese</v>
      </c>
      <c r="F380" s="47" t="n">
        <f aca="false">IFERROR(INDEX('Output Utente'!$N$2:$N$492,MATCH(377,'Output Utente'!$Q$2:$Q$492,0)),"")</f>
        <v>2</v>
      </c>
      <c r="G380" s="47" t="n">
        <f aca="false">IFERROR(INDEX('Output Utente'!$O$2:$O$492,MATCH(377,'Output Utente'!$Q$2:$Q$492,0)),"")</f>
        <v>6</v>
      </c>
      <c r="H380" s="7" t="str">
        <f aca="false">IFERROR(INDEX('Output Utente'!$P$2:$P$492,MATCH(377,'Output Utente'!$Q$2:$Q$492,0)),"")</f>
        <v>Scommessa/Riserva</v>
      </c>
      <c r="I380" s="47" t="n">
        <f aca="false">IFERROR(INDEX('Output Utente'!$F$2:$F$492,MATCH(377,'Output Utente'!$Q$2:$Q$492,0)),"")</f>
        <v>1</v>
      </c>
      <c r="J380" s="47" t="n">
        <f aca="false">IFERROR(INDEX('Output Utente'!$G$2:$G$492,MATCH(377,'Output Utente'!$Q$2:$Q$492,0)),"")</f>
        <v>1</v>
      </c>
      <c r="K380" s="47" t="n">
        <f aca="false">IFERROR(INDEX('Output Utente'!$H$2:$H$492,MATCH(377,'Output Utente'!$Q$2:$Q$492,0)),"")</f>
        <v>1</v>
      </c>
      <c r="L380" s="7" t="str">
        <f aca="false">IFERROR(INDEX('Output Utente'!$E$2:$E$492,MATCH(377,'Output Utente'!$Q$2:$Q$492,0)),"")</f>
        <v>NO</v>
      </c>
      <c r="M380" s="7" t="str">
        <f aca="false">IFERROR(INDEX('Output Utente'!$U$2:$U$492,MATCH(377,'Output Utente'!$Q$2:$Q$492,0)),"")</f>
        <v>OK</v>
      </c>
      <c r="N380" s="7" t="str">
        <f aca="false">IFERROR(INDEX('Output Utente'!$AE$2:$AE$492,MATCH(377,'Output Utente'!$Q$2:$Q$492,0)),"")</f>
        <v>🟡 Attesa rischiosa</v>
      </c>
    </row>
    <row r="381" customFormat="false" ht="15" hidden="false" customHeight="true" outlineLevel="0" collapsed="false">
      <c r="A381" s="46" t="n">
        <v>378</v>
      </c>
      <c r="B381" s="7" t="n">
        <f aca="false">IFERROR(INDEX('Output Utente'!$A$2:$A$492,MATCH(378,'Output Utente'!$Q$2:$Q$492,0)),"")</f>
        <v>7411</v>
      </c>
      <c r="C381" s="7" t="str">
        <f aca="false">IFERROR(INDEX('Output Utente'!$B$2:$B$492,MATCH(378,'Output Utente'!$Q$2:$Q$492,0)),"")</f>
        <v>P</v>
      </c>
      <c r="D381" s="7" t="str">
        <f aca="false">IFERROR(INDEX('Output Utente'!$C$2:$C$492,MATCH(378,'Output Utente'!$Q$2:$Q$492,0)),"")</f>
        <v>Daffara</v>
      </c>
      <c r="E381" s="7" t="str">
        <f aca="false">IFERROR(INDEX('Input Giocatori 2026_27'!$D$3:$D$493,MATCH($B381,'Input Giocatori 2026_27'!$A$3:$A$493,0)),"")</f>
        <v>Parma</v>
      </c>
      <c r="F381" s="47" t="n">
        <f aca="false">IFERROR(INDEX('Output Utente'!$N$2:$N$492,MATCH(378,'Output Utente'!$Q$2:$Q$492,0)),"")</f>
        <v>7</v>
      </c>
      <c r="G381" s="47" t="n">
        <f aca="false">IFERROR(INDEX('Output Utente'!$O$2:$O$492,MATCH(378,'Output Utente'!$Q$2:$Q$492,0)),"")</f>
        <v>5</v>
      </c>
      <c r="H381" s="7" t="str">
        <f aca="false">IFERROR(INDEX('Output Utente'!$P$2:$P$492,MATCH(378,'Output Utente'!$Q$2:$Q$492,0)),"")</f>
        <v>Buono</v>
      </c>
      <c r="I381" s="47" t="n">
        <f aca="false">IFERROR(INDEX('Output Utente'!$F$2:$F$492,MATCH(378,'Output Utente'!$Q$2:$Q$492,0)),"")</f>
        <v>2</v>
      </c>
      <c r="J381" s="47" t="n">
        <f aca="false">IFERROR(INDEX('Output Utente'!$G$2:$G$492,MATCH(378,'Output Utente'!$Q$2:$Q$492,0)),"")</f>
        <v>1</v>
      </c>
      <c r="K381" s="47" t="n">
        <f aca="false">IFERROR(INDEX('Output Utente'!$H$2:$H$492,MATCH(378,'Output Utente'!$Q$2:$Q$492,0)),"")</f>
        <v>2</v>
      </c>
      <c r="L381" s="7" t="str">
        <f aca="false">IFERROR(INDEX('Output Utente'!$E$2:$E$492,MATCH(378,'Output Utente'!$Q$2:$Q$492,0)),"")</f>
        <v>NO</v>
      </c>
      <c r="M381" s="7" t="str">
        <f aca="false">IFERROR(INDEX('Output Utente'!$U$2:$U$492,MATCH(378,'Output Utente'!$Q$2:$Q$492,0)),"")</f>
        <v>OK</v>
      </c>
      <c r="N381" s="7" t="str">
        <f aca="false">IFERROR(INDEX('Output Utente'!$AE$2:$AE$492,MATCH(378,'Output Utente'!$Q$2:$Q$492,0)),"")</f>
        <v>🟡 Attesa rischiosa</v>
      </c>
    </row>
    <row r="382" customFormat="false" ht="15" hidden="false" customHeight="true" outlineLevel="0" collapsed="false">
      <c r="A382" s="46" t="n">
        <v>379</v>
      </c>
      <c r="B382" s="7" t="n">
        <f aca="false">IFERROR(INDEX('Output Utente'!$A$2:$A$492,MATCH(379,'Output Utente'!$Q$2:$Q$492,0)),"")</f>
        <v>2814</v>
      </c>
      <c r="C382" s="7" t="str">
        <f aca="false">IFERROR(INDEX('Output Utente'!$B$2:$B$492,MATCH(379,'Output Utente'!$Q$2:$Q$492,0)),"")</f>
        <v>P</v>
      </c>
      <c r="D382" s="7" t="str">
        <f aca="false">IFERROR(INDEX('Output Utente'!$C$2:$C$492,MATCH(379,'Output Utente'!$Q$2:$Q$492,0)),"")</f>
        <v>Provedel</v>
      </c>
      <c r="E382" s="7" t="str">
        <f aca="false">IFERROR(INDEX('Input Giocatori 2026_27'!$D$3:$D$493,MATCH($B382,'Input Giocatori 2026_27'!$A$3:$A$493,0)),"")</f>
        <v>Inter</v>
      </c>
      <c r="F382" s="47" t="n">
        <f aca="false">IFERROR(INDEX('Output Utente'!$N$2:$N$492,MATCH(379,'Output Utente'!$Q$2:$Q$492,0)),"")</f>
        <v>2</v>
      </c>
      <c r="G382" s="47" t="n">
        <f aca="false">IFERROR(INDEX('Output Utente'!$O$2:$O$492,MATCH(379,'Output Utente'!$Q$2:$Q$492,0)),"")</f>
        <v>5</v>
      </c>
      <c r="H382" s="7" t="str">
        <f aca="false">IFERROR(INDEX('Output Utente'!$P$2:$P$492,MATCH(379,'Output Utente'!$Q$2:$Q$492,0)),"")</f>
        <v>Buono</v>
      </c>
      <c r="I382" s="47" t="n">
        <f aca="false">IFERROR(INDEX('Output Utente'!$F$2:$F$492,MATCH(379,'Output Utente'!$Q$2:$Q$492,0)),"")</f>
        <v>2</v>
      </c>
      <c r="J382" s="47" t="n">
        <f aca="false">IFERROR(INDEX('Output Utente'!$G$2:$G$492,MATCH(379,'Output Utente'!$Q$2:$Q$492,0)),"")</f>
        <v>1</v>
      </c>
      <c r="K382" s="47" t="n">
        <f aca="false">IFERROR(INDEX('Output Utente'!$H$2:$H$492,MATCH(379,'Output Utente'!$Q$2:$Q$492,0)),"")</f>
        <v>2</v>
      </c>
      <c r="L382" s="7" t="str">
        <f aca="false">IFERROR(INDEX('Output Utente'!$E$2:$E$492,MATCH(379,'Output Utente'!$Q$2:$Q$492,0)),"")</f>
        <v>NO</v>
      </c>
      <c r="M382" s="7" t="str">
        <f aca="false">IFERROR(INDEX('Output Utente'!$U$2:$U$492,MATCH(379,'Output Utente'!$Q$2:$Q$492,0)),"")</f>
        <v>OK</v>
      </c>
      <c r="N382" s="7" t="str">
        <f aca="false">IFERROR(INDEX('Output Utente'!$AE$2:$AE$492,MATCH(379,'Output Utente'!$Q$2:$Q$492,0)),"")</f>
        <v>🟡 Attesa rischiosa</v>
      </c>
    </row>
    <row r="383" customFormat="false" ht="15" hidden="false" customHeight="true" outlineLevel="0" collapsed="false">
      <c r="A383" s="46" t="n">
        <v>380</v>
      </c>
      <c r="B383" s="7" t="n">
        <f aca="false">IFERROR(INDEX('Output Utente'!$A$2:$A$492,MATCH(380,'Output Utente'!$Q$2:$Q$492,0)),"")</f>
        <v>7326</v>
      </c>
      <c r="C383" s="7" t="str">
        <f aca="false">IFERROR(INDEX('Output Utente'!$B$2:$B$492,MATCH(380,'Output Utente'!$Q$2:$Q$492,0)),"")</f>
        <v>D</v>
      </c>
      <c r="D383" s="7" t="str">
        <f aca="false">IFERROR(INDEX('Output Utente'!$C$2:$C$492,MATCH(380,'Output Utente'!$Q$2:$Q$492,0)),"")</f>
        <v>Helland</v>
      </c>
      <c r="E383" s="7" t="str">
        <f aca="false">IFERROR(INDEX('Input Giocatori 2026_27'!$D$3:$D$493,MATCH($B383,'Input Giocatori 2026_27'!$A$3:$A$493,0)),"")</f>
        <v>Bologna</v>
      </c>
      <c r="F383" s="47" t="n">
        <f aca="false">IFERROR(INDEX('Output Utente'!$N$2:$N$492,MATCH(380,'Output Utente'!$Q$2:$Q$492,0)),"")</f>
        <v>2</v>
      </c>
      <c r="G383" s="47" t="n">
        <f aca="false">IFERROR(INDEX('Output Utente'!$O$2:$O$492,MATCH(380,'Output Utente'!$Q$2:$Q$492,0)),"")</f>
        <v>5</v>
      </c>
      <c r="H383" s="7" t="str">
        <f aca="false">IFERROR(INDEX('Output Utente'!$P$2:$P$492,MATCH(380,'Output Utente'!$Q$2:$Q$492,0)),"")</f>
        <v>Scommessa/Riserva</v>
      </c>
      <c r="I383" s="47" t="n">
        <f aca="false">IFERROR(INDEX('Output Utente'!$F$2:$F$492,MATCH(380,'Output Utente'!$Q$2:$Q$492,0)),"")</f>
        <v>1</v>
      </c>
      <c r="J383" s="47" t="n">
        <f aca="false">IFERROR(INDEX('Output Utente'!$G$2:$G$492,MATCH(380,'Output Utente'!$Q$2:$Q$492,0)),"")</f>
        <v>1</v>
      </c>
      <c r="K383" s="47" t="n">
        <f aca="false">IFERROR(INDEX('Output Utente'!$H$2:$H$492,MATCH(380,'Output Utente'!$Q$2:$Q$492,0)),"")</f>
        <v>1</v>
      </c>
      <c r="L383" s="7" t="str">
        <f aca="false">IFERROR(INDEX('Output Utente'!$E$2:$E$492,MATCH(380,'Output Utente'!$Q$2:$Q$492,0)),"")</f>
        <v>NO</v>
      </c>
      <c r="M383" s="7" t="str">
        <f aca="false">IFERROR(INDEX('Output Utente'!$U$2:$U$492,MATCH(380,'Output Utente'!$Q$2:$Q$492,0)),"")</f>
        <v>OK</v>
      </c>
      <c r="N383" s="7" t="str">
        <f aca="false">IFERROR(INDEX('Output Utente'!$AE$2:$AE$492,MATCH(380,'Output Utente'!$Q$2:$Q$492,0)),"")</f>
        <v>🟡 Attesa rischiosa</v>
      </c>
    </row>
    <row r="384" customFormat="false" ht="15" hidden="false" customHeight="true" outlineLevel="0" collapsed="false">
      <c r="A384" s="46" t="n">
        <v>381</v>
      </c>
      <c r="B384" s="7" t="n">
        <f aca="false">IFERROR(INDEX('Output Utente'!$A$2:$A$492,MATCH(381,'Output Utente'!$Q$2:$Q$492,0)),"")</f>
        <v>6896</v>
      </c>
      <c r="C384" s="7" t="str">
        <f aca="false">IFERROR(INDEX('Output Utente'!$B$2:$B$492,MATCH(381,'Output Utente'!$Q$2:$Q$492,0)),"")</f>
        <v>D</v>
      </c>
      <c r="D384" s="7" t="str">
        <f aca="false">IFERROR(INDEX('Output Utente'!$C$2:$C$492,MATCH(381,'Output Utente'!$Q$2:$Q$492,0)),"")</f>
        <v>Van Der Brempt</v>
      </c>
      <c r="E384" s="7" t="str">
        <f aca="false">IFERROR(INDEX('Input Giocatori 2026_27'!$D$3:$D$493,MATCH($B384,'Input Giocatori 2026_27'!$A$3:$A$493,0)),"")</f>
        <v>Como</v>
      </c>
      <c r="F384" s="47" t="n">
        <f aca="false">IFERROR(INDEX('Output Utente'!$N$2:$N$492,MATCH(381,'Output Utente'!$Q$2:$Q$492,0)),"")</f>
        <v>2</v>
      </c>
      <c r="G384" s="47" t="n">
        <f aca="false">IFERROR(INDEX('Output Utente'!$O$2:$O$492,MATCH(381,'Output Utente'!$Q$2:$Q$492,0)),"")</f>
        <v>5</v>
      </c>
      <c r="H384" s="7" t="str">
        <f aca="false">IFERROR(INDEX('Output Utente'!$P$2:$P$492,MATCH(381,'Output Utente'!$Q$2:$Q$492,0)),"")</f>
        <v>Scommessa/Riserva</v>
      </c>
      <c r="I384" s="47" t="n">
        <f aca="false">IFERROR(INDEX('Output Utente'!$F$2:$F$492,MATCH(381,'Output Utente'!$Q$2:$Q$492,0)),"")</f>
        <v>1</v>
      </c>
      <c r="J384" s="47" t="n">
        <f aca="false">IFERROR(INDEX('Output Utente'!$G$2:$G$492,MATCH(381,'Output Utente'!$Q$2:$Q$492,0)),"")</f>
        <v>1</v>
      </c>
      <c r="K384" s="47" t="n">
        <f aca="false">IFERROR(INDEX('Output Utente'!$H$2:$H$492,MATCH(381,'Output Utente'!$Q$2:$Q$492,0)),"")</f>
        <v>1</v>
      </c>
      <c r="L384" s="7" t="str">
        <f aca="false">IFERROR(INDEX('Output Utente'!$E$2:$E$492,MATCH(381,'Output Utente'!$Q$2:$Q$492,0)),"")</f>
        <v>NO</v>
      </c>
      <c r="M384" s="7" t="str">
        <f aca="false">IFERROR(INDEX('Output Utente'!$U$2:$U$492,MATCH(381,'Output Utente'!$Q$2:$Q$492,0)),"")</f>
        <v>OK</v>
      </c>
      <c r="N384" s="7" t="str">
        <f aca="false">IFERROR(INDEX('Output Utente'!$AE$2:$AE$492,MATCH(381,'Output Utente'!$Q$2:$Q$492,0)),"")</f>
        <v>🟡 Attesa rischiosa</v>
      </c>
    </row>
    <row r="385" customFormat="false" ht="15" hidden="false" customHeight="true" outlineLevel="0" collapsed="false">
      <c r="A385" s="46" t="n">
        <v>382</v>
      </c>
      <c r="B385" s="7" t="n">
        <f aca="false">IFERROR(INDEX('Output Utente'!$A$2:$A$492,MATCH(382,'Output Utente'!$Q$2:$Q$492,0)),"")</f>
        <v>6977</v>
      </c>
      <c r="C385" s="7" t="str">
        <f aca="false">IFERROR(INDEX('Output Utente'!$B$2:$B$492,MATCH(382,'Output Utente'!$Q$2:$Q$492,0)),"")</f>
        <v>D</v>
      </c>
      <c r="D385" s="7" t="str">
        <f aca="false">IFERROR(INDEX('Output Utente'!$C$2:$C$492,MATCH(382,'Output Utente'!$Q$2:$Q$492,0)),"")</f>
        <v>Otoa</v>
      </c>
      <c r="E385" s="7" t="str">
        <f aca="false">IFERROR(INDEX('Input Giocatori 2026_27'!$D$3:$D$493,MATCH($B385,'Input Giocatori 2026_27'!$A$3:$A$493,0)),"")</f>
        <v>Genoa</v>
      </c>
      <c r="F385" s="47" t="n">
        <f aca="false">IFERROR(INDEX('Output Utente'!$N$2:$N$492,MATCH(382,'Output Utente'!$Q$2:$Q$492,0)),"")</f>
        <v>2</v>
      </c>
      <c r="G385" s="47" t="n">
        <f aca="false">IFERROR(INDEX('Output Utente'!$O$2:$O$492,MATCH(382,'Output Utente'!$Q$2:$Q$492,0)),"")</f>
        <v>5</v>
      </c>
      <c r="H385" s="7" t="str">
        <f aca="false">IFERROR(INDEX('Output Utente'!$P$2:$P$492,MATCH(382,'Output Utente'!$Q$2:$Q$492,0)),"")</f>
        <v>Scommessa/Riserva</v>
      </c>
      <c r="I385" s="47" t="n">
        <f aca="false">IFERROR(INDEX('Output Utente'!$F$2:$F$492,MATCH(382,'Output Utente'!$Q$2:$Q$492,0)),"")</f>
        <v>1</v>
      </c>
      <c r="J385" s="47" t="n">
        <f aca="false">IFERROR(INDEX('Output Utente'!$G$2:$G$492,MATCH(382,'Output Utente'!$Q$2:$Q$492,0)),"")</f>
        <v>1</v>
      </c>
      <c r="K385" s="47" t="n">
        <f aca="false">IFERROR(INDEX('Output Utente'!$H$2:$H$492,MATCH(382,'Output Utente'!$Q$2:$Q$492,0)),"")</f>
        <v>1</v>
      </c>
      <c r="L385" s="7" t="str">
        <f aca="false">IFERROR(INDEX('Output Utente'!$E$2:$E$492,MATCH(382,'Output Utente'!$Q$2:$Q$492,0)),"")</f>
        <v>NO</v>
      </c>
      <c r="M385" s="7" t="str">
        <f aca="false">IFERROR(INDEX('Output Utente'!$U$2:$U$492,MATCH(382,'Output Utente'!$Q$2:$Q$492,0)),"")</f>
        <v>OK</v>
      </c>
      <c r="N385" s="7" t="str">
        <f aca="false">IFERROR(INDEX('Output Utente'!$AE$2:$AE$492,MATCH(382,'Output Utente'!$Q$2:$Q$492,0)),"")</f>
        <v>🟡 Attesa rischiosa</v>
      </c>
    </row>
    <row r="386" customFormat="false" ht="15" hidden="false" customHeight="true" outlineLevel="0" collapsed="false">
      <c r="A386" s="46" t="n">
        <v>383</v>
      </c>
      <c r="B386" s="7" t="n">
        <f aca="false">IFERROR(INDEX('Output Utente'!$A$2:$A$492,MATCH(383,'Output Utente'!$Q$2:$Q$492,0)),"")</f>
        <v>791</v>
      </c>
      <c r="C386" s="7" t="str">
        <f aca="false">IFERROR(INDEX('Output Utente'!$B$2:$B$492,MATCH(383,'Output Utente'!$Q$2:$Q$492,0)),"")</f>
        <v>D</v>
      </c>
      <c r="D386" s="7" t="str">
        <f aca="false">IFERROR(INDEX('Output Utente'!$C$2:$C$492,MATCH(383,'Output Utente'!$Q$2:$Q$492,0)),"")</f>
        <v>Sabelli</v>
      </c>
      <c r="E386" s="7" t="str">
        <f aca="false">IFERROR(INDEX('Input Giocatori 2026_27'!$D$3:$D$493,MATCH($B386,'Input Giocatori 2026_27'!$A$3:$A$493,0)),"")</f>
        <v>Genoa</v>
      </c>
      <c r="F386" s="47" t="n">
        <f aca="false">IFERROR(INDEX('Output Utente'!$N$2:$N$492,MATCH(383,'Output Utente'!$Q$2:$Q$492,0)),"")</f>
        <v>2</v>
      </c>
      <c r="G386" s="47" t="n">
        <f aca="false">IFERROR(INDEX('Output Utente'!$O$2:$O$492,MATCH(383,'Output Utente'!$Q$2:$Q$492,0)),"")</f>
        <v>5</v>
      </c>
      <c r="H386" s="7" t="str">
        <f aca="false">IFERROR(INDEX('Output Utente'!$P$2:$P$492,MATCH(383,'Output Utente'!$Q$2:$Q$492,0)),"")</f>
        <v>Scommessa/Riserva</v>
      </c>
      <c r="I386" s="47" t="n">
        <f aca="false">IFERROR(INDEX('Output Utente'!$F$2:$F$492,MATCH(383,'Output Utente'!$Q$2:$Q$492,0)),"")</f>
        <v>1</v>
      </c>
      <c r="J386" s="47" t="n">
        <f aca="false">IFERROR(INDEX('Output Utente'!$G$2:$G$492,MATCH(383,'Output Utente'!$Q$2:$Q$492,0)),"")</f>
        <v>1</v>
      </c>
      <c r="K386" s="47" t="n">
        <f aca="false">IFERROR(INDEX('Output Utente'!$H$2:$H$492,MATCH(383,'Output Utente'!$Q$2:$Q$492,0)),"")</f>
        <v>1</v>
      </c>
      <c r="L386" s="7" t="str">
        <f aca="false">IFERROR(INDEX('Output Utente'!$E$2:$E$492,MATCH(383,'Output Utente'!$Q$2:$Q$492,0)),"")</f>
        <v>NO</v>
      </c>
      <c r="M386" s="7" t="str">
        <f aca="false">IFERROR(INDEX('Output Utente'!$U$2:$U$492,MATCH(383,'Output Utente'!$Q$2:$Q$492,0)),"")</f>
        <v>OK</v>
      </c>
      <c r="N386" s="7" t="str">
        <f aca="false">IFERROR(INDEX('Output Utente'!$AE$2:$AE$492,MATCH(383,'Output Utente'!$Q$2:$Q$492,0)),"")</f>
        <v>🟡 Attesa rischiosa</v>
      </c>
    </row>
    <row r="387" customFormat="false" ht="15" hidden="false" customHeight="true" outlineLevel="0" collapsed="false">
      <c r="A387" s="46" t="n">
        <v>384</v>
      </c>
      <c r="B387" s="7" t="n">
        <f aca="false">IFERROR(INDEX('Output Utente'!$A$2:$A$492,MATCH(384,'Output Utente'!$Q$2:$Q$492,0)),"")</f>
        <v>2728</v>
      </c>
      <c r="C387" s="7" t="str">
        <f aca="false">IFERROR(INDEX('Output Utente'!$B$2:$B$492,MATCH(384,'Output Utente'!$Q$2:$Q$492,0)),"")</f>
        <v>D</v>
      </c>
      <c r="D387" s="7" t="str">
        <f aca="false">IFERROR(INDEX('Output Utente'!$C$2:$C$492,MATCH(384,'Output Utente'!$Q$2:$Q$492,0)),"")</f>
        <v>Pellegrini Lu.</v>
      </c>
      <c r="E387" s="7" t="str">
        <f aca="false">IFERROR(INDEX('Input Giocatori 2026_27'!$D$3:$D$493,MATCH($B387,'Input Giocatori 2026_27'!$A$3:$A$493,0)),"")</f>
        <v>Lazio</v>
      </c>
      <c r="F387" s="47" t="n">
        <f aca="false">IFERROR(INDEX('Output Utente'!$N$2:$N$492,MATCH(384,'Output Utente'!$Q$2:$Q$492,0)),"")</f>
        <v>2</v>
      </c>
      <c r="G387" s="47" t="n">
        <f aca="false">IFERROR(INDEX('Output Utente'!$O$2:$O$492,MATCH(384,'Output Utente'!$Q$2:$Q$492,0)),"")</f>
        <v>5</v>
      </c>
      <c r="H387" s="7" t="str">
        <f aca="false">IFERROR(INDEX('Output Utente'!$P$2:$P$492,MATCH(384,'Output Utente'!$Q$2:$Q$492,0)),"")</f>
        <v>Scommessa/Riserva</v>
      </c>
      <c r="I387" s="47" t="n">
        <f aca="false">IFERROR(INDEX('Output Utente'!$F$2:$F$492,MATCH(384,'Output Utente'!$Q$2:$Q$492,0)),"")</f>
        <v>1</v>
      </c>
      <c r="J387" s="47" t="n">
        <f aca="false">IFERROR(INDEX('Output Utente'!$G$2:$G$492,MATCH(384,'Output Utente'!$Q$2:$Q$492,0)),"")</f>
        <v>1</v>
      </c>
      <c r="K387" s="47" t="n">
        <f aca="false">IFERROR(INDEX('Output Utente'!$H$2:$H$492,MATCH(384,'Output Utente'!$Q$2:$Q$492,0)),"")</f>
        <v>1</v>
      </c>
      <c r="L387" s="7" t="str">
        <f aca="false">IFERROR(INDEX('Output Utente'!$E$2:$E$492,MATCH(384,'Output Utente'!$Q$2:$Q$492,0)),"")</f>
        <v>NO</v>
      </c>
      <c r="M387" s="7" t="str">
        <f aca="false">IFERROR(INDEX('Output Utente'!$U$2:$U$492,MATCH(384,'Output Utente'!$Q$2:$Q$492,0)),"")</f>
        <v>OK</v>
      </c>
      <c r="N387" s="7" t="str">
        <f aca="false">IFERROR(INDEX('Output Utente'!$AE$2:$AE$492,MATCH(384,'Output Utente'!$Q$2:$Q$492,0)),"")</f>
        <v>🟡 Attesa rischiosa</v>
      </c>
    </row>
    <row r="388" customFormat="false" ht="15" hidden="false" customHeight="true" outlineLevel="0" collapsed="false">
      <c r="A388" s="46" t="n">
        <v>385</v>
      </c>
      <c r="B388" s="7" t="n">
        <f aca="false">IFERROR(INDEX('Output Utente'!$A$2:$A$492,MATCH(385,'Output Utente'!$Q$2:$Q$492,0)),"")</f>
        <v>252</v>
      </c>
      <c r="C388" s="7" t="str">
        <f aca="false">IFERROR(INDEX('Output Utente'!$B$2:$B$492,MATCH(385,'Output Utente'!$Q$2:$Q$492,0)),"")</f>
        <v>D</v>
      </c>
      <c r="D388" s="7" t="str">
        <f aca="false">IFERROR(INDEX('Output Utente'!$C$2:$C$492,MATCH(385,'Output Utente'!$Q$2:$Q$492,0)),"")</f>
        <v>Biraghi</v>
      </c>
      <c r="E388" s="7" t="str">
        <f aca="false">IFERROR(INDEX('Input Giocatori 2026_27'!$D$3:$D$493,MATCH($B388,'Input Giocatori 2026_27'!$A$3:$A$493,0)),"")</f>
        <v>Torino</v>
      </c>
      <c r="F388" s="47" t="n">
        <f aca="false">IFERROR(INDEX('Output Utente'!$N$2:$N$492,MATCH(385,'Output Utente'!$Q$2:$Q$492,0)),"")</f>
        <v>2</v>
      </c>
      <c r="G388" s="47" t="n">
        <f aca="false">IFERROR(INDEX('Output Utente'!$O$2:$O$492,MATCH(385,'Output Utente'!$Q$2:$Q$492,0)),"")</f>
        <v>5</v>
      </c>
      <c r="H388" s="7" t="str">
        <f aca="false">IFERROR(INDEX('Output Utente'!$P$2:$P$492,MATCH(385,'Output Utente'!$Q$2:$Q$492,0)),"")</f>
        <v>Scommessa/Riserva</v>
      </c>
      <c r="I388" s="47" t="n">
        <f aca="false">IFERROR(INDEX('Output Utente'!$F$2:$F$492,MATCH(385,'Output Utente'!$Q$2:$Q$492,0)),"")</f>
        <v>1</v>
      </c>
      <c r="J388" s="47" t="n">
        <f aca="false">IFERROR(INDEX('Output Utente'!$G$2:$G$492,MATCH(385,'Output Utente'!$Q$2:$Q$492,0)),"")</f>
        <v>1</v>
      </c>
      <c r="K388" s="47" t="n">
        <f aca="false">IFERROR(INDEX('Output Utente'!$H$2:$H$492,MATCH(385,'Output Utente'!$Q$2:$Q$492,0)),"")</f>
        <v>1</v>
      </c>
      <c r="L388" s="7" t="str">
        <f aca="false">IFERROR(INDEX('Output Utente'!$E$2:$E$492,MATCH(385,'Output Utente'!$Q$2:$Q$492,0)),"")</f>
        <v>NO</v>
      </c>
      <c r="M388" s="7" t="str">
        <f aca="false">IFERROR(INDEX('Output Utente'!$U$2:$U$492,MATCH(385,'Output Utente'!$Q$2:$Q$492,0)),"")</f>
        <v>OK</v>
      </c>
      <c r="N388" s="7" t="str">
        <f aca="false">IFERROR(INDEX('Output Utente'!$AE$2:$AE$492,MATCH(385,'Output Utente'!$Q$2:$Q$492,0)),"")</f>
        <v>🟡 Attesa rischiosa</v>
      </c>
    </row>
    <row r="389" customFormat="false" ht="15" hidden="false" customHeight="true" outlineLevel="0" collapsed="false">
      <c r="A389" s="46" t="n">
        <v>386</v>
      </c>
      <c r="B389" s="7" t="n">
        <f aca="false">IFERROR(INDEX('Output Utente'!$A$2:$A$492,MATCH(386,'Output Utente'!$Q$2:$Q$492,0)),"")</f>
        <v>6925</v>
      </c>
      <c r="C389" s="7" t="str">
        <f aca="false">IFERROR(INDEX('Output Utente'!$B$2:$B$492,MATCH(386,'Output Utente'!$Q$2:$Q$492,0)),"")</f>
        <v>D</v>
      </c>
      <c r="D389" s="7" t="str">
        <f aca="false">IFERROR(INDEX('Output Utente'!$C$2:$C$492,MATCH(386,'Output Utente'!$Q$2:$Q$492,0)),"")</f>
        <v>Palma</v>
      </c>
      <c r="E389" s="7" t="str">
        <f aca="false">IFERROR(INDEX('Input Giocatori 2026_27'!$D$3:$D$493,MATCH($B389,'Input Giocatori 2026_27'!$A$3:$A$493,0)),"")</f>
        <v>Udinese</v>
      </c>
      <c r="F389" s="47" t="n">
        <f aca="false">IFERROR(INDEX('Output Utente'!$N$2:$N$492,MATCH(386,'Output Utente'!$Q$2:$Q$492,0)),"")</f>
        <v>2</v>
      </c>
      <c r="G389" s="47" t="n">
        <f aca="false">IFERROR(INDEX('Output Utente'!$O$2:$O$492,MATCH(386,'Output Utente'!$Q$2:$Q$492,0)),"")</f>
        <v>5</v>
      </c>
      <c r="H389" s="7" t="str">
        <f aca="false">IFERROR(INDEX('Output Utente'!$P$2:$P$492,MATCH(386,'Output Utente'!$Q$2:$Q$492,0)),"")</f>
        <v>Scommessa/Riserva</v>
      </c>
      <c r="I389" s="47" t="n">
        <f aca="false">IFERROR(INDEX('Output Utente'!$F$2:$F$492,MATCH(386,'Output Utente'!$Q$2:$Q$492,0)),"")</f>
        <v>1</v>
      </c>
      <c r="J389" s="47" t="n">
        <f aca="false">IFERROR(INDEX('Output Utente'!$G$2:$G$492,MATCH(386,'Output Utente'!$Q$2:$Q$492,0)),"")</f>
        <v>1</v>
      </c>
      <c r="K389" s="47" t="n">
        <f aca="false">IFERROR(INDEX('Output Utente'!$H$2:$H$492,MATCH(386,'Output Utente'!$Q$2:$Q$492,0)),"")</f>
        <v>1</v>
      </c>
      <c r="L389" s="7" t="str">
        <f aca="false">IFERROR(INDEX('Output Utente'!$E$2:$E$492,MATCH(386,'Output Utente'!$Q$2:$Q$492,0)),"")</f>
        <v>NO</v>
      </c>
      <c r="M389" s="7" t="str">
        <f aca="false">IFERROR(INDEX('Output Utente'!$U$2:$U$492,MATCH(386,'Output Utente'!$Q$2:$Q$492,0)),"")</f>
        <v>OK</v>
      </c>
      <c r="N389" s="7" t="str">
        <f aca="false">IFERROR(INDEX('Output Utente'!$AE$2:$AE$492,MATCH(386,'Output Utente'!$Q$2:$Q$492,0)),"")</f>
        <v>🟡 Attesa rischiosa</v>
      </c>
    </row>
    <row r="390" customFormat="false" ht="15" hidden="false" customHeight="true" outlineLevel="0" collapsed="false">
      <c r="A390" s="46" t="n">
        <v>387</v>
      </c>
      <c r="B390" s="7" t="n">
        <f aca="false">IFERROR(INDEX('Output Utente'!$A$2:$A$492,MATCH(387,'Output Utente'!$Q$2:$Q$492,0)),"")</f>
        <v>6809</v>
      </c>
      <c r="C390" s="7" t="str">
        <f aca="false">IFERROR(INDEX('Output Utente'!$B$2:$B$492,MATCH(387,'Output Utente'!$Q$2:$Q$492,0)),"")</f>
        <v>D</v>
      </c>
      <c r="D390" s="7" t="str">
        <f aca="false">IFERROR(INDEX('Output Utente'!$C$2:$C$492,MATCH(387,'Output Utente'!$Q$2:$Q$492,0)),"")</f>
        <v>Marianucci</v>
      </c>
      <c r="E390" s="7" t="str">
        <f aca="false">IFERROR(INDEX('Input Giocatori 2026_27'!$D$3:$D$493,MATCH($B390,'Input Giocatori 2026_27'!$A$3:$A$493,0)),"")</f>
        <v>Napoli</v>
      </c>
      <c r="F390" s="47" t="n">
        <f aca="false">IFERROR(INDEX('Output Utente'!$N$2:$N$492,MATCH(387,'Output Utente'!$Q$2:$Q$492,0)),"")</f>
        <v>1</v>
      </c>
      <c r="G390" s="47" t="n">
        <f aca="false">IFERROR(INDEX('Output Utente'!$O$2:$O$492,MATCH(387,'Output Utente'!$Q$2:$Q$492,0)),"")</f>
        <v>5</v>
      </c>
      <c r="H390" s="7" t="str">
        <f aca="false">IFERROR(INDEX('Output Utente'!$P$2:$P$492,MATCH(387,'Output Utente'!$Q$2:$Q$492,0)),"")</f>
        <v>Scommessa/Riserva</v>
      </c>
      <c r="I390" s="47" t="n">
        <f aca="false">IFERROR(INDEX('Output Utente'!$F$2:$F$492,MATCH(387,'Output Utente'!$Q$2:$Q$492,0)),"")</f>
        <v>1</v>
      </c>
      <c r="J390" s="47" t="n">
        <f aca="false">IFERROR(INDEX('Output Utente'!$G$2:$G$492,MATCH(387,'Output Utente'!$Q$2:$Q$492,0)),"")</f>
        <v>1</v>
      </c>
      <c r="K390" s="47" t="n">
        <f aca="false">IFERROR(INDEX('Output Utente'!$H$2:$H$492,MATCH(387,'Output Utente'!$Q$2:$Q$492,0)),"")</f>
        <v>1</v>
      </c>
      <c r="L390" s="7" t="str">
        <f aca="false">IFERROR(INDEX('Output Utente'!$E$2:$E$492,MATCH(387,'Output Utente'!$Q$2:$Q$492,0)),"")</f>
        <v>NO</v>
      </c>
      <c r="M390" s="7" t="str">
        <f aca="false">IFERROR(INDEX('Output Utente'!$U$2:$U$492,MATCH(387,'Output Utente'!$Q$2:$Q$492,0)),"")</f>
        <v>OK</v>
      </c>
      <c r="N390" s="7" t="str">
        <f aca="false">IFERROR(INDEX('Output Utente'!$AE$2:$AE$492,MATCH(387,'Output Utente'!$Q$2:$Q$492,0)),"")</f>
        <v>🟡 Attesa rischiosa</v>
      </c>
    </row>
    <row r="391" customFormat="false" ht="15" hidden="false" customHeight="true" outlineLevel="0" collapsed="false">
      <c r="A391" s="46" t="n">
        <v>388</v>
      </c>
      <c r="B391" s="7" t="n">
        <f aca="false">IFERROR(INDEX('Output Utente'!$A$2:$A$492,MATCH(388,'Output Utente'!$Q$2:$Q$492,0)),"")</f>
        <v>7183</v>
      </c>
      <c r="C391" s="7" t="str">
        <f aca="false">IFERROR(INDEX('Output Utente'!$B$2:$B$492,MATCH(388,'Output Utente'!$Q$2:$Q$492,0)),"")</f>
        <v>C</v>
      </c>
      <c r="D391" s="7" t="str">
        <f aca="false">IFERROR(INDEX('Output Utente'!$C$2:$C$492,MATCH(388,'Output Utente'!$Q$2:$Q$492,0)),"")</f>
        <v>Aboukhlal</v>
      </c>
      <c r="E391" s="7" t="str">
        <f aca="false">IFERROR(INDEX('Input Giocatori 2026_27'!$D$3:$D$493,MATCH($B391,'Input Giocatori 2026_27'!$A$3:$A$493,0)),"")</f>
        <v>Torino</v>
      </c>
      <c r="F391" s="47" t="n">
        <f aca="false">IFERROR(INDEX('Output Utente'!$N$2:$N$492,MATCH(388,'Output Utente'!$Q$2:$Q$492,0)),"")</f>
        <v>3</v>
      </c>
      <c r="G391" s="47" t="n">
        <f aca="false">IFERROR(INDEX('Output Utente'!$O$2:$O$492,MATCH(388,'Output Utente'!$Q$2:$Q$492,0)),"")</f>
        <v>5</v>
      </c>
      <c r="H391" s="7" t="str">
        <f aca="false">IFERROR(INDEX('Output Utente'!$P$2:$P$492,MATCH(388,'Output Utente'!$Q$2:$Q$492,0)),"")</f>
        <v>Scommessa/Riserva</v>
      </c>
      <c r="I391" s="47" t="n">
        <f aca="false">IFERROR(INDEX('Output Utente'!$F$2:$F$492,MATCH(388,'Output Utente'!$Q$2:$Q$492,0)),"")</f>
        <v>1</v>
      </c>
      <c r="J391" s="47" t="n">
        <f aca="false">IFERROR(INDEX('Output Utente'!$G$2:$G$492,MATCH(388,'Output Utente'!$Q$2:$Q$492,0)),"")</f>
        <v>1</v>
      </c>
      <c r="K391" s="47" t="n">
        <f aca="false">IFERROR(INDEX('Output Utente'!$H$2:$H$492,MATCH(388,'Output Utente'!$Q$2:$Q$492,0)),"")</f>
        <v>1</v>
      </c>
      <c r="L391" s="7" t="str">
        <f aca="false">IFERROR(INDEX('Output Utente'!$E$2:$E$492,MATCH(388,'Output Utente'!$Q$2:$Q$492,0)),"")</f>
        <v>NO</v>
      </c>
      <c r="M391" s="7" t="str">
        <f aca="false">IFERROR(INDEX('Output Utente'!$U$2:$U$492,MATCH(388,'Output Utente'!$Q$2:$Q$492,0)),"")</f>
        <v>OK</v>
      </c>
      <c r="N391" s="7" t="str">
        <f aca="false">IFERROR(INDEX('Output Utente'!$AE$2:$AE$492,MATCH(388,'Output Utente'!$Q$2:$Q$492,0)),"")</f>
        <v>🟡 Attesa rischiosa</v>
      </c>
    </row>
    <row r="392" customFormat="false" ht="15" hidden="false" customHeight="true" outlineLevel="0" collapsed="false">
      <c r="A392" s="46" t="n">
        <v>389</v>
      </c>
      <c r="B392" s="7" t="n">
        <f aca="false">IFERROR(INDEX('Output Utente'!$A$2:$A$492,MATCH(389,'Output Utente'!$Q$2:$Q$492,0)),"")</f>
        <v>6903</v>
      </c>
      <c r="C392" s="7" t="str">
        <f aca="false">IFERROR(INDEX('Output Utente'!$B$2:$B$492,MATCH(389,'Output Utente'!$Q$2:$Q$492,0)),"")</f>
        <v>C</v>
      </c>
      <c r="D392" s="7" t="str">
        <f aca="false">IFERROR(INDEX('Output Utente'!$C$2:$C$492,MATCH(389,'Output Utente'!$Q$2:$Q$492,0)),"")</f>
        <v>Hasa</v>
      </c>
      <c r="E392" s="7" t="str">
        <f aca="false">IFERROR(INDEX('Input Giocatori 2026_27'!$D$3:$D$493,MATCH($B392,'Input Giocatori 2026_27'!$A$3:$A$493,0)),"")</f>
        <v>Frosinone</v>
      </c>
      <c r="F392" s="47" t="n">
        <f aca="false">IFERROR(INDEX('Output Utente'!$N$2:$N$492,MATCH(389,'Output Utente'!$Q$2:$Q$492,0)),"")</f>
        <v>2</v>
      </c>
      <c r="G392" s="47" t="n">
        <f aca="false">IFERROR(INDEX('Output Utente'!$O$2:$O$492,MATCH(389,'Output Utente'!$Q$2:$Q$492,0)),"")</f>
        <v>5</v>
      </c>
      <c r="H392" s="7" t="str">
        <f aca="false">IFERROR(INDEX('Output Utente'!$P$2:$P$492,MATCH(389,'Output Utente'!$Q$2:$Q$492,0)),"")</f>
        <v>Scommessa/Riserva</v>
      </c>
      <c r="I392" s="47" t="n">
        <f aca="false">IFERROR(INDEX('Output Utente'!$F$2:$F$492,MATCH(389,'Output Utente'!$Q$2:$Q$492,0)),"")</f>
        <v>1</v>
      </c>
      <c r="J392" s="47" t="n">
        <f aca="false">IFERROR(INDEX('Output Utente'!$G$2:$G$492,MATCH(389,'Output Utente'!$Q$2:$Q$492,0)),"")</f>
        <v>1</v>
      </c>
      <c r="K392" s="47" t="n">
        <f aca="false">IFERROR(INDEX('Output Utente'!$H$2:$H$492,MATCH(389,'Output Utente'!$Q$2:$Q$492,0)),"")</f>
        <v>1</v>
      </c>
      <c r="L392" s="7" t="str">
        <f aca="false">IFERROR(INDEX('Output Utente'!$E$2:$E$492,MATCH(389,'Output Utente'!$Q$2:$Q$492,0)),"")</f>
        <v>NO</v>
      </c>
      <c r="M392" s="7" t="str">
        <f aca="false">IFERROR(INDEX('Output Utente'!$U$2:$U$492,MATCH(389,'Output Utente'!$Q$2:$Q$492,0)),"")</f>
        <v>OK</v>
      </c>
      <c r="N392" s="7" t="str">
        <f aca="false">IFERROR(INDEX('Output Utente'!$AE$2:$AE$492,MATCH(389,'Output Utente'!$Q$2:$Q$492,0)),"")</f>
        <v>🟡 Attesa rischiosa</v>
      </c>
    </row>
    <row r="393" customFormat="false" ht="15" hidden="false" customHeight="true" outlineLevel="0" collapsed="false">
      <c r="A393" s="46" t="n">
        <v>390</v>
      </c>
      <c r="B393" s="7" t="n">
        <f aca="false">IFERROR(INDEX('Output Utente'!$A$2:$A$492,MATCH(390,'Output Utente'!$Q$2:$Q$492,0)),"")</f>
        <v>5457</v>
      </c>
      <c r="C393" s="7" t="str">
        <f aca="false">IFERROR(INDEX('Output Utente'!$B$2:$B$492,MATCH(390,'Output Utente'!$Q$2:$Q$492,0)),"")</f>
        <v>C</v>
      </c>
      <c r="D393" s="7" t="str">
        <f aca="false">IFERROR(INDEX('Output Utente'!$C$2:$C$492,MATCH(390,'Output Utente'!$Q$2:$Q$492,0)),"")</f>
        <v>Maleh</v>
      </c>
      <c r="E393" s="7" t="str">
        <f aca="false">IFERROR(INDEX('Input Giocatori 2026_27'!$D$3:$D$493,MATCH($B393,'Input Giocatori 2026_27'!$A$3:$A$493,0)),"")</f>
        <v>Lecce</v>
      </c>
      <c r="F393" s="47" t="n">
        <f aca="false">IFERROR(INDEX('Output Utente'!$N$2:$N$492,MATCH(390,'Output Utente'!$Q$2:$Q$492,0)),"")</f>
        <v>2</v>
      </c>
      <c r="G393" s="47" t="n">
        <f aca="false">IFERROR(INDEX('Output Utente'!$O$2:$O$492,MATCH(390,'Output Utente'!$Q$2:$Q$492,0)),"")</f>
        <v>5</v>
      </c>
      <c r="H393" s="7" t="str">
        <f aca="false">IFERROR(INDEX('Output Utente'!$P$2:$P$492,MATCH(390,'Output Utente'!$Q$2:$Q$492,0)),"")</f>
        <v>Scommessa/Riserva</v>
      </c>
      <c r="I393" s="47" t="n">
        <f aca="false">IFERROR(INDEX('Output Utente'!$F$2:$F$492,MATCH(390,'Output Utente'!$Q$2:$Q$492,0)),"")</f>
        <v>1</v>
      </c>
      <c r="J393" s="47" t="n">
        <f aca="false">IFERROR(INDEX('Output Utente'!$G$2:$G$492,MATCH(390,'Output Utente'!$Q$2:$Q$492,0)),"")</f>
        <v>1</v>
      </c>
      <c r="K393" s="47" t="n">
        <f aca="false">IFERROR(INDEX('Output Utente'!$H$2:$H$492,MATCH(390,'Output Utente'!$Q$2:$Q$492,0)),"")</f>
        <v>1</v>
      </c>
      <c r="L393" s="7" t="str">
        <f aca="false">IFERROR(INDEX('Output Utente'!$E$2:$E$492,MATCH(390,'Output Utente'!$Q$2:$Q$492,0)),"")</f>
        <v>NO</v>
      </c>
      <c r="M393" s="7" t="str">
        <f aca="false">IFERROR(INDEX('Output Utente'!$U$2:$U$492,MATCH(390,'Output Utente'!$Q$2:$Q$492,0)),"")</f>
        <v>OK</v>
      </c>
      <c r="N393" s="7" t="str">
        <f aca="false">IFERROR(INDEX('Output Utente'!$AE$2:$AE$492,MATCH(390,'Output Utente'!$Q$2:$Q$492,0)),"")</f>
        <v>🟡 Attesa rischiosa</v>
      </c>
    </row>
    <row r="394" customFormat="false" ht="15" hidden="false" customHeight="true" outlineLevel="0" collapsed="false">
      <c r="A394" s="46" t="n">
        <v>391</v>
      </c>
      <c r="B394" s="7" t="n">
        <f aca="false">IFERROR(INDEX('Output Utente'!$A$2:$A$492,MATCH(391,'Output Utente'!$Q$2:$Q$492,0)),"")</f>
        <v>7138</v>
      </c>
      <c r="C394" s="7" t="str">
        <f aca="false">IFERROR(INDEX('Output Utente'!$B$2:$B$492,MATCH(391,'Output Utente'!$Q$2:$Q$492,0)),"")</f>
        <v>C</v>
      </c>
      <c r="D394" s="7" t="str">
        <f aca="false">IFERROR(INDEX('Output Utente'!$C$2:$C$492,MATCH(391,'Output Utente'!$Q$2:$Q$492,0)),"")</f>
        <v>Ordonez C.</v>
      </c>
      <c r="E394" s="7" t="str">
        <f aca="false">IFERROR(INDEX('Input Giocatori 2026_27'!$D$3:$D$493,MATCH($B394,'Input Giocatori 2026_27'!$A$3:$A$493,0)),"")</f>
        <v>Parma</v>
      </c>
      <c r="F394" s="47" t="n">
        <f aca="false">IFERROR(INDEX('Output Utente'!$N$2:$N$492,MATCH(391,'Output Utente'!$Q$2:$Q$492,0)),"")</f>
        <v>2</v>
      </c>
      <c r="G394" s="47" t="n">
        <f aca="false">IFERROR(INDEX('Output Utente'!$O$2:$O$492,MATCH(391,'Output Utente'!$Q$2:$Q$492,0)),"")</f>
        <v>5</v>
      </c>
      <c r="H394" s="7" t="str">
        <f aca="false">IFERROR(INDEX('Output Utente'!$P$2:$P$492,MATCH(391,'Output Utente'!$Q$2:$Q$492,0)),"")</f>
        <v>Scommessa/Riserva</v>
      </c>
      <c r="I394" s="47" t="n">
        <f aca="false">IFERROR(INDEX('Output Utente'!$F$2:$F$492,MATCH(391,'Output Utente'!$Q$2:$Q$492,0)),"")</f>
        <v>1</v>
      </c>
      <c r="J394" s="47" t="n">
        <f aca="false">IFERROR(INDEX('Output Utente'!$G$2:$G$492,MATCH(391,'Output Utente'!$Q$2:$Q$492,0)),"")</f>
        <v>1</v>
      </c>
      <c r="K394" s="47" t="n">
        <f aca="false">IFERROR(INDEX('Output Utente'!$H$2:$H$492,MATCH(391,'Output Utente'!$Q$2:$Q$492,0)),"")</f>
        <v>1</v>
      </c>
      <c r="L394" s="7" t="str">
        <f aca="false">IFERROR(INDEX('Output Utente'!$E$2:$E$492,MATCH(391,'Output Utente'!$Q$2:$Q$492,0)),"")</f>
        <v>NO</v>
      </c>
      <c r="M394" s="7" t="str">
        <f aca="false">IFERROR(INDEX('Output Utente'!$U$2:$U$492,MATCH(391,'Output Utente'!$Q$2:$Q$492,0)),"")</f>
        <v>OK</v>
      </c>
      <c r="N394" s="7" t="str">
        <f aca="false">IFERROR(INDEX('Output Utente'!$AE$2:$AE$492,MATCH(391,'Output Utente'!$Q$2:$Q$492,0)),"")</f>
        <v>🟡 Attesa rischiosa</v>
      </c>
    </row>
    <row r="395" customFormat="false" ht="15" hidden="false" customHeight="true" outlineLevel="0" collapsed="false">
      <c r="A395" s="46" t="n">
        <v>392</v>
      </c>
      <c r="B395" s="7" t="n">
        <f aca="false">IFERROR(INDEX('Output Utente'!$A$2:$A$492,MATCH(392,'Output Utente'!$Q$2:$Q$492,0)),"")</f>
        <v>6219</v>
      </c>
      <c r="C395" s="7" t="str">
        <f aca="false">IFERROR(INDEX('Output Utente'!$B$2:$B$492,MATCH(392,'Output Utente'!$Q$2:$Q$492,0)),"")</f>
        <v>C</v>
      </c>
      <c r="D395" s="7" t="str">
        <f aca="false">IFERROR(INDEX('Output Utente'!$C$2:$C$492,MATCH(392,'Output Utente'!$Q$2:$Q$492,0)),"")</f>
        <v>Boloca</v>
      </c>
      <c r="E395" s="7" t="str">
        <f aca="false">IFERROR(INDEX('Input Giocatori 2026_27'!$D$3:$D$493,MATCH($B395,'Input Giocatori 2026_27'!$A$3:$A$493,0)),"")</f>
        <v>Sassuolo</v>
      </c>
      <c r="F395" s="47" t="n">
        <f aca="false">IFERROR(INDEX('Output Utente'!$N$2:$N$492,MATCH(392,'Output Utente'!$Q$2:$Q$492,0)),"")</f>
        <v>2</v>
      </c>
      <c r="G395" s="47" t="n">
        <f aca="false">IFERROR(INDEX('Output Utente'!$O$2:$O$492,MATCH(392,'Output Utente'!$Q$2:$Q$492,0)),"")</f>
        <v>5</v>
      </c>
      <c r="H395" s="7" t="str">
        <f aca="false">IFERROR(INDEX('Output Utente'!$P$2:$P$492,MATCH(392,'Output Utente'!$Q$2:$Q$492,0)),"")</f>
        <v>Scommessa/Riserva</v>
      </c>
      <c r="I395" s="47" t="n">
        <f aca="false">IFERROR(INDEX('Output Utente'!$F$2:$F$492,MATCH(392,'Output Utente'!$Q$2:$Q$492,0)),"")</f>
        <v>1</v>
      </c>
      <c r="J395" s="47" t="n">
        <f aca="false">IFERROR(INDEX('Output Utente'!$G$2:$G$492,MATCH(392,'Output Utente'!$Q$2:$Q$492,0)),"")</f>
        <v>1</v>
      </c>
      <c r="K395" s="47" t="n">
        <f aca="false">IFERROR(INDEX('Output Utente'!$H$2:$H$492,MATCH(392,'Output Utente'!$Q$2:$Q$492,0)),"")</f>
        <v>1</v>
      </c>
      <c r="L395" s="7" t="str">
        <f aca="false">IFERROR(INDEX('Output Utente'!$E$2:$E$492,MATCH(392,'Output Utente'!$Q$2:$Q$492,0)),"")</f>
        <v>NO</v>
      </c>
      <c r="M395" s="7" t="str">
        <f aca="false">IFERROR(INDEX('Output Utente'!$U$2:$U$492,MATCH(392,'Output Utente'!$Q$2:$Q$492,0)),"")</f>
        <v>OK</v>
      </c>
      <c r="N395" s="7" t="str">
        <f aca="false">IFERROR(INDEX('Output Utente'!$AE$2:$AE$492,MATCH(392,'Output Utente'!$Q$2:$Q$492,0)),"")</f>
        <v>🟡 Attesa rischiosa</v>
      </c>
    </row>
    <row r="396" customFormat="false" ht="15" hidden="false" customHeight="true" outlineLevel="0" collapsed="false">
      <c r="A396" s="46" t="n">
        <v>393</v>
      </c>
      <c r="B396" s="7" t="n">
        <f aca="false">IFERROR(INDEX('Output Utente'!$A$2:$A$492,MATCH(393,'Output Utente'!$Q$2:$Q$492,0)),"")</f>
        <v>6246</v>
      </c>
      <c r="C396" s="7" t="str">
        <f aca="false">IFERROR(INDEX('Output Utente'!$B$2:$B$492,MATCH(393,'Output Utente'!$Q$2:$Q$492,0)),"")</f>
        <v>C</v>
      </c>
      <c r="D396" s="7" t="str">
        <f aca="false">IFERROR(INDEX('Output Utente'!$C$2:$C$492,MATCH(393,'Output Utente'!$Q$2:$Q$492,0)),"")</f>
        <v>Lipani</v>
      </c>
      <c r="E396" s="7" t="str">
        <f aca="false">IFERROR(INDEX('Input Giocatori 2026_27'!$D$3:$D$493,MATCH($B396,'Input Giocatori 2026_27'!$A$3:$A$493,0)),"")</f>
        <v>Sassuolo</v>
      </c>
      <c r="F396" s="47" t="n">
        <f aca="false">IFERROR(INDEX('Output Utente'!$N$2:$N$492,MATCH(393,'Output Utente'!$Q$2:$Q$492,0)),"")</f>
        <v>2</v>
      </c>
      <c r="G396" s="47" t="n">
        <f aca="false">IFERROR(INDEX('Output Utente'!$O$2:$O$492,MATCH(393,'Output Utente'!$Q$2:$Q$492,0)),"")</f>
        <v>5</v>
      </c>
      <c r="H396" s="7" t="str">
        <f aca="false">IFERROR(INDEX('Output Utente'!$P$2:$P$492,MATCH(393,'Output Utente'!$Q$2:$Q$492,0)),"")</f>
        <v>Scommessa/Riserva</v>
      </c>
      <c r="I396" s="47" t="n">
        <f aca="false">IFERROR(INDEX('Output Utente'!$F$2:$F$492,MATCH(393,'Output Utente'!$Q$2:$Q$492,0)),"")</f>
        <v>1</v>
      </c>
      <c r="J396" s="47" t="n">
        <f aca="false">IFERROR(INDEX('Output Utente'!$G$2:$G$492,MATCH(393,'Output Utente'!$Q$2:$Q$492,0)),"")</f>
        <v>1</v>
      </c>
      <c r="K396" s="47" t="n">
        <f aca="false">IFERROR(INDEX('Output Utente'!$H$2:$H$492,MATCH(393,'Output Utente'!$Q$2:$Q$492,0)),"")</f>
        <v>1</v>
      </c>
      <c r="L396" s="7" t="str">
        <f aca="false">IFERROR(INDEX('Output Utente'!$E$2:$E$492,MATCH(393,'Output Utente'!$Q$2:$Q$492,0)),"")</f>
        <v>NO</v>
      </c>
      <c r="M396" s="7" t="str">
        <f aca="false">IFERROR(INDEX('Output Utente'!$U$2:$U$492,MATCH(393,'Output Utente'!$Q$2:$Q$492,0)),"")</f>
        <v>OK</v>
      </c>
      <c r="N396" s="7" t="str">
        <f aca="false">IFERROR(INDEX('Output Utente'!$AE$2:$AE$492,MATCH(393,'Output Utente'!$Q$2:$Q$492,0)),"")</f>
        <v>🟡 Attesa rischiosa</v>
      </c>
    </row>
    <row r="397" customFormat="false" ht="15" hidden="false" customHeight="true" outlineLevel="0" collapsed="false">
      <c r="A397" s="46" t="n">
        <v>394</v>
      </c>
      <c r="B397" s="7" t="n">
        <f aca="false">IFERROR(INDEX('Output Utente'!$A$2:$A$492,MATCH(394,'Output Utente'!$Q$2:$Q$492,0)),"")</f>
        <v>6191</v>
      </c>
      <c r="C397" s="7" t="str">
        <f aca="false">IFERROR(INDEX('Output Utente'!$B$2:$B$492,MATCH(394,'Output Utente'!$Q$2:$Q$492,0)),"")</f>
        <v>C</v>
      </c>
      <c r="D397" s="7" t="str">
        <f aca="false">IFERROR(INDEX('Output Utente'!$C$2:$C$492,MATCH(394,'Output Utente'!$Q$2:$Q$492,0)),"")</f>
        <v>Belahyane</v>
      </c>
      <c r="E397" s="7" t="str">
        <f aca="false">IFERROR(INDEX('Input Giocatori 2026_27'!$D$3:$D$493,MATCH($B397,'Input Giocatori 2026_27'!$A$3:$A$493,0)),"")</f>
        <v>Lazio</v>
      </c>
      <c r="F397" s="47" t="n">
        <f aca="false">IFERROR(INDEX('Output Utente'!$N$2:$N$492,MATCH(394,'Output Utente'!$Q$2:$Q$492,0)),"")</f>
        <v>1</v>
      </c>
      <c r="G397" s="47" t="n">
        <f aca="false">IFERROR(INDEX('Output Utente'!$O$2:$O$492,MATCH(394,'Output Utente'!$Q$2:$Q$492,0)),"")</f>
        <v>5</v>
      </c>
      <c r="H397" s="7" t="str">
        <f aca="false">IFERROR(INDEX('Output Utente'!$P$2:$P$492,MATCH(394,'Output Utente'!$Q$2:$Q$492,0)),"")</f>
        <v>Scommessa/Riserva</v>
      </c>
      <c r="I397" s="47" t="n">
        <f aca="false">IFERROR(INDEX('Output Utente'!$F$2:$F$492,MATCH(394,'Output Utente'!$Q$2:$Q$492,0)),"")</f>
        <v>1</v>
      </c>
      <c r="J397" s="47" t="n">
        <f aca="false">IFERROR(INDEX('Output Utente'!$G$2:$G$492,MATCH(394,'Output Utente'!$Q$2:$Q$492,0)),"")</f>
        <v>1</v>
      </c>
      <c r="K397" s="47" t="n">
        <f aca="false">IFERROR(INDEX('Output Utente'!$H$2:$H$492,MATCH(394,'Output Utente'!$Q$2:$Q$492,0)),"")</f>
        <v>1</v>
      </c>
      <c r="L397" s="7" t="str">
        <f aca="false">IFERROR(INDEX('Output Utente'!$E$2:$E$492,MATCH(394,'Output Utente'!$Q$2:$Q$492,0)),"")</f>
        <v>NO</v>
      </c>
      <c r="M397" s="7" t="str">
        <f aca="false">IFERROR(INDEX('Output Utente'!$U$2:$U$492,MATCH(394,'Output Utente'!$Q$2:$Q$492,0)),"")</f>
        <v>OK</v>
      </c>
      <c r="N397" s="7" t="str">
        <f aca="false">IFERROR(INDEX('Output Utente'!$AE$2:$AE$492,MATCH(394,'Output Utente'!$Q$2:$Q$492,0)),"")</f>
        <v>🟡 Attesa rischiosa</v>
      </c>
    </row>
    <row r="398" customFormat="false" ht="15" hidden="false" customHeight="true" outlineLevel="0" collapsed="false">
      <c r="A398" s="46" t="n">
        <v>395</v>
      </c>
      <c r="B398" s="7" t="n">
        <f aca="false">IFERROR(INDEX('Output Utente'!$A$2:$A$492,MATCH(395,'Output Utente'!$Q$2:$Q$492,0)),"")</f>
        <v>7345</v>
      </c>
      <c r="C398" s="7" t="str">
        <f aca="false">IFERROR(INDEX('Output Utente'!$B$2:$B$492,MATCH(395,'Output Utente'!$Q$2:$Q$492,0)),"")</f>
        <v>C</v>
      </c>
      <c r="D398" s="7" t="str">
        <f aca="false">IFERROR(INDEX('Output Utente'!$C$2:$C$492,MATCH(395,'Output Utente'!$Q$2:$Q$492,0)),"")</f>
        <v>Przyborek</v>
      </c>
      <c r="E398" s="7" t="str">
        <f aca="false">IFERROR(INDEX('Input Giocatori 2026_27'!$D$3:$D$493,MATCH($B398,'Input Giocatori 2026_27'!$A$3:$A$493,0)),"")</f>
        <v>Lazio</v>
      </c>
      <c r="F398" s="47" t="n">
        <f aca="false">IFERROR(INDEX('Output Utente'!$N$2:$N$492,MATCH(395,'Output Utente'!$Q$2:$Q$492,0)),"")</f>
        <v>1</v>
      </c>
      <c r="G398" s="47" t="n">
        <f aca="false">IFERROR(INDEX('Output Utente'!$O$2:$O$492,MATCH(395,'Output Utente'!$Q$2:$Q$492,0)),"")</f>
        <v>5</v>
      </c>
      <c r="H398" s="7" t="str">
        <f aca="false">IFERROR(INDEX('Output Utente'!$P$2:$P$492,MATCH(395,'Output Utente'!$Q$2:$Q$492,0)),"")</f>
        <v>Scommessa/Riserva</v>
      </c>
      <c r="I398" s="47" t="n">
        <f aca="false">IFERROR(INDEX('Output Utente'!$F$2:$F$492,MATCH(395,'Output Utente'!$Q$2:$Q$492,0)),"")</f>
        <v>1</v>
      </c>
      <c r="J398" s="47" t="n">
        <f aca="false">IFERROR(INDEX('Output Utente'!$G$2:$G$492,MATCH(395,'Output Utente'!$Q$2:$Q$492,0)),"")</f>
        <v>1</v>
      </c>
      <c r="K398" s="47" t="n">
        <f aca="false">IFERROR(INDEX('Output Utente'!$H$2:$H$492,MATCH(395,'Output Utente'!$Q$2:$Q$492,0)),"")</f>
        <v>1</v>
      </c>
      <c r="L398" s="7" t="str">
        <f aca="false">IFERROR(INDEX('Output Utente'!$E$2:$E$492,MATCH(395,'Output Utente'!$Q$2:$Q$492,0)),"")</f>
        <v>NO</v>
      </c>
      <c r="M398" s="7" t="str">
        <f aca="false">IFERROR(INDEX('Output Utente'!$U$2:$U$492,MATCH(395,'Output Utente'!$Q$2:$Q$492,0)),"")</f>
        <v>OK</v>
      </c>
      <c r="N398" s="7" t="str">
        <f aca="false">IFERROR(INDEX('Output Utente'!$AE$2:$AE$492,MATCH(395,'Output Utente'!$Q$2:$Q$492,0)),"")</f>
        <v>🟡 Attesa rischiosa</v>
      </c>
    </row>
    <row r="399" customFormat="false" ht="15" hidden="false" customHeight="true" outlineLevel="0" collapsed="false">
      <c r="A399" s="46" t="n">
        <v>396</v>
      </c>
      <c r="B399" s="7" t="n">
        <f aca="false">IFERROR(INDEX('Output Utente'!$A$2:$A$492,MATCH(396,'Output Utente'!$Q$2:$Q$492,0)),"")</f>
        <v>7128</v>
      </c>
      <c r="C399" s="7" t="str">
        <f aca="false">IFERROR(INDEX('Output Utente'!$B$2:$B$492,MATCH(396,'Output Utente'!$Q$2:$Q$492,0)),"")</f>
        <v>A</v>
      </c>
      <c r="D399" s="7" t="str">
        <f aca="false">IFERROR(INDEX('Output Utente'!$C$2:$C$492,MATCH(396,'Output Utente'!$Q$2:$Q$492,0)),"")</f>
        <v>Kuhn</v>
      </c>
      <c r="E399" s="7" t="str">
        <f aca="false">IFERROR(INDEX('Input Giocatori 2026_27'!$D$3:$D$493,MATCH($B399,'Input Giocatori 2026_27'!$A$3:$A$493,0)),"")</f>
        <v>Como</v>
      </c>
      <c r="F399" s="47" t="n">
        <f aca="false">IFERROR(INDEX('Output Utente'!$N$2:$N$492,MATCH(396,'Output Utente'!$Q$2:$Q$492,0)),"")</f>
        <v>3</v>
      </c>
      <c r="G399" s="47" t="n">
        <f aca="false">IFERROR(INDEX('Output Utente'!$O$2:$O$492,MATCH(396,'Output Utente'!$Q$2:$Q$492,0)),"")</f>
        <v>5</v>
      </c>
      <c r="H399" s="7" t="str">
        <f aca="false">IFERROR(INDEX('Output Utente'!$P$2:$P$492,MATCH(396,'Output Utente'!$Q$2:$Q$492,0)),"")</f>
        <v>Scommessa/Riserva</v>
      </c>
      <c r="I399" s="47" t="n">
        <f aca="false">IFERROR(INDEX('Output Utente'!$F$2:$F$492,MATCH(396,'Output Utente'!$Q$2:$Q$492,0)),"")</f>
        <v>2</v>
      </c>
      <c r="J399" s="47" t="n">
        <f aca="false">IFERROR(INDEX('Output Utente'!$G$2:$G$492,MATCH(396,'Output Utente'!$Q$2:$Q$492,0)),"")</f>
        <v>1</v>
      </c>
      <c r="K399" s="47" t="n">
        <f aca="false">IFERROR(INDEX('Output Utente'!$H$2:$H$492,MATCH(396,'Output Utente'!$Q$2:$Q$492,0)),"")</f>
        <v>2</v>
      </c>
      <c r="L399" s="7" t="str">
        <f aca="false">IFERROR(INDEX('Output Utente'!$E$2:$E$492,MATCH(396,'Output Utente'!$Q$2:$Q$492,0)),"")</f>
        <v>NO</v>
      </c>
      <c r="M399" s="7" t="str">
        <f aca="false">IFERROR(INDEX('Output Utente'!$U$2:$U$492,MATCH(396,'Output Utente'!$Q$2:$Q$492,0)),"")</f>
        <v>OK</v>
      </c>
      <c r="N399" s="7" t="str">
        <f aca="false">IFERROR(INDEX('Output Utente'!$AE$2:$AE$492,MATCH(396,'Output Utente'!$Q$2:$Q$492,0)),"")</f>
        <v>🔴 Non aspettare</v>
      </c>
    </row>
    <row r="400" customFormat="false" ht="15" hidden="false" customHeight="true" outlineLevel="0" collapsed="false">
      <c r="A400" s="46" t="n">
        <v>397</v>
      </c>
      <c r="B400" s="7" t="n">
        <f aca="false">IFERROR(INDEX('Output Utente'!$A$2:$A$492,MATCH(397,'Output Utente'!$Q$2:$Q$492,0)),"")</f>
        <v>383</v>
      </c>
      <c r="C400" s="7" t="str">
        <f aca="false">IFERROR(INDEX('Output Utente'!$B$2:$B$492,MATCH(397,'Output Utente'!$Q$2:$Q$492,0)),"")</f>
        <v>A</v>
      </c>
      <c r="D400" s="7" t="str">
        <f aca="false">IFERROR(INDEX('Output Utente'!$C$2:$C$492,MATCH(397,'Output Utente'!$Q$2:$Q$492,0)),"")</f>
        <v>Petagna</v>
      </c>
      <c r="E400" s="7" t="str">
        <f aca="false">IFERROR(INDEX('Input Giocatori 2026_27'!$D$3:$D$493,MATCH($B400,'Input Giocatori 2026_27'!$A$3:$A$493,0)),"")</f>
        <v>Monza</v>
      </c>
      <c r="F400" s="47" t="n">
        <f aca="false">IFERROR(INDEX('Output Utente'!$N$2:$N$492,MATCH(397,'Output Utente'!$Q$2:$Q$492,0)),"")</f>
        <v>2</v>
      </c>
      <c r="G400" s="47" t="n">
        <f aca="false">IFERROR(INDEX('Output Utente'!$O$2:$O$492,MATCH(397,'Output Utente'!$Q$2:$Q$492,0)),"")</f>
        <v>5</v>
      </c>
      <c r="H400" s="7" t="str">
        <f aca="false">IFERROR(INDEX('Output Utente'!$P$2:$P$492,MATCH(397,'Output Utente'!$Q$2:$Q$492,0)),"")</f>
        <v>Scommessa/Riserva</v>
      </c>
      <c r="I400" s="47" t="n">
        <f aca="false">IFERROR(INDEX('Output Utente'!$F$2:$F$492,MATCH(397,'Output Utente'!$Q$2:$Q$492,0)),"")</f>
        <v>2</v>
      </c>
      <c r="J400" s="47" t="n">
        <f aca="false">IFERROR(INDEX('Output Utente'!$G$2:$G$492,MATCH(397,'Output Utente'!$Q$2:$Q$492,0)),"")</f>
        <v>1</v>
      </c>
      <c r="K400" s="47" t="n">
        <f aca="false">IFERROR(INDEX('Output Utente'!$H$2:$H$492,MATCH(397,'Output Utente'!$Q$2:$Q$492,0)),"")</f>
        <v>2</v>
      </c>
      <c r="L400" s="7" t="str">
        <f aca="false">IFERROR(INDEX('Output Utente'!$E$2:$E$492,MATCH(397,'Output Utente'!$Q$2:$Q$492,0)),"")</f>
        <v>NO</v>
      </c>
      <c r="M400" s="7" t="str">
        <f aca="false">IFERROR(INDEX('Output Utente'!$U$2:$U$492,MATCH(397,'Output Utente'!$Q$2:$Q$492,0)),"")</f>
        <v>OK</v>
      </c>
      <c r="N400" s="7" t="str">
        <f aca="false">IFERROR(INDEX('Output Utente'!$AE$2:$AE$492,MATCH(397,'Output Utente'!$Q$2:$Q$492,0)),"")</f>
        <v>🔴 Non aspettare</v>
      </c>
    </row>
    <row r="401" customFormat="false" ht="15" hidden="false" customHeight="true" outlineLevel="0" collapsed="false">
      <c r="A401" s="46" t="n">
        <v>398</v>
      </c>
      <c r="B401" s="7" t="n">
        <f aca="false">IFERROR(INDEX('Output Utente'!$A$2:$A$492,MATCH(398,'Output Utente'!$Q$2:$Q$492,0)),"")</f>
        <v>6883</v>
      </c>
      <c r="C401" s="7" t="str">
        <f aca="false">IFERROR(INDEX('Output Utente'!$B$2:$B$492,MATCH(398,'Output Utente'!$Q$2:$Q$492,0)),"")</f>
        <v>D</v>
      </c>
      <c r="D401" s="7" t="str">
        <f aca="false">IFERROR(INDEX('Output Utente'!$C$2:$C$492,MATCH(398,'Output Utente'!$Q$2:$Q$492,0)),"")</f>
        <v>Jean</v>
      </c>
      <c r="E401" s="7" t="str">
        <f aca="false">IFERROR(INDEX('Input Giocatori 2026_27'!$D$3:$D$493,MATCH($B401,'Input Giocatori 2026_27'!$A$3:$A$493,0)),"")</f>
        <v>Lecce</v>
      </c>
      <c r="F401" s="47" t="n">
        <f aca="false">IFERROR(INDEX('Output Utente'!$N$2:$N$492,MATCH(398,'Output Utente'!$Q$2:$Q$492,0)),"")</f>
        <v>2</v>
      </c>
      <c r="G401" s="47" t="n">
        <f aca="false">IFERROR(INDEX('Output Utente'!$O$2:$O$492,MATCH(398,'Output Utente'!$Q$2:$Q$492,0)),"")</f>
        <v>4</v>
      </c>
      <c r="H401" s="7" t="str">
        <f aca="false">IFERROR(INDEX('Output Utente'!$P$2:$P$492,MATCH(398,'Output Utente'!$Q$2:$Q$492,0)),"")</f>
        <v>Scommessa/Riserva</v>
      </c>
      <c r="I401" s="47" t="n">
        <f aca="false">IFERROR(INDEX('Output Utente'!$F$2:$F$492,MATCH(398,'Output Utente'!$Q$2:$Q$492,0)),"")</f>
        <v>1</v>
      </c>
      <c r="J401" s="47" t="n">
        <f aca="false">IFERROR(INDEX('Output Utente'!$G$2:$G$492,MATCH(398,'Output Utente'!$Q$2:$Q$492,0)),"")</f>
        <v>1</v>
      </c>
      <c r="K401" s="47" t="n">
        <f aca="false">IFERROR(INDEX('Output Utente'!$H$2:$H$492,MATCH(398,'Output Utente'!$Q$2:$Q$492,0)),"")</f>
        <v>1</v>
      </c>
      <c r="L401" s="7" t="str">
        <f aca="false">IFERROR(INDEX('Output Utente'!$E$2:$E$492,MATCH(398,'Output Utente'!$Q$2:$Q$492,0)),"")</f>
        <v>NO</v>
      </c>
      <c r="M401" s="7" t="str">
        <f aca="false">IFERROR(INDEX('Output Utente'!$U$2:$U$492,MATCH(398,'Output Utente'!$Q$2:$Q$492,0)),"")</f>
        <v>OK</v>
      </c>
      <c r="N401" s="7" t="str">
        <f aca="false">IFERROR(INDEX('Output Utente'!$AE$2:$AE$492,MATCH(398,'Output Utente'!$Q$2:$Q$492,0)),"")</f>
        <v>🟡 Attesa rischiosa</v>
      </c>
    </row>
    <row r="402" customFormat="false" ht="15" hidden="false" customHeight="true" outlineLevel="0" collapsed="false">
      <c r="A402" s="46" t="n">
        <v>399</v>
      </c>
      <c r="B402" s="7" t="n">
        <f aca="false">IFERROR(INDEX('Output Utente'!$A$2:$A$492,MATCH(399,'Output Utente'!$Q$2:$Q$492,0)),"")</f>
        <v>7525</v>
      </c>
      <c r="C402" s="7" t="str">
        <f aca="false">IFERROR(INDEX('Output Utente'!$B$2:$B$492,MATCH(399,'Output Utente'!$Q$2:$Q$492,0)),"")</f>
        <v>D</v>
      </c>
      <c r="D402" s="7" t="str">
        <f aca="false">IFERROR(INDEX('Output Utente'!$C$2:$C$492,MATCH(399,'Output Utente'!$Q$2:$Q$492,0)),"")</f>
        <v>Diawara S.</v>
      </c>
      <c r="E402" s="7" t="str">
        <f aca="false">IFERROR(INDEX('Input Giocatori 2026_27'!$D$3:$D$493,MATCH($B402,'Input Giocatori 2026_27'!$A$3:$A$493,0)),"")</f>
        <v>Milan</v>
      </c>
      <c r="F402" s="47" t="n">
        <f aca="false">IFERROR(INDEX('Output Utente'!$N$2:$N$492,MATCH(399,'Output Utente'!$Q$2:$Q$492,0)),"")</f>
        <v>2</v>
      </c>
      <c r="G402" s="47" t="n">
        <f aca="false">IFERROR(INDEX('Output Utente'!$O$2:$O$492,MATCH(399,'Output Utente'!$Q$2:$Q$492,0)),"")</f>
        <v>4</v>
      </c>
      <c r="H402" s="7" t="str">
        <f aca="false">IFERROR(INDEX('Output Utente'!$P$2:$P$492,MATCH(399,'Output Utente'!$Q$2:$Q$492,0)),"")</f>
        <v>Scommessa/Riserva</v>
      </c>
      <c r="I402" s="47" t="n">
        <f aca="false">IFERROR(INDEX('Output Utente'!$F$2:$F$492,MATCH(399,'Output Utente'!$Q$2:$Q$492,0)),"")</f>
        <v>1</v>
      </c>
      <c r="J402" s="47" t="n">
        <f aca="false">IFERROR(INDEX('Output Utente'!$G$2:$G$492,MATCH(399,'Output Utente'!$Q$2:$Q$492,0)),"")</f>
        <v>1</v>
      </c>
      <c r="K402" s="47" t="n">
        <f aca="false">IFERROR(INDEX('Output Utente'!$H$2:$H$492,MATCH(399,'Output Utente'!$Q$2:$Q$492,0)),"")</f>
        <v>1</v>
      </c>
      <c r="L402" s="7" t="str">
        <f aca="false">IFERROR(INDEX('Output Utente'!$E$2:$E$492,MATCH(399,'Output Utente'!$Q$2:$Q$492,0)),"")</f>
        <v>NO</v>
      </c>
      <c r="M402" s="7" t="str">
        <f aca="false">IFERROR(INDEX('Output Utente'!$U$2:$U$492,MATCH(399,'Output Utente'!$Q$2:$Q$492,0)),"")</f>
        <v>OK</v>
      </c>
      <c r="N402" s="7" t="str">
        <f aca="false">IFERROR(INDEX('Output Utente'!$AE$2:$AE$492,MATCH(399,'Output Utente'!$Q$2:$Q$492,0)),"")</f>
        <v>🟡 Attesa rischiosa</v>
      </c>
    </row>
    <row r="403" customFormat="false" ht="15" hidden="false" customHeight="true" outlineLevel="0" collapsed="false">
      <c r="A403" s="46" t="n">
        <v>400</v>
      </c>
      <c r="B403" s="7" t="n">
        <f aca="false">IFERROR(INDEX('Output Utente'!$A$2:$A$492,MATCH(400,'Output Utente'!$Q$2:$Q$492,0)),"")</f>
        <v>5994</v>
      </c>
      <c r="C403" s="7" t="str">
        <f aca="false">IFERROR(INDEX('Output Utente'!$B$2:$B$492,MATCH(400,'Output Utente'!$Q$2:$Q$492,0)),"")</f>
        <v>D</v>
      </c>
      <c r="D403" s="7" t="str">
        <f aca="false">IFERROR(INDEX('Output Utente'!$C$2:$C$492,MATCH(400,'Output Utente'!$Q$2:$Q$492,0)),"")</f>
        <v>Ebosse</v>
      </c>
      <c r="E403" s="7" t="str">
        <f aca="false">IFERROR(INDEX('Input Giocatori 2026_27'!$D$3:$D$493,MATCH($B403,'Input Giocatori 2026_27'!$A$3:$A$493,0)),"")</f>
        <v>Udinese</v>
      </c>
      <c r="F403" s="47" t="n">
        <f aca="false">IFERROR(INDEX('Output Utente'!$N$2:$N$492,MATCH(400,'Output Utente'!$Q$2:$Q$492,0)),"")</f>
        <v>2</v>
      </c>
      <c r="G403" s="47" t="n">
        <f aca="false">IFERROR(INDEX('Output Utente'!$O$2:$O$492,MATCH(400,'Output Utente'!$Q$2:$Q$492,0)),"")</f>
        <v>4</v>
      </c>
      <c r="H403" s="7" t="str">
        <f aca="false">IFERROR(INDEX('Output Utente'!$P$2:$P$492,MATCH(400,'Output Utente'!$Q$2:$Q$492,0)),"")</f>
        <v>Scommessa/Riserva</v>
      </c>
      <c r="I403" s="47" t="n">
        <f aca="false">IFERROR(INDEX('Output Utente'!$F$2:$F$492,MATCH(400,'Output Utente'!$Q$2:$Q$492,0)),"")</f>
        <v>1</v>
      </c>
      <c r="J403" s="47" t="n">
        <f aca="false">IFERROR(INDEX('Output Utente'!$G$2:$G$492,MATCH(400,'Output Utente'!$Q$2:$Q$492,0)),"")</f>
        <v>1</v>
      </c>
      <c r="K403" s="47" t="n">
        <f aca="false">IFERROR(INDEX('Output Utente'!$H$2:$H$492,MATCH(400,'Output Utente'!$Q$2:$Q$492,0)),"")</f>
        <v>1</v>
      </c>
      <c r="L403" s="7" t="str">
        <f aca="false">IFERROR(INDEX('Output Utente'!$E$2:$E$492,MATCH(400,'Output Utente'!$Q$2:$Q$492,0)),"")</f>
        <v>NO</v>
      </c>
      <c r="M403" s="7" t="str">
        <f aca="false">IFERROR(INDEX('Output Utente'!$U$2:$U$492,MATCH(400,'Output Utente'!$Q$2:$Q$492,0)),"")</f>
        <v>OK</v>
      </c>
      <c r="N403" s="7" t="str">
        <f aca="false">IFERROR(INDEX('Output Utente'!$AE$2:$AE$492,MATCH(400,'Output Utente'!$Q$2:$Q$492,0)),"")</f>
        <v>🟡 Attesa rischiosa</v>
      </c>
    </row>
    <row r="404" customFormat="false" ht="15" hidden="false" customHeight="true" outlineLevel="0" collapsed="false">
      <c r="A404" s="46" t="n">
        <v>401</v>
      </c>
      <c r="B404" s="7" t="n">
        <f aca="false">IFERROR(INDEX('Output Utente'!$A$2:$A$492,MATCH(401,'Output Utente'!$Q$2:$Q$492,0)),"")</f>
        <v>7478</v>
      </c>
      <c r="C404" s="7" t="str">
        <f aca="false">IFERROR(INDEX('Output Utente'!$B$2:$B$492,MATCH(401,'Output Utente'!$Q$2:$Q$492,0)),"")</f>
        <v>D</v>
      </c>
      <c r="D404" s="7" t="str">
        <f aca="false">IFERROR(INDEX('Output Utente'!$C$2:$C$492,MATCH(401,'Output Utente'!$Q$2:$Q$492,0)),"")</f>
        <v>Franjic</v>
      </c>
      <c r="E404" s="7" t="str">
        <f aca="false">IFERROR(INDEX('Input Giocatori 2026_27'!$D$3:$D$493,MATCH($B404,'Input Giocatori 2026_27'!$A$3:$A$493,0)),"")</f>
        <v>Venezia</v>
      </c>
      <c r="F404" s="47" t="n">
        <f aca="false">IFERROR(INDEX('Output Utente'!$N$2:$N$492,MATCH(401,'Output Utente'!$Q$2:$Q$492,0)),"")</f>
        <v>2</v>
      </c>
      <c r="G404" s="47" t="n">
        <f aca="false">IFERROR(INDEX('Output Utente'!$O$2:$O$492,MATCH(401,'Output Utente'!$Q$2:$Q$492,0)),"")</f>
        <v>4</v>
      </c>
      <c r="H404" s="7" t="str">
        <f aca="false">IFERROR(INDEX('Output Utente'!$P$2:$P$492,MATCH(401,'Output Utente'!$Q$2:$Q$492,0)),"")</f>
        <v>Scommessa/Riserva</v>
      </c>
      <c r="I404" s="47" t="n">
        <f aca="false">IFERROR(INDEX('Output Utente'!$F$2:$F$492,MATCH(401,'Output Utente'!$Q$2:$Q$492,0)),"")</f>
        <v>1</v>
      </c>
      <c r="J404" s="47" t="n">
        <f aca="false">IFERROR(INDEX('Output Utente'!$G$2:$G$492,MATCH(401,'Output Utente'!$Q$2:$Q$492,0)),"")</f>
        <v>1</v>
      </c>
      <c r="K404" s="47" t="n">
        <f aca="false">IFERROR(INDEX('Output Utente'!$H$2:$H$492,MATCH(401,'Output Utente'!$Q$2:$Q$492,0)),"")</f>
        <v>1</v>
      </c>
      <c r="L404" s="7" t="str">
        <f aca="false">IFERROR(INDEX('Output Utente'!$E$2:$E$492,MATCH(401,'Output Utente'!$Q$2:$Q$492,0)),"")</f>
        <v>NO</v>
      </c>
      <c r="M404" s="7" t="str">
        <f aca="false">IFERROR(INDEX('Output Utente'!$U$2:$U$492,MATCH(401,'Output Utente'!$Q$2:$Q$492,0)),"")</f>
        <v>OK</v>
      </c>
      <c r="N404" s="7" t="str">
        <f aca="false">IFERROR(INDEX('Output Utente'!$AE$2:$AE$492,MATCH(401,'Output Utente'!$Q$2:$Q$492,0)),"")</f>
        <v>🟡 Attesa rischiosa</v>
      </c>
    </row>
    <row r="405" customFormat="false" ht="15" hidden="false" customHeight="true" outlineLevel="0" collapsed="false">
      <c r="A405" s="46" t="n">
        <v>402</v>
      </c>
      <c r="B405" s="7" t="n">
        <f aca="false">IFERROR(INDEX('Output Utente'!$A$2:$A$492,MATCH(402,'Output Utente'!$Q$2:$Q$492,0)),"")</f>
        <v>6681</v>
      </c>
      <c r="C405" s="7" t="str">
        <f aca="false">IFERROR(INDEX('Output Utente'!$B$2:$B$492,MATCH(402,'Output Utente'!$Q$2:$Q$492,0)),"")</f>
        <v>D</v>
      </c>
      <c r="D405" s="7" t="str">
        <f aca="false">IFERROR(INDEX('Output Utente'!$C$2:$C$492,MATCH(402,'Output Utente'!$Q$2:$Q$492,0)),"")</f>
        <v>Sagrado</v>
      </c>
      <c r="E405" s="7" t="str">
        <f aca="false">IFERROR(INDEX('Input Giocatori 2026_27'!$D$3:$D$493,MATCH($B405,'Input Giocatori 2026_27'!$A$3:$A$493,0)),"")</f>
        <v>Venezia</v>
      </c>
      <c r="F405" s="47" t="n">
        <f aca="false">IFERROR(INDEX('Output Utente'!$N$2:$N$492,MATCH(402,'Output Utente'!$Q$2:$Q$492,0)),"")</f>
        <v>2</v>
      </c>
      <c r="G405" s="47" t="n">
        <f aca="false">IFERROR(INDEX('Output Utente'!$O$2:$O$492,MATCH(402,'Output Utente'!$Q$2:$Q$492,0)),"")</f>
        <v>4</v>
      </c>
      <c r="H405" s="7" t="str">
        <f aca="false">IFERROR(INDEX('Output Utente'!$P$2:$P$492,MATCH(402,'Output Utente'!$Q$2:$Q$492,0)),"")</f>
        <v>Scommessa/Riserva</v>
      </c>
      <c r="I405" s="47" t="n">
        <f aca="false">IFERROR(INDEX('Output Utente'!$F$2:$F$492,MATCH(402,'Output Utente'!$Q$2:$Q$492,0)),"")</f>
        <v>1</v>
      </c>
      <c r="J405" s="47" t="n">
        <f aca="false">IFERROR(INDEX('Output Utente'!$G$2:$G$492,MATCH(402,'Output Utente'!$Q$2:$Q$492,0)),"")</f>
        <v>1</v>
      </c>
      <c r="K405" s="47" t="n">
        <f aca="false">IFERROR(INDEX('Output Utente'!$H$2:$H$492,MATCH(402,'Output Utente'!$Q$2:$Q$492,0)),"")</f>
        <v>1</v>
      </c>
      <c r="L405" s="7" t="str">
        <f aca="false">IFERROR(INDEX('Output Utente'!$E$2:$E$492,MATCH(402,'Output Utente'!$Q$2:$Q$492,0)),"")</f>
        <v>NO</v>
      </c>
      <c r="M405" s="7" t="str">
        <f aca="false">IFERROR(INDEX('Output Utente'!$U$2:$U$492,MATCH(402,'Output Utente'!$Q$2:$Q$492,0)),"")</f>
        <v>OK</v>
      </c>
      <c r="N405" s="7" t="str">
        <f aca="false">IFERROR(INDEX('Output Utente'!$AE$2:$AE$492,MATCH(402,'Output Utente'!$Q$2:$Q$492,0)),"")</f>
        <v>🟡 Attesa rischiosa</v>
      </c>
    </row>
    <row r="406" customFormat="false" ht="15" hidden="false" customHeight="true" outlineLevel="0" collapsed="false">
      <c r="A406" s="46" t="n">
        <v>403</v>
      </c>
      <c r="B406" s="7" t="n">
        <f aca="false">IFERROR(INDEX('Output Utente'!$A$2:$A$492,MATCH(403,'Output Utente'!$Q$2:$Q$492,0)),"")</f>
        <v>487</v>
      </c>
      <c r="C406" s="7" t="str">
        <f aca="false">IFERROR(INDEX('Output Utente'!$B$2:$B$492,MATCH(403,'Output Utente'!$Q$2:$Q$492,0)),"")</f>
        <v>D</v>
      </c>
      <c r="D406" s="7" t="str">
        <f aca="false">IFERROR(INDEX('Output Utente'!$C$2:$C$492,MATCH(403,'Output Utente'!$Q$2:$Q$492,0)),"")</f>
        <v>De Silvestri</v>
      </c>
      <c r="E406" s="7" t="str">
        <f aca="false">IFERROR(INDEX('Input Giocatori 2026_27'!$D$3:$D$493,MATCH($B406,'Input Giocatori 2026_27'!$A$3:$A$493,0)),"")</f>
        <v>Bologna</v>
      </c>
      <c r="F406" s="47" t="n">
        <f aca="false">IFERROR(INDEX('Output Utente'!$N$2:$N$492,MATCH(403,'Output Utente'!$Q$2:$Q$492,0)),"")</f>
        <v>1</v>
      </c>
      <c r="G406" s="47" t="n">
        <f aca="false">IFERROR(INDEX('Output Utente'!$O$2:$O$492,MATCH(403,'Output Utente'!$Q$2:$Q$492,0)),"")</f>
        <v>4</v>
      </c>
      <c r="H406" s="7" t="str">
        <f aca="false">IFERROR(INDEX('Output Utente'!$P$2:$P$492,MATCH(403,'Output Utente'!$Q$2:$Q$492,0)),"")</f>
        <v>Scommessa/Riserva</v>
      </c>
      <c r="I406" s="47" t="n">
        <f aca="false">IFERROR(INDEX('Output Utente'!$F$2:$F$492,MATCH(403,'Output Utente'!$Q$2:$Q$492,0)),"")</f>
        <v>1</v>
      </c>
      <c r="J406" s="47" t="n">
        <f aca="false">IFERROR(INDEX('Output Utente'!$G$2:$G$492,MATCH(403,'Output Utente'!$Q$2:$Q$492,0)),"")</f>
        <v>1</v>
      </c>
      <c r="K406" s="47" t="n">
        <f aca="false">IFERROR(INDEX('Output Utente'!$H$2:$H$492,MATCH(403,'Output Utente'!$Q$2:$Q$492,0)),"")</f>
        <v>1</v>
      </c>
      <c r="L406" s="7" t="str">
        <f aca="false">IFERROR(INDEX('Output Utente'!$E$2:$E$492,MATCH(403,'Output Utente'!$Q$2:$Q$492,0)),"")</f>
        <v>NO</v>
      </c>
      <c r="M406" s="7" t="str">
        <f aca="false">IFERROR(INDEX('Output Utente'!$U$2:$U$492,MATCH(403,'Output Utente'!$Q$2:$Q$492,0)),"")</f>
        <v>OK</v>
      </c>
      <c r="N406" s="7" t="str">
        <f aca="false">IFERROR(INDEX('Output Utente'!$AE$2:$AE$492,MATCH(403,'Output Utente'!$Q$2:$Q$492,0)),"")</f>
        <v>🟡 Attesa rischiosa</v>
      </c>
    </row>
    <row r="407" customFormat="false" ht="15" hidden="false" customHeight="true" outlineLevel="0" collapsed="false">
      <c r="A407" s="46" t="n">
        <v>404</v>
      </c>
      <c r="B407" s="7" t="n">
        <f aca="false">IFERROR(INDEX('Output Utente'!$A$2:$A$492,MATCH(404,'Output Utente'!$Q$2:$Q$492,0)),"")</f>
        <v>6039</v>
      </c>
      <c r="C407" s="7" t="str">
        <f aca="false">IFERROR(INDEX('Output Utente'!$B$2:$B$492,MATCH(404,'Output Utente'!$Q$2:$Q$492,0)),"")</f>
        <v>D</v>
      </c>
      <c r="D407" s="7" t="str">
        <f aca="false">IFERROR(INDEX('Output Utente'!$C$2:$C$492,MATCH(404,'Output Utente'!$Q$2:$Q$492,0)),"")</f>
        <v>Cabal</v>
      </c>
      <c r="E407" s="7" t="str">
        <f aca="false">IFERROR(INDEX('Input Giocatori 2026_27'!$D$3:$D$493,MATCH($B407,'Input Giocatori 2026_27'!$A$3:$A$493,0)),"")</f>
        <v>Juventus</v>
      </c>
      <c r="F407" s="47" t="n">
        <f aca="false">IFERROR(INDEX('Output Utente'!$N$2:$N$492,MATCH(404,'Output Utente'!$Q$2:$Q$492,0)),"")</f>
        <v>1</v>
      </c>
      <c r="G407" s="47" t="n">
        <f aca="false">IFERROR(INDEX('Output Utente'!$O$2:$O$492,MATCH(404,'Output Utente'!$Q$2:$Q$492,0)),"")</f>
        <v>4</v>
      </c>
      <c r="H407" s="7" t="str">
        <f aca="false">IFERROR(INDEX('Output Utente'!$P$2:$P$492,MATCH(404,'Output Utente'!$Q$2:$Q$492,0)),"")</f>
        <v>Scommessa/Riserva</v>
      </c>
      <c r="I407" s="47" t="n">
        <f aca="false">IFERROR(INDEX('Output Utente'!$F$2:$F$492,MATCH(404,'Output Utente'!$Q$2:$Q$492,0)),"")</f>
        <v>1</v>
      </c>
      <c r="J407" s="47" t="n">
        <f aca="false">IFERROR(INDEX('Output Utente'!$G$2:$G$492,MATCH(404,'Output Utente'!$Q$2:$Q$492,0)),"")</f>
        <v>1</v>
      </c>
      <c r="K407" s="47" t="n">
        <f aca="false">IFERROR(INDEX('Output Utente'!$H$2:$H$492,MATCH(404,'Output Utente'!$Q$2:$Q$492,0)),"")</f>
        <v>1</v>
      </c>
      <c r="L407" s="7" t="str">
        <f aca="false">IFERROR(INDEX('Output Utente'!$E$2:$E$492,MATCH(404,'Output Utente'!$Q$2:$Q$492,0)),"")</f>
        <v>NO</v>
      </c>
      <c r="M407" s="7" t="str">
        <f aca="false">IFERROR(INDEX('Output Utente'!$U$2:$U$492,MATCH(404,'Output Utente'!$Q$2:$Q$492,0)),"")</f>
        <v>OK</v>
      </c>
      <c r="N407" s="7" t="str">
        <f aca="false">IFERROR(INDEX('Output Utente'!$AE$2:$AE$492,MATCH(404,'Output Utente'!$Q$2:$Q$492,0)),"")</f>
        <v>🟡 Attesa rischiosa</v>
      </c>
    </row>
    <row r="408" customFormat="false" ht="15" hidden="false" customHeight="true" outlineLevel="0" collapsed="false">
      <c r="A408" s="46" t="n">
        <v>405</v>
      </c>
      <c r="B408" s="7" t="n">
        <f aca="false">IFERROR(INDEX('Output Utente'!$A$2:$A$492,MATCH(405,'Output Utente'!$Q$2:$Q$492,0)),"")</f>
        <v>327</v>
      </c>
      <c r="C408" s="7" t="str">
        <f aca="false">IFERROR(INDEX('Output Utente'!$B$2:$B$492,MATCH(405,'Output Utente'!$Q$2:$Q$492,0)),"")</f>
        <v>D</v>
      </c>
      <c r="D408" s="7" t="str">
        <f aca="false">IFERROR(INDEX('Output Utente'!$C$2:$C$492,MATCH(405,'Output Utente'!$Q$2:$Q$492,0)),"")</f>
        <v>Patric</v>
      </c>
      <c r="E408" s="7" t="str">
        <f aca="false">IFERROR(INDEX('Input Giocatori 2026_27'!$D$3:$D$493,MATCH($B408,'Input Giocatori 2026_27'!$A$3:$A$493,0)),"")</f>
        <v>Lazio</v>
      </c>
      <c r="F408" s="47" t="n">
        <f aca="false">IFERROR(INDEX('Output Utente'!$N$2:$N$492,MATCH(405,'Output Utente'!$Q$2:$Q$492,0)),"")</f>
        <v>1</v>
      </c>
      <c r="G408" s="47" t="n">
        <f aca="false">IFERROR(INDEX('Output Utente'!$O$2:$O$492,MATCH(405,'Output Utente'!$Q$2:$Q$492,0)),"")</f>
        <v>4</v>
      </c>
      <c r="H408" s="7" t="str">
        <f aca="false">IFERROR(INDEX('Output Utente'!$P$2:$P$492,MATCH(405,'Output Utente'!$Q$2:$Q$492,0)),"")</f>
        <v>Scommessa/Riserva</v>
      </c>
      <c r="I408" s="47" t="n">
        <f aca="false">IFERROR(INDEX('Output Utente'!$F$2:$F$492,MATCH(405,'Output Utente'!$Q$2:$Q$492,0)),"")</f>
        <v>1</v>
      </c>
      <c r="J408" s="47" t="n">
        <f aca="false">IFERROR(INDEX('Output Utente'!$G$2:$G$492,MATCH(405,'Output Utente'!$Q$2:$Q$492,0)),"")</f>
        <v>1</v>
      </c>
      <c r="K408" s="47" t="n">
        <f aca="false">IFERROR(INDEX('Output Utente'!$H$2:$H$492,MATCH(405,'Output Utente'!$Q$2:$Q$492,0)),"")</f>
        <v>1</v>
      </c>
      <c r="L408" s="7" t="str">
        <f aca="false">IFERROR(INDEX('Output Utente'!$E$2:$E$492,MATCH(405,'Output Utente'!$Q$2:$Q$492,0)),"")</f>
        <v>NO</v>
      </c>
      <c r="M408" s="7" t="str">
        <f aca="false">IFERROR(INDEX('Output Utente'!$U$2:$U$492,MATCH(405,'Output Utente'!$Q$2:$Q$492,0)),"")</f>
        <v>OK</v>
      </c>
      <c r="N408" s="7" t="str">
        <f aca="false">IFERROR(INDEX('Output Utente'!$AE$2:$AE$492,MATCH(405,'Output Utente'!$Q$2:$Q$492,0)),"")</f>
        <v>🟡 Attesa rischiosa</v>
      </c>
    </row>
    <row r="409" customFormat="false" ht="15" hidden="false" customHeight="true" outlineLevel="0" collapsed="false">
      <c r="A409" s="46" t="n">
        <v>406</v>
      </c>
      <c r="B409" s="7" t="n">
        <f aca="false">IFERROR(INDEX('Output Utente'!$A$2:$A$492,MATCH(406,'Output Utente'!$Q$2:$Q$492,0)),"")</f>
        <v>7182</v>
      </c>
      <c r="C409" s="7" t="str">
        <f aca="false">IFERROR(INDEX('Output Utente'!$B$2:$B$492,MATCH(406,'Output Utente'!$Q$2:$Q$492,0)),"")</f>
        <v>D</v>
      </c>
      <c r="D409" s="7" t="str">
        <f aca="false">IFERROR(INDEX('Output Utente'!$C$2:$C$492,MATCH(406,'Output Utente'!$Q$2:$Q$492,0)),"")</f>
        <v>Ndaba</v>
      </c>
      <c r="E409" s="7" t="str">
        <f aca="false">IFERROR(INDEX('Input Giocatori 2026_27'!$D$3:$D$493,MATCH($B409,'Input Giocatori 2026_27'!$A$3:$A$493,0)),"")</f>
        <v>Lecce</v>
      </c>
      <c r="F409" s="47" t="n">
        <f aca="false">IFERROR(INDEX('Output Utente'!$N$2:$N$492,MATCH(406,'Output Utente'!$Q$2:$Q$492,0)),"")</f>
        <v>1</v>
      </c>
      <c r="G409" s="47" t="n">
        <f aca="false">IFERROR(INDEX('Output Utente'!$O$2:$O$492,MATCH(406,'Output Utente'!$Q$2:$Q$492,0)),"")</f>
        <v>4</v>
      </c>
      <c r="H409" s="7" t="str">
        <f aca="false">IFERROR(INDEX('Output Utente'!$P$2:$P$492,MATCH(406,'Output Utente'!$Q$2:$Q$492,0)),"")</f>
        <v>Scommessa/Riserva</v>
      </c>
      <c r="I409" s="47" t="n">
        <f aca="false">IFERROR(INDEX('Output Utente'!$F$2:$F$492,MATCH(406,'Output Utente'!$Q$2:$Q$492,0)),"")</f>
        <v>1</v>
      </c>
      <c r="J409" s="47" t="n">
        <f aca="false">IFERROR(INDEX('Output Utente'!$G$2:$G$492,MATCH(406,'Output Utente'!$Q$2:$Q$492,0)),"")</f>
        <v>1</v>
      </c>
      <c r="K409" s="47" t="n">
        <f aca="false">IFERROR(INDEX('Output Utente'!$H$2:$H$492,MATCH(406,'Output Utente'!$Q$2:$Q$492,0)),"")</f>
        <v>1</v>
      </c>
      <c r="L409" s="7" t="str">
        <f aca="false">IFERROR(INDEX('Output Utente'!$E$2:$E$492,MATCH(406,'Output Utente'!$Q$2:$Q$492,0)),"")</f>
        <v>NO</v>
      </c>
      <c r="M409" s="7" t="str">
        <f aca="false">IFERROR(INDEX('Output Utente'!$U$2:$U$492,MATCH(406,'Output Utente'!$Q$2:$Q$492,0)),"")</f>
        <v>OK</v>
      </c>
      <c r="N409" s="7" t="str">
        <f aca="false">IFERROR(INDEX('Output Utente'!$AE$2:$AE$492,MATCH(406,'Output Utente'!$Q$2:$Q$492,0)),"")</f>
        <v>🟡 Attesa rischiosa</v>
      </c>
    </row>
    <row r="410" customFormat="false" ht="15" hidden="false" customHeight="true" outlineLevel="0" collapsed="false">
      <c r="A410" s="46" t="n">
        <v>407</v>
      </c>
      <c r="B410" s="7" t="n">
        <f aca="false">IFERROR(INDEX('Output Utente'!$A$2:$A$492,MATCH(407,'Output Utente'!$Q$2:$Q$492,0)),"")</f>
        <v>7476</v>
      </c>
      <c r="C410" s="7" t="str">
        <f aca="false">IFERROR(INDEX('Output Utente'!$B$2:$B$492,MATCH(407,'Output Utente'!$Q$2:$Q$492,0)),"")</f>
        <v>D</v>
      </c>
      <c r="D410" s="7" t="str">
        <f aca="false">IFERROR(INDEX('Output Utente'!$C$2:$C$492,MATCH(407,'Output Utente'!$Q$2:$Q$492,0)),"")</f>
        <v>Bakoune</v>
      </c>
      <c r="E410" s="7" t="str">
        <f aca="false">IFERROR(INDEX('Input Giocatori 2026_27'!$D$3:$D$493,MATCH($B410,'Input Giocatori 2026_27'!$A$3:$A$493,0)),"")</f>
        <v>Monza</v>
      </c>
      <c r="F410" s="47" t="n">
        <f aca="false">IFERROR(INDEX('Output Utente'!$N$2:$N$492,MATCH(407,'Output Utente'!$Q$2:$Q$492,0)),"")</f>
        <v>1</v>
      </c>
      <c r="G410" s="47" t="n">
        <f aca="false">IFERROR(INDEX('Output Utente'!$O$2:$O$492,MATCH(407,'Output Utente'!$Q$2:$Q$492,0)),"")</f>
        <v>4</v>
      </c>
      <c r="H410" s="7" t="str">
        <f aca="false">IFERROR(INDEX('Output Utente'!$P$2:$P$492,MATCH(407,'Output Utente'!$Q$2:$Q$492,0)),"")</f>
        <v>Scommessa/Riserva</v>
      </c>
      <c r="I410" s="47" t="n">
        <f aca="false">IFERROR(INDEX('Output Utente'!$F$2:$F$492,MATCH(407,'Output Utente'!$Q$2:$Q$492,0)),"")</f>
        <v>1</v>
      </c>
      <c r="J410" s="47" t="n">
        <f aca="false">IFERROR(INDEX('Output Utente'!$G$2:$G$492,MATCH(407,'Output Utente'!$Q$2:$Q$492,0)),"")</f>
        <v>1</v>
      </c>
      <c r="K410" s="47" t="n">
        <f aca="false">IFERROR(INDEX('Output Utente'!$H$2:$H$492,MATCH(407,'Output Utente'!$Q$2:$Q$492,0)),"")</f>
        <v>1</v>
      </c>
      <c r="L410" s="7" t="str">
        <f aca="false">IFERROR(INDEX('Output Utente'!$E$2:$E$492,MATCH(407,'Output Utente'!$Q$2:$Q$492,0)),"")</f>
        <v>NO</v>
      </c>
      <c r="M410" s="7" t="str">
        <f aca="false">IFERROR(INDEX('Output Utente'!$U$2:$U$492,MATCH(407,'Output Utente'!$Q$2:$Q$492,0)),"")</f>
        <v>OK</v>
      </c>
      <c r="N410" s="7" t="str">
        <f aca="false">IFERROR(INDEX('Output Utente'!$AE$2:$AE$492,MATCH(407,'Output Utente'!$Q$2:$Q$492,0)),"")</f>
        <v>🟡 Attesa rischiosa</v>
      </c>
    </row>
    <row r="411" customFormat="false" ht="15" hidden="false" customHeight="true" outlineLevel="0" collapsed="false">
      <c r="A411" s="46" t="n">
        <v>408</v>
      </c>
      <c r="B411" s="7" t="n">
        <f aca="false">IFERROR(INDEX('Output Utente'!$A$2:$A$492,MATCH(408,'Output Utente'!$Q$2:$Q$492,0)),"")</f>
        <v>7202</v>
      </c>
      <c r="C411" s="7" t="str">
        <f aca="false">IFERROR(INDEX('Output Utente'!$B$2:$B$492,MATCH(408,'Output Utente'!$Q$2:$Q$492,0)),"")</f>
        <v>D</v>
      </c>
      <c r="D411" s="7" t="str">
        <f aca="false">IFERROR(INDEX('Output Utente'!$C$2:$C$492,MATCH(408,'Output Utente'!$Q$2:$Q$492,0)),"")</f>
        <v>Ndiaye</v>
      </c>
      <c r="E411" s="7" t="str">
        <f aca="false">IFERROR(INDEX('Input Giocatori 2026_27'!$D$3:$D$493,MATCH($B411,'Input Giocatori 2026_27'!$A$3:$A$493,0)),"")</f>
        <v>Parma</v>
      </c>
      <c r="F411" s="47" t="n">
        <f aca="false">IFERROR(INDEX('Output Utente'!$N$2:$N$492,MATCH(408,'Output Utente'!$Q$2:$Q$492,0)),"")</f>
        <v>1</v>
      </c>
      <c r="G411" s="47" t="n">
        <f aca="false">IFERROR(INDEX('Output Utente'!$O$2:$O$492,MATCH(408,'Output Utente'!$Q$2:$Q$492,0)),"")</f>
        <v>4</v>
      </c>
      <c r="H411" s="7" t="str">
        <f aca="false">IFERROR(INDEX('Output Utente'!$P$2:$P$492,MATCH(408,'Output Utente'!$Q$2:$Q$492,0)),"")</f>
        <v>Scommessa/Riserva</v>
      </c>
      <c r="I411" s="47" t="n">
        <f aca="false">IFERROR(INDEX('Output Utente'!$F$2:$F$492,MATCH(408,'Output Utente'!$Q$2:$Q$492,0)),"")</f>
        <v>1</v>
      </c>
      <c r="J411" s="47" t="n">
        <f aca="false">IFERROR(INDEX('Output Utente'!$G$2:$G$492,MATCH(408,'Output Utente'!$Q$2:$Q$492,0)),"")</f>
        <v>1</v>
      </c>
      <c r="K411" s="47" t="n">
        <f aca="false">IFERROR(INDEX('Output Utente'!$H$2:$H$492,MATCH(408,'Output Utente'!$Q$2:$Q$492,0)),"")</f>
        <v>1</v>
      </c>
      <c r="L411" s="7" t="str">
        <f aca="false">IFERROR(INDEX('Output Utente'!$E$2:$E$492,MATCH(408,'Output Utente'!$Q$2:$Q$492,0)),"")</f>
        <v>NO</v>
      </c>
      <c r="M411" s="7" t="str">
        <f aca="false">IFERROR(INDEX('Output Utente'!$U$2:$U$492,MATCH(408,'Output Utente'!$Q$2:$Q$492,0)),"")</f>
        <v>OK</v>
      </c>
      <c r="N411" s="7" t="str">
        <f aca="false">IFERROR(INDEX('Output Utente'!$AE$2:$AE$492,MATCH(408,'Output Utente'!$Q$2:$Q$492,0)),"")</f>
        <v>🟡 Attesa rischiosa</v>
      </c>
    </row>
    <row r="412" customFormat="false" ht="15" hidden="false" customHeight="true" outlineLevel="0" collapsed="false">
      <c r="A412" s="46" t="n">
        <v>409</v>
      </c>
      <c r="B412" s="7" t="n">
        <f aca="false">IFERROR(INDEX('Output Utente'!$A$2:$A$492,MATCH(409,'Output Utente'!$Q$2:$Q$492,0)),"")</f>
        <v>6225</v>
      </c>
      <c r="C412" s="7" t="str">
        <f aca="false">IFERROR(INDEX('Output Utente'!$B$2:$B$492,MATCH(409,'Output Utente'!$Q$2:$Q$492,0)),"")</f>
        <v>C</v>
      </c>
      <c r="D412" s="7" t="str">
        <f aca="false">IFERROR(INDEX('Output Utente'!$C$2:$C$492,MATCH(409,'Output Utente'!$Q$2:$Q$492,0)),"")</f>
        <v>El Azzouzi O.</v>
      </c>
      <c r="E412" s="7" t="str">
        <f aca="false">IFERROR(INDEX('Input Giocatori 2026_27'!$D$3:$D$493,MATCH($B412,'Input Giocatori 2026_27'!$A$3:$A$493,0)),"")</f>
        <v>Bologna</v>
      </c>
      <c r="F412" s="47" t="n">
        <f aca="false">IFERROR(INDEX('Output Utente'!$N$2:$N$492,MATCH(409,'Output Utente'!$Q$2:$Q$492,0)),"")</f>
        <v>2</v>
      </c>
      <c r="G412" s="47" t="n">
        <f aca="false">IFERROR(INDEX('Output Utente'!$O$2:$O$492,MATCH(409,'Output Utente'!$Q$2:$Q$492,0)),"")</f>
        <v>4</v>
      </c>
      <c r="H412" s="7" t="str">
        <f aca="false">IFERROR(INDEX('Output Utente'!$P$2:$P$492,MATCH(409,'Output Utente'!$Q$2:$Q$492,0)),"")</f>
        <v>Scommessa/Riserva</v>
      </c>
      <c r="I412" s="47" t="n">
        <f aca="false">IFERROR(INDEX('Output Utente'!$F$2:$F$492,MATCH(409,'Output Utente'!$Q$2:$Q$492,0)),"")</f>
        <v>1</v>
      </c>
      <c r="J412" s="47" t="n">
        <f aca="false">IFERROR(INDEX('Output Utente'!$G$2:$G$492,MATCH(409,'Output Utente'!$Q$2:$Q$492,0)),"")</f>
        <v>1</v>
      </c>
      <c r="K412" s="47" t="n">
        <f aca="false">IFERROR(INDEX('Output Utente'!$H$2:$H$492,MATCH(409,'Output Utente'!$Q$2:$Q$492,0)),"")</f>
        <v>1</v>
      </c>
      <c r="L412" s="7" t="str">
        <f aca="false">IFERROR(INDEX('Output Utente'!$E$2:$E$492,MATCH(409,'Output Utente'!$Q$2:$Q$492,0)),"")</f>
        <v>NO</v>
      </c>
      <c r="M412" s="7" t="str">
        <f aca="false">IFERROR(INDEX('Output Utente'!$U$2:$U$492,MATCH(409,'Output Utente'!$Q$2:$Q$492,0)),"")</f>
        <v>OK</v>
      </c>
      <c r="N412" s="7" t="str">
        <f aca="false">IFERROR(INDEX('Output Utente'!$AE$2:$AE$492,MATCH(409,'Output Utente'!$Q$2:$Q$492,0)),"")</f>
        <v>🟡 Attesa rischiosa</v>
      </c>
    </row>
    <row r="413" customFormat="false" ht="15" hidden="false" customHeight="true" outlineLevel="0" collapsed="false">
      <c r="A413" s="46" t="n">
        <v>410</v>
      </c>
      <c r="B413" s="7" t="n">
        <f aca="false">IFERROR(INDEX('Output Utente'!$A$2:$A$492,MATCH(410,'Output Utente'!$Q$2:$Q$492,0)),"")</f>
        <v>6917</v>
      </c>
      <c r="C413" s="7" t="str">
        <f aca="false">IFERROR(INDEX('Output Utente'!$B$2:$B$492,MATCH(410,'Output Utente'!$Q$2:$Q$492,0)),"")</f>
        <v>C</v>
      </c>
      <c r="D413" s="7" t="str">
        <f aca="false">IFERROR(INDEX('Output Utente'!$C$2:$C$492,MATCH(410,'Output Utente'!$Q$2:$Q$492,0)),"")</f>
        <v>Masini</v>
      </c>
      <c r="E413" s="7" t="str">
        <f aca="false">IFERROR(INDEX('Input Giocatori 2026_27'!$D$3:$D$493,MATCH($B413,'Input Giocatori 2026_27'!$A$3:$A$493,0)),"")</f>
        <v>Genoa</v>
      </c>
      <c r="F413" s="47" t="n">
        <f aca="false">IFERROR(INDEX('Output Utente'!$N$2:$N$492,MATCH(410,'Output Utente'!$Q$2:$Q$492,0)),"")</f>
        <v>2</v>
      </c>
      <c r="G413" s="47" t="n">
        <f aca="false">IFERROR(INDEX('Output Utente'!$O$2:$O$492,MATCH(410,'Output Utente'!$Q$2:$Q$492,0)),"")</f>
        <v>4</v>
      </c>
      <c r="H413" s="7" t="str">
        <f aca="false">IFERROR(INDEX('Output Utente'!$P$2:$P$492,MATCH(410,'Output Utente'!$Q$2:$Q$492,0)),"")</f>
        <v>Scommessa/Riserva</v>
      </c>
      <c r="I413" s="47" t="n">
        <f aca="false">IFERROR(INDEX('Output Utente'!$F$2:$F$492,MATCH(410,'Output Utente'!$Q$2:$Q$492,0)),"")</f>
        <v>1</v>
      </c>
      <c r="J413" s="47" t="n">
        <f aca="false">IFERROR(INDEX('Output Utente'!$G$2:$G$492,MATCH(410,'Output Utente'!$Q$2:$Q$492,0)),"")</f>
        <v>1</v>
      </c>
      <c r="K413" s="47" t="n">
        <f aca="false">IFERROR(INDEX('Output Utente'!$H$2:$H$492,MATCH(410,'Output Utente'!$Q$2:$Q$492,0)),"")</f>
        <v>1</v>
      </c>
      <c r="L413" s="7" t="str">
        <f aca="false">IFERROR(INDEX('Output Utente'!$E$2:$E$492,MATCH(410,'Output Utente'!$Q$2:$Q$492,0)),"")</f>
        <v>NO</v>
      </c>
      <c r="M413" s="7" t="str">
        <f aca="false">IFERROR(INDEX('Output Utente'!$U$2:$U$492,MATCH(410,'Output Utente'!$Q$2:$Q$492,0)),"")</f>
        <v>OK</v>
      </c>
      <c r="N413" s="7" t="str">
        <f aca="false">IFERROR(INDEX('Output Utente'!$AE$2:$AE$492,MATCH(410,'Output Utente'!$Q$2:$Q$492,0)),"")</f>
        <v>🟡 Attesa rischiosa</v>
      </c>
    </row>
    <row r="414" customFormat="false" ht="15" hidden="false" customHeight="true" outlineLevel="0" collapsed="false">
      <c r="A414" s="46" t="n">
        <v>411</v>
      </c>
      <c r="B414" s="7" t="n">
        <f aca="false">IFERROR(INDEX('Output Utente'!$A$2:$A$492,MATCH(411,'Output Utente'!$Q$2:$Q$492,0)),"")</f>
        <v>526</v>
      </c>
      <c r="C414" s="7" t="str">
        <f aca="false">IFERROR(INDEX('Output Utente'!$B$2:$B$492,MATCH(411,'Output Utente'!$Q$2:$Q$492,0)),"")</f>
        <v>C</v>
      </c>
      <c r="D414" s="7" t="str">
        <f aca="false">IFERROR(INDEX('Output Utente'!$C$2:$C$492,MATCH(411,'Output Utente'!$Q$2:$Q$492,0)),"")</f>
        <v>Duncan</v>
      </c>
      <c r="E414" s="7" t="str">
        <f aca="false">IFERROR(INDEX('Input Giocatori 2026_27'!$D$3:$D$493,MATCH($B414,'Input Giocatori 2026_27'!$A$3:$A$493,0)),"")</f>
        <v>Venezia</v>
      </c>
      <c r="F414" s="47" t="n">
        <f aca="false">IFERROR(INDEX('Output Utente'!$N$2:$N$492,MATCH(411,'Output Utente'!$Q$2:$Q$492,0)),"")</f>
        <v>2</v>
      </c>
      <c r="G414" s="47" t="n">
        <f aca="false">IFERROR(INDEX('Output Utente'!$O$2:$O$492,MATCH(411,'Output Utente'!$Q$2:$Q$492,0)),"")</f>
        <v>4</v>
      </c>
      <c r="H414" s="7" t="str">
        <f aca="false">IFERROR(INDEX('Output Utente'!$P$2:$P$492,MATCH(411,'Output Utente'!$Q$2:$Q$492,0)),"")</f>
        <v>Scommessa/Riserva</v>
      </c>
      <c r="I414" s="47" t="n">
        <f aca="false">IFERROR(INDEX('Output Utente'!$F$2:$F$492,MATCH(411,'Output Utente'!$Q$2:$Q$492,0)),"")</f>
        <v>1</v>
      </c>
      <c r="J414" s="47" t="n">
        <f aca="false">IFERROR(INDEX('Output Utente'!$G$2:$G$492,MATCH(411,'Output Utente'!$Q$2:$Q$492,0)),"")</f>
        <v>1</v>
      </c>
      <c r="K414" s="47" t="n">
        <f aca="false">IFERROR(INDEX('Output Utente'!$H$2:$H$492,MATCH(411,'Output Utente'!$Q$2:$Q$492,0)),"")</f>
        <v>1</v>
      </c>
      <c r="L414" s="7" t="str">
        <f aca="false">IFERROR(INDEX('Output Utente'!$E$2:$E$492,MATCH(411,'Output Utente'!$Q$2:$Q$492,0)),"")</f>
        <v>NO</v>
      </c>
      <c r="M414" s="7" t="str">
        <f aca="false">IFERROR(INDEX('Output Utente'!$U$2:$U$492,MATCH(411,'Output Utente'!$Q$2:$Q$492,0)),"")</f>
        <v>OK</v>
      </c>
      <c r="N414" s="7" t="str">
        <f aca="false">IFERROR(INDEX('Output Utente'!$AE$2:$AE$492,MATCH(411,'Output Utente'!$Q$2:$Q$492,0)),"")</f>
        <v>🟡 Attesa rischiosa</v>
      </c>
    </row>
    <row r="415" customFormat="false" ht="15" hidden="false" customHeight="true" outlineLevel="0" collapsed="false">
      <c r="A415" s="46" t="n">
        <v>412</v>
      </c>
      <c r="B415" s="7" t="n">
        <f aca="false">IFERROR(INDEX('Output Utente'!$A$2:$A$492,MATCH(412,'Output Utente'!$Q$2:$Q$492,0)),"")</f>
        <v>5007</v>
      </c>
      <c r="C415" s="7" t="str">
        <f aca="false">IFERROR(INDEX('Output Utente'!$B$2:$B$492,MATCH(412,'Output Utente'!$Q$2:$Q$492,0)),"")</f>
        <v>C</v>
      </c>
      <c r="D415" s="7" t="str">
        <f aca="false">IFERROR(INDEX('Output Utente'!$C$2:$C$492,MATCH(412,'Output Utente'!$Q$2:$Q$492,0)),"")</f>
        <v>Ilic</v>
      </c>
      <c r="E415" s="7" t="str">
        <f aca="false">IFERROR(INDEX('Input Giocatori 2026_27'!$D$3:$D$493,MATCH($B415,'Input Giocatori 2026_27'!$A$3:$A$493,0)),"")</f>
        <v>Torino</v>
      </c>
      <c r="F415" s="47" t="n">
        <f aca="false">IFERROR(INDEX('Output Utente'!$N$2:$N$492,MATCH(412,'Output Utente'!$Q$2:$Q$492,0)),"")</f>
        <v>1</v>
      </c>
      <c r="G415" s="47" t="n">
        <f aca="false">IFERROR(INDEX('Output Utente'!$O$2:$O$492,MATCH(412,'Output Utente'!$Q$2:$Q$492,0)),"")</f>
        <v>4</v>
      </c>
      <c r="H415" s="7" t="str">
        <f aca="false">IFERROR(INDEX('Output Utente'!$P$2:$P$492,MATCH(412,'Output Utente'!$Q$2:$Q$492,0)),"")</f>
        <v>Scommessa/Riserva</v>
      </c>
      <c r="I415" s="47" t="n">
        <f aca="false">IFERROR(INDEX('Output Utente'!$F$2:$F$492,MATCH(412,'Output Utente'!$Q$2:$Q$492,0)),"")</f>
        <v>1</v>
      </c>
      <c r="J415" s="47" t="n">
        <f aca="false">IFERROR(INDEX('Output Utente'!$G$2:$G$492,MATCH(412,'Output Utente'!$Q$2:$Q$492,0)),"")</f>
        <v>1</v>
      </c>
      <c r="K415" s="47" t="n">
        <f aca="false">IFERROR(INDEX('Output Utente'!$H$2:$H$492,MATCH(412,'Output Utente'!$Q$2:$Q$492,0)),"")</f>
        <v>1</v>
      </c>
      <c r="L415" s="7" t="str">
        <f aca="false">IFERROR(INDEX('Output Utente'!$E$2:$E$492,MATCH(412,'Output Utente'!$Q$2:$Q$492,0)),"")</f>
        <v>NO</v>
      </c>
      <c r="M415" s="7" t="str">
        <f aca="false">IFERROR(INDEX('Output Utente'!$U$2:$U$492,MATCH(412,'Output Utente'!$Q$2:$Q$492,0)),"")</f>
        <v>OK</v>
      </c>
      <c r="N415" s="7" t="str">
        <f aca="false">IFERROR(INDEX('Output Utente'!$AE$2:$AE$492,MATCH(412,'Output Utente'!$Q$2:$Q$492,0)),"")</f>
        <v>🟡 Attesa rischiosa</v>
      </c>
    </row>
    <row r="416" customFormat="false" ht="15" hidden="false" customHeight="true" outlineLevel="0" collapsed="false">
      <c r="A416" s="46" t="n">
        <v>413</v>
      </c>
      <c r="B416" s="7" t="n">
        <f aca="false">IFERROR(INDEX('Output Utente'!$A$2:$A$492,MATCH(413,'Output Utente'!$Q$2:$Q$492,0)),"")</f>
        <v>6889</v>
      </c>
      <c r="C416" s="7" t="str">
        <f aca="false">IFERROR(INDEX('Output Utente'!$B$2:$B$492,MATCH(413,'Output Utente'!$Q$2:$Q$492,0)),"")</f>
        <v>C</v>
      </c>
      <c r="D416" s="7" t="str">
        <f aca="false">IFERROR(INDEX('Output Utente'!$C$2:$C$492,MATCH(413,'Output Utente'!$Q$2:$Q$492,0)),"")</f>
        <v>Anjorin</v>
      </c>
      <c r="E416" s="7" t="str">
        <f aca="false">IFERROR(INDEX('Input Giocatori 2026_27'!$D$3:$D$493,MATCH($B416,'Input Giocatori 2026_27'!$A$3:$A$493,0)),"")</f>
        <v>Torino</v>
      </c>
      <c r="F416" s="47" t="n">
        <f aca="false">IFERROR(INDEX('Output Utente'!$N$2:$N$492,MATCH(413,'Output Utente'!$Q$2:$Q$492,0)),"")</f>
        <v>1</v>
      </c>
      <c r="G416" s="47" t="n">
        <f aca="false">IFERROR(INDEX('Output Utente'!$O$2:$O$492,MATCH(413,'Output Utente'!$Q$2:$Q$492,0)),"")</f>
        <v>4</v>
      </c>
      <c r="H416" s="7" t="str">
        <f aca="false">IFERROR(INDEX('Output Utente'!$P$2:$P$492,MATCH(413,'Output Utente'!$Q$2:$Q$492,0)),"")</f>
        <v>Scommessa/Riserva</v>
      </c>
      <c r="I416" s="47" t="n">
        <f aca="false">IFERROR(INDEX('Output Utente'!$F$2:$F$492,MATCH(413,'Output Utente'!$Q$2:$Q$492,0)),"")</f>
        <v>1</v>
      </c>
      <c r="J416" s="47" t="n">
        <f aca="false">IFERROR(INDEX('Output Utente'!$G$2:$G$492,MATCH(413,'Output Utente'!$Q$2:$Q$492,0)),"")</f>
        <v>1</v>
      </c>
      <c r="K416" s="47" t="n">
        <f aca="false">IFERROR(INDEX('Output Utente'!$H$2:$H$492,MATCH(413,'Output Utente'!$Q$2:$Q$492,0)),"")</f>
        <v>1</v>
      </c>
      <c r="L416" s="7" t="str">
        <f aca="false">IFERROR(INDEX('Output Utente'!$E$2:$E$492,MATCH(413,'Output Utente'!$Q$2:$Q$492,0)),"")</f>
        <v>NO</v>
      </c>
      <c r="M416" s="7" t="str">
        <f aca="false">IFERROR(INDEX('Output Utente'!$U$2:$U$492,MATCH(413,'Output Utente'!$Q$2:$Q$492,0)),"")</f>
        <v>OK</v>
      </c>
      <c r="N416" s="7" t="str">
        <f aca="false">IFERROR(INDEX('Output Utente'!$AE$2:$AE$492,MATCH(413,'Output Utente'!$Q$2:$Q$492,0)),"")</f>
        <v>🟡 Attesa rischiosa</v>
      </c>
    </row>
    <row r="417" customFormat="false" ht="15" hidden="false" customHeight="true" outlineLevel="0" collapsed="false">
      <c r="A417" s="46" t="n">
        <v>414</v>
      </c>
      <c r="B417" s="7" t="n">
        <f aca="false">IFERROR(INDEX('Output Utente'!$A$2:$A$492,MATCH(414,'Output Utente'!$Q$2:$Q$492,0)),"")</f>
        <v>6212</v>
      </c>
      <c r="C417" s="7" t="str">
        <f aca="false">IFERROR(INDEX('Output Utente'!$B$2:$B$492,MATCH(414,'Output Utente'!$Q$2:$Q$492,0)),"")</f>
        <v>C</v>
      </c>
      <c r="D417" s="7" t="str">
        <f aca="false">IFERROR(INDEX('Output Utente'!$C$2:$C$492,MATCH(414,'Output Utente'!$Q$2:$Q$492,0)),"")</f>
        <v>Zarraga</v>
      </c>
      <c r="E417" s="7" t="str">
        <f aca="false">IFERROR(INDEX('Input Giocatori 2026_27'!$D$3:$D$493,MATCH($B417,'Input Giocatori 2026_27'!$A$3:$A$493,0)),"")</f>
        <v>Udinese</v>
      </c>
      <c r="F417" s="47" t="n">
        <f aca="false">IFERROR(INDEX('Output Utente'!$N$2:$N$492,MATCH(414,'Output Utente'!$Q$2:$Q$492,0)),"")</f>
        <v>1</v>
      </c>
      <c r="G417" s="47" t="n">
        <f aca="false">IFERROR(INDEX('Output Utente'!$O$2:$O$492,MATCH(414,'Output Utente'!$Q$2:$Q$492,0)),"")</f>
        <v>4</v>
      </c>
      <c r="H417" s="7" t="str">
        <f aca="false">IFERROR(INDEX('Output Utente'!$P$2:$P$492,MATCH(414,'Output Utente'!$Q$2:$Q$492,0)),"")</f>
        <v>Scommessa/Riserva</v>
      </c>
      <c r="I417" s="47" t="n">
        <f aca="false">IFERROR(INDEX('Output Utente'!$F$2:$F$492,MATCH(414,'Output Utente'!$Q$2:$Q$492,0)),"")</f>
        <v>1</v>
      </c>
      <c r="J417" s="47" t="n">
        <f aca="false">IFERROR(INDEX('Output Utente'!$G$2:$G$492,MATCH(414,'Output Utente'!$Q$2:$Q$492,0)),"")</f>
        <v>1</v>
      </c>
      <c r="K417" s="47" t="n">
        <f aca="false">IFERROR(INDEX('Output Utente'!$H$2:$H$492,MATCH(414,'Output Utente'!$Q$2:$Q$492,0)),"")</f>
        <v>1</v>
      </c>
      <c r="L417" s="7" t="str">
        <f aca="false">IFERROR(INDEX('Output Utente'!$E$2:$E$492,MATCH(414,'Output Utente'!$Q$2:$Q$492,0)),"")</f>
        <v>NO</v>
      </c>
      <c r="M417" s="7" t="str">
        <f aca="false">IFERROR(INDEX('Output Utente'!$U$2:$U$492,MATCH(414,'Output Utente'!$Q$2:$Q$492,0)),"")</f>
        <v>OK</v>
      </c>
      <c r="N417" s="7" t="str">
        <f aca="false">IFERROR(INDEX('Output Utente'!$AE$2:$AE$492,MATCH(414,'Output Utente'!$Q$2:$Q$492,0)),"")</f>
        <v>🟡 Attesa rischiosa</v>
      </c>
    </row>
    <row r="418" customFormat="false" ht="15" hidden="false" customHeight="true" outlineLevel="0" collapsed="false">
      <c r="A418" s="46" t="n">
        <v>415</v>
      </c>
      <c r="B418" s="7" t="n">
        <f aca="false">IFERROR(INDEX('Output Utente'!$A$2:$A$492,MATCH(415,'Output Utente'!$Q$2:$Q$492,0)),"")</f>
        <v>7249</v>
      </c>
      <c r="C418" s="7" t="str">
        <f aca="false">IFERROR(INDEX('Output Utente'!$B$2:$B$492,MATCH(415,'Output Utente'!$Q$2:$Q$492,0)),"")</f>
        <v>A</v>
      </c>
      <c r="D418" s="7" t="str">
        <f aca="false">IFERROR(INDEX('Output Utente'!$C$2:$C$492,MATCH(415,'Output Utente'!$Q$2:$Q$492,0)),"")</f>
        <v>Buksa </v>
      </c>
      <c r="E418" s="7" t="str">
        <f aca="false">IFERROR(INDEX('Input Giocatori 2026_27'!$D$3:$D$493,MATCH($B418,'Input Giocatori 2026_27'!$A$3:$A$493,0)),"")</f>
        <v>Udinese</v>
      </c>
      <c r="F418" s="47" t="n">
        <f aca="false">IFERROR(INDEX('Output Utente'!$N$2:$N$492,MATCH(415,'Output Utente'!$Q$2:$Q$492,0)),"")</f>
        <v>2</v>
      </c>
      <c r="G418" s="47" t="n">
        <f aca="false">IFERROR(INDEX('Output Utente'!$O$2:$O$492,MATCH(415,'Output Utente'!$Q$2:$Q$492,0)),"")</f>
        <v>4</v>
      </c>
      <c r="H418" s="7" t="str">
        <f aca="false">IFERROR(INDEX('Output Utente'!$P$2:$P$492,MATCH(415,'Output Utente'!$Q$2:$Q$492,0)),"")</f>
        <v>Scommessa/Riserva</v>
      </c>
      <c r="I418" s="47" t="n">
        <f aca="false">IFERROR(INDEX('Output Utente'!$F$2:$F$492,MATCH(415,'Output Utente'!$Q$2:$Q$492,0)),"")</f>
        <v>1</v>
      </c>
      <c r="J418" s="47" t="n">
        <f aca="false">IFERROR(INDEX('Output Utente'!$G$2:$G$492,MATCH(415,'Output Utente'!$Q$2:$Q$492,0)),"")</f>
        <v>1</v>
      </c>
      <c r="K418" s="47" t="n">
        <f aca="false">IFERROR(INDEX('Output Utente'!$H$2:$H$492,MATCH(415,'Output Utente'!$Q$2:$Q$492,0)),"")</f>
        <v>1</v>
      </c>
      <c r="L418" s="7" t="str">
        <f aca="false">IFERROR(INDEX('Output Utente'!$E$2:$E$492,MATCH(415,'Output Utente'!$Q$2:$Q$492,0)),"")</f>
        <v>NO</v>
      </c>
      <c r="M418" s="7" t="str">
        <f aca="false">IFERROR(INDEX('Output Utente'!$U$2:$U$492,MATCH(415,'Output Utente'!$Q$2:$Q$492,0)),"")</f>
        <v>OK</v>
      </c>
      <c r="N418" s="7" t="str">
        <f aca="false">IFERROR(INDEX('Output Utente'!$AE$2:$AE$492,MATCH(415,'Output Utente'!$Q$2:$Q$492,0)),"")</f>
        <v>🔴 Non aspettare</v>
      </c>
    </row>
    <row r="419" customFormat="false" ht="15" hidden="false" customHeight="true" outlineLevel="0" collapsed="false">
      <c r="A419" s="46" t="n">
        <v>416</v>
      </c>
      <c r="B419" s="7" t="n">
        <f aca="false">IFERROR(INDEX('Output Utente'!$A$2:$A$492,MATCH(416,'Output Utente'!$Q$2:$Q$492,0)),"")</f>
        <v>6981</v>
      </c>
      <c r="C419" s="7" t="str">
        <f aca="false">IFERROR(INDEX('Output Utente'!$B$2:$B$492,MATCH(416,'Output Utente'!$Q$2:$Q$492,0)),"")</f>
        <v>A</v>
      </c>
      <c r="D419" s="7" t="str">
        <f aca="false">IFERROR(INDEX('Output Utente'!$C$2:$C$492,MATCH(416,'Output Utente'!$Q$2:$Q$492,0)),"")</f>
        <v>Vaz</v>
      </c>
      <c r="E419" s="7" t="str">
        <f aca="false">IFERROR(INDEX('Input Giocatori 2026_27'!$D$3:$D$493,MATCH($B419,'Input Giocatori 2026_27'!$A$3:$A$493,0)),"")</f>
        <v>Roma</v>
      </c>
      <c r="F419" s="47" t="n">
        <f aca="false">IFERROR(INDEX('Output Utente'!$N$2:$N$492,MATCH(416,'Output Utente'!$Q$2:$Q$492,0)),"")</f>
        <v>1</v>
      </c>
      <c r="G419" s="47" t="n">
        <f aca="false">IFERROR(INDEX('Output Utente'!$O$2:$O$492,MATCH(416,'Output Utente'!$Q$2:$Q$492,0)),"")</f>
        <v>4</v>
      </c>
      <c r="H419" s="7" t="str">
        <f aca="false">IFERROR(INDEX('Output Utente'!$P$2:$P$492,MATCH(416,'Output Utente'!$Q$2:$Q$492,0)),"")</f>
        <v>Scommessa/Riserva</v>
      </c>
      <c r="I419" s="47" t="n">
        <f aca="false">IFERROR(INDEX('Output Utente'!$F$2:$F$492,MATCH(416,'Output Utente'!$Q$2:$Q$492,0)),"")</f>
        <v>1</v>
      </c>
      <c r="J419" s="47" t="n">
        <f aca="false">IFERROR(INDEX('Output Utente'!$G$2:$G$492,MATCH(416,'Output Utente'!$Q$2:$Q$492,0)),"")</f>
        <v>1</v>
      </c>
      <c r="K419" s="47" t="n">
        <f aca="false">IFERROR(INDEX('Output Utente'!$H$2:$H$492,MATCH(416,'Output Utente'!$Q$2:$Q$492,0)),"")</f>
        <v>1</v>
      </c>
      <c r="L419" s="7" t="str">
        <f aca="false">IFERROR(INDEX('Output Utente'!$E$2:$E$492,MATCH(416,'Output Utente'!$Q$2:$Q$492,0)),"")</f>
        <v>NO</v>
      </c>
      <c r="M419" s="7" t="str">
        <f aca="false">IFERROR(INDEX('Output Utente'!$U$2:$U$492,MATCH(416,'Output Utente'!$Q$2:$Q$492,0)),"")</f>
        <v>OK</v>
      </c>
      <c r="N419" s="7" t="str">
        <f aca="false">IFERROR(INDEX('Output Utente'!$AE$2:$AE$492,MATCH(416,'Output Utente'!$Q$2:$Q$492,0)),"")</f>
        <v>🔴 Non aspettare</v>
      </c>
    </row>
    <row r="420" customFormat="false" ht="15" hidden="false" customHeight="true" outlineLevel="0" collapsed="false">
      <c r="A420" s="46" t="n">
        <v>417</v>
      </c>
      <c r="B420" s="7" t="n">
        <f aca="false">IFERROR(INDEX('Output Utente'!$A$2:$A$492,MATCH(417,'Output Utente'!$Q$2:$Q$492,0)),"")</f>
        <v>4867</v>
      </c>
      <c r="C420" s="7" t="str">
        <f aca="false">IFERROR(INDEX('Output Utente'!$B$2:$B$492,MATCH(417,'Output Utente'!$Q$2:$Q$492,0)),"")</f>
        <v>P</v>
      </c>
      <c r="D420" s="7" t="str">
        <f aca="false">IFERROR(INDEX('Output Utente'!$C$2:$C$492,MATCH(417,'Output Utente'!$Q$2:$Q$492,0)),"")</f>
        <v>Turati</v>
      </c>
      <c r="E420" s="7" t="str">
        <f aca="false">IFERROR(INDEX('Input Giocatori 2026_27'!$D$3:$D$493,MATCH($B420,'Input Giocatori 2026_27'!$A$3:$A$493,0)),"")</f>
        <v>Sassuolo</v>
      </c>
      <c r="F420" s="47" t="n">
        <f aca="false">IFERROR(INDEX('Output Utente'!$N$2:$N$492,MATCH(417,'Output Utente'!$Q$2:$Q$492,0)),"")</f>
        <v>1</v>
      </c>
      <c r="G420" s="47" t="n">
        <f aca="false">IFERROR(INDEX('Output Utente'!$O$2:$O$492,MATCH(417,'Output Utente'!$Q$2:$Q$492,0)),"")</f>
        <v>3</v>
      </c>
      <c r="H420" s="7" t="str">
        <f aca="false">IFERROR(INDEX('Output Utente'!$P$2:$P$492,MATCH(417,'Output Utente'!$Q$2:$Q$492,0)),"")</f>
        <v>Nella Media</v>
      </c>
      <c r="I420" s="47" t="n">
        <f aca="false">IFERROR(INDEX('Output Utente'!$F$2:$F$492,MATCH(417,'Output Utente'!$Q$2:$Q$492,0)),"")</f>
        <v>1</v>
      </c>
      <c r="J420" s="47" t="n">
        <f aca="false">IFERROR(INDEX('Output Utente'!$G$2:$G$492,MATCH(417,'Output Utente'!$Q$2:$Q$492,0)),"")</f>
        <v>1</v>
      </c>
      <c r="K420" s="47" t="n">
        <f aca="false">IFERROR(INDEX('Output Utente'!$H$2:$H$492,MATCH(417,'Output Utente'!$Q$2:$Q$492,0)),"")</f>
        <v>1</v>
      </c>
      <c r="L420" s="7" t="str">
        <f aca="false">IFERROR(INDEX('Output Utente'!$E$2:$E$492,MATCH(417,'Output Utente'!$Q$2:$Q$492,0)),"")</f>
        <v>NO</v>
      </c>
      <c r="M420" s="7" t="str">
        <f aca="false">IFERROR(INDEX('Output Utente'!$U$2:$U$492,MATCH(417,'Output Utente'!$Q$2:$Q$492,0)),"")</f>
        <v>OK</v>
      </c>
      <c r="N420" s="7" t="str">
        <f aca="false">IFERROR(INDEX('Output Utente'!$AE$2:$AE$492,MATCH(417,'Output Utente'!$Q$2:$Q$492,0)),"")</f>
        <v>🟡 Attesa rischiosa</v>
      </c>
    </row>
    <row r="421" customFormat="false" ht="15" hidden="false" customHeight="true" outlineLevel="0" collapsed="false">
      <c r="A421" s="46" t="n">
        <v>418</v>
      </c>
      <c r="B421" s="7" t="n">
        <f aca="false">IFERROR(INDEX('Output Utente'!$A$2:$A$492,MATCH(418,'Output Utente'!$Q$2:$Q$492,0)),"")</f>
        <v>7470</v>
      </c>
      <c r="C421" s="7" t="str">
        <f aca="false">IFERROR(INDEX('Output Utente'!$B$2:$B$492,MATCH(418,'Output Utente'!$Q$2:$Q$492,0)),"")</f>
        <v>D</v>
      </c>
      <c r="D421" s="7" t="str">
        <f aca="false">IFERROR(INDEX('Output Utente'!$C$2:$C$492,MATCH(418,'Output Utente'!$Q$2:$Q$492,0)),"")</f>
        <v>Oyono J.</v>
      </c>
      <c r="E421" s="7" t="str">
        <f aca="false">IFERROR(INDEX('Input Giocatori 2026_27'!$D$3:$D$493,MATCH($B421,'Input Giocatori 2026_27'!$A$3:$A$493,0)),"")</f>
        <v>Frosinone</v>
      </c>
      <c r="F421" s="47" t="n">
        <f aca="false">IFERROR(INDEX('Output Utente'!$N$2:$N$492,MATCH(418,'Output Utente'!$Q$2:$Q$492,0)),"")</f>
        <v>1</v>
      </c>
      <c r="G421" s="47" t="n">
        <f aca="false">IFERROR(INDEX('Output Utente'!$O$2:$O$492,MATCH(418,'Output Utente'!$Q$2:$Q$492,0)),"")</f>
        <v>3</v>
      </c>
      <c r="H421" s="7" t="str">
        <f aca="false">IFERROR(INDEX('Output Utente'!$P$2:$P$492,MATCH(418,'Output Utente'!$Q$2:$Q$492,0)),"")</f>
        <v>Scommessa/Riserva</v>
      </c>
      <c r="I421" s="47" t="n">
        <f aca="false">IFERROR(INDEX('Output Utente'!$F$2:$F$492,MATCH(418,'Output Utente'!$Q$2:$Q$492,0)),"")</f>
        <v>1</v>
      </c>
      <c r="J421" s="47" t="n">
        <f aca="false">IFERROR(INDEX('Output Utente'!$G$2:$G$492,MATCH(418,'Output Utente'!$Q$2:$Q$492,0)),"")</f>
        <v>1</v>
      </c>
      <c r="K421" s="47" t="n">
        <f aca="false">IFERROR(INDEX('Output Utente'!$H$2:$H$492,MATCH(418,'Output Utente'!$Q$2:$Q$492,0)),"")</f>
        <v>1</v>
      </c>
      <c r="L421" s="7" t="str">
        <f aca="false">IFERROR(INDEX('Output Utente'!$E$2:$E$492,MATCH(418,'Output Utente'!$Q$2:$Q$492,0)),"")</f>
        <v>NO</v>
      </c>
      <c r="M421" s="7" t="str">
        <f aca="false">IFERROR(INDEX('Output Utente'!$U$2:$U$492,MATCH(418,'Output Utente'!$Q$2:$Q$492,0)),"")</f>
        <v>OK</v>
      </c>
      <c r="N421" s="7" t="str">
        <f aca="false">IFERROR(INDEX('Output Utente'!$AE$2:$AE$492,MATCH(418,'Output Utente'!$Q$2:$Q$492,0)),"")</f>
        <v>🟡 Attesa rischiosa</v>
      </c>
    </row>
    <row r="422" customFormat="false" ht="15" hidden="false" customHeight="true" outlineLevel="0" collapsed="false">
      <c r="A422" s="46" t="n">
        <v>419</v>
      </c>
      <c r="B422" s="7" t="n">
        <f aca="false">IFERROR(INDEX('Output Utente'!$A$2:$A$492,MATCH(419,'Output Utente'!$Q$2:$Q$492,0)),"")</f>
        <v>7471</v>
      </c>
      <c r="C422" s="7" t="str">
        <f aca="false">IFERROR(INDEX('Output Utente'!$B$2:$B$492,MATCH(419,'Output Utente'!$Q$2:$Q$492,0)),"")</f>
        <v>D</v>
      </c>
      <c r="D422" s="7" t="str">
        <f aca="false">IFERROR(INDEX('Output Utente'!$C$2:$C$492,MATCH(419,'Output Utente'!$Q$2:$Q$492,0)),"")</f>
        <v>Corrado</v>
      </c>
      <c r="E422" s="7" t="str">
        <f aca="false">IFERROR(INDEX('Input Giocatori 2026_27'!$D$3:$D$493,MATCH($B422,'Input Giocatori 2026_27'!$A$3:$A$493,0)),"")</f>
        <v>Frosinone</v>
      </c>
      <c r="F422" s="47" t="n">
        <f aca="false">IFERROR(INDEX('Output Utente'!$N$2:$N$492,MATCH(419,'Output Utente'!$Q$2:$Q$492,0)),"")</f>
        <v>1</v>
      </c>
      <c r="G422" s="47" t="n">
        <f aca="false">IFERROR(INDEX('Output Utente'!$O$2:$O$492,MATCH(419,'Output Utente'!$Q$2:$Q$492,0)),"")</f>
        <v>3</v>
      </c>
      <c r="H422" s="7" t="str">
        <f aca="false">IFERROR(INDEX('Output Utente'!$P$2:$P$492,MATCH(419,'Output Utente'!$Q$2:$Q$492,0)),"")</f>
        <v>Scommessa/Riserva</v>
      </c>
      <c r="I422" s="47" t="n">
        <f aca="false">IFERROR(INDEX('Output Utente'!$F$2:$F$492,MATCH(419,'Output Utente'!$Q$2:$Q$492,0)),"")</f>
        <v>1</v>
      </c>
      <c r="J422" s="47" t="n">
        <f aca="false">IFERROR(INDEX('Output Utente'!$G$2:$G$492,MATCH(419,'Output Utente'!$Q$2:$Q$492,0)),"")</f>
        <v>1</v>
      </c>
      <c r="K422" s="47" t="n">
        <f aca="false">IFERROR(INDEX('Output Utente'!$H$2:$H$492,MATCH(419,'Output Utente'!$Q$2:$Q$492,0)),"")</f>
        <v>1</v>
      </c>
      <c r="L422" s="7" t="str">
        <f aca="false">IFERROR(INDEX('Output Utente'!$E$2:$E$492,MATCH(419,'Output Utente'!$Q$2:$Q$492,0)),"")</f>
        <v>NO</v>
      </c>
      <c r="M422" s="7" t="str">
        <f aca="false">IFERROR(INDEX('Output Utente'!$U$2:$U$492,MATCH(419,'Output Utente'!$Q$2:$Q$492,0)),"")</f>
        <v>OK</v>
      </c>
      <c r="N422" s="7" t="str">
        <f aca="false">IFERROR(INDEX('Output Utente'!$AE$2:$AE$492,MATCH(419,'Output Utente'!$Q$2:$Q$492,0)),"")</f>
        <v>🟡 Attesa rischiosa</v>
      </c>
    </row>
    <row r="423" customFormat="false" ht="15" hidden="false" customHeight="true" outlineLevel="0" collapsed="false">
      <c r="A423" s="46" t="n">
        <v>420</v>
      </c>
      <c r="B423" s="7" t="n">
        <f aca="false">IFERROR(INDEX('Output Utente'!$A$2:$A$492,MATCH(420,'Output Utente'!$Q$2:$Q$492,0)),"")</f>
        <v>294</v>
      </c>
      <c r="C423" s="7" t="str">
        <f aca="false">IFERROR(INDEX('Output Utente'!$B$2:$B$492,MATCH(420,'Output Utente'!$Q$2:$Q$492,0)),"")</f>
        <v>D</v>
      </c>
      <c r="D423" s="7" t="str">
        <f aca="false">IFERROR(INDEX('Output Utente'!$C$2:$C$492,MATCH(420,'Output Utente'!$Q$2:$Q$492,0)),"")</f>
        <v>Rugani</v>
      </c>
      <c r="E423" s="7" t="str">
        <f aca="false">IFERROR(INDEX('Input Giocatori 2026_27'!$D$3:$D$493,MATCH($B423,'Input Giocatori 2026_27'!$A$3:$A$493,0)),"")</f>
        <v>Juventus</v>
      </c>
      <c r="F423" s="47" t="n">
        <f aca="false">IFERROR(INDEX('Output Utente'!$N$2:$N$492,MATCH(420,'Output Utente'!$Q$2:$Q$492,0)),"")</f>
        <v>1</v>
      </c>
      <c r="G423" s="47" t="n">
        <f aca="false">IFERROR(INDEX('Output Utente'!$O$2:$O$492,MATCH(420,'Output Utente'!$Q$2:$Q$492,0)),"")</f>
        <v>3</v>
      </c>
      <c r="H423" s="7" t="str">
        <f aca="false">IFERROR(INDEX('Output Utente'!$P$2:$P$492,MATCH(420,'Output Utente'!$Q$2:$Q$492,0)),"")</f>
        <v>Scommessa/Riserva</v>
      </c>
      <c r="I423" s="47" t="n">
        <f aca="false">IFERROR(INDEX('Output Utente'!$F$2:$F$492,MATCH(420,'Output Utente'!$Q$2:$Q$492,0)),"")</f>
        <v>1</v>
      </c>
      <c r="J423" s="47" t="n">
        <f aca="false">IFERROR(INDEX('Output Utente'!$G$2:$G$492,MATCH(420,'Output Utente'!$Q$2:$Q$492,0)),"")</f>
        <v>1</v>
      </c>
      <c r="K423" s="47" t="n">
        <f aca="false">IFERROR(INDEX('Output Utente'!$H$2:$H$492,MATCH(420,'Output Utente'!$Q$2:$Q$492,0)),"")</f>
        <v>1</v>
      </c>
      <c r="L423" s="7" t="str">
        <f aca="false">IFERROR(INDEX('Output Utente'!$E$2:$E$492,MATCH(420,'Output Utente'!$Q$2:$Q$492,0)),"")</f>
        <v>NO</v>
      </c>
      <c r="M423" s="7" t="str">
        <f aca="false">IFERROR(INDEX('Output Utente'!$U$2:$U$492,MATCH(420,'Output Utente'!$Q$2:$Q$492,0)),"")</f>
        <v>OK</v>
      </c>
      <c r="N423" s="7" t="str">
        <f aca="false">IFERROR(INDEX('Output Utente'!$AE$2:$AE$492,MATCH(420,'Output Utente'!$Q$2:$Q$492,0)),"")</f>
        <v>🟡 Attesa rischiosa</v>
      </c>
    </row>
    <row r="424" customFormat="false" ht="15" hidden="false" customHeight="true" outlineLevel="0" collapsed="false">
      <c r="A424" s="46" t="n">
        <v>421</v>
      </c>
      <c r="B424" s="7" t="n">
        <f aca="false">IFERROR(INDEX('Output Utente'!$A$2:$A$492,MATCH(421,'Output Utente'!$Q$2:$Q$492,0)),"")</f>
        <v>5481</v>
      </c>
      <c r="C424" s="7" t="str">
        <f aca="false">IFERROR(INDEX('Output Utente'!$B$2:$B$492,MATCH(421,'Output Utente'!$Q$2:$Q$492,0)),"")</f>
        <v>D</v>
      </c>
      <c r="D424" s="7" t="str">
        <f aca="false">IFERROR(INDEX('Output Utente'!$C$2:$C$492,MATCH(421,'Output Utente'!$Q$2:$Q$492,0)),"")</f>
        <v>Mazzocchi</v>
      </c>
      <c r="E424" s="7" t="str">
        <f aca="false">IFERROR(INDEX('Input Giocatori 2026_27'!$D$3:$D$493,MATCH($B424,'Input Giocatori 2026_27'!$A$3:$A$493,0)),"")</f>
        <v>Napoli</v>
      </c>
      <c r="F424" s="47" t="n">
        <f aca="false">IFERROR(INDEX('Output Utente'!$N$2:$N$492,MATCH(421,'Output Utente'!$Q$2:$Q$492,0)),"")</f>
        <v>1</v>
      </c>
      <c r="G424" s="47" t="n">
        <f aca="false">IFERROR(INDEX('Output Utente'!$O$2:$O$492,MATCH(421,'Output Utente'!$Q$2:$Q$492,0)),"")</f>
        <v>3</v>
      </c>
      <c r="H424" s="7" t="str">
        <f aca="false">IFERROR(INDEX('Output Utente'!$P$2:$P$492,MATCH(421,'Output Utente'!$Q$2:$Q$492,0)),"")</f>
        <v>Scommessa/Riserva</v>
      </c>
      <c r="I424" s="47" t="n">
        <f aca="false">IFERROR(INDEX('Output Utente'!$F$2:$F$492,MATCH(421,'Output Utente'!$Q$2:$Q$492,0)),"")</f>
        <v>1</v>
      </c>
      <c r="J424" s="47" t="n">
        <f aca="false">IFERROR(INDEX('Output Utente'!$G$2:$G$492,MATCH(421,'Output Utente'!$Q$2:$Q$492,0)),"")</f>
        <v>1</v>
      </c>
      <c r="K424" s="47" t="n">
        <f aca="false">IFERROR(INDEX('Output Utente'!$H$2:$H$492,MATCH(421,'Output Utente'!$Q$2:$Q$492,0)),"")</f>
        <v>1</v>
      </c>
      <c r="L424" s="7" t="str">
        <f aca="false">IFERROR(INDEX('Output Utente'!$E$2:$E$492,MATCH(421,'Output Utente'!$Q$2:$Q$492,0)),"")</f>
        <v>NO</v>
      </c>
      <c r="M424" s="7" t="str">
        <f aca="false">IFERROR(INDEX('Output Utente'!$U$2:$U$492,MATCH(421,'Output Utente'!$Q$2:$Q$492,0)),"")</f>
        <v>OK</v>
      </c>
      <c r="N424" s="7" t="str">
        <f aca="false">IFERROR(INDEX('Output Utente'!$AE$2:$AE$492,MATCH(421,'Output Utente'!$Q$2:$Q$492,0)),"")</f>
        <v>🟡 Attesa rischiosa</v>
      </c>
    </row>
    <row r="425" customFormat="false" ht="15" hidden="false" customHeight="true" outlineLevel="0" collapsed="false">
      <c r="A425" s="46" t="n">
        <v>422</v>
      </c>
      <c r="B425" s="7" t="n">
        <f aca="false">IFERROR(INDEX('Output Utente'!$A$2:$A$492,MATCH(422,'Output Utente'!$Q$2:$Q$492,0)),"")</f>
        <v>6149</v>
      </c>
      <c r="C425" s="7" t="str">
        <f aca="false">IFERROR(INDEX('Output Utente'!$B$2:$B$492,MATCH(422,'Output Utente'!$Q$2:$Q$492,0)),"")</f>
        <v>D</v>
      </c>
      <c r="D425" s="7" t="str">
        <f aca="false">IFERROR(INDEX('Output Utente'!$C$2:$C$492,MATCH(422,'Output Utente'!$Q$2:$Q$492,0)),"")</f>
        <v>Carboni F.</v>
      </c>
      <c r="E425" s="7" t="str">
        <f aca="false">IFERROR(INDEX('Input Giocatori 2026_27'!$D$3:$D$493,MATCH($B425,'Input Giocatori 2026_27'!$A$3:$A$493,0)),"")</f>
        <v>Parma</v>
      </c>
      <c r="F425" s="47" t="n">
        <f aca="false">IFERROR(INDEX('Output Utente'!$N$2:$N$492,MATCH(422,'Output Utente'!$Q$2:$Q$492,0)),"")</f>
        <v>1</v>
      </c>
      <c r="G425" s="47" t="n">
        <f aca="false">IFERROR(INDEX('Output Utente'!$O$2:$O$492,MATCH(422,'Output Utente'!$Q$2:$Q$492,0)),"")</f>
        <v>3</v>
      </c>
      <c r="H425" s="7" t="str">
        <f aca="false">IFERROR(INDEX('Output Utente'!$P$2:$P$492,MATCH(422,'Output Utente'!$Q$2:$Q$492,0)),"")</f>
        <v>Scommessa/Riserva</v>
      </c>
      <c r="I425" s="47" t="n">
        <f aca="false">IFERROR(INDEX('Output Utente'!$F$2:$F$492,MATCH(422,'Output Utente'!$Q$2:$Q$492,0)),"")</f>
        <v>1</v>
      </c>
      <c r="J425" s="47" t="n">
        <f aca="false">IFERROR(INDEX('Output Utente'!$G$2:$G$492,MATCH(422,'Output Utente'!$Q$2:$Q$492,0)),"")</f>
        <v>1</v>
      </c>
      <c r="K425" s="47" t="n">
        <f aca="false">IFERROR(INDEX('Output Utente'!$H$2:$H$492,MATCH(422,'Output Utente'!$Q$2:$Q$492,0)),"")</f>
        <v>1</v>
      </c>
      <c r="L425" s="7" t="str">
        <f aca="false">IFERROR(INDEX('Output Utente'!$E$2:$E$492,MATCH(422,'Output Utente'!$Q$2:$Q$492,0)),"")</f>
        <v>NO</v>
      </c>
      <c r="M425" s="7" t="str">
        <f aca="false">IFERROR(INDEX('Output Utente'!$U$2:$U$492,MATCH(422,'Output Utente'!$Q$2:$Q$492,0)),"")</f>
        <v>OK</v>
      </c>
      <c r="N425" s="7" t="str">
        <f aca="false">IFERROR(INDEX('Output Utente'!$AE$2:$AE$492,MATCH(422,'Output Utente'!$Q$2:$Q$492,0)),"")</f>
        <v>🟡 Attesa rischiosa</v>
      </c>
    </row>
    <row r="426" customFormat="false" ht="15" hidden="false" customHeight="true" outlineLevel="0" collapsed="false">
      <c r="A426" s="46" t="n">
        <v>423</v>
      </c>
      <c r="B426" s="7" t="n">
        <f aca="false">IFERROR(INDEX('Output Utente'!$A$2:$A$492,MATCH(423,'Output Utente'!$Q$2:$Q$492,0)),"")</f>
        <v>7356</v>
      </c>
      <c r="C426" s="7" t="str">
        <f aca="false">IFERROR(INDEX('Output Utente'!$B$2:$B$492,MATCH(423,'Output Utente'!$Q$2:$Q$492,0)),"")</f>
        <v>D</v>
      </c>
      <c r="D426" s="7" t="str">
        <f aca="false">IFERROR(INDEX('Output Utente'!$C$2:$C$492,MATCH(423,'Output Utente'!$Q$2:$Q$492,0)),"")</f>
        <v>Mlacic</v>
      </c>
      <c r="E426" s="7" t="str">
        <f aca="false">IFERROR(INDEX('Input Giocatori 2026_27'!$D$3:$D$493,MATCH($B426,'Input Giocatori 2026_27'!$A$3:$A$493,0)),"")</f>
        <v>Udinese</v>
      </c>
      <c r="F426" s="47" t="n">
        <f aca="false">IFERROR(INDEX('Output Utente'!$N$2:$N$492,MATCH(423,'Output Utente'!$Q$2:$Q$492,0)),"")</f>
        <v>1</v>
      </c>
      <c r="G426" s="47" t="n">
        <f aca="false">IFERROR(INDEX('Output Utente'!$O$2:$O$492,MATCH(423,'Output Utente'!$Q$2:$Q$492,0)),"")</f>
        <v>3</v>
      </c>
      <c r="H426" s="7" t="str">
        <f aca="false">IFERROR(INDEX('Output Utente'!$P$2:$P$492,MATCH(423,'Output Utente'!$Q$2:$Q$492,0)),"")</f>
        <v>Scommessa/Riserva</v>
      </c>
      <c r="I426" s="47" t="n">
        <f aca="false">IFERROR(INDEX('Output Utente'!$F$2:$F$492,MATCH(423,'Output Utente'!$Q$2:$Q$492,0)),"")</f>
        <v>1</v>
      </c>
      <c r="J426" s="47" t="n">
        <f aca="false">IFERROR(INDEX('Output Utente'!$G$2:$G$492,MATCH(423,'Output Utente'!$Q$2:$Q$492,0)),"")</f>
        <v>1</v>
      </c>
      <c r="K426" s="47" t="n">
        <f aca="false">IFERROR(INDEX('Output Utente'!$H$2:$H$492,MATCH(423,'Output Utente'!$Q$2:$Q$492,0)),"")</f>
        <v>1</v>
      </c>
      <c r="L426" s="7" t="str">
        <f aca="false">IFERROR(INDEX('Output Utente'!$E$2:$E$492,MATCH(423,'Output Utente'!$Q$2:$Q$492,0)),"")</f>
        <v>NO</v>
      </c>
      <c r="M426" s="7" t="str">
        <f aca="false">IFERROR(INDEX('Output Utente'!$U$2:$U$492,MATCH(423,'Output Utente'!$Q$2:$Q$492,0)),"")</f>
        <v>OK</v>
      </c>
      <c r="N426" s="7" t="str">
        <f aca="false">IFERROR(INDEX('Output Utente'!$AE$2:$AE$492,MATCH(423,'Output Utente'!$Q$2:$Q$492,0)),"")</f>
        <v>🟡 Attesa rischiosa</v>
      </c>
    </row>
    <row r="427" customFormat="false" ht="15" hidden="false" customHeight="true" outlineLevel="0" collapsed="false">
      <c r="A427" s="46" t="n">
        <v>424</v>
      </c>
      <c r="B427" s="7" t="n">
        <f aca="false">IFERROR(INDEX('Output Utente'!$A$2:$A$492,MATCH(424,'Output Utente'!$Q$2:$Q$492,0)),"")</f>
        <v>6021</v>
      </c>
      <c r="C427" s="7" t="str">
        <f aca="false">IFERROR(INDEX('Output Utente'!$B$2:$B$492,MATCH(424,'Output Utente'!$Q$2:$Q$492,0)),"")</f>
        <v>D</v>
      </c>
      <c r="D427" s="7" t="str">
        <f aca="false">IFERROR(INDEX('Output Utente'!$C$2:$C$492,MATCH(424,'Output Utente'!$Q$2:$Q$492,0)),"")</f>
        <v>Abankwah</v>
      </c>
      <c r="E427" s="7" t="str">
        <f aca="false">IFERROR(INDEX('Input Giocatori 2026_27'!$D$3:$D$493,MATCH($B427,'Input Giocatori 2026_27'!$A$3:$A$493,0)),"")</f>
        <v>Udinese</v>
      </c>
      <c r="F427" s="47" t="n">
        <f aca="false">IFERROR(INDEX('Output Utente'!$N$2:$N$492,MATCH(424,'Output Utente'!$Q$2:$Q$492,0)),"")</f>
        <v>1</v>
      </c>
      <c r="G427" s="47" t="n">
        <f aca="false">IFERROR(INDEX('Output Utente'!$O$2:$O$492,MATCH(424,'Output Utente'!$Q$2:$Q$492,0)),"")</f>
        <v>3</v>
      </c>
      <c r="H427" s="7" t="str">
        <f aca="false">IFERROR(INDEX('Output Utente'!$P$2:$P$492,MATCH(424,'Output Utente'!$Q$2:$Q$492,0)),"")</f>
        <v>Scommessa/Riserva</v>
      </c>
      <c r="I427" s="47" t="n">
        <f aca="false">IFERROR(INDEX('Output Utente'!$F$2:$F$492,MATCH(424,'Output Utente'!$Q$2:$Q$492,0)),"")</f>
        <v>1</v>
      </c>
      <c r="J427" s="47" t="n">
        <f aca="false">IFERROR(INDEX('Output Utente'!$G$2:$G$492,MATCH(424,'Output Utente'!$Q$2:$Q$492,0)),"")</f>
        <v>1</v>
      </c>
      <c r="K427" s="47" t="n">
        <f aca="false">IFERROR(INDEX('Output Utente'!$H$2:$H$492,MATCH(424,'Output Utente'!$Q$2:$Q$492,0)),"")</f>
        <v>1</v>
      </c>
      <c r="L427" s="7" t="str">
        <f aca="false">IFERROR(INDEX('Output Utente'!$E$2:$E$492,MATCH(424,'Output Utente'!$Q$2:$Q$492,0)),"")</f>
        <v>NO</v>
      </c>
      <c r="M427" s="7" t="str">
        <f aca="false">IFERROR(INDEX('Output Utente'!$U$2:$U$492,MATCH(424,'Output Utente'!$Q$2:$Q$492,0)),"")</f>
        <v>OK</v>
      </c>
      <c r="N427" s="7" t="str">
        <f aca="false">IFERROR(INDEX('Output Utente'!$AE$2:$AE$492,MATCH(424,'Output Utente'!$Q$2:$Q$492,0)),"")</f>
        <v>🟡 Attesa rischiosa</v>
      </c>
    </row>
    <row r="428" customFormat="false" ht="15" hidden="false" customHeight="true" outlineLevel="0" collapsed="false">
      <c r="A428" s="46" t="n">
        <v>425</v>
      </c>
      <c r="B428" s="7" t="n">
        <f aca="false">IFERROR(INDEX('Output Utente'!$A$2:$A$492,MATCH(425,'Output Utente'!$Q$2:$Q$492,0)),"")</f>
        <v>6815</v>
      </c>
      <c r="C428" s="7" t="str">
        <f aca="false">IFERROR(INDEX('Output Utente'!$B$2:$B$492,MATCH(425,'Output Utente'!$Q$2:$Q$492,0)),"")</f>
        <v>C</v>
      </c>
      <c r="D428" s="7" t="str">
        <f aca="false">IFERROR(INDEX('Output Utente'!$C$2:$C$492,MATCH(425,'Output Utente'!$Q$2:$Q$492,0)),"")</f>
        <v>Fadera</v>
      </c>
      <c r="E428" s="7" t="str">
        <f aca="false">IFERROR(INDEX('Input Giocatori 2026_27'!$D$3:$D$493,MATCH($B428,'Input Giocatori 2026_27'!$A$3:$A$493,0)),"")</f>
        <v>Como</v>
      </c>
      <c r="F428" s="47" t="n">
        <f aca="false">IFERROR(INDEX('Output Utente'!$N$2:$N$492,MATCH(425,'Output Utente'!$Q$2:$Q$492,0)),"")</f>
        <v>2</v>
      </c>
      <c r="G428" s="47" t="n">
        <f aca="false">IFERROR(INDEX('Output Utente'!$O$2:$O$492,MATCH(425,'Output Utente'!$Q$2:$Q$492,0)),"")</f>
        <v>3</v>
      </c>
      <c r="H428" s="7" t="str">
        <f aca="false">IFERROR(INDEX('Output Utente'!$P$2:$P$492,MATCH(425,'Output Utente'!$Q$2:$Q$492,0)),"")</f>
        <v>Scommessa/Riserva</v>
      </c>
      <c r="I428" s="47" t="n">
        <f aca="false">IFERROR(INDEX('Output Utente'!$F$2:$F$492,MATCH(425,'Output Utente'!$Q$2:$Q$492,0)),"")</f>
        <v>0</v>
      </c>
      <c r="J428" s="47" t="n">
        <f aca="false">IFERROR(INDEX('Output Utente'!$G$2:$G$492,MATCH(425,'Output Utente'!$Q$2:$Q$492,0)),"")</f>
        <v>1</v>
      </c>
      <c r="K428" s="47" t="n">
        <f aca="false">IFERROR(INDEX('Output Utente'!$H$2:$H$492,MATCH(425,'Output Utente'!$Q$2:$Q$492,0)),"")</f>
        <v>0</v>
      </c>
      <c r="L428" s="7" t="str">
        <f aca="false">IFERROR(INDEX('Output Utente'!$E$2:$E$492,MATCH(425,'Output Utente'!$Q$2:$Q$492,0)),"")</f>
        <v>NO</v>
      </c>
      <c r="M428" s="7" t="str">
        <f aca="false">IFERROR(INDEX('Output Utente'!$U$2:$U$492,MATCH(425,'Output Utente'!$Q$2:$Q$492,0)),"")</f>
        <v>OK</v>
      </c>
      <c r="N428" s="7" t="str">
        <f aca="false">IFERROR(INDEX('Output Utente'!$AE$2:$AE$492,MATCH(425,'Output Utente'!$Q$2:$Q$492,0)),"")</f>
        <v>🟡 Attesa rischiosa</v>
      </c>
    </row>
    <row r="429" customFormat="false" ht="15" hidden="false" customHeight="true" outlineLevel="0" collapsed="false">
      <c r="A429" s="46" t="n">
        <v>426</v>
      </c>
      <c r="B429" s="7" t="n">
        <f aca="false">IFERROR(INDEX('Output Utente'!$A$2:$A$492,MATCH(426,'Output Utente'!$Q$2:$Q$492,0)),"")</f>
        <v>7456</v>
      </c>
      <c r="C429" s="7" t="str">
        <f aca="false">IFERROR(INDEX('Output Utente'!$B$2:$B$492,MATCH(426,'Output Utente'!$Q$2:$Q$492,0)),"")</f>
        <v>C</v>
      </c>
      <c r="D429" s="7" t="str">
        <f aca="false">IFERROR(INDEX('Output Utente'!$C$2:$C$492,MATCH(426,'Output Utente'!$Q$2:$Q$492,0)),"")</f>
        <v>El Azzouzi A.</v>
      </c>
      <c r="E429" s="7" t="str">
        <f aca="false">IFERROR(INDEX('Input Giocatori 2026_27'!$D$3:$D$493,MATCH($B429,'Input Giocatori 2026_27'!$A$3:$A$493,0)),"")</f>
        <v>Frosinone</v>
      </c>
      <c r="F429" s="47" t="n">
        <f aca="false">IFERROR(INDEX('Output Utente'!$N$2:$N$492,MATCH(426,'Output Utente'!$Q$2:$Q$492,0)),"")</f>
        <v>1</v>
      </c>
      <c r="G429" s="47" t="n">
        <f aca="false">IFERROR(INDEX('Output Utente'!$O$2:$O$492,MATCH(426,'Output Utente'!$Q$2:$Q$492,0)),"")</f>
        <v>3</v>
      </c>
      <c r="H429" s="7" t="str">
        <f aca="false">IFERROR(INDEX('Output Utente'!$P$2:$P$492,MATCH(426,'Output Utente'!$Q$2:$Q$492,0)),"")</f>
        <v>Scommessa/Riserva</v>
      </c>
      <c r="I429" s="47" t="n">
        <f aca="false">IFERROR(INDEX('Output Utente'!$F$2:$F$492,MATCH(426,'Output Utente'!$Q$2:$Q$492,0)),"")</f>
        <v>0</v>
      </c>
      <c r="J429" s="47" t="n">
        <f aca="false">IFERROR(INDEX('Output Utente'!$G$2:$G$492,MATCH(426,'Output Utente'!$Q$2:$Q$492,0)),"")</f>
        <v>1</v>
      </c>
      <c r="K429" s="47" t="n">
        <f aca="false">IFERROR(INDEX('Output Utente'!$H$2:$H$492,MATCH(426,'Output Utente'!$Q$2:$Q$492,0)),"")</f>
        <v>0</v>
      </c>
      <c r="L429" s="7" t="str">
        <f aca="false">IFERROR(INDEX('Output Utente'!$E$2:$E$492,MATCH(426,'Output Utente'!$Q$2:$Q$492,0)),"")</f>
        <v>NO</v>
      </c>
      <c r="M429" s="7" t="str">
        <f aca="false">IFERROR(INDEX('Output Utente'!$U$2:$U$492,MATCH(426,'Output Utente'!$Q$2:$Q$492,0)),"")</f>
        <v>OK</v>
      </c>
      <c r="N429" s="7" t="str">
        <f aca="false">IFERROR(INDEX('Output Utente'!$AE$2:$AE$492,MATCH(426,'Output Utente'!$Q$2:$Q$492,0)),"")</f>
        <v>🟡 Attesa rischiosa</v>
      </c>
    </row>
    <row r="430" customFormat="false" ht="15" hidden="false" customHeight="true" outlineLevel="0" collapsed="false">
      <c r="A430" s="46" t="n">
        <v>427</v>
      </c>
      <c r="B430" s="7" t="n">
        <f aca="false">IFERROR(INDEX('Output Utente'!$A$2:$A$492,MATCH(427,'Output Utente'!$Q$2:$Q$492,0)),"")</f>
        <v>5725</v>
      </c>
      <c r="C430" s="7" t="str">
        <f aca="false">IFERROR(INDEX('Output Utente'!$B$2:$B$492,MATCH(427,'Output Utente'!$Q$2:$Q$492,0)),"")</f>
        <v>C</v>
      </c>
      <c r="D430" s="7" t="str">
        <f aca="false">IFERROR(INDEX('Output Utente'!$C$2:$C$492,MATCH(427,'Output Utente'!$Q$2:$Q$492,0)),"")</f>
        <v>Kone B.</v>
      </c>
      <c r="E430" s="7" t="str">
        <f aca="false">IFERROR(INDEX('Input Giocatori 2026_27'!$D$3:$D$493,MATCH($B430,'Input Giocatori 2026_27'!$A$3:$A$493,0)),"")</f>
        <v>Frosinone</v>
      </c>
      <c r="F430" s="47" t="n">
        <f aca="false">IFERROR(INDEX('Output Utente'!$N$2:$N$492,MATCH(427,'Output Utente'!$Q$2:$Q$492,0)),"")</f>
        <v>1</v>
      </c>
      <c r="G430" s="47" t="n">
        <f aca="false">IFERROR(INDEX('Output Utente'!$O$2:$O$492,MATCH(427,'Output Utente'!$Q$2:$Q$492,0)),"")</f>
        <v>3</v>
      </c>
      <c r="H430" s="7" t="str">
        <f aca="false">IFERROR(INDEX('Output Utente'!$P$2:$P$492,MATCH(427,'Output Utente'!$Q$2:$Q$492,0)),"")</f>
        <v>Scommessa/Riserva</v>
      </c>
      <c r="I430" s="47" t="n">
        <f aca="false">IFERROR(INDEX('Output Utente'!$F$2:$F$492,MATCH(427,'Output Utente'!$Q$2:$Q$492,0)),"")</f>
        <v>0</v>
      </c>
      <c r="J430" s="47" t="n">
        <f aca="false">IFERROR(INDEX('Output Utente'!$G$2:$G$492,MATCH(427,'Output Utente'!$Q$2:$Q$492,0)),"")</f>
        <v>1</v>
      </c>
      <c r="K430" s="47" t="n">
        <f aca="false">IFERROR(INDEX('Output Utente'!$H$2:$H$492,MATCH(427,'Output Utente'!$Q$2:$Q$492,0)),"")</f>
        <v>0</v>
      </c>
      <c r="L430" s="7" t="str">
        <f aca="false">IFERROR(INDEX('Output Utente'!$E$2:$E$492,MATCH(427,'Output Utente'!$Q$2:$Q$492,0)),"")</f>
        <v>NO</v>
      </c>
      <c r="M430" s="7" t="str">
        <f aca="false">IFERROR(INDEX('Output Utente'!$U$2:$U$492,MATCH(427,'Output Utente'!$Q$2:$Q$492,0)),"")</f>
        <v>OK</v>
      </c>
      <c r="N430" s="7" t="str">
        <f aca="false">IFERROR(INDEX('Output Utente'!$AE$2:$AE$492,MATCH(427,'Output Utente'!$Q$2:$Q$492,0)),"")</f>
        <v>🟡 Attesa rischiosa</v>
      </c>
    </row>
    <row r="431" customFormat="false" ht="15" hidden="false" customHeight="true" outlineLevel="0" collapsed="false">
      <c r="A431" s="46" t="n">
        <v>428</v>
      </c>
      <c r="B431" s="7" t="n">
        <f aca="false">IFERROR(INDEX('Output Utente'!$A$2:$A$492,MATCH(428,'Output Utente'!$Q$2:$Q$492,0)),"")</f>
        <v>7248</v>
      </c>
      <c r="C431" s="7" t="str">
        <f aca="false">IFERROR(INDEX('Output Utente'!$B$2:$B$492,MATCH(428,'Output Utente'!$Q$2:$Q$492,0)),"")</f>
        <v>C</v>
      </c>
      <c r="D431" s="7" t="str">
        <f aca="false">IFERROR(INDEX('Output Utente'!$C$2:$C$492,MATCH(428,'Output Utente'!$Q$2:$Q$492,0)),"")</f>
        <v>Gorter</v>
      </c>
      <c r="E431" s="7" t="str">
        <f aca="false">IFERROR(INDEX('Input Giocatori 2026_27'!$D$3:$D$493,MATCH($B431,'Input Giocatori 2026_27'!$A$3:$A$493,0)),"")</f>
        <v>Lecce</v>
      </c>
      <c r="F431" s="47" t="n">
        <f aca="false">IFERROR(INDEX('Output Utente'!$N$2:$N$492,MATCH(428,'Output Utente'!$Q$2:$Q$492,0)),"")</f>
        <v>1</v>
      </c>
      <c r="G431" s="47" t="n">
        <f aca="false">IFERROR(INDEX('Output Utente'!$O$2:$O$492,MATCH(428,'Output Utente'!$Q$2:$Q$492,0)),"")</f>
        <v>3</v>
      </c>
      <c r="H431" s="7" t="str">
        <f aca="false">IFERROR(INDEX('Output Utente'!$P$2:$P$492,MATCH(428,'Output Utente'!$Q$2:$Q$492,0)),"")</f>
        <v>Scommessa/Riserva</v>
      </c>
      <c r="I431" s="47" t="n">
        <f aca="false">IFERROR(INDEX('Output Utente'!$F$2:$F$492,MATCH(428,'Output Utente'!$Q$2:$Q$492,0)),"")</f>
        <v>0</v>
      </c>
      <c r="J431" s="47" t="n">
        <f aca="false">IFERROR(INDEX('Output Utente'!$G$2:$G$492,MATCH(428,'Output Utente'!$Q$2:$Q$492,0)),"")</f>
        <v>1</v>
      </c>
      <c r="K431" s="47" t="n">
        <f aca="false">IFERROR(INDEX('Output Utente'!$H$2:$H$492,MATCH(428,'Output Utente'!$Q$2:$Q$492,0)),"")</f>
        <v>0</v>
      </c>
      <c r="L431" s="7" t="str">
        <f aca="false">IFERROR(INDEX('Output Utente'!$E$2:$E$492,MATCH(428,'Output Utente'!$Q$2:$Q$492,0)),"")</f>
        <v>NO</v>
      </c>
      <c r="M431" s="7" t="str">
        <f aca="false">IFERROR(INDEX('Output Utente'!$U$2:$U$492,MATCH(428,'Output Utente'!$Q$2:$Q$492,0)),"")</f>
        <v>OK</v>
      </c>
      <c r="N431" s="7" t="str">
        <f aca="false">IFERROR(INDEX('Output Utente'!$AE$2:$AE$492,MATCH(428,'Output Utente'!$Q$2:$Q$492,0)),"")</f>
        <v>🟡 Attesa rischiosa</v>
      </c>
    </row>
    <row r="432" customFormat="false" ht="15" hidden="false" customHeight="true" outlineLevel="0" collapsed="false">
      <c r="A432" s="46" t="n">
        <v>429</v>
      </c>
      <c r="B432" s="7" t="n">
        <f aca="false">IFERROR(INDEX('Output Utente'!$A$2:$A$492,MATCH(429,'Output Utente'!$Q$2:$Q$492,0)),"")</f>
        <v>7276</v>
      </c>
      <c r="C432" s="7" t="str">
        <f aca="false">IFERROR(INDEX('Output Utente'!$B$2:$B$492,MATCH(429,'Output Utente'!$Q$2:$Q$492,0)),"")</f>
        <v>C</v>
      </c>
      <c r="D432" s="7" t="str">
        <f aca="false">IFERROR(INDEX('Output Utente'!$C$2:$C$492,MATCH(429,'Output Utente'!$Q$2:$Q$492,0)),"")</f>
        <v>Cremaschi</v>
      </c>
      <c r="E432" s="7" t="str">
        <f aca="false">IFERROR(INDEX('Input Giocatori 2026_27'!$D$3:$D$493,MATCH($B432,'Input Giocatori 2026_27'!$A$3:$A$493,0)),"")</f>
        <v>Parma</v>
      </c>
      <c r="F432" s="47" t="n">
        <f aca="false">IFERROR(INDEX('Output Utente'!$N$2:$N$492,MATCH(429,'Output Utente'!$Q$2:$Q$492,0)),"")</f>
        <v>1</v>
      </c>
      <c r="G432" s="47" t="n">
        <f aca="false">IFERROR(INDEX('Output Utente'!$O$2:$O$492,MATCH(429,'Output Utente'!$Q$2:$Q$492,0)),"")</f>
        <v>3</v>
      </c>
      <c r="H432" s="7" t="str">
        <f aca="false">IFERROR(INDEX('Output Utente'!$P$2:$P$492,MATCH(429,'Output Utente'!$Q$2:$Q$492,0)),"")</f>
        <v>Scommessa/Riserva</v>
      </c>
      <c r="I432" s="47" t="n">
        <f aca="false">IFERROR(INDEX('Output Utente'!$F$2:$F$492,MATCH(429,'Output Utente'!$Q$2:$Q$492,0)),"")</f>
        <v>0</v>
      </c>
      <c r="J432" s="47" t="n">
        <f aca="false">IFERROR(INDEX('Output Utente'!$G$2:$G$492,MATCH(429,'Output Utente'!$Q$2:$Q$492,0)),"")</f>
        <v>1</v>
      </c>
      <c r="K432" s="47" t="n">
        <f aca="false">IFERROR(INDEX('Output Utente'!$H$2:$H$492,MATCH(429,'Output Utente'!$Q$2:$Q$492,0)),"")</f>
        <v>0</v>
      </c>
      <c r="L432" s="7" t="str">
        <f aca="false">IFERROR(INDEX('Output Utente'!$E$2:$E$492,MATCH(429,'Output Utente'!$Q$2:$Q$492,0)),"")</f>
        <v>NO</v>
      </c>
      <c r="M432" s="7" t="str">
        <f aca="false">IFERROR(INDEX('Output Utente'!$U$2:$U$492,MATCH(429,'Output Utente'!$Q$2:$Q$492,0)),"")</f>
        <v>OK</v>
      </c>
      <c r="N432" s="7" t="str">
        <f aca="false">IFERROR(INDEX('Output Utente'!$AE$2:$AE$492,MATCH(429,'Output Utente'!$Q$2:$Q$492,0)),"")</f>
        <v>🟡 Attesa rischiosa</v>
      </c>
    </row>
    <row r="433" customFormat="false" ht="15" hidden="false" customHeight="true" outlineLevel="0" collapsed="false">
      <c r="A433" s="46" t="n">
        <v>430</v>
      </c>
      <c r="B433" s="7" t="n">
        <f aca="false">IFERROR(INDEX('Output Utente'!$A$2:$A$492,MATCH(430,'Output Utente'!$Q$2:$Q$492,0)),"")</f>
        <v>7392</v>
      </c>
      <c r="C433" s="7" t="str">
        <f aca="false">IFERROR(INDEX('Output Utente'!$B$2:$B$492,MATCH(430,'Output Utente'!$Q$2:$Q$492,0)),"")</f>
        <v>C</v>
      </c>
      <c r="D433" s="7" t="str">
        <f aca="false">IFERROR(INDEX('Output Utente'!$C$2:$C$492,MATCH(430,'Output Utente'!$Q$2:$Q$492,0)),"")</f>
        <v>Camara A.</v>
      </c>
      <c r="E433" s="7" t="str">
        <f aca="false">IFERROR(INDEX('Input Giocatori 2026_27'!$D$3:$D$493,MATCH($B433,'Input Giocatori 2026_27'!$A$3:$A$493,0)),"")</f>
        <v>Udinese</v>
      </c>
      <c r="F433" s="47" t="n">
        <f aca="false">IFERROR(INDEX('Output Utente'!$N$2:$N$492,MATCH(430,'Output Utente'!$Q$2:$Q$492,0)),"")</f>
        <v>1</v>
      </c>
      <c r="G433" s="47" t="n">
        <f aca="false">IFERROR(INDEX('Output Utente'!$O$2:$O$492,MATCH(430,'Output Utente'!$Q$2:$Q$492,0)),"")</f>
        <v>3</v>
      </c>
      <c r="H433" s="7" t="str">
        <f aca="false">IFERROR(INDEX('Output Utente'!$P$2:$P$492,MATCH(430,'Output Utente'!$Q$2:$Q$492,0)),"")</f>
        <v>Scommessa/Riserva</v>
      </c>
      <c r="I433" s="47" t="n">
        <f aca="false">IFERROR(INDEX('Output Utente'!$F$2:$F$492,MATCH(430,'Output Utente'!$Q$2:$Q$492,0)),"")</f>
        <v>0</v>
      </c>
      <c r="J433" s="47" t="n">
        <f aca="false">IFERROR(INDEX('Output Utente'!$G$2:$G$492,MATCH(430,'Output Utente'!$Q$2:$Q$492,0)),"")</f>
        <v>1</v>
      </c>
      <c r="K433" s="47" t="n">
        <f aca="false">IFERROR(INDEX('Output Utente'!$H$2:$H$492,MATCH(430,'Output Utente'!$Q$2:$Q$492,0)),"")</f>
        <v>0</v>
      </c>
      <c r="L433" s="7" t="str">
        <f aca="false">IFERROR(INDEX('Output Utente'!$E$2:$E$492,MATCH(430,'Output Utente'!$Q$2:$Q$492,0)),"")</f>
        <v>NO</v>
      </c>
      <c r="M433" s="7" t="str">
        <f aca="false">IFERROR(INDEX('Output Utente'!$U$2:$U$492,MATCH(430,'Output Utente'!$Q$2:$Q$492,0)),"")</f>
        <v>OK</v>
      </c>
      <c r="N433" s="7" t="str">
        <f aca="false">IFERROR(INDEX('Output Utente'!$AE$2:$AE$492,MATCH(430,'Output Utente'!$Q$2:$Q$492,0)),"")</f>
        <v>🟡 Attesa rischiosa</v>
      </c>
    </row>
    <row r="434" customFormat="false" ht="15" hidden="false" customHeight="true" outlineLevel="0" collapsed="false">
      <c r="A434" s="46" t="n">
        <v>431</v>
      </c>
      <c r="B434" s="7" t="n">
        <f aca="false">IFERROR(INDEX('Output Utente'!$A$2:$A$492,MATCH(431,'Output Utente'!$Q$2:$Q$492,0)),"")</f>
        <v>5485</v>
      </c>
      <c r="C434" s="7" t="str">
        <f aca="false">IFERROR(INDEX('Output Utente'!$B$2:$B$492,MATCH(431,'Output Utente'!$Q$2:$Q$492,0)),"")</f>
        <v>C</v>
      </c>
      <c r="D434" s="7" t="str">
        <f aca="false">IFERROR(INDEX('Output Utente'!$C$2:$C$492,MATCH(431,'Output Utente'!$Q$2:$Q$492,0)),"")</f>
        <v>Bjarkason</v>
      </c>
      <c r="E434" s="7" t="str">
        <f aca="false">IFERROR(INDEX('Input Giocatori 2026_27'!$D$3:$D$493,MATCH($B434,'Input Giocatori 2026_27'!$A$3:$A$493,0)),"")</f>
        <v>Venezia</v>
      </c>
      <c r="F434" s="47" t="n">
        <f aca="false">IFERROR(INDEX('Output Utente'!$N$2:$N$492,MATCH(431,'Output Utente'!$Q$2:$Q$492,0)),"")</f>
        <v>1</v>
      </c>
      <c r="G434" s="47" t="n">
        <f aca="false">IFERROR(INDEX('Output Utente'!$O$2:$O$492,MATCH(431,'Output Utente'!$Q$2:$Q$492,0)),"")</f>
        <v>3</v>
      </c>
      <c r="H434" s="7" t="str">
        <f aca="false">IFERROR(INDEX('Output Utente'!$P$2:$P$492,MATCH(431,'Output Utente'!$Q$2:$Q$492,0)),"")</f>
        <v>Scommessa/Riserva</v>
      </c>
      <c r="I434" s="47" t="n">
        <f aca="false">IFERROR(INDEX('Output Utente'!$F$2:$F$492,MATCH(431,'Output Utente'!$Q$2:$Q$492,0)),"")</f>
        <v>0</v>
      </c>
      <c r="J434" s="47" t="n">
        <f aca="false">IFERROR(INDEX('Output Utente'!$G$2:$G$492,MATCH(431,'Output Utente'!$Q$2:$Q$492,0)),"")</f>
        <v>1</v>
      </c>
      <c r="K434" s="47" t="n">
        <f aca="false">IFERROR(INDEX('Output Utente'!$H$2:$H$492,MATCH(431,'Output Utente'!$Q$2:$Q$492,0)),"")</f>
        <v>0</v>
      </c>
      <c r="L434" s="7" t="str">
        <f aca="false">IFERROR(INDEX('Output Utente'!$E$2:$E$492,MATCH(431,'Output Utente'!$Q$2:$Q$492,0)),"")</f>
        <v>NO</v>
      </c>
      <c r="M434" s="7" t="str">
        <f aca="false">IFERROR(INDEX('Output Utente'!$U$2:$U$492,MATCH(431,'Output Utente'!$Q$2:$Q$492,0)),"")</f>
        <v>OK</v>
      </c>
      <c r="N434" s="7" t="str">
        <f aca="false">IFERROR(INDEX('Output Utente'!$AE$2:$AE$492,MATCH(431,'Output Utente'!$Q$2:$Q$492,0)),"")</f>
        <v>🟡 Attesa rischiosa</v>
      </c>
    </row>
    <row r="435" customFormat="false" ht="15" hidden="false" customHeight="true" outlineLevel="0" collapsed="false">
      <c r="A435" s="46" t="n">
        <v>432</v>
      </c>
      <c r="B435" s="7" t="n">
        <f aca="false">IFERROR(INDEX('Output Utente'!$A$2:$A$492,MATCH(432,'Output Utente'!$Q$2:$Q$492,0)),"")</f>
        <v>7161</v>
      </c>
      <c r="C435" s="7" t="str">
        <f aca="false">IFERROR(INDEX('Output Utente'!$B$2:$B$492,MATCH(432,'Output Utente'!$Q$2:$Q$492,0)),"")</f>
        <v>A</v>
      </c>
      <c r="D435" s="7" t="str">
        <f aca="false">IFERROR(INDEX('Output Utente'!$C$2:$C$492,MATCH(432,'Output Utente'!$Q$2:$Q$492,0)),"")</f>
        <v>Bayo V.</v>
      </c>
      <c r="E435" s="7" t="str">
        <f aca="false">IFERROR(INDEX('Input Giocatori 2026_27'!$D$3:$D$493,MATCH($B435,'Input Giocatori 2026_27'!$A$3:$A$493,0)),"")</f>
        <v>Udinese</v>
      </c>
      <c r="F435" s="47" t="n">
        <f aca="false">IFERROR(INDEX('Output Utente'!$N$2:$N$492,MATCH(432,'Output Utente'!$Q$2:$Q$492,0)),"")</f>
        <v>1</v>
      </c>
      <c r="G435" s="47" t="n">
        <f aca="false">IFERROR(INDEX('Output Utente'!$O$2:$O$492,MATCH(432,'Output Utente'!$Q$2:$Q$492,0)),"")</f>
        <v>3</v>
      </c>
      <c r="H435" s="7" t="str">
        <f aca="false">IFERROR(INDEX('Output Utente'!$P$2:$P$492,MATCH(432,'Output Utente'!$Q$2:$Q$492,0)),"")</f>
        <v>Scommessa/Riserva</v>
      </c>
      <c r="I435" s="47" t="n">
        <f aca="false">IFERROR(INDEX('Output Utente'!$F$2:$F$492,MATCH(432,'Output Utente'!$Q$2:$Q$492,0)),"")</f>
        <v>1</v>
      </c>
      <c r="J435" s="47" t="n">
        <f aca="false">IFERROR(INDEX('Output Utente'!$G$2:$G$492,MATCH(432,'Output Utente'!$Q$2:$Q$492,0)),"")</f>
        <v>1</v>
      </c>
      <c r="K435" s="47" t="n">
        <f aca="false">IFERROR(INDEX('Output Utente'!$H$2:$H$492,MATCH(432,'Output Utente'!$Q$2:$Q$492,0)),"")</f>
        <v>1</v>
      </c>
      <c r="L435" s="7" t="str">
        <f aca="false">IFERROR(INDEX('Output Utente'!$E$2:$E$492,MATCH(432,'Output Utente'!$Q$2:$Q$492,0)),"")</f>
        <v>NO</v>
      </c>
      <c r="M435" s="7" t="str">
        <f aca="false">IFERROR(INDEX('Output Utente'!$U$2:$U$492,MATCH(432,'Output Utente'!$Q$2:$Q$492,0)),"")</f>
        <v>OK</v>
      </c>
      <c r="N435" s="7" t="str">
        <f aca="false">IFERROR(INDEX('Output Utente'!$AE$2:$AE$492,MATCH(432,'Output Utente'!$Q$2:$Q$492,0)),"")</f>
        <v>🔴 Non aspettare</v>
      </c>
    </row>
    <row r="436" customFormat="false" ht="15" hidden="false" customHeight="true" outlineLevel="0" collapsed="false">
      <c r="A436" s="46" t="n">
        <v>433</v>
      </c>
      <c r="B436" s="7" t="n">
        <f aca="false">IFERROR(INDEX('Output Utente'!$A$2:$A$492,MATCH(433,'Output Utente'!$Q$2:$Q$492,0)),"")</f>
        <v>6245</v>
      </c>
      <c r="C436" s="7" t="str">
        <f aca="false">IFERROR(INDEX('Output Utente'!$B$2:$B$492,MATCH(433,'Output Utente'!$Q$2:$Q$492,0)),"")</f>
        <v>D</v>
      </c>
      <c r="D436" s="7" t="str">
        <f aca="false">IFERROR(INDEX('Output Utente'!$C$2:$C$492,MATCH(433,'Output Utente'!$Q$2:$Q$492,0)),"")</f>
        <v>Vogliacco</v>
      </c>
      <c r="E436" s="7" t="str">
        <f aca="false">IFERROR(INDEX('Input Giocatori 2026_27'!$D$3:$D$493,MATCH($B436,'Input Giocatori 2026_27'!$A$3:$A$493,0)),"")</f>
        <v>Genoa</v>
      </c>
      <c r="F436" s="47" t="n">
        <f aca="false">IFERROR(INDEX('Output Utente'!$N$2:$N$492,MATCH(433,'Output Utente'!$Q$2:$Q$492,0)),"")</f>
        <v>1</v>
      </c>
      <c r="G436" s="47" t="n">
        <f aca="false">IFERROR(INDEX('Output Utente'!$O$2:$O$492,MATCH(433,'Output Utente'!$Q$2:$Q$492,0)),"")</f>
        <v>2</v>
      </c>
      <c r="H436" s="7" t="str">
        <f aca="false">IFERROR(INDEX('Output Utente'!$P$2:$P$492,MATCH(433,'Output Utente'!$Q$2:$Q$492,0)),"")</f>
        <v>Scommessa/Riserva</v>
      </c>
      <c r="I436" s="47" t="n">
        <f aca="false">IFERROR(INDEX('Output Utente'!$F$2:$F$492,MATCH(433,'Output Utente'!$Q$2:$Q$492,0)),"")</f>
        <v>0</v>
      </c>
      <c r="J436" s="47" t="n">
        <f aca="false">IFERROR(INDEX('Output Utente'!$G$2:$G$492,MATCH(433,'Output Utente'!$Q$2:$Q$492,0)),"")</f>
        <v>1</v>
      </c>
      <c r="K436" s="47" t="n">
        <f aca="false">IFERROR(INDEX('Output Utente'!$H$2:$H$492,MATCH(433,'Output Utente'!$Q$2:$Q$492,0)),"")</f>
        <v>0</v>
      </c>
      <c r="L436" s="7" t="str">
        <f aca="false">IFERROR(INDEX('Output Utente'!$E$2:$E$492,MATCH(433,'Output Utente'!$Q$2:$Q$492,0)),"")</f>
        <v>NO</v>
      </c>
      <c r="M436" s="7" t="str">
        <f aca="false">IFERROR(INDEX('Output Utente'!$U$2:$U$492,MATCH(433,'Output Utente'!$Q$2:$Q$492,0)),"")</f>
        <v>OK</v>
      </c>
      <c r="N436" s="7" t="str">
        <f aca="false">IFERROR(INDEX('Output Utente'!$AE$2:$AE$492,MATCH(433,'Output Utente'!$Q$2:$Q$492,0)),"")</f>
        <v>🟡 Attesa rischiosa</v>
      </c>
    </row>
    <row r="437" customFormat="false" ht="15" hidden="false" customHeight="true" outlineLevel="0" collapsed="false">
      <c r="A437" s="46" t="n">
        <v>434</v>
      </c>
      <c r="B437" s="7" t="n">
        <f aca="false">IFERROR(INDEX('Output Utente'!$A$2:$A$492,MATCH(434,'Output Utente'!$Q$2:$Q$492,0)),"")</f>
        <v>6244</v>
      </c>
      <c r="C437" s="7" t="str">
        <f aca="false">IFERROR(INDEX('Output Utente'!$B$2:$B$492,MATCH(434,'Output Utente'!$Q$2:$Q$492,0)),"")</f>
        <v>D</v>
      </c>
      <c r="D437" s="7" t="str">
        <f aca="false">IFERROR(INDEX('Output Utente'!$C$2:$C$492,MATCH(434,'Output Utente'!$Q$2:$Q$492,0)),"")</f>
        <v>Matturro</v>
      </c>
      <c r="E437" s="7" t="str">
        <f aca="false">IFERROR(INDEX('Input Giocatori 2026_27'!$D$3:$D$493,MATCH($B437,'Input Giocatori 2026_27'!$A$3:$A$493,0)),"")</f>
        <v>Genoa</v>
      </c>
      <c r="F437" s="47" t="n">
        <f aca="false">IFERROR(INDEX('Output Utente'!$N$2:$N$492,MATCH(434,'Output Utente'!$Q$2:$Q$492,0)),"")</f>
        <v>1</v>
      </c>
      <c r="G437" s="47" t="n">
        <f aca="false">IFERROR(INDEX('Output Utente'!$O$2:$O$492,MATCH(434,'Output Utente'!$Q$2:$Q$492,0)),"")</f>
        <v>2</v>
      </c>
      <c r="H437" s="7" t="str">
        <f aca="false">IFERROR(INDEX('Output Utente'!$P$2:$P$492,MATCH(434,'Output Utente'!$Q$2:$Q$492,0)),"")</f>
        <v>Scommessa/Riserva</v>
      </c>
      <c r="I437" s="47" t="n">
        <f aca="false">IFERROR(INDEX('Output Utente'!$F$2:$F$492,MATCH(434,'Output Utente'!$Q$2:$Q$492,0)),"")</f>
        <v>0</v>
      </c>
      <c r="J437" s="47" t="n">
        <f aca="false">IFERROR(INDEX('Output Utente'!$G$2:$G$492,MATCH(434,'Output Utente'!$Q$2:$Q$492,0)),"")</f>
        <v>1</v>
      </c>
      <c r="K437" s="47" t="n">
        <f aca="false">IFERROR(INDEX('Output Utente'!$H$2:$H$492,MATCH(434,'Output Utente'!$Q$2:$Q$492,0)),"")</f>
        <v>0</v>
      </c>
      <c r="L437" s="7" t="str">
        <f aca="false">IFERROR(INDEX('Output Utente'!$E$2:$E$492,MATCH(434,'Output Utente'!$Q$2:$Q$492,0)),"")</f>
        <v>NO</v>
      </c>
      <c r="M437" s="7" t="str">
        <f aca="false">IFERROR(INDEX('Output Utente'!$U$2:$U$492,MATCH(434,'Output Utente'!$Q$2:$Q$492,0)),"")</f>
        <v>OK</v>
      </c>
      <c r="N437" s="7" t="str">
        <f aca="false">IFERROR(INDEX('Output Utente'!$AE$2:$AE$492,MATCH(434,'Output Utente'!$Q$2:$Q$492,0)),"")</f>
        <v>🟡 Attesa rischiosa</v>
      </c>
    </row>
    <row r="438" customFormat="false" ht="15" hidden="false" customHeight="true" outlineLevel="0" collapsed="false">
      <c r="A438" s="46" t="n">
        <v>435</v>
      </c>
      <c r="B438" s="7" t="n">
        <f aca="false">IFERROR(INDEX('Output Utente'!$A$2:$A$492,MATCH(435,'Output Utente'!$Q$2:$Q$492,0)),"")</f>
        <v>5399</v>
      </c>
      <c r="C438" s="7" t="str">
        <f aca="false">IFERROR(INDEX('Output Utente'!$B$2:$B$492,MATCH(435,'Output Utente'!$Q$2:$Q$492,0)),"")</f>
        <v>D</v>
      </c>
      <c r="D438" s="7" t="str">
        <f aca="false">IFERROR(INDEX('Output Utente'!$C$2:$C$492,MATCH(435,'Output Utente'!$Q$2:$Q$492,0)),"")</f>
        <v>Antov</v>
      </c>
      <c r="E438" s="7" t="str">
        <f aca="false">IFERROR(INDEX('Input Giocatori 2026_27'!$D$3:$D$493,MATCH($B438,'Input Giocatori 2026_27'!$A$3:$A$493,0)),"")</f>
        <v>Monza</v>
      </c>
      <c r="F438" s="47" t="n">
        <f aca="false">IFERROR(INDEX('Output Utente'!$N$2:$N$492,MATCH(435,'Output Utente'!$Q$2:$Q$492,0)),"")</f>
        <v>1</v>
      </c>
      <c r="G438" s="47" t="n">
        <f aca="false">IFERROR(INDEX('Output Utente'!$O$2:$O$492,MATCH(435,'Output Utente'!$Q$2:$Q$492,0)),"")</f>
        <v>2</v>
      </c>
      <c r="H438" s="7" t="str">
        <f aca="false">IFERROR(INDEX('Output Utente'!$P$2:$P$492,MATCH(435,'Output Utente'!$Q$2:$Q$492,0)),"")</f>
        <v>Scommessa/Riserva</v>
      </c>
      <c r="I438" s="47" t="n">
        <f aca="false">IFERROR(INDEX('Output Utente'!$F$2:$F$492,MATCH(435,'Output Utente'!$Q$2:$Q$492,0)),"")</f>
        <v>0</v>
      </c>
      <c r="J438" s="47" t="n">
        <f aca="false">IFERROR(INDEX('Output Utente'!$G$2:$G$492,MATCH(435,'Output Utente'!$Q$2:$Q$492,0)),"")</f>
        <v>1</v>
      </c>
      <c r="K438" s="47" t="n">
        <f aca="false">IFERROR(INDEX('Output Utente'!$H$2:$H$492,MATCH(435,'Output Utente'!$Q$2:$Q$492,0)),"")</f>
        <v>0</v>
      </c>
      <c r="L438" s="7" t="str">
        <f aca="false">IFERROR(INDEX('Output Utente'!$E$2:$E$492,MATCH(435,'Output Utente'!$Q$2:$Q$492,0)),"")</f>
        <v>NO</v>
      </c>
      <c r="M438" s="7" t="str">
        <f aca="false">IFERROR(INDEX('Output Utente'!$U$2:$U$492,MATCH(435,'Output Utente'!$Q$2:$Q$492,0)),"")</f>
        <v>OK</v>
      </c>
      <c r="N438" s="7" t="str">
        <f aca="false">IFERROR(INDEX('Output Utente'!$AE$2:$AE$492,MATCH(435,'Output Utente'!$Q$2:$Q$492,0)),"")</f>
        <v>🟡 Attesa rischiosa</v>
      </c>
    </row>
    <row r="439" customFormat="false" ht="15" hidden="false" customHeight="true" outlineLevel="0" collapsed="false">
      <c r="A439" s="46" t="n">
        <v>436</v>
      </c>
      <c r="B439" s="7" t="n">
        <f aca="false">IFERROR(INDEX('Output Utente'!$A$2:$A$492,MATCH(436,'Output Utente'!$Q$2:$Q$492,0)),"")</f>
        <v>7260</v>
      </c>
      <c r="C439" s="7" t="str">
        <f aca="false">IFERROR(INDEX('Output Utente'!$B$2:$B$492,MATCH(436,'Output Utente'!$Q$2:$Q$492,0)),"")</f>
        <v>D</v>
      </c>
      <c r="D439" s="7" t="str">
        <f aca="false">IFERROR(INDEX('Output Utente'!$C$2:$C$492,MATCH(436,'Output Utente'!$Q$2:$Q$492,0)),"")</f>
        <v>Ziolkowski</v>
      </c>
      <c r="E439" s="7" t="str">
        <f aca="false">IFERROR(INDEX('Input Giocatori 2026_27'!$D$3:$D$493,MATCH($B439,'Input Giocatori 2026_27'!$A$3:$A$493,0)),"")</f>
        <v>Roma</v>
      </c>
      <c r="F439" s="47" t="n">
        <f aca="false">IFERROR(INDEX('Output Utente'!$N$2:$N$492,MATCH(436,'Output Utente'!$Q$2:$Q$492,0)),"")</f>
        <v>1</v>
      </c>
      <c r="G439" s="47" t="n">
        <f aca="false">IFERROR(INDEX('Output Utente'!$O$2:$O$492,MATCH(436,'Output Utente'!$Q$2:$Q$492,0)),"")</f>
        <v>2</v>
      </c>
      <c r="H439" s="7" t="str">
        <f aca="false">IFERROR(INDEX('Output Utente'!$P$2:$P$492,MATCH(436,'Output Utente'!$Q$2:$Q$492,0)),"")</f>
        <v>Scommessa/Riserva</v>
      </c>
      <c r="I439" s="47" t="n">
        <f aca="false">IFERROR(INDEX('Output Utente'!$F$2:$F$492,MATCH(436,'Output Utente'!$Q$2:$Q$492,0)),"")</f>
        <v>0</v>
      </c>
      <c r="J439" s="47" t="n">
        <f aca="false">IFERROR(INDEX('Output Utente'!$G$2:$G$492,MATCH(436,'Output Utente'!$Q$2:$Q$492,0)),"")</f>
        <v>1</v>
      </c>
      <c r="K439" s="47" t="n">
        <f aca="false">IFERROR(INDEX('Output Utente'!$H$2:$H$492,MATCH(436,'Output Utente'!$Q$2:$Q$492,0)),"")</f>
        <v>0</v>
      </c>
      <c r="L439" s="7" t="str">
        <f aca="false">IFERROR(INDEX('Output Utente'!$E$2:$E$492,MATCH(436,'Output Utente'!$Q$2:$Q$492,0)),"")</f>
        <v>NO</v>
      </c>
      <c r="M439" s="7" t="str">
        <f aca="false">IFERROR(INDEX('Output Utente'!$U$2:$U$492,MATCH(436,'Output Utente'!$Q$2:$Q$492,0)),"")</f>
        <v>OK</v>
      </c>
      <c r="N439" s="7" t="str">
        <f aca="false">IFERROR(INDEX('Output Utente'!$AE$2:$AE$492,MATCH(436,'Output Utente'!$Q$2:$Q$492,0)),"")</f>
        <v>🟡 Attesa rischiosa</v>
      </c>
    </row>
    <row r="440" customFormat="false" ht="15" hidden="false" customHeight="true" outlineLevel="0" collapsed="false">
      <c r="A440" s="46" t="n">
        <v>437</v>
      </c>
      <c r="B440" s="7" t="n">
        <f aca="false">IFERROR(INDEX('Output Utente'!$A$2:$A$492,MATCH(437,'Output Utente'!$Q$2:$Q$492,0)),"")</f>
        <v>6189</v>
      </c>
      <c r="C440" s="7" t="str">
        <f aca="false">IFERROR(INDEX('Output Utente'!$B$2:$B$492,MATCH(437,'Output Utente'!$Q$2:$Q$492,0)),"")</f>
        <v>D</v>
      </c>
      <c r="D440" s="7" t="str">
        <f aca="false">IFERROR(INDEX('Output Utente'!$C$2:$C$492,MATCH(437,'Output Utente'!$Q$2:$Q$492,0)),"")</f>
        <v>Missori</v>
      </c>
      <c r="E440" s="7" t="str">
        <f aca="false">IFERROR(INDEX('Input Giocatori 2026_27'!$D$3:$D$493,MATCH($B440,'Input Giocatori 2026_27'!$A$3:$A$493,0)),"")</f>
        <v>Sassuolo</v>
      </c>
      <c r="F440" s="47" t="n">
        <f aca="false">IFERROR(INDEX('Output Utente'!$N$2:$N$492,MATCH(437,'Output Utente'!$Q$2:$Q$492,0)),"")</f>
        <v>1</v>
      </c>
      <c r="G440" s="47" t="n">
        <f aca="false">IFERROR(INDEX('Output Utente'!$O$2:$O$492,MATCH(437,'Output Utente'!$Q$2:$Q$492,0)),"")</f>
        <v>2</v>
      </c>
      <c r="H440" s="7" t="str">
        <f aca="false">IFERROR(INDEX('Output Utente'!$P$2:$P$492,MATCH(437,'Output Utente'!$Q$2:$Q$492,0)),"")</f>
        <v>Scommessa/Riserva</v>
      </c>
      <c r="I440" s="47" t="n">
        <f aca="false">IFERROR(INDEX('Output Utente'!$F$2:$F$492,MATCH(437,'Output Utente'!$Q$2:$Q$492,0)),"")</f>
        <v>0</v>
      </c>
      <c r="J440" s="47" t="n">
        <f aca="false">IFERROR(INDEX('Output Utente'!$G$2:$G$492,MATCH(437,'Output Utente'!$Q$2:$Q$492,0)),"")</f>
        <v>1</v>
      </c>
      <c r="K440" s="47" t="n">
        <f aca="false">IFERROR(INDEX('Output Utente'!$H$2:$H$492,MATCH(437,'Output Utente'!$Q$2:$Q$492,0)),"")</f>
        <v>0</v>
      </c>
      <c r="L440" s="7" t="str">
        <f aca="false">IFERROR(INDEX('Output Utente'!$E$2:$E$492,MATCH(437,'Output Utente'!$Q$2:$Q$492,0)),"")</f>
        <v>NO</v>
      </c>
      <c r="M440" s="7" t="str">
        <f aca="false">IFERROR(INDEX('Output Utente'!$U$2:$U$492,MATCH(437,'Output Utente'!$Q$2:$Q$492,0)),"")</f>
        <v>OK</v>
      </c>
      <c r="N440" s="7" t="str">
        <f aca="false">IFERROR(INDEX('Output Utente'!$AE$2:$AE$492,MATCH(437,'Output Utente'!$Q$2:$Q$492,0)),"")</f>
        <v>🟡 Attesa rischiosa</v>
      </c>
    </row>
    <row r="441" customFormat="false" ht="15" hidden="false" customHeight="true" outlineLevel="0" collapsed="false">
      <c r="A441" s="46" t="n">
        <v>438</v>
      </c>
      <c r="B441" s="7" t="n">
        <f aca="false">IFERROR(INDEX('Output Utente'!$A$2:$A$492,MATCH(438,'Output Utente'!$Q$2:$Q$492,0)),"")</f>
        <v>6410</v>
      </c>
      <c r="C441" s="7" t="str">
        <f aca="false">IFERROR(INDEX('Output Utente'!$B$2:$B$492,MATCH(438,'Output Utente'!$Q$2:$Q$492,0)),"")</f>
        <v>C</v>
      </c>
      <c r="D441" s="7" t="str">
        <f aca="false">IFERROR(INDEX('Output Utente'!$C$2:$C$492,MATCH(438,'Output Utente'!$Q$2:$Q$492,0)),"")</f>
        <v>Kaba</v>
      </c>
      <c r="E441" s="7" t="str">
        <f aca="false">IFERROR(INDEX('Input Giocatori 2026_27'!$D$3:$D$493,MATCH($B441,'Input Giocatori 2026_27'!$A$3:$A$493,0)),"")</f>
        <v>Lecce</v>
      </c>
      <c r="F441" s="47" t="n">
        <f aca="false">IFERROR(INDEX('Output Utente'!$N$2:$N$492,MATCH(438,'Output Utente'!$Q$2:$Q$492,0)),"")</f>
        <v>1</v>
      </c>
      <c r="G441" s="47" t="n">
        <f aca="false">IFERROR(INDEX('Output Utente'!$O$2:$O$492,MATCH(438,'Output Utente'!$Q$2:$Q$492,0)),"")</f>
        <v>2</v>
      </c>
      <c r="H441" s="7" t="str">
        <f aca="false">IFERROR(INDEX('Output Utente'!$P$2:$P$492,MATCH(438,'Output Utente'!$Q$2:$Q$492,0)),"")</f>
        <v>Scommessa/Riserva</v>
      </c>
      <c r="I441" s="47" t="n">
        <f aca="false">IFERROR(INDEX('Output Utente'!$F$2:$F$492,MATCH(438,'Output Utente'!$Q$2:$Q$492,0)),"")</f>
        <v>0</v>
      </c>
      <c r="J441" s="47" t="n">
        <f aca="false">IFERROR(INDEX('Output Utente'!$G$2:$G$492,MATCH(438,'Output Utente'!$Q$2:$Q$492,0)),"")</f>
        <v>1</v>
      </c>
      <c r="K441" s="47" t="n">
        <f aca="false">IFERROR(INDEX('Output Utente'!$H$2:$H$492,MATCH(438,'Output Utente'!$Q$2:$Q$492,0)),"")</f>
        <v>0</v>
      </c>
      <c r="L441" s="7" t="str">
        <f aca="false">IFERROR(INDEX('Output Utente'!$E$2:$E$492,MATCH(438,'Output Utente'!$Q$2:$Q$492,0)),"")</f>
        <v>NO</v>
      </c>
      <c r="M441" s="7" t="str">
        <f aca="false">IFERROR(INDEX('Output Utente'!$U$2:$U$492,MATCH(438,'Output Utente'!$Q$2:$Q$492,0)),"")</f>
        <v>OK</v>
      </c>
      <c r="N441" s="7" t="str">
        <f aca="false">IFERROR(INDEX('Output Utente'!$AE$2:$AE$492,MATCH(438,'Output Utente'!$Q$2:$Q$492,0)),"")</f>
        <v>🟡 Attesa rischiosa</v>
      </c>
    </row>
    <row r="442" customFormat="false" ht="15" hidden="false" customHeight="true" outlineLevel="0" collapsed="false">
      <c r="A442" s="46" t="n">
        <v>439</v>
      </c>
      <c r="B442" s="7" t="n">
        <f aca="false">IFERROR(INDEX('Output Utente'!$A$2:$A$492,MATCH(439,'Output Utente'!$Q$2:$Q$492,0)),"")</f>
        <v>7317</v>
      </c>
      <c r="C442" s="7" t="str">
        <f aca="false">IFERROR(INDEX('Output Utente'!$B$2:$B$492,MATCH(439,'Output Utente'!$Q$2:$Q$492,0)),"")</f>
        <v>A</v>
      </c>
      <c r="D442" s="7" t="str">
        <f aca="false">IFERROR(INDEX('Output Utente'!$C$2:$C$492,MATCH(439,'Output Utente'!$Q$2:$Q$492,0)),"")</f>
        <v>Trepy</v>
      </c>
      <c r="E442" s="7" t="str">
        <f aca="false">IFERROR(INDEX('Input Giocatori 2026_27'!$D$3:$D$493,MATCH($B442,'Input Giocatori 2026_27'!$A$3:$A$493,0)),"")</f>
        <v>Cagliari</v>
      </c>
      <c r="F442" s="47" t="n">
        <f aca="false">IFERROR(INDEX('Output Utente'!$N$2:$N$492,MATCH(439,'Output Utente'!$Q$2:$Q$492,0)),"")</f>
        <v>1</v>
      </c>
      <c r="G442" s="47" t="n">
        <f aca="false">IFERROR(INDEX('Output Utente'!$O$2:$O$492,MATCH(439,'Output Utente'!$Q$2:$Q$492,0)),"")</f>
        <v>2</v>
      </c>
      <c r="H442" s="7" t="str">
        <f aca="false">IFERROR(INDEX('Output Utente'!$P$2:$P$492,MATCH(439,'Output Utente'!$Q$2:$Q$492,0)),"")</f>
        <v>Scommessa/Riserva</v>
      </c>
      <c r="I442" s="47" t="n">
        <f aca="false">IFERROR(INDEX('Output Utente'!$F$2:$F$492,MATCH(439,'Output Utente'!$Q$2:$Q$492,0)),"")</f>
        <v>1</v>
      </c>
      <c r="J442" s="47" t="n">
        <f aca="false">IFERROR(INDEX('Output Utente'!$G$2:$G$492,MATCH(439,'Output Utente'!$Q$2:$Q$492,0)),"")</f>
        <v>1</v>
      </c>
      <c r="K442" s="47" t="n">
        <f aca="false">IFERROR(INDEX('Output Utente'!$H$2:$H$492,MATCH(439,'Output Utente'!$Q$2:$Q$492,0)),"")</f>
        <v>1</v>
      </c>
      <c r="L442" s="7" t="str">
        <f aca="false">IFERROR(INDEX('Output Utente'!$E$2:$E$492,MATCH(439,'Output Utente'!$Q$2:$Q$492,0)),"")</f>
        <v>NO</v>
      </c>
      <c r="M442" s="7" t="str">
        <f aca="false">IFERROR(INDEX('Output Utente'!$U$2:$U$492,MATCH(439,'Output Utente'!$Q$2:$Q$492,0)),"")</f>
        <v>OK</v>
      </c>
      <c r="N442" s="7" t="str">
        <f aca="false">IFERROR(INDEX('Output Utente'!$AE$2:$AE$492,MATCH(439,'Output Utente'!$Q$2:$Q$492,0)),"")</f>
        <v>🔴 Non aspettare</v>
      </c>
    </row>
    <row r="443" customFormat="false" ht="15" hidden="false" customHeight="true" outlineLevel="0" collapsed="false">
      <c r="A443" s="46" t="n">
        <v>440</v>
      </c>
      <c r="B443" s="7" t="n">
        <f aca="false">IFERROR(INDEX('Output Utente'!$A$2:$A$492,MATCH(440,'Output Utente'!$Q$2:$Q$492,0)),"")</f>
        <v>2297</v>
      </c>
      <c r="C443" s="7" t="str">
        <f aca="false">IFERROR(INDEX('Output Utente'!$B$2:$B$492,MATCH(440,'Output Utente'!$Q$2:$Q$492,0)),"")</f>
        <v>P</v>
      </c>
      <c r="D443" s="7" t="str">
        <f aca="false">IFERROR(INDEX('Output Utente'!$C$2:$C$492,MATCH(440,'Output Utente'!$Q$2:$Q$492,0)),"")</f>
        <v>Rossi F.</v>
      </c>
      <c r="E443" s="7" t="str">
        <f aca="false">IFERROR(INDEX('Input Giocatori 2026_27'!$D$3:$D$493,MATCH($B443,'Input Giocatori 2026_27'!$A$3:$A$493,0)),"")</f>
        <v>Atalanta</v>
      </c>
      <c r="F443" s="47" t="n">
        <f aca="false">IFERROR(INDEX('Output Utente'!$N$2:$N$492,MATCH(440,'Output Utente'!$Q$2:$Q$492,0)),"")</f>
        <v>1</v>
      </c>
      <c r="G443" s="47" t="n">
        <f aca="false">IFERROR(INDEX('Output Utente'!$O$2:$O$492,MATCH(440,'Output Utente'!$Q$2:$Q$492,0)),"")</f>
        <v>1</v>
      </c>
      <c r="H443" s="7" t="str">
        <f aca="false">IFERROR(INDEX('Output Utente'!$P$2:$P$492,MATCH(440,'Output Utente'!$Q$2:$Q$492,0)),"")</f>
        <v>Nella Media</v>
      </c>
      <c r="I443" s="47" t="n">
        <f aca="false">IFERROR(INDEX('Output Utente'!$F$2:$F$492,MATCH(440,'Output Utente'!$Q$2:$Q$492,0)),"")</f>
        <v>0</v>
      </c>
      <c r="J443" s="47" t="n">
        <f aca="false">IFERROR(INDEX('Output Utente'!$G$2:$G$492,MATCH(440,'Output Utente'!$Q$2:$Q$492,0)),"")</f>
        <v>1</v>
      </c>
      <c r="K443" s="47" t="n">
        <f aca="false">IFERROR(INDEX('Output Utente'!$H$2:$H$492,MATCH(440,'Output Utente'!$Q$2:$Q$492,0)),"")</f>
        <v>0</v>
      </c>
      <c r="L443" s="7" t="str">
        <f aca="false">IFERROR(INDEX('Output Utente'!$E$2:$E$492,MATCH(440,'Output Utente'!$Q$2:$Q$492,0)),"")</f>
        <v>NO</v>
      </c>
      <c r="M443" s="7" t="str">
        <f aca="false">IFERROR(INDEX('Output Utente'!$U$2:$U$492,MATCH(440,'Output Utente'!$Q$2:$Q$492,0)),"")</f>
        <v>OK</v>
      </c>
      <c r="N443" s="7" t="str">
        <f aca="false">IFERROR(INDEX('Output Utente'!$AE$2:$AE$492,MATCH(440,'Output Utente'!$Q$2:$Q$492,0)),"")</f>
        <v>🟡 Attesa rischiosa</v>
      </c>
    </row>
    <row r="444" customFormat="false" ht="15" hidden="false" customHeight="true" outlineLevel="0" collapsed="false">
      <c r="A444" s="46" t="n">
        <v>441</v>
      </c>
      <c r="B444" s="7" t="n">
        <f aca="false">IFERROR(INDEX('Output Utente'!$A$2:$A$492,MATCH(441,'Output Utente'!$Q$2:$Q$492,0)),"")</f>
        <v>4</v>
      </c>
      <c r="C444" s="7" t="str">
        <f aca="false">IFERROR(INDEX('Output Utente'!$B$2:$B$492,MATCH(441,'Output Utente'!$Q$2:$Q$492,0)),"")</f>
        <v>P</v>
      </c>
      <c r="D444" s="7" t="str">
        <f aca="false">IFERROR(INDEX('Output Utente'!$C$2:$C$492,MATCH(441,'Output Utente'!$Q$2:$Q$492,0)),"")</f>
        <v>Sportiello</v>
      </c>
      <c r="E444" s="7" t="str">
        <f aca="false">IFERROR(INDEX('Input Giocatori 2026_27'!$D$3:$D$493,MATCH($B444,'Input Giocatori 2026_27'!$A$3:$A$493,0)),"")</f>
        <v>Atalanta</v>
      </c>
      <c r="F444" s="47" t="n">
        <f aca="false">IFERROR(INDEX('Output Utente'!$N$2:$N$492,MATCH(441,'Output Utente'!$Q$2:$Q$492,0)),"")</f>
        <v>1</v>
      </c>
      <c r="G444" s="47" t="n">
        <f aca="false">IFERROR(INDEX('Output Utente'!$O$2:$O$492,MATCH(441,'Output Utente'!$Q$2:$Q$492,0)),"")</f>
        <v>1</v>
      </c>
      <c r="H444" s="7" t="str">
        <f aca="false">IFERROR(INDEX('Output Utente'!$P$2:$P$492,MATCH(441,'Output Utente'!$Q$2:$Q$492,0)),"")</f>
        <v>Nella Media</v>
      </c>
      <c r="I444" s="47" t="n">
        <f aca="false">IFERROR(INDEX('Output Utente'!$F$2:$F$492,MATCH(441,'Output Utente'!$Q$2:$Q$492,0)),"")</f>
        <v>0</v>
      </c>
      <c r="J444" s="47" t="n">
        <f aca="false">IFERROR(INDEX('Output Utente'!$G$2:$G$492,MATCH(441,'Output Utente'!$Q$2:$Q$492,0)),"")</f>
        <v>1</v>
      </c>
      <c r="K444" s="47" t="n">
        <f aca="false">IFERROR(INDEX('Output Utente'!$H$2:$H$492,MATCH(441,'Output Utente'!$Q$2:$Q$492,0)),"")</f>
        <v>0</v>
      </c>
      <c r="L444" s="7" t="str">
        <f aca="false">IFERROR(INDEX('Output Utente'!$E$2:$E$492,MATCH(441,'Output Utente'!$Q$2:$Q$492,0)),"")</f>
        <v>NO</v>
      </c>
      <c r="M444" s="7" t="str">
        <f aca="false">IFERROR(INDEX('Output Utente'!$U$2:$U$492,MATCH(441,'Output Utente'!$Q$2:$Q$492,0)),"")</f>
        <v>OK</v>
      </c>
      <c r="N444" s="7" t="str">
        <f aca="false">IFERROR(INDEX('Output Utente'!$AE$2:$AE$492,MATCH(441,'Output Utente'!$Q$2:$Q$492,0)),"")</f>
        <v>🟡 Attesa rischiosa</v>
      </c>
    </row>
    <row r="445" customFormat="false" ht="15" hidden="false" customHeight="true" outlineLevel="0" collapsed="false">
      <c r="A445" s="46" t="n">
        <v>442</v>
      </c>
      <c r="B445" s="7" t="n">
        <f aca="false">IFERROR(INDEX('Output Utente'!$A$2:$A$492,MATCH(442,'Output Utente'!$Q$2:$Q$492,0)),"")</f>
        <v>7533</v>
      </c>
      <c r="C445" s="7" t="str">
        <f aca="false">IFERROR(INDEX('Output Utente'!$B$2:$B$492,MATCH(442,'Output Utente'!$Q$2:$Q$492,0)),"")</f>
        <v>P</v>
      </c>
      <c r="D445" s="7" t="str">
        <f aca="false">IFERROR(INDEX('Output Utente'!$C$2:$C$492,MATCH(442,'Output Utente'!$Q$2:$Q$492,0)),"")</f>
        <v>Happonen</v>
      </c>
      <c r="E445" s="7" t="str">
        <f aca="false">IFERROR(INDEX('Input Giocatori 2026_27'!$D$3:$D$493,MATCH($B445,'Input Giocatori 2026_27'!$A$3:$A$493,0)),"")</f>
        <v>Bologna</v>
      </c>
      <c r="F445" s="47" t="n">
        <f aca="false">IFERROR(INDEX('Output Utente'!$N$2:$N$492,MATCH(442,'Output Utente'!$Q$2:$Q$492,0)),"")</f>
        <v>1</v>
      </c>
      <c r="G445" s="47" t="n">
        <f aca="false">IFERROR(INDEX('Output Utente'!$O$2:$O$492,MATCH(442,'Output Utente'!$Q$2:$Q$492,0)),"")</f>
        <v>1</v>
      </c>
      <c r="H445" s="7" t="str">
        <f aca="false">IFERROR(INDEX('Output Utente'!$P$2:$P$492,MATCH(442,'Output Utente'!$Q$2:$Q$492,0)),"")</f>
        <v>Nella Media</v>
      </c>
      <c r="I445" s="47" t="n">
        <f aca="false">IFERROR(INDEX('Output Utente'!$F$2:$F$492,MATCH(442,'Output Utente'!$Q$2:$Q$492,0)),"")</f>
        <v>0</v>
      </c>
      <c r="J445" s="47" t="n">
        <f aca="false">IFERROR(INDEX('Output Utente'!$G$2:$G$492,MATCH(442,'Output Utente'!$Q$2:$Q$492,0)),"")</f>
        <v>1</v>
      </c>
      <c r="K445" s="47" t="n">
        <f aca="false">IFERROR(INDEX('Output Utente'!$H$2:$H$492,MATCH(442,'Output Utente'!$Q$2:$Q$492,0)),"")</f>
        <v>0</v>
      </c>
      <c r="L445" s="7" t="str">
        <f aca="false">IFERROR(INDEX('Output Utente'!$E$2:$E$492,MATCH(442,'Output Utente'!$Q$2:$Q$492,0)),"")</f>
        <v>NO</v>
      </c>
      <c r="M445" s="7" t="str">
        <f aca="false">IFERROR(INDEX('Output Utente'!$U$2:$U$492,MATCH(442,'Output Utente'!$Q$2:$Q$492,0)),"")</f>
        <v>OK</v>
      </c>
      <c r="N445" s="7" t="str">
        <f aca="false">IFERROR(INDEX('Output Utente'!$AE$2:$AE$492,MATCH(442,'Output Utente'!$Q$2:$Q$492,0)),"")</f>
        <v>🟡 Attesa rischiosa</v>
      </c>
    </row>
    <row r="446" customFormat="false" ht="15" hidden="false" customHeight="true" outlineLevel="0" collapsed="false">
      <c r="A446" s="46" t="n">
        <v>443</v>
      </c>
      <c r="B446" s="7" t="n">
        <f aca="false">IFERROR(INDEX('Output Utente'!$A$2:$A$492,MATCH(443,'Output Utente'!$Q$2:$Q$492,0)),"")</f>
        <v>7172</v>
      </c>
      <c r="C446" s="7" t="str">
        <f aca="false">IFERROR(INDEX('Output Utente'!$B$2:$B$492,MATCH(443,'Output Utente'!$Q$2:$Q$492,0)),"")</f>
        <v>P</v>
      </c>
      <c r="D446" s="7" t="str">
        <f aca="false">IFERROR(INDEX('Output Utente'!$C$2:$C$492,MATCH(443,'Output Utente'!$Q$2:$Q$492,0)),"")</f>
        <v>Pessina Mas.</v>
      </c>
      <c r="E446" s="7" t="str">
        <f aca="false">IFERROR(INDEX('Input Giocatori 2026_27'!$D$3:$D$493,MATCH($B446,'Input Giocatori 2026_27'!$A$3:$A$493,0)),"")</f>
        <v>Bologna</v>
      </c>
      <c r="F446" s="47" t="n">
        <f aca="false">IFERROR(INDEX('Output Utente'!$N$2:$N$492,MATCH(443,'Output Utente'!$Q$2:$Q$492,0)),"")</f>
        <v>1</v>
      </c>
      <c r="G446" s="47" t="n">
        <f aca="false">IFERROR(INDEX('Output Utente'!$O$2:$O$492,MATCH(443,'Output Utente'!$Q$2:$Q$492,0)),"")</f>
        <v>1</v>
      </c>
      <c r="H446" s="7" t="str">
        <f aca="false">IFERROR(INDEX('Output Utente'!$P$2:$P$492,MATCH(443,'Output Utente'!$Q$2:$Q$492,0)),"")</f>
        <v>Nella Media</v>
      </c>
      <c r="I446" s="47" t="n">
        <f aca="false">IFERROR(INDEX('Output Utente'!$F$2:$F$492,MATCH(443,'Output Utente'!$Q$2:$Q$492,0)),"")</f>
        <v>0</v>
      </c>
      <c r="J446" s="47" t="n">
        <f aca="false">IFERROR(INDEX('Output Utente'!$G$2:$G$492,MATCH(443,'Output Utente'!$Q$2:$Q$492,0)),"")</f>
        <v>1</v>
      </c>
      <c r="K446" s="47" t="n">
        <f aca="false">IFERROR(INDEX('Output Utente'!$H$2:$H$492,MATCH(443,'Output Utente'!$Q$2:$Q$492,0)),"")</f>
        <v>0</v>
      </c>
      <c r="L446" s="7" t="str">
        <f aca="false">IFERROR(INDEX('Output Utente'!$E$2:$E$492,MATCH(443,'Output Utente'!$Q$2:$Q$492,0)),"")</f>
        <v>NO</v>
      </c>
      <c r="M446" s="7" t="str">
        <f aca="false">IFERROR(INDEX('Output Utente'!$U$2:$U$492,MATCH(443,'Output Utente'!$Q$2:$Q$492,0)),"")</f>
        <v>OK</v>
      </c>
      <c r="N446" s="7" t="str">
        <f aca="false">IFERROR(INDEX('Output Utente'!$AE$2:$AE$492,MATCH(443,'Output Utente'!$Q$2:$Q$492,0)),"")</f>
        <v>🟡 Attesa rischiosa</v>
      </c>
    </row>
    <row r="447" customFormat="false" ht="15" hidden="false" customHeight="true" outlineLevel="0" collapsed="false">
      <c r="A447" s="46" t="n">
        <v>444</v>
      </c>
      <c r="B447" s="7" t="n">
        <f aca="false">IFERROR(INDEX('Output Utente'!$A$2:$A$492,MATCH(444,'Output Utente'!$Q$2:$Q$492,0)),"")</f>
        <v>4929</v>
      </c>
      <c r="C447" s="7" t="str">
        <f aca="false">IFERROR(INDEX('Output Utente'!$B$2:$B$492,MATCH(444,'Output Utente'!$Q$2:$Q$492,0)),"")</f>
        <v>P</v>
      </c>
      <c r="D447" s="7" t="str">
        <f aca="false">IFERROR(INDEX('Output Utente'!$C$2:$C$492,MATCH(444,'Output Utente'!$Q$2:$Q$492,0)),"")</f>
        <v>Ciocci</v>
      </c>
      <c r="E447" s="7" t="str">
        <f aca="false">IFERROR(INDEX('Input Giocatori 2026_27'!$D$3:$D$493,MATCH($B447,'Input Giocatori 2026_27'!$A$3:$A$493,0)),"")</f>
        <v>Cagliari</v>
      </c>
      <c r="F447" s="47" t="n">
        <f aca="false">IFERROR(INDEX('Output Utente'!$N$2:$N$492,MATCH(444,'Output Utente'!$Q$2:$Q$492,0)),"")</f>
        <v>1</v>
      </c>
      <c r="G447" s="47" t="n">
        <f aca="false">IFERROR(INDEX('Output Utente'!$O$2:$O$492,MATCH(444,'Output Utente'!$Q$2:$Q$492,0)),"")</f>
        <v>1</v>
      </c>
      <c r="H447" s="7" t="str">
        <f aca="false">IFERROR(INDEX('Output Utente'!$P$2:$P$492,MATCH(444,'Output Utente'!$Q$2:$Q$492,0)),"")</f>
        <v>Nella Media</v>
      </c>
      <c r="I447" s="47" t="n">
        <f aca="false">IFERROR(INDEX('Output Utente'!$F$2:$F$492,MATCH(444,'Output Utente'!$Q$2:$Q$492,0)),"")</f>
        <v>0</v>
      </c>
      <c r="J447" s="47" t="n">
        <f aca="false">IFERROR(INDEX('Output Utente'!$G$2:$G$492,MATCH(444,'Output Utente'!$Q$2:$Q$492,0)),"")</f>
        <v>1</v>
      </c>
      <c r="K447" s="47" t="n">
        <f aca="false">IFERROR(INDEX('Output Utente'!$H$2:$H$492,MATCH(444,'Output Utente'!$Q$2:$Q$492,0)),"")</f>
        <v>0</v>
      </c>
      <c r="L447" s="7" t="str">
        <f aca="false">IFERROR(INDEX('Output Utente'!$E$2:$E$492,MATCH(444,'Output Utente'!$Q$2:$Q$492,0)),"")</f>
        <v>NO</v>
      </c>
      <c r="M447" s="7" t="str">
        <f aca="false">IFERROR(INDEX('Output Utente'!$U$2:$U$492,MATCH(444,'Output Utente'!$Q$2:$Q$492,0)),"")</f>
        <v>OK</v>
      </c>
      <c r="N447" s="7" t="str">
        <f aca="false">IFERROR(INDEX('Output Utente'!$AE$2:$AE$492,MATCH(444,'Output Utente'!$Q$2:$Q$492,0)),"")</f>
        <v>🟡 Attesa rischiosa</v>
      </c>
    </row>
    <row r="448" customFormat="false" ht="15" hidden="false" customHeight="true" outlineLevel="0" collapsed="false">
      <c r="A448" s="46" t="n">
        <v>445</v>
      </c>
      <c r="B448" s="7" t="n">
        <f aca="false">IFERROR(INDEX('Output Utente'!$A$2:$A$492,MATCH(445,'Output Utente'!$Q$2:$Q$492,0)),"")</f>
        <v>6650</v>
      </c>
      <c r="C448" s="7" t="str">
        <f aca="false">IFERROR(INDEX('Output Utente'!$B$2:$B$492,MATCH(445,'Output Utente'!$Q$2:$Q$492,0)),"")</f>
        <v>P</v>
      </c>
      <c r="D448" s="7" t="str">
        <f aca="false">IFERROR(INDEX('Output Utente'!$C$2:$C$492,MATCH(445,'Output Utente'!$Q$2:$Q$492,0)),"")</f>
        <v>Sherri</v>
      </c>
      <c r="E448" s="7" t="str">
        <f aca="false">IFERROR(INDEX('Input Giocatori 2026_27'!$D$3:$D$493,MATCH($B448,'Input Giocatori 2026_27'!$A$3:$A$493,0)),"")</f>
        <v>Cagliari</v>
      </c>
      <c r="F448" s="47" t="n">
        <f aca="false">IFERROR(INDEX('Output Utente'!$N$2:$N$492,MATCH(445,'Output Utente'!$Q$2:$Q$492,0)),"")</f>
        <v>1</v>
      </c>
      <c r="G448" s="47" t="n">
        <f aca="false">IFERROR(INDEX('Output Utente'!$O$2:$O$492,MATCH(445,'Output Utente'!$Q$2:$Q$492,0)),"")</f>
        <v>1</v>
      </c>
      <c r="H448" s="7" t="str">
        <f aca="false">IFERROR(INDEX('Output Utente'!$P$2:$P$492,MATCH(445,'Output Utente'!$Q$2:$Q$492,0)),"")</f>
        <v>Nella Media</v>
      </c>
      <c r="I448" s="47" t="n">
        <f aca="false">IFERROR(INDEX('Output Utente'!$F$2:$F$492,MATCH(445,'Output Utente'!$Q$2:$Q$492,0)),"")</f>
        <v>0</v>
      </c>
      <c r="J448" s="47" t="n">
        <f aca="false">IFERROR(INDEX('Output Utente'!$G$2:$G$492,MATCH(445,'Output Utente'!$Q$2:$Q$492,0)),"")</f>
        <v>1</v>
      </c>
      <c r="K448" s="47" t="n">
        <f aca="false">IFERROR(INDEX('Output Utente'!$H$2:$H$492,MATCH(445,'Output Utente'!$Q$2:$Q$492,0)),"")</f>
        <v>0</v>
      </c>
      <c r="L448" s="7" t="str">
        <f aca="false">IFERROR(INDEX('Output Utente'!$E$2:$E$492,MATCH(445,'Output Utente'!$Q$2:$Q$492,0)),"")</f>
        <v>NO</v>
      </c>
      <c r="M448" s="7" t="str">
        <f aca="false">IFERROR(INDEX('Output Utente'!$U$2:$U$492,MATCH(445,'Output Utente'!$Q$2:$Q$492,0)),"")</f>
        <v>OK</v>
      </c>
      <c r="N448" s="7" t="str">
        <f aca="false">IFERROR(INDEX('Output Utente'!$AE$2:$AE$492,MATCH(445,'Output Utente'!$Q$2:$Q$492,0)),"")</f>
        <v>🟡 Attesa rischiosa</v>
      </c>
    </row>
    <row r="449" customFormat="false" ht="15" hidden="false" customHeight="true" outlineLevel="0" collapsed="false">
      <c r="A449" s="46" t="n">
        <v>446</v>
      </c>
      <c r="B449" s="7" t="n">
        <f aca="false">IFERROR(INDEX('Output Utente'!$A$2:$A$492,MATCH(446,'Output Utente'!$Q$2:$Q$492,0)),"")</f>
        <v>7301</v>
      </c>
      <c r="C449" s="7" t="str">
        <f aca="false">IFERROR(INDEX('Output Utente'!$B$2:$B$492,MATCH(446,'Output Utente'!$Q$2:$Q$492,0)),"")</f>
        <v>P</v>
      </c>
      <c r="D449" s="7" t="str">
        <f aca="false">IFERROR(INDEX('Output Utente'!$C$2:$C$492,MATCH(446,'Output Utente'!$Q$2:$Q$492,0)),"")</f>
        <v>Tornqvist</v>
      </c>
      <c r="E449" s="7" t="str">
        <f aca="false">IFERROR(INDEX('Input Giocatori 2026_27'!$D$3:$D$493,MATCH($B449,'Input Giocatori 2026_27'!$A$3:$A$493,0)),"")</f>
        <v>Como</v>
      </c>
      <c r="F449" s="47" t="n">
        <f aca="false">IFERROR(INDEX('Output Utente'!$N$2:$N$492,MATCH(446,'Output Utente'!$Q$2:$Q$492,0)),"")</f>
        <v>1</v>
      </c>
      <c r="G449" s="47" t="n">
        <f aca="false">IFERROR(INDEX('Output Utente'!$O$2:$O$492,MATCH(446,'Output Utente'!$Q$2:$Q$492,0)),"")</f>
        <v>1</v>
      </c>
      <c r="H449" s="7" t="str">
        <f aca="false">IFERROR(INDEX('Output Utente'!$P$2:$P$492,MATCH(446,'Output Utente'!$Q$2:$Q$492,0)),"")</f>
        <v>Nella Media</v>
      </c>
      <c r="I449" s="47" t="n">
        <f aca="false">IFERROR(INDEX('Output Utente'!$F$2:$F$492,MATCH(446,'Output Utente'!$Q$2:$Q$492,0)),"")</f>
        <v>0</v>
      </c>
      <c r="J449" s="47" t="n">
        <f aca="false">IFERROR(INDEX('Output Utente'!$G$2:$G$492,MATCH(446,'Output Utente'!$Q$2:$Q$492,0)),"")</f>
        <v>1</v>
      </c>
      <c r="K449" s="47" t="n">
        <f aca="false">IFERROR(INDEX('Output Utente'!$H$2:$H$492,MATCH(446,'Output Utente'!$Q$2:$Q$492,0)),"")</f>
        <v>0</v>
      </c>
      <c r="L449" s="7" t="str">
        <f aca="false">IFERROR(INDEX('Output Utente'!$E$2:$E$492,MATCH(446,'Output Utente'!$Q$2:$Q$492,0)),"")</f>
        <v>NO</v>
      </c>
      <c r="M449" s="7" t="str">
        <f aca="false">IFERROR(INDEX('Output Utente'!$U$2:$U$492,MATCH(446,'Output Utente'!$Q$2:$Q$492,0)),"")</f>
        <v>OK</v>
      </c>
      <c r="N449" s="7" t="str">
        <f aca="false">IFERROR(INDEX('Output Utente'!$AE$2:$AE$492,MATCH(446,'Output Utente'!$Q$2:$Q$492,0)),"")</f>
        <v>🟡 Attesa rischiosa</v>
      </c>
    </row>
    <row r="450" customFormat="false" ht="15" hidden="false" customHeight="true" outlineLevel="0" collapsed="false">
      <c r="A450" s="46" t="n">
        <v>447</v>
      </c>
      <c r="B450" s="7" t="n">
        <f aca="false">IFERROR(INDEX('Output Utente'!$A$2:$A$492,MATCH(447,'Output Utente'!$Q$2:$Q$492,0)),"")</f>
        <v>2809</v>
      </c>
      <c r="C450" s="7" t="str">
        <f aca="false">IFERROR(INDEX('Output Utente'!$B$2:$B$492,MATCH(447,'Output Utente'!$Q$2:$Q$492,0)),"")</f>
        <v>P</v>
      </c>
      <c r="D450" s="7" t="str">
        <f aca="false">IFERROR(INDEX('Output Utente'!$C$2:$C$492,MATCH(447,'Output Utente'!$Q$2:$Q$492,0)),"")</f>
        <v>Vigorito</v>
      </c>
      <c r="E450" s="7" t="str">
        <f aca="false">IFERROR(INDEX('Input Giocatori 2026_27'!$D$3:$D$493,MATCH($B450,'Input Giocatori 2026_27'!$A$3:$A$493,0)),"")</f>
        <v>Como</v>
      </c>
      <c r="F450" s="47" t="n">
        <f aca="false">IFERROR(INDEX('Output Utente'!$N$2:$N$492,MATCH(447,'Output Utente'!$Q$2:$Q$492,0)),"")</f>
        <v>1</v>
      </c>
      <c r="G450" s="47" t="n">
        <f aca="false">IFERROR(INDEX('Output Utente'!$O$2:$O$492,MATCH(447,'Output Utente'!$Q$2:$Q$492,0)),"")</f>
        <v>1</v>
      </c>
      <c r="H450" s="7" t="str">
        <f aca="false">IFERROR(INDEX('Output Utente'!$P$2:$P$492,MATCH(447,'Output Utente'!$Q$2:$Q$492,0)),"")</f>
        <v>Nella Media</v>
      </c>
      <c r="I450" s="47" t="n">
        <f aca="false">IFERROR(INDEX('Output Utente'!$F$2:$F$492,MATCH(447,'Output Utente'!$Q$2:$Q$492,0)),"")</f>
        <v>0</v>
      </c>
      <c r="J450" s="47" t="n">
        <f aca="false">IFERROR(INDEX('Output Utente'!$G$2:$G$492,MATCH(447,'Output Utente'!$Q$2:$Q$492,0)),"")</f>
        <v>1</v>
      </c>
      <c r="K450" s="47" t="n">
        <f aca="false">IFERROR(INDEX('Output Utente'!$H$2:$H$492,MATCH(447,'Output Utente'!$Q$2:$Q$492,0)),"")</f>
        <v>0</v>
      </c>
      <c r="L450" s="7" t="str">
        <f aca="false">IFERROR(INDEX('Output Utente'!$E$2:$E$492,MATCH(447,'Output Utente'!$Q$2:$Q$492,0)),"")</f>
        <v>NO</v>
      </c>
      <c r="M450" s="7" t="str">
        <f aca="false">IFERROR(INDEX('Output Utente'!$U$2:$U$492,MATCH(447,'Output Utente'!$Q$2:$Q$492,0)),"")</f>
        <v>OK</v>
      </c>
      <c r="N450" s="7" t="str">
        <f aca="false">IFERROR(INDEX('Output Utente'!$AE$2:$AE$492,MATCH(447,'Output Utente'!$Q$2:$Q$492,0)),"")</f>
        <v>🟡 Attesa rischiosa</v>
      </c>
    </row>
    <row r="451" customFormat="false" ht="15" hidden="false" customHeight="true" outlineLevel="0" collapsed="false">
      <c r="A451" s="46" t="n">
        <v>448</v>
      </c>
      <c r="B451" s="7" t="n">
        <f aca="false">IFERROR(INDEX('Output Utente'!$A$2:$A$492,MATCH(448,'Output Utente'!$Q$2:$Q$492,0)),"")</f>
        <v>6403</v>
      </c>
      <c r="C451" s="7" t="str">
        <f aca="false">IFERROR(INDEX('Output Utente'!$B$2:$B$492,MATCH(448,'Output Utente'!$Q$2:$Q$492,0)),"")</f>
        <v>P</v>
      </c>
      <c r="D451" s="7" t="str">
        <f aca="false">IFERROR(INDEX('Output Utente'!$C$2:$C$492,MATCH(448,'Output Utente'!$Q$2:$Q$492,0)),"")</f>
        <v>Christensen O.</v>
      </c>
      <c r="E451" s="7" t="str">
        <f aca="false">IFERROR(INDEX('Input Giocatori 2026_27'!$D$3:$D$493,MATCH($B451,'Input Giocatori 2026_27'!$A$3:$A$493,0)),"")</f>
        <v>Fiorentina</v>
      </c>
      <c r="F451" s="47" t="n">
        <f aca="false">IFERROR(INDEX('Output Utente'!$N$2:$N$492,MATCH(448,'Output Utente'!$Q$2:$Q$492,0)),"")</f>
        <v>1</v>
      </c>
      <c r="G451" s="47" t="n">
        <f aca="false">IFERROR(INDEX('Output Utente'!$O$2:$O$492,MATCH(448,'Output Utente'!$Q$2:$Q$492,0)),"")</f>
        <v>1</v>
      </c>
      <c r="H451" s="7" t="str">
        <f aca="false">IFERROR(INDEX('Output Utente'!$P$2:$P$492,MATCH(448,'Output Utente'!$Q$2:$Q$492,0)),"")</f>
        <v>Nella Media</v>
      </c>
      <c r="I451" s="47" t="n">
        <f aca="false">IFERROR(INDEX('Output Utente'!$F$2:$F$492,MATCH(448,'Output Utente'!$Q$2:$Q$492,0)),"")</f>
        <v>0</v>
      </c>
      <c r="J451" s="47" t="n">
        <f aca="false">IFERROR(INDEX('Output Utente'!$G$2:$G$492,MATCH(448,'Output Utente'!$Q$2:$Q$492,0)),"")</f>
        <v>1</v>
      </c>
      <c r="K451" s="47" t="n">
        <f aca="false">IFERROR(INDEX('Output Utente'!$H$2:$H$492,MATCH(448,'Output Utente'!$Q$2:$Q$492,0)),"")</f>
        <v>0</v>
      </c>
      <c r="L451" s="7" t="str">
        <f aca="false">IFERROR(INDEX('Output Utente'!$E$2:$E$492,MATCH(448,'Output Utente'!$Q$2:$Q$492,0)),"")</f>
        <v>NO</v>
      </c>
      <c r="M451" s="7" t="str">
        <f aca="false">IFERROR(INDEX('Output Utente'!$U$2:$U$492,MATCH(448,'Output Utente'!$Q$2:$Q$492,0)),"")</f>
        <v>OK</v>
      </c>
      <c r="N451" s="7" t="str">
        <f aca="false">IFERROR(INDEX('Output Utente'!$AE$2:$AE$492,MATCH(448,'Output Utente'!$Q$2:$Q$492,0)),"")</f>
        <v>🟡 Attesa rischiosa</v>
      </c>
    </row>
    <row r="452" customFormat="false" ht="15" hidden="false" customHeight="true" outlineLevel="0" collapsed="false">
      <c r="A452" s="46" t="n">
        <v>449</v>
      </c>
      <c r="B452" s="7" t="n">
        <f aca="false">IFERROR(INDEX('Output Utente'!$A$2:$A$492,MATCH(449,'Output Utente'!$Q$2:$Q$492,0)),"")</f>
        <v>158</v>
      </c>
      <c r="C452" s="7" t="str">
        <f aca="false">IFERROR(INDEX('Output Utente'!$B$2:$B$492,MATCH(449,'Output Utente'!$Q$2:$Q$492,0)),"")</f>
        <v>P</v>
      </c>
      <c r="D452" s="7" t="str">
        <f aca="false">IFERROR(INDEX('Output Utente'!$C$2:$C$492,MATCH(449,'Output Utente'!$Q$2:$Q$492,0)),"")</f>
        <v>Lezzerini</v>
      </c>
      <c r="E452" s="7" t="str">
        <f aca="false">IFERROR(INDEX('Input Giocatori 2026_27'!$D$3:$D$493,MATCH($B452,'Input Giocatori 2026_27'!$A$3:$A$493,0)),"")</f>
        <v>Fiorentina</v>
      </c>
      <c r="F452" s="47" t="n">
        <f aca="false">IFERROR(INDEX('Output Utente'!$N$2:$N$492,MATCH(449,'Output Utente'!$Q$2:$Q$492,0)),"")</f>
        <v>1</v>
      </c>
      <c r="G452" s="47" t="n">
        <f aca="false">IFERROR(INDEX('Output Utente'!$O$2:$O$492,MATCH(449,'Output Utente'!$Q$2:$Q$492,0)),"")</f>
        <v>1</v>
      </c>
      <c r="H452" s="7" t="str">
        <f aca="false">IFERROR(INDEX('Output Utente'!$P$2:$P$492,MATCH(449,'Output Utente'!$Q$2:$Q$492,0)),"")</f>
        <v>Nella Media</v>
      </c>
      <c r="I452" s="47" t="n">
        <f aca="false">IFERROR(INDEX('Output Utente'!$F$2:$F$492,MATCH(449,'Output Utente'!$Q$2:$Q$492,0)),"")</f>
        <v>0</v>
      </c>
      <c r="J452" s="47" t="n">
        <f aca="false">IFERROR(INDEX('Output Utente'!$G$2:$G$492,MATCH(449,'Output Utente'!$Q$2:$Q$492,0)),"")</f>
        <v>1</v>
      </c>
      <c r="K452" s="47" t="n">
        <f aca="false">IFERROR(INDEX('Output Utente'!$H$2:$H$492,MATCH(449,'Output Utente'!$Q$2:$Q$492,0)),"")</f>
        <v>0</v>
      </c>
      <c r="L452" s="7" t="str">
        <f aca="false">IFERROR(INDEX('Output Utente'!$E$2:$E$492,MATCH(449,'Output Utente'!$Q$2:$Q$492,0)),"")</f>
        <v>NO</v>
      </c>
      <c r="M452" s="7" t="str">
        <f aca="false">IFERROR(INDEX('Output Utente'!$U$2:$U$492,MATCH(449,'Output Utente'!$Q$2:$Q$492,0)),"")</f>
        <v>OK</v>
      </c>
      <c r="N452" s="7" t="str">
        <f aca="false">IFERROR(INDEX('Output Utente'!$AE$2:$AE$492,MATCH(449,'Output Utente'!$Q$2:$Q$492,0)),"")</f>
        <v>🟡 Attesa rischiosa</v>
      </c>
    </row>
    <row r="453" customFormat="false" ht="15" hidden="false" customHeight="true" outlineLevel="0" collapsed="false">
      <c r="A453" s="46" t="n">
        <v>450</v>
      </c>
      <c r="B453" s="7" t="n">
        <f aca="false">IFERROR(INDEX('Output Utente'!$A$2:$A$492,MATCH(450,'Output Utente'!$Q$2:$Q$492,0)),"")</f>
        <v>7466</v>
      </c>
      <c r="C453" s="7" t="str">
        <f aca="false">IFERROR(INDEX('Output Utente'!$B$2:$B$492,MATCH(450,'Output Utente'!$Q$2:$Q$492,0)),"")</f>
        <v>P</v>
      </c>
      <c r="D453" s="7" t="str">
        <f aca="false">IFERROR(INDEX('Output Utente'!$C$2:$C$492,MATCH(450,'Output Utente'!$Q$2:$Q$492,0)),"")</f>
        <v>Lolic</v>
      </c>
      <c r="E453" s="7" t="str">
        <f aca="false">IFERROR(INDEX('Input Giocatori 2026_27'!$D$3:$D$493,MATCH($B453,'Input Giocatori 2026_27'!$A$3:$A$493,0)),"")</f>
        <v>Frosinone</v>
      </c>
      <c r="F453" s="47" t="n">
        <f aca="false">IFERROR(INDEX('Output Utente'!$N$2:$N$492,MATCH(450,'Output Utente'!$Q$2:$Q$492,0)),"")</f>
        <v>1</v>
      </c>
      <c r="G453" s="47" t="n">
        <f aca="false">IFERROR(INDEX('Output Utente'!$O$2:$O$492,MATCH(450,'Output Utente'!$Q$2:$Q$492,0)),"")</f>
        <v>1</v>
      </c>
      <c r="H453" s="7" t="str">
        <f aca="false">IFERROR(INDEX('Output Utente'!$P$2:$P$492,MATCH(450,'Output Utente'!$Q$2:$Q$492,0)),"")</f>
        <v>Nella Media</v>
      </c>
      <c r="I453" s="47" t="n">
        <f aca="false">IFERROR(INDEX('Output Utente'!$F$2:$F$492,MATCH(450,'Output Utente'!$Q$2:$Q$492,0)),"")</f>
        <v>0</v>
      </c>
      <c r="J453" s="47" t="n">
        <f aca="false">IFERROR(INDEX('Output Utente'!$G$2:$G$492,MATCH(450,'Output Utente'!$Q$2:$Q$492,0)),"")</f>
        <v>1</v>
      </c>
      <c r="K453" s="47" t="n">
        <f aca="false">IFERROR(INDEX('Output Utente'!$H$2:$H$492,MATCH(450,'Output Utente'!$Q$2:$Q$492,0)),"")</f>
        <v>0</v>
      </c>
      <c r="L453" s="7" t="str">
        <f aca="false">IFERROR(INDEX('Output Utente'!$E$2:$E$492,MATCH(450,'Output Utente'!$Q$2:$Q$492,0)),"")</f>
        <v>NO</v>
      </c>
      <c r="M453" s="7" t="str">
        <f aca="false">IFERROR(INDEX('Output Utente'!$U$2:$U$492,MATCH(450,'Output Utente'!$Q$2:$Q$492,0)),"")</f>
        <v>OK</v>
      </c>
      <c r="N453" s="7" t="str">
        <f aca="false">IFERROR(INDEX('Output Utente'!$AE$2:$AE$492,MATCH(450,'Output Utente'!$Q$2:$Q$492,0)),"")</f>
        <v>🟡 Attesa rischiosa</v>
      </c>
    </row>
    <row r="454" customFormat="false" ht="15" hidden="false" customHeight="true" outlineLevel="0" collapsed="false">
      <c r="A454" s="46" t="n">
        <v>451</v>
      </c>
      <c r="B454" s="7" t="n">
        <f aca="false">IFERROR(INDEX('Output Utente'!$A$2:$A$492,MATCH(451,'Output Utente'!$Q$2:$Q$492,0)),"")</f>
        <v>219</v>
      </c>
      <c r="C454" s="7" t="str">
        <f aca="false">IFERROR(INDEX('Output Utente'!$B$2:$B$492,MATCH(451,'Output Utente'!$Q$2:$Q$492,0)),"")</f>
        <v>P</v>
      </c>
      <c r="D454" s="7" t="str">
        <f aca="false">IFERROR(INDEX('Output Utente'!$C$2:$C$492,MATCH(451,'Output Utente'!$Q$2:$Q$492,0)),"")</f>
        <v>Sommariva</v>
      </c>
      <c r="E454" s="7" t="str">
        <f aca="false">IFERROR(INDEX('Input Giocatori 2026_27'!$D$3:$D$493,MATCH($B454,'Input Giocatori 2026_27'!$A$3:$A$493,0)),"")</f>
        <v>Genoa</v>
      </c>
      <c r="F454" s="47" t="n">
        <f aca="false">IFERROR(INDEX('Output Utente'!$N$2:$N$492,MATCH(451,'Output Utente'!$Q$2:$Q$492,0)),"")</f>
        <v>1</v>
      </c>
      <c r="G454" s="47" t="n">
        <f aca="false">IFERROR(INDEX('Output Utente'!$O$2:$O$492,MATCH(451,'Output Utente'!$Q$2:$Q$492,0)),"")</f>
        <v>1</v>
      </c>
      <c r="H454" s="7" t="str">
        <f aca="false">IFERROR(INDEX('Output Utente'!$P$2:$P$492,MATCH(451,'Output Utente'!$Q$2:$Q$492,0)),"")</f>
        <v>Nella Media</v>
      </c>
      <c r="I454" s="47" t="n">
        <f aca="false">IFERROR(INDEX('Output Utente'!$F$2:$F$492,MATCH(451,'Output Utente'!$Q$2:$Q$492,0)),"")</f>
        <v>0</v>
      </c>
      <c r="J454" s="47" t="n">
        <f aca="false">IFERROR(INDEX('Output Utente'!$G$2:$G$492,MATCH(451,'Output Utente'!$Q$2:$Q$492,0)),"")</f>
        <v>1</v>
      </c>
      <c r="K454" s="47" t="n">
        <f aca="false">IFERROR(INDEX('Output Utente'!$H$2:$H$492,MATCH(451,'Output Utente'!$Q$2:$Q$492,0)),"")</f>
        <v>0</v>
      </c>
      <c r="L454" s="7" t="str">
        <f aca="false">IFERROR(INDEX('Output Utente'!$E$2:$E$492,MATCH(451,'Output Utente'!$Q$2:$Q$492,0)),"")</f>
        <v>NO</v>
      </c>
      <c r="M454" s="7" t="str">
        <f aca="false">IFERROR(INDEX('Output Utente'!$U$2:$U$492,MATCH(451,'Output Utente'!$Q$2:$Q$492,0)),"")</f>
        <v>OK</v>
      </c>
      <c r="N454" s="7" t="str">
        <f aca="false">IFERROR(INDEX('Output Utente'!$AE$2:$AE$492,MATCH(451,'Output Utente'!$Q$2:$Q$492,0)),"")</f>
        <v>🟡 Attesa rischiosa</v>
      </c>
    </row>
    <row r="455" customFormat="false" ht="15" hidden="false" customHeight="true" outlineLevel="0" collapsed="false">
      <c r="A455" s="46" t="n">
        <v>452</v>
      </c>
      <c r="B455" s="7" t="n">
        <f aca="false">IFERROR(INDEX('Output Utente'!$A$2:$A$492,MATCH(452,'Output Utente'!$Q$2:$Q$492,0)),"")</f>
        <v>6569</v>
      </c>
      <c r="C455" s="7" t="str">
        <f aca="false">IFERROR(INDEX('Output Utente'!$B$2:$B$492,MATCH(452,'Output Utente'!$Q$2:$Q$492,0)),"")</f>
        <v>P</v>
      </c>
      <c r="D455" s="7" t="str">
        <f aca="false">IFERROR(INDEX('Output Utente'!$C$2:$C$492,MATCH(452,'Output Utente'!$Q$2:$Q$492,0)),"")</f>
        <v>Stolz</v>
      </c>
      <c r="E455" s="7" t="str">
        <f aca="false">IFERROR(INDEX('Input Giocatori 2026_27'!$D$3:$D$493,MATCH($B455,'Input Giocatori 2026_27'!$A$3:$A$493,0)),"")</f>
        <v>Genoa</v>
      </c>
      <c r="F455" s="47" t="n">
        <f aca="false">IFERROR(INDEX('Output Utente'!$N$2:$N$492,MATCH(452,'Output Utente'!$Q$2:$Q$492,0)),"")</f>
        <v>1</v>
      </c>
      <c r="G455" s="47" t="n">
        <f aca="false">IFERROR(INDEX('Output Utente'!$O$2:$O$492,MATCH(452,'Output Utente'!$Q$2:$Q$492,0)),"")</f>
        <v>1</v>
      </c>
      <c r="H455" s="7" t="str">
        <f aca="false">IFERROR(INDEX('Output Utente'!$P$2:$P$492,MATCH(452,'Output Utente'!$Q$2:$Q$492,0)),"")</f>
        <v>Nella Media</v>
      </c>
      <c r="I455" s="47" t="n">
        <f aca="false">IFERROR(INDEX('Output Utente'!$F$2:$F$492,MATCH(452,'Output Utente'!$Q$2:$Q$492,0)),"")</f>
        <v>0</v>
      </c>
      <c r="J455" s="47" t="n">
        <f aca="false">IFERROR(INDEX('Output Utente'!$G$2:$G$492,MATCH(452,'Output Utente'!$Q$2:$Q$492,0)),"")</f>
        <v>1</v>
      </c>
      <c r="K455" s="47" t="n">
        <f aca="false">IFERROR(INDEX('Output Utente'!$H$2:$H$492,MATCH(452,'Output Utente'!$Q$2:$Q$492,0)),"")</f>
        <v>0</v>
      </c>
      <c r="L455" s="7" t="str">
        <f aca="false">IFERROR(INDEX('Output Utente'!$E$2:$E$492,MATCH(452,'Output Utente'!$Q$2:$Q$492,0)),"")</f>
        <v>NO</v>
      </c>
      <c r="M455" s="7" t="str">
        <f aca="false">IFERROR(INDEX('Output Utente'!$U$2:$U$492,MATCH(452,'Output Utente'!$Q$2:$Q$492,0)),"")</f>
        <v>OK</v>
      </c>
      <c r="N455" s="7" t="str">
        <f aca="false">IFERROR(INDEX('Output Utente'!$AE$2:$AE$492,MATCH(452,'Output Utente'!$Q$2:$Q$492,0)),"")</f>
        <v>🟡 Attesa rischiosa</v>
      </c>
    </row>
    <row r="456" customFormat="false" ht="15" hidden="false" customHeight="true" outlineLevel="0" collapsed="false">
      <c r="A456" s="46" t="n">
        <v>453</v>
      </c>
      <c r="B456" s="7" t="n">
        <f aca="false">IFERROR(INDEX('Output Utente'!$A$2:$A$492,MATCH(453,'Output Utente'!$Q$2:$Q$492,0)),"")</f>
        <v>1926</v>
      </c>
      <c r="C456" s="7" t="str">
        <f aca="false">IFERROR(INDEX('Output Utente'!$B$2:$B$492,MATCH(453,'Output Utente'!$Q$2:$Q$492,0)),"")</f>
        <v>P</v>
      </c>
      <c r="D456" s="7" t="str">
        <f aca="false">IFERROR(INDEX('Output Utente'!$C$2:$C$492,MATCH(453,'Output Utente'!$Q$2:$Q$492,0)),"")</f>
        <v>Di Gennaro</v>
      </c>
      <c r="E456" s="7" t="str">
        <f aca="false">IFERROR(INDEX('Input Giocatori 2026_27'!$D$3:$D$493,MATCH($B456,'Input Giocatori 2026_27'!$A$3:$A$493,0)),"")</f>
        <v>Inter</v>
      </c>
      <c r="F456" s="47" t="n">
        <f aca="false">IFERROR(INDEX('Output Utente'!$N$2:$N$492,MATCH(453,'Output Utente'!$Q$2:$Q$492,0)),"")</f>
        <v>1</v>
      </c>
      <c r="G456" s="47" t="n">
        <f aca="false">IFERROR(INDEX('Output Utente'!$O$2:$O$492,MATCH(453,'Output Utente'!$Q$2:$Q$492,0)),"")</f>
        <v>1</v>
      </c>
      <c r="H456" s="7" t="str">
        <f aca="false">IFERROR(INDEX('Output Utente'!$P$2:$P$492,MATCH(453,'Output Utente'!$Q$2:$Q$492,0)),"")</f>
        <v>Nella Media</v>
      </c>
      <c r="I456" s="47" t="n">
        <f aca="false">IFERROR(INDEX('Output Utente'!$F$2:$F$492,MATCH(453,'Output Utente'!$Q$2:$Q$492,0)),"")</f>
        <v>0</v>
      </c>
      <c r="J456" s="47" t="n">
        <f aca="false">IFERROR(INDEX('Output Utente'!$G$2:$G$492,MATCH(453,'Output Utente'!$Q$2:$Q$492,0)),"")</f>
        <v>1</v>
      </c>
      <c r="K456" s="47" t="n">
        <f aca="false">IFERROR(INDEX('Output Utente'!$H$2:$H$492,MATCH(453,'Output Utente'!$Q$2:$Q$492,0)),"")</f>
        <v>0</v>
      </c>
      <c r="L456" s="7" t="str">
        <f aca="false">IFERROR(INDEX('Output Utente'!$E$2:$E$492,MATCH(453,'Output Utente'!$Q$2:$Q$492,0)),"")</f>
        <v>NO</v>
      </c>
      <c r="M456" s="7" t="str">
        <f aca="false">IFERROR(INDEX('Output Utente'!$U$2:$U$492,MATCH(453,'Output Utente'!$Q$2:$Q$492,0)),"")</f>
        <v>OK</v>
      </c>
      <c r="N456" s="7" t="str">
        <f aca="false">IFERROR(INDEX('Output Utente'!$AE$2:$AE$492,MATCH(453,'Output Utente'!$Q$2:$Q$492,0)),"")</f>
        <v>🟡 Attesa rischiosa</v>
      </c>
    </row>
    <row r="457" customFormat="false" ht="15" hidden="false" customHeight="true" outlineLevel="0" collapsed="false">
      <c r="A457" s="46" t="n">
        <v>454</v>
      </c>
      <c r="B457" s="7" t="n">
        <f aca="false">IFERROR(INDEX('Output Utente'!$A$2:$A$492,MATCH(454,'Output Utente'!$Q$2:$Q$492,0)),"")</f>
        <v>1930</v>
      </c>
      <c r="C457" s="7" t="str">
        <f aca="false">IFERROR(INDEX('Output Utente'!$B$2:$B$492,MATCH(454,'Output Utente'!$Q$2:$Q$492,0)),"")</f>
        <v>P</v>
      </c>
      <c r="D457" s="7" t="str">
        <f aca="false">IFERROR(INDEX('Output Utente'!$C$2:$C$492,MATCH(454,'Output Utente'!$Q$2:$Q$492,0)),"")</f>
        <v>Pinsoglio</v>
      </c>
      <c r="E457" s="7" t="str">
        <f aca="false">IFERROR(INDEX('Input Giocatori 2026_27'!$D$3:$D$493,MATCH($B457,'Input Giocatori 2026_27'!$A$3:$A$493,0)),"")</f>
        <v>Juventus</v>
      </c>
      <c r="F457" s="47" t="n">
        <f aca="false">IFERROR(INDEX('Output Utente'!$N$2:$N$492,MATCH(454,'Output Utente'!$Q$2:$Q$492,0)),"")</f>
        <v>1</v>
      </c>
      <c r="G457" s="47" t="n">
        <f aca="false">IFERROR(INDEX('Output Utente'!$O$2:$O$492,MATCH(454,'Output Utente'!$Q$2:$Q$492,0)),"")</f>
        <v>1</v>
      </c>
      <c r="H457" s="7" t="str">
        <f aca="false">IFERROR(INDEX('Output Utente'!$P$2:$P$492,MATCH(454,'Output Utente'!$Q$2:$Q$492,0)),"")</f>
        <v>Nella Media</v>
      </c>
      <c r="I457" s="47" t="n">
        <f aca="false">IFERROR(INDEX('Output Utente'!$F$2:$F$492,MATCH(454,'Output Utente'!$Q$2:$Q$492,0)),"")</f>
        <v>0</v>
      </c>
      <c r="J457" s="47" t="n">
        <f aca="false">IFERROR(INDEX('Output Utente'!$G$2:$G$492,MATCH(454,'Output Utente'!$Q$2:$Q$492,0)),"")</f>
        <v>1</v>
      </c>
      <c r="K457" s="47" t="n">
        <f aca="false">IFERROR(INDEX('Output Utente'!$H$2:$H$492,MATCH(454,'Output Utente'!$Q$2:$Q$492,0)),"")</f>
        <v>0</v>
      </c>
      <c r="L457" s="7" t="str">
        <f aca="false">IFERROR(INDEX('Output Utente'!$E$2:$E$492,MATCH(454,'Output Utente'!$Q$2:$Q$492,0)),"")</f>
        <v>NO</v>
      </c>
      <c r="M457" s="7" t="str">
        <f aca="false">IFERROR(INDEX('Output Utente'!$U$2:$U$492,MATCH(454,'Output Utente'!$Q$2:$Q$492,0)),"")</f>
        <v>OK</v>
      </c>
      <c r="N457" s="7" t="str">
        <f aca="false">IFERROR(INDEX('Output Utente'!$AE$2:$AE$492,MATCH(454,'Output Utente'!$Q$2:$Q$492,0)),"")</f>
        <v>🟡 Attesa rischiosa</v>
      </c>
    </row>
    <row r="458" customFormat="false" ht="15" hidden="false" customHeight="true" outlineLevel="0" collapsed="false">
      <c r="A458" s="46" t="n">
        <v>455</v>
      </c>
      <c r="B458" s="7" t="n">
        <f aca="false">IFERROR(INDEX('Output Utente'!$A$2:$A$492,MATCH(455,'Output Utente'!$Q$2:$Q$492,0)),"")</f>
        <v>7337</v>
      </c>
      <c r="C458" s="7" t="str">
        <f aca="false">IFERROR(INDEX('Output Utente'!$B$2:$B$492,MATCH(455,'Output Utente'!$Q$2:$Q$492,0)),"")</f>
        <v>P</v>
      </c>
      <c r="D458" s="7" t="str">
        <f aca="false">IFERROR(INDEX('Output Utente'!$C$2:$C$492,MATCH(455,'Output Utente'!$Q$2:$Q$492,0)),"")</f>
        <v>Motta</v>
      </c>
      <c r="E458" s="7" t="str">
        <f aca="false">IFERROR(INDEX('Input Giocatori 2026_27'!$D$3:$D$493,MATCH($B458,'Input Giocatori 2026_27'!$A$3:$A$493,0)),"")</f>
        <v>Lazio</v>
      </c>
      <c r="F458" s="47" t="n">
        <f aca="false">IFERROR(INDEX('Output Utente'!$N$2:$N$492,MATCH(455,'Output Utente'!$Q$2:$Q$492,0)),"")</f>
        <v>1</v>
      </c>
      <c r="G458" s="47" t="n">
        <f aca="false">IFERROR(INDEX('Output Utente'!$O$2:$O$492,MATCH(455,'Output Utente'!$Q$2:$Q$492,0)),"")</f>
        <v>1</v>
      </c>
      <c r="H458" s="7" t="str">
        <f aca="false">IFERROR(INDEX('Output Utente'!$P$2:$P$492,MATCH(455,'Output Utente'!$Q$2:$Q$492,0)),"")</f>
        <v>Nella Media</v>
      </c>
      <c r="I458" s="47" t="n">
        <f aca="false">IFERROR(INDEX('Output Utente'!$F$2:$F$492,MATCH(455,'Output Utente'!$Q$2:$Q$492,0)),"")</f>
        <v>0</v>
      </c>
      <c r="J458" s="47" t="n">
        <f aca="false">IFERROR(INDEX('Output Utente'!$G$2:$G$492,MATCH(455,'Output Utente'!$Q$2:$Q$492,0)),"")</f>
        <v>1</v>
      </c>
      <c r="K458" s="47" t="n">
        <f aca="false">IFERROR(INDEX('Output Utente'!$H$2:$H$492,MATCH(455,'Output Utente'!$Q$2:$Q$492,0)),"")</f>
        <v>0</v>
      </c>
      <c r="L458" s="7" t="str">
        <f aca="false">IFERROR(INDEX('Output Utente'!$E$2:$E$492,MATCH(455,'Output Utente'!$Q$2:$Q$492,0)),"")</f>
        <v>NO</v>
      </c>
      <c r="M458" s="7" t="str">
        <f aca="false">IFERROR(INDEX('Output Utente'!$U$2:$U$492,MATCH(455,'Output Utente'!$Q$2:$Q$492,0)),"")</f>
        <v>OK</v>
      </c>
      <c r="N458" s="7" t="str">
        <f aca="false">IFERROR(INDEX('Output Utente'!$AE$2:$AE$492,MATCH(455,'Output Utente'!$Q$2:$Q$492,0)),"")</f>
        <v>🟡 Attesa rischiosa</v>
      </c>
    </row>
    <row r="459" customFormat="false" ht="15" hidden="false" customHeight="true" outlineLevel="0" collapsed="false">
      <c r="A459" s="46" t="n">
        <v>456</v>
      </c>
      <c r="B459" s="7" t="n">
        <f aca="false">IFERROR(INDEX('Output Utente'!$A$2:$A$492,MATCH(456,'Output Utente'!$Q$2:$Q$492,0)),"")</f>
        <v>7534</v>
      </c>
      <c r="C459" s="7" t="str">
        <f aca="false">IFERROR(INDEX('Output Utente'!$B$2:$B$492,MATCH(456,'Output Utente'!$Q$2:$Q$492,0)),"")</f>
        <v>P</v>
      </c>
      <c r="D459" s="7" t="str">
        <f aca="false">IFERROR(INDEX('Output Utente'!$C$2:$C$492,MATCH(456,'Output Utente'!$Q$2:$Q$492,0)),"")</f>
        <v>Renzetti</v>
      </c>
      <c r="E459" s="7" t="str">
        <f aca="false">IFERROR(INDEX('Input Giocatori 2026_27'!$D$3:$D$493,MATCH($B459,'Input Giocatori 2026_27'!$A$3:$A$493,0)),"")</f>
        <v>Lazio</v>
      </c>
      <c r="F459" s="47" t="n">
        <f aca="false">IFERROR(INDEX('Output Utente'!$N$2:$N$492,MATCH(456,'Output Utente'!$Q$2:$Q$492,0)),"")</f>
        <v>1</v>
      </c>
      <c r="G459" s="47" t="n">
        <f aca="false">IFERROR(INDEX('Output Utente'!$O$2:$O$492,MATCH(456,'Output Utente'!$Q$2:$Q$492,0)),"")</f>
        <v>1</v>
      </c>
      <c r="H459" s="7" t="str">
        <f aca="false">IFERROR(INDEX('Output Utente'!$P$2:$P$492,MATCH(456,'Output Utente'!$Q$2:$Q$492,0)),"")</f>
        <v>Nella Media</v>
      </c>
      <c r="I459" s="47" t="n">
        <f aca="false">IFERROR(INDEX('Output Utente'!$F$2:$F$492,MATCH(456,'Output Utente'!$Q$2:$Q$492,0)),"")</f>
        <v>0</v>
      </c>
      <c r="J459" s="47" t="n">
        <f aca="false">IFERROR(INDEX('Output Utente'!$G$2:$G$492,MATCH(456,'Output Utente'!$Q$2:$Q$492,0)),"")</f>
        <v>1</v>
      </c>
      <c r="K459" s="47" t="n">
        <f aca="false">IFERROR(INDEX('Output Utente'!$H$2:$H$492,MATCH(456,'Output Utente'!$Q$2:$Q$492,0)),"")</f>
        <v>0</v>
      </c>
      <c r="L459" s="7" t="str">
        <f aca="false">IFERROR(INDEX('Output Utente'!$E$2:$E$492,MATCH(456,'Output Utente'!$Q$2:$Q$492,0)),"")</f>
        <v>NO</v>
      </c>
      <c r="M459" s="7" t="str">
        <f aca="false">IFERROR(INDEX('Output Utente'!$U$2:$U$492,MATCH(456,'Output Utente'!$Q$2:$Q$492,0)),"")</f>
        <v>OK</v>
      </c>
      <c r="N459" s="7" t="str">
        <f aca="false">IFERROR(INDEX('Output Utente'!$AE$2:$AE$492,MATCH(456,'Output Utente'!$Q$2:$Q$492,0)),"")</f>
        <v>🟡 Attesa rischiosa</v>
      </c>
    </row>
    <row r="460" customFormat="false" ht="15" hidden="false" customHeight="true" outlineLevel="0" collapsed="false">
      <c r="A460" s="46" t="n">
        <v>457</v>
      </c>
      <c r="B460" s="7" t="n">
        <f aca="false">IFERROR(INDEX('Output Utente'!$A$2:$A$492,MATCH(457,'Output Utente'!$Q$2:$Q$492,0)),"")</f>
        <v>6523</v>
      </c>
      <c r="C460" s="7" t="str">
        <f aca="false">IFERROR(INDEX('Output Utente'!$B$2:$B$492,MATCH(457,'Output Utente'!$Q$2:$Q$492,0)),"")</f>
        <v>P</v>
      </c>
      <c r="D460" s="7" t="str">
        <f aca="false">IFERROR(INDEX('Output Utente'!$C$2:$C$492,MATCH(457,'Output Utente'!$Q$2:$Q$492,0)),"")</f>
        <v>Samooja</v>
      </c>
      <c r="E460" s="7" t="str">
        <f aca="false">IFERROR(INDEX('Input Giocatori 2026_27'!$D$3:$D$493,MATCH($B460,'Input Giocatori 2026_27'!$A$3:$A$493,0)),"")</f>
        <v>Lecce</v>
      </c>
      <c r="F460" s="47" t="n">
        <f aca="false">IFERROR(INDEX('Output Utente'!$N$2:$N$492,MATCH(457,'Output Utente'!$Q$2:$Q$492,0)),"")</f>
        <v>1</v>
      </c>
      <c r="G460" s="47" t="n">
        <f aca="false">IFERROR(INDEX('Output Utente'!$O$2:$O$492,MATCH(457,'Output Utente'!$Q$2:$Q$492,0)),"")</f>
        <v>1</v>
      </c>
      <c r="H460" s="7" t="str">
        <f aca="false">IFERROR(INDEX('Output Utente'!$P$2:$P$492,MATCH(457,'Output Utente'!$Q$2:$Q$492,0)),"")</f>
        <v>Nella Media</v>
      </c>
      <c r="I460" s="47" t="n">
        <f aca="false">IFERROR(INDEX('Output Utente'!$F$2:$F$492,MATCH(457,'Output Utente'!$Q$2:$Q$492,0)),"")</f>
        <v>0</v>
      </c>
      <c r="J460" s="47" t="n">
        <f aca="false">IFERROR(INDEX('Output Utente'!$G$2:$G$492,MATCH(457,'Output Utente'!$Q$2:$Q$492,0)),"")</f>
        <v>1</v>
      </c>
      <c r="K460" s="47" t="n">
        <f aca="false">IFERROR(INDEX('Output Utente'!$H$2:$H$492,MATCH(457,'Output Utente'!$Q$2:$Q$492,0)),"")</f>
        <v>0</v>
      </c>
      <c r="L460" s="7" t="str">
        <f aca="false">IFERROR(INDEX('Output Utente'!$E$2:$E$492,MATCH(457,'Output Utente'!$Q$2:$Q$492,0)),"")</f>
        <v>NO</v>
      </c>
      <c r="M460" s="7" t="str">
        <f aca="false">IFERROR(INDEX('Output Utente'!$U$2:$U$492,MATCH(457,'Output Utente'!$Q$2:$Q$492,0)),"")</f>
        <v>OK</v>
      </c>
      <c r="N460" s="7" t="str">
        <f aca="false">IFERROR(INDEX('Output Utente'!$AE$2:$AE$492,MATCH(457,'Output Utente'!$Q$2:$Q$492,0)),"")</f>
        <v>🟡 Attesa rischiosa</v>
      </c>
    </row>
    <row r="461" customFormat="false" ht="15" hidden="false" customHeight="true" outlineLevel="0" collapsed="false">
      <c r="A461" s="46" t="n">
        <v>458</v>
      </c>
      <c r="B461" s="7" t="n">
        <f aca="false">IFERROR(INDEX('Output Utente'!$A$2:$A$492,MATCH(458,'Output Utente'!$Q$2:$Q$492,0)),"")</f>
        <v>2815</v>
      </c>
      <c r="C461" s="7" t="str">
        <f aca="false">IFERROR(INDEX('Output Utente'!$B$2:$B$492,MATCH(458,'Output Utente'!$Q$2:$Q$492,0)),"")</f>
        <v>P</v>
      </c>
      <c r="D461" s="7" t="str">
        <f aca="false">IFERROR(INDEX('Output Utente'!$C$2:$C$492,MATCH(458,'Output Utente'!$Q$2:$Q$492,0)),"")</f>
        <v>Terracciano</v>
      </c>
      <c r="E461" s="7" t="str">
        <f aca="false">IFERROR(INDEX('Input Giocatori 2026_27'!$D$3:$D$493,MATCH($B461,'Input Giocatori 2026_27'!$A$3:$A$493,0)),"")</f>
        <v>Milan</v>
      </c>
      <c r="F461" s="47" t="n">
        <f aca="false">IFERROR(INDEX('Output Utente'!$N$2:$N$492,MATCH(458,'Output Utente'!$Q$2:$Q$492,0)),"")</f>
        <v>1</v>
      </c>
      <c r="G461" s="47" t="n">
        <f aca="false">IFERROR(INDEX('Output Utente'!$O$2:$O$492,MATCH(458,'Output Utente'!$Q$2:$Q$492,0)),"")</f>
        <v>1</v>
      </c>
      <c r="H461" s="7" t="str">
        <f aca="false">IFERROR(INDEX('Output Utente'!$P$2:$P$492,MATCH(458,'Output Utente'!$Q$2:$Q$492,0)),"")</f>
        <v>Nella Media</v>
      </c>
      <c r="I461" s="47" t="n">
        <f aca="false">IFERROR(INDEX('Output Utente'!$F$2:$F$492,MATCH(458,'Output Utente'!$Q$2:$Q$492,0)),"")</f>
        <v>0</v>
      </c>
      <c r="J461" s="47" t="n">
        <f aca="false">IFERROR(INDEX('Output Utente'!$G$2:$G$492,MATCH(458,'Output Utente'!$Q$2:$Q$492,0)),"")</f>
        <v>1</v>
      </c>
      <c r="K461" s="47" t="n">
        <f aca="false">IFERROR(INDEX('Output Utente'!$H$2:$H$492,MATCH(458,'Output Utente'!$Q$2:$Q$492,0)),"")</f>
        <v>0</v>
      </c>
      <c r="L461" s="7" t="str">
        <f aca="false">IFERROR(INDEX('Output Utente'!$E$2:$E$492,MATCH(458,'Output Utente'!$Q$2:$Q$492,0)),"")</f>
        <v>NO</v>
      </c>
      <c r="M461" s="7" t="str">
        <f aca="false">IFERROR(INDEX('Output Utente'!$U$2:$U$492,MATCH(458,'Output Utente'!$Q$2:$Q$492,0)),"")</f>
        <v>OK</v>
      </c>
      <c r="N461" s="7" t="str">
        <f aca="false">IFERROR(INDEX('Output Utente'!$AE$2:$AE$492,MATCH(458,'Output Utente'!$Q$2:$Q$492,0)),"")</f>
        <v>🟡 Attesa rischiosa</v>
      </c>
    </row>
    <row r="462" customFormat="false" ht="15" hidden="false" customHeight="true" outlineLevel="0" collapsed="false">
      <c r="A462" s="46" t="n">
        <v>459</v>
      </c>
      <c r="B462" s="7" t="n">
        <f aca="false">IFERROR(INDEX('Output Utente'!$A$2:$A$492,MATCH(459,'Output Utente'!$Q$2:$Q$492,0)),"")</f>
        <v>6813</v>
      </c>
      <c r="C462" s="7" t="str">
        <f aca="false">IFERROR(INDEX('Output Utente'!$B$2:$B$492,MATCH(459,'Output Utente'!$Q$2:$Q$492,0)),"")</f>
        <v>P</v>
      </c>
      <c r="D462" s="7" t="str">
        <f aca="false">IFERROR(INDEX('Output Utente'!$C$2:$C$492,MATCH(459,'Output Utente'!$Q$2:$Q$492,0)),"")</f>
        <v>Torriani</v>
      </c>
      <c r="E462" s="7" t="str">
        <f aca="false">IFERROR(INDEX('Input Giocatori 2026_27'!$D$3:$D$493,MATCH($B462,'Input Giocatori 2026_27'!$A$3:$A$493,0)),"")</f>
        <v>Milan</v>
      </c>
      <c r="F462" s="47" t="n">
        <f aca="false">IFERROR(INDEX('Output Utente'!$N$2:$N$492,MATCH(459,'Output Utente'!$Q$2:$Q$492,0)),"")</f>
        <v>1</v>
      </c>
      <c r="G462" s="47" t="n">
        <f aca="false">IFERROR(INDEX('Output Utente'!$O$2:$O$492,MATCH(459,'Output Utente'!$Q$2:$Q$492,0)),"")</f>
        <v>1</v>
      </c>
      <c r="H462" s="7" t="str">
        <f aca="false">IFERROR(INDEX('Output Utente'!$P$2:$P$492,MATCH(459,'Output Utente'!$Q$2:$Q$492,0)),"")</f>
        <v>Nella Media</v>
      </c>
      <c r="I462" s="47" t="n">
        <f aca="false">IFERROR(INDEX('Output Utente'!$F$2:$F$492,MATCH(459,'Output Utente'!$Q$2:$Q$492,0)),"")</f>
        <v>0</v>
      </c>
      <c r="J462" s="47" t="n">
        <f aca="false">IFERROR(INDEX('Output Utente'!$G$2:$G$492,MATCH(459,'Output Utente'!$Q$2:$Q$492,0)),"")</f>
        <v>1</v>
      </c>
      <c r="K462" s="47" t="n">
        <f aca="false">IFERROR(INDEX('Output Utente'!$H$2:$H$492,MATCH(459,'Output Utente'!$Q$2:$Q$492,0)),"")</f>
        <v>0</v>
      </c>
      <c r="L462" s="7" t="str">
        <f aca="false">IFERROR(INDEX('Output Utente'!$E$2:$E$492,MATCH(459,'Output Utente'!$Q$2:$Q$492,0)),"")</f>
        <v>NO</v>
      </c>
      <c r="M462" s="7" t="str">
        <f aca="false">IFERROR(INDEX('Output Utente'!$U$2:$U$492,MATCH(459,'Output Utente'!$Q$2:$Q$492,0)),"")</f>
        <v>OK</v>
      </c>
      <c r="N462" s="7" t="str">
        <f aca="false">IFERROR(INDEX('Output Utente'!$AE$2:$AE$492,MATCH(459,'Output Utente'!$Q$2:$Q$492,0)),"")</f>
        <v>🟡 Attesa rischiosa</v>
      </c>
    </row>
    <row r="463" customFormat="false" ht="15" hidden="false" customHeight="true" outlineLevel="0" collapsed="false">
      <c r="A463" s="46" t="n">
        <v>460</v>
      </c>
      <c r="B463" s="7" t="n">
        <f aca="false">IFERROR(INDEX('Output Utente'!$A$2:$A$492,MATCH(460,'Output Utente'!$Q$2:$Q$492,0)),"")</f>
        <v>6682</v>
      </c>
      <c r="C463" s="7" t="str">
        <f aca="false">IFERROR(INDEX('Output Utente'!$B$2:$B$492,MATCH(460,'Output Utente'!$Q$2:$Q$492,0)),"")</f>
        <v>P</v>
      </c>
      <c r="D463" s="7" t="str">
        <f aca="false">IFERROR(INDEX('Output Utente'!$C$2:$C$492,MATCH(460,'Output Utente'!$Q$2:$Q$492,0)),"")</f>
        <v>Pizzignacco</v>
      </c>
      <c r="E463" s="7" t="str">
        <f aca="false">IFERROR(INDEX('Input Giocatori 2026_27'!$D$3:$D$493,MATCH($B463,'Input Giocatori 2026_27'!$A$3:$A$493,0)),"")</f>
        <v>Monza</v>
      </c>
      <c r="F463" s="47" t="n">
        <f aca="false">IFERROR(INDEX('Output Utente'!$N$2:$N$492,MATCH(460,'Output Utente'!$Q$2:$Q$492,0)),"")</f>
        <v>1</v>
      </c>
      <c r="G463" s="47" t="n">
        <f aca="false">IFERROR(INDEX('Output Utente'!$O$2:$O$492,MATCH(460,'Output Utente'!$Q$2:$Q$492,0)),"")</f>
        <v>1</v>
      </c>
      <c r="H463" s="7" t="str">
        <f aca="false">IFERROR(INDEX('Output Utente'!$P$2:$P$492,MATCH(460,'Output Utente'!$Q$2:$Q$492,0)),"")</f>
        <v>Nella Media</v>
      </c>
      <c r="I463" s="47" t="n">
        <f aca="false">IFERROR(INDEX('Output Utente'!$F$2:$F$492,MATCH(460,'Output Utente'!$Q$2:$Q$492,0)),"")</f>
        <v>0</v>
      </c>
      <c r="J463" s="47" t="n">
        <f aca="false">IFERROR(INDEX('Output Utente'!$G$2:$G$492,MATCH(460,'Output Utente'!$Q$2:$Q$492,0)),"")</f>
        <v>1</v>
      </c>
      <c r="K463" s="47" t="n">
        <f aca="false">IFERROR(INDEX('Output Utente'!$H$2:$H$492,MATCH(460,'Output Utente'!$Q$2:$Q$492,0)),"")</f>
        <v>0</v>
      </c>
      <c r="L463" s="7" t="str">
        <f aca="false">IFERROR(INDEX('Output Utente'!$E$2:$E$492,MATCH(460,'Output Utente'!$Q$2:$Q$492,0)),"")</f>
        <v>NO</v>
      </c>
      <c r="M463" s="7" t="str">
        <f aca="false">IFERROR(INDEX('Output Utente'!$U$2:$U$492,MATCH(460,'Output Utente'!$Q$2:$Q$492,0)),"")</f>
        <v>OK</v>
      </c>
      <c r="N463" s="7" t="str">
        <f aca="false">IFERROR(INDEX('Output Utente'!$AE$2:$AE$492,MATCH(460,'Output Utente'!$Q$2:$Q$492,0)),"")</f>
        <v>🟡 Attesa rischiosa</v>
      </c>
    </row>
    <row r="464" customFormat="false" ht="15" hidden="false" customHeight="true" outlineLevel="0" collapsed="false">
      <c r="A464" s="46" t="n">
        <v>461</v>
      </c>
      <c r="B464" s="7" t="n">
        <f aca="false">IFERROR(INDEX('Output Utente'!$A$2:$A$492,MATCH(461,'Output Utente'!$Q$2:$Q$492,0)),"")</f>
        <v>7475</v>
      </c>
      <c r="C464" s="7" t="str">
        <f aca="false">IFERROR(INDEX('Output Utente'!$B$2:$B$492,MATCH(461,'Output Utente'!$Q$2:$Q$492,0)),"")</f>
        <v>P</v>
      </c>
      <c r="D464" s="7" t="str">
        <f aca="false">IFERROR(INDEX('Output Utente'!$C$2:$C$492,MATCH(461,'Output Utente'!$Q$2:$Q$492,0)),"")</f>
        <v>Strajnar</v>
      </c>
      <c r="E464" s="7" t="str">
        <f aca="false">IFERROR(INDEX('Input Giocatori 2026_27'!$D$3:$D$493,MATCH($B464,'Input Giocatori 2026_27'!$A$3:$A$493,0)),"")</f>
        <v>Monza</v>
      </c>
      <c r="F464" s="47" t="n">
        <f aca="false">IFERROR(INDEX('Output Utente'!$N$2:$N$492,MATCH(461,'Output Utente'!$Q$2:$Q$492,0)),"")</f>
        <v>1</v>
      </c>
      <c r="G464" s="47" t="n">
        <f aca="false">IFERROR(INDEX('Output Utente'!$O$2:$O$492,MATCH(461,'Output Utente'!$Q$2:$Q$492,0)),"")</f>
        <v>1</v>
      </c>
      <c r="H464" s="7" t="str">
        <f aca="false">IFERROR(INDEX('Output Utente'!$P$2:$P$492,MATCH(461,'Output Utente'!$Q$2:$Q$492,0)),"")</f>
        <v>Nella Media</v>
      </c>
      <c r="I464" s="47" t="n">
        <f aca="false">IFERROR(INDEX('Output Utente'!$F$2:$F$492,MATCH(461,'Output Utente'!$Q$2:$Q$492,0)),"")</f>
        <v>0</v>
      </c>
      <c r="J464" s="47" t="n">
        <f aca="false">IFERROR(INDEX('Output Utente'!$G$2:$G$492,MATCH(461,'Output Utente'!$Q$2:$Q$492,0)),"")</f>
        <v>1</v>
      </c>
      <c r="K464" s="47" t="n">
        <f aca="false">IFERROR(INDEX('Output Utente'!$H$2:$H$492,MATCH(461,'Output Utente'!$Q$2:$Q$492,0)),"")</f>
        <v>0</v>
      </c>
      <c r="L464" s="7" t="str">
        <f aca="false">IFERROR(INDEX('Output Utente'!$E$2:$E$492,MATCH(461,'Output Utente'!$Q$2:$Q$492,0)),"")</f>
        <v>NO</v>
      </c>
      <c r="M464" s="7" t="str">
        <f aca="false">IFERROR(INDEX('Output Utente'!$U$2:$U$492,MATCH(461,'Output Utente'!$Q$2:$Q$492,0)),"")</f>
        <v>OK</v>
      </c>
      <c r="N464" s="7" t="str">
        <f aca="false">IFERROR(INDEX('Output Utente'!$AE$2:$AE$492,MATCH(461,'Output Utente'!$Q$2:$Q$492,0)),"")</f>
        <v>🟡 Attesa rischiosa</v>
      </c>
    </row>
    <row r="465" customFormat="false" ht="15" hidden="false" customHeight="true" outlineLevel="0" collapsed="false">
      <c r="A465" s="46" t="n">
        <v>462</v>
      </c>
      <c r="B465" s="7" t="n">
        <f aca="false">IFERROR(INDEX('Output Utente'!$A$2:$A$492,MATCH(462,'Output Utente'!$Q$2:$Q$492,0)),"")</f>
        <v>2845</v>
      </c>
      <c r="C465" s="7" t="str">
        <f aca="false">IFERROR(INDEX('Output Utente'!$B$2:$B$492,MATCH(462,'Output Utente'!$Q$2:$Q$492,0)),"")</f>
        <v>P</v>
      </c>
      <c r="D465" s="7" t="str">
        <f aca="false">IFERROR(INDEX('Output Utente'!$C$2:$C$492,MATCH(462,'Output Utente'!$Q$2:$Q$492,0)),"")</f>
        <v>Contini</v>
      </c>
      <c r="E465" s="7" t="str">
        <f aca="false">IFERROR(INDEX('Input Giocatori 2026_27'!$D$3:$D$493,MATCH($B465,'Input Giocatori 2026_27'!$A$3:$A$493,0)),"")</f>
        <v>Napoli</v>
      </c>
      <c r="F465" s="47" t="n">
        <f aca="false">IFERROR(INDEX('Output Utente'!$N$2:$N$492,MATCH(462,'Output Utente'!$Q$2:$Q$492,0)),"")</f>
        <v>1</v>
      </c>
      <c r="G465" s="47" t="n">
        <f aca="false">IFERROR(INDEX('Output Utente'!$O$2:$O$492,MATCH(462,'Output Utente'!$Q$2:$Q$492,0)),"")</f>
        <v>1</v>
      </c>
      <c r="H465" s="7" t="str">
        <f aca="false">IFERROR(INDEX('Output Utente'!$P$2:$P$492,MATCH(462,'Output Utente'!$Q$2:$Q$492,0)),"")</f>
        <v>Nella Media</v>
      </c>
      <c r="I465" s="47" t="n">
        <f aca="false">IFERROR(INDEX('Output Utente'!$F$2:$F$492,MATCH(462,'Output Utente'!$Q$2:$Q$492,0)),"")</f>
        <v>0</v>
      </c>
      <c r="J465" s="47" t="n">
        <f aca="false">IFERROR(INDEX('Output Utente'!$G$2:$G$492,MATCH(462,'Output Utente'!$Q$2:$Q$492,0)),"")</f>
        <v>1</v>
      </c>
      <c r="K465" s="47" t="n">
        <f aca="false">IFERROR(INDEX('Output Utente'!$H$2:$H$492,MATCH(462,'Output Utente'!$Q$2:$Q$492,0)),"")</f>
        <v>0</v>
      </c>
      <c r="L465" s="7" t="str">
        <f aca="false">IFERROR(INDEX('Output Utente'!$E$2:$E$492,MATCH(462,'Output Utente'!$Q$2:$Q$492,0)),"")</f>
        <v>NO</v>
      </c>
      <c r="M465" s="7" t="str">
        <f aca="false">IFERROR(INDEX('Output Utente'!$U$2:$U$492,MATCH(462,'Output Utente'!$Q$2:$Q$492,0)),"")</f>
        <v>OK</v>
      </c>
      <c r="N465" s="7" t="str">
        <f aca="false">IFERROR(INDEX('Output Utente'!$AE$2:$AE$492,MATCH(462,'Output Utente'!$Q$2:$Q$492,0)),"")</f>
        <v>🟡 Attesa rischiosa</v>
      </c>
    </row>
    <row r="466" customFormat="false" ht="15" hidden="false" customHeight="true" outlineLevel="0" collapsed="false">
      <c r="A466" s="46" t="n">
        <v>463</v>
      </c>
      <c r="B466" s="7" t="n">
        <f aca="false">IFERROR(INDEX('Output Utente'!$A$2:$A$492,MATCH(463,'Output Utente'!$Q$2:$Q$492,0)),"")</f>
        <v>6662</v>
      </c>
      <c r="C466" s="7" t="str">
        <f aca="false">IFERROR(INDEX('Output Utente'!$B$2:$B$492,MATCH(463,'Output Utente'!$Q$2:$Q$492,0)),"")</f>
        <v>P</v>
      </c>
      <c r="D466" s="7" t="str">
        <f aca="false">IFERROR(INDEX('Output Utente'!$C$2:$C$492,MATCH(463,'Output Utente'!$Q$2:$Q$492,0)),"")</f>
        <v>Corvi</v>
      </c>
      <c r="E466" s="7" t="str">
        <f aca="false">IFERROR(INDEX('Input Giocatori 2026_27'!$D$3:$D$493,MATCH($B466,'Input Giocatori 2026_27'!$A$3:$A$493,0)),"")</f>
        <v>Parma</v>
      </c>
      <c r="F466" s="47" t="n">
        <f aca="false">IFERROR(INDEX('Output Utente'!$N$2:$N$492,MATCH(463,'Output Utente'!$Q$2:$Q$492,0)),"")</f>
        <v>1</v>
      </c>
      <c r="G466" s="47" t="n">
        <f aca="false">IFERROR(INDEX('Output Utente'!$O$2:$O$492,MATCH(463,'Output Utente'!$Q$2:$Q$492,0)),"")</f>
        <v>1</v>
      </c>
      <c r="H466" s="7" t="str">
        <f aca="false">IFERROR(INDEX('Output Utente'!$P$2:$P$492,MATCH(463,'Output Utente'!$Q$2:$Q$492,0)),"")</f>
        <v>Nella Media</v>
      </c>
      <c r="I466" s="47" t="n">
        <f aca="false">IFERROR(INDEX('Output Utente'!$F$2:$F$492,MATCH(463,'Output Utente'!$Q$2:$Q$492,0)),"")</f>
        <v>0</v>
      </c>
      <c r="J466" s="47" t="n">
        <f aca="false">IFERROR(INDEX('Output Utente'!$G$2:$G$492,MATCH(463,'Output Utente'!$Q$2:$Q$492,0)),"")</f>
        <v>1</v>
      </c>
      <c r="K466" s="47" t="n">
        <f aca="false">IFERROR(INDEX('Output Utente'!$H$2:$H$492,MATCH(463,'Output Utente'!$Q$2:$Q$492,0)),"")</f>
        <v>0</v>
      </c>
      <c r="L466" s="7" t="str">
        <f aca="false">IFERROR(INDEX('Output Utente'!$E$2:$E$492,MATCH(463,'Output Utente'!$Q$2:$Q$492,0)),"")</f>
        <v>NO</v>
      </c>
      <c r="M466" s="7" t="str">
        <f aca="false">IFERROR(INDEX('Output Utente'!$U$2:$U$492,MATCH(463,'Output Utente'!$Q$2:$Q$492,0)),"")</f>
        <v>OK</v>
      </c>
      <c r="N466" s="7" t="str">
        <f aca="false">IFERROR(INDEX('Output Utente'!$AE$2:$AE$492,MATCH(463,'Output Utente'!$Q$2:$Q$492,0)),"")</f>
        <v>🟡 Attesa rischiosa</v>
      </c>
    </row>
    <row r="467" customFormat="false" ht="15" hidden="false" customHeight="true" outlineLevel="0" collapsed="false">
      <c r="A467" s="46" t="n">
        <v>464</v>
      </c>
      <c r="B467" s="7" t="n">
        <f aca="false">IFERROR(INDEX('Output Utente'!$A$2:$A$492,MATCH(464,'Output Utente'!$Q$2:$Q$492,0)),"")</f>
        <v>7048</v>
      </c>
      <c r="C467" s="7" t="str">
        <f aca="false">IFERROR(INDEX('Output Utente'!$B$2:$B$492,MATCH(464,'Output Utente'!$Q$2:$Q$492,0)),"")</f>
        <v>P</v>
      </c>
      <c r="D467" s="7" t="str">
        <f aca="false">IFERROR(INDEX('Output Utente'!$C$2:$C$492,MATCH(464,'Output Utente'!$Q$2:$Q$492,0)),"")</f>
        <v>De Marzi</v>
      </c>
      <c r="E467" s="7" t="str">
        <f aca="false">IFERROR(INDEX('Input Giocatori 2026_27'!$D$3:$D$493,MATCH($B467,'Input Giocatori 2026_27'!$A$3:$A$493,0)),"")</f>
        <v>Roma</v>
      </c>
      <c r="F467" s="47" t="n">
        <f aca="false">IFERROR(INDEX('Output Utente'!$N$2:$N$492,MATCH(464,'Output Utente'!$Q$2:$Q$492,0)),"")</f>
        <v>1</v>
      </c>
      <c r="G467" s="47" t="n">
        <f aca="false">IFERROR(INDEX('Output Utente'!$O$2:$O$492,MATCH(464,'Output Utente'!$Q$2:$Q$492,0)),"")</f>
        <v>1</v>
      </c>
      <c r="H467" s="7" t="str">
        <f aca="false">IFERROR(INDEX('Output Utente'!$P$2:$P$492,MATCH(464,'Output Utente'!$Q$2:$Q$492,0)),"")</f>
        <v>Nella Media</v>
      </c>
      <c r="I467" s="47" t="n">
        <f aca="false">IFERROR(INDEX('Output Utente'!$F$2:$F$492,MATCH(464,'Output Utente'!$Q$2:$Q$492,0)),"")</f>
        <v>0</v>
      </c>
      <c r="J467" s="47" t="n">
        <f aca="false">IFERROR(INDEX('Output Utente'!$G$2:$G$492,MATCH(464,'Output Utente'!$Q$2:$Q$492,0)),"")</f>
        <v>1</v>
      </c>
      <c r="K467" s="47" t="n">
        <f aca="false">IFERROR(INDEX('Output Utente'!$H$2:$H$492,MATCH(464,'Output Utente'!$Q$2:$Q$492,0)),"")</f>
        <v>0</v>
      </c>
      <c r="L467" s="7" t="str">
        <f aca="false">IFERROR(INDEX('Output Utente'!$E$2:$E$492,MATCH(464,'Output Utente'!$Q$2:$Q$492,0)),"")</f>
        <v>NO</v>
      </c>
      <c r="M467" s="7" t="str">
        <f aca="false">IFERROR(INDEX('Output Utente'!$U$2:$U$492,MATCH(464,'Output Utente'!$Q$2:$Q$492,0)),"")</f>
        <v>OK</v>
      </c>
      <c r="N467" s="7" t="str">
        <f aca="false">IFERROR(INDEX('Output Utente'!$AE$2:$AE$492,MATCH(464,'Output Utente'!$Q$2:$Q$492,0)),"")</f>
        <v>🟡 Attesa rischiosa</v>
      </c>
    </row>
    <row r="468" customFormat="false" ht="15" hidden="false" customHeight="true" outlineLevel="0" collapsed="false">
      <c r="A468" s="46" t="n">
        <v>465</v>
      </c>
      <c r="B468" s="7" t="n">
        <f aca="false">IFERROR(INDEX('Output Utente'!$A$2:$A$492,MATCH(465,'Output Utente'!$Q$2:$Q$492,0)),"")</f>
        <v>610</v>
      </c>
      <c r="C468" s="7" t="str">
        <f aca="false">IFERROR(INDEX('Output Utente'!$B$2:$B$492,MATCH(465,'Output Utente'!$Q$2:$Q$492,0)),"")</f>
        <v>P</v>
      </c>
      <c r="D468" s="7" t="str">
        <f aca="false">IFERROR(INDEX('Output Utente'!$C$2:$C$492,MATCH(465,'Output Utente'!$Q$2:$Q$492,0)),"")</f>
        <v>Gollini</v>
      </c>
      <c r="E468" s="7" t="str">
        <f aca="false">IFERROR(INDEX('Input Giocatori 2026_27'!$D$3:$D$493,MATCH($B468,'Input Giocatori 2026_27'!$A$3:$A$493,0)),"")</f>
        <v>Roma</v>
      </c>
      <c r="F468" s="47" t="n">
        <f aca="false">IFERROR(INDEX('Output Utente'!$N$2:$N$492,MATCH(465,'Output Utente'!$Q$2:$Q$492,0)),"")</f>
        <v>1</v>
      </c>
      <c r="G468" s="47" t="n">
        <f aca="false">IFERROR(INDEX('Output Utente'!$O$2:$O$492,MATCH(465,'Output Utente'!$Q$2:$Q$492,0)),"")</f>
        <v>1</v>
      </c>
      <c r="H468" s="7" t="str">
        <f aca="false">IFERROR(INDEX('Output Utente'!$P$2:$P$492,MATCH(465,'Output Utente'!$Q$2:$Q$492,0)),"")</f>
        <v>Nella Media</v>
      </c>
      <c r="I468" s="47" t="n">
        <f aca="false">IFERROR(INDEX('Output Utente'!$F$2:$F$492,MATCH(465,'Output Utente'!$Q$2:$Q$492,0)),"")</f>
        <v>0</v>
      </c>
      <c r="J468" s="47" t="n">
        <f aca="false">IFERROR(INDEX('Output Utente'!$G$2:$G$492,MATCH(465,'Output Utente'!$Q$2:$Q$492,0)),"")</f>
        <v>1</v>
      </c>
      <c r="K468" s="47" t="n">
        <f aca="false">IFERROR(INDEX('Output Utente'!$H$2:$H$492,MATCH(465,'Output Utente'!$Q$2:$Q$492,0)),"")</f>
        <v>0</v>
      </c>
      <c r="L468" s="7" t="str">
        <f aca="false">IFERROR(INDEX('Output Utente'!$E$2:$E$492,MATCH(465,'Output Utente'!$Q$2:$Q$492,0)),"")</f>
        <v>NO</v>
      </c>
      <c r="M468" s="7" t="str">
        <f aca="false">IFERROR(INDEX('Output Utente'!$U$2:$U$492,MATCH(465,'Output Utente'!$Q$2:$Q$492,0)),"")</f>
        <v>OK</v>
      </c>
      <c r="N468" s="7" t="str">
        <f aca="false">IFERROR(INDEX('Output Utente'!$AE$2:$AE$492,MATCH(465,'Output Utente'!$Q$2:$Q$492,0)),"")</f>
        <v>🟡 Attesa rischiosa</v>
      </c>
    </row>
    <row r="469" customFormat="false" ht="15" hidden="false" customHeight="true" outlineLevel="0" collapsed="false">
      <c r="A469" s="46" t="n">
        <v>466</v>
      </c>
      <c r="B469" s="7" t="n">
        <f aca="false">IFERROR(INDEX('Output Utente'!$A$2:$A$492,MATCH(466,'Output Utente'!$Q$2:$Q$492,0)),"")</f>
        <v>4518</v>
      </c>
      <c r="C469" s="7" t="str">
        <f aca="false">IFERROR(INDEX('Output Utente'!$B$2:$B$492,MATCH(466,'Output Utente'!$Q$2:$Q$492,0)),"")</f>
        <v>P</v>
      </c>
      <c r="D469" s="7" t="str">
        <f aca="false">IFERROR(INDEX('Output Utente'!$C$2:$C$492,MATCH(466,'Output Utente'!$Q$2:$Q$492,0)),"")</f>
        <v>Russo A.</v>
      </c>
      <c r="E469" s="7" t="str">
        <f aca="false">IFERROR(INDEX('Input Giocatori 2026_27'!$D$3:$D$493,MATCH($B469,'Input Giocatori 2026_27'!$A$3:$A$493,0)),"")</f>
        <v>Sassuolo</v>
      </c>
      <c r="F469" s="47" t="n">
        <f aca="false">IFERROR(INDEX('Output Utente'!$N$2:$N$492,MATCH(466,'Output Utente'!$Q$2:$Q$492,0)),"")</f>
        <v>1</v>
      </c>
      <c r="G469" s="47" t="n">
        <f aca="false">IFERROR(INDEX('Output Utente'!$O$2:$O$492,MATCH(466,'Output Utente'!$Q$2:$Q$492,0)),"")</f>
        <v>1</v>
      </c>
      <c r="H469" s="7" t="str">
        <f aca="false">IFERROR(INDEX('Output Utente'!$P$2:$P$492,MATCH(466,'Output Utente'!$Q$2:$Q$492,0)),"")</f>
        <v>Nella Media</v>
      </c>
      <c r="I469" s="47" t="n">
        <f aca="false">IFERROR(INDEX('Output Utente'!$F$2:$F$492,MATCH(466,'Output Utente'!$Q$2:$Q$492,0)),"")</f>
        <v>0</v>
      </c>
      <c r="J469" s="47" t="n">
        <f aca="false">IFERROR(INDEX('Output Utente'!$G$2:$G$492,MATCH(466,'Output Utente'!$Q$2:$Q$492,0)),"")</f>
        <v>1</v>
      </c>
      <c r="K469" s="47" t="n">
        <f aca="false">IFERROR(INDEX('Output Utente'!$H$2:$H$492,MATCH(466,'Output Utente'!$Q$2:$Q$492,0)),"")</f>
        <v>0</v>
      </c>
      <c r="L469" s="7" t="str">
        <f aca="false">IFERROR(INDEX('Output Utente'!$E$2:$E$492,MATCH(466,'Output Utente'!$Q$2:$Q$492,0)),"")</f>
        <v>NO</v>
      </c>
      <c r="M469" s="7" t="str">
        <f aca="false">IFERROR(INDEX('Output Utente'!$U$2:$U$492,MATCH(466,'Output Utente'!$Q$2:$Q$492,0)),"")</f>
        <v>OK</v>
      </c>
      <c r="N469" s="7" t="str">
        <f aca="false">IFERROR(INDEX('Output Utente'!$AE$2:$AE$492,MATCH(466,'Output Utente'!$Q$2:$Q$492,0)),"")</f>
        <v>🟡 Attesa rischiosa</v>
      </c>
    </row>
    <row r="470" customFormat="false" ht="15" hidden="false" customHeight="true" outlineLevel="0" collapsed="false">
      <c r="A470" s="46" t="n">
        <v>467</v>
      </c>
      <c r="B470" s="7" t="n">
        <f aca="false">IFERROR(INDEX('Output Utente'!$A$2:$A$492,MATCH(467,'Output Utente'!$Q$2:$Q$492,0)),"")</f>
        <v>7457</v>
      </c>
      <c r="C470" s="7" t="str">
        <f aca="false">IFERROR(INDEX('Output Utente'!$B$2:$B$492,MATCH(467,'Output Utente'!$Q$2:$Q$492,0)),"")</f>
        <v>P</v>
      </c>
      <c r="D470" s="7" t="str">
        <f aca="false">IFERROR(INDEX('Output Utente'!$C$2:$C$492,MATCH(467,'Output Utente'!$Q$2:$Q$492,0)),"")</f>
        <v>Mascardi</v>
      </c>
      <c r="E470" s="7" t="str">
        <f aca="false">IFERROR(INDEX('Input Giocatori 2026_27'!$D$3:$D$493,MATCH($B470,'Input Giocatori 2026_27'!$A$3:$A$493,0)),"")</f>
        <v>Torino</v>
      </c>
      <c r="F470" s="47" t="n">
        <f aca="false">IFERROR(INDEX('Output Utente'!$N$2:$N$492,MATCH(467,'Output Utente'!$Q$2:$Q$492,0)),"")</f>
        <v>1</v>
      </c>
      <c r="G470" s="47" t="n">
        <f aca="false">IFERROR(INDEX('Output Utente'!$O$2:$O$492,MATCH(467,'Output Utente'!$Q$2:$Q$492,0)),"")</f>
        <v>1</v>
      </c>
      <c r="H470" s="7" t="str">
        <f aca="false">IFERROR(INDEX('Output Utente'!$P$2:$P$492,MATCH(467,'Output Utente'!$Q$2:$Q$492,0)),"")</f>
        <v>Nella Media</v>
      </c>
      <c r="I470" s="47" t="n">
        <f aca="false">IFERROR(INDEX('Output Utente'!$F$2:$F$492,MATCH(467,'Output Utente'!$Q$2:$Q$492,0)),"")</f>
        <v>0</v>
      </c>
      <c r="J470" s="47" t="n">
        <f aca="false">IFERROR(INDEX('Output Utente'!$G$2:$G$492,MATCH(467,'Output Utente'!$Q$2:$Q$492,0)),"")</f>
        <v>1</v>
      </c>
      <c r="K470" s="47" t="n">
        <f aca="false">IFERROR(INDEX('Output Utente'!$H$2:$H$492,MATCH(467,'Output Utente'!$Q$2:$Q$492,0)),"")</f>
        <v>0</v>
      </c>
      <c r="L470" s="7" t="str">
        <f aca="false">IFERROR(INDEX('Output Utente'!$E$2:$E$492,MATCH(467,'Output Utente'!$Q$2:$Q$492,0)),"")</f>
        <v>NO</v>
      </c>
      <c r="M470" s="7" t="str">
        <f aca="false">IFERROR(INDEX('Output Utente'!$U$2:$U$492,MATCH(467,'Output Utente'!$Q$2:$Q$492,0)),"")</f>
        <v>OK</v>
      </c>
      <c r="N470" s="7" t="str">
        <f aca="false">IFERROR(INDEX('Output Utente'!$AE$2:$AE$492,MATCH(467,'Output Utente'!$Q$2:$Q$492,0)),"")</f>
        <v>🟡 Attesa rischiosa</v>
      </c>
    </row>
    <row r="471" customFormat="false" ht="15" hidden="false" customHeight="true" outlineLevel="0" collapsed="false">
      <c r="A471" s="46" t="n">
        <v>468</v>
      </c>
      <c r="B471" s="7" t="n">
        <f aca="false">IFERROR(INDEX('Output Utente'!$A$2:$A$492,MATCH(468,'Output Utente'!$Q$2:$Q$492,0)),"")</f>
        <v>5320</v>
      </c>
      <c r="C471" s="7" t="str">
        <f aca="false">IFERROR(INDEX('Output Utente'!$B$2:$B$492,MATCH(468,'Output Utente'!$Q$2:$Q$492,0)),"")</f>
        <v>P</v>
      </c>
      <c r="D471" s="7" t="str">
        <f aca="false">IFERROR(INDEX('Output Utente'!$C$2:$C$492,MATCH(468,'Output Utente'!$Q$2:$Q$492,0)),"")</f>
        <v>Paleari</v>
      </c>
      <c r="E471" s="7" t="str">
        <f aca="false">IFERROR(INDEX('Input Giocatori 2026_27'!$D$3:$D$493,MATCH($B471,'Input Giocatori 2026_27'!$A$3:$A$493,0)),"")</f>
        <v>Torino</v>
      </c>
      <c r="F471" s="47" t="n">
        <f aca="false">IFERROR(INDEX('Output Utente'!$N$2:$N$492,MATCH(468,'Output Utente'!$Q$2:$Q$492,0)),"")</f>
        <v>1</v>
      </c>
      <c r="G471" s="47" t="n">
        <f aca="false">IFERROR(INDEX('Output Utente'!$O$2:$O$492,MATCH(468,'Output Utente'!$Q$2:$Q$492,0)),"")</f>
        <v>1</v>
      </c>
      <c r="H471" s="7" t="str">
        <f aca="false">IFERROR(INDEX('Output Utente'!$P$2:$P$492,MATCH(468,'Output Utente'!$Q$2:$Q$492,0)),"")</f>
        <v>Nella Media</v>
      </c>
      <c r="I471" s="47" t="n">
        <f aca="false">IFERROR(INDEX('Output Utente'!$F$2:$F$492,MATCH(468,'Output Utente'!$Q$2:$Q$492,0)),"")</f>
        <v>0</v>
      </c>
      <c r="J471" s="47" t="n">
        <f aca="false">IFERROR(INDEX('Output Utente'!$G$2:$G$492,MATCH(468,'Output Utente'!$Q$2:$Q$492,0)),"")</f>
        <v>1</v>
      </c>
      <c r="K471" s="47" t="n">
        <f aca="false">IFERROR(INDEX('Output Utente'!$H$2:$H$492,MATCH(468,'Output Utente'!$Q$2:$Q$492,0)),"")</f>
        <v>0</v>
      </c>
      <c r="L471" s="7" t="str">
        <f aca="false">IFERROR(INDEX('Output Utente'!$E$2:$E$492,MATCH(468,'Output Utente'!$Q$2:$Q$492,0)),"")</f>
        <v>NO</v>
      </c>
      <c r="M471" s="7" t="str">
        <f aca="false">IFERROR(INDEX('Output Utente'!$U$2:$U$492,MATCH(468,'Output Utente'!$Q$2:$Q$492,0)),"")</f>
        <v>OK</v>
      </c>
      <c r="N471" s="7" t="str">
        <f aca="false">IFERROR(INDEX('Output Utente'!$AE$2:$AE$492,MATCH(468,'Output Utente'!$Q$2:$Q$492,0)),"")</f>
        <v>🟡 Attesa rischiosa</v>
      </c>
    </row>
    <row r="472" customFormat="false" ht="15" hidden="false" customHeight="true" outlineLevel="0" collapsed="false">
      <c r="A472" s="46" t="n">
        <v>469</v>
      </c>
      <c r="B472" s="7" t="n">
        <f aca="false">IFERROR(INDEX('Output Utente'!$A$2:$A$492,MATCH(469,'Output Utente'!$Q$2:$Q$492,0)),"")</f>
        <v>7363</v>
      </c>
      <c r="C472" s="7" t="str">
        <f aca="false">IFERROR(INDEX('Output Utente'!$B$2:$B$492,MATCH(469,'Output Utente'!$Q$2:$Q$492,0)),"")</f>
        <v>P</v>
      </c>
      <c r="D472" s="7" t="str">
        <f aca="false">IFERROR(INDEX('Output Utente'!$C$2:$C$492,MATCH(469,'Output Utente'!$Q$2:$Q$492,0)),"")</f>
        <v>Siviero</v>
      </c>
      <c r="E472" s="7" t="str">
        <f aca="false">IFERROR(INDEX('Input Giocatori 2026_27'!$D$3:$D$493,MATCH($B472,'Input Giocatori 2026_27'!$A$3:$A$493,0)),"")</f>
        <v>Torino</v>
      </c>
      <c r="F472" s="47" t="n">
        <f aca="false">IFERROR(INDEX('Output Utente'!$N$2:$N$492,MATCH(469,'Output Utente'!$Q$2:$Q$492,0)),"")</f>
        <v>1</v>
      </c>
      <c r="G472" s="47" t="n">
        <f aca="false">IFERROR(INDEX('Output Utente'!$O$2:$O$492,MATCH(469,'Output Utente'!$Q$2:$Q$492,0)),"")</f>
        <v>1</v>
      </c>
      <c r="H472" s="7" t="str">
        <f aca="false">IFERROR(INDEX('Output Utente'!$P$2:$P$492,MATCH(469,'Output Utente'!$Q$2:$Q$492,0)),"")</f>
        <v>Nella Media</v>
      </c>
      <c r="I472" s="47" t="n">
        <f aca="false">IFERROR(INDEX('Output Utente'!$F$2:$F$492,MATCH(469,'Output Utente'!$Q$2:$Q$492,0)),"")</f>
        <v>0</v>
      </c>
      <c r="J472" s="47" t="n">
        <f aca="false">IFERROR(INDEX('Output Utente'!$G$2:$G$492,MATCH(469,'Output Utente'!$Q$2:$Q$492,0)),"")</f>
        <v>1</v>
      </c>
      <c r="K472" s="47" t="n">
        <f aca="false">IFERROR(INDEX('Output Utente'!$H$2:$H$492,MATCH(469,'Output Utente'!$Q$2:$Q$492,0)),"")</f>
        <v>0</v>
      </c>
      <c r="L472" s="7" t="str">
        <f aca="false">IFERROR(INDEX('Output Utente'!$E$2:$E$492,MATCH(469,'Output Utente'!$Q$2:$Q$492,0)),"")</f>
        <v>NO</v>
      </c>
      <c r="M472" s="7" t="str">
        <f aca="false">IFERROR(INDEX('Output Utente'!$U$2:$U$492,MATCH(469,'Output Utente'!$Q$2:$Q$492,0)),"")</f>
        <v>OK</v>
      </c>
      <c r="N472" s="7" t="str">
        <f aca="false">IFERROR(INDEX('Output Utente'!$AE$2:$AE$492,MATCH(469,'Output Utente'!$Q$2:$Q$492,0)),"")</f>
        <v>🟡 Attesa rischiosa</v>
      </c>
    </row>
    <row r="473" customFormat="false" ht="15" hidden="false" customHeight="true" outlineLevel="0" collapsed="false">
      <c r="A473" s="46" t="n">
        <v>470</v>
      </c>
      <c r="B473" s="7" t="n">
        <f aca="false">IFERROR(INDEX('Output Utente'!$A$2:$A$492,MATCH(470,'Output Utente'!$Q$2:$Q$492,0)),"")</f>
        <v>543</v>
      </c>
      <c r="C473" s="7" t="str">
        <f aca="false">IFERROR(INDEX('Output Utente'!$B$2:$B$492,MATCH(470,'Output Utente'!$Q$2:$Q$492,0)),"")</f>
        <v>P</v>
      </c>
      <c r="D473" s="7" t="str">
        <f aca="false">IFERROR(INDEX('Output Utente'!$C$2:$C$492,MATCH(470,'Output Utente'!$Q$2:$Q$492,0)),"")</f>
        <v>Padelli</v>
      </c>
      <c r="E473" s="7" t="str">
        <f aca="false">IFERROR(INDEX('Input Giocatori 2026_27'!$D$3:$D$493,MATCH($B473,'Input Giocatori 2026_27'!$A$3:$A$493,0)),"")</f>
        <v>Udinese</v>
      </c>
      <c r="F473" s="47" t="n">
        <f aca="false">IFERROR(INDEX('Output Utente'!$N$2:$N$492,MATCH(470,'Output Utente'!$Q$2:$Q$492,0)),"")</f>
        <v>1</v>
      </c>
      <c r="G473" s="47" t="n">
        <f aca="false">IFERROR(INDEX('Output Utente'!$O$2:$O$492,MATCH(470,'Output Utente'!$Q$2:$Q$492,0)),"")</f>
        <v>1</v>
      </c>
      <c r="H473" s="7" t="str">
        <f aca="false">IFERROR(INDEX('Output Utente'!$P$2:$P$492,MATCH(470,'Output Utente'!$Q$2:$Q$492,0)),"")</f>
        <v>Nella Media</v>
      </c>
      <c r="I473" s="47" t="n">
        <f aca="false">IFERROR(INDEX('Output Utente'!$F$2:$F$492,MATCH(470,'Output Utente'!$Q$2:$Q$492,0)),"")</f>
        <v>0</v>
      </c>
      <c r="J473" s="47" t="n">
        <f aca="false">IFERROR(INDEX('Output Utente'!$G$2:$G$492,MATCH(470,'Output Utente'!$Q$2:$Q$492,0)),"")</f>
        <v>1</v>
      </c>
      <c r="K473" s="47" t="n">
        <f aca="false">IFERROR(INDEX('Output Utente'!$H$2:$H$492,MATCH(470,'Output Utente'!$Q$2:$Q$492,0)),"")</f>
        <v>0</v>
      </c>
      <c r="L473" s="7" t="str">
        <f aca="false">IFERROR(INDEX('Output Utente'!$E$2:$E$492,MATCH(470,'Output Utente'!$Q$2:$Q$492,0)),"")</f>
        <v>NO</v>
      </c>
      <c r="M473" s="7" t="str">
        <f aca="false">IFERROR(INDEX('Output Utente'!$U$2:$U$492,MATCH(470,'Output Utente'!$Q$2:$Q$492,0)),"")</f>
        <v>OK</v>
      </c>
      <c r="N473" s="7" t="str">
        <f aca="false">IFERROR(INDEX('Output Utente'!$AE$2:$AE$492,MATCH(470,'Output Utente'!$Q$2:$Q$492,0)),"")</f>
        <v>🟡 Attesa rischiosa</v>
      </c>
    </row>
    <row r="474" customFormat="false" ht="15" hidden="false" customHeight="true" outlineLevel="0" collapsed="false">
      <c r="A474" s="46" t="n">
        <v>471</v>
      </c>
      <c r="B474" s="7" t="n">
        <f aca="false">IFERROR(INDEX('Output Utente'!$A$2:$A$492,MATCH(471,'Output Utente'!$Q$2:$Q$492,0)),"")</f>
        <v>5707</v>
      </c>
      <c r="C474" s="7" t="str">
        <f aca="false">IFERROR(INDEX('Output Utente'!$B$2:$B$492,MATCH(471,'Output Utente'!$Q$2:$Q$492,0)),"")</f>
        <v>P</v>
      </c>
      <c r="D474" s="7" t="str">
        <f aca="false">IFERROR(INDEX('Output Utente'!$C$2:$C$492,MATCH(471,'Output Utente'!$Q$2:$Q$492,0)),"")</f>
        <v>Piana</v>
      </c>
      <c r="E474" s="7" t="str">
        <f aca="false">IFERROR(INDEX('Input Giocatori 2026_27'!$D$3:$D$493,MATCH($B474,'Input Giocatori 2026_27'!$A$3:$A$493,0)),"")</f>
        <v>Udinese</v>
      </c>
      <c r="F474" s="47" t="n">
        <f aca="false">IFERROR(INDEX('Output Utente'!$N$2:$N$492,MATCH(471,'Output Utente'!$Q$2:$Q$492,0)),"")</f>
        <v>1</v>
      </c>
      <c r="G474" s="47" t="n">
        <f aca="false">IFERROR(INDEX('Output Utente'!$O$2:$O$492,MATCH(471,'Output Utente'!$Q$2:$Q$492,0)),"")</f>
        <v>1</v>
      </c>
      <c r="H474" s="7" t="str">
        <f aca="false">IFERROR(INDEX('Output Utente'!$P$2:$P$492,MATCH(471,'Output Utente'!$Q$2:$Q$492,0)),"")</f>
        <v>Nella Media</v>
      </c>
      <c r="I474" s="47" t="n">
        <f aca="false">IFERROR(INDEX('Output Utente'!$F$2:$F$492,MATCH(471,'Output Utente'!$Q$2:$Q$492,0)),"")</f>
        <v>0</v>
      </c>
      <c r="J474" s="47" t="n">
        <f aca="false">IFERROR(INDEX('Output Utente'!$G$2:$G$492,MATCH(471,'Output Utente'!$Q$2:$Q$492,0)),"")</f>
        <v>1</v>
      </c>
      <c r="K474" s="47" t="n">
        <f aca="false">IFERROR(INDEX('Output Utente'!$H$2:$H$492,MATCH(471,'Output Utente'!$Q$2:$Q$492,0)),"")</f>
        <v>0</v>
      </c>
      <c r="L474" s="7" t="str">
        <f aca="false">IFERROR(INDEX('Output Utente'!$E$2:$E$492,MATCH(471,'Output Utente'!$Q$2:$Q$492,0)),"")</f>
        <v>NO</v>
      </c>
      <c r="M474" s="7" t="str">
        <f aca="false">IFERROR(INDEX('Output Utente'!$U$2:$U$492,MATCH(471,'Output Utente'!$Q$2:$Q$492,0)),"")</f>
        <v>OK</v>
      </c>
      <c r="N474" s="7" t="str">
        <f aca="false">IFERROR(INDEX('Output Utente'!$AE$2:$AE$492,MATCH(471,'Output Utente'!$Q$2:$Q$492,0)),"")</f>
        <v>🟡 Attesa rischiosa</v>
      </c>
    </row>
    <row r="475" customFormat="false" ht="15" hidden="false" customHeight="true" outlineLevel="0" collapsed="false">
      <c r="A475" s="46" t="n">
        <v>472</v>
      </c>
      <c r="B475" s="7" t="n">
        <f aca="false">IFERROR(INDEX('Output Utente'!$A$2:$A$492,MATCH(472,'Output Utente'!$Q$2:$Q$492,0)),"")</f>
        <v>6671</v>
      </c>
      <c r="C475" s="7" t="str">
        <f aca="false">IFERROR(INDEX('Output Utente'!$B$2:$B$492,MATCH(472,'Output Utente'!$Q$2:$Q$492,0)),"")</f>
        <v>P</v>
      </c>
      <c r="D475" s="7" t="str">
        <f aca="false">IFERROR(INDEX('Output Utente'!$C$2:$C$492,MATCH(472,'Output Utente'!$Q$2:$Q$492,0)),"")</f>
        <v>Grandi</v>
      </c>
      <c r="E475" s="7" t="str">
        <f aca="false">IFERROR(INDEX('Input Giocatori 2026_27'!$D$3:$D$493,MATCH($B475,'Input Giocatori 2026_27'!$A$3:$A$493,0)),"")</f>
        <v>Venezia</v>
      </c>
      <c r="F475" s="47" t="n">
        <f aca="false">IFERROR(INDEX('Output Utente'!$N$2:$N$492,MATCH(472,'Output Utente'!$Q$2:$Q$492,0)),"")</f>
        <v>1</v>
      </c>
      <c r="G475" s="47" t="n">
        <f aca="false">IFERROR(INDEX('Output Utente'!$O$2:$O$492,MATCH(472,'Output Utente'!$Q$2:$Q$492,0)),"")</f>
        <v>1</v>
      </c>
      <c r="H475" s="7" t="str">
        <f aca="false">IFERROR(INDEX('Output Utente'!$P$2:$P$492,MATCH(472,'Output Utente'!$Q$2:$Q$492,0)),"")</f>
        <v>Nella Media</v>
      </c>
      <c r="I475" s="47" t="n">
        <f aca="false">IFERROR(INDEX('Output Utente'!$F$2:$F$492,MATCH(472,'Output Utente'!$Q$2:$Q$492,0)),"")</f>
        <v>0</v>
      </c>
      <c r="J475" s="47" t="n">
        <f aca="false">IFERROR(INDEX('Output Utente'!$G$2:$G$492,MATCH(472,'Output Utente'!$Q$2:$Q$492,0)),"")</f>
        <v>1</v>
      </c>
      <c r="K475" s="47" t="n">
        <f aca="false">IFERROR(INDEX('Output Utente'!$H$2:$H$492,MATCH(472,'Output Utente'!$Q$2:$Q$492,0)),"")</f>
        <v>0</v>
      </c>
      <c r="L475" s="7" t="str">
        <f aca="false">IFERROR(INDEX('Output Utente'!$E$2:$E$492,MATCH(472,'Output Utente'!$Q$2:$Q$492,0)),"")</f>
        <v>NO</v>
      </c>
      <c r="M475" s="7" t="str">
        <f aca="false">IFERROR(INDEX('Output Utente'!$U$2:$U$492,MATCH(472,'Output Utente'!$Q$2:$Q$492,0)),"")</f>
        <v>OK</v>
      </c>
      <c r="N475" s="7" t="str">
        <f aca="false">IFERROR(INDEX('Output Utente'!$AE$2:$AE$492,MATCH(472,'Output Utente'!$Q$2:$Q$492,0)),"")</f>
        <v>🟡 Attesa rischiosa</v>
      </c>
    </row>
    <row r="476" customFormat="false" ht="15" hidden="false" customHeight="true" outlineLevel="0" collapsed="false">
      <c r="A476" s="46" t="n">
        <v>473</v>
      </c>
      <c r="B476" s="7" t="n">
        <f aca="false">IFERROR(INDEX('Output Utente'!$A$2:$A$492,MATCH(473,'Output Utente'!$Q$2:$Q$492,0)),"")</f>
        <v>7531</v>
      </c>
      <c r="C476" s="7" t="str">
        <f aca="false">IFERROR(INDEX('Output Utente'!$B$2:$B$492,MATCH(473,'Output Utente'!$Q$2:$Q$492,0)),"")</f>
        <v>P</v>
      </c>
      <c r="D476" s="7" t="str">
        <f aca="false">IFERROR(INDEX('Output Utente'!$C$2:$C$492,MATCH(473,'Output Utente'!$Q$2:$Q$492,0)),"")</f>
        <v>Pozzi</v>
      </c>
      <c r="E476" s="7" t="str">
        <f aca="false">IFERROR(INDEX('Input Giocatori 2026_27'!$D$3:$D$493,MATCH($B476,'Input Giocatori 2026_27'!$A$3:$A$493,0)),"")</f>
        <v>Venezia</v>
      </c>
      <c r="F476" s="47" t="n">
        <f aca="false">IFERROR(INDEX('Output Utente'!$N$2:$N$492,MATCH(473,'Output Utente'!$Q$2:$Q$492,0)),"")</f>
        <v>1</v>
      </c>
      <c r="G476" s="47" t="n">
        <f aca="false">IFERROR(INDEX('Output Utente'!$O$2:$O$492,MATCH(473,'Output Utente'!$Q$2:$Q$492,0)),"")</f>
        <v>1</v>
      </c>
      <c r="H476" s="7" t="str">
        <f aca="false">IFERROR(INDEX('Output Utente'!$P$2:$P$492,MATCH(473,'Output Utente'!$Q$2:$Q$492,0)),"")</f>
        <v>Nella Media</v>
      </c>
      <c r="I476" s="47" t="n">
        <f aca="false">IFERROR(INDEX('Output Utente'!$F$2:$F$492,MATCH(473,'Output Utente'!$Q$2:$Q$492,0)),"")</f>
        <v>0</v>
      </c>
      <c r="J476" s="47" t="n">
        <f aca="false">IFERROR(INDEX('Output Utente'!$G$2:$G$492,MATCH(473,'Output Utente'!$Q$2:$Q$492,0)),"")</f>
        <v>1</v>
      </c>
      <c r="K476" s="47" t="n">
        <f aca="false">IFERROR(INDEX('Output Utente'!$H$2:$H$492,MATCH(473,'Output Utente'!$Q$2:$Q$492,0)),"")</f>
        <v>0</v>
      </c>
      <c r="L476" s="7" t="str">
        <f aca="false">IFERROR(INDEX('Output Utente'!$E$2:$E$492,MATCH(473,'Output Utente'!$Q$2:$Q$492,0)),"")</f>
        <v>NO</v>
      </c>
      <c r="M476" s="7" t="str">
        <f aca="false">IFERROR(INDEX('Output Utente'!$U$2:$U$492,MATCH(473,'Output Utente'!$Q$2:$Q$492,0)),"")</f>
        <v>OK</v>
      </c>
      <c r="N476" s="7" t="str">
        <f aca="false">IFERROR(INDEX('Output Utente'!$AE$2:$AE$492,MATCH(473,'Output Utente'!$Q$2:$Q$492,0)),"")</f>
        <v>🟡 Attesa rischiosa</v>
      </c>
    </row>
    <row r="477" customFormat="false" ht="15" hidden="false" customHeight="true" outlineLevel="0" collapsed="false">
      <c r="A477" s="46" t="n">
        <v>474</v>
      </c>
      <c r="B477" s="7" t="n">
        <f aca="false">IFERROR(INDEX('Output Utente'!$A$2:$A$492,MATCH(474,'Output Utente'!$Q$2:$Q$492,0)),"")</f>
        <v>6672</v>
      </c>
      <c r="C477" s="7" t="str">
        <f aca="false">IFERROR(INDEX('Output Utente'!$B$2:$B$492,MATCH(474,'Output Utente'!$Q$2:$Q$492,0)),"")</f>
        <v>D</v>
      </c>
      <c r="D477" s="7" t="str">
        <f aca="false">IFERROR(INDEX('Output Utente'!$C$2:$C$492,MATCH(474,'Output Utente'!$Q$2:$Q$492,0)),"")</f>
        <v>Idzes</v>
      </c>
      <c r="E477" s="7" t="str">
        <f aca="false">IFERROR(INDEX('Input Giocatori 2026_27'!$D$3:$D$493,MATCH($B477,'Input Giocatori 2026_27'!$A$3:$A$493,0)),"")</f>
        <v>Sassuolo</v>
      </c>
      <c r="F477" s="47" t="n">
        <f aca="false">IFERROR(INDEX('Output Utente'!$N$2:$N$492,MATCH(474,'Output Utente'!$Q$2:$Q$492,0)),"")</f>
        <v>7</v>
      </c>
      <c r="G477" s="47" t="n">
        <f aca="false">IFERROR(INDEX('Output Utente'!$O$2:$O$492,MATCH(474,'Output Utente'!$Q$2:$Q$492,0)),"")</f>
        <v>1</v>
      </c>
      <c r="H477" s="7" t="str">
        <f aca="false">IFERROR(INDEX('Output Utente'!$P$2:$P$492,MATCH(474,'Output Utente'!$Q$2:$Q$492,0)),"")</f>
        <v>Scommessa/Riserva</v>
      </c>
      <c r="I477" s="47" t="n">
        <f aca="false">IFERROR(INDEX('Output Utente'!$F$2:$F$492,MATCH(474,'Output Utente'!$Q$2:$Q$492,0)),"")</f>
        <v>0</v>
      </c>
      <c r="J477" s="47" t="n">
        <f aca="false">IFERROR(INDEX('Output Utente'!$G$2:$G$492,MATCH(474,'Output Utente'!$Q$2:$Q$492,0)),"")</f>
        <v>1</v>
      </c>
      <c r="K477" s="47" t="n">
        <f aca="false">IFERROR(INDEX('Output Utente'!$H$2:$H$492,MATCH(474,'Output Utente'!$Q$2:$Q$492,0)),"")</f>
        <v>0</v>
      </c>
      <c r="L477" s="7" t="str">
        <f aca="false">IFERROR(INDEX('Output Utente'!$E$2:$E$492,MATCH(474,'Output Utente'!$Q$2:$Q$492,0)),"")</f>
        <v>NO</v>
      </c>
      <c r="M477" s="7" t="str">
        <f aca="false">IFERROR(INDEX('Output Utente'!$U$2:$U$492,MATCH(474,'Output Utente'!$Q$2:$Q$492,0)),"")</f>
        <v>OK</v>
      </c>
      <c r="N477" s="7" t="str">
        <f aca="false">IFERROR(INDEX('Output Utente'!$AE$2:$AE$492,MATCH(474,'Output Utente'!$Q$2:$Q$492,0)),"")</f>
        <v>🟡 Attesa rischiosa</v>
      </c>
    </row>
    <row r="478" customFormat="false" ht="15" hidden="false" customHeight="true" outlineLevel="0" collapsed="false">
      <c r="A478" s="46" t="n">
        <v>475</v>
      </c>
      <c r="B478" s="7" t="n">
        <f aca="false">IFERROR(INDEX('Output Utente'!$A$2:$A$492,MATCH(475,'Output Utente'!$Q$2:$Q$492,0)),"")</f>
        <v>7346</v>
      </c>
      <c r="C478" s="7" t="str">
        <f aca="false">IFERROR(INDEX('Output Utente'!$B$2:$B$492,MATCH(475,'Output Utente'!$Q$2:$Q$492,0)),"")</f>
        <v>D</v>
      </c>
      <c r="D478" s="7" t="str">
        <f aca="false">IFERROR(INDEX('Output Utente'!$C$2:$C$492,MATCH(475,'Output Utente'!$Q$2:$Q$492,0)),"")</f>
        <v>Raterink</v>
      </c>
      <c r="E478" s="7" t="str">
        <f aca="false">IFERROR(INDEX('Input Giocatori 2026_27'!$D$3:$D$493,MATCH($B478,'Input Giocatori 2026_27'!$A$3:$A$493,0)),"")</f>
        <v>Cagliari</v>
      </c>
      <c r="F478" s="47" t="n">
        <f aca="false">IFERROR(INDEX('Output Utente'!$N$2:$N$492,MATCH(475,'Output Utente'!$Q$2:$Q$492,0)),"")</f>
        <v>1</v>
      </c>
      <c r="G478" s="47" t="n">
        <f aca="false">IFERROR(INDEX('Output Utente'!$O$2:$O$492,MATCH(475,'Output Utente'!$Q$2:$Q$492,0)),"")</f>
        <v>1</v>
      </c>
      <c r="H478" s="7" t="str">
        <f aca="false">IFERROR(INDEX('Output Utente'!$P$2:$P$492,MATCH(475,'Output Utente'!$Q$2:$Q$492,0)),"")</f>
        <v>Scommessa/Riserva</v>
      </c>
      <c r="I478" s="47" t="n">
        <f aca="false">IFERROR(INDEX('Output Utente'!$F$2:$F$492,MATCH(475,'Output Utente'!$Q$2:$Q$492,0)),"")</f>
        <v>0</v>
      </c>
      <c r="J478" s="47" t="n">
        <f aca="false">IFERROR(INDEX('Output Utente'!$G$2:$G$492,MATCH(475,'Output Utente'!$Q$2:$Q$492,0)),"")</f>
        <v>1</v>
      </c>
      <c r="K478" s="47" t="n">
        <f aca="false">IFERROR(INDEX('Output Utente'!$H$2:$H$492,MATCH(475,'Output Utente'!$Q$2:$Q$492,0)),"")</f>
        <v>0</v>
      </c>
      <c r="L478" s="7" t="str">
        <f aca="false">IFERROR(INDEX('Output Utente'!$E$2:$E$492,MATCH(475,'Output Utente'!$Q$2:$Q$492,0)),"")</f>
        <v>NO</v>
      </c>
      <c r="M478" s="7" t="str">
        <f aca="false">IFERROR(INDEX('Output Utente'!$U$2:$U$492,MATCH(475,'Output Utente'!$Q$2:$Q$492,0)),"")</f>
        <v>OK</v>
      </c>
      <c r="N478" s="7" t="str">
        <f aca="false">IFERROR(INDEX('Output Utente'!$AE$2:$AE$492,MATCH(475,'Output Utente'!$Q$2:$Q$492,0)),"")</f>
        <v>🟡 Attesa rischiosa</v>
      </c>
    </row>
    <row r="479" customFormat="false" ht="15" hidden="false" customHeight="true" outlineLevel="0" collapsed="false">
      <c r="A479" s="46" t="n">
        <v>476</v>
      </c>
      <c r="B479" s="7" t="n">
        <f aca="false">IFERROR(INDEX('Output Utente'!$A$2:$A$492,MATCH(476,'Output Utente'!$Q$2:$Q$492,0)),"")</f>
        <v>418</v>
      </c>
      <c r="C479" s="7" t="str">
        <f aca="false">IFERROR(INDEX('Output Utente'!$B$2:$B$492,MATCH(476,'Output Utente'!$Q$2:$Q$492,0)),"")</f>
        <v>D</v>
      </c>
      <c r="D479" s="7" t="str">
        <f aca="false">IFERROR(INDEX('Output Utente'!$C$2:$C$492,MATCH(476,'Output Utente'!$Q$2:$Q$492,0)),"")</f>
        <v>Goldaniga</v>
      </c>
      <c r="E479" s="7" t="str">
        <f aca="false">IFERROR(INDEX('Input Giocatori 2026_27'!$D$3:$D$493,MATCH($B479,'Input Giocatori 2026_27'!$A$3:$A$493,0)),"")</f>
        <v>Como</v>
      </c>
      <c r="F479" s="47" t="n">
        <f aca="false">IFERROR(INDEX('Output Utente'!$N$2:$N$492,MATCH(476,'Output Utente'!$Q$2:$Q$492,0)),"")</f>
        <v>1</v>
      </c>
      <c r="G479" s="47" t="n">
        <f aca="false">IFERROR(INDEX('Output Utente'!$O$2:$O$492,MATCH(476,'Output Utente'!$Q$2:$Q$492,0)),"")</f>
        <v>1</v>
      </c>
      <c r="H479" s="7" t="str">
        <f aca="false">IFERROR(INDEX('Output Utente'!$P$2:$P$492,MATCH(476,'Output Utente'!$Q$2:$Q$492,0)),"")</f>
        <v>Scommessa/Riserva</v>
      </c>
      <c r="I479" s="47" t="n">
        <f aca="false">IFERROR(INDEX('Output Utente'!$F$2:$F$492,MATCH(476,'Output Utente'!$Q$2:$Q$492,0)),"")</f>
        <v>0</v>
      </c>
      <c r="J479" s="47" t="n">
        <f aca="false">IFERROR(INDEX('Output Utente'!$G$2:$G$492,MATCH(476,'Output Utente'!$Q$2:$Q$492,0)),"")</f>
        <v>1</v>
      </c>
      <c r="K479" s="47" t="n">
        <f aca="false">IFERROR(INDEX('Output Utente'!$H$2:$H$492,MATCH(476,'Output Utente'!$Q$2:$Q$492,0)),"")</f>
        <v>0</v>
      </c>
      <c r="L479" s="7" t="str">
        <f aca="false">IFERROR(INDEX('Output Utente'!$E$2:$E$492,MATCH(476,'Output Utente'!$Q$2:$Q$492,0)),"")</f>
        <v>NO</v>
      </c>
      <c r="M479" s="7" t="str">
        <f aca="false">IFERROR(INDEX('Output Utente'!$U$2:$U$492,MATCH(476,'Output Utente'!$Q$2:$Q$492,0)),"")</f>
        <v>OK</v>
      </c>
      <c r="N479" s="7" t="str">
        <f aca="false">IFERROR(INDEX('Output Utente'!$AE$2:$AE$492,MATCH(476,'Output Utente'!$Q$2:$Q$492,0)),"")</f>
        <v>🟡 Attesa rischiosa</v>
      </c>
    </row>
    <row r="480" customFormat="false" ht="15" hidden="false" customHeight="true" outlineLevel="0" collapsed="false">
      <c r="A480" s="46" t="n">
        <v>477</v>
      </c>
      <c r="B480" s="7" t="n">
        <f aca="false">IFERROR(INDEX('Output Utente'!$A$2:$A$492,MATCH(477,'Output Utente'!$Q$2:$Q$492,0)),"")</f>
        <v>5424</v>
      </c>
      <c r="C480" s="7" t="str">
        <f aca="false">IFERROR(INDEX('Output Utente'!$B$2:$B$492,MATCH(477,'Output Utente'!$Q$2:$Q$492,0)),"")</f>
        <v>D</v>
      </c>
      <c r="D480" s="7" t="str">
        <f aca="false">IFERROR(INDEX('Output Utente'!$C$2:$C$492,MATCH(477,'Output Utente'!$Q$2:$Q$492,0)),"")</f>
        <v>Amey</v>
      </c>
      <c r="E480" s="7" t="str">
        <f aca="false">IFERROR(INDEX('Input Giocatori 2026_27'!$D$3:$D$493,MATCH($B480,'Input Giocatori 2026_27'!$A$3:$A$493,0)),"")</f>
        <v>Frosinone</v>
      </c>
      <c r="F480" s="47" t="n">
        <f aca="false">IFERROR(INDEX('Output Utente'!$N$2:$N$492,MATCH(477,'Output Utente'!$Q$2:$Q$492,0)),"")</f>
        <v>1</v>
      </c>
      <c r="G480" s="47" t="n">
        <f aca="false">IFERROR(INDEX('Output Utente'!$O$2:$O$492,MATCH(477,'Output Utente'!$Q$2:$Q$492,0)),"")</f>
        <v>1</v>
      </c>
      <c r="H480" s="7" t="str">
        <f aca="false">IFERROR(INDEX('Output Utente'!$P$2:$P$492,MATCH(477,'Output Utente'!$Q$2:$Q$492,0)),"")</f>
        <v>Scommessa/Riserva</v>
      </c>
      <c r="I480" s="47" t="n">
        <f aca="false">IFERROR(INDEX('Output Utente'!$F$2:$F$492,MATCH(477,'Output Utente'!$Q$2:$Q$492,0)),"")</f>
        <v>0</v>
      </c>
      <c r="J480" s="47" t="n">
        <f aca="false">IFERROR(INDEX('Output Utente'!$G$2:$G$492,MATCH(477,'Output Utente'!$Q$2:$Q$492,0)),"")</f>
        <v>1</v>
      </c>
      <c r="K480" s="47" t="n">
        <f aca="false">IFERROR(INDEX('Output Utente'!$H$2:$H$492,MATCH(477,'Output Utente'!$Q$2:$Q$492,0)),"")</f>
        <v>0</v>
      </c>
      <c r="L480" s="7" t="str">
        <f aca="false">IFERROR(INDEX('Output Utente'!$E$2:$E$492,MATCH(477,'Output Utente'!$Q$2:$Q$492,0)),"")</f>
        <v>NO</v>
      </c>
      <c r="M480" s="7" t="str">
        <f aca="false">IFERROR(INDEX('Output Utente'!$U$2:$U$492,MATCH(477,'Output Utente'!$Q$2:$Q$492,0)),"")</f>
        <v>OK</v>
      </c>
      <c r="N480" s="7" t="str">
        <f aca="false">IFERROR(INDEX('Output Utente'!$AE$2:$AE$492,MATCH(477,'Output Utente'!$Q$2:$Q$492,0)),"")</f>
        <v>🟡 Attesa rischiosa</v>
      </c>
    </row>
    <row r="481" customFormat="false" ht="15" hidden="false" customHeight="true" outlineLevel="0" collapsed="false">
      <c r="A481" s="46" t="n">
        <v>478</v>
      </c>
      <c r="B481" s="7" t="n">
        <f aca="false">IFERROR(INDEX('Output Utente'!$A$2:$A$492,MATCH(478,'Output Utente'!$Q$2:$Q$492,0)),"")</f>
        <v>7468</v>
      </c>
      <c r="C481" s="7" t="str">
        <f aca="false">IFERROR(INDEX('Output Utente'!$B$2:$B$492,MATCH(478,'Output Utente'!$Q$2:$Q$492,0)),"")</f>
        <v>D</v>
      </c>
      <c r="D481" s="7" t="str">
        <f aca="false">IFERROR(INDEX('Output Utente'!$C$2:$C$492,MATCH(478,'Output Utente'!$Q$2:$Q$492,0)),"")</f>
        <v>Gelli J.</v>
      </c>
      <c r="E481" s="7" t="str">
        <f aca="false">IFERROR(INDEX('Input Giocatori 2026_27'!$D$3:$D$493,MATCH($B481,'Input Giocatori 2026_27'!$A$3:$A$493,0)),"")</f>
        <v>Frosinone</v>
      </c>
      <c r="F481" s="47" t="n">
        <f aca="false">IFERROR(INDEX('Output Utente'!$N$2:$N$492,MATCH(478,'Output Utente'!$Q$2:$Q$492,0)),"")</f>
        <v>1</v>
      </c>
      <c r="G481" s="47" t="n">
        <f aca="false">IFERROR(INDEX('Output Utente'!$O$2:$O$492,MATCH(478,'Output Utente'!$Q$2:$Q$492,0)),"")</f>
        <v>1</v>
      </c>
      <c r="H481" s="7" t="str">
        <f aca="false">IFERROR(INDEX('Output Utente'!$P$2:$P$492,MATCH(478,'Output Utente'!$Q$2:$Q$492,0)),"")</f>
        <v>Scommessa/Riserva</v>
      </c>
      <c r="I481" s="47" t="n">
        <f aca="false">IFERROR(INDEX('Output Utente'!$F$2:$F$492,MATCH(478,'Output Utente'!$Q$2:$Q$492,0)),"")</f>
        <v>0</v>
      </c>
      <c r="J481" s="47" t="n">
        <f aca="false">IFERROR(INDEX('Output Utente'!$G$2:$G$492,MATCH(478,'Output Utente'!$Q$2:$Q$492,0)),"")</f>
        <v>1</v>
      </c>
      <c r="K481" s="47" t="n">
        <f aca="false">IFERROR(INDEX('Output Utente'!$H$2:$H$492,MATCH(478,'Output Utente'!$Q$2:$Q$492,0)),"")</f>
        <v>0</v>
      </c>
      <c r="L481" s="7" t="str">
        <f aca="false">IFERROR(INDEX('Output Utente'!$E$2:$E$492,MATCH(478,'Output Utente'!$Q$2:$Q$492,0)),"")</f>
        <v>NO</v>
      </c>
      <c r="M481" s="7" t="str">
        <f aca="false">IFERROR(INDEX('Output Utente'!$U$2:$U$492,MATCH(478,'Output Utente'!$Q$2:$Q$492,0)),"")</f>
        <v>OK</v>
      </c>
      <c r="N481" s="7" t="str">
        <f aca="false">IFERROR(INDEX('Output Utente'!$AE$2:$AE$492,MATCH(478,'Output Utente'!$Q$2:$Q$492,0)),"")</f>
        <v>🟡 Attesa rischiosa</v>
      </c>
    </row>
    <row r="482" customFormat="false" ht="15" hidden="false" customHeight="true" outlineLevel="0" collapsed="false">
      <c r="A482" s="46" t="n">
        <v>479</v>
      </c>
      <c r="B482" s="7" t="n">
        <f aca="false">IFERROR(INDEX('Output Utente'!$A$2:$A$492,MATCH(479,'Output Utente'!$Q$2:$Q$492,0)),"")</f>
        <v>7164</v>
      </c>
      <c r="C482" s="7" t="str">
        <f aca="false">IFERROR(INDEX('Output Utente'!$B$2:$B$492,MATCH(479,'Output Utente'!$Q$2:$Q$492,0)),"")</f>
        <v>D</v>
      </c>
      <c r="D482" s="7" t="str">
        <f aca="false">IFERROR(INDEX('Output Utente'!$C$2:$C$492,MATCH(479,'Output Utente'!$Q$2:$Q$492,0)),"")</f>
        <v>Perez M.</v>
      </c>
      <c r="E482" s="7" t="str">
        <f aca="false">IFERROR(INDEX('Input Giocatori 2026_27'!$D$3:$D$493,MATCH($B482,'Input Giocatori 2026_27'!$A$3:$A$493,0)),"")</f>
        <v>Lecce</v>
      </c>
      <c r="F482" s="47" t="n">
        <f aca="false">IFERROR(INDEX('Output Utente'!$N$2:$N$492,MATCH(479,'Output Utente'!$Q$2:$Q$492,0)),"")</f>
        <v>1</v>
      </c>
      <c r="G482" s="47" t="n">
        <f aca="false">IFERROR(INDEX('Output Utente'!$O$2:$O$492,MATCH(479,'Output Utente'!$Q$2:$Q$492,0)),"")</f>
        <v>1</v>
      </c>
      <c r="H482" s="7" t="str">
        <f aca="false">IFERROR(INDEX('Output Utente'!$P$2:$P$492,MATCH(479,'Output Utente'!$Q$2:$Q$492,0)),"")</f>
        <v>Scommessa/Riserva</v>
      </c>
      <c r="I482" s="47" t="n">
        <f aca="false">IFERROR(INDEX('Output Utente'!$F$2:$F$492,MATCH(479,'Output Utente'!$Q$2:$Q$492,0)),"")</f>
        <v>0</v>
      </c>
      <c r="J482" s="47" t="n">
        <f aca="false">IFERROR(INDEX('Output Utente'!$G$2:$G$492,MATCH(479,'Output Utente'!$Q$2:$Q$492,0)),"")</f>
        <v>1</v>
      </c>
      <c r="K482" s="47" t="n">
        <f aca="false">IFERROR(INDEX('Output Utente'!$H$2:$H$492,MATCH(479,'Output Utente'!$Q$2:$Q$492,0)),"")</f>
        <v>0</v>
      </c>
      <c r="L482" s="7" t="str">
        <f aca="false">IFERROR(INDEX('Output Utente'!$E$2:$E$492,MATCH(479,'Output Utente'!$Q$2:$Q$492,0)),"")</f>
        <v>NO</v>
      </c>
      <c r="M482" s="7" t="str">
        <f aca="false">IFERROR(INDEX('Output Utente'!$U$2:$U$492,MATCH(479,'Output Utente'!$Q$2:$Q$492,0)),"")</f>
        <v>OK</v>
      </c>
      <c r="N482" s="7" t="str">
        <f aca="false">IFERROR(INDEX('Output Utente'!$AE$2:$AE$492,MATCH(479,'Output Utente'!$Q$2:$Q$492,0)),"")</f>
        <v>🟡 Attesa rischiosa</v>
      </c>
    </row>
    <row r="483" customFormat="false" ht="15" hidden="false" customHeight="true" outlineLevel="0" collapsed="false">
      <c r="A483" s="46" t="n">
        <v>480</v>
      </c>
      <c r="B483" s="7" t="n">
        <f aca="false">IFERROR(INDEX('Output Utente'!$A$2:$A$492,MATCH(480,'Output Utente'!$Q$2:$Q$492,0)),"")</f>
        <v>7156</v>
      </c>
      <c r="C483" s="7" t="str">
        <f aca="false">IFERROR(INDEX('Output Utente'!$B$2:$B$492,MATCH(480,'Output Utente'!$Q$2:$Q$492,0)),"")</f>
        <v>D</v>
      </c>
      <c r="D483" s="7" t="str">
        <f aca="false">IFERROR(INDEX('Output Utente'!$C$2:$C$492,MATCH(480,'Output Utente'!$Q$2:$Q$492,0)),"")</f>
        <v>Pieragnolo</v>
      </c>
      <c r="E483" s="7" t="str">
        <f aca="false">IFERROR(INDEX('Input Giocatori 2026_27'!$D$3:$D$493,MATCH($B483,'Input Giocatori 2026_27'!$A$3:$A$493,0)),"")</f>
        <v>Sassuolo</v>
      </c>
      <c r="F483" s="47" t="n">
        <f aca="false">IFERROR(INDEX('Output Utente'!$N$2:$N$492,MATCH(480,'Output Utente'!$Q$2:$Q$492,0)),"")</f>
        <v>1</v>
      </c>
      <c r="G483" s="47" t="n">
        <f aca="false">IFERROR(INDEX('Output Utente'!$O$2:$O$492,MATCH(480,'Output Utente'!$Q$2:$Q$492,0)),"")</f>
        <v>1</v>
      </c>
      <c r="H483" s="7" t="str">
        <f aca="false">IFERROR(INDEX('Output Utente'!$P$2:$P$492,MATCH(480,'Output Utente'!$Q$2:$Q$492,0)),"")</f>
        <v>Scommessa/Riserva</v>
      </c>
      <c r="I483" s="47" t="n">
        <f aca="false">IFERROR(INDEX('Output Utente'!$F$2:$F$492,MATCH(480,'Output Utente'!$Q$2:$Q$492,0)),"")</f>
        <v>0</v>
      </c>
      <c r="J483" s="47" t="n">
        <f aca="false">IFERROR(INDEX('Output Utente'!$G$2:$G$492,MATCH(480,'Output Utente'!$Q$2:$Q$492,0)),"")</f>
        <v>1</v>
      </c>
      <c r="K483" s="47" t="n">
        <f aca="false">IFERROR(INDEX('Output Utente'!$H$2:$H$492,MATCH(480,'Output Utente'!$Q$2:$Q$492,0)),"")</f>
        <v>0</v>
      </c>
      <c r="L483" s="7" t="str">
        <f aca="false">IFERROR(INDEX('Output Utente'!$E$2:$E$492,MATCH(480,'Output Utente'!$Q$2:$Q$492,0)),"")</f>
        <v>NO</v>
      </c>
      <c r="M483" s="7" t="str">
        <f aca="false">IFERROR(INDEX('Output Utente'!$U$2:$U$492,MATCH(480,'Output Utente'!$Q$2:$Q$492,0)),"")</f>
        <v>OK</v>
      </c>
      <c r="N483" s="7" t="str">
        <f aca="false">IFERROR(INDEX('Output Utente'!$AE$2:$AE$492,MATCH(480,'Output Utente'!$Q$2:$Q$492,0)),"")</f>
        <v>🟡 Attesa rischiosa</v>
      </c>
    </row>
    <row r="484" customFormat="false" ht="15" hidden="false" customHeight="true" outlineLevel="0" collapsed="false">
      <c r="A484" s="46" t="n">
        <v>481</v>
      </c>
      <c r="B484" s="7" t="n">
        <f aca="false">IFERROR(INDEX('Output Utente'!$A$2:$A$492,MATCH(481,'Output Utente'!$Q$2:$Q$492,0)),"")</f>
        <v>7454</v>
      </c>
      <c r="C484" s="7" t="str">
        <f aca="false">IFERROR(INDEX('Output Utente'!$B$2:$B$492,MATCH(481,'Output Utente'!$Q$2:$Q$492,0)),"")</f>
        <v>D</v>
      </c>
      <c r="D484" s="7" t="str">
        <f aca="false">IFERROR(INDEX('Output Utente'!$C$2:$C$492,MATCH(481,'Output Utente'!$Q$2:$Q$492,0)),"")</f>
        <v>Gomes</v>
      </c>
      <c r="E484" s="7" t="str">
        <f aca="false">IFERROR(INDEX('Input Giocatori 2026_27'!$D$3:$D$493,MATCH($B484,'Input Giocatori 2026_27'!$A$3:$A$493,0)),"")</f>
        <v>Venezia</v>
      </c>
      <c r="F484" s="47" t="n">
        <f aca="false">IFERROR(INDEX('Output Utente'!$N$2:$N$492,MATCH(481,'Output Utente'!$Q$2:$Q$492,0)),"")</f>
        <v>1</v>
      </c>
      <c r="G484" s="47" t="n">
        <f aca="false">IFERROR(INDEX('Output Utente'!$O$2:$O$492,MATCH(481,'Output Utente'!$Q$2:$Q$492,0)),"")</f>
        <v>1</v>
      </c>
      <c r="H484" s="7" t="str">
        <f aca="false">IFERROR(INDEX('Output Utente'!$P$2:$P$492,MATCH(481,'Output Utente'!$Q$2:$Q$492,0)),"")</f>
        <v>Scommessa/Riserva</v>
      </c>
      <c r="I484" s="47" t="n">
        <f aca="false">IFERROR(INDEX('Output Utente'!$F$2:$F$492,MATCH(481,'Output Utente'!$Q$2:$Q$492,0)),"")</f>
        <v>0</v>
      </c>
      <c r="J484" s="47" t="n">
        <f aca="false">IFERROR(INDEX('Output Utente'!$G$2:$G$492,MATCH(481,'Output Utente'!$Q$2:$Q$492,0)),"")</f>
        <v>1</v>
      </c>
      <c r="K484" s="47" t="n">
        <f aca="false">IFERROR(INDEX('Output Utente'!$H$2:$H$492,MATCH(481,'Output Utente'!$Q$2:$Q$492,0)),"")</f>
        <v>0</v>
      </c>
      <c r="L484" s="7" t="str">
        <f aca="false">IFERROR(INDEX('Output Utente'!$E$2:$E$492,MATCH(481,'Output Utente'!$Q$2:$Q$492,0)),"")</f>
        <v>NO</v>
      </c>
      <c r="M484" s="7" t="str">
        <f aca="false">IFERROR(INDEX('Output Utente'!$U$2:$U$492,MATCH(481,'Output Utente'!$Q$2:$Q$492,0)),"")</f>
        <v>OK</v>
      </c>
      <c r="N484" s="7" t="str">
        <f aca="false">IFERROR(INDEX('Output Utente'!$AE$2:$AE$492,MATCH(481,'Output Utente'!$Q$2:$Q$492,0)),"")</f>
        <v>🟡 Attesa rischiosa</v>
      </c>
    </row>
    <row r="485" customFormat="false" ht="15" hidden="false" customHeight="true" outlineLevel="0" collapsed="false">
      <c r="A485" s="46" t="n">
        <v>482</v>
      </c>
      <c r="B485" s="7" t="n">
        <f aca="false">IFERROR(INDEX('Output Utente'!$A$2:$A$492,MATCH(482,'Output Utente'!$Q$2:$Q$492,0)),"")</f>
        <v>7165</v>
      </c>
      <c r="C485" s="7" t="str">
        <f aca="false">IFERROR(INDEX('Output Utente'!$B$2:$B$492,MATCH(482,'Output Utente'!$Q$2:$Q$492,0)),"")</f>
        <v>C</v>
      </c>
      <c r="D485" s="7" t="str">
        <f aca="false">IFERROR(INDEX('Output Utente'!$C$2:$C$492,MATCH(482,'Output Utente'!$Q$2:$Q$492,0)),"")</f>
        <v>Liteta</v>
      </c>
      <c r="E485" s="7" t="str">
        <f aca="false">IFERROR(INDEX('Input Giocatori 2026_27'!$D$3:$D$493,MATCH($B485,'Input Giocatori 2026_27'!$A$3:$A$493,0)),"")</f>
        <v>Cagliari</v>
      </c>
      <c r="F485" s="47" t="n">
        <f aca="false">IFERROR(INDEX('Output Utente'!$N$2:$N$492,MATCH(482,'Output Utente'!$Q$2:$Q$492,0)),"")</f>
        <v>1</v>
      </c>
      <c r="G485" s="47" t="n">
        <f aca="false">IFERROR(INDEX('Output Utente'!$O$2:$O$492,MATCH(482,'Output Utente'!$Q$2:$Q$492,0)),"")</f>
        <v>1</v>
      </c>
      <c r="H485" s="7" t="str">
        <f aca="false">IFERROR(INDEX('Output Utente'!$P$2:$P$492,MATCH(482,'Output Utente'!$Q$2:$Q$492,0)),"")</f>
        <v>Scommessa/Riserva</v>
      </c>
      <c r="I485" s="47" t="n">
        <f aca="false">IFERROR(INDEX('Output Utente'!$F$2:$F$492,MATCH(482,'Output Utente'!$Q$2:$Q$492,0)),"")</f>
        <v>0</v>
      </c>
      <c r="J485" s="47" t="n">
        <f aca="false">IFERROR(INDEX('Output Utente'!$G$2:$G$492,MATCH(482,'Output Utente'!$Q$2:$Q$492,0)),"")</f>
        <v>1</v>
      </c>
      <c r="K485" s="47" t="n">
        <f aca="false">IFERROR(INDEX('Output Utente'!$H$2:$H$492,MATCH(482,'Output Utente'!$Q$2:$Q$492,0)),"")</f>
        <v>0</v>
      </c>
      <c r="L485" s="7" t="str">
        <f aca="false">IFERROR(INDEX('Output Utente'!$E$2:$E$492,MATCH(482,'Output Utente'!$Q$2:$Q$492,0)),"")</f>
        <v>NO</v>
      </c>
      <c r="M485" s="7" t="str">
        <f aca="false">IFERROR(INDEX('Output Utente'!$U$2:$U$492,MATCH(482,'Output Utente'!$Q$2:$Q$492,0)),"")</f>
        <v>OK</v>
      </c>
      <c r="N485" s="7" t="str">
        <f aca="false">IFERROR(INDEX('Output Utente'!$AE$2:$AE$492,MATCH(482,'Output Utente'!$Q$2:$Q$492,0)),"")</f>
        <v>🟡 Attesa rischiosa</v>
      </c>
    </row>
    <row r="486" customFormat="false" ht="15" hidden="false" customHeight="true" outlineLevel="0" collapsed="false">
      <c r="A486" s="46" t="n">
        <v>483</v>
      </c>
      <c r="B486" s="7" t="n">
        <f aca="false">IFERROR(INDEX('Output Utente'!$A$2:$A$492,MATCH(483,'Output Utente'!$Q$2:$Q$492,0)),"")</f>
        <v>7357</v>
      </c>
      <c r="C486" s="7" t="str">
        <f aca="false">IFERROR(INDEX('Output Utente'!$B$2:$B$492,MATCH(483,'Output Utente'!$Q$2:$Q$492,0)),"")</f>
        <v>C</v>
      </c>
      <c r="D486" s="7" t="str">
        <f aca="false">IFERROR(INDEX('Output Utente'!$C$2:$C$492,MATCH(483,'Output Utente'!$Q$2:$Q$492,0)),"")</f>
        <v>Lahdo</v>
      </c>
      <c r="E486" s="7" t="str">
        <f aca="false">IFERROR(INDEX('Input Giocatori 2026_27'!$D$3:$D$493,MATCH($B486,'Input Giocatori 2026_27'!$A$3:$A$493,0)),"")</f>
        <v>Como</v>
      </c>
      <c r="F486" s="47" t="n">
        <f aca="false">IFERROR(INDEX('Output Utente'!$N$2:$N$492,MATCH(483,'Output Utente'!$Q$2:$Q$492,0)),"")</f>
        <v>1</v>
      </c>
      <c r="G486" s="47" t="n">
        <f aca="false">IFERROR(INDEX('Output Utente'!$O$2:$O$492,MATCH(483,'Output Utente'!$Q$2:$Q$492,0)),"")</f>
        <v>1</v>
      </c>
      <c r="H486" s="7" t="str">
        <f aca="false">IFERROR(INDEX('Output Utente'!$P$2:$P$492,MATCH(483,'Output Utente'!$Q$2:$Q$492,0)),"")</f>
        <v>Scommessa/Riserva</v>
      </c>
      <c r="I486" s="47" t="n">
        <f aca="false">IFERROR(INDEX('Output Utente'!$F$2:$F$492,MATCH(483,'Output Utente'!$Q$2:$Q$492,0)),"")</f>
        <v>0</v>
      </c>
      <c r="J486" s="47" t="n">
        <f aca="false">IFERROR(INDEX('Output Utente'!$G$2:$G$492,MATCH(483,'Output Utente'!$Q$2:$Q$492,0)),"")</f>
        <v>1</v>
      </c>
      <c r="K486" s="47" t="n">
        <f aca="false">IFERROR(INDEX('Output Utente'!$H$2:$H$492,MATCH(483,'Output Utente'!$Q$2:$Q$492,0)),"")</f>
        <v>0</v>
      </c>
      <c r="L486" s="7" t="str">
        <f aca="false">IFERROR(INDEX('Output Utente'!$E$2:$E$492,MATCH(483,'Output Utente'!$Q$2:$Q$492,0)),"")</f>
        <v>NO</v>
      </c>
      <c r="M486" s="7" t="str">
        <f aca="false">IFERROR(INDEX('Output Utente'!$U$2:$U$492,MATCH(483,'Output Utente'!$Q$2:$Q$492,0)),"")</f>
        <v>OK</v>
      </c>
      <c r="N486" s="7" t="str">
        <f aca="false">IFERROR(INDEX('Output Utente'!$AE$2:$AE$492,MATCH(483,'Output Utente'!$Q$2:$Q$492,0)),"")</f>
        <v>🟡 Attesa rischiosa</v>
      </c>
    </row>
    <row r="487" customFormat="false" ht="15" hidden="false" customHeight="true" outlineLevel="0" collapsed="false">
      <c r="A487" s="46" t="n">
        <v>484</v>
      </c>
      <c r="B487" s="7" t="n">
        <f aca="false">IFERROR(INDEX('Output Utente'!$A$2:$A$492,MATCH(484,'Output Utente'!$Q$2:$Q$492,0)),"")</f>
        <v>7319</v>
      </c>
      <c r="C487" s="7" t="str">
        <f aca="false">IFERROR(INDEX('Output Utente'!$B$2:$B$492,MATCH(484,'Output Utente'!$Q$2:$Q$492,0)),"")</f>
        <v>C</v>
      </c>
      <c r="D487" s="7" t="str">
        <f aca="false">IFERROR(INDEX('Output Utente'!$C$2:$C$492,MATCH(484,'Output Utente'!$Q$2:$Q$492,0)),"")</f>
        <v>Fofana Sa.</v>
      </c>
      <c r="E487" s="7" t="str">
        <f aca="false">IFERROR(INDEX('Input Giocatori 2026_27'!$D$3:$D$493,MATCH($B487,'Input Giocatori 2026_27'!$A$3:$A$493,0)),"")</f>
        <v>Lecce</v>
      </c>
      <c r="F487" s="47" t="n">
        <f aca="false">IFERROR(INDEX('Output Utente'!$N$2:$N$492,MATCH(484,'Output Utente'!$Q$2:$Q$492,0)),"")</f>
        <v>1</v>
      </c>
      <c r="G487" s="47" t="n">
        <f aca="false">IFERROR(INDEX('Output Utente'!$O$2:$O$492,MATCH(484,'Output Utente'!$Q$2:$Q$492,0)),"")</f>
        <v>1</v>
      </c>
      <c r="H487" s="7" t="str">
        <f aca="false">IFERROR(INDEX('Output Utente'!$P$2:$P$492,MATCH(484,'Output Utente'!$Q$2:$Q$492,0)),"")</f>
        <v>Scommessa/Riserva</v>
      </c>
      <c r="I487" s="47" t="n">
        <f aca="false">IFERROR(INDEX('Output Utente'!$F$2:$F$492,MATCH(484,'Output Utente'!$Q$2:$Q$492,0)),"")</f>
        <v>0</v>
      </c>
      <c r="J487" s="47" t="n">
        <f aca="false">IFERROR(INDEX('Output Utente'!$G$2:$G$492,MATCH(484,'Output Utente'!$Q$2:$Q$492,0)),"")</f>
        <v>1</v>
      </c>
      <c r="K487" s="47" t="n">
        <f aca="false">IFERROR(INDEX('Output Utente'!$H$2:$H$492,MATCH(484,'Output Utente'!$Q$2:$Q$492,0)),"")</f>
        <v>0</v>
      </c>
      <c r="L487" s="7" t="str">
        <f aca="false">IFERROR(INDEX('Output Utente'!$E$2:$E$492,MATCH(484,'Output Utente'!$Q$2:$Q$492,0)),"")</f>
        <v>NO</v>
      </c>
      <c r="M487" s="7" t="str">
        <f aca="false">IFERROR(INDEX('Output Utente'!$U$2:$U$492,MATCH(484,'Output Utente'!$Q$2:$Q$492,0)),"")</f>
        <v>OK</v>
      </c>
      <c r="N487" s="7" t="str">
        <f aca="false">IFERROR(INDEX('Output Utente'!$AE$2:$AE$492,MATCH(484,'Output Utente'!$Q$2:$Q$492,0)),"")</f>
        <v>🟡 Attesa rischiosa</v>
      </c>
    </row>
    <row r="488" customFormat="false" ht="15" hidden="false" customHeight="true" outlineLevel="0" collapsed="false">
      <c r="A488" s="46" t="n">
        <v>485</v>
      </c>
      <c r="B488" s="7" t="n">
        <f aca="false">IFERROR(INDEX('Output Utente'!$A$2:$A$492,MATCH(485,'Output Utente'!$Q$2:$Q$492,0)),"")</f>
        <v>7157</v>
      </c>
      <c r="C488" s="7" t="str">
        <f aca="false">IFERROR(INDEX('Output Utente'!$B$2:$B$492,MATCH(485,'Output Utente'!$Q$2:$Q$492,0)),"")</f>
        <v>C</v>
      </c>
      <c r="D488" s="7" t="str">
        <f aca="false">IFERROR(INDEX('Output Utente'!$C$2:$C$492,MATCH(485,'Output Utente'!$Q$2:$Q$492,0)),"")</f>
        <v>Iannoni</v>
      </c>
      <c r="E488" s="7" t="str">
        <f aca="false">IFERROR(INDEX('Input Giocatori 2026_27'!$D$3:$D$493,MATCH($B488,'Input Giocatori 2026_27'!$A$3:$A$493,0)),"")</f>
        <v>Sassuolo</v>
      </c>
      <c r="F488" s="47" t="n">
        <f aca="false">IFERROR(INDEX('Output Utente'!$N$2:$N$492,MATCH(485,'Output Utente'!$Q$2:$Q$492,0)),"")</f>
        <v>1</v>
      </c>
      <c r="G488" s="47" t="n">
        <f aca="false">IFERROR(INDEX('Output Utente'!$O$2:$O$492,MATCH(485,'Output Utente'!$Q$2:$Q$492,0)),"")</f>
        <v>1</v>
      </c>
      <c r="H488" s="7" t="str">
        <f aca="false">IFERROR(INDEX('Output Utente'!$P$2:$P$492,MATCH(485,'Output Utente'!$Q$2:$Q$492,0)),"")</f>
        <v>Scommessa/Riserva</v>
      </c>
      <c r="I488" s="47" t="n">
        <f aca="false">IFERROR(INDEX('Output Utente'!$F$2:$F$492,MATCH(485,'Output Utente'!$Q$2:$Q$492,0)),"")</f>
        <v>0</v>
      </c>
      <c r="J488" s="47" t="n">
        <f aca="false">IFERROR(INDEX('Output Utente'!$G$2:$G$492,MATCH(485,'Output Utente'!$Q$2:$Q$492,0)),"")</f>
        <v>1</v>
      </c>
      <c r="K488" s="47" t="n">
        <f aca="false">IFERROR(INDEX('Output Utente'!$H$2:$H$492,MATCH(485,'Output Utente'!$Q$2:$Q$492,0)),"")</f>
        <v>0</v>
      </c>
      <c r="L488" s="7" t="str">
        <f aca="false">IFERROR(INDEX('Output Utente'!$E$2:$E$492,MATCH(485,'Output Utente'!$Q$2:$Q$492,0)),"")</f>
        <v>NO</v>
      </c>
      <c r="M488" s="7" t="str">
        <f aca="false">IFERROR(INDEX('Output Utente'!$U$2:$U$492,MATCH(485,'Output Utente'!$Q$2:$Q$492,0)),"")</f>
        <v>OK</v>
      </c>
      <c r="N488" s="7" t="str">
        <f aca="false">IFERROR(INDEX('Output Utente'!$AE$2:$AE$492,MATCH(485,'Output Utente'!$Q$2:$Q$492,0)),"")</f>
        <v>🟡 Attesa rischiosa</v>
      </c>
    </row>
    <row r="489" customFormat="false" ht="15" hidden="false" customHeight="true" outlineLevel="0" collapsed="false">
      <c r="A489" s="46" t="n">
        <v>486</v>
      </c>
      <c r="B489" s="7" t="n">
        <f aca="false">IFERROR(INDEX('Output Utente'!$A$2:$A$492,MATCH(486,'Output Utente'!$Q$2:$Q$492,0)),"")</f>
        <v>7481</v>
      </c>
      <c r="C489" s="7" t="str">
        <f aca="false">IFERROR(INDEX('Output Utente'!$B$2:$B$492,MATCH(486,'Output Utente'!$Q$2:$Q$492,0)),"")</f>
        <v>C</v>
      </c>
      <c r="D489" s="7" t="str">
        <f aca="false">IFERROR(INDEX('Output Utente'!$C$2:$C$492,MATCH(486,'Output Utente'!$Q$2:$Q$492,0)),"")</f>
        <v>Dagasso</v>
      </c>
      <c r="E489" s="7" t="str">
        <f aca="false">IFERROR(INDEX('Input Giocatori 2026_27'!$D$3:$D$493,MATCH($B489,'Input Giocatori 2026_27'!$A$3:$A$493,0)),"")</f>
        <v>Venezia</v>
      </c>
      <c r="F489" s="47" t="n">
        <f aca="false">IFERROR(INDEX('Output Utente'!$N$2:$N$492,MATCH(486,'Output Utente'!$Q$2:$Q$492,0)),"")</f>
        <v>1</v>
      </c>
      <c r="G489" s="47" t="n">
        <f aca="false">IFERROR(INDEX('Output Utente'!$O$2:$O$492,MATCH(486,'Output Utente'!$Q$2:$Q$492,0)),"")</f>
        <v>1</v>
      </c>
      <c r="H489" s="7" t="str">
        <f aca="false">IFERROR(INDEX('Output Utente'!$P$2:$P$492,MATCH(486,'Output Utente'!$Q$2:$Q$492,0)),"")</f>
        <v>Scommessa/Riserva</v>
      </c>
      <c r="I489" s="47" t="n">
        <f aca="false">IFERROR(INDEX('Output Utente'!$F$2:$F$492,MATCH(486,'Output Utente'!$Q$2:$Q$492,0)),"")</f>
        <v>0</v>
      </c>
      <c r="J489" s="47" t="n">
        <f aca="false">IFERROR(INDEX('Output Utente'!$G$2:$G$492,MATCH(486,'Output Utente'!$Q$2:$Q$492,0)),"")</f>
        <v>1</v>
      </c>
      <c r="K489" s="47" t="n">
        <f aca="false">IFERROR(INDEX('Output Utente'!$H$2:$H$492,MATCH(486,'Output Utente'!$Q$2:$Q$492,0)),"")</f>
        <v>0</v>
      </c>
      <c r="L489" s="7" t="str">
        <f aca="false">IFERROR(INDEX('Output Utente'!$E$2:$E$492,MATCH(486,'Output Utente'!$Q$2:$Q$492,0)),"")</f>
        <v>NO</v>
      </c>
      <c r="M489" s="7" t="str">
        <f aca="false">IFERROR(INDEX('Output Utente'!$U$2:$U$492,MATCH(486,'Output Utente'!$Q$2:$Q$492,0)),"")</f>
        <v>OK</v>
      </c>
      <c r="N489" s="7" t="str">
        <f aca="false">IFERROR(INDEX('Output Utente'!$AE$2:$AE$492,MATCH(486,'Output Utente'!$Q$2:$Q$492,0)),"")</f>
        <v>🟡 Attesa rischiosa</v>
      </c>
    </row>
    <row r="490" customFormat="false" ht="15" hidden="false" customHeight="true" outlineLevel="0" collapsed="false">
      <c r="A490" s="46" t="n">
        <v>487</v>
      </c>
      <c r="B490" s="7" t="n">
        <f aca="false">IFERROR(INDEX('Output Utente'!$A$2:$A$492,MATCH(487,'Output Utente'!$Q$2:$Q$492,0)),"")</f>
        <v>7338</v>
      </c>
      <c r="C490" s="7" t="str">
        <f aca="false">IFERROR(INDEX('Output Utente'!$B$2:$B$492,MATCH(487,'Output Utente'!$Q$2:$Q$492,0)),"")</f>
        <v>A</v>
      </c>
      <c r="D490" s="7" t="str">
        <f aca="false">IFERROR(INDEX('Output Utente'!$C$2:$C$492,MATCH(487,'Output Utente'!$Q$2:$Q$492,0)),"")</f>
        <v>Albarracin</v>
      </c>
      <c r="E490" s="7" t="str">
        <f aca="false">IFERROR(INDEX('Input Giocatori 2026_27'!$D$3:$D$493,MATCH($B490,'Input Giocatori 2026_27'!$A$3:$A$493,0)),"")</f>
        <v>Cagliari</v>
      </c>
      <c r="F490" s="47" t="n">
        <f aca="false">IFERROR(INDEX('Output Utente'!$N$2:$N$492,MATCH(487,'Output Utente'!$Q$2:$Q$492,0)),"")</f>
        <v>1</v>
      </c>
      <c r="G490" s="47" t="n">
        <f aca="false">IFERROR(INDEX('Output Utente'!$O$2:$O$492,MATCH(487,'Output Utente'!$Q$2:$Q$492,0)),"")</f>
        <v>1</v>
      </c>
      <c r="H490" s="7" t="str">
        <f aca="false">IFERROR(INDEX('Output Utente'!$P$2:$P$492,MATCH(487,'Output Utente'!$Q$2:$Q$492,0)),"")</f>
        <v>Scommessa/Riserva</v>
      </c>
      <c r="I490" s="47" t="n">
        <f aca="false">IFERROR(INDEX('Output Utente'!$F$2:$F$492,MATCH(487,'Output Utente'!$Q$2:$Q$492,0)),"")</f>
        <v>0</v>
      </c>
      <c r="J490" s="47" t="n">
        <f aca="false">IFERROR(INDEX('Output Utente'!$G$2:$G$492,MATCH(487,'Output Utente'!$Q$2:$Q$492,0)),"")</f>
        <v>1</v>
      </c>
      <c r="K490" s="47" t="n">
        <f aca="false">IFERROR(INDEX('Output Utente'!$H$2:$H$492,MATCH(487,'Output Utente'!$Q$2:$Q$492,0)),"")</f>
        <v>0</v>
      </c>
      <c r="L490" s="7" t="str">
        <f aca="false">IFERROR(INDEX('Output Utente'!$E$2:$E$492,MATCH(487,'Output Utente'!$Q$2:$Q$492,0)),"")</f>
        <v>NO</v>
      </c>
      <c r="M490" s="7" t="str">
        <f aca="false">IFERROR(INDEX('Output Utente'!$U$2:$U$492,MATCH(487,'Output Utente'!$Q$2:$Q$492,0)),"")</f>
        <v>OK</v>
      </c>
      <c r="N490" s="7" t="str">
        <f aca="false">IFERROR(INDEX('Output Utente'!$AE$2:$AE$492,MATCH(487,'Output Utente'!$Q$2:$Q$492,0)),"")</f>
        <v>🔴 Non aspettare</v>
      </c>
    </row>
    <row r="491" customFormat="false" ht="15" hidden="false" customHeight="true" outlineLevel="0" collapsed="false">
      <c r="A491" s="46" t="n">
        <v>488</v>
      </c>
      <c r="B491" s="7" t="n">
        <f aca="false">IFERROR(INDEX('Output Utente'!$A$2:$A$492,MATCH(488,'Output Utente'!$Q$2:$Q$492,0)),"")</f>
        <v>7027</v>
      </c>
      <c r="C491" s="7" t="str">
        <f aca="false">IFERROR(INDEX('Output Utente'!$B$2:$B$492,MATCH(488,'Output Utente'!$Q$2:$Q$492,0)),"")</f>
        <v>A</v>
      </c>
      <c r="D491" s="7" t="str">
        <f aca="false">IFERROR(INDEX('Output Utente'!$C$2:$C$492,MATCH(488,'Output Utente'!$Q$2:$Q$492,0)),"")</f>
        <v>Azon</v>
      </c>
      <c r="E491" s="7" t="str">
        <f aca="false">IFERROR(INDEX('Input Giocatori 2026_27'!$D$3:$D$493,MATCH($B491,'Input Giocatori 2026_27'!$A$3:$A$493,0)),"")</f>
        <v>Como</v>
      </c>
      <c r="F491" s="47" t="n">
        <f aca="false">IFERROR(INDEX('Output Utente'!$N$2:$N$492,MATCH(488,'Output Utente'!$Q$2:$Q$492,0)),"")</f>
        <v>1</v>
      </c>
      <c r="G491" s="47" t="n">
        <f aca="false">IFERROR(INDEX('Output Utente'!$O$2:$O$492,MATCH(488,'Output Utente'!$Q$2:$Q$492,0)),"")</f>
        <v>1</v>
      </c>
      <c r="H491" s="7" t="str">
        <f aca="false">IFERROR(INDEX('Output Utente'!$P$2:$P$492,MATCH(488,'Output Utente'!$Q$2:$Q$492,0)),"")</f>
        <v>Scommessa/Riserva</v>
      </c>
      <c r="I491" s="47" t="n">
        <f aca="false">IFERROR(INDEX('Output Utente'!$F$2:$F$492,MATCH(488,'Output Utente'!$Q$2:$Q$492,0)),"")</f>
        <v>0</v>
      </c>
      <c r="J491" s="47" t="n">
        <f aca="false">IFERROR(INDEX('Output Utente'!$G$2:$G$492,MATCH(488,'Output Utente'!$Q$2:$Q$492,0)),"")</f>
        <v>1</v>
      </c>
      <c r="K491" s="47" t="n">
        <f aca="false">IFERROR(INDEX('Output Utente'!$H$2:$H$492,MATCH(488,'Output Utente'!$Q$2:$Q$492,0)),"")</f>
        <v>0</v>
      </c>
      <c r="L491" s="7" t="str">
        <f aca="false">IFERROR(INDEX('Output Utente'!$E$2:$E$492,MATCH(488,'Output Utente'!$Q$2:$Q$492,0)),"")</f>
        <v>NO</v>
      </c>
      <c r="M491" s="7" t="str">
        <f aca="false">IFERROR(INDEX('Output Utente'!$U$2:$U$492,MATCH(488,'Output Utente'!$Q$2:$Q$492,0)),"")</f>
        <v>OK</v>
      </c>
      <c r="N491" s="7" t="str">
        <f aca="false">IFERROR(INDEX('Output Utente'!$AE$2:$AE$492,MATCH(488,'Output Utente'!$Q$2:$Q$492,0)),"")</f>
        <v>🔴 Non aspettare</v>
      </c>
    </row>
    <row r="492" customFormat="false" ht="15" hidden="false" customHeight="true" outlineLevel="0" collapsed="false">
      <c r="A492" s="46" t="n">
        <v>489</v>
      </c>
      <c r="B492" s="7" t="n">
        <f aca="false">IFERROR(INDEX('Output Utente'!$A$2:$A$492,MATCH(489,'Output Utente'!$Q$2:$Q$492,0)),"")</f>
        <v>7158</v>
      </c>
      <c r="C492" s="7" t="str">
        <f aca="false">IFERROR(INDEX('Output Utente'!$B$2:$B$492,MATCH(489,'Output Utente'!$Q$2:$Q$492,0)),"")</f>
        <v>A</v>
      </c>
      <c r="D492" s="7" t="str">
        <f aca="false">IFERROR(INDEX('Output Utente'!$C$2:$C$492,MATCH(489,'Output Utente'!$Q$2:$Q$492,0)),"")</f>
        <v>Moro L.</v>
      </c>
      <c r="E492" s="7" t="str">
        <f aca="false">IFERROR(INDEX('Input Giocatori 2026_27'!$D$3:$D$493,MATCH($B492,'Input Giocatori 2026_27'!$A$3:$A$493,0)),"")</f>
        <v>Sassuolo</v>
      </c>
      <c r="F492" s="47" t="n">
        <f aca="false">IFERROR(INDEX('Output Utente'!$N$2:$N$492,MATCH(489,'Output Utente'!$Q$2:$Q$492,0)),"")</f>
        <v>1</v>
      </c>
      <c r="G492" s="47" t="n">
        <f aca="false">IFERROR(INDEX('Output Utente'!$O$2:$O$492,MATCH(489,'Output Utente'!$Q$2:$Q$492,0)),"")</f>
        <v>1</v>
      </c>
      <c r="H492" s="7" t="str">
        <f aca="false">IFERROR(INDEX('Output Utente'!$P$2:$P$492,MATCH(489,'Output Utente'!$Q$2:$Q$492,0)),"")</f>
        <v>Scommessa/Riserva</v>
      </c>
      <c r="I492" s="47" t="n">
        <f aca="false">IFERROR(INDEX('Output Utente'!$F$2:$F$492,MATCH(489,'Output Utente'!$Q$2:$Q$492,0)),"")</f>
        <v>0</v>
      </c>
      <c r="J492" s="47" t="n">
        <f aca="false">IFERROR(INDEX('Output Utente'!$G$2:$G$492,MATCH(489,'Output Utente'!$Q$2:$Q$492,0)),"")</f>
        <v>1</v>
      </c>
      <c r="K492" s="47" t="n">
        <f aca="false">IFERROR(INDEX('Output Utente'!$H$2:$H$492,MATCH(489,'Output Utente'!$Q$2:$Q$492,0)),"")</f>
        <v>0</v>
      </c>
      <c r="L492" s="7" t="str">
        <f aca="false">IFERROR(INDEX('Output Utente'!$E$2:$E$492,MATCH(489,'Output Utente'!$Q$2:$Q$492,0)),"")</f>
        <v>NO</v>
      </c>
      <c r="M492" s="7" t="str">
        <f aca="false">IFERROR(INDEX('Output Utente'!$U$2:$U$492,MATCH(489,'Output Utente'!$Q$2:$Q$492,0)),"")</f>
        <v>OK</v>
      </c>
      <c r="N492" s="7" t="str">
        <f aca="false">IFERROR(INDEX('Output Utente'!$AE$2:$AE$492,MATCH(489,'Output Utente'!$Q$2:$Q$492,0)),"")</f>
        <v>🔴 Non aspettare</v>
      </c>
    </row>
    <row r="493" customFormat="false" ht="15" hidden="false" customHeight="true" outlineLevel="0" collapsed="false">
      <c r="A493" s="46" t="n">
        <v>490</v>
      </c>
      <c r="B493" s="7" t="n">
        <f aca="false">IFERROR(INDEX('Output Utente'!$A$2:$A$492,MATCH(490,'Output Utente'!$Q$2:$Q$492,0)),"")</f>
        <v>7408</v>
      </c>
      <c r="C493" s="7" t="str">
        <f aca="false">IFERROR(INDEX('Output Utente'!$B$2:$B$492,MATCH(490,'Output Utente'!$Q$2:$Q$492,0)),"")</f>
        <v>A</v>
      </c>
      <c r="D493" s="7" t="str">
        <f aca="false">IFERROR(INDEX('Output Utente'!$C$2:$C$492,MATCH(490,'Output Utente'!$Q$2:$Q$492,0)),"")</f>
        <v>Lisman</v>
      </c>
      <c r="E493" s="7" t="str">
        <f aca="false">IFERROR(INDEX('Input Giocatori 2026_27'!$D$3:$D$493,MATCH($B493,'Input Giocatori 2026_27'!$A$3:$A$493,0)),"")</f>
        <v>Venezia</v>
      </c>
      <c r="F493" s="47" t="n">
        <f aca="false">IFERROR(INDEX('Output Utente'!$N$2:$N$492,MATCH(490,'Output Utente'!$Q$2:$Q$492,0)),"")</f>
        <v>1</v>
      </c>
      <c r="G493" s="47" t="n">
        <f aca="false">IFERROR(INDEX('Output Utente'!$O$2:$O$492,MATCH(490,'Output Utente'!$Q$2:$Q$492,0)),"")</f>
        <v>1</v>
      </c>
      <c r="H493" s="7" t="str">
        <f aca="false">IFERROR(INDEX('Output Utente'!$P$2:$P$492,MATCH(490,'Output Utente'!$Q$2:$Q$492,0)),"")</f>
        <v>Scommessa/Riserva</v>
      </c>
      <c r="I493" s="47" t="n">
        <f aca="false">IFERROR(INDEX('Output Utente'!$F$2:$F$492,MATCH(490,'Output Utente'!$Q$2:$Q$492,0)),"")</f>
        <v>0</v>
      </c>
      <c r="J493" s="47" t="n">
        <f aca="false">IFERROR(INDEX('Output Utente'!$G$2:$G$492,MATCH(490,'Output Utente'!$Q$2:$Q$492,0)),"")</f>
        <v>1</v>
      </c>
      <c r="K493" s="47" t="n">
        <f aca="false">IFERROR(INDEX('Output Utente'!$H$2:$H$492,MATCH(490,'Output Utente'!$Q$2:$Q$492,0)),"")</f>
        <v>0</v>
      </c>
      <c r="L493" s="7" t="str">
        <f aca="false">IFERROR(INDEX('Output Utente'!$E$2:$E$492,MATCH(490,'Output Utente'!$Q$2:$Q$492,0)),"")</f>
        <v>NO</v>
      </c>
      <c r="M493" s="7" t="str">
        <f aca="false">IFERROR(INDEX('Output Utente'!$U$2:$U$492,MATCH(490,'Output Utente'!$Q$2:$Q$492,0)),"")</f>
        <v>OK</v>
      </c>
      <c r="N493" s="7" t="str">
        <f aca="false">IFERROR(INDEX('Output Utente'!$AE$2:$AE$492,MATCH(490,'Output Utente'!$Q$2:$Q$492,0)),"")</f>
        <v>🔴 Non aspettare</v>
      </c>
    </row>
    <row r="494" customFormat="false" ht="15" hidden="false" customHeight="true" outlineLevel="0" collapsed="false">
      <c r="A494" s="46" t="n">
        <v>491</v>
      </c>
      <c r="B494" s="7" t="n">
        <f aca="false">IFERROR(INDEX('Output Utente'!$A$2:$A$492,MATCH(491,'Output Utente'!$Q$2:$Q$492,0)),"")</f>
        <v>7482</v>
      </c>
      <c r="C494" s="7" t="str">
        <f aca="false">IFERROR(INDEX('Output Utente'!$B$2:$B$492,MATCH(491,'Output Utente'!$Q$2:$Q$492,0)),"")</f>
        <v>A</v>
      </c>
      <c r="D494" s="7" t="str">
        <f aca="false">IFERROR(INDEX('Output Utente'!$C$2:$C$492,MATCH(491,'Output Utente'!$Q$2:$Q$492,0)),"")</f>
        <v>Lauberbach</v>
      </c>
      <c r="E494" s="7" t="str">
        <f aca="false">IFERROR(INDEX('Input Giocatori 2026_27'!$D$3:$D$493,MATCH($B494,'Input Giocatori 2026_27'!$A$3:$A$493,0)),"")</f>
        <v>Venezia</v>
      </c>
      <c r="F494" s="47" t="n">
        <f aca="false">IFERROR(INDEX('Output Utente'!$N$2:$N$492,MATCH(491,'Output Utente'!$Q$2:$Q$492,0)),"")</f>
        <v>1</v>
      </c>
      <c r="G494" s="47" t="n">
        <f aca="false">IFERROR(INDEX('Output Utente'!$O$2:$O$492,MATCH(491,'Output Utente'!$Q$2:$Q$492,0)),"")</f>
        <v>1</v>
      </c>
      <c r="H494" s="7" t="str">
        <f aca="false">IFERROR(INDEX('Output Utente'!$P$2:$P$492,MATCH(491,'Output Utente'!$Q$2:$Q$492,0)),"")</f>
        <v>Scommessa/Riserva</v>
      </c>
      <c r="I494" s="47" t="n">
        <f aca="false">IFERROR(INDEX('Output Utente'!$F$2:$F$492,MATCH(491,'Output Utente'!$Q$2:$Q$492,0)),"")</f>
        <v>0</v>
      </c>
      <c r="J494" s="47" t="n">
        <f aca="false">IFERROR(INDEX('Output Utente'!$G$2:$G$492,MATCH(491,'Output Utente'!$Q$2:$Q$492,0)),"")</f>
        <v>1</v>
      </c>
      <c r="K494" s="47" t="n">
        <f aca="false">IFERROR(INDEX('Output Utente'!$H$2:$H$492,MATCH(491,'Output Utente'!$Q$2:$Q$492,0)),"")</f>
        <v>0</v>
      </c>
      <c r="L494" s="7" t="str">
        <f aca="false">IFERROR(INDEX('Output Utente'!$E$2:$E$492,MATCH(491,'Output Utente'!$Q$2:$Q$492,0)),"")</f>
        <v>NO</v>
      </c>
      <c r="M494" s="7" t="str">
        <f aca="false">IFERROR(INDEX('Output Utente'!$U$2:$U$492,MATCH(491,'Output Utente'!$Q$2:$Q$492,0)),"")</f>
        <v>OK</v>
      </c>
      <c r="N494" s="7" t="str">
        <f aca="false">IFERROR(INDEX('Output Utente'!$AE$2:$AE$492,MATCH(491,'Output Utente'!$Q$2:$Q$492,0)),"")</f>
        <v>🔴 Non aspettare</v>
      </c>
    </row>
  </sheetData>
  <autoFilter ref="A3:N494"/>
  <mergeCells count="1">
    <mergeCell ref="A1:K1"/>
  </mergeCells>
  <conditionalFormatting sqref="M4:M494">
    <cfRule type="cellIs" priority="2" operator="equal" aboveAverage="0" equalAverage="0" bottom="0" percent="0" rank="0" text="" dxfId="9">
      <formula>"Rischio Alto"</formula>
    </cfRule>
    <cfRule type="cellIs" priority="3" operator="equal" aboveAverage="0" equalAverage="0" bottom="0" percent="0" rank="0" text="" dxfId="10">
      <formula>"Attenzione"</formula>
    </cfRule>
    <cfRule type="cellIs" priority="4" operator="equal" aboveAverage="0" equalAverage="0" bottom="0" percent="0" rank="0" text="" dxfId="11">
      <formula>"OK"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328125" defaultRowHeight="14.25" zeroHeight="false" outlineLevelRow="0" outlineLevelCol="0"/>
  <cols>
    <col collapsed="false" customWidth="true" hidden="false" outlineLevel="0" max="1" min="1" style="1" width="4"/>
    <col collapsed="false" customWidth="true" hidden="false" outlineLevel="0" max="2" min="2" style="1" width="7"/>
    <col collapsed="false" customWidth="true" hidden="false" outlineLevel="0" max="3" min="3" style="1" width="4"/>
    <col collapsed="false" customWidth="true" hidden="false" outlineLevel="0" max="4" min="4" style="1" width="20"/>
    <col collapsed="false" customWidth="true" hidden="false" outlineLevel="0" max="5" min="5" style="1" width="16"/>
    <col collapsed="false" customWidth="true" hidden="false" outlineLevel="0" max="6" min="6" style="1" width="7"/>
    <col collapsed="false" customWidth="true" hidden="false" outlineLevel="0" max="7" min="7" style="1" width="9"/>
    <col collapsed="false" customWidth="true" hidden="false" outlineLevel="0" max="8" min="8" style="1" width="16"/>
    <col collapsed="false" customWidth="true" hidden="false" outlineLevel="0" max="9" min="9" style="1" width="11"/>
    <col collapsed="false" customWidth="true" hidden="false" outlineLevel="0" max="11" min="10" style="1" width="13"/>
    <col collapsed="false" customWidth="true" hidden="false" outlineLevel="0" max="12" min="12" style="1" width="10"/>
    <col collapsed="false" customWidth="true" hidden="false" outlineLevel="0" max="14" min="14" style="1" width="24"/>
    <col collapsed="false" customWidth="true" hidden="false" outlineLevel="0" max="15" min="15" style="1" width="12"/>
  </cols>
  <sheetData>
    <row r="1" customFormat="false" ht="21.75" hidden="false" customHeight="true" outlineLevel="0" collapsed="false">
      <c r="A1" s="48" t="s">
        <v>716</v>
      </c>
      <c r="B1" s="48"/>
      <c r="C1" s="48"/>
      <c r="D1" s="48"/>
      <c r="E1" s="48"/>
      <c r="F1" s="48"/>
      <c r="G1" s="48"/>
      <c r="H1" s="48"/>
      <c r="I1" s="48"/>
      <c r="J1" s="48"/>
      <c r="K1" s="48"/>
      <c r="N1" s="49" t="s">
        <v>717</v>
      </c>
      <c r="O1" s="49"/>
      <c r="P1" s="49"/>
      <c r="R1" s="34" t="s">
        <v>718</v>
      </c>
    </row>
    <row r="2" customFormat="false" ht="14.25" hidden="false" customHeight="true" outlineLevel="0" collapsed="false">
      <c r="R2" s="21" t="s">
        <v>719</v>
      </c>
      <c r="S2" s="21" t="n">
        <f aca="false">MAX(0,'Info Lega'!$B$4-SUMIFS('Output Utente'!$M$2:$M$492,'Output Utente'!$D$2:$D$492,'Info Lega'!$B$28))</f>
        <v>1000</v>
      </c>
    </row>
    <row r="3" customFormat="false" ht="15" hidden="false" customHeight="true" outlineLevel="0" collapsed="false">
      <c r="A3" s="25" t="s">
        <v>713</v>
      </c>
      <c r="B3" s="25" t="s">
        <v>105</v>
      </c>
      <c r="C3" s="25" t="s">
        <v>106</v>
      </c>
      <c r="D3" s="25" t="s">
        <v>107</v>
      </c>
      <c r="E3" s="25" t="s">
        <v>714</v>
      </c>
      <c r="F3" s="25" t="s">
        <v>109</v>
      </c>
      <c r="G3" s="25" t="s">
        <v>111</v>
      </c>
      <c r="H3" s="25" t="s">
        <v>20</v>
      </c>
      <c r="I3" s="25" t="s">
        <v>625</v>
      </c>
      <c r="J3" s="25" t="s">
        <v>626</v>
      </c>
      <c r="K3" s="25" t="s">
        <v>627</v>
      </c>
      <c r="L3" s="25" t="s">
        <v>624</v>
      </c>
      <c r="N3" s="26" t="s">
        <v>108</v>
      </c>
      <c r="O3" s="38" t="str">
        <f aca="false">'Info Lega'!$B$28</f>
        <v>xxx1</v>
      </c>
      <c r="R3" s="21" t="s">
        <v>720</v>
      </c>
      <c r="S3" s="21" t="n">
        <f aca="false">('Info Lega'!$B$5-COUNTIFS('Output Utente'!$D$2:$D$492,'Info Lega'!$B$28,'Output Utente'!$B$2:$B$492,"P"))+('Info Lega'!$B$6-COUNTIFS('Output Utente'!$D$2:$D$492,'Info Lega'!$B$28,'Output Utente'!$B$2:$B$492,"D"))+('Info Lega'!$B$7-COUNTIFS('Output Utente'!$D$2:$D$492,'Info Lega'!$B$28,'Output Utente'!$B$2:$B$492,"C"))+('Info Lega'!$B$8-COUNTIFS('Output Utente'!$D$2:$D$492,'Info Lega'!$B$28,'Output Utente'!$B$2:$B$492,"A"))</f>
        <v>25</v>
      </c>
    </row>
    <row r="4" customFormat="false" ht="15" hidden="false" customHeight="true" outlineLevel="0" collapsed="false">
      <c r="A4" s="29" t="n">
        <v>1</v>
      </c>
      <c r="B4" s="26" t="str">
        <f aca="false">IFERROR(INDEX('Output Utente'!$A$2:$A$492,MATCH(1,'Output Utente'!$R$2:$R$492,0)),"")</f>
        <v/>
      </c>
      <c r="C4" s="26" t="str">
        <f aca="false">IFERROR(INDEX('Output Utente'!$B$2:$B$492,MATCH(1,'Output Utente'!$R$2:$R$492,0)),"")</f>
        <v/>
      </c>
      <c r="D4" s="26" t="str">
        <f aca="false">IFERROR(INDEX('Output Utente'!$C$2:$C$492,MATCH(1,'Output Utente'!$R$2:$R$492,0)),"")</f>
        <v/>
      </c>
      <c r="E4" s="26" t="str">
        <f aca="false">IFERROR(INDEX('Input Giocatori 2026_27'!$D$3:$D$493,MATCH($B4,'Input Giocatori 2026_27'!$A$3:$A$493,0)),"")</f>
        <v/>
      </c>
      <c r="F4" s="27" t="str">
        <f aca="false">IFERROR(INDEX('Output Utente'!$N$2:$N$492,MATCH(1,'Output Utente'!$R$2:$R$492,0)),"")</f>
        <v/>
      </c>
      <c r="G4" s="26" t="str">
        <f aca="false">IFERROR(INDEX('Output Utente'!$O$2:$O$492,MATCH(1,'Output Utente'!$R$2:$R$492,0)),"")</f>
        <v/>
      </c>
      <c r="H4" s="26" t="str">
        <f aca="false">IFERROR(INDEX('Output Utente'!$P$2:$P$492,MATCH(1,'Output Utente'!$R$2:$R$492,0)),"")</f>
        <v/>
      </c>
      <c r="I4" s="27" t="str">
        <f aca="false">IFERROR(INDEX('Output Utente'!$F$2:$F$492,MATCH(1,'Output Utente'!$R$2:$R$492,0)),"")</f>
        <v/>
      </c>
      <c r="J4" s="27" t="str">
        <f aca="false">IFERROR(INDEX('Output Utente'!$G$2:$G$492,MATCH(1,'Output Utente'!$R$2:$R$492,0)),"")</f>
        <v/>
      </c>
      <c r="K4" s="27" t="str">
        <f aca="false">IFERROR(INDEX('Output Utente'!$H$2:$H$492,MATCH(1,'Output Utente'!$R$2:$R$492,0)),"")</f>
        <v/>
      </c>
      <c r="L4" s="26" t="str">
        <f aca="false">IFERROR(INDEX('Output Utente'!$E$2:$E$492,MATCH(1,'Output Utente'!$R$2:$R$492,0)),"")</f>
        <v/>
      </c>
      <c r="N4" s="26" t="s">
        <v>721</v>
      </c>
      <c r="O4" s="50" t="n">
        <f aca="false">'Info Lega'!$B$4</f>
        <v>1000</v>
      </c>
    </row>
    <row r="5" customFormat="false" ht="15" hidden="false" customHeight="true" outlineLevel="0" collapsed="false">
      <c r="A5" s="29" t="n">
        <v>2</v>
      </c>
      <c r="B5" s="26" t="str">
        <f aca="false">IFERROR(INDEX('Output Utente'!$A$2:$A$492,MATCH(2,'Output Utente'!$R$2:$R$492,0)),"")</f>
        <v/>
      </c>
      <c r="C5" s="26" t="str">
        <f aca="false">IFERROR(INDEX('Output Utente'!$B$2:$B$492,MATCH(2,'Output Utente'!$R$2:$R$492,0)),"")</f>
        <v/>
      </c>
      <c r="D5" s="26" t="str">
        <f aca="false">IFERROR(INDEX('Output Utente'!$C$2:$C$492,MATCH(2,'Output Utente'!$R$2:$R$492,0)),"")</f>
        <v/>
      </c>
      <c r="E5" s="26" t="str">
        <f aca="false">IFERROR(INDEX('Input Giocatori 2026_27'!$D$3:$D$493,MATCH($B5,'Input Giocatori 2026_27'!$A$3:$A$493,0)),"")</f>
        <v/>
      </c>
      <c r="F5" s="27" t="str">
        <f aca="false">IFERROR(INDEX('Output Utente'!$N$2:$N$492,MATCH(2,'Output Utente'!$R$2:$R$492,0)),"")</f>
        <v/>
      </c>
      <c r="G5" s="26" t="str">
        <f aca="false">IFERROR(INDEX('Output Utente'!$O$2:$O$492,MATCH(2,'Output Utente'!$R$2:$R$492,0)),"")</f>
        <v/>
      </c>
      <c r="H5" s="26" t="str">
        <f aca="false">IFERROR(INDEX('Output Utente'!$P$2:$P$492,MATCH(2,'Output Utente'!$R$2:$R$492,0)),"")</f>
        <v/>
      </c>
      <c r="I5" s="27" t="str">
        <f aca="false">IFERROR(INDEX('Output Utente'!$F$2:$F$492,MATCH(2,'Output Utente'!$R$2:$R$492,0)),"")</f>
        <v/>
      </c>
      <c r="J5" s="27" t="str">
        <f aca="false">IFERROR(INDEX('Output Utente'!$G$2:$G$492,MATCH(2,'Output Utente'!$R$2:$R$492,0)),"")</f>
        <v/>
      </c>
      <c r="K5" s="27" t="str">
        <f aca="false">IFERROR(INDEX('Output Utente'!$H$2:$H$492,MATCH(2,'Output Utente'!$R$2:$R$492,0)),"")</f>
        <v/>
      </c>
      <c r="L5" s="26" t="str">
        <f aca="false">IFERROR(INDEX('Output Utente'!$E$2:$E$492,MATCH(2,'Output Utente'!$R$2:$R$492,0)),"")</f>
        <v/>
      </c>
      <c r="N5" s="26" t="s">
        <v>722</v>
      </c>
      <c r="O5" s="50" t="n">
        <f aca="false">SUMIFS('Output Utente'!$M$2:$M$492,'Output Utente'!$D$2:$D$492,'Info Lega'!$B$28)</f>
        <v>0</v>
      </c>
      <c r="R5" s="21" t="s">
        <v>723</v>
      </c>
    </row>
    <row r="6" customFormat="false" ht="15" hidden="false" customHeight="true" outlineLevel="0" collapsed="false">
      <c r="A6" s="29" t="n">
        <v>3</v>
      </c>
      <c r="B6" s="26" t="str">
        <f aca="false">IFERROR(INDEX('Output Utente'!$A$2:$A$492,MATCH(3,'Output Utente'!$R$2:$R$492,0)),"")</f>
        <v/>
      </c>
      <c r="C6" s="26" t="str">
        <f aca="false">IFERROR(INDEX('Output Utente'!$B$2:$B$492,MATCH(3,'Output Utente'!$R$2:$R$492,0)),"")</f>
        <v/>
      </c>
      <c r="D6" s="26" t="str">
        <f aca="false">IFERROR(INDEX('Output Utente'!$C$2:$C$492,MATCH(3,'Output Utente'!$R$2:$R$492,0)),"")</f>
        <v/>
      </c>
      <c r="E6" s="26" t="str">
        <f aca="false">IFERROR(INDEX('Input Giocatori 2026_27'!$D$3:$D$493,MATCH($B6,'Input Giocatori 2026_27'!$A$3:$A$493,0)),"")</f>
        <v/>
      </c>
      <c r="F6" s="27" t="str">
        <f aca="false">IFERROR(INDEX('Output Utente'!$N$2:$N$492,MATCH(3,'Output Utente'!$R$2:$R$492,0)),"")</f>
        <v/>
      </c>
      <c r="G6" s="26" t="str">
        <f aca="false">IFERROR(INDEX('Output Utente'!$O$2:$O$492,MATCH(3,'Output Utente'!$R$2:$R$492,0)),"")</f>
        <v/>
      </c>
      <c r="H6" s="26" t="str">
        <f aca="false">IFERROR(INDEX('Output Utente'!$P$2:$P$492,MATCH(3,'Output Utente'!$R$2:$R$492,0)),"")</f>
        <v/>
      </c>
      <c r="I6" s="27" t="str">
        <f aca="false">IFERROR(INDEX('Output Utente'!$F$2:$F$492,MATCH(3,'Output Utente'!$R$2:$R$492,0)),"")</f>
        <v/>
      </c>
      <c r="J6" s="27" t="str">
        <f aca="false">IFERROR(INDEX('Output Utente'!$G$2:$G$492,MATCH(3,'Output Utente'!$R$2:$R$492,0)),"")</f>
        <v/>
      </c>
      <c r="K6" s="27" t="str">
        <f aca="false">IFERROR(INDEX('Output Utente'!$H$2:$H$492,MATCH(3,'Output Utente'!$R$2:$R$492,0)),"")</f>
        <v/>
      </c>
      <c r="L6" s="26" t="str">
        <f aca="false">IFERROR(INDEX('Output Utente'!$E$2:$E$492,MATCH(3,'Output Utente'!$R$2:$R$492,0)),"")</f>
        <v/>
      </c>
      <c r="N6" s="26" t="s">
        <v>724</v>
      </c>
      <c r="O6" s="50" t="n">
        <f aca="false">$O$4-$O$5</f>
        <v>1000</v>
      </c>
      <c r="R6" s="51" t="s">
        <v>725</v>
      </c>
      <c r="S6" s="51"/>
      <c r="T6" s="51"/>
      <c r="U6" s="51"/>
    </row>
    <row r="7" customFormat="false" ht="15" hidden="false" customHeight="true" outlineLevel="0" collapsed="false">
      <c r="A7" s="29" t="n">
        <v>4</v>
      </c>
      <c r="B7" s="26" t="str">
        <f aca="false">IFERROR(INDEX('Output Utente'!$A$2:$A$492,MATCH(4,'Output Utente'!$R$2:$R$492,0)),"")</f>
        <v/>
      </c>
      <c r="C7" s="26" t="str">
        <f aca="false">IFERROR(INDEX('Output Utente'!$B$2:$B$492,MATCH(4,'Output Utente'!$R$2:$R$492,0)),"")</f>
        <v/>
      </c>
      <c r="D7" s="26" t="str">
        <f aca="false">IFERROR(INDEX('Output Utente'!$C$2:$C$492,MATCH(4,'Output Utente'!$R$2:$R$492,0)),"")</f>
        <v/>
      </c>
      <c r="E7" s="26" t="str">
        <f aca="false">IFERROR(INDEX('Input Giocatori 2026_27'!$D$3:$D$493,MATCH($B7,'Input Giocatori 2026_27'!$A$3:$A$493,0)),"")</f>
        <v/>
      </c>
      <c r="F7" s="27" t="str">
        <f aca="false">IFERROR(INDEX('Output Utente'!$N$2:$N$492,MATCH(4,'Output Utente'!$R$2:$R$492,0)),"")</f>
        <v/>
      </c>
      <c r="G7" s="26" t="str">
        <f aca="false">IFERROR(INDEX('Output Utente'!$O$2:$O$492,MATCH(4,'Output Utente'!$R$2:$R$492,0)),"")</f>
        <v/>
      </c>
      <c r="H7" s="26" t="str">
        <f aca="false">IFERROR(INDEX('Output Utente'!$P$2:$P$492,MATCH(4,'Output Utente'!$R$2:$R$492,0)),"")</f>
        <v/>
      </c>
      <c r="I7" s="27" t="str">
        <f aca="false">IFERROR(INDEX('Output Utente'!$F$2:$F$492,MATCH(4,'Output Utente'!$R$2:$R$492,0)),"")</f>
        <v/>
      </c>
      <c r="J7" s="27" t="str">
        <f aca="false">IFERROR(INDEX('Output Utente'!$G$2:$G$492,MATCH(4,'Output Utente'!$R$2:$R$492,0)),"")</f>
        <v/>
      </c>
      <c r="K7" s="27" t="str">
        <f aca="false">IFERROR(INDEX('Output Utente'!$H$2:$H$492,MATCH(4,'Output Utente'!$R$2:$R$492,0)),"")</f>
        <v/>
      </c>
      <c r="L7" s="26" t="str">
        <f aca="false">IFERROR(INDEX('Output Utente'!$E$2:$E$492,MATCH(4,'Output Utente'!$R$2:$R$492,0)),"")</f>
        <v/>
      </c>
      <c r="N7" s="26" t="s">
        <v>726</v>
      </c>
      <c r="O7" s="38" t="str">
        <f aca="false">COUNTIFS('Output Utente'!$D$2:$D$492,'Info Lega'!$B$28,'Output Utente'!$B$2:$B$492,"P")&amp;" / "&amp;'Info Lega'!$B$5</f>
        <v>0 / 3</v>
      </c>
      <c r="R7" s="51"/>
      <c r="S7" s="51"/>
      <c r="T7" s="51"/>
      <c r="U7" s="51"/>
    </row>
    <row r="8" customFormat="false" ht="15" hidden="false" customHeight="true" outlineLevel="0" collapsed="false">
      <c r="A8" s="29" t="n">
        <v>5</v>
      </c>
      <c r="B8" s="26" t="str">
        <f aca="false">IFERROR(INDEX('Output Utente'!$A$2:$A$492,MATCH(5,'Output Utente'!$R$2:$R$492,0)),"")</f>
        <v/>
      </c>
      <c r="C8" s="26" t="str">
        <f aca="false">IFERROR(INDEX('Output Utente'!$B$2:$B$492,MATCH(5,'Output Utente'!$R$2:$R$492,0)),"")</f>
        <v/>
      </c>
      <c r="D8" s="26" t="str">
        <f aca="false">IFERROR(INDEX('Output Utente'!$C$2:$C$492,MATCH(5,'Output Utente'!$R$2:$R$492,0)),"")</f>
        <v/>
      </c>
      <c r="E8" s="26" t="str">
        <f aca="false">IFERROR(INDEX('Input Giocatori 2026_27'!$D$3:$D$493,MATCH($B8,'Input Giocatori 2026_27'!$A$3:$A$493,0)),"")</f>
        <v/>
      </c>
      <c r="F8" s="27" t="str">
        <f aca="false">IFERROR(INDEX('Output Utente'!$N$2:$N$492,MATCH(5,'Output Utente'!$R$2:$R$492,0)),"")</f>
        <v/>
      </c>
      <c r="G8" s="26" t="str">
        <f aca="false">IFERROR(INDEX('Output Utente'!$O$2:$O$492,MATCH(5,'Output Utente'!$R$2:$R$492,0)),"")</f>
        <v/>
      </c>
      <c r="H8" s="26" t="str">
        <f aca="false">IFERROR(INDEX('Output Utente'!$P$2:$P$492,MATCH(5,'Output Utente'!$R$2:$R$492,0)),"")</f>
        <v/>
      </c>
      <c r="I8" s="27" t="str">
        <f aca="false">IFERROR(INDEX('Output Utente'!$F$2:$F$492,MATCH(5,'Output Utente'!$R$2:$R$492,0)),"")</f>
        <v/>
      </c>
      <c r="J8" s="27" t="str">
        <f aca="false">IFERROR(INDEX('Output Utente'!$G$2:$G$492,MATCH(5,'Output Utente'!$R$2:$R$492,0)),"")</f>
        <v/>
      </c>
      <c r="K8" s="27" t="str">
        <f aca="false">IFERROR(INDEX('Output Utente'!$H$2:$H$492,MATCH(5,'Output Utente'!$R$2:$R$492,0)),"")</f>
        <v/>
      </c>
      <c r="L8" s="26" t="str">
        <f aca="false">IFERROR(INDEX('Output Utente'!$E$2:$E$492,MATCH(5,'Output Utente'!$R$2:$R$492,0)),"")</f>
        <v/>
      </c>
      <c r="N8" s="26" t="s">
        <v>727</v>
      </c>
      <c r="O8" s="38" t="str">
        <f aca="false">COUNTIFS('Output Utente'!$D$2:$D$492,'Info Lega'!$B$28,'Output Utente'!$B$2:$B$492,"D")&amp;" / "&amp;'Info Lega'!$B$6</f>
        <v>0 / 8</v>
      </c>
      <c r="R8" s="51"/>
      <c r="S8" s="51"/>
      <c r="T8" s="51"/>
      <c r="U8" s="51"/>
    </row>
    <row r="9" customFormat="false" ht="15" hidden="false" customHeight="true" outlineLevel="0" collapsed="false">
      <c r="A9" s="29" t="n">
        <v>6</v>
      </c>
      <c r="B9" s="26" t="str">
        <f aca="false">IFERROR(INDEX('Output Utente'!$A$2:$A$492,MATCH(6,'Output Utente'!$R$2:$R$492,0)),"")</f>
        <v/>
      </c>
      <c r="C9" s="26" t="str">
        <f aca="false">IFERROR(INDEX('Output Utente'!$B$2:$B$492,MATCH(6,'Output Utente'!$R$2:$R$492,0)),"")</f>
        <v/>
      </c>
      <c r="D9" s="26" t="str">
        <f aca="false">IFERROR(INDEX('Output Utente'!$C$2:$C$492,MATCH(6,'Output Utente'!$R$2:$R$492,0)),"")</f>
        <v/>
      </c>
      <c r="E9" s="26" t="str">
        <f aca="false">IFERROR(INDEX('Input Giocatori 2026_27'!$D$3:$D$493,MATCH($B9,'Input Giocatori 2026_27'!$A$3:$A$493,0)),"")</f>
        <v/>
      </c>
      <c r="F9" s="27" t="str">
        <f aca="false">IFERROR(INDEX('Output Utente'!$N$2:$N$492,MATCH(6,'Output Utente'!$R$2:$R$492,0)),"")</f>
        <v/>
      </c>
      <c r="G9" s="26" t="str">
        <f aca="false">IFERROR(INDEX('Output Utente'!$O$2:$O$492,MATCH(6,'Output Utente'!$R$2:$R$492,0)),"")</f>
        <v/>
      </c>
      <c r="H9" s="26" t="str">
        <f aca="false">IFERROR(INDEX('Output Utente'!$P$2:$P$492,MATCH(6,'Output Utente'!$R$2:$R$492,0)),"")</f>
        <v/>
      </c>
      <c r="I9" s="27" t="str">
        <f aca="false">IFERROR(INDEX('Output Utente'!$F$2:$F$492,MATCH(6,'Output Utente'!$R$2:$R$492,0)),"")</f>
        <v/>
      </c>
      <c r="J9" s="27" t="str">
        <f aca="false">IFERROR(INDEX('Output Utente'!$G$2:$G$492,MATCH(6,'Output Utente'!$R$2:$R$492,0)),"")</f>
        <v/>
      </c>
      <c r="K9" s="27" t="str">
        <f aca="false">IFERROR(INDEX('Output Utente'!$H$2:$H$492,MATCH(6,'Output Utente'!$R$2:$R$492,0)),"")</f>
        <v/>
      </c>
      <c r="L9" s="26" t="str">
        <f aca="false">IFERROR(INDEX('Output Utente'!$E$2:$E$492,MATCH(6,'Output Utente'!$R$2:$R$492,0)),"")</f>
        <v/>
      </c>
      <c r="N9" s="26" t="s">
        <v>728</v>
      </c>
      <c r="O9" s="38" t="str">
        <f aca="false">COUNTIFS('Output Utente'!$D$2:$D$492,'Info Lega'!$B$28,'Output Utente'!$B$2:$B$492,"C")&amp;" / "&amp;'Info Lega'!$B$7</f>
        <v>0 / 8</v>
      </c>
    </row>
    <row r="10" customFormat="false" ht="15" hidden="false" customHeight="true" outlineLevel="0" collapsed="false">
      <c r="A10" s="29" t="n">
        <v>7</v>
      </c>
      <c r="B10" s="26" t="str">
        <f aca="false">IFERROR(INDEX('Output Utente'!$A$2:$A$492,MATCH(7,'Output Utente'!$R$2:$R$492,0)),"")</f>
        <v/>
      </c>
      <c r="C10" s="26" t="str">
        <f aca="false">IFERROR(INDEX('Output Utente'!$B$2:$B$492,MATCH(7,'Output Utente'!$R$2:$R$492,0)),"")</f>
        <v/>
      </c>
      <c r="D10" s="26" t="str">
        <f aca="false">IFERROR(INDEX('Output Utente'!$C$2:$C$492,MATCH(7,'Output Utente'!$R$2:$R$492,0)),"")</f>
        <v/>
      </c>
      <c r="E10" s="26" t="str">
        <f aca="false">IFERROR(INDEX('Input Giocatori 2026_27'!$D$3:$D$493,MATCH($B10,'Input Giocatori 2026_27'!$A$3:$A$493,0)),"")</f>
        <v/>
      </c>
      <c r="F10" s="27" t="str">
        <f aca="false">IFERROR(INDEX('Output Utente'!$N$2:$N$492,MATCH(7,'Output Utente'!$R$2:$R$492,0)),"")</f>
        <v/>
      </c>
      <c r="G10" s="26" t="str">
        <f aca="false">IFERROR(INDEX('Output Utente'!$O$2:$O$492,MATCH(7,'Output Utente'!$R$2:$R$492,0)),"")</f>
        <v/>
      </c>
      <c r="H10" s="26" t="str">
        <f aca="false">IFERROR(INDEX('Output Utente'!$P$2:$P$492,MATCH(7,'Output Utente'!$R$2:$R$492,0)),"")</f>
        <v/>
      </c>
      <c r="I10" s="27" t="str">
        <f aca="false">IFERROR(INDEX('Output Utente'!$F$2:$F$492,MATCH(7,'Output Utente'!$R$2:$R$492,0)),"")</f>
        <v/>
      </c>
      <c r="J10" s="27" t="str">
        <f aca="false">IFERROR(INDEX('Output Utente'!$G$2:$G$492,MATCH(7,'Output Utente'!$R$2:$R$492,0)),"")</f>
        <v/>
      </c>
      <c r="K10" s="27" t="str">
        <f aca="false">IFERROR(INDEX('Output Utente'!$H$2:$H$492,MATCH(7,'Output Utente'!$R$2:$R$492,0)),"")</f>
        <v/>
      </c>
      <c r="L10" s="26" t="str">
        <f aca="false">IFERROR(INDEX('Output Utente'!$E$2:$E$492,MATCH(7,'Output Utente'!$R$2:$R$492,0)),"")</f>
        <v/>
      </c>
      <c r="N10" s="26" t="s">
        <v>729</v>
      </c>
      <c r="O10" s="38" t="str">
        <f aca="false">COUNTIFS('Output Utente'!$D$2:$D$492,'Info Lega'!$B$28,'Output Utente'!$B$2:$B$492,"A")&amp;" / "&amp;'Info Lega'!$B$8</f>
        <v>0 / 6</v>
      </c>
    </row>
    <row r="11" customFormat="false" ht="15" hidden="false" customHeight="true" outlineLevel="0" collapsed="false">
      <c r="A11" s="29" t="n">
        <v>8</v>
      </c>
      <c r="B11" s="26" t="str">
        <f aca="false">IFERROR(INDEX('Output Utente'!$A$2:$A$492,MATCH(8,'Output Utente'!$R$2:$R$492,0)),"")</f>
        <v/>
      </c>
      <c r="C11" s="26" t="str">
        <f aca="false">IFERROR(INDEX('Output Utente'!$B$2:$B$492,MATCH(8,'Output Utente'!$R$2:$R$492,0)),"")</f>
        <v/>
      </c>
      <c r="D11" s="26" t="str">
        <f aca="false">IFERROR(INDEX('Output Utente'!$C$2:$C$492,MATCH(8,'Output Utente'!$R$2:$R$492,0)),"")</f>
        <v/>
      </c>
      <c r="E11" s="26" t="str">
        <f aca="false">IFERROR(INDEX('Input Giocatori 2026_27'!$D$3:$D$493,MATCH($B11,'Input Giocatori 2026_27'!$A$3:$A$493,0)),"")</f>
        <v/>
      </c>
      <c r="F11" s="27" t="str">
        <f aca="false">IFERROR(INDEX('Output Utente'!$N$2:$N$492,MATCH(8,'Output Utente'!$R$2:$R$492,0)),"")</f>
        <v/>
      </c>
      <c r="G11" s="26" t="str">
        <f aca="false">IFERROR(INDEX('Output Utente'!$O$2:$O$492,MATCH(8,'Output Utente'!$R$2:$R$492,0)),"")</f>
        <v/>
      </c>
      <c r="H11" s="26" t="str">
        <f aca="false">IFERROR(INDEX('Output Utente'!$P$2:$P$492,MATCH(8,'Output Utente'!$R$2:$R$492,0)),"")</f>
        <v/>
      </c>
      <c r="I11" s="27" t="str">
        <f aca="false">IFERROR(INDEX('Output Utente'!$F$2:$F$492,MATCH(8,'Output Utente'!$R$2:$R$492,0)),"")</f>
        <v/>
      </c>
      <c r="J11" s="27" t="str">
        <f aca="false">IFERROR(INDEX('Output Utente'!$G$2:$G$492,MATCH(8,'Output Utente'!$R$2:$R$492,0)),"")</f>
        <v/>
      </c>
      <c r="K11" s="27" t="str">
        <f aca="false">IFERROR(INDEX('Output Utente'!$H$2:$H$492,MATCH(8,'Output Utente'!$R$2:$R$492,0)),"")</f>
        <v/>
      </c>
      <c r="L11" s="26" t="str">
        <f aca="false">IFERROR(INDEX('Output Utente'!$E$2:$E$492,MATCH(8,'Output Utente'!$R$2:$R$492,0)),"")</f>
        <v/>
      </c>
      <c r="N11" s="26" t="s">
        <v>730</v>
      </c>
      <c r="O11" s="38" t="n">
        <f aca="false">('Info Lega'!$B$5-COUNTIFS('Output Utente'!$D$2:$D$492,'Info Lega'!$B$28,'Output Utente'!$B$2:$B$492,"P"))+('Info Lega'!$B$6-COUNTIFS('Output Utente'!$D$2:$D$492,'Info Lega'!$B$28,'Output Utente'!$B$2:$B$492,"D"))+('Info Lega'!$B$7-COUNTIFS('Output Utente'!$D$2:$D$492,'Info Lega'!$B$28,'Output Utente'!$B$2:$B$492,"C"))+('Info Lega'!$B$8-COUNTIFS('Output Utente'!$D$2:$D$492,'Info Lega'!$B$28,'Output Utente'!$B$2:$B$492,"A"))</f>
        <v>25</v>
      </c>
    </row>
    <row r="12" customFormat="false" ht="15" hidden="false" customHeight="true" outlineLevel="0" collapsed="false">
      <c r="A12" s="29" t="n">
        <v>9</v>
      </c>
      <c r="B12" s="26" t="str">
        <f aca="false">IFERROR(INDEX('Output Utente'!$A$2:$A$492,MATCH(9,'Output Utente'!$R$2:$R$492,0)),"")</f>
        <v/>
      </c>
      <c r="C12" s="26" t="str">
        <f aca="false">IFERROR(INDEX('Output Utente'!$B$2:$B$492,MATCH(9,'Output Utente'!$R$2:$R$492,0)),"")</f>
        <v/>
      </c>
      <c r="D12" s="26" t="str">
        <f aca="false">IFERROR(INDEX('Output Utente'!$C$2:$C$492,MATCH(9,'Output Utente'!$R$2:$R$492,0)),"")</f>
        <v/>
      </c>
      <c r="E12" s="26" t="str">
        <f aca="false">IFERROR(INDEX('Input Giocatori 2026_27'!$D$3:$D$493,MATCH($B12,'Input Giocatori 2026_27'!$A$3:$A$493,0)),"")</f>
        <v/>
      </c>
      <c r="F12" s="27" t="str">
        <f aca="false">IFERROR(INDEX('Output Utente'!$N$2:$N$492,MATCH(9,'Output Utente'!$R$2:$R$492,0)),"")</f>
        <v/>
      </c>
      <c r="G12" s="26" t="str">
        <f aca="false">IFERROR(INDEX('Output Utente'!$O$2:$O$492,MATCH(9,'Output Utente'!$R$2:$R$492,0)),"")</f>
        <v/>
      </c>
      <c r="H12" s="26" t="str">
        <f aca="false">IFERROR(INDEX('Output Utente'!$P$2:$P$492,MATCH(9,'Output Utente'!$R$2:$R$492,0)),"")</f>
        <v/>
      </c>
      <c r="I12" s="27" t="str">
        <f aca="false">IFERROR(INDEX('Output Utente'!$F$2:$F$492,MATCH(9,'Output Utente'!$R$2:$R$492,0)),"")</f>
        <v/>
      </c>
      <c r="J12" s="27" t="str">
        <f aca="false">IFERROR(INDEX('Output Utente'!$G$2:$G$492,MATCH(9,'Output Utente'!$R$2:$R$492,0)),"")</f>
        <v/>
      </c>
      <c r="K12" s="27" t="str">
        <f aca="false">IFERROR(INDEX('Output Utente'!$H$2:$H$492,MATCH(9,'Output Utente'!$R$2:$R$492,0)),"")</f>
        <v/>
      </c>
      <c r="L12" s="26" t="str">
        <f aca="false">IFERROR(INDEX('Output Utente'!$E$2:$E$492,MATCH(9,'Output Utente'!$R$2:$R$492,0)),"")</f>
        <v/>
      </c>
      <c r="N12" s="26" t="s">
        <v>731</v>
      </c>
      <c r="O12" s="50" t="n">
        <f aca="false">IFERROR(IF($O$11&gt;0,$O$6/$O$11,""),"")</f>
        <v>40</v>
      </c>
    </row>
    <row r="13" customFormat="false" ht="15" hidden="false" customHeight="true" outlineLevel="0" collapsed="false">
      <c r="A13" s="29" t="n">
        <v>10</v>
      </c>
      <c r="B13" s="26" t="str">
        <f aca="false">IFERROR(INDEX('Output Utente'!$A$2:$A$492,MATCH(10,'Output Utente'!$R$2:$R$492,0)),"")</f>
        <v/>
      </c>
      <c r="C13" s="26" t="str">
        <f aca="false">IFERROR(INDEX('Output Utente'!$B$2:$B$492,MATCH(10,'Output Utente'!$R$2:$R$492,0)),"")</f>
        <v/>
      </c>
      <c r="D13" s="26" t="str">
        <f aca="false">IFERROR(INDEX('Output Utente'!$C$2:$C$492,MATCH(10,'Output Utente'!$R$2:$R$492,0)),"")</f>
        <v/>
      </c>
      <c r="E13" s="26" t="str">
        <f aca="false">IFERROR(INDEX('Input Giocatori 2026_27'!$D$3:$D$493,MATCH($B13,'Input Giocatori 2026_27'!$A$3:$A$493,0)),"")</f>
        <v/>
      </c>
      <c r="F13" s="27" t="str">
        <f aca="false">IFERROR(INDEX('Output Utente'!$N$2:$N$492,MATCH(10,'Output Utente'!$R$2:$R$492,0)),"")</f>
        <v/>
      </c>
      <c r="G13" s="26" t="str">
        <f aca="false">IFERROR(INDEX('Output Utente'!$O$2:$O$492,MATCH(10,'Output Utente'!$R$2:$R$492,0)),"")</f>
        <v/>
      </c>
      <c r="H13" s="26" t="str">
        <f aca="false">IFERROR(INDEX('Output Utente'!$P$2:$P$492,MATCH(10,'Output Utente'!$R$2:$R$492,0)),"")</f>
        <v/>
      </c>
      <c r="I13" s="27" t="str">
        <f aca="false">IFERROR(INDEX('Output Utente'!$F$2:$F$492,MATCH(10,'Output Utente'!$R$2:$R$492,0)),"")</f>
        <v/>
      </c>
      <c r="J13" s="27" t="str">
        <f aca="false">IFERROR(INDEX('Output Utente'!$G$2:$G$492,MATCH(10,'Output Utente'!$R$2:$R$492,0)),"")</f>
        <v/>
      </c>
      <c r="K13" s="27" t="str">
        <f aca="false">IFERROR(INDEX('Output Utente'!$H$2:$H$492,MATCH(10,'Output Utente'!$R$2:$R$492,0)),"")</f>
        <v/>
      </c>
      <c r="L13" s="26" t="str">
        <f aca="false">IFERROR(INDEX('Output Utente'!$E$2:$E$492,MATCH(10,'Output Utente'!$R$2:$R$492,0)),"")</f>
        <v/>
      </c>
    </row>
    <row r="14" customFormat="false" ht="15" hidden="false" customHeight="true" outlineLevel="0" collapsed="false">
      <c r="A14" s="29" t="n">
        <v>11</v>
      </c>
      <c r="B14" s="26" t="str">
        <f aca="false">IFERROR(INDEX('Output Utente'!$A$2:$A$492,MATCH(11,'Output Utente'!$R$2:$R$492,0)),"")</f>
        <v/>
      </c>
      <c r="C14" s="26" t="str">
        <f aca="false">IFERROR(INDEX('Output Utente'!$B$2:$B$492,MATCH(11,'Output Utente'!$R$2:$R$492,0)),"")</f>
        <v/>
      </c>
      <c r="D14" s="26" t="str">
        <f aca="false">IFERROR(INDEX('Output Utente'!$C$2:$C$492,MATCH(11,'Output Utente'!$R$2:$R$492,0)),"")</f>
        <v/>
      </c>
      <c r="E14" s="26" t="str">
        <f aca="false">IFERROR(INDEX('Input Giocatori 2026_27'!$D$3:$D$493,MATCH($B14,'Input Giocatori 2026_27'!$A$3:$A$493,0)),"")</f>
        <v/>
      </c>
      <c r="F14" s="27" t="str">
        <f aca="false">IFERROR(INDEX('Output Utente'!$N$2:$N$492,MATCH(11,'Output Utente'!$R$2:$R$492,0)),"")</f>
        <v/>
      </c>
      <c r="G14" s="26" t="str">
        <f aca="false">IFERROR(INDEX('Output Utente'!$O$2:$O$492,MATCH(11,'Output Utente'!$R$2:$R$492,0)),"")</f>
        <v/>
      </c>
      <c r="H14" s="26" t="str">
        <f aca="false">IFERROR(INDEX('Output Utente'!$P$2:$P$492,MATCH(11,'Output Utente'!$R$2:$R$492,0)),"")</f>
        <v/>
      </c>
      <c r="I14" s="27" t="str">
        <f aca="false">IFERROR(INDEX('Output Utente'!$F$2:$F$492,MATCH(11,'Output Utente'!$R$2:$R$492,0)),"")</f>
        <v/>
      </c>
      <c r="J14" s="27" t="str">
        <f aca="false">IFERROR(INDEX('Output Utente'!$G$2:$G$492,MATCH(11,'Output Utente'!$R$2:$R$492,0)),"")</f>
        <v/>
      </c>
      <c r="K14" s="27" t="str">
        <f aca="false">IFERROR(INDEX('Output Utente'!$H$2:$H$492,MATCH(11,'Output Utente'!$R$2:$R$492,0)),"")</f>
        <v/>
      </c>
      <c r="L14" s="26" t="str">
        <f aca="false">IFERROR(INDEX('Output Utente'!$E$2:$E$492,MATCH(11,'Output Utente'!$R$2:$R$492,0)),"")</f>
        <v/>
      </c>
    </row>
    <row r="15" customFormat="false" ht="15" hidden="false" customHeight="true" outlineLevel="0" collapsed="false">
      <c r="A15" s="29" t="n">
        <v>12</v>
      </c>
      <c r="B15" s="26" t="str">
        <f aca="false">IFERROR(INDEX('Output Utente'!$A$2:$A$492,MATCH(12,'Output Utente'!$R$2:$R$492,0)),"")</f>
        <v/>
      </c>
      <c r="C15" s="26" t="str">
        <f aca="false">IFERROR(INDEX('Output Utente'!$B$2:$B$492,MATCH(12,'Output Utente'!$R$2:$R$492,0)),"")</f>
        <v/>
      </c>
      <c r="D15" s="26" t="str">
        <f aca="false">IFERROR(INDEX('Output Utente'!$C$2:$C$492,MATCH(12,'Output Utente'!$R$2:$R$492,0)),"")</f>
        <v/>
      </c>
      <c r="E15" s="26" t="str">
        <f aca="false">IFERROR(INDEX('Input Giocatori 2026_27'!$D$3:$D$493,MATCH($B15,'Input Giocatori 2026_27'!$A$3:$A$493,0)),"")</f>
        <v/>
      </c>
      <c r="F15" s="27" t="str">
        <f aca="false">IFERROR(INDEX('Output Utente'!$N$2:$N$492,MATCH(12,'Output Utente'!$R$2:$R$492,0)),"")</f>
        <v/>
      </c>
      <c r="G15" s="26" t="str">
        <f aca="false">IFERROR(INDEX('Output Utente'!$O$2:$O$492,MATCH(12,'Output Utente'!$R$2:$R$492,0)),"")</f>
        <v/>
      </c>
      <c r="H15" s="26" t="str">
        <f aca="false">IFERROR(INDEX('Output Utente'!$P$2:$P$492,MATCH(12,'Output Utente'!$R$2:$R$492,0)),"")</f>
        <v/>
      </c>
      <c r="I15" s="27" t="str">
        <f aca="false">IFERROR(INDEX('Output Utente'!$F$2:$F$492,MATCH(12,'Output Utente'!$R$2:$R$492,0)),"")</f>
        <v/>
      </c>
      <c r="J15" s="27" t="str">
        <f aca="false">IFERROR(INDEX('Output Utente'!$G$2:$G$492,MATCH(12,'Output Utente'!$R$2:$R$492,0)),"")</f>
        <v/>
      </c>
      <c r="K15" s="27" t="str">
        <f aca="false">IFERROR(INDEX('Output Utente'!$H$2:$H$492,MATCH(12,'Output Utente'!$R$2:$R$492,0)),"")</f>
        <v/>
      </c>
      <c r="L15" s="26" t="str">
        <f aca="false">IFERROR(INDEX('Output Utente'!$E$2:$E$492,MATCH(12,'Output Utente'!$R$2:$R$492,0)),"")</f>
        <v/>
      </c>
    </row>
    <row r="16" customFormat="false" ht="15" hidden="false" customHeight="true" outlineLevel="0" collapsed="false">
      <c r="A16" s="29" t="n">
        <v>13</v>
      </c>
      <c r="B16" s="26" t="str">
        <f aca="false">IFERROR(INDEX('Output Utente'!$A$2:$A$492,MATCH(13,'Output Utente'!$R$2:$R$492,0)),"")</f>
        <v/>
      </c>
      <c r="C16" s="26" t="str">
        <f aca="false">IFERROR(INDEX('Output Utente'!$B$2:$B$492,MATCH(13,'Output Utente'!$R$2:$R$492,0)),"")</f>
        <v/>
      </c>
      <c r="D16" s="26" t="str">
        <f aca="false">IFERROR(INDEX('Output Utente'!$C$2:$C$492,MATCH(13,'Output Utente'!$R$2:$R$492,0)),"")</f>
        <v/>
      </c>
      <c r="E16" s="26" t="str">
        <f aca="false">IFERROR(INDEX('Input Giocatori 2026_27'!$D$3:$D$493,MATCH($B16,'Input Giocatori 2026_27'!$A$3:$A$493,0)),"")</f>
        <v/>
      </c>
      <c r="F16" s="27" t="str">
        <f aca="false">IFERROR(INDEX('Output Utente'!$N$2:$N$492,MATCH(13,'Output Utente'!$R$2:$R$492,0)),"")</f>
        <v/>
      </c>
      <c r="G16" s="26" t="str">
        <f aca="false">IFERROR(INDEX('Output Utente'!$O$2:$O$492,MATCH(13,'Output Utente'!$R$2:$R$492,0)),"")</f>
        <v/>
      </c>
      <c r="H16" s="26" t="str">
        <f aca="false">IFERROR(INDEX('Output Utente'!$P$2:$P$492,MATCH(13,'Output Utente'!$R$2:$R$492,0)),"")</f>
        <v/>
      </c>
      <c r="I16" s="27" t="str">
        <f aca="false">IFERROR(INDEX('Output Utente'!$F$2:$F$492,MATCH(13,'Output Utente'!$R$2:$R$492,0)),"")</f>
        <v/>
      </c>
      <c r="J16" s="27" t="str">
        <f aca="false">IFERROR(INDEX('Output Utente'!$G$2:$G$492,MATCH(13,'Output Utente'!$R$2:$R$492,0)),"")</f>
        <v/>
      </c>
      <c r="K16" s="27" t="str">
        <f aca="false">IFERROR(INDEX('Output Utente'!$H$2:$H$492,MATCH(13,'Output Utente'!$R$2:$R$492,0)),"")</f>
        <v/>
      </c>
      <c r="L16" s="26" t="str">
        <f aca="false">IFERROR(INDEX('Output Utente'!$E$2:$E$492,MATCH(13,'Output Utente'!$R$2:$R$492,0)),"")</f>
        <v/>
      </c>
    </row>
    <row r="17" customFormat="false" ht="15" hidden="false" customHeight="true" outlineLevel="0" collapsed="false">
      <c r="A17" s="29" t="n">
        <v>14</v>
      </c>
      <c r="B17" s="26" t="str">
        <f aca="false">IFERROR(INDEX('Output Utente'!$A$2:$A$492,MATCH(14,'Output Utente'!$R$2:$R$492,0)),"")</f>
        <v/>
      </c>
      <c r="C17" s="26" t="str">
        <f aca="false">IFERROR(INDEX('Output Utente'!$B$2:$B$492,MATCH(14,'Output Utente'!$R$2:$R$492,0)),"")</f>
        <v/>
      </c>
      <c r="D17" s="26" t="str">
        <f aca="false">IFERROR(INDEX('Output Utente'!$C$2:$C$492,MATCH(14,'Output Utente'!$R$2:$R$492,0)),"")</f>
        <v/>
      </c>
      <c r="E17" s="26" t="str">
        <f aca="false">IFERROR(INDEX('Input Giocatori 2026_27'!$D$3:$D$493,MATCH($B17,'Input Giocatori 2026_27'!$A$3:$A$493,0)),"")</f>
        <v/>
      </c>
      <c r="F17" s="27" t="str">
        <f aca="false">IFERROR(INDEX('Output Utente'!$N$2:$N$492,MATCH(14,'Output Utente'!$R$2:$R$492,0)),"")</f>
        <v/>
      </c>
      <c r="G17" s="26" t="str">
        <f aca="false">IFERROR(INDEX('Output Utente'!$O$2:$O$492,MATCH(14,'Output Utente'!$R$2:$R$492,0)),"")</f>
        <v/>
      </c>
      <c r="H17" s="26" t="str">
        <f aca="false">IFERROR(INDEX('Output Utente'!$P$2:$P$492,MATCH(14,'Output Utente'!$R$2:$R$492,0)),"")</f>
        <v/>
      </c>
      <c r="I17" s="27" t="str">
        <f aca="false">IFERROR(INDEX('Output Utente'!$F$2:$F$492,MATCH(14,'Output Utente'!$R$2:$R$492,0)),"")</f>
        <v/>
      </c>
      <c r="J17" s="27" t="str">
        <f aca="false">IFERROR(INDEX('Output Utente'!$G$2:$G$492,MATCH(14,'Output Utente'!$R$2:$R$492,0)),"")</f>
        <v/>
      </c>
      <c r="K17" s="27" t="str">
        <f aca="false">IFERROR(INDEX('Output Utente'!$H$2:$H$492,MATCH(14,'Output Utente'!$R$2:$R$492,0)),"")</f>
        <v/>
      </c>
      <c r="L17" s="26" t="str">
        <f aca="false">IFERROR(INDEX('Output Utente'!$E$2:$E$492,MATCH(14,'Output Utente'!$R$2:$R$492,0)),"")</f>
        <v/>
      </c>
    </row>
    <row r="18" customFormat="false" ht="15" hidden="false" customHeight="true" outlineLevel="0" collapsed="false">
      <c r="A18" s="29" t="n">
        <v>15</v>
      </c>
      <c r="B18" s="26" t="str">
        <f aca="false">IFERROR(INDEX('Output Utente'!$A$2:$A$492,MATCH(15,'Output Utente'!$R$2:$R$492,0)),"")</f>
        <v/>
      </c>
      <c r="C18" s="26" t="str">
        <f aca="false">IFERROR(INDEX('Output Utente'!$B$2:$B$492,MATCH(15,'Output Utente'!$R$2:$R$492,0)),"")</f>
        <v/>
      </c>
      <c r="D18" s="26" t="str">
        <f aca="false">IFERROR(INDEX('Output Utente'!$C$2:$C$492,MATCH(15,'Output Utente'!$R$2:$R$492,0)),"")</f>
        <v/>
      </c>
      <c r="E18" s="26" t="str">
        <f aca="false">IFERROR(INDEX('Input Giocatori 2026_27'!$D$3:$D$493,MATCH($B18,'Input Giocatori 2026_27'!$A$3:$A$493,0)),"")</f>
        <v/>
      </c>
      <c r="F18" s="27" t="str">
        <f aca="false">IFERROR(INDEX('Output Utente'!$N$2:$N$492,MATCH(15,'Output Utente'!$R$2:$R$492,0)),"")</f>
        <v/>
      </c>
      <c r="G18" s="26" t="str">
        <f aca="false">IFERROR(INDEX('Output Utente'!$O$2:$O$492,MATCH(15,'Output Utente'!$R$2:$R$492,0)),"")</f>
        <v/>
      </c>
      <c r="H18" s="26" t="str">
        <f aca="false">IFERROR(INDEX('Output Utente'!$P$2:$P$492,MATCH(15,'Output Utente'!$R$2:$R$492,0)),"")</f>
        <v/>
      </c>
      <c r="I18" s="27" t="str">
        <f aca="false">IFERROR(INDEX('Output Utente'!$F$2:$F$492,MATCH(15,'Output Utente'!$R$2:$R$492,0)),"")</f>
        <v/>
      </c>
      <c r="J18" s="27" t="str">
        <f aca="false">IFERROR(INDEX('Output Utente'!$G$2:$G$492,MATCH(15,'Output Utente'!$R$2:$R$492,0)),"")</f>
        <v/>
      </c>
      <c r="K18" s="27" t="str">
        <f aca="false">IFERROR(INDEX('Output Utente'!$H$2:$H$492,MATCH(15,'Output Utente'!$R$2:$R$492,0)),"")</f>
        <v/>
      </c>
      <c r="L18" s="26" t="str">
        <f aca="false">IFERROR(INDEX('Output Utente'!$E$2:$E$492,MATCH(15,'Output Utente'!$R$2:$R$492,0)),"")</f>
        <v/>
      </c>
    </row>
    <row r="19" customFormat="false" ht="15" hidden="false" customHeight="true" outlineLevel="0" collapsed="false">
      <c r="A19" s="29" t="n">
        <v>16</v>
      </c>
      <c r="B19" s="26" t="str">
        <f aca="false">IFERROR(INDEX('Output Utente'!$A$2:$A$492,MATCH(16,'Output Utente'!$R$2:$R$492,0)),"")</f>
        <v/>
      </c>
      <c r="C19" s="26" t="str">
        <f aca="false">IFERROR(INDEX('Output Utente'!$B$2:$B$492,MATCH(16,'Output Utente'!$R$2:$R$492,0)),"")</f>
        <v/>
      </c>
      <c r="D19" s="26" t="str">
        <f aca="false">IFERROR(INDEX('Output Utente'!$C$2:$C$492,MATCH(16,'Output Utente'!$R$2:$R$492,0)),"")</f>
        <v/>
      </c>
      <c r="E19" s="26" t="str">
        <f aca="false">IFERROR(INDEX('Input Giocatori 2026_27'!$D$3:$D$493,MATCH($B19,'Input Giocatori 2026_27'!$A$3:$A$493,0)),"")</f>
        <v/>
      </c>
      <c r="F19" s="27" t="str">
        <f aca="false">IFERROR(INDEX('Output Utente'!$N$2:$N$492,MATCH(16,'Output Utente'!$R$2:$R$492,0)),"")</f>
        <v/>
      </c>
      <c r="G19" s="26" t="str">
        <f aca="false">IFERROR(INDEX('Output Utente'!$O$2:$O$492,MATCH(16,'Output Utente'!$R$2:$R$492,0)),"")</f>
        <v/>
      </c>
      <c r="H19" s="26" t="str">
        <f aca="false">IFERROR(INDEX('Output Utente'!$P$2:$P$492,MATCH(16,'Output Utente'!$R$2:$R$492,0)),"")</f>
        <v/>
      </c>
      <c r="I19" s="27" t="str">
        <f aca="false">IFERROR(INDEX('Output Utente'!$F$2:$F$492,MATCH(16,'Output Utente'!$R$2:$R$492,0)),"")</f>
        <v/>
      </c>
      <c r="J19" s="27" t="str">
        <f aca="false">IFERROR(INDEX('Output Utente'!$G$2:$G$492,MATCH(16,'Output Utente'!$R$2:$R$492,0)),"")</f>
        <v/>
      </c>
      <c r="K19" s="27" t="str">
        <f aca="false">IFERROR(INDEX('Output Utente'!$H$2:$H$492,MATCH(16,'Output Utente'!$R$2:$R$492,0)),"")</f>
        <v/>
      </c>
      <c r="L19" s="26" t="str">
        <f aca="false">IFERROR(INDEX('Output Utente'!$E$2:$E$492,MATCH(16,'Output Utente'!$R$2:$R$492,0)),"")</f>
        <v/>
      </c>
    </row>
    <row r="20" customFormat="false" ht="15" hidden="false" customHeight="true" outlineLevel="0" collapsed="false">
      <c r="A20" s="29" t="n">
        <v>17</v>
      </c>
      <c r="B20" s="26" t="str">
        <f aca="false">IFERROR(INDEX('Output Utente'!$A$2:$A$492,MATCH(17,'Output Utente'!$R$2:$R$492,0)),"")</f>
        <v/>
      </c>
      <c r="C20" s="26" t="str">
        <f aca="false">IFERROR(INDEX('Output Utente'!$B$2:$B$492,MATCH(17,'Output Utente'!$R$2:$R$492,0)),"")</f>
        <v/>
      </c>
      <c r="D20" s="26" t="str">
        <f aca="false">IFERROR(INDEX('Output Utente'!$C$2:$C$492,MATCH(17,'Output Utente'!$R$2:$R$492,0)),"")</f>
        <v/>
      </c>
      <c r="E20" s="26" t="str">
        <f aca="false">IFERROR(INDEX('Input Giocatori 2026_27'!$D$3:$D$493,MATCH($B20,'Input Giocatori 2026_27'!$A$3:$A$493,0)),"")</f>
        <v/>
      </c>
      <c r="F20" s="27" t="str">
        <f aca="false">IFERROR(INDEX('Output Utente'!$N$2:$N$492,MATCH(17,'Output Utente'!$R$2:$R$492,0)),"")</f>
        <v/>
      </c>
      <c r="G20" s="26" t="str">
        <f aca="false">IFERROR(INDEX('Output Utente'!$O$2:$O$492,MATCH(17,'Output Utente'!$R$2:$R$492,0)),"")</f>
        <v/>
      </c>
      <c r="H20" s="26" t="str">
        <f aca="false">IFERROR(INDEX('Output Utente'!$P$2:$P$492,MATCH(17,'Output Utente'!$R$2:$R$492,0)),"")</f>
        <v/>
      </c>
      <c r="I20" s="27" t="str">
        <f aca="false">IFERROR(INDEX('Output Utente'!$F$2:$F$492,MATCH(17,'Output Utente'!$R$2:$R$492,0)),"")</f>
        <v/>
      </c>
      <c r="J20" s="27" t="str">
        <f aca="false">IFERROR(INDEX('Output Utente'!$G$2:$G$492,MATCH(17,'Output Utente'!$R$2:$R$492,0)),"")</f>
        <v/>
      </c>
      <c r="K20" s="27" t="str">
        <f aca="false">IFERROR(INDEX('Output Utente'!$H$2:$H$492,MATCH(17,'Output Utente'!$R$2:$R$492,0)),"")</f>
        <v/>
      </c>
      <c r="L20" s="26" t="str">
        <f aca="false">IFERROR(INDEX('Output Utente'!$E$2:$E$492,MATCH(17,'Output Utente'!$R$2:$R$492,0)),"")</f>
        <v/>
      </c>
    </row>
    <row r="21" customFormat="false" ht="15" hidden="false" customHeight="true" outlineLevel="0" collapsed="false">
      <c r="A21" s="29" t="n">
        <v>18</v>
      </c>
      <c r="B21" s="26" t="str">
        <f aca="false">IFERROR(INDEX('Output Utente'!$A$2:$A$492,MATCH(18,'Output Utente'!$R$2:$R$492,0)),"")</f>
        <v/>
      </c>
      <c r="C21" s="26" t="str">
        <f aca="false">IFERROR(INDEX('Output Utente'!$B$2:$B$492,MATCH(18,'Output Utente'!$R$2:$R$492,0)),"")</f>
        <v/>
      </c>
      <c r="D21" s="26" t="str">
        <f aca="false">IFERROR(INDEX('Output Utente'!$C$2:$C$492,MATCH(18,'Output Utente'!$R$2:$R$492,0)),"")</f>
        <v/>
      </c>
      <c r="E21" s="26" t="str">
        <f aca="false">IFERROR(INDEX('Input Giocatori 2026_27'!$D$3:$D$493,MATCH($B21,'Input Giocatori 2026_27'!$A$3:$A$493,0)),"")</f>
        <v/>
      </c>
      <c r="F21" s="27" t="str">
        <f aca="false">IFERROR(INDEX('Output Utente'!$N$2:$N$492,MATCH(18,'Output Utente'!$R$2:$R$492,0)),"")</f>
        <v/>
      </c>
      <c r="G21" s="26" t="str">
        <f aca="false">IFERROR(INDEX('Output Utente'!$O$2:$O$492,MATCH(18,'Output Utente'!$R$2:$R$492,0)),"")</f>
        <v/>
      </c>
      <c r="H21" s="26" t="str">
        <f aca="false">IFERROR(INDEX('Output Utente'!$P$2:$P$492,MATCH(18,'Output Utente'!$R$2:$R$492,0)),"")</f>
        <v/>
      </c>
      <c r="I21" s="27" t="str">
        <f aca="false">IFERROR(INDEX('Output Utente'!$F$2:$F$492,MATCH(18,'Output Utente'!$R$2:$R$492,0)),"")</f>
        <v/>
      </c>
      <c r="J21" s="27" t="str">
        <f aca="false">IFERROR(INDEX('Output Utente'!$G$2:$G$492,MATCH(18,'Output Utente'!$R$2:$R$492,0)),"")</f>
        <v/>
      </c>
      <c r="K21" s="27" t="str">
        <f aca="false">IFERROR(INDEX('Output Utente'!$H$2:$H$492,MATCH(18,'Output Utente'!$R$2:$R$492,0)),"")</f>
        <v/>
      </c>
      <c r="L21" s="26" t="str">
        <f aca="false">IFERROR(INDEX('Output Utente'!$E$2:$E$492,MATCH(18,'Output Utente'!$R$2:$R$492,0)),"")</f>
        <v/>
      </c>
    </row>
    <row r="22" customFormat="false" ht="15" hidden="false" customHeight="true" outlineLevel="0" collapsed="false">
      <c r="A22" s="29" t="n">
        <v>19</v>
      </c>
      <c r="B22" s="26" t="str">
        <f aca="false">IFERROR(INDEX('Output Utente'!$A$2:$A$492,MATCH(19,'Output Utente'!$R$2:$R$492,0)),"")</f>
        <v/>
      </c>
      <c r="C22" s="26" t="str">
        <f aca="false">IFERROR(INDEX('Output Utente'!$B$2:$B$492,MATCH(19,'Output Utente'!$R$2:$R$492,0)),"")</f>
        <v/>
      </c>
      <c r="D22" s="26" t="str">
        <f aca="false">IFERROR(INDEX('Output Utente'!$C$2:$C$492,MATCH(19,'Output Utente'!$R$2:$R$492,0)),"")</f>
        <v/>
      </c>
      <c r="E22" s="26" t="str">
        <f aca="false">IFERROR(INDEX('Input Giocatori 2026_27'!$D$3:$D$493,MATCH($B22,'Input Giocatori 2026_27'!$A$3:$A$493,0)),"")</f>
        <v/>
      </c>
      <c r="F22" s="27" t="str">
        <f aca="false">IFERROR(INDEX('Output Utente'!$N$2:$N$492,MATCH(19,'Output Utente'!$R$2:$R$492,0)),"")</f>
        <v/>
      </c>
      <c r="G22" s="26" t="str">
        <f aca="false">IFERROR(INDEX('Output Utente'!$O$2:$O$492,MATCH(19,'Output Utente'!$R$2:$R$492,0)),"")</f>
        <v/>
      </c>
      <c r="H22" s="26" t="str">
        <f aca="false">IFERROR(INDEX('Output Utente'!$P$2:$P$492,MATCH(19,'Output Utente'!$R$2:$R$492,0)),"")</f>
        <v/>
      </c>
      <c r="I22" s="27" t="str">
        <f aca="false">IFERROR(INDEX('Output Utente'!$F$2:$F$492,MATCH(19,'Output Utente'!$R$2:$R$492,0)),"")</f>
        <v/>
      </c>
      <c r="J22" s="27" t="str">
        <f aca="false">IFERROR(INDEX('Output Utente'!$G$2:$G$492,MATCH(19,'Output Utente'!$R$2:$R$492,0)),"")</f>
        <v/>
      </c>
      <c r="K22" s="27" t="str">
        <f aca="false">IFERROR(INDEX('Output Utente'!$H$2:$H$492,MATCH(19,'Output Utente'!$R$2:$R$492,0)),"")</f>
        <v/>
      </c>
      <c r="L22" s="26" t="str">
        <f aca="false">IFERROR(INDEX('Output Utente'!$E$2:$E$492,MATCH(19,'Output Utente'!$R$2:$R$492,0)),"")</f>
        <v/>
      </c>
    </row>
    <row r="23" customFormat="false" ht="15" hidden="false" customHeight="true" outlineLevel="0" collapsed="false">
      <c r="A23" s="29" t="n">
        <v>20</v>
      </c>
      <c r="B23" s="26" t="str">
        <f aca="false">IFERROR(INDEX('Output Utente'!$A$2:$A$492,MATCH(20,'Output Utente'!$R$2:$R$492,0)),"")</f>
        <v/>
      </c>
      <c r="C23" s="26" t="str">
        <f aca="false">IFERROR(INDEX('Output Utente'!$B$2:$B$492,MATCH(20,'Output Utente'!$R$2:$R$492,0)),"")</f>
        <v/>
      </c>
      <c r="D23" s="26" t="str">
        <f aca="false">IFERROR(INDEX('Output Utente'!$C$2:$C$492,MATCH(20,'Output Utente'!$R$2:$R$492,0)),"")</f>
        <v/>
      </c>
      <c r="E23" s="26" t="str">
        <f aca="false">IFERROR(INDEX('Input Giocatori 2026_27'!$D$3:$D$493,MATCH($B23,'Input Giocatori 2026_27'!$A$3:$A$493,0)),"")</f>
        <v/>
      </c>
      <c r="F23" s="27" t="str">
        <f aca="false">IFERROR(INDEX('Output Utente'!$N$2:$N$492,MATCH(20,'Output Utente'!$R$2:$R$492,0)),"")</f>
        <v/>
      </c>
      <c r="G23" s="26" t="str">
        <f aca="false">IFERROR(INDEX('Output Utente'!$O$2:$O$492,MATCH(20,'Output Utente'!$R$2:$R$492,0)),"")</f>
        <v/>
      </c>
      <c r="H23" s="26" t="str">
        <f aca="false">IFERROR(INDEX('Output Utente'!$P$2:$P$492,MATCH(20,'Output Utente'!$R$2:$R$492,0)),"")</f>
        <v/>
      </c>
      <c r="I23" s="27" t="str">
        <f aca="false">IFERROR(INDEX('Output Utente'!$F$2:$F$492,MATCH(20,'Output Utente'!$R$2:$R$492,0)),"")</f>
        <v/>
      </c>
      <c r="J23" s="27" t="str">
        <f aca="false">IFERROR(INDEX('Output Utente'!$G$2:$G$492,MATCH(20,'Output Utente'!$R$2:$R$492,0)),"")</f>
        <v/>
      </c>
      <c r="K23" s="27" t="str">
        <f aca="false">IFERROR(INDEX('Output Utente'!$H$2:$H$492,MATCH(20,'Output Utente'!$R$2:$R$492,0)),"")</f>
        <v/>
      </c>
      <c r="L23" s="26" t="str">
        <f aca="false">IFERROR(INDEX('Output Utente'!$E$2:$E$492,MATCH(20,'Output Utente'!$R$2:$R$492,0)),"")</f>
        <v/>
      </c>
    </row>
    <row r="24" customFormat="false" ht="15" hidden="false" customHeight="true" outlineLevel="0" collapsed="false">
      <c r="A24" s="29" t="n">
        <v>21</v>
      </c>
      <c r="B24" s="26" t="str">
        <f aca="false">IFERROR(INDEX('Output Utente'!$A$2:$A$492,MATCH(21,'Output Utente'!$R$2:$R$492,0)),"")</f>
        <v/>
      </c>
      <c r="C24" s="26" t="str">
        <f aca="false">IFERROR(INDEX('Output Utente'!$B$2:$B$492,MATCH(21,'Output Utente'!$R$2:$R$492,0)),"")</f>
        <v/>
      </c>
      <c r="D24" s="26" t="str">
        <f aca="false">IFERROR(INDEX('Output Utente'!$C$2:$C$492,MATCH(21,'Output Utente'!$R$2:$R$492,0)),"")</f>
        <v/>
      </c>
      <c r="E24" s="26" t="str">
        <f aca="false">IFERROR(INDEX('Input Giocatori 2026_27'!$D$3:$D$493,MATCH($B24,'Input Giocatori 2026_27'!$A$3:$A$493,0)),"")</f>
        <v/>
      </c>
      <c r="F24" s="27" t="str">
        <f aca="false">IFERROR(INDEX('Output Utente'!$N$2:$N$492,MATCH(21,'Output Utente'!$R$2:$R$492,0)),"")</f>
        <v/>
      </c>
      <c r="G24" s="26" t="str">
        <f aca="false">IFERROR(INDEX('Output Utente'!$O$2:$O$492,MATCH(21,'Output Utente'!$R$2:$R$492,0)),"")</f>
        <v/>
      </c>
      <c r="H24" s="26" t="str">
        <f aca="false">IFERROR(INDEX('Output Utente'!$P$2:$P$492,MATCH(21,'Output Utente'!$R$2:$R$492,0)),"")</f>
        <v/>
      </c>
      <c r="I24" s="27" t="str">
        <f aca="false">IFERROR(INDEX('Output Utente'!$F$2:$F$492,MATCH(21,'Output Utente'!$R$2:$R$492,0)),"")</f>
        <v/>
      </c>
      <c r="J24" s="27" t="str">
        <f aca="false">IFERROR(INDEX('Output Utente'!$G$2:$G$492,MATCH(21,'Output Utente'!$R$2:$R$492,0)),"")</f>
        <v/>
      </c>
      <c r="K24" s="27" t="str">
        <f aca="false">IFERROR(INDEX('Output Utente'!$H$2:$H$492,MATCH(21,'Output Utente'!$R$2:$R$492,0)),"")</f>
        <v/>
      </c>
      <c r="L24" s="26" t="str">
        <f aca="false">IFERROR(INDEX('Output Utente'!$E$2:$E$492,MATCH(21,'Output Utente'!$R$2:$R$492,0)),"")</f>
        <v/>
      </c>
    </row>
    <row r="25" customFormat="false" ht="15" hidden="false" customHeight="true" outlineLevel="0" collapsed="false">
      <c r="A25" s="29" t="n">
        <v>22</v>
      </c>
      <c r="B25" s="26" t="str">
        <f aca="false">IFERROR(INDEX('Output Utente'!$A$2:$A$492,MATCH(22,'Output Utente'!$R$2:$R$492,0)),"")</f>
        <v/>
      </c>
      <c r="C25" s="26" t="str">
        <f aca="false">IFERROR(INDEX('Output Utente'!$B$2:$B$492,MATCH(22,'Output Utente'!$R$2:$R$492,0)),"")</f>
        <v/>
      </c>
      <c r="D25" s="26" t="str">
        <f aca="false">IFERROR(INDEX('Output Utente'!$C$2:$C$492,MATCH(22,'Output Utente'!$R$2:$R$492,0)),"")</f>
        <v/>
      </c>
      <c r="E25" s="26" t="str">
        <f aca="false">IFERROR(INDEX('Input Giocatori 2026_27'!$D$3:$D$493,MATCH($B25,'Input Giocatori 2026_27'!$A$3:$A$493,0)),"")</f>
        <v/>
      </c>
      <c r="F25" s="27" t="str">
        <f aca="false">IFERROR(INDEX('Output Utente'!$N$2:$N$492,MATCH(22,'Output Utente'!$R$2:$R$492,0)),"")</f>
        <v/>
      </c>
      <c r="G25" s="26" t="str">
        <f aca="false">IFERROR(INDEX('Output Utente'!$O$2:$O$492,MATCH(22,'Output Utente'!$R$2:$R$492,0)),"")</f>
        <v/>
      </c>
      <c r="H25" s="26" t="str">
        <f aca="false">IFERROR(INDEX('Output Utente'!$P$2:$P$492,MATCH(22,'Output Utente'!$R$2:$R$492,0)),"")</f>
        <v/>
      </c>
      <c r="I25" s="27" t="str">
        <f aca="false">IFERROR(INDEX('Output Utente'!$F$2:$F$492,MATCH(22,'Output Utente'!$R$2:$R$492,0)),"")</f>
        <v/>
      </c>
      <c r="J25" s="27" t="str">
        <f aca="false">IFERROR(INDEX('Output Utente'!$G$2:$G$492,MATCH(22,'Output Utente'!$R$2:$R$492,0)),"")</f>
        <v/>
      </c>
      <c r="K25" s="27" t="str">
        <f aca="false">IFERROR(INDEX('Output Utente'!$H$2:$H$492,MATCH(22,'Output Utente'!$R$2:$R$492,0)),"")</f>
        <v/>
      </c>
      <c r="L25" s="26" t="str">
        <f aca="false">IFERROR(INDEX('Output Utente'!$E$2:$E$492,MATCH(22,'Output Utente'!$R$2:$R$492,0)),"")</f>
        <v/>
      </c>
    </row>
    <row r="26" customFormat="false" ht="15" hidden="false" customHeight="true" outlineLevel="0" collapsed="false">
      <c r="A26" s="29" t="n">
        <v>23</v>
      </c>
      <c r="B26" s="26" t="str">
        <f aca="false">IFERROR(INDEX('Output Utente'!$A$2:$A$492,MATCH(23,'Output Utente'!$R$2:$R$492,0)),"")</f>
        <v/>
      </c>
      <c r="C26" s="26" t="str">
        <f aca="false">IFERROR(INDEX('Output Utente'!$B$2:$B$492,MATCH(23,'Output Utente'!$R$2:$R$492,0)),"")</f>
        <v/>
      </c>
      <c r="D26" s="26" t="str">
        <f aca="false">IFERROR(INDEX('Output Utente'!$C$2:$C$492,MATCH(23,'Output Utente'!$R$2:$R$492,0)),"")</f>
        <v/>
      </c>
      <c r="E26" s="26" t="str">
        <f aca="false">IFERROR(INDEX('Input Giocatori 2026_27'!$D$3:$D$493,MATCH($B26,'Input Giocatori 2026_27'!$A$3:$A$493,0)),"")</f>
        <v/>
      </c>
      <c r="F26" s="27" t="str">
        <f aca="false">IFERROR(INDEX('Output Utente'!$N$2:$N$492,MATCH(23,'Output Utente'!$R$2:$R$492,0)),"")</f>
        <v/>
      </c>
      <c r="G26" s="26" t="str">
        <f aca="false">IFERROR(INDEX('Output Utente'!$O$2:$O$492,MATCH(23,'Output Utente'!$R$2:$R$492,0)),"")</f>
        <v/>
      </c>
      <c r="H26" s="26" t="str">
        <f aca="false">IFERROR(INDEX('Output Utente'!$P$2:$P$492,MATCH(23,'Output Utente'!$R$2:$R$492,0)),"")</f>
        <v/>
      </c>
      <c r="I26" s="27" t="str">
        <f aca="false">IFERROR(INDEX('Output Utente'!$F$2:$F$492,MATCH(23,'Output Utente'!$R$2:$R$492,0)),"")</f>
        <v/>
      </c>
      <c r="J26" s="27" t="str">
        <f aca="false">IFERROR(INDEX('Output Utente'!$G$2:$G$492,MATCH(23,'Output Utente'!$R$2:$R$492,0)),"")</f>
        <v/>
      </c>
      <c r="K26" s="27" t="str">
        <f aca="false">IFERROR(INDEX('Output Utente'!$H$2:$H$492,MATCH(23,'Output Utente'!$R$2:$R$492,0)),"")</f>
        <v/>
      </c>
      <c r="L26" s="26" t="str">
        <f aca="false">IFERROR(INDEX('Output Utente'!$E$2:$E$492,MATCH(23,'Output Utente'!$R$2:$R$492,0)),"")</f>
        <v/>
      </c>
    </row>
    <row r="27" customFormat="false" ht="15" hidden="false" customHeight="true" outlineLevel="0" collapsed="false">
      <c r="A27" s="29" t="n">
        <v>24</v>
      </c>
      <c r="B27" s="26" t="str">
        <f aca="false">IFERROR(INDEX('Output Utente'!$A$2:$A$492,MATCH(24,'Output Utente'!$R$2:$R$492,0)),"")</f>
        <v/>
      </c>
      <c r="C27" s="26" t="str">
        <f aca="false">IFERROR(INDEX('Output Utente'!$B$2:$B$492,MATCH(24,'Output Utente'!$R$2:$R$492,0)),"")</f>
        <v/>
      </c>
      <c r="D27" s="26" t="str">
        <f aca="false">IFERROR(INDEX('Output Utente'!$C$2:$C$492,MATCH(24,'Output Utente'!$R$2:$R$492,0)),"")</f>
        <v/>
      </c>
      <c r="E27" s="26" t="str">
        <f aca="false">IFERROR(INDEX('Input Giocatori 2026_27'!$D$3:$D$493,MATCH($B27,'Input Giocatori 2026_27'!$A$3:$A$493,0)),"")</f>
        <v/>
      </c>
      <c r="F27" s="27" t="str">
        <f aca="false">IFERROR(INDEX('Output Utente'!$N$2:$N$492,MATCH(24,'Output Utente'!$R$2:$R$492,0)),"")</f>
        <v/>
      </c>
      <c r="G27" s="26" t="str">
        <f aca="false">IFERROR(INDEX('Output Utente'!$O$2:$O$492,MATCH(24,'Output Utente'!$R$2:$R$492,0)),"")</f>
        <v/>
      </c>
      <c r="H27" s="26" t="str">
        <f aca="false">IFERROR(INDEX('Output Utente'!$P$2:$P$492,MATCH(24,'Output Utente'!$R$2:$R$492,0)),"")</f>
        <v/>
      </c>
      <c r="I27" s="27" t="str">
        <f aca="false">IFERROR(INDEX('Output Utente'!$F$2:$F$492,MATCH(24,'Output Utente'!$R$2:$R$492,0)),"")</f>
        <v/>
      </c>
      <c r="J27" s="27" t="str">
        <f aca="false">IFERROR(INDEX('Output Utente'!$G$2:$G$492,MATCH(24,'Output Utente'!$R$2:$R$492,0)),"")</f>
        <v/>
      </c>
      <c r="K27" s="27" t="str">
        <f aca="false">IFERROR(INDEX('Output Utente'!$H$2:$H$492,MATCH(24,'Output Utente'!$R$2:$R$492,0)),"")</f>
        <v/>
      </c>
      <c r="L27" s="26" t="str">
        <f aca="false">IFERROR(INDEX('Output Utente'!$E$2:$E$492,MATCH(24,'Output Utente'!$R$2:$R$492,0)),"")</f>
        <v/>
      </c>
    </row>
    <row r="28" customFormat="false" ht="15" hidden="false" customHeight="true" outlineLevel="0" collapsed="false">
      <c r="A28" s="29" t="n">
        <v>25</v>
      </c>
      <c r="B28" s="26" t="str">
        <f aca="false">IFERROR(INDEX('Output Utente'!$A$2:$A$492,MATCH(25,'Output Utente'!$R$2:$R$492,0)),"")</f>
        <v/>
      </c>
      <c r="C28" s="26" t="str">
        <f aca="false">IFERROR(INDEX('Output Utente'!$B$2:$B$492,MATCH(25,'Output Utente'!$R$2:$R$492,0)),"")</f>
        <v/>
      </c>
      <c r="D28" s="26" t="str">
        <f aca="false">IFERROR(INDEX('Output Utente'!$C$2:$C$492,MATCH(25,'Output Utente'!$R$2:$R$492,0)),"")</f>
        <v/>
      </c>
      <c r="E28" s="26" t="str">
        <f aca="false">IFERROR(INDEX('Input Giocatori 2026_27'!$D$3:$D$493,MATCH($B28,'Input Giocatori 2026_27'!$A$3:$A$493,0)),"")</f>
        <v/>
      </c>
      <c r="F28" s="27" t="str">
        <f aca="false">IFERROR(INDEX('Output Utente'!$N$2:$N$492,MATCH(25,'Output Utente'!$R$2:$R$492,0)),"")</f>
        <v/>
      </c>
      <c r="G28" s="26" t="str">
        <f aca="false">IFERROR(INDEX('Output Utente'!$O$2:$O$492,MATCH(25,'Output Utente'!$R$2:$R$492,0)),"")</f>
        <v/>
      </c>
      <c r="H28" s="26" t="str">
        <f aca="false">IFERROR(INDEX('Output Utente'!$P$2:$P$492,MATCH(25,'Output Utente'!$R$2:$R$492,0)),"")</f>
        <v/>
      </c>
      <c r="I28" s="27" t="str">
        <f aca="false">IFERROR(INDEX('Output Utente'!$F$2:$F$492,MATCH(25,'Output Utente'!$R$2:$R$492,0)),"")</f>
        <v/>
      </c>
      <c r="J28" s="27" t="str">
        <f aca="false">IFERROR(INDEX('Output Utente'!$G$2:$G$492,MATCH(25,'Output Utente'!$R$2:$R$492,0)),"")</f>
        <v/>
      </c>
      <c r="K28" s="27" t="str">
        <f aca="false">IFERROR(INDEX('Output Utente'!$H$2:$H$492,MATCH(25,'Output Utente'!$R$2:$R$492,0)),"")</f>
        <v/>
      </c>
      <c r="L28" s="26" t="str">
        <f aca="false">IFERROR(INDEX('Output Utente'!$E$2:$E$492,MATCH(25,'Output Utente'!$R$2:$R$492,0)),"")</f>
        <v/>
      </c>
    </row>
    <row r="29" customFormat="false" ht="15" hidden="false" customHeight="true" outlineLevel="0" collapsed="false">
      <c r="A29" s="29" t="n">
        <v>26</v>
      </c>
      <c r="B29" s="26" t="str">
        <f aca="false">IFERROR(INDEX('Output Utente'!$A$2:$A$492,MATCH(26,'Output Utente'!$R$2:$R$492,0)),"")</f>
        <v/>
      </c>
      <c r="C29" s="26" t="str">
        <f aca="false">IFERROR(INDEX('Output Utente'!$B$2:$B$492,MATCH(26,'Output Utente'!$R$2:$R$492,0)),"")</f>
        <v/>
      </c>
      <c r="D29" s="26" t="str">
        <f aca="false">IFERROR(INDEX('Output Utente'!$C$2:$C$492,MATCH(26,'Output Utente'!$R$2:$R$492,0)),"")</f>
        <v/>
      </c>
      <c r="E29" s="26" t="str">
        <f aca="false">IFERROR(INDEX('Input Giocatori 2026_27'!$D$3:$D$493,MATCH($B29,'Input Giocatori 2026_27'!$A$3:$A$493,0)),"")</f>
        <v/>
      </c>
      <c r="F29" s="27" t="str">
        <f aca="false">IFERROR(INDEX('Output Utente'!$N$2:$N$492,MATCH(26,'Output Utente'!$R$2:$R$492,0)),"")</f>
        <v/>
      </c>
      <c r="G29" s="26" t="str">
        <f aca="false">IFERROR(INDEX('Output Utente'!$O$2:$O$492,MATCH(26,'Output Utente'!$R$2:$R$492,0)),"")</f>
        <v/>
      </c>
      <c r="H29" s="26" t="str">
        <f aca="false">IFERROR(INDEX('Output Utente'!$P$2:$P$492,MATCH(26,'Output Utente'!$R$2:$R$492,0)),"")</f>
        <v/>
      </c>
      <c r="I29" s="27" t="str">
        <f aca="false">IFERROR(INDEX('Output Utente'!$F$2:$F$492,MATCH(26,'Output Utente'!$R$2:$R$492,0)),"")</f>
        <v/>
      </c>
      <c r="J29" s="27" t="str">
        <f aca="false">IFERROR(INDEX('Output Utente'!$G$2:$G$492,MATCH(26,'Output Utente'!$R$2:$R$492,0)),"")</f>
        <v/>
      </c>
      <c r="K29" s="27" t="str">
        <f aca="false">IFERROR(INDEX('Output Utente'!$H$2:$H$492,MATCH(26,'Output Utente'!$R$2:$R$492,0)),"")</f>
        <v/>
      </c>
      <c r="L29" s="26" t="str">
        <f aca="false">IFERROR(INDEX('Output Utente'!$E$2:$E$492,MATCH(26,'Output Utente'!$R$2:$R$492,0)),"")</f>
        <v/>
      </c>
    </row>
    <row r="30" customFormat="false" ht="15" hidden="false" customHeight="true" outlineLevel="0" collapsed="false">
      <c r="A30" s="29" t="n">
        <v>27</v>
      </c>
      <c r="B30" s="26" t="str">
        <f aca="false">IFERROR(INDEX('Output Utente'!$A$2:$A$492,MATCH(27,'Output Utente'!$R$2:$R$492,0)),"")</f>
        <v/>
      </c>
      <c r="C30" s="26" t="str">
        <f aca="false">IFERROR(INDEX('Output Utente'!$B$2:$B$492,MATCH(27,'Output Utente'!$R$2:$R$492,0)),"")</f>
        <v/>
      </c>
      <c r="D30" s="26" t="str">
        <f aca="false">IFERROR(INDEX('Output Utente'!$C$2:$C$492,MATCH(27,'Output Utente'!$R$2:$R$492,0)),"")</f>
        <v/>
      </c>
      <c r="E30" s="26" t="str">
        <f aca="false">IFERROR(INDEX('Input Giocatori 2026_27'!$D$3:$D$493,MATCH($B30,'Input Giocatori 2026_27'!$A$3:$A$493,0)),"")</f>
        <v/>
      </c>
      <c r="F30" s="27" t="str">
        <f aca="false">IFERROR(INDEX('Output Utente'!$N$2:$N$492,MATCH(27,'Output Utente'!$R$2:$R$492,0)),"")</f>
        <v/>
      </c>
      <c r="G30" s="26" t="str">
        <f aca="false">IFERROR(INDEX('Output Utente'!$O$2:$O$492,MATCH(27,'Output Utente'!$R$2:$R$492,0)),"")</f>
        <v/>
      </c>
      <c r="H30" s="26" t="str">
        <f aca="false">IFERROR(INDEX('Output Utente'!$P$2:$P$492,MATCH(27,'Output Utente'!$R$2:$R$492,0)),"")</f>
        <v/>
      </c>
      <c r="I30" s="27" t="str">
        <f aca="false">IFERROR(INDEX('Output Utente'!$F$2:$F$492,MATCH(27,'Output Utente'!$R$2:$R$492,0)),"")</f>
        <v/>
      </c>
      <c r="J30" s="27" t="str">
        <f aca="false">IFERROR(INDEX('Output Utente'!$G$2:$G$492,MATCH(27,'Output Utente'!$R$2:$R$492,0)),"")</f>
        <v/>
      </c>
      <c r="K30" s="27" t="str">
        <f aca="false">IFERROR(INDEX('Output Utente'!$H$2:$H$492,MATCH(27,'Output Utente'!$R$2:$R$492,0)),"")</f>
        <v/>
      </c>
      <c r="L30" s="26" t="str">
        <f aca="false">IFERROR(INDEX('Output Utente'!$E$2:$E$492,MATCH(27,'Output Utente'!$R$2:$R$492,0)),"")</f>
        <v/>
      </c>
    </row>
    <row r="31" customFormat="false" ht="15" hidden="false" customHeight="true" outlineLevel="0" collapsed="false">
      <c r="A31" s="29" t="n">
        <v>28</v>
      </c>
      <c r="B31" s="26" t="str">
        <f aca="false">IFERROR(INDEX('Output Utente'!$A$2:$A$492,MATCH(28,'Output Utente'!$R$2:$R$492,0)),"")</f>
        <v/>
      </c>
      <c r="C31" s="26" t="str">
        <f aca="false">IFERROR(INDEX('Output Utente'!$B$2:$B$492,MATCH(28,'Output Utente'!$R$2:$R$492,0)),"")</f>
        <v/>
      </c>
      <c r="D31" s="26" t="str">
        <f aca="false">IFERROR(INDEX('Output Utente'!$C$2:$C$492,MATCH(28,'Output Utente'!$R$2:$R$492,0)),"")</f>
        <v/>
      </c>
      <c r="E31" s="26" t="str">
        <f aca="false">IFERROR(INDEX('Input Giocatori 2026_27'!$D$3:$D$493,MATCH($B31,'Input Giocatori 2026_27'!$A$3:$A$493,0)),"")</f>
        <v/>
      </c>
      <c r="F31" s="27" t="str">
        <f aca="false">IFERROR(INDEX('Output Utente'!$N$2:$N$492,MATCH(28,'Output Utente'!$R$2:$R$492,0)),"")</f>
        <v/>
      </c>
      <c r="G31" s="26" t="str">
        <f aca="false">IFERROR(INDEX('Output Utente'!$O$2:$O$492,MATCH(28,'Output Utente'!$R$2:$R$492,0)),"")</f>
        <v/>
      </c>
      <c r="H31" s="26" t="str">
        <f aca="false">IFERROR(INDEX('Output Utente'!$P$2:$P$492,MATCH(28,'Output Utente'!$R$2:$R$492,0)),"")</f>
        <v/>
      </c>
      <c r="I31" s="27" t="str">
        <f aca="false">IFERROR(INDEX('Output Utente'!$F$2:$F$492,MATCH(28,'Output Utente'!$R$2:$R$492,0)),"")</f>
        <v/>
      </c>
      <c r="J31" s="27" t="str">
        <f aca="false">IFERROR(INDEX('Output Utente'!$G$2:$G$492,MATCH(28,'Output Utente'!$R$2:$R$492,0)),"")</f>
        <v/>
      </c>
      <c r="K31" s="27" t="str">
        <f aca="false">IFERROR(INDEX('Output Utente'!$H$2:$H$492,MATCH(28,'Output Utente'!$R$2:$R$492,0)),"")</f>
        <v/>
      </c>
      <c r="L31" s="26" t="str">
        <f aca="false">IFERROR(INDEX('Output Utente'!$E$2:$E$492,MATCH(28,'Output Utente'!$R$2:$R$492,0)),"")</f>
        <v/>
      </c>
    </row>
    <row r="32" customFormat="false" ht="15" hidden="false" customHeight="true" outlineLevel="0" collapsed="false">
      <c r="A32" s="29" t="n">
        <v>29</v>
      </c>
      <c r="B32" s="26" t="str">
        <f aca="false">IFERROR(INDEX('Output Utente'!$A$2:$A$492,MATCH(29,'Output Utente'!$R$2:$R$492,0)),"")</f>
        <v/>
      </c>
      <c r="C32" s="26" t="str">
        <f aca="false">IFERROR(INDEX('Output Utente'!$B$2:$B$492,MATCH(29,'Output Utente'!$R$2:$R$492,0)),"")</f>
        <v/>
      </c>
      <c r="D32" s="26" t="str">
        <f aca="false">IFERROR(INDEX('Output Utente'!$C$2:$C$492,MATCH(29,'Output Utente'!$R$2:$R$492,0)),"")</f>
        <v/>
      </c>
      <c r="E32" s="26" t="str">
        <f aca="false">IFERROR(INDEX('Input Giocatori 2026_27'!$D$3:$D$493,MATCH($B32,'Input Giocatori 2026_27'!$A$3:$A$493,0)),"")</f>
        <v/>
      </c>
      <c r="F32" s="27" t="str">
        <f aca="false">IFERROR(INDEX('Output Utente'!$N$2:$N$492,MATCH(29,'Output Utente'!$R$2:$R$492,0)),"")</f>
        <v/>
      </c>
      <c r="G32" s="26" t="str">
        <f aca="false">IFERROR(INDEX('Output Utente'!$O$2:$O$492,MATCH(29,'Output Utente'!$R$2:$R$492,0)),"")</f>
        <v/>
      </c>
      <c r="H32" s="26" t="str">
        <f aca="false">IFERROR(INDEX('Output Utente'!$P$2:$P$492,MATCH(29,'Output Utente'!$R$2:$R$492,0)),"")</f>
        <v/>
      </c>
      <c r="I32" s="27" t="str">
        <f aca="false">IFERROR(INDEX('Output Utente'!$F$2:$F$492,MATCH(29,'Output Utente'!$R$2:$R$492,0)),"")</f>
        <v/>
      </c>
      <c r="J32" s="27" t="str">
        <f aca="false">IFERROR(INDEX('Output Utente'!$G$2:$G$492,MATCH(29,'Output Utente'!$R$2:$R$492,0)),"")</f>
        <v/>
      </c>
      <c r="K32" s="27" t="str">
        <f aca="false">IFERROR(INDEX('Output Utente'!$H$2:$H$492,MATCH(29,'Output Utente'!$R$2:$R$492,0)),"")</f>
        <v/>
      </c>
      <c r="L32" s="26" t="str">
        <f aca="false">IFERROR(INDEX('Output Utente'!$E$2:$E$492,MATCH(29,'Output Utente'!$R$2:$R$492,0)),"")</f>
        <v/>
      </c>
    </row>
    <row r="33" customFormat="false" ht="15" hidden="false" customHeight="true" outlineLevel="0" collapsed="false">
      <c r="A33" s="29" t="n">
        <v>30</v>
      </c>
      <c r="B33" s="26" t="str">
        <f aca="false">IFERROR(INDEX('Output Utente'!$A$2:$A$492,MATCH(30,'Output Utente'!$R$2:$R$492,0)),"")</f>
        <v/>
      </c>
      <c r="C33" s="26" t="str">
        <f aca="false">IFERROR(INDEX('Output Utente'!$B$2:$B$492,MATCH(30,'Output Utente'!$R$2:$R$492,0)),"")</f>
        <v/>
      </c>
      <c r="D33" s="26" t="str">
        <f aca="false">IFERROR(INDEX('Output Utente'!$C$2:$C$492,MATCH(30,'Output Utente'!$R$2:$R$492,0)),"")</f>
        <v/>
      </c>
      <c r="E33" s="26" t="str">
        <f aca="false">IFERROR(INDEX('Input Giocatori 2026_27'!$D$3:$D$493,MATCH($B33,'Input Giocatori 2026_27'!$A$3:$A$493,0)),"")</f>
        <v/>
      </c>
      <c r="F33" s="27" t="str">
        <f aca="false">IFERROR(INDEX('Output Utente'!$N$2:$N$492,MATCH(30,'Output Utente'!$R$2:$R$492,0)),"")</f>
        <v/>
      </c>
      <c r="G33" s="26" t="str">
        <f aca="false">IFERROR(INDEX('Output Utente'!$O$2:$O$492,MATCH(30,'Output Utente'!$R$2:$R$492,0)),"")</f>
        <v/>
      </c>
      <c r="H33" s="26" t="str">
        <f aca="false">IFERROR(INDEX('Output Utente'!$P$2:$P$492,MATCH(30,'Output Utente'!$R$2:$R$492,0)),"")</f>
        <v/>
      </c>
      <c r="I33" s="27" t="str">
        <f aca="false">IFERROR(INDEX('Output Utente'!$F$2:$F$492,MATCH(30,'Output Utente'!$R$2:$R$492,0)),"")</f>
        <v/>
      </c>
      <c r="J33" s="27" t="str">
        <f aca="false">IFERROR(INDEX('Output Utente'!$G$2:$G$492,MATCH(30,'Output Utente'!$R$2:$R$492,0)),"")</f>
        <v/>
      </c>
      <c r="K33" s="27" t="str">
        <f aca="false">IFERROR(INDEX('Output Utente'!$H$2:$H$492,MATCH(30,'Output Utente'!$R$2:$R$492,0)),"")</f>
        <v/>
      </c>
      <c r="L33" s="26" t="str">
        <f aca="false">IFERROR(INDEX('Output Utente'!$E$2:$E$492,MATCH(30,'Output Utente'!$R$2:$R$492,0)),"")</f>
        <v/>
      </c>
    </row>
    <row r="34" customFormat="false" ht="15" hidden="false" customHeight="true" outlineLevel="0" collapsed="false">
      <c r="A34" s="29" t="n">
        <v>31</v>
      </c>
      <c r="B34" s="26" t="str">
        <f aca="false">IFERROR(INDEX('Output Utente'!$A$2:$A$492,MATCH(31,'Output Utente'!$R$2:$R$492,0)),"")</f>
        <v/>
      </c>
      <c r="C34" s="26" t="str">
        <f aca="false">IFERROR(INDEX('Output Utente'!$B$2:$B$492,MATCH(31,'Output Utente'!$R$2:$R$492,0)),"")</f>
        <v/>
      </c>
      <c r="D34" s="26" t="str">
        <f aca="false">IFERROR(INDEX('Output Utente'!$C$2:$C$492,MATCH(31,'Output Utente'!$R$2:$R$492,0)),"")</f>
        <v/>
      </c>
      <c r="E34" s="26" t="str">
        <f aca="false">IFERROR(INDEX('Input Giocatori 2026_27'!$D$3:$D$493,MATCH($B34,'Input Giocatori 2026_27'!$A$3:$A$493,0)),"")</f>
        <v/>
      </c>
      <c r="F34" s="27" t="str">
        <f aca="false">IFERROR(INDEX('Output Utente'!$N$2:$N$492,MATCH(31,'Output Utente'!$R$2:$R$492,0)),"")</f>
        <v/>
      </c>
      <c r="G34" s="26" t="str">
        <f aca="false">IFERROR(INDEX('Output Utente'!$O$2:$O$492,MATCH(31,'Output Utente'!$R$2:$R$492,0)),"")</f>
        <v/>
      </c>
      <c r="H34" s="26" t="str">
        <f aca="false">IFERROR(INDEX('Output Utente'!$P$2:$P$492,MATCH(31,'Output Utente'!$R$2:$R$492,0)),"")</f>
        <v/>
      </c>
      <c r="I34" s="27" t="str">
        <f aca="false">IFERROR(INDEX('Output Utente'!$F$2:$F$492,MATCH(31,'Output Utente'!$R$2:$R$492,0)),"")</f>
        <v/>
      </c>
      <c r="J34" s="27" t="str">
        <f aca="false">IFERROR(INDEX('Output Utente'!$G$2:$G$492,MATCH(31,'Output Utente'!$R$2:$R$492,0)),"")</f>
        <v/>
      </c>
      <c r="K34" s="27" t="str">
        <f aca="false">IFERROR(INDEX('Output Utente'!$H$2:$H$492,MATCH(31,'Output Utente'!$R$2:$R$492,0)),"")</f>
        <v/>
      </c>
      <c r="L34" s="26" t="str">
        <f aca="false">IFERROR(INDEX('Output Utente'!$E$2:$E$492,MATCH(31,'Output Utente'!$R$2:$R$492,0)),"")</f>
        <v/>
      </c>
    </row>
    <row r="35" customFormat="false" ht="15" hidden="false" customHeight="true" outlineLevel="0" collapsed="false">
      <c r="A35" s="29" t="n">
        <v>32</v>
      </c>
      <c r="B35" s="26" t="str">
        <f aca="false">IFERROR(INDEX('Output Utente'!$A$2:$A$492,MATCH(32,'Output Utente'!$R$2:$R$492,0)),"")</f>
        <v/>
      </c>
      <c r="C35" s="26" t="str">
        <f aca="false">IFERROR(INDEX('Output Utente'!$B$2:$B$492,MATCH(32,'Output Utente'!$R$2:$R$492,0)),"")</f>
        <v/>
      </c>
      <c r="D35" s="26" t="str">
        <f aca="false">IFERROR(INDEX('Output Utente'!$C$2:$C$492,MATCH(32,'Output Utente'!$R$2:$R$492,0)),"")</f>
        <v/>
      </c>
      <c r="E35" s="26" t="str">
        <f aca="false">IFERROR(INDEX('Input Giocatori 2026_27'!$D$3:$D$493,MATCH($B35,'Input Giocatori 2026_27'!$A$3:$A$493,0)),"")</f>
        <v/>
      </c>
      <c r="F35" s="27" t="str">
        <f aca="false">IFERROR(INDEX('Output Utente'!$N$2:$N$492,MATCH(32,'Output Utente'!$R$2:$R$492,0)),"")</f>
        <v/>
      </c>
      <c r="G35" s="26" t="str">
        <f aca="false">IFERROR(INDEX('Output Utente'!$O$2:$O$492,MATCH(32,'Output Utente'!$R$2:$R$492,0)),"")</f>
        <v/>
      </c>
      <c r="H35" s="26" t="str">
        <f aca="false">IFERROR(INDEX('Output Utente'!$P$2:$P$492,MATCH(32,'Output Utente'!$R$2:$R$492,0)),"")</f>
        <v/>
      </c>
      <c r="I35" s="27" t="str">
        <f aca="false">IFERROR(INDEX('Output Utente'!$F$2:$F$492,MATCH(32,'Output Utente'!$R$2:$R$492,0)),"")</f>
        <v/>
      </c>
      <c r="J35" s="27" t="str">
        <f aca="false">IFERROR(INDEX('Output Utente'!$G$2:$G$492,MATCH(32,'Output Utente'!$R$2:$R$492,0)),"")</f>
        <v/>
      </c>
      <c r="K35" s="27" t="str">
        <f aca="false">IFERROR(INDEX('Output Utente'!$H$2:$H$492,MATCH(32,'Output Utente'!$R$2:$R$492,0)),"")</f>
        <v/>
      </c>
      <c r="L35" s="26" t="str">
        <f aca="false">IFERROR(INDEX('Output Utente'!$E$2:$E$492,MATCH(32,'Output Utente'!$R$2:$R$492,0)),"")</f>
        <v/>
      </c>
    </row>
    <row r="36" customFormat="false" ht="15" hidden="false" customHeight="true" outlineLevel="0" collapsed="false">
      <c r="A36" s="29" t="n">
        <v>33</v>
      </c>
      <c r="B36" s="26" t="str">
        <f aca="false">IFERROR(INDEX('Output Utente'!$A$2:$A$492,MATCH(33,'Output Utente'!$R$2:$R$492,0)),"")</f>
        <v/>
      </c>
      <c r="C36" s="26" t="str">
        <f aca="false">IFERROR(INDEX('Output Utente'!$B$2:$B$492,MATCH(33,'Output Utente'!$R$2:$R$492,0)),"")</f>
        <v/>
      </c>
      <c r="D36" s="26" t="str">
        <f aca="false">IFERROR(INDEX('Output Utente'!$C$2:$C$492,MATCH(33,'Output Utente'!$R$2:$R$492,0)),"")</f>
        <v/>
      </c>
      <c r="E36" s="26" t="str">
        <f aca="false">IFERROR(INDEX('Input Giocatori 2026_27'!$D$3:$D$493,MATCH($B36,'Input Giocatori 2026_27'!$A$3:$A$493,0)),"")</f>
        <v/>
      </c>
      <c r="F36" s="27" t="str">
        <f aca="false">IFERROR(INDEX('Output Utente'!$N$2:$N$492,MATCH(33,'Output Utente'!$R$2:$R$492,0)),"")</f>
        <v/>
      </c>
      <c r="G36" s="26" t="str">
        <f aca="false">IFERROR(INDEX('Output Utente'!$O$2:$O$492,MATCH(33,'Output Utente'!$R$2:$R$492,0)),"")</f>
        <v/>
      </c>
      <c r="H36" s="26" t="str">
        <f aca="false">IFERROR(INDEX('Output Utente'!$P$2:$P$492,MATCH(33,'Output Utente'!$R$2:$R$492,0)),"")</f>
        <v/>
      </c>
      <c r="I36" s="27" t="str">
        <f aca="false">IFERROR(INDEX('Output Utente'!$F$2:$F$492,MATCH(33,'Output Utente'!$R$2:$R$492,0)),"")</f>
        <v/>
      </c>
      <c r="J36" s="27" t="str">
        <f aca="false">IFERROR(INDEX('Output Utente'!$G$2:$G$492,MATCH(33,'Output Utente'!$R$2:$R$492,0)),"")</f>
        <v/>
      </c>
      <c r="K36" s="27" t="str">
        <f aca="false">IFERROR(INDEX('Output Utente'!$H$2:$H$492,MATCH(33,'Output Utente'!$R$2:$R$492,0)),"")</f>
        <v/>
      </c>
      <c r="L36" s="26" t="str">
        <f aca="false">IFERROR(INDEX('Output Utente'!$E$2:$E$492,MATCH(33,'Output Utente'!$R$2:$R$492,0)),"")</f>
        <v/>
      </c>
    </row>
    <row r="37" customFormat="false" ht="15" hidden="false" customHeight="true" outlineLevel="0" collapsed="false">
      <c r="A37" s="29" t="n">
        <v>34</v>
      </c>
      <c r="B37" s="26" t="str">
        <f aca="false">IFERROR(INDEX('Output Utente'!$A$2:$A$492,MATCH(34,'Output Utente'!$R$2:$R$492,0)),"")</f>
        <v/>
      </c>
      <c r="C37" s="26" t="str">
        <f aca="false">IFERROR(INDEX('Output Utente'!$B$2:$B$492,MATCH(34,'Output Utente'!$R$2:$R$492,0)),"")</f>
        <v/>
      </c>
      <c r="D37" s="26" t="str">
        <f aca="false">IFERROR(INDEX('Output Utente'!$C$2:$C$492,MATCH(34,'Output Utente'!$R$2:$R$492,0)),"")</f>
        <v/>
      </c>
      <c r="E37" s="26" t="str">
        <f aca="false">IFERROR(INDEX('Input Giocatori 2026_27'!$D$3:$D$493,MATCH($B37,'Input Giocatori 2026_27'!$A$3:$A$493,0)),"")</f>
        <v/>
      </c>
      <c r="F37" s="27" t="str">
        <f aca="false">IFERROR(INDEX('Output Utente'!$N$2:$N$492,MATCH(34,'Output Utente'!$R$2:$R$492,0)),"")</f>
        <v/>
      </c>
      <c r="G37" s="26" t="str">
        <f aca="false">IFERROR(INDEX('Output Utente'!$O$2:$O$492,MATCH(34,'Output Utente'!$R$2:$R$492,0)),"")</f>
        <v/>
      </c>
      <c r="H37" s="26" t="str">
        <f aca="false">IFERROR(INDEX('Output Utente'!$P$2:$P$492,MATCH(34,'Output Utente'!$R$2:$R$492,0)),"")</f>
        <v/>
      </c>
      <c r="I37" s="27" t="str">
        <f aca="false">IFERROR(INDEX('Output Utente'!$F$2:$F$492,MATCH(34,'Output Utente'!$R$2:$R$492,0)),"")</f>
        <v/>
      </c>
      <c r="J37" s="27" t="str">
        <f aca="false">IFERROR(INDEX('Output Utente'!$G$2:$G$492,MATCH(34,'Output Utente'!$R$2:$R$492,0)),"")</f>
        <v/>
      </c>
      <c r="K37" s="27" t="str">
        <f aca="false">IFERROR(INDEX('Output Utente'!$H$2:$H$492,MATCH(34,'Output Utente'!$R$2:$R$492,0)),"")</f>
        <v/>
      </c>
      <c r="L37" s="26" t="str">
        <f aca="false">IFERROR(INDEX('Output Utente'!$E$2:$E$492,MATCH(34,'Output Utente'!$R$2:$R$492,0)),"")</f>
        <v/>
      </c>
    </row>
    <row r="38" customFormat="false" ht="15" hidden="false" customHeight="true" outlineLevel="0" collapsed="false">
      <c r="A38" s="29" t="n">
        <v>35</v>
      </c>
      <c r="B38" s="26" t="str">
        <f aca="false">IFERROR(INDEX('Output Utente'!$A$2:$A$492,MATCH(35,'Output Utente'!$R$2:$R$492,0)),"")</f>
        <v/>
      </c>
      <c r="C38" s="26" t="str">
        <f aca="false">IFERROR(INDEX('Output Utente'!$B$2:$B$492,MATCH(35,'Output Utente'!$R$2:$R$492,0)),"")</f>
        <v/>
      </c>
      <c r="D38" s="26" t="str">
        <f aca="false">IFERROR(INDEX('Output Utente'!$C$2:$C$492,MATCH(35,'Output Utente'!$R$2:$R$492,0)),"")</f>
        <v/>
      </c>
      <c r="E38" s="26" t="str">
        <f aca="false">IFERROR(INDEX('Input Giocatori 2026_27'!$D$3:$D$493,MATCH($B38,'Input Giocatori 2026_27'!$A$3:$A$493,0)),"")</f>
        <v/>
      </c>
      <c r="F38" s="27" t="str">
        <f aca="false">IFERROR(INDEX('Output Utente'!$N$2:$N$492,MATCH(35,'Output Utente'!$R$2:$R$492,0)),"")</f>
        <v/>
      </c>
      <c r="G38" s="26" t="str">
        <f aca="false">IFERROR(INDEX('Output Utente'!$O$2:$O$492,MATCH(35,'Output Utente'!$R$2:$R$492,0)),"")</f>
        <v/>
      </c>
      <c r="H38" s="26" t="str">
        <f aca="false">IFERROR(INDEX('Output Utente'!$P$2:$P$492,MATCH(35,'Output Utente'!$R$2:$R$492,0)),"")</f>
        <v/>
      </c>
      <c r="I38" s="27" t="str">
        <f aca="false">IFERROR(INDEX('Output Utente'!$F$2:$F$492,MATCH(35,'Output Utente'!$R$2:$R$492,0)),"")</f>
        <v/>
      </c>
      <c r="J38" s="27" t="str">
        <f aca="false">IFERROR(INDEX('Output Utente'!$G$2:$G$492,MATCH(35,'Output Utente'!$R$2:$R$492,0)),"")</f>
        <v/>
      </c>
      <c r="K38" s="27" t="str">
        <f aca="false">IFERROR(INDEX('Output Utente'!$H$2:$H$492,MATCH(35,'Output Utente'!$R$2:$R$492,0)),"")</f>
        <v/>
      </c>
      <c r="L38" s="26" t="str">
        <f aca="false">IFERROR(INDEX('Output Utente'!$E$2:$E$492,MATCH(35,'Output Utente'!$R$2:$R$492,0)),"")</f>
        <v/>
      </c>
    </row>
    <row r="39" customFormat="false" ht="15" hidden="false" customHeight="true" outlineLevel="0" collapsed="false">
      <c r="A39" s="29" t="n">
        <v>36</v>
      </c>
      <c r="B39" s="26" t="str">
        <f aca="false">IFERROR(INDEX('Output Utente'!$A$2:$A$492,MATCH(36,'Output Utente'!$R$2:$R$492,0)),"")</f>
        <v/>
      </c>
      <c r="C39" s="26" t="str">
        <f aca="false">IFERROR(INDEX('Output Utente'!$B$2:$B$492,MATCH(36,'Output Utente'!$R$2:$R$492,0)),"")</f>
        <v/>
      </c>
      <c r="D39" s="26" t="str">
        <f aca="false">IFERROR(INDEX('Output Utente'!$C$2:$C$492,MATCH(36,'Output Utente'!$R$2:$R$492,0)),"")</f>
        <v/>
      </c>
      <c r="E39" s="26" t="str">
        <f aca="false">IFERROR(INDEX('Input Giocatori 2026_27'!$D$3:$D$493,MATCH($B39,'Input Giocatori 2026_27'!$A$3:$A$493,0)),"")</f>
        <v/>
      </c>
      <c r="F39" s="27" t="str">
        <f aca="false">IFERROR(INDEX('Output Utente'!$N$2:$N$492,MATCH(36,'Output Utente'!$R$2:$R$492,0)),"")</f>
        <v/>
      </c>
      <c r="G39" s="26" t="str">
        <f aca="false">IFERROR(INDEX('Output Utente'!$O$2:$O$492,MATCH(36,'Output Utente'!$R$2:$R$492,0)),"")</f>
        <v/>
      </c>
      <c r="H39" s="26" t="str">
        <f aca="false">IFERROR(INDEX('Output Utente'!$P$2:$P$492,MATCH(36,'Output Utente'!$R$2:$R$492,0)),"")</f>
        <v/>
      </c>
      <c r="I39" s="27" t="str">
        <f aca="false">IFERROR(INDEX('Output Utente'!$F$2:$F$492,MATCH(36,'Output Utente'!$R$2:$R$492,0)),"")</f>
        <v/>
      </c>
      <c r="J39" s="27" t="str">
        <f aca="false">IFERROR(INDEX('Output Utente'!$G$2:$G$492,MATCH(36,'Output Utente'!$R$2:$R$492,0)),"")</f>
        <v/>
      </c>
      <c r="K39" s="27" t="str">
        <f aca="false">IFERROR(INDEX('Output Utente'!$H$2:$H$492,MATCH(36,'Output Utente'!$R$2:$R$492,0)),"")</f>
        <v/>
      </c>
      <c r="L39" s="26" t="str">
        <f aca="false">IFERROR(INDEX('Output Utente'!$E$2:$E$492,MATCH(36,'Output Utente'!$R$2:$R$492,0)),"")</f>
        <v/>
      </c>
    </row>
    <row r="40" customFormat="false" ht="15" hidden="false" customHeight="true" outlineLevel="0" collapsed="false">
      <c r="A40" s="29" t="n">
        <v>37</v>
      </c>
      <c r="B40" s="26" t="str">
        <f aca="false">IFERROR(INDEX('Output Utente'!$A$2:$A$492,MATCH(37,'Output Utente'!$R$2:$R$492,0)),"")</f>
        <v/>
      </c>
      <c r="C40" s="26" t="str">
        <f aca="false">IFERROR(INDEX('Output Utente'!$B$2:$B$492,MATCH(37,'Output Utente'!$R$2:$R$492,0)),"")</f>
        <v/>
      </c>
      <c r="D40" s="26" t="str">
        <f aca="false">IFERROR(INDEX('Output Utente'!$C$2:$C$492,MATCH(37,'Output Utente'!$R$2:$R$492,0)),"")</f>
        <v/>
      </c>
      <c r="E40" s="26" t="str">
        <f aca="false">IFERROR(INDEX('Input Giocatori 2026_27'!$D$3:$D$493,MATCH($B40,'Input Giocatori 2026_27'!$A$3:$A$493,0)),"")</f>
        <v/>
      </c>
      <c r="F40" s="27" t="str">
        <f aca="false">IFERROR(INDEX('Output Utente'!$N$2:$N$492,MATCH(37,'Output Utente'!$R$2:$R$492,0)),"")</f>
        <v/>
      </c>
      <c r="G40" s="26" t="str">
        <f aca="false">IFERROR(INDEX('Output Utente'!$O$2:$O$492,MATCH(37,'Output Utente'!$R$2:$R$492,0)),"")</f>
        <v/>
      </c>
      <c r="H40" s="26" t="str">
        <f aca="false">IFERROR(INDEX('Output Utente'!$P$2:$P$492,MATCH(37,'Output Utente'!$R$2:$R$492,0)),"")</f>
        <v/>
      </c>
      <c r="I40" s="27" t="str">
        <f aca="false">IFERROR(INDEX('Output Utente'!$F$2:$F$492,MATCH(37,'Output Utente'!$R$2:$R$492,0)),"")</f>
        <v/>
      </c>
      <c r="J40" s="27" t="str">
        <f aca="false">IFERROR(INDEX('Output Utente'!$G$2:$G$492,MATCH(37,'Output Utente'!$R$2:$R$492,0)),"")</f>
        <v/>
      </c>
      <c r="K40" s="27" t="str">
        <f aca="false">IFERROR(INDEX('Output Utente'!$H$2:$H$492,MATCH(37,'Output Utente'!$R$2:$R$492,0)),"")</f>
        <v/>
      </c>
      <c r="L40" s="26" t="str">
        <f aca="false">IFERROR(INDEX('Output Utente'!$E$2:$E$492,MATCH(37,'Output Utente'!$R$2:$R$492,0)),"")</f>
        <v/>
      </c>
    </row>
    <row r="41" customFormat="false" ht="15" hidden="false" customHeight="true" outlineLevel="0" collapsed="false">
      <c r="A41" s="29" t="n">
        <v>38</v>
      </c>
      <c r="B41" s="26" t="str">
        <f aca="false">IFERROR(INDEX('Output Utente'!$A$2:$A$492,MATCH(38,'Output Utente'!$R$2:$R$492,0)),"")</f>
        <v/>
      </c>
      <c r="C41" s="26" t="str">
        <f aca="false">IFERROR(INDEX('Output Utente'!$B$2:$B$492,MATCH(38,'Output Utente'!$R$2:$R$492,0)),"")</f>
        <v/>
      </c>
      <c r="D41" s="26" t="str">
        <f aca="false">IFERROR(INDEX('Output Utente'!$C$2:$C$492,MATCH(38,'Output Utente'!$R$2:$R$492,0)),"")</f>
        <v/>
      </c>
      <c r="E41" s="26" t="str">
        <f aca="false">IFERROR(INDEX('Input Giocatori 2026_27'!$D$3:$D$493,MATCH($B41,'Input Giocatori 2026_27'!$A$3:$A$493,0)),"")</f>
        <v/>
      </c>
      <c r="F41" s="27" t="str">
        <f aca="false">IFERROR(INDEX('Output Utente'!$N$2:$N$492,MATCH(38,'Output Utente'!$R$2:$R$492,0)),"")</f>
        <v/>
      </c>
      <c r="G41" s="26" t="str">
        <f aca="false">IFERROR(INDEX('Output Utente'!$O$2:$O$492,MATCH(38,'Output Utente'!$R$2:$R$492,0)),"")</f>
        <v/>
      </c>
      <c r="H41" s="26" t="str">
        <f aca="false">IFERROR(INDEX('Output Utente'!$P$2:$P$492,MATCH(38,'Output Utente'!$R$2:$R$492,0)),"")</f>
        <v/>
      </c>
      <c r="I41" s="27" t="str">
        <f aca="false">IFERROR(INDEX('Output Utente'!$F$2:$F$492,MATCH(38,'Output Utente'!$R$2:$R$492,0)),"")</f>
        <v/>
      </c>
      <c r="J41" s="27" t="str">
        <f aca="false">IFERROR(INDEX('Output Utente'!$G$2:$G$492,MATCH(38,'Output Utente'!$R$2:$R$492,0)),"")</f>
        <v/>
      </c>
      <c r="K41" s="27" t="str">
        <f aca="false">IFERROR(INDEX('Output Utente'!$H$2:$H$492,MATCH(38,'Output Utente'!$R$2:$R$492,0)),"")</f>
        <v/>
      </c>
      <c r="L41" s="26" t="str">
        <f aca="false">IFERROR(INDEX('Output Utente'!$E$2:$E$492,MATCH(38,'Output Utente'!$R$2:$R$492,0)),"")</f>
        <v/>
      </c>
    </row>
    <row r="42" customFormat="false" ht="15" hidden="false" customHeight="true" outlineLevel="0" collapsed="false">
      <c r="A42" s="29" t="n">
        <v>39</v>
      </c>
      <c r="B42" s="26" t="str">
        <f aca="false">IFERROR(INDEX('Output Utente'!$A$2:$A$492,MATCH(39,'Output Utente'!$R$2:$R$492,0)),"")</f>
        <v/>
      </c>
      <c r="C42" s="26" t="str">
        <f aca="false">IFERROR(INDEX('Output Utente'!$B$2:$B$492,MATCH(39,'Output Utente'!$R$2:$R$492,0)),"")</f>
        <v/>
      </c>
      <c r="D42" s="26" t="str">
        <f aca="false">IFERROR(INDEX('Output Utente'!$C$2:$C$492,MATCH(39,'Output Utente'!$R$2:$R$492,0)),"")</f>
        <v/>
      </c>
      <c r="E42" s="26" t="str">
        <f aca="false">IFERROR(INDEX('Input Giocatori 2026_27'!$D$3:$D$493,MATCH($B42,'Input Giocatori 2026_27'!$A$3:$A$493,0)),"")</f>
        <v/>
      </c>
      <c r="F42" s="27" t="str">
        <f aca="false">IFERROR(INDEX('Output Utente'!$N$2:$N$492,MATCH(39,'Output Utente'!$R$2:$R$492,0)),"")</f>
        <v/>
      </c>
      <c r="G42" s="26" t="str">
        <f aca="false">IFERROR(INDEX('Output Utente'!$O$2:$O$492,MATCH(39,'Output Utente'!$R$2:$R$492,0)),"")</f>
        <v/>
      </c>
      <c r="H42" s="26" t="str">
        <f aca="false">IFERROR(INDEX('Output Utente'!$P$2:$P$492,MATCH(39,'Output Utente'!$R$2:$R$492,0)),"")</f>
        <v/>
      </c>
      <c r="I42" s="27" t="str">
        <f aca="false">IFERROR(INDEX('Output Utente'!$F$2:$F$492,MATCH(39,'Output Utente'!$R$2:$R$492,0)),"")</f>
        <v/>
      </c>
      <c r="J42" s="27" t="str">
        <f aca="false">IFERROR(INDEX('Output Utente'!$G$2:$G$492,MATCH(39,'Output Utente'!$R$2:$R$492,0)),"")</f>
        <v/>
      </c>
      <c r="K42" s="27" t="str">
        <f aca="false">IFERROR(INDEX('Output Utente'!$H$2:$H$492,MATCH(39,'Output Utente'!$R$2:$R$492,0)),"")</f>
        <v/>
      </c>
      <c r="L42" s="26" t="str">
        <f aca="false">IFERROR(INDEX('Output Utente'!$E$2:$E$492,MATCH(39,'Output Utente'!$R$2:$R$492,0)),"")</f>
        <v/>
      </c>
    </row>
    <row r="43" customFormat="false" ht="15" hidden="false" customHeight="true" outlineLevel="0" collapsed="false">
      <c r="A43" s="29" t="n">
        <v>40</v>
      </c>
      <c r="B43" s="26" t="str">
        <f aca="false">IFERROR(INDEX('Output Utente'!$A$2:$A$492,MATCH(40,'Output Utente'!$R$2:$R$492,0)),"")</f>
        <v/>
      </c>
      <c r="C43" s="26" t="str">
        <f aca="false">IFERROR(INDEX('Output Utente'!$B$2:$B$492,MATCH(40,'Output Utente'!$R$2:$R$492,0)),"")</f>
        <v/>
      </c>
      <c r="D43" s="26" t="str">
        <f aca="false">IFERROR(INDEX('Output Utente'!$C$2:$C$492,MATCH(40,'Output Utente'!$R$2:$R$492,0)),"")</f>
        <v/>
      </c>
      <c r="E43" s="26" t="str">
        <f aca="false">IFERROR(INDEX('Input Giocatori 2026_27'!$D$3:$D$493,MATCH($B43,'Input Giocatori 2026_27'!$A$3:$A$493,0)),"")</f>
        <v/>
      </c>
      <c r="F43" s="27" t="str">
        <f aca="false">IFERROR(INDEX('Output Utente'!$N$2:$N$492,MATCH(40,'Output Utente'!$R$2:$R$492,0)),"")</f>
        <v/>
      </c>
      <c r="G43" s="26" t="str">
        <f aca="false">IFERROR(INDEX('Output Utente'!$O$2:$O$492,MATCH(40,'Output Utente'!$R$2:$R$492,0)),"")</f>
        <v/>
      </c>
      <c r="H43" s="26" t="str">
        <f aca="false">IFERROR(INDEX('Output Utente'!$P$2:$P$492,MATCH(40,'Output Utente'!$R$2:$R$492,0)),"")</f>
        <v/>
      </c>
      <c r="I43" s="27" t="str">
        <f aca="false">IFERROR(INDEX('Output Utente'!$F$2:$F$492,MATCH(40,'Output Utente'!$R$2:$R$492,0)),"")</f>
        <v/>
      </c>
      <c r="J43" s="27" t="str">
        <f aca="false">IFERROR(INDEX('Output Utente'!$G$2:$G$492,MATCH(40,'Output Utente'!$R$2:$R$492,0)),"")</f>
        <v/>
      </c>
      <c r="K43" s="27" t="str">
        <f aca="false">IFERROR(INDEX('Output Utente'!$H$2:$H$492,MATCH(40,'Output Utente'!$R$2:$R$492,0)),"")</f>
        <v/>
      </c>
      <c r="L43" s="26" t="str">
        <f aca="false">IFERROR(INDEX('Output Utente'!$E$2:$E$492,MATCH(40,'Output Utente'!$R$2:$R$492,0)),"")</f>
        <v/>
      </c>
    </row>
    <row r="44" customFormat="false" ht="15" hidden="false" customHeight="true" outlineLevel="0" collapsed="false">
      <c r="A44" s="29" t="n">
        <v>41</v>
      </c>
      <c r="B44" s="26" t="str">
        <f aca="false">IFERROR(INDEX('Output Utente'!$A$2:$A$492,MATCH(41,'Output Utente'!$R$2:$R$492,0)),"")</f>
        <v/>
      </c>
      <c r="C44" s="26" t="str">
        <f aca="false">IFERROR(INDEX('Output Utente'!$B$2:$B$492,MATCH(41,'Output Utente'!$R$2:$R$492,0)),"")</f>
        <v/>
      </c>
      <c r="D44" s="26" t="str">
        <f aca="false">IFERROR(INDEX('Output Utente'!$C$2:$C$492,MATCH(41,'Output Utente'!$R$2:$R$492,0)),"")</f>
        <v/>
      </c>
      <c r="E44" s="26" t="str">
        <f aca="false">IFERROR(INDEX('Input Giocatori 2026_27'!$D$3:$D$493,MATCH($B44,'Input Giocatori 2026_27'!$A$3:$A$493,0)),"")</f>
        <v/>
      </c>
      <c r="F44" s="27" t="str">
        <f aca="false">IFERROR(INDEX('Output Utente'!$N$2:$N$492,MATCH(41,'Output Utente'!$R$2:$R$492,0)),"")</f>
        <v/>
      </c>
      <c r="G44" s="26" t="str">
        <f aca="false">IFERROR(INDEX('Output Utente'!$O$2:$O$492,MATCH(41,'Output Utente'!$R$2:$R$492,0)),"")</f>
        <v/>
      </c>
      <c r="H44" s="26" t="str">
        <f aca="false">IFERROR(INDEX('Output Utente'!$P$2:$P$492,MATCH(41,'Output Utente'!$R$2:$R$492,0)),"")</f>
        <v/>
      </c>
      <c r="I44" s="27" t="str">
        <f aca="false">IFERROR(INDEX('Output Utente'!$F$2:$F$492,MATCH(41,'Output Utente'!$R$2:$R$492,0)),"")</f>
        <v/>
      </c>
      <c r="J44" s="27" t="str">
        <f aca="false">IFERROR(INDEX('Output Utente'!$G$2:$G$492,MATCH(41,'Output Utente'!$R$2:$R$492,0)),"")</f>
        <v/>
      </c>
      <c r="K44" s="27" t="str">
        <f aca="false">IFERROR(INDEX('Output Utente'!$H$2:$H$492,MATCH(41,'Output Utente'!$R$2:$R$492,0)),"")</f>
        <v/>
      </c>
      <c r="L44" s="26" t="str">
        <f aca="false">IFERROR(INDEX('Output Utente'!$E$2:$E$492,MATCH(41,'Output Utente'!$R$2:$R$492,0)),"")</f>
        <v/>
      </c>
    </row>
    <row r="45" customFormat="false" ht="15" hidden="false" customHeight="true" outlineLevel="0" collapsed="false">
      <c r="A45" s="29" t="n">
        <v>42</v>
      </c>
      <c r="B45" s="26" t="str">
        <f aca="false">IFERROR(INDEX('Output Utente'!$A$2:$A$492,MATCH(42,'Output Utente'!$R$2:$R$492,0)),"")</f>
        <v/>
      </c>
      <c r="C45" s="26" t="str">
        <f aca="false">IFERROR(INDEX('Output Utente'!$B$2:$B$492,MATCH(42,'Output Utente'!$R$2:$R$492,0)),"")</f>
        <v/>
      </c>
      <c r="D45" s="26" t="str">
        <f aca="false">IFERROR(INDEX('Output Utente'!$C$2:$C$492,MATCH(42,'Output Utente'!$R$2:$R$492,0)),"")</f>
        <v/>
      </c>
      <c r="E45" s="26" t="str">
        <f aca="false">IFERROR(INDEX('Input Giocatori 2026_27'!$D$3:$D$493,MATCH($B45,'Input Giocatori 2026_27'!$A$3:$A$493,0)),"")</f>
        <v/>
      </c>
      <c r="F45" s="27" t="str">
        <f aca="false">IFERROR(INDEX('Output Utente'!$N$2:$N$492,MATCH(42,'Output Utente'!$R$2:$R$492,0)),"")</f>
        <v/>
      </c>
      <c r="G45" s="26" t="str">
        <f aca="false">IFERROR(INDEX('Output Utente'!$O$2:$O$492,MATCH(42,'Output Utente'!$R$2:$R$492,0)),"")</f>
        <v/>
      </c>
      <c r="H45" s="26" t="str">
        <f aca="false">IFERROR(INDEX('Output Utente'!$P$2:$P$492,MATCH(42,'Output Utente'!$R$2:$R$492,0)),"")</f>
        <v/>
      </c>
      <c r="I45" s="27" t="str">
        <f aca="false">IFERROR(INDEX('Output Utente'!$F$2:$F$492,MATCH(42,'Output Utente'!$R$2:$R$492,0)),"")</f>
        <v/>
      </c>
      <c r="J45" s="27" t="str">
        <f aca="false">IFERROR(INDEX('Output Utente'!$G$2:$G$492,MATCH(42,'Output Utente'!$R$2:$R$492,0)),"")</f>
        <v/>
      </c>
      <c r="K45" s="27" t="str">
        <f aca="false">IFERROR(INDEX('Output Utente'!$H$2:$H$492,MATCH(42,'Output Utente'!$R$2:$R$492,0)),"")</f>
        <v/>
      </c>
      <c r="L45" s="26" t="str">
        <f aca="false">IFERROR(INDEX('Output Utente'!$E$2:$E$492,MATCH(42,'Output Utente'!$R$2:$R$492,0)),"")</f>
        <v/>
      </c>
    </row>
    <row r="46" customFormat="false" ht="15" hidden="false" customHeight="true" outlineLevel="0" collapsed="false">
      <c r="A46" s="29" t="n">
        <v>43</v>
      </c>
      <c r="B46" s="26" t="str">
        <f aca="false">IFERROR(INDEX('Output Utente'!$A$2:$A$492,MATCH(43,'Output Utente'!$R$2:$R$492,0)),"")</f>
        <v/>
      </c>
      <c r="C46" s="26" t="str">
        <f aca="false">IFERROR(INDEX('Output Utente'!$B$2:$B$492,MATCH(43,'Output Utente'!$R$2:$R$492,0)),"")</f>
        <v/>
      </c>
      <c r="D46" s="26" t="str">
        <f aca="false">IFERROR(INDEX('Output Utente'!$C$2:$C$492,MATCH(43,'Output Utente'!$R$2:$R$492,0)),"")</f>
        <v/>
      </c>
      <c r="E46" s="26" t="str">
        <f aca="false">IFERROR(INDEX('Input Giocatori 2026_27'!$D$3:$D$493,MATCH($B46,'Input Giocatori 2026_27'!$A$3:$A$493,0)),"")</f>
        <v/>
      </c>
      <c r="F46" s="27" t="str">
        <f aca="false">IFERROR(INDEX('Output Utente'!$N$2:$N$492,MATCH(43,'Output Utente'!$R$2:$R$492,0)),"")</f>
        <v/>
      </c>
      <c r="G46" s="26" t="str">
        <f aca="false">IFERROR(INDEX('Output Utente'!$O$2:$O$492,MATCH(43,'Output Utente'!$R$2:$R$492,0)),"")</f>
        <v/>
      </c>
      <c r="H46" s="26" t="str">
        <f aca="false">IFERROR(INDEX('Output Utente'!$P$2:$P$492,MATCH(43,'Output Utente'!$R$2:$R$492,0)),"")</f>
        <v/>
      </c>
      <c r="I46" s="27" t="str">
        <f aca="false">IFERROR(INDEX('Output Utente'!$F$2:$F$492,MATCH(43,'Output Utente'!$R$2:$R$492,0)),"")</f>
        <v/>
      </c>
      <c r="J46" s="27" t="str">
        <f aca="false">IFERROR(INDEX('Output Utente'!$G$2:$G$492,MATCH(43,'Output Utente'!$R$2:$R$492,0)),"")</f>
        <v/>
      </c>
      <c r="K46" s="27" t="str">
        <f aca="false">IFERROR(INDEX('Output Utente'!$H$2:$H$492,MATCH(43,'Output Utente'!$R$2:$R$492,0)),"")</f>
        <v/>
      </c>
      <c r="L46" s="26" t="str">
        <f aca="false">IFERROR(INDEX('Output Utente'!$E$2:$E$492,MATCH(43,'Output Utente'!$R$2:$R$492,0)),"")</f>
        <v/>
      </c>
    </row>
    <row r="47" customFormat="false" ht="15" hidden="false" customHeight="true" outlineLevel="0" collapsed="false">
      <c r="A47" s="29" t="n">
        <v>44</v>
      </c>
      <c r="B47" s="26" t="str">
        <f aca="false">IFERROR(INDEX('Output Utente'!$A$2:$A$492,MATCH(44,'Output Utente'!$R$2:$R$492,0)),"")</f>
        <v/>
      </c>
      <c r="C47" s="26" t="str">
        <f aca="false">IFERROR(INDEX('Output Utente'!$B$2:$B$492,MATCH(44,'Output Utente'!$R$2:$R$492,0)),"")</f>
        <v/>
      </c>
      <c r="D47" s="26" t="str">
        <f aca="false">IFERROR(INDEX('Output Utente'!$C$2:$C$492,MATCH(44,'Output Utente'!$R$2:$R$492,0)),"")</f>
        <v/>
      </c>
      <c r="E47" s="26" t="str">
        <f aca="false">IFERROR(INDEX('Input Giocatori 2026_27'!$D$3:$D$493,MATCH($B47,'Input Giocatori 2026_27'!$A$3:$A$493,0)),"")</f>
        <v/>
      </c>
      <c r="F47" s="27" t="str">
        <f aca="false">IFERROR(INDEX('Output Utente'!$N$2:$N$492,MATCH(44,'Output Utente'!$R$2:$R$492,0)),"")</f>
        <v/>
      </c>
      <c r="G47" s="26" t="str">
        <f aca="false">IFERROR(INDEX('Output Utente'!$O$2:$O$492,MATCH(44,'Output Utente'!$R$2:$R$492,0)),"")</f>
        <v/>
      </c>
      <c r="H47" s="26" t="str">
        <f aca="false">IFERROR(INDEX('Output Utente'!$P$2:$P$492,MATCH(44,'Output Utente'!$R$2:$R$492,0)),"")</f>
        <v/>
      </c>
      <c r="I47" s="27" t="str">
        <f aca="false">IFERROR(INDEX('Output Utente'!$F$2:$F$492,MATCH(44,'Output Utente'!$R$2:$R$492,0)),"")</f>
        <v/>
      </c>
      <c r="J47" s="27" t="str">
        <f aca="false">IFERROR(INDEX('Output Utente'!$G$2:$G$492,MATCH(44,'Output Utente'!$R$2:$R$492,0)),"")</f>
        <v/>
      </c>
      <c r="K47" s="27" t="str">
        <f aca="false">IFERROR(INDEX('Output Utente'!$H$2:$H$492,MATCH(44,'Output Utente'!$R$2:$R$492,0)),"")</f>
        <v/>
      </c>
      <c r="L47" s="26" t="str">
        <f aca="false">IFERROR(INDEX('Output Utente'!$E$2:$E$492,MATCH(44,'Output Utente'!$R$2:$R$492,0)),"")</f>
        <v/>
      </c>
    </row>
    <row r="48" customFormat="false" ht="15" hidden="false" customHeight="true" outlineLevel="0" collapsed="false">
      <c r="A48" s="29" t="n">
        <v>45</v>
      </c>
      <c r="B48" s="26" t="str">
        <f aca="false">IFERROR(INDEX('Output Utente'!$A$2:$A$492,MATCH(45,'Output Utente'!$R$2:$R$492,0)),"")</f>
        <v/>
      </c>
      <c r="C48" s="26" t="str">
        <f aca="false">IFERROR(INDEX('Output Utente'!$B$2:$B$492,MATCH(45,'Output Utente'!$R$2:$R$492,0)),"")</f>
        <v/>
      </c>
      <c r="D48" s="26" t="str">
        <f aca="false">IFERROR(INDEX('Output Utente'!$C$2:$C$492,MATCH(45,'Output Utente'!$R$2:$R$492,0)),"")</f>
        <v/>
      </c>
      <c r="E48" s="26" t="str">
        <f aca="false">IFERROR(INDEX('Input Giocatori 2026_27'!$D$3:$D$493,MATCH($B48,'Input Giocatori 2026_27'!$A$3:$A$493,0)),"")</f>
        <v/>
      </c>
      <c r="F48" s="27" t="str">
        <f aca="false">IFERROR(INDEX('Output Utente'!$N$2:$N$492,MATCH(45,'Output Utente'!$R$2:$R$492,0)),"")</f>
        <v/>
      </c>
      <c r="G48" s="26" t="str">
        <f aca="false">IFERROR(INDEX('Output Utente'!$O$2:$O$492,MATCH(45,'Output Utente'!$R$2:$R$492,0)),"")</f>
        <v/>
      </c>
      <c r="H48" s="26" t="str">
        <f aca="false">IFERROR(INDEX('Output Utente'!$P$2:$P$492,MATCH(45,'Output Utente'!$R$2:$R$492,0)),"")</f>
        <v/>
      </c>
      <c r="I48" s="27" t="str">
        <f aca="false">IFERROR(INDEX('Output Utente'!$F$2:$F$492,MATCH(45,'Output Utente'!$R$2:$R$492,0)),"")</f>
        <v/>
      </c>
      <c r="J48" s="27" t="str">
        <f aca="false">IFERROR(INDEX('Output Utente'!$G$2:$G$492,MATCH(45,'Output Utente'!$R$2:$R$492,0)),"")</f>
        <v/>
      </c>
      <c r="K48" s="27" t="str">
        <f aca="false">IFERROR(INDEX('Output Utente'!$H$2:$H$492,MATCH(45,'Output Utente'!$R$2:$R$492,0)),"")</f>
        <v/>
      </c>
      <c r="L48" s="26" t="str">
        <f aca="false">IFERROR(INDEX('Output Utente'!$E$2:$E$492,MATCH(45,'Output Utente'!$R$2:$R$492,0)),"")</f>
        <v/>
      </c>
    </row>
    <row r="49" customFormat="false" ht="15" hidden="false" customHeight="true" outlineLevel="0" collapsed="false">
      <c r="A49" s="29" t="n">
        <v>46</v>
      </c>
      <c r="B49" s="26" t="str">
        <f aca="false">IFERROR(INDEX('Output Utente'!$A$2:$A$492,MATCH(46,'Output Utente'!$R$2:$R$492,0)),"")</f>
        <v/>
      </c>
      <c r="C49" s="26" t="str">
        <f aca="false">IFERROR(INDEX('Output Utente'!$B$2:$B$492,MATCH(46,'Output Utente'!$R$2:$R$492,0)),"")</f>
        <v/>
      </c>
      <c r="D49" s="26" t="str">
        <f aca="false">IFERROR(INDEX('Output Utente'!$C$2:$C$492,MATCH(46,'Output Utente'!$R$2:$R$492,0)),"")</f>
        <v/>
      </c>
      <c r="E49" s="26" t="str">
        <f aca="false">IFERROR(INDEX('Input Giocatori 2026_27'!$D$3:$D$493,MATCH($B49,'Input Giocatori 2026_27'!$A$3:$A$493,0)),"")</f>
        <v/>
      </c>
      <c r="F49" s="27" t="str">
        <f aca="false">IFERROR(INDEX('Output Utente'!$N$2:$N$492,MATCH(46,'Output Utente'!$R$2:$R$492,0)),"")</f>
        <v/>
      </c>
      <c r="G49" s="26" t="str">
        <f aca="false">IFERROR(INDEX('Output Utente'!$O$2:$O$492,MATCH(46,'Output Utente'!$R$2:$R$492,0)),"")</f>
        <v/>
      </c>
      <c r="H49" s="26" t="str">
        <f aca="false">IFERROR(INDEX('Output Utente'!$P$2:$P$492,MATCH(46,'Output Utente'!$R$2:$R$492,0)),"")</f>
        <v/>
      </c>
      <c r="I49" s="27" t="str">
        <f aca="false">IFERROR(INDEX('Output Utente'!$F$2:$F$492,MATCH(46,'Output Utente'!$R$2:$R$492,0)),"")</f>
        <v/>
      </c>
      <c r="J49" s="27" t="str">
        <f aca="false">IFERROR(INDEX('Output Utente'!$G$2:$G$492,MATCH(46,'Output Utente'!$R$2:$R$492,0)),"")</f>
        <v/>
      </c>
      <c r="K49" s="27" t="str">
        <f aca="false">IFERROR(INDEX('Output Utente'!$H$2:$H$492,MATCH(46,'Output Utente'!$R$2:$R$492,0)),"")</f>
        <v/>
      </c>
      <c r="L49" s="26" t="str">
        <f aca="false">IFERROR(INDEX('Output Utente'!$E$2:$E$492,MATCH(46,'Output Utente'!$R$2:$R$492,0)),"")</f>
        <v/>
      </c>
    </row>
    <row r="50" customFormat="false" ht="15" hidden="false" customHeight="true" outlineLevel="0" collapsed="false">
      <c r="A50" s="29" t="n">
        <v>47</v>
      </c>
      <c r="B50" s="26" t="str">
        <f aca="false">IFERROR(INDEX('Output Utente'!$A$2:$A$492,MATCH(47,'Output Utente'!$R$2:$R$492,0)),"")</f>
        <v/>
      </c>
      <c r="C50" s="26" t="str">
        <f aca="false">IFERROR(INDEX('Output Utente'!$B$2:$B$492,MATCH(47,'Output Utente'!$R$2:$R$492,0)),"")</f>
        <v/>
      </c>
      <c r="D50" s="26" t="str">
        <f aca="false">IFERROR(INDEX('Output Utente'!$C$2:$C$492,MATCH(47,'Output Utente'!$R$2:$R$492,0)),"")</f>
        <v/>
      </c>
      <c r="E50" s="26" t="str">
        <f aca="false">IFERROR(INDEX('Input Giocatori 2026_27'!$D$3:$D$493,MATCH($B50,'Input Giocatori 2026_27'!$A$3:$A$493,0)),"")</f>
        <v/>
      </c>
      <c r="F50" s="27" t="str">
        <f aca="false">IFERROR(INDEX('Output Utente'!$N$2:$N$492,MATCH(47,'Output Utente'!$R$2:$R$492,0)),"")</f>
        <v/>
      </c>
      <c r="G50" s="26" t="str">
        <f aca="false">IFERROR(INDEX('Output Utente'!$O$2:$O$492,MATCH(47,'Output Utente'!$R$2:$R$492,0)),"")</f>
        <v/>
      </c>
      <c r="H50" s="26" t="str">
        <f aca="false">IFERROR(INDEX('Output Utente'!$P$2:$P$492,MATCH(47,'Output Utente'!$R$2:$R$492,0)),"")</f>
        <v/>
      </c>
      <c r="I50" s="27" t="str">
        <f aca="false">IFERROR(INDEX('Output Utente'!$F$2:$F$492,MATCH(47,'Output Utente'!$R$2:$R$492,0)),"")</f>
        <v/>
      </c>
      <c r="J50" s="27" t="str">
        <f aca="false">IFERROR(INDEX('Output Utente'!$G$2:$G$492,MATCH(47,'Output Utente'!$R$2:$R$492,0)),"")</f>
        <v/>
      </c>
      <c r="K50" s="27" t="str">
        <f aca="false">IFERROR(INDEX('Output Utente'!$H$2:$H$492,MATCH(47,'Output Utente'!$R$2:$R$492,0)),"")</f>
        <v/>
      </c>
      <c r="L50" s="26" t="str">
        <f aca="false">IFERROR(INDEX('Output Utente'!$E$2:$E$492,MATCH(47,'Output Utente'!$R$2:$R$492,0)),"")</f>
        <v/>
      </c>
    </row>
    <row r="51" customFormat="false" ht="15" hidden="false" customHeight="true" outlineLevel="0" collapsed="false">
      <c r="A51" s="29" t="n">
        <v>48</v>
      </c>
      <c r="B51" s="26" t="str">
        <f aca="false">IFERROR(INDEX('Output Utente'!$A$2:$A$492,MATCH(48,'Output Utente'!$R$2:$R$492,0)),"")</f>
        <v/>
      </c>
      <c r="C51" s="26" t="str">
        <f aca="false">IFERROR(INDEX('Output Utente'!$B$2:$B$492,MATCH(48,'Output Utente'!$R$2:$R$492,0)),"")</f>
        <v/>
      </c>
      <c r="D51" s="26" t="str">
        <f aca="false">IFERROR(INDEX('Output Utente'!$C$2:$C$492,MATCH(48,'Output Utente'!$R$2:$R$492,0)),"")</f>
        <v/>
      </c>
      <c r="E51" s="26" t="str">
        <f aca="false">IFERROR(INDEX('Input Giocatori 2026_27'!$D$3:$D$493,MATCH($B51,'Input Giocatori 2026_27'!$A$3:$A$493,0)),"")</f>
        <v/>
      </c>
      <c r="F51" s="27" t="str">
        <f aca="false">IFERROR(INDEX('Output Utente'!$N$2:$N$492,MATCH(48,'Output Utente'!$R$2:$R$492,0)),"")</f>
        <v/>
      </c>
      <c r="G51" s="26" t="str">
        <f aca="false">IFERROR(INDEX('Output Utente'!$O$2:$O$492,MATCH(48,'Output Utente'!$R$2:$R$492,0)),"")</f>
        <v/>
      </c>
      <c r="H51" s="26" t="str">
        <f aca="false">IFERROR(INDEX('Output Utente'!$P$2:$P$492,MATCH(48,'Output Utente'!$R$2:$R$492,0)),"")</f>
        <v/>
      </c>
      <c r="I51" s="27" t="str">
        <f aca="false">IFERROR(INDEX('Output Utente'!$F$2:$F$492,MATCH(48,'Output Utente'!$R$2:$R$492,0)),"")</f>
        <v/>
      </c>
      <c r="J51" s="27" t="str">
        <f aca="false">IFERROR(INDEX('Output Utente'!$G$2:$G$492,MATCH(48,'Output Utente'!$R$2:$R$492,0)),"")</f>
        <v/>
      </c>
      <c r="K51" s="27" t="str">
        <f aca="false">IFERROR(INDEX('Output Utente'!$H$2:$H$492,MATCH(48,'Output Utente'!$R$2:$R$492,0)),"")</f>
        <v/>
      </c>
      <c r="L51" s="26" t="str">
        <f aca="false">IFERROR(INDEX('Output Utente'!$E$2:$E$492,MATCH(48,'Output Utente'!$R$2:$R$492,0)),"")</f>
        <v/>
      </c>
    </row>
    <row r="52" customFormat="false" ht="15" hidden="false" customHeight="true" outlineLevel="0" collapsed="false">
      <c r="A52" s="29" t="n">
        <v>49</v>
      </c>
      <c r="B52" s="26" t="str">
        <f aca="false">IFERROR(INDEX('Output Utente'!$A$2:$A$492,MATCH(49,'Output Utente'!$R$2:$R$492,0)),"")</f>
        <v/>
      </c>
      <c r="C52" s="26" t="str">
        <f aca="false">IFERROR(INDEX('Output Utente'!$B$2:$B$492,MATCH(49,'Output Utente'!$R$2:$R$492,0)),"")</f>
        <v/>
      </c>
      <c r="D52" s="26" t="str">
        <f aca="false">IFERROR(INDEX('Output Utente'!$C$2:$C$492,MATCH(49,'Output Utente'!$R$2:$R$492,0)),"")</f>
        <v/>
      </c>
      <c r="E52" s="26" t="str">
        <f aca="false">IFERROR(INDEX('Input Giocatori 2026_27'!$D$3:$D$493,MATCH($B52,'Input Giocatori 2026_27'!$A$3:$A$493,0)),"")</f>
        <v/>
      </c>
      <c r="F52" s="27" t="str">
        <f aca="false">IFERROR(INDEX('Output Utente'!$N$2:$N$492,MATCH(49,'Output Utente'!$R$2:$R$492,0)),"")</f>
        <v/>
      </c>
      <c r="G52" s="26" t="str">
        <f aca="false">IFERROR(INDEX('Output Utente'!$O$2:$O$492,MATCH(49,'Output Utente'!$R$2:$R$492,0)),"")</f>
        <v/>
      </c>
      <c r="H52" s="26" t="str">
        <f aca="false">IFERROR(INDEX('Output Utente'!$P$2:$P$492,MATCH(49,'Output Utente'!$R$2:$R$492,0)),"")</f>
        <v/>
      </c>
      <c r="I52" s="27" t="str">
        <f aca="false">IFERROR(INDEX('Output Utente'!$F$2:$F$492,MATCH(49,'Output Utente'!$R$2:$R$492,0)),"")</f>
        <v/>
      </c>
      <c r="J52" s="27" t="str">
        <f aca="false">IFERROR(INDEX('Output Utente'!$G$2:$G$492,MATCH(49,'Output Utente'!$R$2:$R$492,0)),"")</f>
        <v/>
      </c>
      <c r="K52" s="27" t="str">
        <f aca="false">IFERROR(INDEX('Output Utente'!$H$2:$H$492,MATCH(49,'Output Utente'!$R$2:$R$492,0)),"")</f>
        <v/>
      </c>
      <c r="L52" s="26" t="str">
        <f aca="false">IFERROR(INDEX('Output Utente'!$E$2:$E$492,MATCH(49,'Output Utente'!$R$2:$R$492,0)),"")</f>
        <v/>
      </c>
    </row>
    <row r="53" customFormat="false" ht="15" hidden="false" customHeight="true" outlineLevel="0" collapsed="false">
      <c r="A53" s="29" t="n">
        <v>50</v>
      </c>
      <c r="B53" s="26" t="str">
        <f aca="false">IFERROR(INDEX('Output Utente'!$A$2:$A$492,MATCH(50,'Output Utente'!$R$2:$R$492,0)),"")</f>
        <v/>
      </c>
      <c r="C53" s="26" t="str">
        <f aca="false">IFERROR(INDEX('Output Utente'!$B$2:$B$492,MATCH(50,'Output Utente'!$R$2:$R$492,0)),"")</f>
        <v/>
      </c>
      <c r="D53" s="26" t="str">
        <f aca="false">IFERROR(INDEX('Output Utente'!$C$2:$C$492,MATCH(50,'Output Utente'!$R$2:$R$492,0)),"")</f>
        <v/>
      </c>
      <c r="E53" s="26" t="str">
        <f aca="false">IFERROR(INDEX('Input Giocatori 2026_27'!$D$3:$D$493,MATCH($B53,'Input Giocatori 2026_27'!$A$3:$A$493,0)),"")</f>
        <v/>
      </c>
      <c r="F53" s="27" t="str">
        <f aca="false">IFERROR(INDEX('Output Utente'!$N$2:$N$492,MATCH(50,'Output Utente'!$R$2:$R$492,0)),"")</f>
        <v/>
      </c>
      <c r="G53" s="26" t="str">
        <f aca="false">IFERROR(INDEX('Output Utente'!$O$2:$O$492,MATCH(50,'Output Utente'!$R$2:$R$492,0)),"")</f>
        <v/>
      </c>
      <c r="H53" s="26" t="str">
        <f aca="false">IFERROR(INDEX('Output Utente'!$P$2:$P$492,MATCH(50,'Output Utente'!$R$2:$R$492,0)),"")</f>
        <v/>
      </c>
      <c r="I53" s="27" t="str">
        <f aca="false">IFERROR(INDEX('Output Utente'!$F$2:$F$492,MATCH(50,'Output Utente'!$R$2:$R$492,0)),"")</f>
        <v/>
      </c>
      <c r="J53" s="27" t="str">
        <f aca="false">IFERROR(INDEX('Output Utente'!$G$2:$G$492,MATCH(50,'Output Utente'!$R$2:$R$492,0)),"")</f>
        <v/>
      </c>
      <c r="K53" s="27" t="str">
        <f aca="false">IFERROR(INDEX('Output Utente'!$H$2:$H$492,MATCH(50,'Output Utente'!$R$2:$R$492,0)),"")</f>
        <v/>
      </c>
      <c r="L53" s="26" t="str">
        <f aca="false">IFERROR(INDEX('Output Utente'!$E$2:$E$492,MATCH(50,'Output Utente'!$R$2:$R$492,0)),"")</f>
        <v/>
      </c>
    </row>
    <row r="54" customFormat="false" ht="15" hidden="false" customHeight="true" outlineLevel="0" collapsed="false">
      <c r="A54" s="29" t="n">
        <v>51</v>
      </c>
      <c r="B54" s="26" t="str">
        <f aca="false">IFERROR(INDEX('Output Utente'!$A$2:$A$492,MATCH(51,'Output Utente'!$R$2:$R$492,0)),"")</f>
        <v/>
      </c>
      <c r="C54" s="26" t="str">
        <f aca="false">IFERROR(INDEX('Output Utente'!$B$2:$B$492,MATCH(51,'Output Utente'!$R$2:$R$492,0)),"")</f>
        <v/>
      </c>
      <c r="D54" s="26" t="str">
        <f aca="false">IFERROR(INDEX('Output Utente'!$C$2:$C$492,MATCH(51,'Output Utente'!$R$2:$R$492,0)),"")</f>
        <v/>
      </c>
      <c r="E54" s="26" t="str">
        <f aca="false">IFERROR(INDEX('Input Giocatori 2026_27'!$D$3:$D$493,MATCH($B54,'Input Giocatori 2026_27'!$A$3:$A$493,0)),"")</f>
        <v/>
      </c>
      <c r="F54" s="27" t="str">
        <f aca="false">IFERROR(INDEX('Output Utente'!$N$2:$N$492,MATCH(51,'Output Utente'!$R$2:$R$492,0)),"")</f>
        <v/>
      </c>
      <c r="G54" s="26" t="str">
        <f aca="false">IFERROR(INDEX('Output Utente'!$O$2:$O$492,MATCH(51,'Output Utente'!$R$2:$R$492,0)),"")</f>
        <v/>
      </c>
      <c r="H54" s="26" t="str">
        <f aca="false">IFERROR(INDEX('Output Utente'!$P$2:$P$492,MATCH(51,'Output Utente'!$R$2:$R$492,0)),"")</f>
        <v/>
      </c>
      <c r="I54" s="27" t="str">
        <f aca="false">IFERROR(INDEX('Output Utente'!$F$2:$F$492,MATCH(51,'Output Utente'!$R$2:$R$492,0)),"")</f>
        <v/>
      </c>
      <c r="J54" s="27" t="str">
        <f aca="false">IFERROR(INDEX('Output Utente'!$G$2:$G$492,MATCH(51,'Output Utente'!$R$2:$R$492,0)),"")</f>
        <v/>
      </c>
      <c r="K54" s="27" t="str">
        <f aca="false">IFERROR(INDEX('Output Utente'!$H$2:$H$492,MATCH(51,'Output Utente'!$R$2:$R$492,0)),"")</f>
        <v/>
      </c>
      <c r="L54" s="26" t="str">
        <f aca="false">IFERROR(INDEX('Output Utente'!$E$2:$E$492,MATCH(51,'Output Utente'!$R$2:$R$492,0)),"")</f>
        <v/>
      </c>
    </row>
    <row r="55" customFormat="false" ht="15" hidden="false" customHeight="true" outlineLevel="0" collapsed="false">
      <c r="A55" s="29" t="n">
        <v>52</v>
      </c>
      <c r="B55" s="26" t="str">
        <f aca="false">IFERROR(INDEX('Output Utente'!$A$2:$A$492,MATCH(52,'Output Utente'!$R$2:$R$492,0)),"")</f>
        <v/>
      </c>
      <c r="C55" s="26" t="str">
        <f aca="false">IFERROR(INDEX('Output Utente'!$B$2:$B$492,MATCH(52,'Output Utente'!$R$2:$R$492,0)),"")</f>
        <v/>
      </c>
      <c r="D55" s="26" t="str">
        <f aca="false">IFERROR(INDEX('Output Utente'!$C$2:$C$492,MATCH(52,'Output Utente'!$R$2:$R$492,0)),"")</f>
        <v/>
      </c>
      <c r="E55" s="26" t="str">
        <f aca="false">IFERROR(INDEX('Input Giocatori 2026_27'!$D$3:$D$493,MATCH($B55,'Input Giocatori 2026_27'!$A$3:$A$493,0)),"")</f>
        <v/>
      </c>
      <c r="F55" s="27" t="str">
        <f aca="false">IFERROR(INDEX('Output Utente'!$N$2:$N$492,MATCH(52,'Output Utente'!$R$2:$R$492,0)),"")</f>
        <v/>
      </c>
      <c r="G55" s="26" t="str">
        <f aca="false">IFERROR(INDEX('Output Utente'!$O$2:$O$492,MATCH(52,'Output Utente'!$R$2:$R$492,0)),"")</f>
        <v/>
      </c>
      <c r="H55" s="26" t="str">
        <f aca="false">IFERROR(INDEX('Output Utente'!$P$2:$P$492,MATCH(52,'Output Utente'!$R$2:$R$492,0)),"")</f>
        <v/>
      </c>
      <c r="I55" s="27" t="str">
        <f aca="false">IFERROR(INDEX('Output Utente'!$F$2:$F$492,MATCH(52,'Output Utente'!$R$2:$R$492,0)),"")</f>
        <v/>
      </c>
      <c r="J55" s="27" t="str">
        <f aca="false">IFERROR(INDEX('Output Utente'!$G$2:$G$492,MATCH(52,'Output Utente'!$R$2:$R$492,0)),"")</f>
        <v/>
      </c>
      <c r="K55" s="27" t="str">
        <f aca="false">IFERROR(INDEX('Output Utente'!$H$2:$H$492,MATCH(52,'Output Utente'!$R$2:$R$492,0)),"")</f>
        <v/>
      </c>
      <c r="L55" s="26" t="str">
        <f aca="false">IFERROR(INDEX('Output Utente'!$E$2:$E$492,MATCH(52,'Output Utente'!$R$2:$R$492,0)),"")</f>
        <v/>
      </c>
    </row>
    <row r="56" customFormat="false" ht="15" hidden="false" customHeight="true" outlineLevel="0" collapsed="false">
      <c r="A56" s="29" t="n">
        <v>53</v>
      </c>
      <c r="B56" s="26" t="str">
        <f aca="false">IFERROR(INDEX('Output Utente'!$A$2:$A$492,MATCH(53,'Output Utente'!$R$2:$R$492,0)),"")</f>
        <v/>
      </c>
      <c r="C56" s="26" t="str">
        <f aca="false">IFERROR(INDEX('Output Utente'!$B$2:$B$492,MATCH(53,'Output Utente'!$R$2:$R$492,0)),"")</f>
        <v/>
      </c>
      <c r="D56" s="26" t="str">
        <f aca="false">IFERROR(INDEX('Output Utente'!$C$2:$C$492,MATCH(53,'Output Utente'!$R$2:$R$492,0)),"")</f>
        <v/>
      </c>
      <c r="E56" s="26" t="str">
        <f aca="false">IFERROR(INDEX('Input Giocatori 2026_27'!$D$3:$D$493,MATCH($B56,'Input Giocatori 2026_27'!$A$3:$A$493,0)),"")</f>
        <v/>
      </c>
      <c r="F56" s="27" t="str">
        <f aca="false">IFERROR(INDEX('Output Utente'!$N$2:$N$492,MATCH(53,'Output Utente'!$R$2:$R$492,0)),"")</f>
        <v/>
      </c>
      <c r="G56" s="26" t="str">
        <f aca="false">IFERROR(INDEX('Output Utente'!$O$2:$O$492,MATCH(53,'Output Utente'!$R$2:$R$492,0)),"")</f>
        <v/>
      </c>
      <c r="H56" s="26" t="str">
        <f aca="false">IFERROR(INDEX('Output Utente'!$P$2:$P$492,MATCH(53,'Output Utente'!$R$2:$R$492,0)),"")</f>
        <v/>
      </c>
      <c r="I56" s="27" t="str">
        <f aca="false">IFERROR(INDEX('Output Utente'!$F$2:$F$492,MATCH(53,'Output Utente'!$R$2:$R$492,0)),"")</f>
        <v/>
      </c>
      <c r="J56" s="27" t="str">
        <f aca="false">IFERROR(INDEX('Output Utente'!$G$2:$G$492,MATCH(53,'Output Utente'!$R$2:$R$492,0)),"")</f>
        <v/>
      </c>
      <c r="K56" s="27" t="str">
        <f aca="false">IFERROR(INDEX('Output Utente'!$H$2:$H$492,MATCH(53,'Output Utente'!$R$2:$R$492,0)),"")</f>
        <v/>
      </c>
      <c r="L56" s="26" t="str">
        <f aca="false">IFERROR(INDEX('Output Utente'!$E$2:$E$492,MATCH(53,'Output Utente'!$R$2:$R$492,0)),"")</f>
        <v/>
      </c>
    </row>
    <row r="57" customFormat="false" ht="15" hidden="false" customHeight="true" outlineLevel="0" collapsed="false">
      <c r="A57" s="29" t="n">
        <v>54</v>
      </c>
      <c r="B57" s="26" t="str">
        <f aca="false">IFERROR(INDEX('Output Utente'!$A$2:$A$492,MATCH(54,'Output Utente'!$R$2:$R$492,0)),"")</f>
        <v/>
      </c>
      <c r="C57" s="26" t="str">
        <f aca="false">IFERROR(INDEX('Output Utente'!$B$2:$B$492,MATCH(54,'Output Utente'!$R$2:$R$492,0)),"")</f>
        <v/>
      </c>
      <c r="D57" s="26" t="str">
        <f aca="false">IFERROR(INDEX('Output Utente'!$C$2:$C$492,MATCH(54,'Output Utente'!$R$2:$R$492,0)),"")</f>
        <v/>
      </c>
      <c r="E57" s="26" t="str">
        <f aca="false">IFERROR(INDEX('Input Giocatori 2026_27'!$D$3:$D$493,MATCH($B57,'Input Giocatori 2026_27'!$A$3:$A$493,0)),"")</f>
        <v/>
      </c>
      <c r="F57" s="27" t="str">
        <f aca="false">IFERROR(INDEX('Output Utente'!$N$2:$N$492,MATCH(54,'Output Utente'!$R$2:$R$492,0)),"")</f>
        <v/>
      </c>
      <c r="G57" s="26" t="str">
        <f aca="false">IFERROR(INDEX('Output Utente'!$O$2:$O$492,MATCH(54,'Output Utente'!$R$2:$R$492,0)),"")</f>
        <v/>
      </c>
      <c r="H57" s="26" t="str">
        <f aca="false">IFERROR(INDEX('Output Utente'!$P$2:$P$492,MATCH(54,'Output Utente'!$R$2:$R$492,0)),"")</f>
        <v/>
      </c>
      <c r="I57" s="27" t="str">
        <f aca="false">IFERROR(INDEX('Output Utente'!$F$2:$F$492,MATCH(54,'Output Utente'!$R$2:$R$492,0)),"")</f>
        <v/>
      </c>
      <c r="J57" s="27" t="str">
        <f aca="false">IFERROR(INDEX('Output Utente'!$G$2:$G$492,MATCH(54,'Output Utente'!$R$2:$R$492,0)),"")</f>
        <v/>
      </c>
      <c r="K57" s="27" t="str">
        <f aca="false">IFERROR(INDEX('Output Utente'!$H$2:$H$492,MATCH(54,'Output Utente'!$R$2:$R$492,0)),"")</f>
        <v/>
      </c>
      <c r="L57" s="26" t="str">
        <f aca="false">IFERROR(INDEX('Output Utente'!$E$2:$E$492,MATCH(54,'Output Utente'!$R$2:$R$492,0)),"")</f>
        <v/>
      </c>
    </row>
    <row r="58" customFormat="false" ht="15" hidden="false" customHeight="true" outlineLevel="0" collapsed="false">
      <c r="A58" s="29" t="n">
        <v>55</v>
      </c>
      <c r="B58" s="26" t="str">
        <f aca="false">IFERROR(INDEX('Output Utente'!$A$2:$A$492,MATCH(55,'Output Utente'!$R$2:$R$492,0)),"")</f>
        <v/>
      </c>
      <c r="C58" s="26" t="str">
        <f aca="false">IFERROR(INDEX('Output Utente'!$B$2:$B$492,MATCH(55,'Output Utente'!$R$2:$R$492,0)),"")</f>
        <v/>
      </c>
      <c r="D58" s="26" t="str">
        <f aca="false">IFERROR(INDEX('Output Utente'!$C$2:$C$492,MATCH(55,'Output Utente'!$R$2:$R$492,0)),"")</f>
        <v/>
      </c>
      <c r="E58" s="26" t="str">
        <f aca="false">IFERROR(INDEX('Input Giocatori 2026_27'!$D$3:$D$493,MATCH($B58,'Input Giocatori 2026_27'!$A$3:$A$493,0)),"")</f>
        <v/>
      </c>
      <c r="F58" s="27" t="str">
        <f aca="false">IFERROR(INDEX('Output Utente'!$N$2:$N$492,MATCH(55,'Output Utente'!$R$2:$R$492,0)),"")</f>
        <v/>
      </c>
      <c r="G58" s="26" t="str">
        <f aca="false">IFERROR(INDEX('Output Utente'!$O$2:$O$492,MATCH(55,'Output Utente'!$R$2:$R$492,0)),"")</f>
        <v/>
      </c>
      <c r="H58" s="26" t="str">
        <f aca="false">IFERROR(INDEX('Output Utente'!$P$2:$P$492,MATCH(55,'Output Utente'!$R$2:$R$492,0)),"")</f>
        <v/>
      </c>
      <c r="I58" s="27" t="str">
        <f aca="false">IFERROR(INDEX('Output Utente'!$F$2:$F$492,MATCH(55,'Output Utente'!$R$2:$R$492,0)),"")</f>
        <v/>
      </c>
      <c r="J58" s="27" t="str">
        <f aca="false">IFERROR(INDEX('Output Utente'!$G$2:$G$492,MATCH(55,'Output Utente'!$R$2:$R$492,0)),"")</f>
        <v/>
      </c>
      <c r="K58" s="27" t="str">
        <f aca="false">IFERROR(INDEX('Output Utente'!$H$2:$H$492,MATCH(55,'Output Utente'!$R$2:$R$492,0)),"")</f>
        <v/>
      </c>
      <c r="L58" s="26" t="str">
        <f aca="false">IFERROR(INDEX('Output Utente'!$E$2:$E$492,MATCH(55,'Output Utente'!$R$2:$R$492,0)),"")</f>
        <v/>
      </c>
    </row>
    <row r="59" customFormat="false" ht="15" hidden="false" customHeight="true" outlineLevel="0" collapsed="false">
      <c r="A59" s="29" t="n">
        <v>56</v>
      </c>
      <c r="B59" s="26" t="str">
        <f aca="false">IFERROR(INDEX('Output Utente'!$A$2:$A$492,MATCH(56,'Output Utente'!$R$2:$R$492,0)),"")</f>
        <v/>
      </c>
      <c r="C59" s="26" t="str">
        <f aca="false">IFERROR(INDEX('Output Utente'!$B$2:$B$492,MATCH(56,'Output Utente'!$R$2:$R$492,0)),"")</f>
        <v/>
      </c>
      <c r="D59" s="26" t="str">
        <f aca="false">IFERROR(INDEX('Output Utente'!$C$2:$C$492,MATCH(56,'Output Utente'!$R$2:$R$492,0)),"")</f>
        <v/>
      </c>
      <c r="E59" s="26" t="str">
        <f aca="false">IFERROR(INDEX('Input Giocatori 2026_27'!$D$3:$D$493,MATCH($B59,'Input Giocatori 2026_27'!$A$3:$A$493,0)),"")</f>
        <v/>
      </c>
      <c r="F59" s="27" t="str">
        <f aca="false">IFERROR(INDEX('Output Utente'!$N$2:$N$492,MATCH(56,'Output Utente'!$R$2:$R$492,0)),"")</f>
        <v/>
      </c>
      <c r="G59" s="26" t="str">
        <f aca="false">IFERROR(INDEX('Output Utente'!$O$2:$O$492,MATCH(56,'Output Utente'!$R$2:$R$492,0)),"")</f>
        <v/>
      </c>
      <c r="H59" s="26" t="str">
        <f aca="false">IFERROR(INDEX('Output Utente'!$P$2:$P$492,MATCH(56,'Output Utente'!$R$2:$R$492,0)),"")</f>
        <v/>
      </c>
      <c r="I59" s="27" t="str">
        <f aca="false">IFERROR(INDEX('Output Utente'!$F$2:$F$492,MATCH(56,'Output Utente'!$R$2:$R$492,0)),"")</f>
        <v/>
      </c>
      <c r="J59" s="27" t="str">
        <f aca="false">IFERROR(INDEX('Output Utente'!$G$2:$G$492,MATCH(56,'Output Utente'!$R$2:$R$492,0)),"")</f>
        <v/>
      </c>
      <c r="K59" s="27" t="str">
        <f aca="false">IFERROR(INDEX('Output Utente'!$H$2:$H$492,MATCH(56,'Output Utente'!$R$2:$R$492,0)),"")</f>
        <v/>
      </c>
      <c r="L59" s="26" t="str">
        <f aca="false">IFERROR(INDEX('Output Utente'!$E$2:$E$492,MATCH(56,'Output Utente'!$R$2:$R$492,0)),"")</f>
        <v/>
      </c>
    </row>
    <row r="60" customFormat="false" ht="15" hidden="false" customHeight="true" outlineLevel="0" collapsed="false">
      <c r="A60" s="29" t="n">
        <v>57</v>
      </c>
      <c r="B60" s="26" t="str">
        <f aca="false">IFERROR(INDEX('Output Utente'!$A$2:$A$492,MATCH(57,'Output Utente'!$R$2:$R$492,0)),"")</f>
        <v/>
      </c>
      <c r="C60" s="26" t="str">
        <f aca="false">IFERROR(INDEX('Output Utente'!$B$2:$B$492,MATCH(57,'Output Utente'!$R$2:$R$492,0)),"")</f>
        <v/>
      </c>
      <c r="D60" s="26" t="str">
        <f aca="false">IFERROR(INDEX('Output Utente'!$C$2:$C$492,MATCH(57,'Output Utente'!$R$2:$R$492,0)),"")</f>
        <v/>
      </c>
      <c r="E60" s="26" t="str">
        <f aca="false">IFERROR(INDEX('Input Giocatori 2026_27'!$D$3:$D$493,MATCH($B60,'Input Giocatori 2026_27'!$A$3:$A$493,0)),"")</f>
        <v/>
      </c>
      <c r="F60" s="27" t="str">
        <f aca="false">IFERROR(INDEX('Output Utente'!$N$2:$N$492,MATCH(57,'Output Utente'!$R$2:$R$492,0)),"")</f>
        <v/>
      </c>
      <c r="G60" s="26" t="str">
        <f aca="false">IFERROR(INDEX('Output Utente'!$O$2:$O$492,MATCH(57,'Output Utente'!$R$2:$R$492,0)),"")</f>
        <v/>
      </c>
      <c r="H60" s="26" t="str">
        <f aca="false">IFERROR(INDEX('Output Utente'!$P$2:$P$492,MATCH(57,'Output Utente'!$R$2:$R$492,0)),"")</f>
        <v/>
      </c>
      <c r="I60" s="27" t="str">
        <f aca="false">IFERROR(INDEX('Output Utente'!$F$2:$F$492,MATCH(57,'Output Utente'!$R$2:$R$492,0)),"")</f>
        <v/>
      </c>
      <c r="J60" s="27" t="str">
        <f aca="false">IFERROR(INDEX('Output Utente'!$G$2:$G$492,MATCH(57,'Output Utente'!$R$2:$R$492,0)),"")</f>
        <v/>
      </c>
      <c r="K60" s="27" t="str">
        <f aca="false">IFERROR(INDEX('Output Utente'!$H$2:$H$492,MATCH(57,'Output Utente'!$R$2:$R$492,0)),"")</f>
        <v/>
      </c>
      <c r="L60" s="26" t="str">
        <f aca="false">IFERROR(INDEX('Output Utente'!$E$2:$E$492,MATCH(57,'Output Utente'!$R$2:$R$492,0)),"")</f>
        <v/>
      </c>
    </row>
    <row r="61" customFormat="false" ht="15" hidden="false" customHeight="true" outlineLevel="0" collapsed="false">
      <c r="A61" s="29" t="n">
        <v>58</v>
      </c>
      <c r="B61" s="26" t="str">
        <f aca="false">IFERROR(INDEX('Output Utente'!$A$2:$A$492,MATCH(58,'Output Utente'!$R$2:$R$492,0)),"")</f>
        <v/>
      </c>
      <c r="C61" s="26" t="str">
        <f aca="false">IFERROR(INDEX('Output Utente'!$B$2:$B$492,MATCH(58,'Output Utente'!$R$2:$R$492,0)),"")</f>
        <v/>
      </c>
      <c r="D61" s="26" t="str">
        <f aca="false">IFERROR(INDEX('Output Utente'!$C$2:$C$492,MATCH(58,'Output Utente'!$R$2:$R$492,0)),"")</f>
        <v/>
      </c>
      <c r="E61" s="26" t="str">
        <f aca="false">IFERROR(INDEX('Input Giocatori 2026_27'!$D$3:$D$493,MATCH($B61,'Input Giocatori 2026_27'!$A$3:$A$493,0)),"")</f>
        <v/>
      </c>
      <c r="F61" s="27" t="str">
        <f aca="false">IFERROR(INDEX('Output Utente'!$N$2:$N$492,MATCH(58,'Output Utente'!$R$2:$R$492,0)),"")</f>
        <v/>
      </c>
      <c r="G61" s="26" t="str">
        <f aca="false">IFERROR(INDEX('Output Utente'!$O$2:$O$492,MATCH(58,'Output Utente'!$R$2:$R$492,0)),"")</f>
        <v/>
      </c>
      <c r="H61" s="26" t="str">
        <f aca="false">IFERROR(INDEX('Output Utente'!$P$2:$P$492,MATCH(58,'Output Utente'!$R$2:$R$492,0)),"")</f>
        <v/>
      </c>
      <c r="I61" s="27" t="str">
        <f aca="false">IFERROR(INDEX('Output Utente'!$F$2:$F$492,MATCH(58,'Output Utente'!$R$2:$R$492,0)),"")</f>
        <v/>
      </c>
      <c r="J61" s="27" t="str">
        <f aca="false">IFERROR(INDEX('Output Utente'!$G$2:$G$492,MATCH(58,'Output Utente'!$R$2:$R$492,0)),"")</f>
        <v/>
      </c>
      <c r="K61" s="27" t="str">
        <f aca="false">IFERROR(INDEX('Output Utente'!$H$2:$H$492,MATCH(58,'Output Utente'!$R$2:$R$492,0)),"")</f>
        <v/>
      </c>
      <c r="L61" s="26" t="str">
        <f aca="false">IFERROR(INDEX('Output Utente'!$E$2:$E$492,MATCH(58,'Output Utente'!$R$2:$R$492,0)),"")</f>
        <v/>
      </c>
    </row>
    <row r="62" customFormat="false" ht="15" hidden="false" customHeight="true" outlineLevel="0" collapsed="false">
      <c r="A62" s="29" t="n">
        <v>59</v>
      </c>
      <c r="B62" s="26" t="str">
        <f aca="false">IFERROR(INDEX('Output Utente'!$A$2:$A$492,MATCH(59,'Output Utente'!$R$2:$R$492,0)),"")</f>
        <v/>
      </c>
      <c r="C62" s="26" t="str">
        <f aca="false">IFERROR(INDEX('Output Utente'!$B$2:$B$492,MATCH(59,'Output Utente'!$R$2:$R$492,0)),"")</f>
        <v/>
      </c>
      <c r="D62" s="26" t="str">
        <f aca="false">IFERROR(INDEX('Output Utente'!$C$2:$C$492,MATCH(59,'Output Utente'!$R$2:$R$492,0)),"")</f>
        <v/>
      </c>
      <c r="E62" s="26" t="str">
        <f aca="false">IFERROR(INDEX('Input Giocatori 2026_27'!$D$3:$D$493,MATCH($B62,'Input Giocatori 2026_27'!$A$3:$A$493,0)),"")</f>
        <v/>
      </c>
      <c r="F62" s="27" t="str">
        <f aca="false">IFERROR(INDEX('Output Utente'!$N$2:$N$492,MATCH(59,'Output Utente'!$R$2:$R$492,0)),"")</f>
        <v/>
      </c>
      <c r="G62" s="26" t="str">
        <f aca="false">IFERROR(INDEX('Output Utente'!$O$2:$O$492,MATCH(59,'Output Utente'!$R$2:$R$492,0)),"")</f>
        <v/>
      </c>
      <c r="H62" s="26" t="str">
        <f aca="false">IFERROR(INDEX('Output Utente'!$P$2:$P$492,MATCH(59,'Output Utente'!$R$2:$R$492,0)),"")</f>
        <v/>
      </c>
      <c r="I62" s="27" t="str">
        <f aca="false">IFERROR(INDEX('Output Utente'!$F$2:$F$492,MATCH(59,'Output Utente'!$R$2:$R$492,0)),"")</f>
        <v/>
      </c>
      <c r="J62" s="27" t="str">
        <f aca="false">IFERROR(INDEX('Output Utente'!$G$2:$G$492,MATCH(59,'Output Utente'!$R$2:$R$492,0)),"")</f>
        <v/>
      </c>
      <c r="K62" s="27" t="str">
        <f aca="false">IFERROR(INDEX('Output Utente'!$H$2:$H$492,MATCH(59,'Output Utente'!$R$2:$R$492,0)),"")</f>
        <v/>
      </c>
      <c r="L62" s="26" t="str">
        <f aca="false">IFERROR(INDEX('Output Utente'!$E$2:$E$492,MATCH(59,'Output Utente'!$R$2:$R$492,0)),"")</f>
        <v/>
      </c>
    </row>
    <row r="63" customFormat="false" ht="15" hidden="false" customHeight="true" outlineLevel="0" collapsed="false">
      <c r="A63" s="29" t="n">
        <v>60</v>
      </c>
      <c r="B63" s="26" t="str">
        <f aca="false">IFERROR(INDEX('Output Utente'!$A$2:$A$492,MATCH(60,'Output Utente'!$R$2:$R$492,0)),"")</f>
        <v/>
      </c>
      <c r="C63" s="26" t="str">
        <f aca="false">IFERROR(INDEX('Output Utente'!$B$2:$B$492,MATCH(60,'Output Utente'!$R$2:$R$492,0)),"")</f>
        <v/>
      </c>
      <c r="D63" s="26" t="str">
        <f aca="false">IFERROR(INDEX('Output Utente'!$C$2:$C$492,MATCH(60,'Output Utente'!$R$2:$R$492,0)),"")</f>
        <v/>
      </c>
      <c r="E63" s="26" t="str">
        <f aca="false">IFERROR(INDEX('Input Giocatori 2026_27'!$D$3:$D$493,MATCH($B63,'Input Giocatori 2026_27'!$A$3:$A$493,0)),"")</f>
        <v/>
      </c>
      <c r="F63" s="27" t="str">
        <f aca="false">IFERROR(INDEX('Output Utente'!$N$2:$N$492,MATCH(60,'Output Utente'!$R$2:$R$492,0)),"")</f>
        <v/>
      </c>
      <c r="G63" s="26" t="str">
        <f aca="false">IFERROR(INDEX('Output Utente'!$O$2:$O$492,MATCH(60,'Output Utente'!$R$2:$R$492,0)),"")</f>
        <v/>
      </c>
      <c r="H63" s="26" t="str">
        <f aca="false">IFERROR(INDEX('Output Utente'!$P$2:$P$492,MATCH(60,'Output Utente'!$R$2:$R$492,0)),"")</f>
        <v/>
      </c>
      <c r="I63" s="27" t="str">
        <f aca="false">IFERROR(INDEX('Output Utente'!$F$2:$F$492,MATCH(60,'Output Utente'!$R$2:$R$492,0)),"")</f>
        <v/>
      </c>
      <c r="J63" s="27" t="str">
        <f aca="false">IFERROR(INDEX('Output Utente'!$G$2:$G$492,MATCH(60,'Output Utente'!$R$2:$R$492,0)),"")</f>
        <v/>
      </c>
      <c r="K63" s="27" t="str">
        <f aca="false">IFERROR(INDEX('Output Utente'!$H$2:$H$492,MATCH(60,'Output Utente'!$R$2:$R$492,0)),"")</f>
        <v/>
      </c>
      <c r="L63" s="26" t="str">
        <f aca="false">IFERROR(INDEX('Output Utente'!$E$2:$E$492,MATCH(60,'Output Utente'!$R$2:$R$492,0)),"")</f>
        <v/>
      </c>
    </row>
    <row r="64" customFormat="false" ht="15" hidden="false" customHeight="true" outlineLevel="0" collapsed="false">
      <c r="A64" s="29" t="n">
        <v>61</v>
      </c>
      <c r="B64" s="26" t="str">
        <f aca="false">IFERROR(INDEX('Output Utente'!$A$2:$A$492,MATCH(61,'Output Utente'!$R$2:$R$492,0)),"")</f>
        <v/>
      </c>
      <c r="C64" s="26" t="str">
        <f aca="false">IFERROR(INDEX('Output Utente'!$B$2:$B$492,MATCH(61,'Output Utente'!$R$2:$R$492,0)),"")</f>
        <v/>
      </c>
      <c r="D64" s="26" t="str">
        <f aca="false">IFERROR(INDEX('Output Utente'!$C$2:$C$492,MATCH(61,'Output Utente'!$R$2:$R$492,0)),"")</f>
        <v/>
      </c>
      <c r="E64" s="26" t="str">
        <f aca="false">IFERROR(INDEX('Input Giocatori 2026_27'!$D$3:$D$493,MATCH($B64,'Input Giocatori 2026_27'!$A$3:$A$493,0)),"")</f>
        <v/>
      </c>
      <c r="F64" s="27" t="str">
        <f aca="false">IFERROR(INDEX('Output Utente'!$N$2:$N$492,MATCH(61,'Output Utente'!$R$2:$R$492,0)),"")</f>
        <v/>
      </c>
      <c r="G64" s="26" t="str">
        <f aca="false">IFERROR(INDEX('Output Utente'!$O$2:$O$492,MATCH(61,'Output Utente'!$R$2:$R$492,0)),"")</f>
        <v/>
      </c>
      <c r="H64" s="26" t="str">
        <f aca="false">IFERROR(INDEX('Output Utente'!$P$2:$P$492,MATCH(61,'Output Utente'!$R$2:$R$492,0)),"")</f>
        <v/>
      </c>
      <c r="I64" s="27" t="str">
        <f aca="false">IFERROR(INDEX('Output Utente'!$F$2:$F$492,MATCH(61,'Output Utente'!$R$2:$R$492,0)),"")</f>
        <v/>
      </c>
      <c r="J64" s="27" t="str">
        <f aca="false">IFERROR(INDEX('Output Utente'!$G$2:$G$492,MATCH(61,'Output Utente'!$R$2:$R$492,0)),"")</f>
        <v/>
      </c>
      <c r="K64" s="27" t="str">
        <f aca="false">IFERROR(INDEX('Output Utente'!$H$2:$H$492,MATCH(61,'Output Utente'!$R$2:$R$492,0)),"")</f>
        <v/>
      </c>
      <c r="L64" s="26" t="str">
        <f aca="false">IFERROR(INDEX('Output Utente'!$E$2:$E$492,MATCH(61,'Output Utente'!$R$2:$R$492,0)),"")</f>
        <v/>
      </c>
    </row>
    <row r="65" customFormat="false" ht="15" hidden="false" customHeight="true" outlineLevel="0" collapsed="false">
      <c r="A65" s="29" t="n">
        <v>62</v>
      </c>
      <c r="B65" s="26" t="str">
        <f aca="false">IFERROR(INDEX('Output Utente'!$A$2:$A$492,MATCH(62,'Output Utente'!$R$2:$R$492,0)),"")</f>
        <v/>
      </c>
      <c r="C65" s="26" t="str">
        <f aca="false">IFERROR(INDEX('Output Utente'!$B$2:$B$492,MATCH(62,'Output Utente'!$R$2:$R$492,0)),"")</f>
        <v/>
      </c>
      <c r="D65" s="26" t="str">
        <f aca="false">IFERROR(INDEX('Output Utente'!$C$2:$C$492,MATCH(62,'Output Utente'!$R$2:$R$492,0)),"")</f>
        <v/>
      </c>
      <c r="E65" s="26" t="str">
        <f aca="false">IFERROR(INDEX('Input Giocatori 2026_27'!$D$3:$D$493,MATCH($B65,'Input Giocatori 2026_27'!$A$3:$A$493,0)),"")</f>
        <v/>
      </c>
      <c r="F65" s="27" t="str">
        <f aca="false">IFERROR(INDEX('Output Utente'!$N$2:$N$492,MATCH(62,'Output Utente'!$R$2:$R$492,0)),"")</f>
        <v/>
      </c>
      <c r="G65" s="26" t="str">
        <f aca="false">IFERROR(INDEX('Output Utente'!$O$2:$O$492,MATCH(62,'Output Utente'!$R$2:$R$492,0)),"")</f>
        <v/>
      </c>
      <c r="H65" s="26" t="str">
        <f aca="false">IFERROR(INDEX('Output Utente'!$P$2:$P$492,MATCH(62,'Output Utente'!$R$2:$R$492,0)),"")</f>
        <v/>
      </c>
      <c r="I65" s="27" t="str">
        <f aca="false">IFERROR(INDEX('Output Utente'!$F$2:$F$492,MATCH(62,'Output Utente'!$R$2:$R$492,0)),"")</f>
        <v/>
      </c>
      <c r="J65" s="27" t="str">
        <f aca="false">IFERROR(INDEX('Output Utente'!$G$2:$G$492,MATCH(62,'Output Utente'!$R$2:$R$492,0)),"")</f>
        <v/>
      </c>
      <c r="K65" s="27" t="str">
        <f aca="false">IFERROR(INDEX('Output Utente'!$H$2:$H$492,MATCH(62,'Output Utente'!$R$2:$R$492,0)),"")</f>
        <v/>
      </c>
      <c r="L65" s="26" t="str">
        <f aca="false">IFERROR(INDEX('Output Utente'!$E$2:$E$492,MATCH(62,'Output Utente'!$R$2:$R$492,0)),"")</f>
        <v/>
      </c>
    </row>
    <row r="66" customFormat="false" ht="15" hidden="false" customHeight="true" outlineLevel="0" collapsed="false">
      <c r="A66" s="29" t="n">
        <v>63</v>
      </c>
      <c r="B66" s="26" t="str">
        <f aca="false">IFERROR(INDEX('Output Utente'!$A$2:$A$492,MATCH(63,'Output Utente'!$R$2:$R$492,0)),"")</f>
        <v/>
      </c>
      <c r="C66" s="26" t="str">
        <f aca="false">IFERROR(INDEX('Output Utente'!$B$2:$B$492,MATCH(63,'Output Utente'!$R$2:$R$492,0)),"")</f>
        <v/>
      </c>
      <c r="D66" s="26" t="str">
        <f aca="false">IFERROR(INDEX('Output Utente'!$C$2:$C$492,MATCH(63,'Output Utente'!$R$2:$R$492,0)),"")</f>
        <v/>
      </c>
      <c r="E66" s="26" t="str">
        <f aca="false">IFERROR(INDEX('Input Giocatori 2026_27'!$D$3:$D$493,MATCH($B66,'Input Giocatori 2026_27'!$A$3:$A$493,0)),"")</f>
        <v/>
      </c>
      <c r="F66" s="27" t="str">
        <f aca="false">IFERROR(INDEX('Output Utente'!$N$2:$N$492,MATCH(63,'Output Utente'!$R$2:$R$492,0)),"")</f>
        <v/>
      </c>
      <c r="G66" s="26" t="str">
        <f aca="false">IFERROR(INDEX('Output Utente'!$O$2:$O$492,MATCH(63,'Output Utente'!$R$2:$R$492,0)),"")</f>
        <v/>
      </c>
      <c r="H66" s="26" t="str">
        <f aca="false">IFERROR(INDEX('Output Utente'!$P$2:$P$492,MATCH(63,'Output Utente'!$R$2:$R$492,0)),"")</f>
        <v/>
      </c>
      <c r="I66" s="27" t="str">
        <f aca="false">IFERROR(INDEX('Output Utente'!$F$2:$F$492,MATCH(63,'Output Utente'!$R$2:$R$492,0)),"")</f>
        <v/>
      </c>
      <c r="J66" s="27" t="str">
        <f aca="false">IFERROR(INDEX('Output Utente'!$G$2:$G$492,MATCH(63,'Output Utente'!$R$2:$R$492,0)),"")</f>
        <v/>
      </c>
      <c r="K66" s="27" t="str">
        <f aca="false">IFERROR(INDEX('Output Utente'!$H$2:$H$492,MATCH(63,'Output Utente'!$R$2:$R$492,0)),"")</f>
        <v/>
      </c>
      <c r="L66" s="26" t="str">
        <f aca="false">IFERROR(INDEX('Output Utente'!$E$2:$E$492,MATCH(63,'Output Utente'!$R$2:$R$492,0)),"")</f>
        <v/>
      </c>
    </row>
    <row r="67" customFormat="false" ht="15" hidden="false" customHeight="true" outlineLevel="0" collapsed="false">
      <c r="A67" s="29" t="n">
        <v>64</v>
      </c>
      <c r="B67" s="26" t="str">
        <f aca="false">IFERROR(INDEX('Output Utente'!$A$2:$A$492,MATCH(64,'Output Utente'!$R$2:$R$492,0)),"")</f>
        <v/>
      </c>
      <c r="C67" s="26" t="str">
        <f aca="false">IFERROR(INDEX('Output Utente'!$B$2:$B$492,MATCH(64,'Output Utente'!$R$2:$R$492,0)),"")</f>
        <v/>
      </c>
      <c r="D67" s="26" t="str">
        <f aca="false">IFERROR(INDEX('Output Utente'!$C$2:$C$492,MATCH(64,'Output Utente'!$R$2:$R$492,0)),"")</f>
        <v/>
      </c>
      <c r="E67" s="26" t="str">
        <f aca="false">IFERROR(INDEX('Input Giocatori 2026_27'!$D$3:$D$493,MATCH($B67,'Input Giocatori 2026_27'!$A$3:$A$493,0)),"")</f>
        <v/>
      </c>
      <c r="F67" s="27" t="str">
        <f aca="false">IFERROR(INDEX('Output Utente'!$N$2:$N$492,MATCH(64,'Output Utente'!$R$2:$R$492,0)),"")</f>
        <v/>
      </c>
      <c r="G67" s="26" t="str">
        <f aca="false">IFERROR(INDEX('Output Utente'!$O$2:$O$492,MATCH(64,'Output Utente'!$R$2:$R$492,0)),"")</f>
        <v/>
      </c>
      <c r="H67" s="26" t="str">
        <f aca="false">IFERROR(INDEX('Output Utente'!$P$2:$P$492,MATCH(64,'Output Utente'!$R$2:$R$492,0)),"")</f>
        <v/>
      </c>
      <c r="I67" s="27" t="str">
        <f aca="false">IFERROR(INDEX('Output Utente'!$F$2:$F$492,MATCH(64,'Output Utente'!$R$2:$R$492,0)),"")</f>
        <v/>
      </c>
      <c r="J67" s="27" t="str">
        <f aca="false">IFERROR(INDEX('Output Utente'!$G$2:$G$492,MATCH(64,'Output Utente'!$R$2:$R$492,0)),"")</f>
        <v/>
      </c>
      <c r="K67" s="27" t="str">
        <f aca="false">IFERROR(INDEX('Output Utente'!$H$2:$H$492,MATCH(64,'Output Utente'!$R$2:$R$492,0)),"")</f>
        <v/>
      </c>
      <c r="L67" s="26" t="str">
        <f aca="false">IFERROR(INDEX('Output Utente'!$E$2:$E$492,MATCH(64,'Output Utente'!$R$2:$R$492,0)),"")</f>
        <v/>
      </c>
    </row>
    <row r="68" customFormat="false" ht="15" hidden="false" customHeight="true" outlineLevel="0" collapsed="false">
      <c r="A68" s="29" t="n">
        <v>65</v>
      </c>
      <c r="B68" s="26" t="str">
        <f aca="false">IFERROR(INDEX('Output Utente'!$A$2:$A$492,MATCH(65,'Output Utente'!$R$2:$R$492,0)),"")</f>
        <v/>
      </c>
      <c r="C68" s="26" t="str">
        <f aca="false">IFERROR(INDEX('Output Utente'!$B$2:$B$492,MATCH(65,'Output Utente'!$R$2:$R$492,0)),"")</f>
        <v/>
      </c>
      <c r="D68" s="26" t="str">
        <f aca="false">IFERROR(INDEX('Output Utente'!$C$2:$C$492,MATCH(65,'Output Utente'!$R$2:$R$492,0)),"")</f>
        <v/>
      </c>
      <c r="E68" s="26" t="str">
        <f aca="false">IFERROR(INDEX('Input Giocatori 2026_27'!$D$3:$D$493,MATCH($B68,'Input Giocatori 2026_27'!$A$3:$A$493,0)),"")</f>
        <v/>
      </c>
      <c r="F68" s="27" t="str">
        <f aca="false">IFERROR(INDEX('Output Utente'!$N$2:$N$492,MATCH(65,'Output Utente'!$R$2:$R$492,0)),"")</f>
        <v/>
      </c>
      <c r="G68" s="26" t="str">
        <f aca="false">IFERROR(INDEX('Output Utente'!$O$2:$O$492,MATCH(65,'Output Utente'!$R$2:$R$492,0)),"")</f>
        <v/>
      </c>
      <c r="H68" s="26" t="str">
        <f aca="false">IFERROR(INDEX('Output Utente'!$P$2:$P$492,MATCH(65,'Output Utente'!$R$2:$R$492,0)),"")</f>
        <v/>
      </c>
      <c r="I68" s="27" t="str">
        <f aca="false">IFERROR(INDEX('Output Utente'!$F$2:$F$492,MATCH(65,'Output Utente'!$R$2:$R$492,0)),"")</f>
        <v/>
      </c>
      <c r="J68" s="27" t="str">
        <f aca="false">IFERROR(INDEX('Output Utente'!$G$2:$G$492,MATCH(65,'Output Utente'!$R$2:$R$492,0)),"")</f>
        <v/>
      </c>
      <c r="K68" s="27" t="str">
        <f aca="false">IFERROR(INDEX('Output Utente'!$H$2:$H$492,MATCH(65,'Output Utente'!$R$2:$R$492,0)),"")</f>
        <v/>
      </c>
      <c r="L68" s="26" t="str">
        <f aca="false">IFERROR(INDEX('Output Utente'!$E$2:$E$492,MATCH(65,'Output Utente'!$R$2:$R$492,0)),"")</f>
        <v/>
      </c>
    </row>
    <row r="69" customFormat="false" ht="15" hidden="false" customHeight="true" outlineLevel="0" collapsed="false">
      <c r="A69" s="29" t="n">
        <v>66</v>
      </c>
      <c r="B69" s="26" t="str">
        <f aca="false">IFERROR(INDEX('Output Utente'!$A$2:$A$492,MATCH(66,'Output Utente'!$R$2:$R$492,0)),"")</f>
        <v/>
      </c>
      <c r="C69" s="26" t="str">
        <f aca="false">IFERROR(INDEX('Output Utente'!$B$2:$B$492,MATCH(66,'Output Utente'!$R$2:$R$492,0)),"")</f>
        <v/>
      </c>
      <c r="D69" s="26" t="str">
        <f aca="false">IFERROR(INDEX('Output Utente'!$C$2:$C$492,MATCH(66,'Output Utente'!$R$2:$R$492,0)),"")</f>
        <v/>
      </c>
      <c r="E69" s="26" t="str">
        <f aca="false">IFERROR(INDEX('Input Giocatori 2026_27'!$D$3:$D$493,MATCH($B69,'Input Giocatori 2026_27'!$A$3:$A$493,0)),"")</f>
        <v/>
      </c>
      <c r="F69" s="27" t="str">
        <f aca="false">IFERROR(INDEX('Output Utente'!$N$2:$N$492,MATCH(66,'Output Utente'!$R$2:$R$492,0)),"")</f>
        <v/>
      </c>
      <c r="G69" s="26" t="str">
        <f aca="false">IFERROR(INDEX('Output Utente'!$O$2:$O$492,MATCH(66,'Output Utente'!$R$2:$R$492,0)),"")</f>
        <v/>
      </c>
      <c r="H69" s="26" t="str">
        <f aca="false">IFERROR(INDEX('Output Utente'!$P$2:$P$492,MATCH(66,'Output Utente'!$R$2:$R$492,0)),"")</f>
        <v/>
      </c>
      <c r="I69" s="27" t="str">
        <f aca="false">IFERROR(INDEX('Output Utente'!$F$2:$F$492,MATCH(66,'Output Utente'!$R$2:$R$492,0)),"")</f>
        <v/>
      </c>
      <c r="J69" s="27" t="str">
        <f aca="false">IFERROR(INDEX('Output Utente'!$G$2:$G$492,MATCH(66,'Output Utente'!$R$2:$R$492,0)),"")</f>
        <v/>
      </c>
      <c r="K69" s="27" t="str">
        <f aca="false">IFERROR(INDEX('Output Utente'!$H$2:$H$492,MATCH(66,'Output Utente'!$R$2:$R$492,0)),"")</f>
        <v/>
      </c>
      <c r="L69" s="26" t="str">
        <f aca="false">IFERROR(INDEX('Output Utente'!$E$2:$E$492,MATCH(66,'Output Utente'!$R$2:$R$492,0)),"")</f>
        <v/>
      </c>
    </row>
    <row r="70" customFormat="false" ht="15" hidden="false" customHeight="true" outlineLevel="0" collapsed="false">
      <c r="A70" s="29" t="n">
        <v>67</v>
      </c>
      <c r="B70" s="26" t="str">
        <f aca="false">IFERROR(INDEX('Output Utente'!$A$2:$A$492,MATCH(67,'Output Utente'!$R$2:$R$492,0)),"")</f>
        <v/>
      </c>
      <c r="C70" s="26" t="str">
        <f aca="false">IFERROR(INDEX('Output Utente'!$B$2:$B$492,MATCH(67,'Output Utente'!$R$2:$R$492,0)),"")</f>
        <v/>
      </c>
      <c r="D70" s="26" t="str">
        <f aca="false">IFERROR(INDEX('Output Utente'!$C$2:$C$492,MATCH(67,'Output Utente'!$R$2:$R$492,0)),"")</f>
        <v/>
      </c>
      <c r="E70" s="26" t="str">
        <f aca="false">IFERROR(INDEX('Input Giocatori 2026_27'!$D$3:$D$493,MATCH($B70,'Input Giocatori 2026_27'!$A$3:$A$493,0)),"")</f>
        <v/>
      </c>
      <c r="F70" s="27" t="str">
        <f aca="false">IFERROR(INDEX('Output Utente'!$N$2:$N$492,MATCH(67,'Output Utente'!$R$2:$R$492,0)),"")</f>
        <v/>
      </c>
      <c r="G70" s="26" t="str">
        <f aca="false">IFERROR(INDEX('Output Utente'!$O$2:$O$492,MATCH(67,'Output Utente'!$R$2:$R$492,0)),"")</f>
        <v/>
      </c>
      <c r="H70" s="26" t="str">
        <f aca="false">IFERROR(INDEX('Output Utente'!$P$2:$P$492,MATCH(67,'Output Utente'!$R$2:$R$492,0)),"")</f>
        <v/>
      </c>
      <c r="I70" s="27" t="str">
        <f aca="false">IFERROR(INDEX('Output Utente'!$F$2:$F$492,MATCH(67,'Output Utente'!$R$2:$R$492,0)),"")</f>
        <v/>
      </c>
      <c r="J70" s="27" t="str">
        <f aca="false">IFERROR(INDEX('Output Utente'!$G$2:$G$492,MATCH(67,'Output Utente'!$R$2:$R$492,0)),"")</f>
        <v/>
      </c>
      <c r="K70" s="27" t="str">
        <f aca="false">IFERROR(INDEX('Output Utente'!$H$2:$H$492,MATCH(67,'Output Utente'!$R$2:$R$492,0)),"")</f>
        <v/>
      </c>
      <c r="L70" s="26" t="str">
        <f aca="false">IFERROR(INDEX('Output Utente'!$E$2:$E$492,MATCH(67,'Output Utente'!$R$2:$R$492,0)),"")</f>
        <v/>
      </c>
    </row>
    <row r="71" customFormat="false" ht="15" hidden="false" customHeight="true" outlineLevel="0" collapsed="false">
      <c r="A71" s="29" t="n">
        <v>68</v>
      </c>
      <c r="B71" s="26" t="str">
        <f aca="false">IFERROR(INDEX('Output Utente'!$A$2:$A$492,MATCH(68,'Output Utente'!$R$2:$R$492,0)),"")</f>
        <v/>
      </c>
      <c r="C71" s="26" t="str">
        <f aca="false">IFERROR(INDEX('Output Utente'!$B$2:$B$492,MATCH(68,'Output Utente'!$R$2:$R$492,0)),"")</f>
        <v/>
      </c>
      <c r="D71" s="26" t="str">
        <f aca="false">IFERROR(INDEX('Output Utente'!$C$2:$C$492,MATCH(68,'Output Utente'!$R$2:$R$492,0)),"")</f>
        <v/>
      </c>
      <c r="E71" s="26" t="str">
        <f aca="false">IFERROR(INDEX('Input Giocatori 2026_27'!$D$3:$D$493,MATCH($B71,'Input Giocatori 2026_27'!$A$3:$A$493,0)),"")</f>
        <v/>
      </c>
      <c r="F71" s="27" t="str">
        <f aca="false">IFERROR(INDEX('Output Utente'!$N$2:$N$492,MATCH(68,'Output Utente'!$R$2:$R$492,0)),"")</f>
        <v/>
      </c>
      <c r="G71" s="26" t="str">
        <f aca="false">IFERROR(INDEX('Output Utente'!$O$2:$O$492,MATCH(68,'Output Utente'!$R$2:$R$492,0)),"")</f>
        <v/>
      </c>
      <c r="H71" s="26" t="str">
        <f aca="false">IFERROR(INDEX('Output Utente'!$P$2:$P$492,MATCH(68,'Output Utente'!$R$2:$R$492,0)),"")</f>
        <v/>
      </c>
      <c r="I71" s="27" t="str">
        <f aca="false">IFERROR(INDEX('Output Utente'!$F$2:$F$492,MATCH(68,'Output Utente'!$R$2:$R$492,0)),"")</f>
        <v/>
      </c>
      <c r="J71" s="27" t="str">
        <f aca="false">IFERROR(INDEX('Output Utente'!$G$2:$G$492,MATCH(68,'Output Utente'!$R$2:$R$492,0)),"")</f>
        <v/>
      </c>
      <c r="K71" s="27" t="str">
        <f aca="false">IFERROR(INDEX('Output Utente'!$H$2:$H$492,MATCH(68,'Output Utente'!$R$2:$R$492,0)),"")</f>
        <v/>
      </c>
      <c r="L71" s="26" t="str">
        <f aca="false">IFERROR(INDEX('Output Utente'!$E$2:$E$492,MATCH(68,'Output Utente'!$R$2:$R$492,0)),"")</f>
        <v/>
      </c>
    </row>
    <row r="72" customFormat="false" ht="15" hidden="false" customHeight="true" outlineLevel="0" collapsed="false">
      <c r="A72" s="29" t="n">
        <v>69</v>
      </c>
      <c r="B72" s="26" t="str">
        <f aca="false">IFERROR(INDEX('Output Utente'!$A$2:$A$492,MATCH(69,'Output Utente'!$R$2:$R$492,0)),"")</f>
        <v/>
      </c>
      <c r="C72" s="26" t="str">
        <f aca="false">IFERROR(INDEX('Output Utente'!$B$2:$B$492,MATCH(69,'Output Utente'!$R$2:$R$492,0)),"")</f>
        <v/>
      </c>
      <c r="D72" s="26" t="str">
        <f aca="false">IFERROR(INDEX('Output Utente'!$C$2:$C$492,MATCH(69,'Output Utente'!$R$2:$R$492,0)),"")</f>
        <v/>
      </c>
      <c r="E72" s="26" t="str">
        <f aca="false">IFERROR(INDEX('Input Giocatori 2026_27'!$D$3:$D$493,MATCH($B72,'Input Giocatori 2026_27'!$A$3:$A$493,0)),"")</f>
        <v/>
      </c>
      <c r="F72" s="27" t="str">
        <f aca="false">IFERROR(INDEX('Output Utente'!$N$2:$N$492,MATCH(69,'Output Utente'!$R$2:$R$492,0)),"")</f>
        <v/>
      </c>
      <c r="G72" s="26" t="str">
        <f aca="false">IFERROR(INDEX('Output Utente'!$O$2:$O$492,MATCH(69,'Output Utente'!$R$2:$R$492,0)),"")</f>
        <v/>
      </c>
      <c r="H72" s="26" t="str">
        <f aca="false">IFERROR(INDEX('Output Utente'!$P$2:$P$492,MATCH(69,'Output Utente'!$R$2:$R$492,0)),"")</f>
        <v/>
      </c>
      <c r="I72" s="27" t="str">
        <f aca="false">IFERROR(INDEX('Output Utente'!$F$2:$F$492,MATCH(69,'Output Utente'!$R$2:$R$492,0)),"")</f>
        <v/>
      </c>
      <c r="J72" s="27" t="str">
        <f aca="false">IFERROR(INDEX('Output Utente'!$G$2:$G$492,MATCH(69,'Output Utente'!$R$2:$R$492,0)),"")</f>
        <v/>
      </c>
      <c r="K72" s="27" t="str">
        <f aca="false">IFERROR(INDEX('Output Utente'!$H$2:$H$492,MATCH(69,'Output Utente'!$R$2:$R$492,0)),"")</f>
        <v/>
      </c>
      <c r="L72" s="26" t="str">
        <f aca="false">IFERROR(INDEX('Output Utente'!$E$2:$E$492,MATCH(69,'Output Utente'!$R$2:$R$492,0)),"")</f>
        <v/>
      </c>
    </row>
    <row r="73" customFormat="false" ht="15" hidden="false" customHeight="true" outlineLevel="0" collapsed="false">
      <c r="A73" s="29" t="n">
        <v>70</v>
      </c>
      <c r="B73" s="26" t="str">
        <f aca="false">IFERROR(INDEX('Output Utente'!$A$2:$A$492,MATCH(70,'Output Utente'!$R$2:$R$492,0)),"")</f>
        <v/>
      </c>
      <c r="C73" s="26" t="str">
        <f aca="false">IFERROR(INDEX('Output Utente'!$B$2:$B$492,MATCH(70,'Output Utente'!$R$2:$R$492,0)),"")</f>
        <v/>
      </c>
      <c r="D73" s="26" t="str">
        <f aca="false">IFERROR(INDEX('Output Utente'!$C$2:$C$492,MATCH(70,'Output Utente'!$R$2:$R$492,0)),"")</f>
        <v/>
      </c>
      <c r="E73" s="26" t="str">
        <f aca="false">IFERROR(INDEX('Input Giocatori 2026_27'!$D$3:$D$493,MATCH($B73,'Input Giocatori 2026_27'!$A$3:$A$493,0)),"")</f>
        <v/>
      </c>
      <c r="F73" s="27" t="str">
        <f aca="false">IFERROR(INDEX('Output Utente'!$N$2:$N$492,MATCH(70,'Output Utente'!$R$2:$R$492,0)),"")</f>
        <v/>
      </c>
      <c r="G73" s="26" t="str">
        <f aca="false">IFERROR(INDEX('Output Utente'!$O$2:$O$492,MATCH(70,'Output Utente'!$R$2:$R$492,0)),"")</f>
        <v/>
      </c>
      <c r="H73" s="26" t="str">
        <f aca="false">IFERROR(INDEX('Output Utente'!$P$2:$P$492,MATCH(70,'Output Utente'!$R$2:$R$492,0)),"")</f>
        <v/>
      </c>
      <c r="I73" s="27" t="str">
        <f aca="false">IFERROR(INDEX('Output Utente'!$F$2:$F$492,MATCH(70,'Output Utente'!$R$2:$R$492,0)),"")</f>
        <v/>
      </c>
      <c r="J73" s="27" t="str">
        <f aca="false">IFERROR(INDEX('Output Utente'!$G$2:$G$492,MATCH(70,'Output Utente'!$R$2:$R$492,0)),"")</f>
        <v/>
      </c>
      <c r="K73" s="27" t="str">
        <f aca="false">IFERROR(INDEX('Output Utente'!$H$2:$H$492,MATCH(70,'Output Utente'!$R$2:$R$492,0)),"")</f>
        <v/>
      </c>
      <c r="L73" s="26" t="str">
        <f aca="false">IFERROR(INDEX('Output Utente'!$E$2:$E$492,MATCH(70,'Output Utente'!$R$2:$R$492,0)),"")</f>
        <v/>
      </c>
    </row>
    <row r="74" customFormat="false" ht="15" hidden="false" customHeight="true" outlineLevel="0" collapsed="false">
      <c r="A74" s="29" t="n">
        <v>71</v>
      </c>
      <c r="B74" s="26" t="str">
        <f aca="false">IFERROR(INDEX('Output Utente'!$A$2:$A$492,MATCH(71,'Output Utente'!$R$2:$R$492,0)),"")</f>
        <v/>
      </c>
      <c r="C74" s="26" t="str">
        <f aca="false">IFERROR(INDEX('Output Utente'!$B$2:$B$492,MATCH(71,'Output Utente'!$R$2:$R$492,0)),"")</f>
        <v/>
      </c>
      <c r="D74" s="26" t="str">
        <f aca="false">IFERROR(INDEX('Output Utente'!$C$2:$C$492,MATCH(71,'Output Utente'!$R$2:$R$492,0)),"")</f>
        <v/>
      </c>
      <c r="E74" s="26" t="str">
        <f aca="false">IFERROR(INDEX('Input Giocatori 2026_27'!$D$3:$D$493,MATCH($B74,'Input Giocatori 2026_27'!$A$3:$A$493,0)),"")</f>
        <v/>
      </c>
      <c r="F74" s="27" t="str">
        <f aca="false">IFERROR(INDEX('Output Utente'!$N$2:$N$492,MATCH(71,'Output Utente'!$R$2:$R$492,0)),"")</f>
        <v/>
      </c>
      <c r="G74" s="26" t="str">
        <f aca="false">IFERROR(INDEX('Output Utente'!$O$2:$O$492,MATCH(71,'Output Utente'!$R$2:$R$492,0)),"")</f>
        <v/>
      </c>
      <c r="H74" s="26" t="str">
        <f aca="false">IFERROR(INDEX('Output Utente'!$P$2:$P$492,MATCH(71,'Output Utente'!$R$2:$R$492,0)),"")</f>
        <v/>
      </c>
      <c r="I74" s="27" t="str">
        <f aca="false">IFERROR(INDEX('Output Utente'!$F$2:$F$492,MATCH(71,'Output Utente'!$R$2:$R$492,0)),"")</f>
        <v/>
      </c>
      <c r="J74" s="27" t="str">
        <f aca="false">IFERROR(INDEX('Output Utente'!$G$2:$G$492,MATCH(71,'Output Utente'!$R$2:$R$492,0)),"")</f>
        <v/>
      </c>
      <c r="K74" s="27" t="str">
        <f aca="false">IFERROR(INDEX('Output Utente'!$H$2:$H$492,MATCH(71,'Output Utente'!$R$2:$R$492,0)),"")</f>
        <v/>
      </c>
      <c r="L74" s="26" t="str">
        <f aca="false">IFERROR(INDEX('Output Utente'!$E$2:$E$492,MATCH(71,'Output Utente'!$R$2:$R$492,0)),"")</f>
        <v/>
      </c>
    </row>
    <row r="75" customFormat="false" ht="15" hidden="false" customHeight="true" outlineLevel="0" collapsed="false">
      <c r="A75" s="29" t="n">
        <v>72</v>
      </c>
      <c r="B75" s="26" t="str">
        <f aca="false">IFERROR(INDEX('Output Utente'!$A$2:$A$492,MATCH(72,'Output Utente'!$R$2:$R$492,0)),"")</f>
        <v/>
      </c>
      <c r="C75" s="26" t="str">
        <f aca="false">IFERROR(INDEX('Output Utente'!$B$2:$B$492,MATCH(72,'Output Utente'!$R$2:$R$492,0)),"")</f>
        <v/>
      </c>
      <c r="D75" s="26" t="str">
        <f aca="false">IFERROR(INDEX('Output Utente'!$C$2:$C$492,MATCH(72,'Output Utente'!$R$2:$R$492,0)),"")</f>
        <v/>
      </c>
      <c r="E75" s="26" t="str">
        <f aca="false">IFERROR(INDEX('Input Giocatori 2026_27'!$D$3:$D$493,MATCH($B75,'Input Giocatori 2026_27'!$A$3:$A$493,0)),"")</f>
        <v/>
      </c>
      <c r="F75" s="27" t="str">
        <f aca="false">IFERROR(INDEX('Output Utente'!$N$2:$N$492,MATCH(72,'Output Utente'!$R$2:$R$492,0)),"")</f>
        <v/>
      </c>
      <c r="G75" s="26" t="str">
        <f aca="false">IFERROR(INDEX('Output Utente'!$O$2:$O$492,MATCH(72,'Output Utente'!$R$2:$R$492,0)),"")</f>
        <v/>
      </c>
      <c r="H75" s="26" t="str">
        <f aca="false">IFERROR(INDEX('Output Utente'!$P$2:$P$492,MATCH(72,'Output Utente'!$R$2:$R$492,0)),"")</f>
        <v/>
      </c>
      <c r="I75" s="27" t="str">
        <f aca="false">IFERROR(INDEX('Output Utente'!$F$2:$F$492,MATCH(72,'Output Utente'!$R$2:$R$492,0)),"")</f>
        <v/>
      </c>
      <c r="J75" s="27" t="str">
        <f aca="false">IFERROR(INDEX('Output Utente'!$G$2:$G$492,MATCH(72,'Output Utente'!$R$2:$R$492,0)),"")</f>
        <v/>
      </c>
      <c r="K75" s="27" t="str">
        <f aca="false">IFERROR(INDEX('Output Utente'!$H$2:$H$492,MATCH(72,'Output Utente'!$R$2:$R$492,0)),"")</f>
        <v/>
      </c>
      <c r="L75" s="26" t="str">
        <f aca="false">IFERROR(INDEX('Output Utente'!$E$2:$E$492,MATCH(72,'Output Utente'!$R$2:$R$492,0)),"")</f>
        <v/>
      </c>
    </row>
    <row r="76" customFormat="false" ht="15" hidden="false" customHeight="true" outlineLevel="0" collapsed="false">
      <c r="A76" s="29" t="n">
        <v>73</v>
      </c>
      <c r="B76" s="26" t="str">
        <f aca="false">IFERROR(INDEX('Output Utente'!$A$2:$A$492,MATCH(73,'Output Utente'!$R$2:$R$492,0)),"")</f>
        <v/>
      </c>
      <c r="C76" s="26" t="str">
        <f aca="false">IFERROR(INDEX('Output Utente'!$B$2:$B$492,MATCH(73,'Output Utente'!$R$2:$R$492,0)),"")</f>
        <v/>
      </c>
      <c r="D76" s="26" t="str">
        <f aca="false">IFERROR(INDEX('Output Utente'!$C$2:$C$492,MATCH(73,'Output Utente'!$R$2:$R$492,0)),"")</f>
        <v/>
      </c>
      <c r="E76" s="26" t="str">
        <f aca="false">IFERROR(INDEX('Input Giocatori 2026_27'!$D$3:$D$493,MATCH($B76,'Input Giocatori 2026_27'!$A$3:$A$493,0)),"")</f>
        <v/>
      </c>
      <c r="F76" s="27" t="str">
        <f aca="false">IFERROR(INDEX('Output Utente'!$N$2:$N$492,MATCH(73,'Output Utente'!$R$2:$R$492,0)),"")</f>
        <v/>
      </c>
      <c r="G76" s="26" t="str">
        <f aca="false">IFERROR(INDEX('Output Utente'!$O$2:$O$492,MATCH(73,'Output Utente'!$R$2:$R$492,0)),"")</f>
        <v/>
      </c>
      <c r="H76" s="26" t="str">
        <f aca="false">IFERROR(INDEX('Output Utente'!$P$2:$P$492,MATCH(73,'Output Utente'!$R$2:$R$492,0)),"")</f>
        <v/>
      </c>
      <c r="I76" s="27" t="str">
        <f aca="false">IFERROR(INDEX('Output Utente'!$F$2:$F$492,MATCH(73,'Output Utente'!$R$2:$R$492,0)),"")</f>
        <v/>
      </c>
      <c r="J76" s="27" t="str">
        <f aca="false">IFERROR(INDEX('Output Utente'!$G$2:$G$492,MATCH(73,'Output Utente'!$R$2:$R$492,0)),"")</f>
        <v/>
      </c>
      <c r="K76" s="27" t="str">
        <f aca="false">IFERROR(INDEX('Output Utente'!$H$2:$H$492,MATCH(73,'Output Utente'!$R$2:$R$492,0)),"")</f>
        <v/>
      </c>
      <c r="L76" s="26" t="str">
        <f aca="false">IFERROR(INDEX('Output Utente'!$E$2:$E$492,MATCH(73,'Output Utente'!$R$2:$R$492,0)),"")</f>
        <v/>
      </c>
    </row>
    <row r="77" customFormat="false" ht="15" hidden="false" customHeight="true" outlineLevel="0" collapsed="false">
      <c r="A77" s="29" t="n">
        <v>74</v>
      </c>
      <c r="B77" s="26" t="str">
        <f aca="false">IFERROR(INDEX('Output Utente'!$A$2:$A$492,MATCH(74,'Output Utente'!$R$2:$R$492,0)),"")</f>
        <v/>
      </c>
      <c r="C77" s="26" t="str">
        <f aca="false">IFERROR(INDEX('Output Utente'!$B$2:$B$492,MATCH(74,'Output Utente'!$R$2:$R$492,0)),"")</f>
        <v/>
      </c>
      <c r="D77" s="26" t="str">
        <f aca="false">IFERROR(INDEX('Output Utente'!$C$2:$C$492,MATCH(74,'Output Utente'!$R$2:$R$492,0)),"")</f>
        <v/>
      </c>
      <c r="E77" s="26" t="str">
        <f aca="false">IFERROR(INDEX('Input Giocatori 2026_27'!$D$3:$D$493,MATCH($B77,'Input Giocatori 2026_27'!$A$3:$A$493,0)),"")</f>
        <v/>
      </c>
      <c r="F77" s="27" t="str">
        <f aca="false">IFERROR(INDEX('Output Utente'!$N$2:$N$492,MATCH(74,'Output Utente'!$R$2:$R$492,0)),"")</f>
        <v/>
      </c>
      <c r="G77" s="26" t="str">
        <f aca="false">IFERROR(INDEX('Output Utente'!$O$2:$O$492,MATCH(74,'Output Utente'!$R$2:$R$492,0)),"")</f>
        <v/>
      </c>
      <c r="H77" s="26" t="str">
        <f aca="false">IFERROR(INDEX('Output Utente'!$P$2:$P$492,MATCH(74,'Output Utente'!$R$2:$R$492,0)),"")</f>
        <v/>
      </c>
      <c r="I77" s="27" t="str">
        <f aca="false">IFERROR(INDEX('Output Utente'!$F$2:$F$492,MATCH(74,'Output Utente'!$R$2:$R$492,0)),"")</f>
        <v/>
      </c>
      <c r="J77" s="27" t="str">
        <f aca="false">IFERROR(INDEX('Output Utente'!$G$2:$G$492,MATCH(74,'Output Utente'!$R$2:$R$492,0)),"")</f>
        <v/>
      </c>
      <c r="K77" s="27" t="str">
        <f aca="false">IFERROR(INDEX('Output Utente'!$H$2:$H$492,MATCH(74,'Output Utente'!$R$2:$R$492,0)),"")</f>
        <v/>
      </c>
      <c r="L77" s="26" t="str">
        <f aca="false">IFERROR(INDEX('Output Utente'!$E$2:$E$492,MATCH(74,'Output Utente'!$R$2:$R$492,0)),"")</f>
        <v/>
      </c>
    </row>
    <row r="78" customFormat="false" ht="15" hidden="false" customHeight="true" outlineLevel="0" collapsed="false">
      <c r="A78" s="29" t="n">
        <v>75</v>
      </c>
      <c r="B78" s="26" t="str">
        <f aca="false">IFERROR(INDEX('Output Utente'!$A$2:$A$492,MATCH(75,'Output Utente'!$R$2:$R$492,0)),"")</f>
        <v/>
      </c>
      <c r="C78" s="26" t="str">
        <f aca="false">IFERROR(INDEX('Output Utente'!$B$2:$B$492,MATCH(75,'Output Utente'!$R$2:$R$492,0)),"")</f>
        <v/>
      </c>
      <c r="D78" s="26" t="str">
        <f aca="false">IFERROR(INDEX('Output Utente'!$C$2:$C$492,MATCH(75,'Output Utente'!$R$2:$R$492,0)),"")</f>
        <v/>
      </c>
      <c r="E78" s="26" t="str">
        <f aca="false">IFERROR(INDEX('Input Giocatori 2026_27'!$D$3:$D$493,MATCH($B78,'Input Giocatori 2026_27'!$A$3:$A$493,0)),"")</f>
        <v/>
      </c>
      <c r="F78" s="27" t="str">
        <f aca="false">IFERROR(INDEX('Output Utente'!$N$2:$N$492,MATCH(75,'Output Utente'!$R$2:$R$492,0)),"")</f>
        <v/>
      </c>
      <c r="G78" s="26" t="str">
        <f aca="false">IFERROR(INDEX('Output Utente'!$O$2:$O$492,MATCH(75,'Output Utente'!$R$2:$R$492,0)),"")</f>
        <v/>
      </c>
      <c r="H78" s="26" t="str">
        <f aca="false">IFERROR(INDEX('Output Utente'!$P$2:$P$492,MATCH(75,'Output Utente'!$R$2:$R$492,0)),"")</f>
        <v/>
      </c>
      <c r="I78" s="27" t="str">
        <f aca="false">IFERROR(INDEX('Output Utente'!$F$2:$F$492,MATCH(75,'Output Utente'!$R$2:$R$492,0)),"")</f>
        <v/>
      </c>
      <c r="J78" s="27" t="str">
        <f aca="false">IFERROR(INDEX('Output Utente'!$G$2:$G$492,MATCH(75,'Output Utente'!$R$2:$R$492,0)),"")</f>
        <v/>
      </c>
      <c r="K78" s="27" t="str">
        <f aca="false">IFERROR(INDEX('Output Utente'!$H$2:$H$492,MATCH(75,'Output Utente'!$R$2:$R$492,0)),"")</f>
        <v/>
      </c>
      <c r="L78" s="26" t="str">
        <f aca="false">IFERROR(INDEX('Output Utente'!$E$2:$E$492,MATCH(75,'Output Utente'!$R$2:$R$492,0)),"")</f>
        <v/>
      </c>
    </row>
    <row r="79" customFormat="false" ht="15" hidden="false" customHeight="true" outlineLevel="0" collapsed="false">
      <c r="A79" s="29" t="n">
        <v>76</v>
      </c>
      <c r="B79" s="26" t="str">
        <f aca="false">IFERROR(INDEX('Output Utente'!$A$2:$A$492,MATCH(76,'Output Utente'!$R$2:$R$492,0)),"")</f>
        <v/>
      </c>
      <c r="C79" s="26" t="str">
        <f aca="false">IFERROR(INDEX('Output Utente'!$B$2:$B$492,MATCH(76,'Output Utente'!$R$2:$R$492,0)),"")</f>
        <v/>
      </c>
      <c r="D79" s="26" t="str">
        <f aca="false">IFERROR(INDEX('Output Utente'!$C$2:$C$492,MATCH(76,'Output Utente'!$R$2:$R$492,0)),"")</f>
        <v/>
      </c>
      <c r="E79" s="26" t="str">
        <f aca="false">IFERROR(INDEX('Input Giocatori 2026_27'!$D$3:$D$493,MATCH($B79,'Input Giocatori 2026_27'!$A$3:$A$493,0)),"")</f>
        <v/>
      </c>
      <c r="F79" s="27" t="str">
        <f aca="false">IFERROR(INDEX('Output Utente'!$N$2:$N$492,MATCH(76,'Output Utente'!$R$2:$R$492,0)),"")</f>
        <v/>
      </c>
      <c r="G79" s="26" t="str">
        <f aca="false">IFERROR(INDEX('Output Utente'!$O$2:$O$492,MATCH(76,'Output Utente'!$R$2:$R$492,0)),"")</f>
        <v/>
      </c>
      <c r="H79" s="26" t="str">
        <f aca="false">IFERROR(INDEX('Output Utente'!$P$2:$P$492,MATCH(76,'Output Utente'!$R$2:$R$492,0)),"")</f>
        <v/>
      </c>
      <c r="I79" s="27" t="str">
        <f aca="false">IFERROR(INDEX('Output Utente'!$F$2:$F$492,MATCH(76,'Output Utente'!$R$2:$R$492,0)),"")</f>
        <v/>
      </c>
      <c r="J79" s="27" t="str">
        <f aca="false">IFERROR(INDEX('Output Utente'!$G$2:$G$492,MATCH(76,'Output Utente'!$R$2:$R$492,0)),"")</f>
        <v/>
      </c>
      <c r="K79" s="27" t="str">
        <f aca="false">IFERROR(INDEX('Output Utente'!$H$2:$H$492,MATCH(76,'Output Utente'!$R$2:$R$492,0)),"")</f>
        <v/>
      </c>
      <c r="L79" s="26" t="str">
        <f aca="false">IFERROR(INDEX('Output Utente'!$E$2:$E$492,MATCH(76,'Output Utente'!$R$2:$R$492,0)),"")</f>
        <v/>
      </c>
    </row>
    <row r="80" customFormat="false" ht="15" hidden="false" customHeight="true" outlineLevel="0" collapsed="false">
      <c r="A80" s="29" t="n">
        <v>77</v>
      </c>
      <c r="B80" s="26" t="str">
        <f aca="false">IFERROR(INDEX('Output Utente'!$A$2:$A$492,MATCH(77,'Output Utente'!$R$2:$R$492,0)),"")</f>
        <v/>
      </c>
      <c r="C80" s="26" t="str">
        <f aca="false">IFERROR(INDEX('Output Utente'!$B$2:$B$492,MATCH(77,'Output Utente'!$R$2:$R$492,0)),"")</f>
        <v/>
      </c>
      <c r="D80" s="26" t="str">
        <f aca="false">IFERROR(INDEX('Output Utente'!$C$2:$C$492,MATCH(77,'Output Utente'!$R$2:$R$492,0)),"")</f>
        <v/>
      </c>
      <c r="E80" s="26" t="str">
        <f aca="false">IFERROR(INDEX('Input Giocatori 2026_27'!$D$3:$D$493,MATCH($B80,'Input Giocatori 2026_27'!$A$3:$A$493,0)),"")</f>
        <v/>
      </c>
      <c r="F80" s="27" t="str">
        <f aca="false">IFERROR(INDEX('Output Utente'!$N$2:$N$492,MATCH(77,'Output Utente'!$R$2:$R$492,0)),"")</f>
        <v/>
      </c>
      <c r="G80" s="26" t="str">
        <f aca="false">IFERROR(INDEX('Output Utente'!$O$2:$O$492,MATCH(77,'Output Utente'!$R$2:$R$492,0)),"")</f>
        <v/>
      </c>
      <c r="H80" s="26" t="str">
        <f aca="false">IFERROR(INDEX('Output Utente'!$P$2:$P$492,MATCH(77,'Output Utente'!$R$2:$R$492,0)),"")</f>
        <v/>
      </c>
      <c r="I80" s="27" t="str">
        <f aca="false">IFERROR(INDEX('Output Utente'!$F$2:$F$492,MATCH(77,'Output Utente'!$R$2:$R$492,0)),"")</f>
        <v/>
      </c>
      <c r="J80" s="27" t="str">
        <f aca="false">IFERROR(INDEX('Output Utente'!$G$2:$G$492,MATCH(77,'Output Utente'!$R$2:$R$492,0)),"")</f>
        <v/>
      </c>
      <c r="K80" s="27" t="str">
        <f aca="false">IFERROR(INDEX('Output Utente'!$H$2:$H$492,MATCH(77,'Output Utente'!$R$2:$R$492,0)),"")</f>
        <v/>
      </c>
      <c r="L80" s="26" t="str">
        <f aca="false">IFERROR(INDEX('Output Utente'!$E$2:$E$492,MATCH(77,'Output Utente'!$R$2:$R$492,0)),"")</f>
        <v/>
      </c>
    </row>
    <row r="81" customFormat="false" ht="15" hidden="false" customHeight="true" outlineLevel="0" collapsed="false">
      <c r="A81" s="29" t="n">
        <v>78</v>
      </c>
      <c r="B81" s="26" t="str">
        <f aca="false">IFERROR(INDEX('Output Utente'!$A$2:$A$492,MATCH(78,'Output Utente'!$R$2:$R$492,0)),"")</f>
        <v/>
      </c>
      <c r="C81" s="26" t="str">
        <f aca="false">IFERROR(INDEX('Output Utente'!$B$2:$B$492,MATCH(78,'Output Utente'!$R$2:$R$492,0)),"")</f>
        <v/>
      </c>
      <c r="D81" s="26" t="str">
        <f aca="false">IFERROR(INDEX('Output Utente'!$C$2:$C$492,MATCH(78,'Output Utente'!$R$2:$R$492,0)),"")</f>
        <v/>
      </c>
      <c r="E81" s="26" t="str">
        <f aca="false">IFERROR(INDEX('Input Giocatori 2026_27'!$D$3:$D$493,MATCH($B81,'Input Giocatori 2026_27'!$A$3:$A$493,0)),"")</f>
        <v/>
      </c>
      <c r="F81" s="27" t="str">
        <f aca="false">IFERROR(INDEX('Output Utente'!$N$2:$N$492,MATCH(78,'Output Utente'!$R$2:$R$492,0)),"")</f>
        <v/>
      </c>
      <c r="G81" s="26" t="str">
        <f aca="false">IFERROR(INDEX('Output Utente'!$O$2:$O$492,MATCH(78,'Output Utente'!$R$2:$R$492,0)),"")</f>
        <v/>
      </c>
      <c r="H81" s="26" t="str">
        <f aca="false">IFERROR(INDEX('Output Utente'!$P$2:$P$492,MATCH(78,'Output Utente'!$R$2:$R$492,0)),"")</f>
        <v/>
      </c>
      <c r="I81" s="27" t="str">
        <f aca="false">IFERROR(INDEX('Output Utente'!$F$2:$F$492,MATCH(78,'Output Utente'!$R$2:$R$492,0)),"")</f>
        <v/>
      </c>
      <c r="J81" s="27" t="str">
        <f aca="false">IFERROR(INDEX('Output Utente'!$G$2:$G$492,MATCH(78,'Output Utente'!$R$2:$R$492,0)),"")</f>
        <v/>
      </c>
      <c r="K81" s="27" t="str">
        <f aca="false">IFERROR(INDEX('Output Utente'!$H$2:$H$492,MATCH(78,'Output Utente'!$R$2:$R$492,0)),"")</f>
        <v/>
      </c>
      <c r="L81" s="26" t="str">
        <f aca="false">IFERROR(INDEX('Output Utente'!$E$2:$E$492,MATCH(78,'Output Utente'!$R$2:$R$492,0)),"")</f>
        <v/>
      </c>
    </row>
    <row r="82" customFormat="false" ht="15" hidden="false" customHeight="true" outlineLevel="0" collapsed="false">
      <c r="A82" s="29" t="n">
        <v>79</v>
      </c>
      <c r="B82" s="26" t="str">
        <f aca="false">IFERROR(INDEX('Output Utente'!$A$2:$A$492,MATCH(79,'Output Utente'!$R$2:$R$492,0)),"")</f>
        <v/>
      </c>
      <c r="C82" s="26" t="str">
        <f aca="false">IFERROR(INDEX('Output Utente'!$B$2:$B$492,MATCH(79,'Output Utente'!$R$2:$R$492,0)),"")</f>
        <v/>
      </c>
      <c r="D82" s="26" t="str">
        <f aca="false">IFERROR(INDEX('Output Utente'!$C$2:$C$492,MATCH(79,'Output Utente'!$R$2:$R$492,0)),"")</f>
        <v/>
      </c>
      <c r="E82" s="26" t="str">
        <f aca="false">IFERROR(INDEX('Input Giocatori 2026_27'!$D$3:$D$493,MATCH($B82,'Input Giocatori 2026_27'!$A$3:$A$493,0)),"")</f>
        <v/>
      </c>
      <c r="F82" s="27" t="str">
        <f aca="false">IFERROR(INDEX('Output Utente'!$N$2:$N$492,MATCH(79,'Output Utente'!$R$2:$R$492,0)),"")</f>
        <v/>
      </c>
      <c r="G82" s="26" t="str">
        <f aca="false">IFERROR(INDEX('Output Utente'!$O$2:$O$492,MATCH(79,'Output Utente'!$R$2:$R$492,0)),"")</f>
        <v/>
      </c>
      <c r="H82" s="26" t="str">
        <f aca="false">IFERROR(INDEX('Output Utente'!$P$2:$P$492,MATCH(79,'Output Utente'!$R$2:$R$492,0)),"")</f>
        <v/>
      </c>
      <c r="I82" s="27" t="str">
        <f aca="false">IFERROR(INDEX('Output Utente'!$F$2:$F$492,MATCH(79,'Output Utente'!$R$2:$R$492,0)),"")</f>
        <v/>
      </c>
      <c r="J82" s="27" t="str">
        <f aca="false">IFERROR(INDEX('Output Utente'!$G$2:$G$492,MATCH(79,'Output Utente'!$R$2:$R$492,0)),"")</f>
        <v/>
      </c>
      <c r="K82" s="27" t="str">
        <f aca="false">IFERROR(INDEX('Output Utente'!$H$2:$H$492,MATCH(79,'Output Utente'!$R$2:$R$492,0)),"")</f>
        <v/>
      </c>
      <c r="L82" s="26" t="str">
        <f aca="false">IFERROR(INDEX('Output Utente'!$E$2:$E$492,MATCH(79,'Output Utente'!$R$2:$R$492,0)),"")</f>
        <v/>
      </c>
    </row>
    <row r="83" customFormat="false" ht="15" hidden="false" customHeight="true" outlineLevel="0" collapsed="false">
      <c r="A83" s="29" t="n">
        <v>80</v>
      </c>
      <c r="B83" s="26" t="str">
        <f aca="false">IFERROR(INDEX('Output Utente'!$A$2:$A$492,MATCH(80,'Output Utente'!$R$2:$R$492,0)),"")</f>
        <v/>
      </c>
      <c r="C83" s="26" t="str">
        <f aca="false">IFERROR(INDEX('Output Utente'!$B$2:$B$492,MATCH(80,'Output Utente'!$R$2:$R$492,0)),"")</f>
        <v/>
      </c>
      <c r="D83" s="26" t="str">
        <f aca="false">IFERROR(INDEX('Output Utente'!$C$2:$C$492,MATCH(80,'Output Utente'!$R$2:$R$492,0)),"")</f>
        <v/>
      </c>
      <c r="E83" s="26" t="str">
        <f aca="false">IFERROR(INDEX('Input Giocatori 2026_27'!$D$3:$D$493,MATCH($B83,'Input Giocatori 2026_27'!$A$3:$A$493,0)),"")</f>
        <v/>
      </c>
      <c r="F83" s="27" t="str">
        <f aca="false">IFERROR(INDEX('Output Utente'!$N$2:$N$492,MATCH(80,'Output Utente'!$R$2:$R$492,0)),"")</f>
        <v/>
      </c>
      <c r="G83" s="26" t="str">
        <f aca="false">IFERROR(INDEX('Output Utente'!$O$2:$O$492,MATCH(80,'Output Utente'!$R$2:$R$492,0)),"")</f>
        <v/>
      </c>
      <c r="H83" s="26" t="str">
        <f aca="false">IFERROR(INDEX('Output Utente'!$P$2:$P$492,MATCH(80,'Output Utente'!$R$2:$R$492,0)),"")</f>
        <v/>
      </c>
      <c r="I83" s="27" t="str">
        <f aca="false">IFERROR(INDEX('Output Utente'!$F$2:$F$492,MATCH(80,'Output Utente'!$R$2:$R$492,0)),"")</f>
        <v/>
      </c>
      <c r="J83" s="27" t="str">
        <f aca="false">IFERROR(INDEX('Output Utente'!$G$2:$G$492,MATCH(80,'Output Utente'!$R$2:$R$492,0)),"")</f>
        <v/>
      </c>
      <c r="K83" s="27" t="str">
        <f aca="false">IFERROR(INDEX('Output Utente'!$H$2:$H$492,MATCH(80,'Output Utente'!$R$2:$R$492,0)),"")</f>
        <v/>
      </c>
      <c r="L83" s="26" t="str">
        <f aca="false">IFERROR(INDEX('Output Utente'!$E$2:$E$492,MATCH(80,'Output Utente'!$R$2:$R$492,0)),"")</f>
        <v/>
      </c>
    </row>
    <row r="84" customFormat="false" ht="15" hidden="false" customHeight="true" outlineLevel="0" collapsed="false">
      <c r="A84" s="29" t="n">
        <v>81</v>
      </c>
      <c r="B84" s="26" t="str">
        <f aca="false">IFERROR(INDEX('Output Utente'!$A$2:$A$492,MATCH(81,'Output Utente'!$R$2:$R$492,0)),"")</f>
        <v/>
      </c>
      <c r="C84" s="26" t="str">
        <f aca="false">IFERROR(INDEX('Output Utente'!$B$2:$B$492,MATCH(81,'Output Utente'!$R$2:$R$492,0)),"")</f>
        <v/>
      </c>
      <c r="D84" s="26" t="str">
        <f aca="false">IFERROR(INDEX('Output Utente'!$C$2:$C$492,MATCH(81,'Output Utente'!$R$2:$R$492,0)),"")</f>
        <v/>
      </c>
      <c r="E84" s="26" t="str">
        <f aca="false">IFERROR(INDEX('Input Giocatori 2026_27'!$D$3:$D$493,MATCH($B84,'Input Giocatori 2026_27'!$A$3:$A$493,0)),"")</f>
        <v/>
      </c>
      <c r="F84" s="27" t="str">
        <f aca="false">IFERROR(INDEX('Output Utente'!$N$2:$N$492,MATCH(81,'Output Utente'!$R$2:$R$492,0)),"")</f>
        <v/>
      </c>
      <c r="G84" s="26" t="str">
        <f aca="false">IFERROR(INDEX('Output Utente'!$O$2:$O$492,MATCH(81,'Output Utente'!$R$2:$R$492,0)),"")</f>
        <v/>
      </c>
      <c r="H84" s="26" t="str">
        <f aca="false">IFERROR(INDEX('Output Utente'!$P$2:$P$492,MATCH(81,'Output Utente'!$R$2:$R$492,0)),"")</f>
        <v/>
      </c>
      <c r="I84" s="27" t="str">
        <f aca="false">IFERROR(INDEX('Output Utente'!$F$2:$F$492,MATCH(81,'Output Utente'!$R$2:$R$492,0)),"")</f>
        <v/>
      </c>
      <c r="J84" s="27" t="str">
        <f aca="false">IFERROR(INDEX('Output Utente'!$G$2:$G$492,MATCH(81,'Output Utente'!$R$2:$R$492,0)),"")</f>
        <v/>
      </c>
      <c r="K84" s="27" t="str">
        <f aca="false">IFERROR(INDEX('Output Utente'!$H$2:$H$492,MATCH(81,'Output Utente'!$R$2:$R$492,0)),"")</f>
        <v/>
      </c>
      <c r="L84" s="26" t="str">
        <f aca="false">IFERROR(INDEX('Output Utente'!$E$2:$E$492,MATCH(81,'Output Utente'!$R$2:$R$492,0)),"")</f>
        <v/>
      </c>
    </row>
    <row r="85" customFormat="false" ht="15" hidden="false" customHeight="true" outlineLevel="0" collapsed="false">
      <c r="A85" s="29" t="n">
        <v>82</v>
      </c>
      <c r="B85" s="26" t="str">
        <f aca="false">IFERROR(INDEX('Output Utente'!$A$2:$A$492,MATCH(82,'Output Utente'!$R$2:$R$492,0)),"")</f>
        <v/>
      </c>
      <c r="C85" s="26" t="str">
        <f aca="false">IFERROR(INDEX('Output Utente'!$B$2:$B$492,MATCH(82,'Output Utente'!$R$2:$R$492,0)),"")</f>
        <v/>
      </c>
      <c r="D85" s="26" t="str">
        <f aca="false">IFERROR(INDEX('Output Utente'!$C$2:$C$492,MATCH(82,'Output Utente'!$R$2:$R$492,0)),"")</f>
        <v/>
      </c>
      <c r="E85" s="26" t="str">
        <f aca="false">IFERROR(INDEX('Input Giocatori 2026_27'!$D$3:$D$493,MATCH($B85,'Input Giocatori 2026_27'!$A$3:$A$493,0)),"")</f>
        <v/>
      </c>
      <c r="F85" s="27" t="str">
        <f aca="false">IFERROR(INDEX('Output Utente'!$N$2:$N$492,MATCH(82,'Output Utente'!$R$2:$R$492,0)),"")</f>
        <v/>
      </c>
      <c r="G85" s="26" t="str">
        <f aca="false">IFERROR(INDEX('Output Utente'!$O$2:$O$492,MATCH(82,'Output Utente'!$R$2:$R$492,0)),"")</f>
        <v/>
      </c>
      <c r="H85" s="26" t="str">
        <f aca="false">IFERROR(INDEX('Output Utente'!$P$2:$P$492,MATCH(82,'Output Utente'!$R$2:$R$492,0)),"")</f>
        <v/>
      </c>
      <c r="I85" s="27" t="str">
        <f aca="false">IFERROR(INDEX('Output Utente'!$F$2:$F$492,MATCH(82,'Output Utente'!$R$2:$R$492,0)),"")</f>
        <v/>
      </c>
      <c r="J85" s="27" t="str">
        <f aca="false">IFERROR(INDEX('Output Utente'!$G$2:$G$492,MATCH(82,'Output Utente'!$R$2:$R$492,0)),"")</f>
        <v/>
      </c>
      <c r="K85" s="27" t="str">
        <f aca="false">IFERROR(INDEX('Output Utente'!$H$2:$H$492,MATCH(82,'Output Utente'!$R$2:$R$492,0)),"")</f>
        <v/>
      </c>
      <c r="L85" s="26" t="str">
        <f aca="false">IFERROR(INDEX('Output Utente'!$E$2:$E$492,MATCH(82,'Output Utente'!$R$2:$R$492,0)),"")</f>
        <v/>
      </c>
    </row>
    <row r="86" customFormat="false" ht="15" hidden="false" customHeight="true" outlineLevel="0" collapsed="false">
      <c r="A86" s="29" t="n">
        <v>83</v>
      </c>
      <c r="B86" s="26" t="str">
        <f aca="false">IFERROR(INDEX('Output Utente'!$A$2:$A$492,MATCH(83,'Output Utente'!$R$2:$R$492,0)),"")</f>
        <v/>
      </c>
      <c r="C86" s="26" t="str">
        <f aca="false">IFERROR(INDEX('Output Utente'!$B$2:$B$492,MATCH(83,'Output Utente'!$R$2:$R$492,0)),"")</f>
        <v/>
      </c>
      <c r="D86" s="26" t="str">
        <f aca="false">IFERROR(INDEX('Output Utente'!$C$2:$C$492,MATCH(83,'Output Utente'!$R$2:$R$492,0)),"")</f>
        <v/>
      </c>
      <c r="E86" s="26" t="str">
        <f aca="false">IFERROR(INDEX('Input Giocatori 2026_27'!$D$3:$D$493,MATCH($B86,'Input Giocatori 2026_27'!$A$3:$A$493,0)),"")</f>
        <v/>
      </c>
      <c r="F86" s="27" t="str">
        <f aca="false">IFERROR(INDEX('Output Utente'!$N$2:$N$492,MATCH(83,'Output Utente'!$R$2:$R$492,0)),"")</f>
        <v/>
      </c>
      <c r="G86" s="26" t="str">
        <f aca="false">IFERROR(INDEX('Output Utente'!$O$2:$O$492,MATCH(83,'Output Utente'!$R$2:$R$492,0)),"")</f>
        <v/>
      </c>
      <c r="H86" s="26" t="str">
        <f aca="false">IFERROR(INDEX('Output Utente'!$P$2:$P$492,MATCH(83,'Output Utente'!$R$2:$R$492,0)),"")</f>
        <v/>
      </c>
      <c r="I86" s="27" t="str">
        <f aca="false">IFERROR(INDEX('Output Utente'!$F$2:$F$492,MATCH(83,'Output Utente'!$R$2:$R$492,0)),"")</f>
        <v/>
      </c>
      <c r="J86" s="27" t="str">
        <f aca="false">IFERROR(INDEX('Output Utente'!$G$2:$G$492,MATCH(83,'Output Utente'!$R$2:$R$492,0)),"")</f>
        <v/>
      </c>
      <c r="K86" s="27" t="str">
        <f aca="false">IFERROR(INDEX('Output Utente'!$H$2:$H$492,MATCH(83,'Output Utente'!$R$2:$R$492,0)),"")</f>
        <v/>
      </c>
      <c r="L86" s="26" t="str">
        <f aca="false">IFERROR(INDEX('Output Utente'!$E$2:$E$492,MATCH(83,'Output Utente'!$R$2:$R$492,0)),"")</f>
        <v/>
      </c>
    </row>
    <row r="87" customFormat="false" ht="15" hidden="false" customHeight="true" outlineLevel="0" collapsed="false">
      <c r="A87" s="29" t="n">
        <v>84</v>
      </c>
      <c r="B87" s="26" t="str">
        <f aca="false">IFERROR(INDEX('Output Utente'!$A$2:$A$492,MATCH(84,'Output Utente'!$R$2:$R$492,0)),"")</f>
        <v/>
      </c>
      <c r="C87" s="26" t="str">
        <f aca="false">IFERROR(INDEX('Output Utente'!$B$2:$B$492,MATCH(84,'Output Utente'!$R$2:$R$492,0)),"")</f>
        <v/>
      </c>
      <c r="D87" s="26" t="str">
        <f aca="false">IFERROR(INDEX('Output Utente'!$C$2:$C$492,MATCH(84,'Output Utente'!$R$2:$R$492,0)),"")</f>
        <v/>
      </c>
      <c r="E87" s="26" t="str">
        <f aca="false">IFERROR(INDEX('Input Giocatori 2026_27'!$D$3:$D$493,MATCH($B87,'Input Giocatori 2026_27'!$A$3:$A$493,0)),"")</f>
        <v/>
      </c>
      <c r="F87" s="27" t="str">
        <f aca="false">IFERROR(INDEX('Output Utente'!$N$2:$N$492,MATCH(84,'Output Utente'!$R$2:$R$492,0)),"")</f>
        <v/>
      </c>
      <c r="G87" s="26" t="str">
        <f aca="false">IFERROR(INDEX('Output Utente'!$O$2:$O$492,MATCH(84,'Output Utente'!$R$2:$R$492,0)),"")</f>
        <v/>
      </c>
      <c r="H87" s="26" t="str">
        <f aca="false">IFERROR(INDEX('Output Utente'!$P$2:$P$492,MATCH(84,'Output Utente'!$R$2:$R$492,0)),"")</f>
        <v/>
      </c>
      <c r="I87" s="27" t="str">
        <f aca="false">IFERROR(INDEX('Output Utente'!$F$2:$F$492,MATCH(84,'Output Utente'!$R$2:$R$492,0)),"")</f>
        <v/>
      </c>
      <c r="J87" s="27" t="str">
        <f aca="false">IFERROR(INDEX('Output Utente'!$G$2:$G$492,MATCH(84,'Output Utente'!$R$2:$R$492,0)),"")</f>
        <v/>
      </c>
      <c r="K87" s="27" t="str">
        <f aca="false">IFERROR(INDEX('Output Utente'!$H$2:$H$492,MATCH(84,'Output Utente'!$R$2:$R$492,0)),"")</f>
        <v/>
      </c>
      <c r="L87" s="26" t="str">
        <f aca="false">IFERROR(INDEX('Output Utente'!$E$2:$E$492,MATCH(84,'Output Utente'!$R$2:$R$492,0)),"")</f>
        <v/>
      </c>
    </row>
    <row r="88" customFormat="false" ht="15" hidden="false" customHeight="true" outlineLevel="0" collapsed="false">
      <c r="A88" s="29" t="n">
        <v>85</v>
      </c>
      <c r="B88" s="26" t="str">
        <f aca="false">IFERROR(INDEX('Output Utente'!$A$2:$A$492,MATCH(85,'Output Utente'!$R$2:$R$492,0)),"")</f>
        <v/>
      </c>
      <c r="C88" s="26" t="str">
        <f aca="false">IFERROR(INDEX('Output Utente'!$B$2:$B$492,MATCH(85,'Output Utente'!$R$2:$R$492,0)),"")</f>
        <v/>
      </c>
      <c r="D88" s="26" t="str">
        <f aca="false">IFERROR(INDEX('Output Utente'!$C$2:$C$492,MATCH(85,'Output Utente'!$R$2:$R$492,0)),"")</f>
        <v/>
      </c>
      <c r="E88" s="26" t="str">
        <f aca="false">IFERROR(INDEX('Input Giocatori 2026_27'!$D$3:$D$493,MATCH($B88,'Input Giocatori 2026_27'!$A$3:$A$493,0)),"")</f>
        <v/>
      </c>
      <c r="F88" s="27" t="str">
        <f aca="false">IFERROR(INDEX('Output Utente'!$N$2:$N$492,MATCH(85,'Output Utente'!$R$2:$R$492,0)),"")</f>
        <v/>
      </c>
      <c r="G88" s="26" t="str">
        <f aca="false">IFERROR(INDEX('Output Utente'!$O$2:$O$492,MATCH(85,'Output Utente'!$R$2:$R$492,0)),"")</f>
        <v/>
      </c>
      <c r="H88" s="26" t="str">
        <f aca="false">IFERROR(INDEX('Output Utente'!$P$2:$P$492,MATCH(85,'Output Utente'!$R$2:$R$492,0)),"")</f>
        <v/>
      </c>
      <c r="I88" s="27" t="str">
        <f aca="false">IFERROR(INDEX('Output Utente'!$F$2:$F$492,MATCH(85,'Output Utente'!$R$2:$R$492,0)),"")</f>
        <v/>
      </c>
      <c r="J88" s="27" t="str">
        <f aca="false">IFERROR(INDEX('Output Utente'!$G$2:$G$492,MATCH(85,'Output Utente'!$R$2:$R$492,0)),"")</f>
        <v/>
      </c>
      <c r="K88" s="27" t="str">
        <f aca="false">IFERROR(INDEX('Output Utente'!$H$2:$H$492,MATCH(85,'Output Utente'!$R$2:$R$492,0)),"")</f>
        <v/>
      </c>
      <c r="L88" s="26" t="str">
        <f aca="false">IFERROR(INDEX('Output Utente'!$E$2:$E$492,MATCH(85,'Output Utente'!$R$2:$R$492,0)),"")</f>
        <v/>
      </c>
    </row>
    <row r="89" customFormat="false" ht="15" hidden="false" customHeight="true" outlineLevel="0" collapsed="false">
      <c r="A89" s="29" t="n">
        <v>86</v>
      </c>
      <c r="B89" s="26" t="str">
        <f aca="false">IFERROR(INDEX('Output Utente'!$A$2:$A$492,MATCH(86,'Output Utente'!$R$2:$R$492,0)),"")</f>
        <v/>
      </c>
      <c r="C89" s="26" t="str">
        <f aca="false">IFERROR(INDEX('Output Utente'!$B$2:$B$492,MATCH(86,'Output Utente'!$R$2:$R$492,0)),"")</f>
        <v/>
      </c>
      <c r="D89" s="26" t="str">
        <f aca="false">IFERROR(INDEX('Output Utente'!$C$2:$C$492,MATCH(86,'Output Utente'!$R$2:$R$492,0)),"")</f>
        <v/>
      </c>
      <c r="E89" s="26" t="str">
        <f aca="false">IFERROR(INDEX('Input Giocatori 2026_27'!$D$3:$D$493,MATCH($B89,'Input Giocatori 2026_27'!$A$3:$A$493,0)),"")</f>
        <v/>
      </c>
      <c r="F89" s="27" t="str">
        <f aca="false">IFERROR(INDEX('Output Utente'!$N$2:$N$492,MATCH(86,'Output Utente'!$R$2:$R$492,0)),"")</f>
        <v/>
      </c>
      <c r="G89" s="26" t="str">
        <f aca="false">IFERROR(INDEX('Output Utente'!$O$2:$O$492,MATCH(86,'Output Utente'!$R$2:$R$492,0)),"")</f>
        <v/>
      </c>
      <c r="H89" s="26" t="str">
        <f aca="false">IFERROR(INDEX('Output Utente'!$P$2:$P$492,MATCH(86,'Output Utente'!$R$2:$R$492,0)),"")</f>
        <v/>
      </c>
      <c r="I89" s="27" t="str">
        <f aca="false">IFERROR(INDEX('Output Utente'!$F$2:$F$492,MATCH(86,'Output Utente'!$R$2:$R$492,0)),"")</f>
        <v/>
      </c>
      <c r="J89" s="27" t="str">
        <f aca="false">IFERROR(INDEX('Output Utente'!$G$2:$G$492,MATCH(86,'Output Utente'!$R$2:$R$492,0)),"")</f>
        <v/>
      </c>
      <c r="K89" s="27" t="str">
        <f aca="false">IFERROR(INDEX('Output Utente'!$H$2:$H$492,MATCH(86,'Output Utente'!$R$2:$R$492,0)),"")</f>
        <v/>
      </c>
      <c r="L89" s="26" t="str">
        <f aca="false">IFERROR(INDEX('Output Utente'!$E$2:$E$492,MATCH(86,'Output Utente'!$R$2:$R$492,0)),"")</f>
        <v/>
      </c>
    </row>
    <row r="90" customFormat="false" ht="15" hidden="false" customHeight="true" outlineLevel="0" collapsed="false">
      <c r="A90" s="29" t="n">
        <v>87</v>
      </c>
      <c r="B90" s="26" t="str">
        <f aca="false">IFERROR(INDEX('Output Utente'!$A$2:$A$492,MATCH(87,'Output Utente'!$R$2:$R$492,0)),"")</f>
        <v/>
      </c>
      <c r="C90" s="26" t="str">
        <f aca="false">IFERROR(INDEX('Output Utente'!$B$2:$B$492,MATCH(87,'Output Utente'!$R$2:$R$492,0)),"")</f>
        <v/>
      </c>
      <c r="D90" s="26" t="str">
        <f aca="false">IFERROR(INDEX('Output Utente'!$C$2:$C$492,MATCH(87,'Output Utente'!$R$2:$R$492,0)),"")</f>
        <v/>
      </c>
      <c r="E90" s="26" t="str">
        <f aca="false">IFERROR(INDEX('Input Giocatori 2026_27'!$D$3:$D$493,MATCH($B90,'Input Giocatori 2026_27'!$A$3:$A$493,0)),"")</f>
        <v/>
      </c>
      <c r="F90" s="27" t="str">
        <f aca="false">IFERROR(INDEX('Output Utente'!$N$2:$N$492,MATCH(87,'Output Utente'!$R$2:$R$492,0)),"")</f>
        <v/>
      </c>
      <c r="G90" s="26" t="str">
        <f aca="false">IFERROR(INDEX('Output Utente'!$O$2:$O$492,MATCH(87,'Output Utente'!$R$2:$R$492,0)),"")</f>
        <v/>
      </c>
      <c r="H90" s="26" t="str">
        <f aca="false">IFERROR(INDEX('Output Utente'!$P$2:$P$492,MATCH(87,'Output Utente'!$R$2:$R$492,0)),"")</f>
        <v/>
      </c>
      <c r="I90" s="27" t="str">
        <f aca="false">IFERROR(INDEX('Output Utente'!$F$2:$F$492,MATCH(87,'Output Utente'!$R$2:$R$492,0)),"")</f>
        <v/>
      </c>
      <c r="J90" s="27" t="str">
        <f aca="false">IFERROR(INDEX('Output Utente'!$G$2:$G$492,MATCH(87,'Output Utente'!$R$2:$R$492,0)),"")</f>
        <v/>
      </c>
      <c r="K90" s="27" t="str">
        <f aca="false">IFERROR(INDEX('Output Utente'!$H$2:$H$492,MATCH(87,'Output Utente'!$R$2:$R$492,0)),"")</f>
        <v/>
      </c>
      <c r="L90" s="26" t="str">
        <f aca="false">IFERROR(INDEX('Output Utente'!$E$2:$E$492,MATCH(87,'Output Utente'!$R$2:$R$492,0)),"")</f>
        <v/>
      </c>
    </row>
    <row r="91" customFormat="false" ht="15" hidden="false" customHeight="true" outlineLevel="0" collapsed="false">
      <c r="A91" s="29" t="n">
        <v>88</v>
      </c>
      <c r="B91" s="26" t="str">
        <f aca="false">IFERROR(INDEX('Output Utente'!$A$2:$A$492,MATCH(88,'Output Utente'!$R$2:$R$492,0)),"")</f>
        <v/>
      </c>
      <c r="C91" s="26" t="str">
        <f aca="false">IFERROR(INDEX('Output Utente'!$B$2:$B$492,MATCH(88,'Output Utente'!$R$2:$R$492,0)),"")</f>
        <v/>
      </c>
      <c r="D91" s="26" t="str">
        <f aca="false">IFERROR(INDEX('Output Utente'!$C$2:$C$492,MATCH(88,'Output Utente'!$R$2:$R$492,0)),"")</f>
        <v/>
      </c>
      <c r="E91" s="26" t="str">
        <f aca="false">IFERROR(INDEX('Input Giocatori 2026_27'!$D$3:$D$493,MATCH($B91,'Input Giocatori 2026_27'!$A$3:$A$493,0)),"")</f>
        <v/>
      </c>
      <c r="F91" s="27" t="str">
        <f aca="false">IFERROR(INDEX('Output Utente'!$N$2:$N$492,MATCH(88,'Output Utente'!$R$2:$R$492,0)),"")</f>
        <v/>
      </c>
      <c r="G91" s="26" t="str">
        <f aca="false">IFERROR(INDEX('Output Utente'!$O$2:$O$492,MATCH(88,'Output Utente'!$R$2:$R$492,0)),"")</f>
        <v/>
      </c>
      <c r="H91" s="26" t="str">
        <f aca="false">IFERROR(INDEX('Output Utente'!$P$2:$P$492,MATCH(88,'Output Utente'!$R$2:$R$492,0)),"")</f>
        <v/>
      </c>
      <c r="I91" s="27" t="str">
        <f aca="false">IFERROR(INDEX('Output Utente'!$F$2:$F$492,MATCH(88,'Output Utente'!$R$2:$R$492,0)),"")</f>
        <v/>
      </c>
      <c r="J91" s="27" t="str">
        <f aca="false">IFERROR(INDEX('Output Utente'!$G$2:$G$492,MATCH(88,'Output Utente'!$R$2:$R$492,0)),"")</f>
        <v/>
      </c>
      <c r="K91" s="27" t="str">
        <f aca="false">IFERROR(INDEX('Output Utente'!$H$2:$H$492,MATCH(88,'Output Utente'!$R$2:$R$492,0)),"")</f>
        <v/>
      </c>
      <c r="L91" s="26" t="str">
        <f aca="false">IFERROR(INDEX('Output Utente'!$E$2:$E$492,MATCH(88,'Output Utente'!$R$2:$R$492,0)),"")</f>
        <v/>
      </c>
    </row>
    <row r="92" customFormat="false" ht="15" hidden="false" customHeight="true" outlineLevel="0" collapsed="false">
      <c r="A92" s="29" t="n">
        <v>89</v>
      </c>
      <c r="B92" s="26" t="str">
        <f aca="false">IFERROR(INDEX('Output Utente'!$A$2:$A$492,MATCH(89,'Output Utente'!$R$2:$R$492,0)),"")</f>
        <v/>
      </c>
      <c r="C92" s="26" t="str">
        <f aca="false">IFERROR(INDEX('Output Utente'!$B$2:$B$492,MATCH(89,'Output Utente'!$R$2:$R$492,0)),"")</f>
        <v/>
      </c>
      <c r="D92" s="26" t="str">
        <f aca="false">IFERROR(INDEX('Output Utente'!$C$2:$C$492,MATCH(89,'Output Utente'!$R$2:$R$492,0)),"")</f>
        <v/>
      </c>
      <c r="E92" s="26" t="str">
        <f aca="false">IFERROR(INDEX('Input Giocatori 2026_27'!$D$3:$D$493,MATCH($B92,'Input Giocatori 2026_27'!$A$3:$A$493,0)),"")</f>
        <v/>
      </c>
      <c r="F92" s="27" t="str">
        <f aca="false">IFERROR(INDEX('Output Utente'!$N$2:$N$492,MATCH(89,'Output Utente'!$R$2:$R$492,0)),"")</f>
        <v/>
      </c>
      <c r="G92" s="26" t="str">
        <f aca="false">IFERROR(INDEX('Output Utente'!$O$2:$O$492,MATCH(89,'Output Utente'!$R$2:$R$492,0)),"")</f>
        <v/>
      </c>
      <c r="H92" s="26" t="str">
        <f aca="false">IFERROR(INDEX('Output Utente'!$P$2:$P$492,MATCH(89,'Output Utente'!$R$2:$R$492,0)),"")</f>
        <v/>
      </c>
      <c r="I92" s="27" t="str">
        <f aca="false">IFERROR(INDEX('Output Utente'!$F$2:$F$492,MATCH(89,'Output Utente'!$R$2:$R$492,0)),"")</f>
        <v/>
      </c>
      <c r="J92" s="27" t="str">
        <f aca="false">IFERROR(INDEX('Output Utente'!$G$2:$G$492,MATCH(89,'Output Utente'!$R$2:$R$492,0)),"")</f>
        <v/>
      </c>
      <c r="K92" s="27" t="str">
        <f aca="false">IFERROR(INDEX('Output Utente'!$H$2:$H$492,MATCH(89,'Output Utente'!$R$2:$R$492,0)),"")</f>
        <v/>
      </c>
      <c r="L92" s="26" t="str">
        <f aca="false">IFERROR(INDEX('Output Utente'!$E$2:$E$492,MATCH(89,'Output Utente'!$R$2:$R$492,0)),"")</f>
        <v/>
      </c>
    </row>
    <row r="93" customFormat="false" ht="15" hidden="false" customHeight="true" outlineLevel="0" collapsed="false">
      <c r="A93" s="29" t="n">
        <v>90</v>
      </c>
      <c r="B93" s="26" t="str">
        <f aca="false">IFERROR(INDEX('Output Utente'!$A$2:$A$492,MATCH(90,'Output Utente'!$R$2:$R$492,0)),"")</f>
        <v/>
      </c>
      <c r="C93" s="26" t="str">
        <f aca="false">IFERROR(INDEX('Output Utente'!$B$2:$B$492,MATCH(90,'Output Utente'!$R$2:$R$492,0)),"")</f>
        <v/>
      </c>
      <c r="D93" s="26" t="str">
        <f aca="false">IFERROR(INDEX('Output Utente'!$C$2:$C$492,MATCH(90,'Output Utente'!$R$2:$R$492,0)),"")</f>
        <v/>
      </c>
      <c r="E93" s="26" t="str">
        <f aca="false">IFERROR(INDEX('Input Giocatori 2026_27'!$D$3:$D$493,MATCH($B93,'Input Giocatori 2026_27'!$A$3:$A$493,0)),"")</f>
        <v/>
      </c>
      <c r="F93" s="27" t="str">
        <f aca="false">IFERROR(INDEX('Output Utente'!$N$2:$N$492,MATCH(90,'Output Utente'!$R$2:$R$492,0)),"")</f>
        <v/>
      </c>
      <c r="G93" s="26" t="str">
        <f aca="false">IFERROR(INDEX('Output Utente'!$O$2:$O$492,MATCH(90,'Output Utente'!$R$2:$R$492,0)),"")</f>
        <v/>
      </c>
      <c r="H93" s="26" t="str">
        <f aca="false">IFERROR(INDEX('Output Utente'!$P$2:$P$492,MATCH(90,'Output Utente'!$R$2:$R$492,0)),"")</f>
        <v/>
      </c>
      <c r="I93" s="27" t="str">
        <f aca="false">IFERROR(INDEX('Output Utente'!$F$2:$F$492,MATCH(90,'Output Utente'!$R$2:$R$492,0)),"")</f>
        <v/>
      </c>
      <c r="J93" s="27" t="str">
        <f aca="false">IFERROR(INDEX('Output Utente'!$G$2:$G$492,MATCH(90,'Output Utente'!$R$2:$R$492,0)),"")</f>
        <v/>
      </c>
      <c r="K93" s="27" t="str">
        <f aca="false">IFERROR(INDEX('Output Utente'!$H$2:$H$492,MATCH(90,'Output Utente'!$R$2:$R$492,0)),"")</f>
        <v/>
      </c>
      <c r="L93" s="26" t="str">
        <f aca="false">IFERROR(INDEX('Output Utente'!$E$2:$E$492,MATCH(90,'Output Utente'!$R$2:$R$492,0)),"")</f>
        <v/>
      </c>
    </row>
    <row r="94" customFormat="false" ht="15" hidden="false" customHeight="true" outlineLevel="0" collapsed="false">
      <c r="A94" s="29" t="n">
        <v>91</v>
      </c>
      <c r="B94" s="26" t="str">
        <f aca="false">IFERROR(INDEX('Output Utente'!$A$2:$A$492,MATCH(91,'Output Utente'!$R$2:$R$492,0)),"")</f>
        <v/>
      </c>
      <c r="C94" s="26" t="str">
        <f aca="false">IFERROR(INDEX('Output Utente'!$B$2:$B$492,MATCH(91,'Output Utente'!$R$2:$R$492,0)),"")</f>
        <v/>
      </c>
      <c r="D94" s="26" t="str">
        <f aca="false">IFERROR(INDEX('Output Utente'!$C$2:$C$492,MATCH(91,'Output Utente'!$R$2:$R$492,0)),"")</f>
        <v/>
      </c>
      <c r="E94" s="26" t="str">
        <f aca="false">IFERROR(INDEX('Input Giocatori 2026_27'!$D$3:$D$493,MATCH($B94,'Input Giocatori 2026_27'!$A$3:$A$493,0)),"")</f>
        <v/>
      </c>
      <c r="F94" s="27" t="str">
        <f aca="false">IFERROR(INDEX('Output Utente'!$N$2:$N$492,MATCH(91,'Output Utente'!$R$2:$R$492,0)),"")</f>
        <v/>
      </c>
      <c r="G94" s="26" t="str">
        <f aca="false">IFERROR(INDEX('Output Utente'!$O$2:$O$492,MATCH(91,'Output Utente'!$R$2:$R$492,0)),"")</f>
        <v/>
      </c>
      <c r="H94" s="26" t="str">
        <f aca="false">IFERROR(INDEX('Output Utente'!$P$2:$P$492,MATCH(91,'Output Utente'!$R$2:$R$492,0)),"")</f>
        <v/>
      </c>
      <c r="I94" s="27" t="str">
        <f aca="false">IFERROR(INDEX('Output Utente'!$F$2:$F$492,MATCH(91,'Output Utente'!$R$2:$R$492,0)),"")</f>
        <v/>
      </c>
      <c r="J94" s="27" t="str">
        <f aca="false">IFERROR(INDEX('Output Utente'!$G$2:$G$492,MATCH(91,'Output Utente'!$R$2:$R$492,0)),"")</f>
        <v/>
      </c>
      <c r="K94" s="27" t="str">
        <f aca="false">IFERROR(INDEX('Output Utente'!$H$2:$H$492,MATCH(91,'Output Utente'!$R$2:$R$492,0)),"")</f>
        <v/>
      </c>
      <c r="L94" s="26" t="str">
        <f aca="false">IFERROR(INDEX('Output Utente'!$E$2:$E$492,MATCH(91,'Output Utente'!$R$2:$R$492,0)),"")</f>
        <v/>
      </c>
    </row>
    <row r="95" customFormat="false" ht="15" hidden="false" customHeight="true" outlineLevel="0" collapsed="false">
      <c r="A95" s="29" t="n">
        <v>92</v>
      </c>
      <c r="B95" s="26" t="str">
        <f aca="false">IFERROR(INDEX('Output Utente'!$A$2:$A$492,MATCH(92,'Output Utente'!$R$2:$R$492,0)),"")</f>
        <v/>
      </c>
      <c r="C95" s="26" t="str">
        <f aca="false">IFERROR(INDEX('Output Utente'!$B$2:$B$492,MATCH(92,'Output Utente'!$R$2:$R$492,0)),"")</f>
        <v/>
      </c>
      <c r="D95" s="26" t="str">
        <f aca="false">IFERROR(INDEX('Output Utente'!$C$2:$C$492,MATCH(92,'Output Utente'!$R$2:$R$492,0)),"")</f>
        <v/>
      </c>
      <c r="E95" s="26" t="str">
        <f aca="false">IFERROR(INDEX('Input Giocatori 2026_27'!$D$3:$D$493,MATCH($B95,'Input Giocatori 2026_27'!$A$3:$A$493,0)),"")</f>
        <v/>
      </c>
      <c r="F95" s="27" t="str">
        <f aca="false">IFERROR(INDEX('Output Utente'!$N$2:$N$492,MATCH(92,'Output Utente'!$R$2:$R$492,0)),"")</f>
        <v/>
      </c>
      <c r="G95" s="26" t="str">
        <f aca="false">IFERROR(INDEX('Output Utente'!$O$2:$O$492,MATCH(92,'Output Utente'!$R$2:$R$492,0)),"")</f>
        <v/>
      </c>
      <c r="H95" s="26" t="str">
        <f aca="false">IFERROR(INDEX('Output Utente'!$P$2:$P$492,MATCH(92,'Output Utente'!$R$2:$R$492,0)),"")</f>
        <v/>
      </c>
      <c r="I95" s="27" t="str">
        <f aca="false">IFERROR(INDEX('Output Utente'!$F$2:$F$492,MATCH(92,'Output Utente'!$R$2:$R$492,0)),"")</f>
        <v/>
      </c>
      <c r="J95" s="27" t="str">
        <f aca="false">IFERROR(INDEX('Output Utente'!$G$2:$G$492,MATCH(92,'Output Utente'!$R$2:$R$492,0)),"")</f>
        <v/>
      </c>
      <c r="K95" s="27" t="str">
        <f aca="false">IFERROR(INDEX('Output Utente'!$H$2:$H$492,MATCH(92,'Output Utente'!$R$2:$R$492,0)),"")</f>
        <v/>
      </c>
      <c r="L95" s="26" t="str">
        <f aca="false">IFERROR(INDEX('Output Utente'!$E$2:$E$492,MATCH(92,'Output Utente'!$R$2:$R$492,0)),"")</f>
        <v/>
      </c>
    </row>
    <row r="96" customFormat="false" ht="15" hidden="false" customHeight="true" outlineLevel="0" collapsed="false">
      <c r="A96" s="29" t="n">
        <v>93</v>
      </c>
      <c r="B96" s="26" t="str">
        <f aca="false">IFERROR(INDEX('Output Utente'!$A$2:$A$492,MATCH(93,'Output Utente'!$R$2:$R$492,0)),"")</f>
        <v/>
      </c>
      <c r="C96" s="26" t="str">
        <f aca="false">IFERROR(INDEX('Output Utente'!$B$2:$B$492,MATCH(93,'Output Utente'!$R$2:$R$492,0)),"")</f>
        <v/>
      </c>
      <c r="D96" s="26" t="str">
        <f aca="false">IFERROR(INDEX('Output Utente'!$C$2:$C$492,MATCH(93,'Output Utente'!$R$2:$R$492,0)),"")</f>
        <v/>
      </c>
      <c r="E96" s="26" t="str">
        <f aca="false">IFERROR(INDEX('Input Giocatori 2026_27'!$D$3:$D$493,MATCH($B96,'Input Giocatori 2026_27'!$A$3:$A$493,0)),"")</f>
        <v/>
      </c>
      <c r="F96" s="27" t="str">
        <f aca="false">IFERROR(INDEX('Output Utente'!$N$2:$N$492,MATCH(93,'Output Utente'!$R$2:$R$492,0)),"")</f>
        <v/>
      </c>
      <c r="G96" s="26" t="str">
        <f aca="false">IFERROR(INDEX('Output Utente'!$O$2:$O$492,MATCH(93,'Output Utente'!$R$2:$R$492,0)),"")</f>
        <v/>
      </c>
      <c r="H96" s="26" t="str">
        <f aca="false">IFERROR(INDEX('Output Utente'!$P$2:$P$492,MATCH(93,'Output Utente'!$R$2:$R$492,0)),"")</f>
        <v/>
      </c>
      <c r="I96" s="27" t="str">
        <f aca="false">IFERROR(INDEX('Output Utente'!$F$2:$F$492,MATCH(93,'Output Utente'!$R$2:$R$492,0)),"")</f>
        <v/>
      </c>
      <c r="J96" s="27" t="str">
        <f aca="false">IFERROR(INDEX('Output Utente'!$G$2:$G$492,MATCH(93,'Output Utente'!$R$2:$R$492,0)),"")</f>
        <v/>
      </c>
      <c r="K96" s="27" t="str">
        <f aca="false">IFERROR(INDEX('Output Utente'!$H$2:$H$492,MATCH(93,'Output Utente'!$R$2:$R$492,0)),"")</f>
        <v/>
      </c>
      <c r="L96" s="26" t="str">
        <f aca="false">IFERROR(INDEX('Output Utente'!$E$2:$E$492,MATCH(93,'Output Utente'!$R$2:$R$492,0)),"")</f>
        <v/>
      </c>
    </row>
    <row r="97" customFormat="false" ht="15" hidden="false" customHeight="true" outlineLevel="0" collapsed="false">
      <c r="A97" s="29" t="n">
        <v>94</v>
      </c>
      <c r="B97" s="26" t="str">
        <f aca="false">IFERROR(INDEX('Output Utente'!$A$2:$A$492,MATCH(94,'Output Utente'!$R$2:$R$492,0)),"")</f>
        <v/>
      </c>
      <c r="C97" s="26" t="str">
        <f aca="false">IFERROR(INDEX('Output Utente'!$B$2:$B$492,MATCH(94,'Output Utente'!$R$2:$R$492,0)),"")</f>
        <v/>
      </c>
      <c r="D97" s="26" t="str">
        <f aca="false">IFERROR(INDEX('Output Utente'!$C$2:$C$492,MATCH(94,'Output Utente'!$R$2:$R$492,0)),"")</f>
        <v/>
      </c>
      <c r="E97" s="26" t="str">
        <f aca="false">IFERROR(INDEX('Input Giocatori 2026_27'!$D$3:$D$493,MATCH($B97,'Input Giocatori 2026_27'!$A$3:$A$493,0)),"")</f>
        <v/>
      </c>
      <c r="F97" s="27" t="str">
        <f aca="false">IFERROR(INDEX('Output Utente'!$N$2:$N$492,MATCH(94,'Output Utente'!$R$2:$R$492,0)),"")</f>
        <v/>
      </c>
      <c r="G97" s="26" t="str">
        <f aca="false">IFERROR(INDEX('Output Utente'!$O$2:$O$492,MATCH(94,'Output Utente'!$R$2:$R$492,0)),"")</f>
        <v/>
      </c>
      <c r="H97" s="26" t="str">
        <f aca="false">IFERROR(INDEX('Output Utente'!$P$2:$P$492,MATCH(94,'Output Utente'!$R$2:$R$492,0)),"")</f>
        <v/>
      </c>
      <c r="I97" s="27" t="str">
        <f aca="false">IFERROR(INDEX('Output Utente'!$F$2:$F$492,MATCH(94,'Output Utente'!$R$2:$R$492,0)),"")</f>
        <v/>
      </c>
      <c r="J97" s="27" t="str">
        <f aca="false">IFERROR(INDEX('Output Utente'!$G$2:$G$492,MATCH(94,'Output Utente'!$R$2:$R$492,0)),"")</f>
        <v/>
      </c>
      <c r="K97" s="27" t="str">
        <f aca="false">IFERROR(INDEX('Output Utente'!$H$2:$H$492,MATCH(94,'Output Utente'!$R$2:$R$492,0)),"")</f>
        <v/>
      </c>
      <c r="L97" s="26" t="str">
        <f aca="false">IFERROR(INDEX('Output Utente'!$E$2:$E$492,MATCH(94,'Output Utente'!$R$2:$R$492,0)),"")</f>
        <v/>
      </c>
    </row>
    <row r="98" customFormat="false" ht="15" hidden="false" customHeight="true" outlineLevel="0" collapsed="false">
      <c r="A98" s="29" t="n">
        <v>95</v>
      </c>
      <c r="B98" s="26" t="str">
        <f aca="false">IFERROR(INDEX('Output Utente'!$A$2:$A$492,MATCH(95,'Output Utente'!$R$2:$R$492,0)),"")</f>
        <v/>
      </c>
      <c r="C98" s="26" t="str">
        <f aca="false">IFERROR(INDEX('Output Utente'!$B$2:$B$492,MATCH(95,'Output Utente'!$R$2:$R$492,0)),"")</f>
        <v/>
      </c>
      <c r="D98" s="26" t="str">
        <f aca="false">IFERROR(INDEX('Output Utente'!$C$2:$C$492,MATCH(95,'Output Utente'!$R$2:$R$492,0)),"")</f>
        <v/>
      </c>
      <c r="E98" s="26" t="str">
        <f aca="false">IFERROR(INDEX('Input Giocatori 2026_27'!$D$3:$D$493,MATCH($B98,'Input Giocatori 2026_27'!$A$3:$A$493,0)),"")</f>
        <v/>
      </c>
      <c r="F98" s="27" t="str">
        <f aca="false">IFERROR(INDEX('Output Utente'!$N$2:$N$492,MATCH(95,'Output Utente'!$R$2:$R$492,0)),"")</f>
        <v/>
      </c>
      <c r="G98" s="26" t="str">
        <f aca="false">IFERROR(INDEX('Output Utente'!$O$2:$O$492,MATCH(95,'Output Utente'!$R$2:$R$492,0)),"")</f>
        <v/>
      </c>
      <c r="H98" s="26" t="str">
        <f aca="false">IFERROR(INDEX('Output Utente'!$P$2:$P$492,MATCH(95,'Output Utente'!$R$2:$R$492,0)),"")</f>
        <v/>
      </c>
      <c r="I98" s="27" t="str">
        <f aca="false">IFERROR(INDEX('Output Utente'!$F$2:$F$492,MATCH(95,'Output Utente'!$R$2:$R$492,0)),"")</f>
        <v/>
      </c>
      <c r="J98" s="27" t="str">
        <f aca="false">IFERROR(INDEX('Output Utente'!$G$2:$G$492,MATCH(95,'Output Utente'!$R$2:$R$492,0)),"")</f>
        <v/>
      </c>
      <c r="K98" s="27" t="str">
        <f aca="false">IFERROR(INDEX('Output Utente'!$H$2:$H$492,MATCH(95,'Output Utente'!$R$2:$R$492,0)),"")</f>
        <v/>
      </c>
      <c r="L98" s="26" t="str">
        <f aca="false">IFERROR(INDEX('Output Utente'!$E$2:$E$492,MATCH(95,'Output Utente'!$R$2:$R$492,0)),"")</f>
        <v/>
      </c>
    </row>
    <row r="99" customFormat="false" ht="15" hidden="false" customHeight="true" outlineLevel="0" collapsed="false">
      <c r="A99" s="29" t="n">
        <v>96</v>
      </c>
      <c r="B99" s="26" t="str">
        <f aca="false">IFERROR(INDEX('Output Utente'!$A$2:$A$492,MATCH(96,'Output Utente'!$R$2:$R$492,0)),"")</f>
        <v/>
      </c>
      <c r="C99" s="26" t="str">
        <f aca="false">IFERROR(INDEX('Output Utente'!$B$2:$B$492,MATCH(96,'Output Utente'!$R$2:$R$492,0)),"")</f>
        <v/>
      </c>
      <c r="D99" s="26" t="str">
        <f aca="false">IFERROR(INDEX('Output Utente'!$C$2:$C$492,MATCH(96,'Output Utente'!$R$2:$R$492,0)),"")</f>
        <v/>
      </c>
      <c r="E99" s="26" t="str">
        <f aca="false">IFERROR(INDEX('Input Giocatori 2026_27'!$D$3:$D$493,MATCH($B99,'Input Giocatori 2026_27'!$A$3:$A$493,0)),"")</f>
        <v/>
      </c>
      <c r="F99" s="27" t="str">
        <f aca="false">IFERROR(INDEX('Output Utente'!$N$2:$N$492,MATCH(96,'Output Utente'!$R$2:$R$492,0)),"")</f>
        <v/>
      </c>
      <c r="G99" s="26" t="str">
        <f aca="false">IFERROR(INDEX('Output Utente'!$O$2:$O$492,MATCH(96,'Output Utente'!$R$2:$R$492,0)),"")</f>
        <v/>
      </c>
      <c r="H99" s="26" t="str">
        <f aca="false">IFERROR(INDEX('Output Utente'!$P$2:$P$492,MATCH(96,'Output Utente'!$R$2:$R$492,0)),"")</f>
        <v/>
      </c>
      <c r="I99" s="27" t="str">
        <f aca="false">IFERROR(INDEX('Output Utente'!$F$2:$F$492,MATCH(96,'Output Utente'!$R$2:$R$492,0)),"")</f>
        <v/>
      </c>
      <c r="J99" s="27" t="str">
        <f aca="false">IFERROR(INDEX('Output Utente'!$G$2:$G$492,MATCH(96,'Output Utente'!$R$2:$R$492,0)),"")</f>
        <v/>
      </c>
      <c r="K99" s="27" t="str">
        <f aca="false">IFERROR(INDEX('Output Utente'!$H$2:$H$492,MATCH(96,'Output Utente'!$R$2:$R$492,0)),"")</f>
        <v/>
      </c>
      <c r="L99" s="26" t="str">
        <f aca="false">IFERROR(INDEX('Output Utente'!$E$2:$E$492,MATCH(96,'Output Utente'!$R$2:$R$492,0)),"")</f>
        <v/>
      </c>
    </row>
    <row r="100" customFormat="false" ht="15" hidden="false" customHeight="true" outlineLevel="0" collapsed="false">
      <c r="A100" s="29" t="n">
        <v>97</v>
      </c>
      <c r="B100" s="26" t="str">
        <f aca="false">IFERROR(INDEX('Output Utente'!$A$2:$A$492,MATCH(97,'Output Utente'!$R$2:$R$492,0)),"")</f>
        <v/>
      </c>
      <c r="C100" s="26" t="str">
        <f aca="false">IFERROR(INDEX('Output Utente'!$B$2:$B$492,MATCH(97,'Output Utente'!$R$2:$R$492,0)),"")</f>
        <v/>
      </c>
      <c r="D100" s="26" t="str">
        <f aca="false">IFERROR(INDEX('Output Utente'!$C$2:$C$492,MATCH(97,'Output Utente'!$R$2:$R$492,0)),"")</f>
        <v/>
      </c>
      <c r="E100" s="26" t="str">
        <f aca="false">IFERROR(INDEX('Input Giocatori 2026_27'!$D$3:$D$493,MATCH($B100,'Input Giocatori 2026_27'!$A$3:$A$493,0)),"")</f>
        <v/>
      </c>
      <c r="F100" s="27" t="str">
        <f aca="false">IFERROR(INDEX('Output Utente'!$N$2:$N$492,MATCH(97,'Output Utente'!$R$2:$R$492,0)),"")</f>
        <v/>
      </c>
      <c r="G100" s="26" t="str">
        <f aca="false">IFERROR(INDEX('Output Utente'!$O$2:$O$492,MATCH(97,'Output Utente'!$R$2:$R$492,0)),"")</f>
        <v/>
      </c>
      <c r="H100" s="26" t="str">
        <f aca="false">IFERROR(INDEX('Output Utente'!$P$2:$P$492,MATCH(97,'Output Utente'!$R$2:$R$492,0)),"")</f>
        <v/>
      </c>
      <c r="I100" s="27" t="str">
        <f aca="false">IFERROR(INDEX('Output Utente'!$F$2:$F$492,MATCH(97,'Output Utente'!$R$2:$R$492,0)),"")</f>
        <v/>
      </c>
      <c r="J100" s="27" t="str">
        <f aca="false">IFERROR(INDEX('Output Utente'!$G$2:$G$492,MATCH(97,'Output Utente'!$R$2:$R$492,0)),"")</f>
        <v/>
      </c>
      <c r="K100" s="27" t="str">
        <f aca="false">IFERROR(INDEX('Output Utente'!$H$2:$H$492,MATCH(97,'Output Utente'!$R$2:$R$492,0)),"")</f>
        <v/>
      </c>
      <c r="L100" s="26" t="str">
        <f aca="false">IFERROR(INDEX('Output Utente'!$E$2:$E$492,MATCH(97,'Output Utente'!$R$2:$R$492,0)),"")</f>
        <v/>
      </c>
    </row>
    <row r="101" customFormat="false" ht="15" hidden="false" customHeight="true" outlineLevel="0" collapsed="false">
      <c r="A101" s="29" t="n">
        <v>98</v>
      </c>
      <c r="B101" s="26" t="str">
        <f aca="false">IFERROR(INDEX('Output Utente'!$A$2:$A$492,MATCH(98,'Output Utente'!$R$2:$R$492,0)),"")</f>
        <v/>
      </c>
      <c r="C101" s="26" t="str">
        <f aca="false">IFERROR(INDEX('Output Utente'!$B$2:$B$492,MATCH(98,'Output Utente'!$R$2:$R$492,0)),"")</f>
        <v/>
      </c>
      <c r="D101" s="26" t="str">
        <f aca="false">IFERROR(INDEX('Output Utente'!$C$2:$C$492,MATCH(98,'Output Utente'!$R$2:$R$492,0)),"")</f>
        <v/>
      </c>
      <c r="E101" s="26" t="str">
        <f aca="false">IFERROR(INDEX('Input Giocatori 2026_27'!$D$3:$D$493,MATCH($B101,'Input Giocatori 2026_27'!$A$3:$A$493,0)),"")</f>
        <v/>
      </c>
      <c r="F101" s="27" t="str">
        <f aca="false">IFERROR(INDEX('Output Utente'!$N$2:$N$492,MATCH(98,'Output Utente'!$R$2:$R$492,0)),"")</f>
        <v/>
      </c>
      <c r="G101" s="26" t="str">
        <f aca="false">IFERROR(INDEX('Output Utente'!$O$2:$O$492,MATCH(98,'Output Utente'!$R$2:$R$492,0)),"")</f>
        <v/>
      </c>
      <c r="H101" s="26" t="str">
        <f aca="false">IFERROR(INDEX('Output Utente'!$P$2:$P$492,MATCH(98,'Output Utente'!$R$2:$R$492,0)),"")</f>
        <v/>
      </c>
      <c r="I101" s="27" t="str">
        <f aca="false">IFERROR(INDEX('Output Utente'!$F$2:$F$492,MATCH(98,'Output Utente'!$R$2:$R$492,0)),"")</f>
        <v/>
      </c>
      <c r="J101" s="27" t="str">
        <f aca="false">IFERROR(INDEX('Output Utente'!$G$2:$G$492,MATCH(98,'Output Utente'!$R$2:$R$492,0)),"")</f>
        <v/>
      </c>
      <c r="K101" s="27" t="str">
        <f aca="false">IFERROR(INDEX('Output Utente'!$H$2:$H$492,MATCH(98,'Output Utente'!$R$2:$R$492,0)),"")</f>
        <v/>
      </c>
      <c r="L101" s="26" t="str">
        <f aca="false">IFERROR(INDEX('Output Utente'!$E$2:$E$492,MATCH(98,'Output Utente'!$R$2:$R$492,0)),"")</f>
        <v/>
      </c>
    </row>
    <row r="102" customFormat="false" ht="15" hidden="false" customHeight="true" outlineLevel="0" collapsed="false">
      <c r="A102" s="29" t="n">
        <v>99</v>
      </c>
      <c r="B102" s="26" t="str">
        <f aca="false">IFERROR(INDEX('Output Utente'!$A$2:$A$492,MATCH(99,'Output Utente'!$R$2:$R$492,0)),"")</f>
        <v/>
      </c>
      <c r="C102" s="26" t="str">
        <f aca="false">IFERROR(INDEX('Output Utente'!$B$2:$B$492,MATCH(99,'Output Utente'!$R$2:$R$492,0)),"")</f>
        <v/>
      </c>
      <c r="D102" s="26" t="str">
        <f aca="false">IFERROR(INDEX('Output Utente'!$C$2:$C$492,MATCH(99,'Output Utente'!$R$2:$R$492,0)),"")</f>
        <v/>
      </c>
      <c r="E102" s="26" t="str">
        <f aca="false">IFERROR(INDEX('Input Giocatori 2026_27'!$D$3:$D$493,MATCH($B102,'Input Giocatori 2026_27'!$A$3:$A$493,0)),"")</f>
        <v/>
      </c>
      <c r="F102" s="27" t="str">
        <f aca="false">IFERROR(INDEX('Output Utente'!$N$2:$N$492,MATCH(99,'Output Utente'!$R$2:$R$492,0)),"")</f>
        <v/>
      </c>
      <c r="G102" s="26" t="str">
        <f aca="false">IFERROR(INDEX('Output Utente'!$O$2:$O$492,MATCH(99,'Output Utente'!$R$2:$R$492,0)),"")</f>
        <v/>
      </c>
      <c r="H102" s="26" t="str">
        <f aca="false">IFERROR(INDEX('Output Utente'!$P$2:$P$492,MATCH(99,'Output Utente'!$R$2:$R$492,0)),"")</f>
        <v/>
      </c>
      <c r="I102" s="27" t="str">
        <f aca="false">IFERROR(INDEX('Output Utente'!$F$2:$F$492,MATCH(99,'Output Utente'!$R$2:$R$492,0)),"")</f>
        <v/>
      </c>
      <c r="J102" s="27" t="str">
        <f aca="false">IFERROR(INDEX('Output Utente'!$G$2:$G$492,MATCH(99,'Output Utente'!$R$2:$R$492,0)),"")</f>
        <v/>
      </c>
      <c r="K102" s="27" t="str">
        <f aca="false">IFERROR(INDEX('Output Utente'!$H$2:$H$492,MATCH(99,'Output Utente'!$R$2:$R$492,0)),"")</f>
        <v/>
      </c>
      <c r="L102" s="26" t="str">
        <f aca="false">IFERROR(INDEX('Output Utente'!$E$2:$E$492,MATCH(99,'Output Utente'!$R$2:$R$492,0)),"")</f>
        <v/>
      </c>
    </row>
    <row r="103" customFormat="false" ht="15" hidden="false" customHeight="true" outlineLevel="0" collapsed="false">
      <c r="A103" s="29" t="n">
        <v>100</v>
      </c>
      <c r="B103" s="26" t="str">
        <f aca="false">IFERROR(INDEX('Output Utente'!$A$2:$A$492,MATCH(100,'Output Utente'!$R$2:$R$492,0)),"")</f>
        <v/>
      </c>
      <c r="C103" s="26" t="str">
        <f aca="false">IFERROR(INDEX('Output Utente'!$B$2:$B$492,MATCH(100,'Output Utente'!$R$2:$R$492,0)),"")</f>
        <v/>
      </c>
      <c r="D103" s="26" t="str">
        <f aca="false">IFERROR(INDEX('Output Utente'!$C$2:$C$492,MATCH(100,'Output Utente'!$R$2:$R$492,0)),"")</f>
        <v/>
      </c>
      <c r="E103" s="26" t="str">
        <f aca="false">IFERROR(INDEX('Input Giocatori 2026_27'!$D$3:$D$493,MATCH($B103,'Input Giocatori 2026_27'!$A$3:$A$493,0)),"")</f>
        <v/>
      </c>
      <c r="F103" s="27" t="str">
        <f aca="false">IFERROR(INDEX('Output Utente'!$N$2:$N$492,MATCH(100,'Output Utente'!$R$2:$R$492,0)),"")</f>
        <v/>
      </c>
      <c r="G103" s="26" t="str">
        <f aca="false">IFERROR(INDEX('Output Utente'!$O$2:$O$492,MATCH(100,'Output Utente'!$R$2:$R$492,0)),"")</f>
        <v/>
      </c>
      <c r="H103" s="26" t="str">
        <f aca="false">IFERROR(INDEX('Output Utente'!$P$2:$P$492,MATCH(100,'Output Utente'!$R$2:$R$492,0)),"")</f>
        <v/>
      </c>
      <c r="I103" s="27" t="str">
        <f aca="false">IFERROR(INDEX('Output Utente'!$F$2:$F$492,MATCH(100,'Output Utente'!$R$2:$R$492,0)),"")</f>
        <v/>
      </c>
      <c r="J103" s="27" t="str">
        <f aca="false">IFERROR(INDEX('Output Utente'!$G$2:$G$492,MATCH(100,'Output Utente'!$R$2:$R$492,0)),"")</f>
        <v/>
      </c>
      <c r="K103" s="27" t="str">
        <f aca="false">IFERROR(INDEX('Output Utente'!$H$2:$H$492,MATCH(100,'Output Utente'!$R$2:$R$492,0)),"")</f>
        <v/>
      </c>
      <c r="L103" s="26" t="str">
        <f aca="false">IFERROR(INDEX('Output Utente'!$E$2:$E$492,MATCH(100,'Output Utente'!$R$2:$R$492,0)),"")</f>
        <v/>
      </c>
    </row>
    <row r="104" customFormat="false" ht="15" hidden="false" customHeight="true" outlineLevel="0" collapsed="false">
      <c r="A104" s="29" t="n">
        <v>101</v>
      </c>
      <c r="B104" s="26" t="str">
        <f aca="false">IFERROR(INDEX('Output Utente'!$A$2:$A$492,MATCH(101,'Output Utente'!$R$2:$R$492,0)),"")</f>
        <v/>
      </c>
      <c r="C104" s="26" t="str">
        <f aca="false">IFERROR(INDEX('Output Utente'!$B$2:$B$492,MATCH(101,'Output Utente'!$R$2:$R$492,0)),"")</f>
        <v/>
      </c>
      <c r="D104" s="26" t="str">
        <f aca="false">IFERROR(INDEX('Output Utente'!$C$2:$C$492,MATCH(101,'Output Utente'!$R$2:$R$492,0)),"")</f>
        <v/>
      </c>
      <c r="E104" s="26" t="str">
        <f aca="false">IFERROR(INDEX('Input Giocatori 2026_27'!$D$3:$D$493,MATCH($B104,'Input Giocatori 2026_27'!$A$3:$A$493,0)),"")</f>
        <v/>
      </c>
      <c r="F104" s="27" t="str">
        <f aca="false">IFERROR(INDEX('Output Utente'!$N$2:$N$492,MATCH(101,'Output Utente'!$R$2:$R$492,0)),"")</f>
        <v/>
      </c>
      <c r="G104" s="26" t="str">
        <f aca="false">IFERROR(INDEX('Output Utente'!$O$2:$O$492,MATCH(101,'Output Utente'!$R$2:$R$492,0)),"")</f>
        <v/>
      </c>
      <c r="H104" s="26" t="str">
        <f aca="false">IFERROR(INDEX('Output Utente'!$P$2:$P$492,MATCH(101,'Output Utente'!$R$2:$R$492,0)),"")</f>
        <v/>
      </c>
      <c r="I104" s="27" t="str">
        <f aca="false">IFERROR(INDEX('Output Utente'!$F$2:$F$492,MATCH(101,'Output Utente'!$R$2:$R$492,0)),"")</f>
        <v/>
      </c>
      <c r="J104" s="27" t="str">
        <f aca="false">IFERROR(INDEX('Output Utente'!$G$2:$G$492,MATCH(101,'Output Utente'!$R$2:$R$492,0)),"")</f>
        <v/>
      </c>
      <c r="K104" s="27" t="str">
        <f aca="false">IFERROR(INDEX('Output Utente'!$H$2:$H$492,MATCH(101,'Output Utente'!$R$2:$R$492,0)),"")</f>
        <v/>
      </c>
      <c r="L104" s="26" t="str">
        <f aca="false">IFERROR(INDEX('Output Utente'!$E$2:$E$492,MATCH(101,'Output Utente'!$R$2:$R$492,0)),"")</f>
        <v/>
      </c>
    </row>
    <row r="105" customFormat="false" ht="15" hidden="false" customHeight="true" outlineLevel="0" collapsed="false">
      <c r="A105" s="29" t="n">
        <v>102</v>
      </c>
      <c r="B105" s="26" t="str">
        <f aca="false">IFERROR(INDEX('Output Utente'!$A$2:$A$492,MATCH(102,'Output Utente'!$R$2:$R$492,0)),"")</f>
        <v/>
      </c>
      <c r="C105" s="26" t="str">
        <f aca="false">IFERROR(INDEX('Output Utente'!$B$2:$B$492,MATCH(102,'Output Utente'!$R$2:$R$492,0)),"")</f>
        <v/>
      </c>
      <c r="D105" s="26" t="str">
        <f aca="false">IFERROR(INDEX('Output Utente'!$C$2:$C$492,MATCH(102,'Output Utente'!$R$2:$R$492,0)),"")</f>
        <v/>
      </c>
      <c r="E105" s="26" t="str">
        <f aca="false">IFERROR(INDEX('Input Giocatori 2026_27'!$D$3:$D$493,MATCH($B105,'Input Giocatori 2026_27'!$A$3:$A$493,0)),"")</f>
        <v/>
      </c>
      <c r="F105" s="27" t="str">
        <f aca="false">IFERROR(INDEX('Output Utente'!$N$2:$N$492,MATCH(102,'Output Utente'!$R$2:$R$492,0)),"")</f>
        <v/>
      </c>
      <c r="G105" s="26" t="str">
        <f aca="false">IFERROR(INDEX('Output Utente'!$O$2:$O$492,MATCH(102,'Output Utente'!$R$2:$R$492,0)),"")</f>
        <v/>
      </c>
      <c r="H105" s="26" t="str">
        <f aca="false">IFERROR(INDEX('Output Utente'!$P$2:$P$492,MATCH(102,'Output Utente'!$R$2:$R$492,0)),"")</f>
        <v/>
      </c>
      <c r="I105" s="27" t="str">
        <f aca="false">IFERROR(INDEX('Output Utente'!$F$2:$F$492,MATCH(102,'Output Utente'!$R$2:$R$492,0)),"")</f>
        <v/>
      </c>
      <c r="J105" s="27" t="str">
        <f aca="false">IFERROR(INDEX('Output Utente'!$G$2:$G$492,MATCH(102,'Output Utente'!$R$2:$R$492,0)),"")</f>
        <v/>
      </c>
      <c r="K105" s="27" t="str">
        <f aca="false">IFERROR(INDEX('Output Utente'!$H$2:$H$492,MATCH(102,'Output Utente'!$R$2:$R$492,0)),"")</f>
        <v/>
      </c>
      <c r="L105" s="26" t="str">
        <f aca="false">IFERROR(INDEX('Output Utente'!$E$2:$E$492,MATCH(102,'Output Utente'!$R$2:$R$492,0)),"")</f>
        <v/>
      </c>
    </row>
    <row r="106" customFormat="false" ht="15" hidden="false" customHeight="true" outlineLevel="0" collapsed="false">
      <c r="A106" s="29" t="n">
        <v>103</v>
      </c>
      <c r="B106" s="26" t="str">
        <f aca="false">IFERROR(INDEX('Output Utente'!$A$2:$A$492,MATCH(103,'Output Utente'!$R$2:$R$492,0)),"")</f>
        <v/>
      </c>
      <c r="C106" s="26" t="str">
        <f aca="false">IFERROR(INDEX('Output Utente'!$B$2:$B$492,MATCH(103,'Output Utente'!$R$2:$R$492,0)),"")</f>
        <v/>
      </c>
      <c r="D106" s="26" t="str">
        <f aca="false">IFERROR(INDEX('Output Utente'!$C$2:$C$492,MATCH(103,'Output Utente'!$R$2:$R$492,0)),"")</f>
        <v/>
      </c>
      <c r="E106" s="26" t="str">
        <f aca="false">IFERROR(INDEX('Input Giocatori 2026_27'!$D$3:$D$493,MATCH($B106,'Input Giocatori 2026_27'!$A$3:$A$493,0)),"")</f>
        <v/>
      </c>
      <c r="F106" s="27" t="str">
        <f aca="false">IFERROR(INDEX('Output Utente'!$N$2:$N$492,MATCH(103,'Output Utente'!$R$2:$R$492,0)),"")</f>
        <v/>
      </c>
      <c r="G106" s="26" t="str">
        <f aca="false">IFERROR(INDEX('Output Utente'!$O$2:$O$492,MATCH(103,'Output Utente'!$R$2:$R$492,0)),"")</f>
        <v/>
      </c>
      <c r="H106" s="26" t="str">
        <f aca="false">IFERROR(INDEX('Output Utente'!$P$2:$P$492,MATCH(103,'Output Utente'!$R$2:$R$492,0)),"")</f>
        <v/>
      </c>
      <c r="I106" s="27" t="str">
        <f aca="false">IFERROR(INDEX('Output Utente'!$F$2:$F$492,MATCH(103,'Output Utente'!$R$2:$R$492,0)),"")</f>
        <v/>
      </c>
      <c r="J106" s="27" t="str">
        <f aca="false">IFERROR(INDEX('Output Utente'!$G$2:$G$492,MATCH(103,'Output Utente'!$R$2:$R$492,0)),"")</f>
        <v/>
      </c>
      <c r="K106" s="27" t="str">
        <f aca="false">IFERROR(INDEX('Output Utente'!$H$2:$H$492,MATCH(103,'Output Utente'!$R$2:$R$492,0)),"")</f>
        <v/>
      </c>
      <c r="L106" s="26" t="str">
        <f aca="false">IFERROR(INDEX('Output Utente'!$E$2:$E$492,MATCH(103,'Output Utente'!$R$2:$R$492,0)),"")</f>
        <v/>
      </c>
    </row>
    <row r="107" customFormat="false" ht="15" hidden="false" customHeight="true" outlineLevel="0" collapsed="false">
      <c r="A107" s="29" t="n">
        <v>104</v>
      </c>
      <c r="B107" s="26" t="str">
        <f aca="false">IFERROR(INDEX('Output Utente'!$A$2:$A$492,MATCH(104,'Output Utente'!$R$2:$R$492,0)),"")</f>
        <v/>
      </c>
      <c r="C107" s="26" t="str">
        <f aca="false">IFERROR(INDEX('Output Utente'!$B$2:$B$492,MATCH(104,'Output Utente'!$R$2:$R$492,0)),"")</f>
        <v/>
      </c>
      <c r="D107" s="26" t="str">
        <f aca="false">IFERROR(INDEX('Output Utente'!$C$2:$C$492,MATCH(104,'Output Utente'!$R$2:$R$492,0)),"")</f>
        <v/>
      </c>
      <c r="E107" s="26" t="str">
        <f aca="false">IFERROR(INDEX('Input Giocatori 2026_27'!$D$3:$D$493,MATCH($B107,'Input Giocatori 2026_27'!$A$3:$A$493,0)),"")</f>
        <v/>
      </c>
      <c r="F107" s="27" t="str">
        <f aca="false">IFERROR(INDEX('Output Utente'!$N$2:$N$492,MATCH(104,'Output Utente'!$R$2:$R$492,0)),"")</f>
        <v/>
      </c>
      <c r="G107" s="26" t="str">
        <f aca="false">IFERROR(INDEX('Output Utente'!$O$2:$O$492,MATCH(104,'Output Utente'!$R$2:$R$492,0)),"")</f>
        <v/>
      </c>
      <c r="H107" s="26" t="str">
        <f aca="false">IFERROR(INDEX('Output Utente'!$P$2:$P$492,MATCH(104,'Output Utente'!$R$2:$R$492,0)),"")</f>
        <v/>
      </c>
      <c r="I107" s="27" t="str">
        <f aca="false">IFERROR(INDEX('Output Utente'!$F$2:$F$492,MATCH(104,'Output Utente'!$R$2:$R$492,0)),"")</f>
        <v/>
      </c>
      <c r="J107" s="27" t="str">
        <f aca="false">IFERROR(INDEX('Output Utente'!$G$2:$G$492,MATCH(104,'Output Utente'!$R$2:$R$492,0)),"")</f>
        <v/>
      </c>
      <c r="K107" s="27" t="str">
        <f aca="false">IFERROR(INDEX('Output Utente'!$H$2:$H$492,MATCH(104,'Output Utente'!$R$2:$R$492,0)),"")</f>
        <v/>
      </c>
      <c r="L107" s="26" t="str">
        <f aca="false">IFERROR(INDEX('Output Utente'!$E$2:$E$492,MATCH(104,'Output Utente'!$R$2:$R$492,0)),"")</f>
        <v/>
      </c>
    </row>
    <row r="108" customFormat="false" ht="15" hidden="false" customHeight="true" outlineLevel="0" collapsed="false">
      <c r="A108" s="29" t="n">
        <v>105</v>
      </c>
      <c r="B108" s="26" t="str">
        <f aca="false">IFERROR(INDEX('Output Utente'!$A$2:$A$492,MATCH(105,'Output Utente'!$R$2:$R$492,0)),"")</f>
        <v/>
      </c>
      <c r="C108" s="26" t="str">
        <f aca="false">IFERROR(INDEX('Output Utente'!$B$2:$B$492,MATCH(105,'Output Utente'!$R$2:$R$492,0)),"")</f>
        <v/>
      </c>
      <c r="D108" s="26" t="str">
        <f aca="false">IFERROR(INDEX('Output Utente'!$C$2:$C$492,MATCH(105,'Output Utente'!$R$2:$R$492,0)),"")</f>
        <v/>
      </c>
      <c r="E108" s="26" t="str">
        <f aca="false">IFERROR(INDEX('Input Giocatori 2026_27'!$D$3:$D$493,MATCH($B108,'Input Giocatori 2026_27'!$A$3:$A$493,0)),"")</f>
        <v/>
      </c>
      <c r="F108" s="27" t="str">
        <f aca="false">IFERROR(INDEX('Output Utente'!$N$2:$N$492,MATCH(105,'Output Utente'!$R$2:$R$492,0)),"")</f>
        <v/>
      </c>
      <c r="G108" s="26" t="str">
        <f aca="false">IFERROR(INDEX('Output Utente'!$O$2:$O$492,MATCH(105,'Output Utente'!$R$2:$R$492,0)),"")</f>
        <v/>
      </c>
      <c r="H108" s="26" t="str">
        <f aca="false">IFERROR(INDEX('Output Utente'!$P$2:$P$492,MATCH(105,'Output Utente'!$R$2:$R$492,0)),"")</f>
        <v/>
      </c>
      <c r="I108" s="27" t="str">
        <f aca="false">IFERROR(INDEX('Output Utente'!$F$2:$F$492,MATCH(105,'Output Utente'!$R$2:$R$492,0)),"")</f>
        <v/>
      </c>
      <c r="J108" s="27" t="str">
        <f aca="false">IFERROR(INDEX('Output Utente'!$G$2:$G$492,MATCH(105,'Output Utente'!$R$2:$R$492,0)),"")</f>
        <v/>
      </c>
      <c r="K108" s="27" t="str">
        <f aca="false">IFERROR(INDEX('Output Utente'!$H$2:$H$492,MATCH(105,'Output Utente'!$R$2:$R$492,0)),"")</f>
        <v/>
      </c>
      <c r="L108" s="26" t="str">
        <f aca="false">IFERROR(INDEX('Output Utente'!$E$2:$E$492,MATCH(105,'Output Utente'!$R$2:$R$492,0)),"")</f>
        <v/>
      </c>
    </row>
    <row r="109" customFormat="false" ht="15" hidden="false" customHeight="true" outlineLevel="0" collapsed="false">
      <c r="A109" s="29" t="n">
        <v>106</v>
      </c>
      <c r="B109" s="26" t="str">
        <f aca="false">IFERROR(INDEX('Output Utente'!$A$2:$A$492,MATCH(106,'Output Utente'!$R$2:$R$492,0)),"")</f>
        <v/>
      </c>
      <c r="C109" s="26" t="str">
        <f aca="false">IFERROR(INDEX('Output Utente'!$B$2:$B$492,MATCH(106,'Output Utente'!$R$2:$R$492,0)),"")</f>
        <v/>
      </c>
      <c r="D109" s="26" t="str">
        <f aca="false">IFERROR(INDEX('Output Utente'!$C$2:$C$492,MATCH(106,'Output Utente'!$R$2:$R$492,0)),"")</f>
        <v/>
      </c>
      <c r="E109" s="26" t="str">
        <f aca="false">IFERROR(INDEX('Input Giocatori 2026_27'!$D$3:$D$493,MATCH($B109,'Input Giocatori 2026_27'!$A$3:$A$493,0)),"")</f>
        <v/>
      </c>
      <c r="F109" s="27" t="str">
        <f aca="false">IFERROR(INDEX('Output Utente'!$N$2:$N$492,MATCH(106,'Output Utente'!$R$2:$R$492,0)),"")</f>
        <v/>
      </c>
      <c r="G109" s="26" t="str">
        <f aca="false">IFERROR(INDEX('Output Utente'!$O$2:$O$492,MATCH(106,'Output Utente'!$R$2:$R$492,0)),"")</f>
        <v/>
      </c>
      <c r="H109" s="26" t="str">
        <f aca="false">IFERROR(INDEX('Output Utente'!$P$2:$P$492,MATCH(106,'Output Utente'!$R$2:$R$492,0)),"")</f>
        <v/>
      </c>
      <c r="I109" s="27" t="str">
        <f aca="false">IFERROR(INDEX('Output Utente'!$F$2:$F$492,MATCH(106,'Output Utente'!$R$2:$R$492,0)),"")</f>
        <v/>
      </c>
      <c r="J109" s="27" t="str">
        <f aca="false">IFERROR(INDEX('Output Utente'!$G$2:$G$492,MATCH(106,'Output Utente'!$R$2:$R$492,0)),"")</f>
        <v/>
      </c>
      <c r="K109" s="27" t="str">
        <f aca="false">IFERROR(INDEX('Output Utente'!$H$2:$H$492,MATCH(106,'Output Utente'!$R$2:$R$492,0)),"")</f>
        <v/>
      </c>
      <c r="L109" s="26" t="str">
        <f aca="false">IFERROR(INDEX('Output Utente'!$E$2:$E$492,MATCH(106,'Output Utente'!$R$2:$R$492,0)),"")</f>
        <v/>
      </c>
    </row>
    <row r="110" customFormat="false" ht="15" hidden="false" customHeight="true" outlineLevel="0" collapsed="false">
      <c r="A110" s="29" t="n">
        <v>107</v>
      </c>
      <c r="B110" s="26" t="str">
        <f aca="false">IFERROR(INDEX('Output Utente'!$A$2:$A$492,MATCH(107,'Output Utente'!$R$2:$R$492,0)),"")</f>
        <v/>
      </c>
      <c r="C110" s="26" t="str">
        <f aca="false">IFERROR(INDEX('Output Utente'!$B$2:$B$492,MATCH(107,'Output Utente'!$R$2:$R$492,0)),"")</f>
        <v/>
      </c>
      <c r="D110" s="26" t="str">
        <f aca="false">IFERROR(INDEX('Output Utente'!$C$2:$C$492,MATCH(107,'Output Utente'!$R$2:$R$492,0)),"")</f>
        <v/>
      </c>
      <c r="E110" s="26" t="str">
        <f aca="false">IFERROR(INDEX('Input Giocatori 2026_27'!$D$3:$D$493,MATCH($B110,'Input Giocatori 2026_27'!$A$3:$A$493,0)),"")</f>
        <v/>
      </c>
      <c r="F110" s="27" t="str">
        <f aca="false">IFERROR(INDEX('Output Utente'!$N$2:$N$492,MATCH(107,'Output Utente'!$R$2:$R$492,0)),"")</f>
        <v/>
      </c>
      <c r="G110" s="26" t="str">
        <f aca="false">IFERROR(INDEX('Output Utente'!$O$2:$O$492,MATCH(107,'Output Utente'!$R$2:$R$492,0)),"")</f>
        <v/>
      </c>
      <c r="H110" s="26" t="str">
        <f aca="false">IFERROR(INDEX('Output Utente'!$P$2:$P$492,MATCH(107,'Output Utente'!$R$2:$R$492,0)),"")</f>
        <v/>
      </c>
      <c r="I110" s="27" t="str">
        <f aca="false">IFERROR(INDEX('Output Utente'!$F$2:$F$492,MATCH(107,'Output Utente'!$R$2:$R$492,0)),"")</f>
        <v/>
      </c>
      <c r="J110" s="27" t="str">
        <f aca="false">IFERROR(INDEX('Output Utente'!$G$2:$G$492,MATCH(107,'Output Utente'!$R$2:$R$492,0)),"")</f>
        <v/>
      </c>
      <c r="K110" s="27" t="str">
        <f aca="false">IFERROR(INDEX('Output Utente'!$H$2:$H$492,MATCH(107,'Output Utente'!$R$2:$R$492,0)),"")</f>
        <v/>
      </c>
      <c r="L110" s="26" t="str">
        <f aca="false">IFERROR(INDEX('Output Utente'!$E$2:$E$492,MATCH(107,'Output Utente'!$R$2:$R$492,0)),"")</f>
        <v/>
      </c>
    </row>
    <row r="111" customFormat="false" ht="15" hidden="false" customHeight="true" outlineLevel="0" collapsed="false">
      <c r="A111" s="29" t="n">
        <v>108</v>
      </c>
      <c r="B111" s="26" t="str">
        <f aca="false">IFERROR(INDEX('Output Utente'!$A$2:$A$492,MATCH(108,'Output Utente'!$R$2:$R$492,0)),"")</f>
        <v/>
      </c>
      <c r="C111" s="26" t="str">
        <f aca="false">IFERROR(INDEX('Output Utente'!$B$2:$B$492,MATCH(108,'Output Utente'!$R$2:$R$492,0)),"")</f>
        <v/>
      </c>
      <c r="D111" s="26" t="str">
        <f aca="false">IFERROR(INDEX('Output Utente'!$C$2:$C$492,MATCH(108,'Output Utente'!$R$2:$R$492,0)),"")</f>
        <v/>
      </c>
      <c r="E111" s="26" t="str">
        <f aca="false">IFERROR(INDEX('Input Giocatori 2026_27'!$D$3:$D$493,MATCH($B111,'Input Giocatori 2026_27'!$A$3:$A$493,0)),"")</f>
        <v/>
      </c>
      <c r="F111" s="27" t="str">
        <f aca="false">IFERROR(INDEX('Output Utente'!$N$2:$N$492,MATCH(108,'Output Utente'!$R$2:$R$492,0)),"")</f>
        <v/>
      </c>
      <c r="G111" s="26" t="str">
        <f aca="false">IFERROR(INDEX('Output Utente'!$O$2:$O$492,MATCH(108,'Output Utente'!$R$2:$R$492,0)),"")</f>
        <v/>
      </c>
      <c r="H111" s="26" t="str">
        <f aca="false">IFERROR(INDEX('Output Utente'!$P$2:$P$492,MATCH(108,'Output Utente'!$R$2:$R$492,0)),"")</f>
        <v/>
      </c>
      <c r="I111" s="27" t="str">
        <f aca="false">IFERROR(INDEX('Output Utente'!$F$2:$F$492,MATCH(108,'Output Utente'!$R$2:$R$492,0)),"")</f>
        <v/>
      </c>
      <c r="J111" s="27" t="str">
        <f aca="false">IFERROR(INDEX('Output Utente'!$G$2:$G$492,MATCH(108,'Output Utente'!$R$2:$R$492,0)),"")</f>
        <v/>
      </c>
      <c r="K111" s="27" t="str">
        <f aca="false">IFERROR(INDEX('Output Utente'!$H$2:$H$492,MATCH(108,'Output Utente'!$R$2:$R$492,0)),"")</f>
        <v/>
      </c>
      <c r="L111" s="26" t="str">
        <f aca="false">IFERROR(INDEX('Output Utente'!$E$2:$E$492,MATCH(108,'Output Utente'!$R$2:$R$492,0)),"")</f>
        <v/>
      </c>
    </row>
    <row r="112" customFormat="false" ht="15" hidden="false" customHeight="true" outlineLevel="0" collapsed="false">
      <c r="A112" s="29" t="n">
        <v>109</v>
      </c>
      <c r="B112" s="26" t="str">
        <f aca="false">IFERROR(INDEX('Output Utente'!$A$2:$A$492,MATCH(109,'Output Utente'!$R$2:$R$492,0)),"")</f>
        <v/>
      </c>
      <c r="C112" s="26" t="str">
        <f aca="false">IFERROR(INDEX('Output Utente'!$B$2:$B$492,MATCH(109,'Output Utente'!$R$2:$R$492,0)),"")</f>
        <v/>
      </c>
      <c r="D112" s="26" t="str">
        <f aca="false">IFERROR(INDEX('Output Utente'!$C$2:$C$492,MATCH(109,'Output Utente'!$R$2:$R$492,0)),"")</f>
        <v/>
      </c>
      <c r="E112" s="26" t="str">
        <f aca="false">IFERROR(INDEX('Input Giocatori 2026_27'!$D$3:$D$493,MATCH($B112,'Input Giocatori 2026_27'!$A$3:$A$493,0)),"")</f>
        <v/>
      </c>
      <c r="F112" s="27" t="str">
        <f aca="false">IFERROR(INDEX('Output Utente'!$N$2:$N$492,MATCH(109,'Output Utente'!$R$2:$R$492,0)),"")</f>
        <v/>
      </c>
      <c r="G112" s="26" t="str">
        <f aca="false">IFERROR(INDEX('Output Utente'!$O$2:$O$492,MATCH(109,'Output Utente'!$R$2:$R$492,0)),"")</f>
        <v/>
      </c>
      <c r="H112" s="26" t="str">
        <f aca="false">IFERROR(INDEX('Output Utente'!$P$2:$P$492,MATCH(109,'Output Utente'!$R$2:$R$492,0)),"")</f>
        <v/>
      </c>
      <c r="I112" s="27" t="str">
        <f aca="false">IFERROR(INDEX('Output Utente'!$F$2:$F$492,MATCH(109,'Output Utente'!$R$2:$R$492,0)),"")</f>
        <v/>
      </c>
      <c r="J112" s="27" t="str">
        <f aca="false">IFERROR(INDEX('Output Utente'!$G$2:$G$492,MATCH(109,'Output Utente'!$R$2:$R$492,0)),"")</f>
        <v/>
      </c>
      <c r="K112" s="27" t="str">
        <f aca="false">IFERROR(INDEX('Output Utente'!$H$2:$H$492,MATCH(109,'Output Utente'!$R$2:$R$492,0)),"")</f>
        <v/>
      </c>
      <c r="L112" s="26" t="str">
        <f aca="false">IFERROR(INDEX('Output Utente'!$E$2:$E$492,MATCH(109,'Output Utente'!$R$2:$R$492,0)),"")</f>
        <v/>
      </c>
    </row>
    <row r="113" customFormat="false" ht="15" hidden="false" customHeight="true" outlineLevel="0" collapsed="false">
      <c r="A113" s="29" t="n">
        <v>110</v>
      </c>
      <c r="B113" s="26" t="str">
        <f aca="false">IFERROR(INDEX('Output Utente'!$A$2:$A$492,MATCH(110,'Output Utente'!$R$2:$R$492,0)),"")</f>
        <v/>
      </c>
      <c r="C113" s="26" t="str">
        <f aca="false">IFERROR(INDEX('Output Utente'!$B$2:$B$492,MATCH(110,'Output Utente'!$R$2:$R$492,0)),"")</f>
        <v/>
      </c>
      <c r="D113" s="26" t="str">
        <f aca="false">IFERROR(INDEX('Output Utente'!$C$2:$C$492,MATCH(110,'Output Utente'!$R$2:$R$492,0)),"")</f>
        <v/>
      </c>
      <c r="E113" s="26" t="str">
        <f aca="false">IFERROR(INDEX('Input Giocatori 2026_27'!$D$3:$D$493,MATCH($B113,'Input Giocatori 2026_27'!$A$3:$A$493,0)),"")</f>
        <v/>
      </c>
      <c r="F113" s="27" t="str">
        <f aca="false">IFERROR(INDEX('Output Utente'!$N$2:$N$492,MATCH(110,'Output Utente'!$R$2:$R$492,0)),"")</f>
        <v/>
      </c>
      <c r="G113" s="26" t="str">
        <f aca="false">IFERROR(INDEX('Output Utente'!$O$2:$O$492,MATCH(110,'Output Utente'!$R$2:$R$492,0)),"")</f>
        <v/>
      </c>
      <c r="H113" s="26" t="str">
        <f aca="false">IFERROR(INDEX('Output Utente'!$P$2:$P$492,MATCH(110,'Output Utente'!$R$2:$R$492,0)),"")</f>
        <v/>
      </c>
      <c r="I113" s="27" t="str">
        <f aca="false">IFERROR(INDEX('Output Utente'!$F$2:$F$492,MATCH(110,'Output Utente'!$R$2:$R$492,0)),"")</f>
        <v/>
      </c>
      <c r="J113" s="27" t="str">
        <f aca="false">IFERROR(INDEX('Output Utente'!$G$2:$G$492,MATCH(110,'Output Utente'!$R$2:$R$492,0)),"")</f>
        <v/>
      </c>
      <c r="K113" s="27" t="str">
        <f aca="false">IFERROR(INDEX('Output Utente'!$H$2:$H$492,MATCH(110,'Output Utente'!$R$2:$R$492,0)),"")</f>
        <v/>
      </c>
      <c r="L113" s="26" t="str">
        <f aca="false">IFERROR(INDEX('Output Utente'!$E$2:$E$492,MATCH(110,'Output Utente'!$R$2:$R$492,0)),"")</f>
        <v/>
      </c>
    </row>
    <row r="114" customFormat="false" ht="15" hidden="false" customHeight="true" outlineLevel="0" collapsed="false">
      <c r="A114" s="29" t="n">
        <v>111</v>
      </c>
      <c r="B114" s="26" t="str">
        <f aca="false">IFERROR(INDEX('Output Utente'!$A$2:$A$492,MATCH(111,'Output Utente'!$R$2:$R$492,0)),"")</f>
        <v/>
      </c>
      <c r="C114" s="26" t="str">
        <f aca="false">IFERROR(INDEX('Output Utente'!$B$2:$B$492,MATCH(111,'Output Utente'!$R$2:$R$492,0)),"")</f>
        <v/>
      </c>
      <c r="D114" s="26" t="str">
        <f aca="false">IFERROR(INDEX('Output Utente'!$C$2:$C$492,MATCH(111,'Output Utente'!$R$2:$R$492,0)),"")</f>
        <v/>
      </c>
      <c r="E114" s="26" t="str">
        <f aca="false">IFERROR(INDEX('Input Giocatori 2026_27'!$D$3:$D$493,MATCH($B114,'Input Giocatori 2026_27'!$A$3:$A$493,0)),"")</f>
        <v/>
      </c>
      <c r="F114" s="27" t="str">
        <f aca="false">IFERROR(INDEX('Output Utente'!$N$2:$N$492,MATCH(111,'Output Utente'!$R$2:$R$492,0)),"")</f>
        <v/>
      </c>
      <c r="G114" s="26" t="str">
        <f aca="false">IFERROR(INDEX('Output Utente'!$O$2:$O$492,MATCH(111,'Output Utente'!$R$2:$R$492,0)),"")</f>
        <v/>
      </c>
      <c r="H114" s="26" t="str">
        <f aca="false">IFERROR(INDEX('Output Utente'!$P$2:$P$492,MATCH(111,'Output Utente'!$R$2:$R$492,0)),"")</f>
        <v/>
      </c>
      <c r="I114" s="27" t="str">
        <f aca="false">IFERROR(INDEX('Output Utente'!$F$2:$F$492,MATCH(111,'Output Utente'!$R$2:$R$492,0)),"")</f>
        <v/>
      </c>
      <c r="J114" s="27" t="str">
        <f aca="false">IFERROR(INDEX('Output Utente'!$G$2:$G$492,MATCH(111,'Output Utente'!$R$2:$R$492,0)),"")</f>
        <v/>
      </c>
      <c r="K114" s="27" t="str">
        <f aca="false">IFERROR(INDEX('Output Utente'!$H$2:$H$492,MATCH(111,'Output Utente'!$R$2:$R$492,0)),"")</f>
        <v/>
      </c>
      <c r="L114" s="26" t="str">
        <f aca="false">IFERROR(INDEX('Output Utente'!$E$2:$E$492,MATCH(111,'Output Utente'!$R$2:$R$492,0)),"")</f>
        <v/>
      </c>
    </row>
    <row r="115" customFormat="false" ht="15" hidden="false" customHeight="true" outlineLevel="0" collapsed="false">
      <c r="A115" s="29" t="n">
        <v>112</v>
      </c>
      <c r="B115" s="26" t="str">
        <f aca="false">IFERROR(INDEX('Output Utente'!$A$2:$A$492,MATCH(112,'Output Utente'!$R$2:$R$492,0)),"")</f>
        <v/>
      </c>
      <c r="C115" s="26" t="str">
        <f aca="false">IFERROR(INDEX('Output Utente'!$B$2:$B$492,MATCH(112,'Output Utente'!$R$2:$R$492,0)),"")</f>
        <v/>
      </c>
      <c r="D115" s="26" t="str">
        <f aca="false">IFERROR(INDEX('Output Utente'!$C$2:$C$492,MATCH(112,'Output Utente'!$R$2:$R$492,0)),"")</f>
        <v/>
      </c>
      <c r="E115" s="26" t="str">
        <f aca="false">IFERROR(INDEX('Input Giocatori 2026_27'!$D$3:$D$493,MATCH($B115,'Input Giocatori 2026_27'!$A$3:$A$493,0)),"")</f>
        <v/>
      </c>
      <c r="F115" s="27" t="str">
        <f aca="false">IFERROR(INDEX('Output Utente'!$N$2:$N$492,MATCH(112,'Output Utente'!$R$2:$R$492,0)),"")</f>
        <v/>
      </c>
      <c r="G115" s="26" t="str">
        <f aca="false">IFERROR(INDEX('Output Utente'!$O$2:$O$492,MATCH(112,'Output Utente'!$R$2:$R$492,0)),"")</f>
        <v/>
      </c>
      <c r="H115" s="26" t="str">
        <f aca="false">IFERROR(INDEX('Output Utente'!$P$2:$P$492,MATCH(112,'Output Utente'!$R$2:$R$492,0)),"")</f>
        <v/>
      </c>
      <c r="I115" s="27" t="str">
        <f aca="false">IFERROR(INDEX('Output Utente'!$F$2:$F$492,MATCH(112,'Output Utente'!$R$2:$R$492,0)),"")</f>
        <v/>
      </c>
      <c r="J115" s="27" t="str">
        <f aca="false">IFERROR(INDEX('Output Utente'!$G$2:$G$492,MATCH(112,'Output Utente'!$R$2:$R$492,0)),"")</f>
        <v/>
      </c>
      <c r="K115" s="27" t="str">
        <f aca="false">IFERROR(INDEX('Output Utente'!$H$2:$H$492,MATCH(112,'Output Utente'!$R$2:$R$492,0)),"")</f>
        <v/>
      </c>
      <c r="L115" s="26" t="str">
        <f aca="false">IFERROR(INDEX('Output Utente'!$E$2:$E$492,MATCH(112,'Output Utente'!$R$2:$R$492,0)),"")</f>
        <v/>
      </c>
    </row>
    <row r="116" customFormat="false" ht="15" hidden="false" customHeight="true" outlineLevel="0" collapsed="false">
      <c r="A116" s="29" t="n">
        <v>113</v>
      </c>
      <c r="B116" s="26" t="str">
        <f aca="false">IFERROR(INDEX('Output Utente'!$A$2:$A$492,MATCH(113,'Output Utente'!$R$2:$R$492,0)),"")</f>
        <v/>
      </c>
      <c r="C116" s="26" t="str">
        <f aca="false">IFERROR(INDEX('Output Utente'!$B$2:$B$492,MATCH(113,'Output Utente'!$R$2:$R$492,0)),"")</f>
        <v/>
      </c>
      <c r="D116" s="26" t="str">
        <f aca="false">IFERROR(INDEX('Output Utente'!$C$2:$C$492,MATCH(113,'Output Utente'!$R$2:$R$492,0)),"")</f>
        <v/>
      </c>
      <c r="E116" s="26" t="str">
        <f aca="false">IFERROR(INDEX('Input Giocatori 2026_27'!$D$3:$D$493,MATCH($B116,'Input Giocatori 2026_27'!$A$3:$A$493,0)),"")</f>
        <v/>
      </c>
      <c r="F116" s="27" t="str">
        <f aca="false">IFERROR(INDEX('Output Utente'!$N$2:$N$492,MATCH(113,'Output Utente'!$R$2:$R$492,0)),"")</f>
        <v/>
      </c>
      <c r="G116" s="26" t="str">
        <f aca="false">IFERROR(INDEX('Output Utente'!$O$2:$O$492,MATCH(113,'Output Utente'!$R$2:$R$492,0)),"")</f>
        <v/>
      </c>
      <c r="H116" s="26" t="str">
        <f aca="false">IFERROR(INDEX('Output Utente'!$P$2:$P$492,MATCH(113,'Output Utente'!$R$2:$R$492,0)),"")</f>
        <v/>
      </c>
      <c r="I116" s="27" t="str">
        <f aca="false">IFERROR(INDEX('Output Utente'!$F$2:$F$492,MATCH(113,'Output Utente'!$R$2:$R$492,0)),"")</f>
        <v/>
      </c>
      <c r="J116" s="27" t="str">
        <f aca="false">IFERROR(INDEX('Output Utente'!$G$2:$G$492,MATCH(113,'Output Utente'!$R$2:$R$492,0)),"")</f>
        <v/>
      </c>
      <c r="K116" s="27" t="str">
        <f aca="false">IFERROR(INDEX('Output Utente'!$H$2:$H$492,MATCH(113,'Output Utente'!$R$2:$R$492,0)),"")</f>
        <v/>
      </c>
      <c r="L116" s="26" t="str">
        <f aca="false">IFERROR(INDEX('Output Utente'!$E$2:$E$492,MATCH(113,'Output Utente'!$R$2:$R$492,0)),"")</f>
        <v/>
      </c>
    </row>
    <row r="117" customFormat="false" ht="15" hidden="false" customHeight="true" outlineLevel="0" collapsed="false">
      <c r="A117" s="29" t="n">
        <v>114</v>
      </c>
      <c r="B117" s="26" t="str">
        <f aca="false">IFERROR(INDEX('Output Utente'!$A$2:$A$492,MATCH(114,'Output Utente'!$R$2:$R$492,0)),"")</f>
        <v/>
      </c>
      <c r="C117" s="26" t="str">
        <f aca="false">IFERROR(INDEX('Output Utente'!$B$2:$B$492,MATCH(114,'Output Utente'!$R$2:$R$492,0)),"")</f>
        <v/>
      </c>
      <c r="D117" s="26" t="str">
        <f aca="false">IFERROR(INDEX('Output Utente'!$C$2:$C$492,MATCH(114,'Output Utente'!$R$2:$R$492,0)),"")</f>
        <v/>
      </c>
      <c r="E117" s="26" t="str">
        <f aca="false">IFERROR(INDEX('Input Giocatori 2026_27'!$D$3:$D$493,MATCH($B117,'Input Giocatori 2026_27'!$A$3:$A$493,0)),"")</f>
        <v/>
      </c>
      <c r="F117" s="27" t="str">
        <f aca="false">IFERROR(INDEX('Output Utente'!$N$2:$N$492,MATCH(114,'Output Utente'!$R$2:$R$492,0)),"")</f>
        <v/>
      </c>
      <c r="G117" s="26" t="str">
        <f aca="false">IFERROR(INDEX('Output Utente'!$O$2:$O$492,MATCH(114,'Output Utente'!$R$2:$R$492,0)),"")</f>
        <v/>
      </c>
      <c r="H117" s="26" t="str">
        <f aca="false">IFERROR(INDEX('Output Utente'!$P$2:$P$492,MATCH(114,'Output Utente'!$R$2:$R$492,0)),"")</f>
        <v/>
      </c>
      <c r="I117" s="27" t="str">
        <f aca="false">IFERROR(INDEX('Output Utente'!$F$2:$F$492,MATCH(114,'Output Utente'!$R$2:$R$492,0)),"")</f>
        <v/>
      </c>
      <c r="J117" s="27" t="str">
        <f aca="false">IFERROR(INDEX('Output Utente'!$G$2:$G$492,MATCH(114,'Output Utente'!$R$2:$R$492,0)),"")</f>
        <v/>
      </c>
      <c r="K117" s="27" t="str">
        <f aca="false">IFERROR(INDEX('Output Utente'!$H$2:$H$492,MATCH(114,'Output Utente'!$R$2:$R$492,0)),"")</f>
        <v/>
      </c>
      <c r="L117" s="26" t="str">
        <f aca="false">IFERROR(INDEX('Output Utente'!$E$2:$E$492,MATCH(114,'Output Utente'!$R$2:$R$492,0)),"")</f>
        <v/>
      </c>
    </row>
    <row r="118" customFormat="false" ht="15" hidden="false" customHeight="true" outlineLevel="0" collapsed="false">
      <c r="A118" s="29" t="n">
        <v>115</v>
      </c>
      <c r="B118" s="26" t="str">
        <f aca="false">IFERROR(INDEX('Output Utente'!$A$2:$A$492,MATCH(115,'Output Utente'!$R$2:$R$492,0)),"")</f>
        <v/>
      </c>
      <c r="C118" s="26" t="str">
        <f aca="false">IFERROR(INDEX('Output Utente'!$B$2:$B$492,MATCH(115,'Output Utente'!$R$2:$R$492,0)),"")</f>
        <v/>
      </c>
      <c r="D118" s="26" t="str">
        <f aca="false">IFERROR(INDEX('Output Utente'!$C$2:$C$492,MATCH(115,'Output Utente'!$R$2:$R$492,0)),"")</f>
        <v/>
      </c>
      <c r="E118" s="26" t="str">
        <f aca="false">IFERROR(INDEX('Input Giocatori 2026_27'!$D$3:$D$493,MATCH($B118,'Input Giocatori 2026_27'!$A$3:$A$493,0)),"")</f>
        <v/>
      </c>
      <c r="F118" s="27" t="str">
        <f aca="false">IFERROR(INDEX('Output Utente'!$N$2:$N$492,MATCH(115,'Output Utente'!$R$2:$R$492,0)),"")</f>
        <v/>
      </c>
      <c r="G118" s="26" t="str">
        <f aca="false">IFERROR(INDEX('Output Utente'!$O$2:$O$492,MATCH(115,'Output Utente'!$R$2:$R$492,0)),"")</f>
        <v/>
      </c>
      <c r="H118" s="26" t="str">
        <f aca="false">IFERROR(INDEX('Output Utente'!$P$2:$P$492,MATCH(115,'Output Utente'!$R$2:$R$492,0)),"")</f>
        <v/>
      </c>
      <c r="I118" s="27" t="str">
        <f aca="false">IFERROR(INDEX('Output Utente'!$F$2:$F$492,MATCH(115,'Output Utente'!$R$2:$R$492,0)),"")</f>
        <v/>
      </c>
      <c r="J118" s="27" t="str">
        <f aca="false">IFERROR(INDEX('Output Utente'!$G$2:$G$492,MATCH(115,'Output Utente'!$R$2:$R$492,0)),"")</f>
        <v/>
      </c>
      <c r="K118" s="27" t="str">
        <f aca="false">IFERROR(INDEX('Output Utente'!$H$2:$H$492,MATCH(115,'Output Utente'!$R$2:$R$492,0)),"")</f>
        <v/>
      </c>
      <c r="L118" s="26" t="str">
        <f aca="false">IFERROR(INDEX('Output Utente'!$E$2:$E$492,MATCH(115,'Output Utente'!$R$2:$R$492,0)),"")</f>
        <v/>
      </c>
    </row>
    <row r="119" customFormat="false" ht="15" hidden="false" customHeight="true" outlineLevel="0" collapsed="false">
      <c r="A119" s="29" t="n">
        <v>116</v>
      </c>
      <c r="B119" s="26" t="str">
        <f aca="false">IFERROR(INDEX('Output Utente'!$A$2:$A$492,MATCH(116,'Output Utente'!$R$2:$R$492,0)),"")</f>
        <v/>
      </c>
      <c r="C119" s="26" t="str">
        <f aca="false">IFERROR(INDEX('Output Utente'!$B$2:$B$492,MATCH(116,'Output Utente'!$R$2:$R$492,0)),"")</f>
        <v/>
      </c>
      <c r="D119" s="26" t="str">
        <f aca="false">IFERROR(INDEX('Output Utente'!$C$2:$C$492,MATCH(116,'Output Utente'!$R$2:$R$492,0)),"")</f>
        <v/>
      </c>
      <c r="E119" s="26" t="str">
        <f aca="false">IFERROR(INDEX('Input Giocatori 2026_27'!$D$3:$D$493,MATCH($B119,'Input Giocatori 2026_27'!$A$3:$A$493,0)),"")</f>
        <v/>
      </c>
      <c r="F119" s="27" t="str">
        <f aca="false">IFERROR(INDEX('Output Utente'!$N$2:$N$492,MATCH(116,'Output Utente'!$R$2:$R$492,0)),"")</f>
        <v/>
      </c>
      <c r="G119" s="26" t="str">
        <f aca="false">IFERROR(INDEX('Output Utente'!$O$2:$O$492,MATCH(116,'Output Utente'!$R$2:$R$492,0)),"")</f>
        <v/>
      </c>
      <c r="H119" s="26" t="str">
        <f aca="false">IFERROR(INDEX('Output Utente'!$P$2:$P$492,MATCH(116,'Output Utente'!$R$2:$R$492,0)),"")</f>
        <v/>
      </c>
      <c r="I119" s="27" t="str">
        <f aca="false">IFERROR(INDEX('Output Utente'!$F$2:$F$492,MATCH(116,'Output Utente'!$R$2:$R$492,0)),"")</f>
        <v/>
      </c>
      <c r="J119" s="27" t="str">
        <f aca="false">IFERROR(INDEX('Output Utente'!$G$2:$G$492,MATCH(116,'Output Utente'!$R$2:$R$492,0)),"")</f>
        <v/>
      </c>
      <c r="K119" s="27" t="str">
        <f aca="false">IFERROR(INDEX('Output Utente'!$H$2:$H$492,MATCH(116,'Output Utente'!$R$2:$R$492,0)),"")</f>
        <v/>
      </c>
      <c r="L119" s="26" t="str">
        <f aca="false">IFERROR(INDEX('Output Utente'!$E$2:$E$492,MATCH(116,'Output Utente'!$R$2:$R$492,0)),"")</f>
        <v/>
      </c>
    </row>
    <row r="120" customFormat="false" ht="15" hidden="false" customHeight="true" outlineLevel="0" collapsed="false">
      <c r="A120" s="29" t="n">
        <v>117</v>
      </c>
      <c r="B120" s="26" t="str">
        <f aca="false">IFERROR(INDEX('Output Utente'!$A$2:$A$492,MATCH(117,'Output Utente'!$R$2:$R$492,0)),"")</f>
        <v/>
      </c>
      <c r="C120" s="26" t="str">
        <f aca="false">IFERROR(INDEX('Output Utente'!$B$2:$B$492,MATCH(117,'Output Utente'!$R$2:$R$492,0)),"")</f>
        <v/>
      </c>
      <c r="D120" s="26" t="str">
        <f aca="false">IFERROR(INDEX('Output Utente'!$C$2:$C$492,MATCH(117,'Output Utente'!$R$2:$R$492,0)),"")</f>
        <v/>
      </c>
      <c r="E120" s="26" t="str">
        <f aca="false">IFERROR(INDEX('Input Giocatori 2026_27'!$D$3:$D$493,MATCH($B120,'Input Giocatori 2026_27'!$A$3:$A$493,0)),"")</f>
        <v/>
      </c>
      <c r="F120" s="27" t="str">
        <f aca="false">IFERROR(INDEX('Output Utente'!$N$2:$N$492,MATCH(117,'Output Utente'!$R$2:$R$492,0)),"")</f>
        <v/>
      </c>
      <c r="G120" s="26" t="str">
        <f aca="false">IFERROR(INDEX('Output Utente'!$O$2:$O$492,MATCH(117,'Output Utente'!$R$2:$R$492,0)),"")</f>
        <v/>
      </c>
      <c r="H120" s="26" t="str">
        <f aca="false">IFERROR(INDEX('Output Utente'!$P$2:$P$492,MATCH(117,'Output Utente'!$R$2:$R$492,0)),"")</f>
        <v/>
      </c>
      <c r="I120" s="27" t="str">
        <f aca="false">IFERROR(INDEX('Output Utente'!$F$2:$F$492,MATCH(117,'Output Utente'!$R$2:$R$492,0)),"")</f>
        <v/>
      </c>
      <c r="J120" s="27" t="str">
        <f aca="false">IFERROR(INDEX('Output Utente'!$G$2:$G$492,MATCH(117,'Output Utente'!$R$2:$R$492,0)),"")</f>
        <v/>
      </c>
      <c r="K120" s="27" t="str">
        <f aca="false">IFERROR(INDEX('Output Utente'!$H$2:$H$492,MATCH(117,'Output Utente'!$R$2:$R$492,0)),"")</f>
        <v/>
      </c>
      <c r="L120" s="26" t="str">
        <f aca="false">IFERROR(INDEX('Output Utente'!$E$2:$E$492,MATCH(117,'Output Utente'!$R$2:$R$492,0)),"")</f>
        <v/>
      </c>
    </row>
    <row r="121" customFormat="false" ht="15" hidden="false" customHeight="true" outlineLevel="0" collapsed="false">
      <c r="A121" s="29" t="n">
        <v>118</v>
      </c>
      <c r="B121" s="26" t="str">
        <f aca="false">IFERROR(INDEX('Output Utente'!$A$2:$A$492,MATCH(118,'Output Utente'!$R$2:$R$492,0)),"")</f>
        <v/>
      </c>
      <c r="C121" s="26" t="str">
        <f aca="false">IFERROR(INDEX('Output Utente'!$B$2:$B$492,MATCH(118,'Output Utente'!$R$2:$R$492,0)),"")</f>
        <v/>
      </c>
      <c r="D121" s="26" t="str">
        <f aca="false">IFERROR(INDEX('Output Utente'!$C$2:$C$492,MATCH(118,'Output Utente'!$R$2:$R$492,0)),"")</f>
        <v/>
      </c>
      <c r="E121" s="26" t="str">
        <f aca="false">IFERROR(INDEX('Input Giocatori 2026_27'!$D$3:$D$493,MATCH($B121,'Input Giocatori 2026_27'!$A$3:$A$493,0)),"")</f>
        <v/>
      </c>
      <c r="F121" s="27" t="str">
        <f aca="false">IFERROR(INDEX('Output Utente'!$N$2:$N$492,MATCH(118,'Output Utente'!$R$2:$R$492,0)),"")</f>
        <v/>
      </c>
      <c r="G121" s="26" t="str">
        <f aca="false">IFERROR(INDEX('Output Utente'!$O$2:$O$492,MATCH(118,'Output Utente'!$R$2:$R$492,0)),"")</f>
        <v/>
      </c>
      <c r="H121" s="26" t="str">
        <f aca="false">IFERROR(INDEX('Output Utente'!$P$2:$P$492,MATCH(118,'Output Utente'!$R$2:$R$492,0)),"")</f>
        <v/>
      </c>
      <c r="I121" s="27" t="str">
        <f aca="false">IFERROR(INDEX('Output Utente'!$F$2:$F$492,MATCH(118,'Output Utente'!$R$2:$R$492,0)),"")</f>
        <v/>
      </c>
      <c r="J121" s="27" t="str">
        <f aca="false">IFERROR(INDEX('Output Utente'!$G$2:$G$492,MATCH(118,'Output Utente'!$R$2:$R$492,0)),"")</f>
        <v/>
      </c>
      <c r="K121" s="27" t="str">
        <f aca="false">IFERROR(INDEX('Output Utente'!$H$2:$H$492,MATCH(118,'Output Utente'!$R$2:$R$492,0)),"")</f>
        <v/>
      </c>
      <c r="L121" s="26" t="str">
        <f aca="false">IFERROR(INDEX('Output Utente'!$E$2:$E$492,MATCH(118,'Output Utente'!$R$2:$R$492,0)),"")</f>
        <v/>
      </c>
    </row>
    <row r="122" customFormat="false" ht="15" hidden="false" customHeight="true" outlineLevel="0" collapsed="false">
      <c r="A122" s="29" t="n">
        <v>119</v>
      </c>
      <c r="B122" s="26" t="str">
        <f aca="false">IFERROR(INDEX('Output Utente'!$A$2:$A$492,MATCH(119,'Output Utente'!$R$2:$R$492,0)),"")</f>
        <v/>
      </c>
      <c r="C122" s="26" t="str">
        <f aca="false">IFERROR(INDEX('Output Utente'!$B$2:$B$492,MATCH(119,'Output Utente'!$R$2:$R$492,0)),"")</f>
        <v/>
      </c>
      <c r="D122" s="26" t="str">
        <f aca="false">IFERROR(INDEX('Output Utente'!$C$2:$C$492,MATCH(119,'Output Utente'!$R$2:$R$492,0)),"")</f>
        <v/>
      </c>
      <c r="E122" s="26" t="str">
        <f aca="false">IFERROR(INDEX('Input Giocatori 2026_27'!$D$3:$D$493,MATCH($B122,'Input Giocatori 2026_27'!$A$3:$A$493,0)),"")</f>
        <v/>
      </c>
      <c r="F122" s="27" t="str">
        <f aca="false">IFERROR(INDEX('Output Utente'!$N$2:$N$492,MATCH(119,'Output Utente'!$R$2:$R$492,0)),"")</f>
        <v/>
      </c>
      <c r="G122" s="26" t="str">
        <f aca="false">IFERROR(INDEX('Output Utente'!$O$2:$O$492,MATCH(119,'Output Utente'!$R$2:$R$492,0)),"")</f>
        <v/>
      </c>
      <c r="H122" s="26" t="str">
        <f aca="false">IFERROR(INDEX('Output Utente'!$P$2:$P$492,MATCH(119,'Output Utente'!$R$2:$R$492,0)),"")</f>
        <v/>
      </c>
      <c r="I122" s="27" t="str">
        <f aca="false">IFERROR(INDEX('Output Utente'!$F$2:$F$492,MATCH(119,'Output Utente'!$R$2:$R$492,0)),"")</f>
        <v/>
      </c>
      <c r="J122" s="27" t="str">
        <f aca="false">IFERROR(INDEX('Output Utente'!$G$2:$G$492,MATCH(119,'Output Utente'!$R$2:$R$492,0)),"")</f>
        <v/>
      </c>
      <c r="K122" s="27" t="str">
        <f aca="false">IFERROR(INDEX('Output Utente'!$H$2:$H$492,MATCH(119,'Output Utente'!$R$2:$R$492,0)),"")</f>
        <v/>
      </c>
      <c r="L122" s="26" t="str">
        <f aca="false">IFERROR(INDEX('Output Utente'!$E$2:$E$492,MATCH(119,'Output Utente'!$R$2:$R$492,0)),"")</f>
        <v/>
      </c>
    </row>
    <row r="123" customFormat="false" ht="15" hidden="false" customHeight="true" outlineLevel="0" collapsed="false">
      <c r="A123" s="29" t="n">
        <v>120</v>
      </c>
      <c r="B123" s="26" t="str">
        <f aca="false">IFERROR(INDEX('Output Utente'!$A$2:$A$492,MATCH(120,'Output Utente'!$R$2:$R$492,0)),"")</f>
        <v/>
      </c>
      <c r="C123" s="26" t="str">
        <f aca="false">IFERROR(INDEX('Output Utente'!$B$2:$B$492,MATCH(120,'Output Utente'!$R$2:$R$492,0)),"")</f>
        <v/>
      </c>
      <c r="D123" s="26" t="str">
        <f aca="false">IFERROR(INDEX('Output Utente'!$C$2:$C$492,MATCH(120,'Output Utente'!$R$2:$R$492,0)),"")</f>
        <v/>
      </c>
      <c r="E123" s="26" t="str">
        <f aca="false">IFERROR(INDEX('Input Giocatori 2026_27'!$D$3:$D$493,MATCH($B123,'Input Giocatori 2026_27'!$A$3:$A$493,0)),"")</f>
        <v/>
      </c>
      <c r="F123" s="27" t="str">
        <f aca="false">IFERROR(INDEX('Output Utente'!$N$2:$N$492,MATCH(120,'Output Utente'!$R$2:$R$492,0)),"")</f>
        <v/>
      </c>
      <c r="G123" s="26" t="str">
        <f aca="false">IFERROR(INDEX('Output Utente'!$O$2:$O$492,MATCH(120,'Output Utente'!$R$2:$R$492,0)),"")</f>
        <v/>
      </c>
      <c r="H123" s="26" t="str">
        <f aca="false">IFERROR(INDEX('Output Utente'!$P$2:$P$492,MATCH(120,'Output Utente'!$R$2:$R$492,0)),"")</f>
        <v/>
      </c>
      <c r="I123" s="27" t="str">
        <f aca="false">IFERROR(INDEX('Output Utente'!$F$2:$F$492,MATCH(120,'Output Utente'!$R$2:$R$492,0)),"")</f>
        <v/>
      </c>
      <c r="J123" s="27" t="str">
        <f aca="false">IFERROR(INDEX('Output Utente'!$G$2:$G$492,MATCH(120,'Output Utente'!$R$2:$R$492,0)),"")</f>
        <v/>
      </c>
      <c r="K123" s="27" t="str">
        <f aca="false">IFERROR(INDEX('Output Utente'!$H$2:$H$492,MATCH(120,'Output Utente'!$R$2:$R$492,0)),"")</f>
        <v/>
      </c>
      <c r="L123" s="26" t="str">
        <f aca="false">IFERROR(INDEX('Output Utente'!$E$2:$E$492,MATCH(120,'Output Utente'!$R$2:$R$492,0)),"")</f>
        <v/>
      </c>
    </row>
    <row r="124" customFormat="false" ht="15" hidden="false" customHeight="true" outlineLevel="0" collapsed="false">
      <c r="A124" s="29" t="n">
        <v>121</v>
      </c>
      <c r="B124" s="26" t="str">
        <f aca="false">IFERROR(INDEX('Output Utente'!$A$2:$A$492,MATCH(121,'Output Utente'!$R$2:$R$492,0)),"")</f>
        <v/>
      </c>
      <c r="C124" s="26" t="str">
        <f aca="false">IFERROR(INDEX('Output Utente'!$B$2:$B$492,MATCH(121,'Output Utente'!$R$2:$R$492,0)),"")</f>
        <v/>
      </c>
      <c r="D124" s="26" t="str">
        <f aca="false">IFERROR(INDEX('Output Utente'!$C$2:$C$492,MATCH(121,'Output Utente'!$R$2:$R$492,0)),"")</f>
        <v/>
      </c>
      <c r="E124" s="26" t="str">
        <f aca="false">IFERROR(INDEX('Input Giocatori 2026_27'!$D$3:$D$493,MATCH($B124,'Input Giocatori 2026_27'!$A$3:$A$493,0)),"")</f>
        <v/>
      </c>
      <c r="F124" s="27" t="str">
        <f aca="false">IFERROR(INDEX('Output Utente'!$N$2:$N$492,MATCH(121,'Output Utente'!$R$2:$R$492,0)),"")</f>
        <v/>
      </c>
      <c r="G124" s="26" t="str">
        <f aca="false">IFERROR(INDEX('Output Utente'!$O$2:$O$492,MATCH(121,'Output Utente'!$R$2:$R$492,0)),"")</f>
        <v/>
      </c>
      <c r="H124" s="26" t="str">
        <f aca="false">IFERROR(INDEX('Output Utente'!$P$2:$P$492,MATCH(121,'Output Utente'!$R$2:$R$492,0)),"")</f>
        <v/>
      </c>
      <c r="I124" s="27" t="str">
        <f aca="false">IFERROR(INDEX('Output Utente'!$F$2:$F$492,MATCH(121,'Output Utente'!$R$2:$R$492,0)),"")</f>
        <v/>
      </c>
      <c r="J124" s="27" t="str">
        <f aca="false">IFERROR(INDEX('Output Utente'!$G$2:$G$492,MATCH(121,'Output Utente'!$R$2:$R$492,0)),"")</f>
        <v/>
      </c>
      <c r="K124" s="27" t="str">
        <f aca="false">IFERROR(INDEX('Output Utente'!$H$2:$H$492,MATCH(121,'Output Utente'!$R$2:$R$492,0)),"")</f>
        <v/>
      </c>
      <c r="L124" s="26" t="str">
        <f aca="false">IFERROR(INDEX('Output Utente'!$E$2:$E$492,MATCH(121,'Output Utente'!$R$2:$R$492,0)),"")</f>
        <v/>
      </c>
    </row>
    <row r="125" customFormat="false" ht="15" hidden="false" customHeight="true" outlineLevel="0" collapsed="false">
      <c r="A125" s="29" t="n">
        <v>122</v>
      </c>
      <c r="B125" s="26" t="str">
        <f aca="false">IFERROR(INDEX('Output Utente'!$A$2:$A$492,MATCH(122,'Output Utente'!$R$2:$R$492,0)),"")</f>
        <v/>
      </c>
      <c r="C125" s="26" t="str">
        <f aca="false">IFERROR(INDEX('Output Utente'!$B$2:$B$492,MATCH(122,'Output Utente'!$R$2:$R$492,0)),"")</f>
        <v/>
      </c>
      <c r="D125" s="26" t="str">
        <f aca="false">IFERROR(INDEX('Output Utente'!$C$2:$C$492,MATCH(122,'Output Utente'!$R$2:$R$492,0)),"")</f>
        <v/>
      </c>
      <c r="E125" s="26" t="str">
        <f aca="false">IFERROR(INDEX('Input Giocatori 2026_27'!$D$3:$D$493,MATCH($B125,'Input Giocatori 2026_27'!$A$3:$A$493,0)),"")</f>
        <v/>
      </c>
      <c r="F125" s="27" t="str">
        <f aca="false">IFERROR(INDEX('Output Utente'!$N$2:$N$492,MATCH(122,'Output Utente'!$R$2:$R$492,0)),"")</f>
        <v/>
      </c>
      <c r="G125" s="26" t="str">
        <f aca="false">IFERROR(INDEX('Output Utente'!$O$2:$O$492,MATCH(122,'Output Utente'!$R$2:$R$492,0)),"")</f>
        <v/>
      </c>
      <c r="H125" s="26" t="str">
        <f aca="false">IFERROR(INDEX('Output Utente'!$P$2:$P$492,MATCH(122,'Output Utente'!$R$2:$R$492,0)),"")</f>
        <v/>
      </c>
      <c r="I125" s="27" t="str">
        <f aca="false">IFERROR(INDEX('Output Utente'!$F$2:$F$492,MATCH(122,'Output Utente'!$R$2:$R$492,0)),"")</f>
        <v/>
      </c>
      <c r="J125" s="27" t="str">
        <f aca="false">IFERROR(INDEX('Output Utente'!$G$2:$G$492,MATCH(122,'Output Utente'!$R$2:$R$492,0)),"")</f>
        <v/>
      </c>
      <c r="K125" s="27" t="str">
        <f aca="false">IFERROR(INDEX('Output Utente'!$H$2:$H$492,MATCH(122,'Output Utente'!$R$2:$R$492,0)),"")</f>
        <v/>
      </c>
      <c r="L125" s="26" t="str">
        <f aca="false">IFERROR(INDEX('Output Utente'!$E$2:$E$492,MATCH(122,'Output Utente'!$R$2:$R$492,0)),"")</f>
        <v/>
      </c>
    </row>
    <row r="126" customFormat="false" ht="15" hidden="false" customHeight="true" outlineLevel="0" collapsed="false">
      <c r="A126" s="29" t="n">
        <v>123</v>
      </c>
      <c r="B126" s="26" t="str">
        <f aca="false">IFERROR(INDEX('Output Utente'!$A$2:$A$492,MATCH(123,'Output Utente'!$R$2:$R$492,0)),"")</f>
        <v/>
      </c>
      <c r="C126" s="26" t="str">
        <f aca="false">IFERROR(INDEX('Output Utente'!$B$2:$B$492,MATCH(123,'Output Utente'!$R$2:$R$492,0)),"")</f>
        <v/>
      </c>
      <c r="D126" s="26" t="str">
        <f aca="false">IFERROR(INDEX('Output Utente'!$C$2:$C$492,MATCH(123,'Output Utente'!$R$2:$R$492,0)),"")</f>
        <v/>
      </c>
      <c r="E126" s="26" t="str">
        <f aca="false">IFERROR(INDEX('Input Giocatori 2026_27'!$D$3:$D$493,MATCH($B126,'Input Giocatori 2026_27'!$A$3:$A$493,0)),"")</f>
        <v/>
      </c>
      <c r="F126" s="27" t="str">
        <f aca="false">IFERROR(INDEX('Output Utente'!$N$2:$N$492,MATCH(123,'Output Utente'!$R$2:$R$492,0)),"")</f>
        <v/>
      </c>
      <c r="G126" s="26" t="str">
        <f aca="false">IFERROR(INDEX('Output Utente'!$O$2:$O$492,MATCH(123,'Output Utente'!$R$2:$R$492,0)),"")</f>
        <v/>
      </c>
      <c r="H126" s="26" t="str">
        <f aca="false">IFERROR(INDEX('Output Utente'!$P$2:$P$492,MATCH(123,'Output Utente'!$R$2:$R$492,0)),"")</f>
        <v/>
      </c>
      <c r="I126" s="27" t="str">
        <f aca="false">IFERROR(INDEX('Output Utente'!$F$2:$F$492,MATCH(123,'Output Utente'!$R$2:$R$492,0)),"")</f>
        <v/>
      </c>
      <c r="J126" s="27" t="str">
        <f aca="false">IFERROR(INDEX('Output Utente'!$G$2:$G$492,MATCH(123,'Output Utente'!$R$2:$R$492,0)),"")</f>
        <v/>
      </c>
      <c r="K126" s="27" t="str">
        <f aca="false">IFERROR(INDEX('Output Utente'!$H$2:$H$492,MATCH(123,'Output Utente'!$R$2:$R$492,0)),"")</f>
        <v/>
      </c>
      <c r="L126" s="26" t="str">
        <f aca="false">IFERROR(INDEX('Output Utente'!$E$2:$E$492,MATCH(123,'Output Utente'!$R$2:$R$492,0)),"")</f>
        <v/>
      </c>
    </row>
    <row r="127" customFormat="false" ht="15" hidden="false" customHeight="true" outlineLevel="0" collapsed="false">
      <c r="A127" s="29" t="n">
        <v>124</v>
      </c>
      <c r="B127" s="26" t="str">
        <f aca="false">IFERROR(INDEX('Output Utente'!$A$2:$A$492,MATCH(124,'Output Utente'!$R$2:$R$492,0)),"")</f>
        <v/>
      </c>
      <c r="C127" s="26" t="str">
        <f aca="false">IFERROR(INDEX('Output Utente'!$B$2:$B$492,MATCH(124,'Output Utente'!$R$2:$R$492,0)),"")</f>
        <v/>
      </c>
      <c r="D127" s="26" t="str">
        <f aca="false">IFERROR(INDEX('Output Utente'!$C$2:$C$492,MATCH(124,'Output Utente'!$R$2:$R$492,0)),"")</f>
        <v/>
      </c>
      <c r="E127" s="26" t="str">
        <f aca="false">IFERROR(INDEX('Input Giocatori 2026_27'!$D$3:$D$493,MATCH($B127,'Input Giocatori 2026_27'!$A$3:$A$493,0)),"")</f>
        <v/>
      </c>
      <c r="F127" s="27" t="str">
        <f aca="false">IFERROR(INDEX('Output Utente'!$N$2:$N$492,MATCH(124,'Output Utente'!$R$2:$R$492,0)),"")</f>
        <v/>
      </c>
      <c r="G127" s="26" t="str">
        <f aca="false">IFERROR(INDEX('Output Utente'!$O$2:$O$492,MATCH(124,'Output Utente'!$R$2:$R$492,0)),"")</f>
        <v/>
      </c>
      <c r="H127" s="26" t="str">
        <f aca="false">IFERROR(INDEX('Output Utente'!$P$2:$P$492,MATCH(124,'Output Utente'!$R$2:$R$492,0)),"")</f>
        <v/>
      </c>
      <c r="I127" s="27" t="str">
        <f aca="false">IFERROR(INDEX('Output Utente'!$F$2:$F$492,MATCH(124,'Output Utente'!$R$2:$R$492,0)),"")</f>
        <v/>
      </c>
      <c r="J127" s="27" t="str">
        <f aca="false">IFERROR(INDEX('Output Utente'!$G$2:$G$492,MATCH(124,'Output Utente'!$R$2:$R$492,0)),"")</f>
        <v/>
      </c>
      <c r="K127" s="27" t="str">
        <f aca="false">IFERROR(INDEX('Output Utente'!$H$2:$H$492,MATCH(124,'Output Utente'!$R$2:$R$492,0)),"")</f>
        <v/>
      </c>
      <c r="L127" s="26" t="str">
        <f aca="false">IFERROR(INDEX('Output Utente'!$E$2:$E$492,MATCH(124,'Output Utente'!$R$2:$R$492,0)),"")</f>
        <v/>
      </c>
    </row>
    <row r="128" customFormat="false" ht="15" hidden="false" customHeight="true" outlineLevel="0" collapsed="false">
      <c r="A128" s="29" t="n">
        <v>125</v>
      </c>
      <c r="B128" s="26" t="str">
        <f aca="false">IFERROR(INDEX('Output Utente'!$A$2:$A$492,MATCH(125,'Output Utente'!$R$2:$R$492,0)),"")</f>
        <v/>
      </c>
      <c r="C128" s="26" t="str">
        <f aca="false">IFERROR(INDEX('Output Utente'!$B$2:$B$492,MATCH(125,'Output Utente'!$R$2:$R$492,0)),"")</f>
        <v/>
      </c>
      <c r="D128" s="26" t="str">
        <f aca="false">IFERROR(INDEX('Output Utente'!$C$2:$C$492,MATCH(125,'Output Utente'!$R$2:$R$492,0)),"")</f>
        <v/>
      </c>
      <c r="E128" s="26" t="str">
        <f aca="false">IFERROR(INDEX('Input Giocatori 2026_27'!$D$3:$D$493,MATCH($B128,'Input Giocatori 2026_27'!$A$3:$A$493,0)),"")</f>
        <v/>
      </c>
      <c r="F128" s="27" t="str">
        <f aca="false">IFERROR(INDEX('Output Utente'!$N$2:$N$492,MATCH(125,'Output Utente'!$R$2:$R$492,0)),"")</f>
        <v/>
      </c>
      <c r="G128" s="26" t="str">
        <f aca="false">IFERROR(INDEX('Output Utente'!$O$2:$O$492,MATCH(125,'Output Utente'!$R$2:$R$492,0)),"")</f>
        <v/>
      </c>
      <c r="H128" s="26" t="str">
        <f aca="false">IFERROR(INDEX('Output Utente'!$P$2:$P$492,MATCH(125,'Output Utente'!$R$2:$R$492,0)),"")</f>
        <v/>
      </c>
      <c r="I128" s="27" t="str">
        <f aca="false">IFERROR(INDEX('Output Utente'!$F$2:$F$492,MATCH(125,'Output Utente'!$R$2:$R$492,0)),"")</f>
        <v/>
      </c>
      <c r="J128" s="27" t="str">
        <f aca="false">IFERROR(INDEX('Output Utente'!$G$2:$G$492,MATCH(125,'Output Utente'!$R$2:$R$492,0)),"")</f>
        <v/>
      </c>
      <c r="K128" s="27" t="str">
        <f aca="false">IFERROR(INDEX('Output Utente'!$H$2:$H$492,MATCH(125,'Output Utente'!$R$2:$R$492,0)),"")</f>
        <v/>
      </c>
      <c r="L128" s="26" t="str">
        <f aca="false">IFERROR(INDEX('Output Utente'!$E$2:$E$492,MATCH(125,'Output Utente'!$R$2:$R$492,0)),"")</f>
        <v/>
      </c>
    </row>
    <row r="129" customFormat="false" ht="15" hidden="false" customHeight="true" outlineLevel="0" collapsed="false">
      <c r="A129" s="29" t="n">
        <v>126</v>
      </c>
      <c r="B129" s="26" t="str">
        <f aca="false">IFERROR(INDEX('Output Utente'!$A$2:$A$492,MATCH(126,'Output Utente'!$R$2:$R$492,0)),"")</f>
        <v/>
      </c>
      <c r="C129" s="26" t="str">
        <f aca="false">IFERROR(INDEX('Output Utente'!$B$2:$B$492,MATCH(126,'Output Utente'!$R$2:$R$492,0)),"")</f>
        <v/>
      </c>
      <c r="D129" s="26" t="str">
        <f aca="false">IFERROR(INDEX('Output Utente'!$C$2:$C$492,MATCH(126,'Output Utente'!$R$2:$R$492,0)),"")</f>
        <v/>
      </c>
      <c r="E129" s="26" t="str">
        <f aca="false">IFERROR(INDEX('Input Giocatori 2026_27'!$D$3:$D$493,MATCH($B129,'Input Giocatori 2026_27'!$A$3:$A$493,0)),"")</f>
        <v/>
      </c>
      <c r="F129" s="27" t="str">
        <f aca="false">IFERROR(INDEX('Output Utente'!$N$2:$N$492,MATCH(126,'Output Utente'!$R$2:$R$492,0)),"")</f>
        <v/>
      </c>
      <c r="G129" s="26" t="str">
        <f aca="false">IFERROR(INDEX('Output Utente'!$O$2:$O$492,MATCH(126,'Output Utente'!$R$2:$R$492,0)),"")</f>
        <v/>
      </c>
      <c r="H129" s="26" t="str">
        <f aca="false">IFERROR(INDEX('Output Utente'!$P$2:$P$492,MATCH(126,'Output Utente'!$R$2:$R$492,0)),"")</f>
        <v/>
      </c>
      <c r="I129" s="27" t="str">
        <f aca="false">IFERROR(INDEX('Output Utente'!$F$2:$F$492,MATCH(126,'Output Utente'!$R$2:$R$492,0)),"")</f>
        <v/>
      </c>
      <c r="J129" s="27" t="str">
        <f aca="false">IFERROR(INDEX('Output Utente'!$G$2:$G$492,MATCH(126,'Output Utente'!$R$2:$R$492,0)),"")</f>
        <v/>
      </c>
      <c r="K129" s="27" t="str">
        <f aca="false">IFERROR(INDEX('Output Utente'!$H$2:$H$492,MATCH(126,'Output Utente'!$R$2:$R$492,0)),"")</f>
        <v/>
      </c>
      <c r="L129" s="26" t="str">
        <f aca="false">IFERROR(INDEX('Output Utente'!$E$2:$E$492,MATCH(126,'Output Utente'!$R$2:$R$492,0)),"")</f>
        <v/>
      </c>
    </row>
    <row r="130" customFormat="false" ht="15" hidden="false" customHeight="true" outlineLevel="0" collapsed="false">
      <c r="A130" s="29" t="n">
        <v>127</v>
      </c>
      <c r="B130" s="26" t="str">
        <f aca="false">IFERROR(INDEX('Output Utente'!$A$2:$A$492,MATCH(127,'Output Utente'!$R$2:$R$492,0)),"")</f>
        <v/>
      </c>
      <c r="C130" s="26" t="str">
        <f aca="false">IFERROR(INDEX('Output Utente'!$B$2:$B$492,MATCH(127,'Output Utente'!$R$2:$R$492,0)),"")</f>
        <v/>
      </c>
      <c r="D130" s="26" t="str">
        <f aca="false">IFERROR(INDEX('Output Utente'!$C$2:$C$492,MATCH(127,'Output Utente'!$R$2:$R$492,0)),"")</f>
        <v/>
      </c>
      <c r="E130" s="26" t="str">
        <f aca="false">IFERROR(INDEX('Input Giocatori 2026_27'!$D$3:$D$493,MATCH($B130,'Input Giocatori 2026_27'!$A$3:$A$493,0)),"")</f>
        <v/>
      </c>
      <c r="F130" s="27" t="str">
        <f aca="false">IFERROR(INDEX('Output Utente'!$N$2:$N$492,MATCH(127,'Output Utente'!$R$2:$R$492,0)),"")</f>
        <v/>
      </c>
      <c r="G130" s="26" t="str">
        <f aca="false">IFERROR(INDEX('Output Utente'!$O$2:$O$492,MATCH(127,'Output Utente'!$R$2:$R$492,0)),"")</f>
        <v/>
      </c>
      <c r="H130" s="26" t="str">
        <f aca="false">IFERROR(INDEX('Output Utente'!$P$2:$P$492,MATCH(127,'Output Utente'!$R$2:$R$492,0)),"")</f>
        <v/>
      </c>
      <c r="I130" s="27" t="str">
        <f aca="false">IFERROR(INDEX('Output Utente'!$F$2:$F$492,MATCH(127,'Output Utente'!$R$2:$R$492,0)),"")</f>
        <v/>
      </c>
      <c r="J130" s="27" t="str">
        <f aca="false">IFERROR(INDEX('Output Utente'!$G$2:$G$492,MATCH(127,'Output Utente'!$R$2:$R$492,0)),"")</f>
        <v/>
      </c>
      <c r="K130" s="27" t="str">
        <f aca="false">IFERROR(INDEX('Output Utente'!$H$2:$H$492,MATCH(127,'Output Utente'!$R$2:$R$492,0)),"")</f>
        <v/>
      </c>
      <c r="L130" s="26" t="str">
        <f aca="false">IFERROR(INDEX('Output Utente'!$E$2:$E$492,MATCH(127,'Output Utente'!$R$2:$R$492,0)),"")</f>
        <v/>
      </c>
    </row>
    <row r="131" customFormat="false" ht="15" hidden="false" customHeight="true" outlineLevel="0" collapsed="false">
      <c r="A131" s="29" t="n">
        <v>128</v>
      </c>
      <c r="B131" s="26" t="str">
        <f aca="false">IFERROR(INDEX('Output Utente'!$A$2:$A$492,MATCH(128,'Output Utente'!$R$2:$R$492,0)),"")</f>
        <v/>
      </c>
      <c r="C131" s="26" t="str">
        <f aca="false">IFERROR(INDEX('Output Utente'!$B$2:$B$492,MATCH(128,'Output Utente'!$R$2:$R$492,0)),"")</f>
        <v/>
      </c>
      <c r="D131" s="26" t="str">
        <f aca="false">IFERROR(INDEX('Output Utente'!$C$2:$C$492,MATCH(128,'Output Utente'!$R$2:$R$492,0)),"")</f>
        <v/>
      </c>
      <c r="E131" s="26" t="str">
        <f aca="false">IFERROR(INDEX('Input Giocatori 2026_27'!$D$3:$D$493,MATCH($B131,'Input Giocatori 2026_27'!$A$3:$A$493,0)),"")</f>
        <v/>
      </c>
      <c r="F131" s="27" t="str">
        <f aca="false">IFERROR(INDEX('Output Utente'!$N$2:$N$492,MATCH(128,'Output Utente'!$R$2:$R$492,0)),"")</f>
        <v/>
      </c>
      <c r="G131" s="26" t="str">
        <f aca="false">IFERROR(INDEX('Output Utente'!$O$2:$O$492,MATCH(128,'Output Utente'!$R$2:$R$492,0)),"")</f>
        <v/>
      </c>
      <c r="H131" s="26" t="str">
        <f aca="false">IFERROR(INDEX('Output Utente'!$P$2:$P$492,MATCH(128,'Output Utente'!$R$2:$R$492,0)),"")</f>
        <v/>
      </c>
      <c r="I131" s="27" t="str">
        <f aca="false">IFERROR(INDEX('Output Utente'!$F$2:$F$492,MATCH(128,'Output Utente'!$R$2:$R$492,0)),"")</f>
        <v/>
      </c>
      <c r="J131" s="27" t="str">
        <f aca="false">IFERROR(INDEX('Output Utente'!$G$2:$G$492,MATCH(128,'Output Utente'!$R$2:$R$492,0)),"")</f>
        <v/>
      </c>
      <c r="K131" s="27" t="str">
        <f aca="false">IFERROR(INDEX('Output Utente'!$H$2:$H$492,MATCH(128,'Output Utente'!$R$2:$R$492,0)),"")</f>
        <v/>
      </c>
      <c r="L131" s="26" t="str">
        <f aca="false">IFERROR(INDEX('Output Utente'!$E$2:$E$492,MATCH(128,'Output Utente'!$R$2:$R$492,0)),"")</f>
        <v/>
      </c>
    </row>
    <row r="132" customFormat="false" ht="15" hidden="false" customHeight="true" outlineLevel="0" collapsed="false">
      <c r="A132" s="29" t="n">
        <v>129</v>
      </c>
      <c r="B132" s="26" t="str">
        <f aca="false">IFERROR(INDEX('Output Utente'!$A$2:$A$492,MATCH(129,'Output Utente'!$R$2:$R$492,0)),"")</f>
        <v/>
      </c>
      <c r="C132" s="26" t="str">
        <f aca="false">IFERROR(INDEX('Output Utente'!$B$2:$B$492,MATCH(129,'Output Utente'!$R$2:$R$492,0)),"")</f>
        <v/>
      </c>
      <c r="D132" s="26" t="str">
        <f aca="false">IFERROR(INDEX('Output Utente'!$C$2:$C$492,MATCH(129,'Output Utente'!$R$2:$R$492,0)),"")</f>
        <v/>
      </c>
      <c r="E132" s="26" t="str">
        <f aca="false">IFERROR(INDEX('Input Giocatori 2026_27'!$D$3:$D$493,MATCH($B132,'Input Giocatori 2026_27'!$A$3:$A$493,0)),"")</f>
        <v/>
      </c>
      <c r="F132" s="27" t="str">
        <f aca="false">IFERROR(INDEX('Output Utente'!$N$2:$N$492,MATCH(129,'Output Utente'!$R$2:$R$492,0)),"")</f>
        <v/>
      </c>
      <c r="G132" s="26" t="str">
        <f aca="false">IFERROR(INDEX('Output Utente'!$O$2:$O$492,MATCH(129,'Output Utente'!$R$2:$R$492,0)),"")</f>
        <v/>
      </c>
      <c r="H132" s="26" t="str">
        <f aca="false">IFERROR(INDEX('Output Utente'!$P$2:$P$492,MATCH(129,'Output Utente'!$R$2:$R$492,0)),"")</f>
        <v/>
      </c>
      <c r="I132" s="27" t="str">
        <f aca="false">IFERROR(INDEX('Output Utente'!$F$2:$F$492,MATCH(129,'Output Utente'!$R$2:$R$492,0)),"")</f>
        <v/>
      </c>
      <c r="J132" s="27" t="str">
        <f aca="false">IFERROR(INDEX('Output Utente'!$G$2:$G$492,MATCH(129,'Output Utente'!$R$2:$R$492,0)),"")</f>
        <v/>
      </c>
      <c r="K132" s="27" t="str">
        <f aca="false">IFERROR(INDEX('Output Utente'!$H$2:$H$492,MATCH(129,'Output Utente'!$R$2:$R$492,0)),"")</f>
        <v/>
      </c>
      <c r="L132" s="26" t="str">
        <f aca="false">IFERROR(INDEX('Output Utente'!$E$2:$E$492,MATCH(129,'Output Utente'!$R$2:$R$492,0)),"")</f>
        <v/>
      </c>
    </row>
    <row r="133" customFormat="false" ht="15" hidden="false" customHeight="true" outlineLevel="0" collapsed="false">
      <c r="A133" s="29" t="n">
        <v>130</v>
      </c>
      <c r="B133" s="26" t="str">
        <f aca="false">IFERROR(INDEX('Output Utente'!$A$2:$A$492,MATCH(130,'Output Utente'!$R$2:$R$492,0)),"")</f>
        <v/>
      </c>
      <c r="C133" s="26" t="str">
        <f aca="false">IFERROR(INDEX('Output Utente'!$B$2:$B$492,MATCH(130,'Output Utente'!$R$2:$R$492,0)),"")</f>
        <v/>
      </c>
      <c r="D133" s="26" t="str">
        <f aca="false">IFERROR(INDEX('Output Utente'!$C$2:$C$492,MATCH(130,'Output Utente'!$R$2:$R$492,0)),"")</f>
        <v/>
      </c>
      <c r="E133" s="26" t="str">
        <f aca="false">IFERROR(INDEX('Input Giocatori 2026_27'!$D$3:$D$493,MATCH($B133,'Input Giocatori 2026_27'!$A$3:$A$493,0)),"")</f>
        <v/>
      </c>
      <c r="F133" s="27" t="str">
        <f aca="false">IFERROR(INDEX('Output Utente'!$N$2:$N$492,MATCH(130,'Output Utente'!$R$2:$R$492,0)),"")</f>
        <v/>
      </c>
      <c r="G133" s="26" t="str">
        <f aca="false">IFERROR(INDEX('Output Utente'!$O$2:$O$492,MATCH(130,'Output Utente'!$R$2:$R$492,0)),"")</f>
        <v/>
      </c>
      <c r="H133" s="26" t="str">
        <f aca="false">IFERROR(INDEX('Output Utente'!$P$2:$P$492,MATCH(130,'Output Utente'!$R$2:$R$492,0)),"")</f>
        <v/>
      </c>
      <c r="I133" s="27" t="str">
        <f aca="false">IFERROR(INDEX('Output Utente'!$F$2:$F$492,MATCH(130,'Output Utente'!$R$2:$R$492,0)),"")</f>
        <v/>
      </c>
      <c r="J133" s="27" t="str">
        <f aca="false">IFERROR(INDEX('Output Utente'!$G$2:$G$492,MATCH(130,'Output Utente'!$R$2:$R$492,0)),"")</f>
        <v/>
      </c>
      <c r="K133" s="27" t="str">
        <f aca="false">IFERROR(INDEX('Output Utente'!$H$2:$H$492,MATCH(130,'Output Utente'!$R$2:$R$492,0)),"")</f>
        <v/>
      </c>
      <c r="L133" s="26" t="str">
        <f aca="false">IFERROR(INDEX('Output Utente'!$E$2:$E$492,MATCH(130,'Output Utente'!$R$2:$R$492,0)),"")</f>
        <v/>
      </c>
    </row>
    <row r="134" customFormat="false" ht="15" hidden="false" customHeight="true" outlineLevel="0" collapsed="false">
      <c r="A134" s="29" t="n">
        <v>131</v>
      </c>
      <c r="B134" s="26" t="str">
        <f aca="false">IFERROR(INDEX('Output Utente'!$A$2:$A$492,MATCH(131,'Output Utente'!$R$2:$R$492,0)),"")</f>
        <v/>
      </c>
      <c r="C134" s="26" t="str">
        <f aca="false">IFERROR(INDEX('Output Utente'!$B$2:$B$492,MATCH(131,'Output Utente'!$R$2:$R$492,0)),"")</f>
        <v/>
      </c>
      <c r="D134" s="26" t="str">
        <f aca="false">IFERROR(INDEX('Output Utente'!$C$2:$C$492,MATCH(131,'Output Utente'!$R$2:$R$492,0)),"")</f>
        <v/>
      </c>
      <c r="E134" s="26" t="str">
        <f aca="false">IFERROR(INDEX('Input Giocatori 2026_27'!$D$3:$D$493,MATCH($B134,'Input Giocatori 2026_27'!$A$3:$A$493,0)),"")</f>
        <v/>
      </c>
      <c r="F134" s="27" t="str">
        <f aca="false">IFERROR(INDEX('Output Utente'!$N$2:$N$492,MATCH(131,'Output Utente'!$R$2:$R$492,0)),"")</f>
        <v/>
      </c>
      <c r="G134" s="26" t="str">
        <f aca="false">IFERROR(INDEX('Output Utente'!$O$2:$O$492,MATCH(131,'Output Utente'!$R$2:$R$492,0)),"")</f>
        <v/>
      </c>
      <c r="H134" s="26" t="str">
        <f aca="false">IFERROR(INDEX('Output Utente'!$P$2:$P$492,MATCH(131,'Output Utente'!$R$2:$R$492,0)),"")</f>
        <v/>
      </c>
      <c r="I134" s="27" t="str">
        <f aca="false">IFERROR(INDEX('Output Utente'!$F$2:$F$492,MATCH(131,'Output Utente'!$R$2:$R$492,0)),"")</f>
        <v/>
      </c>
      <c r="J134" s="27" t="str">
        <f aca="false">IFERROR(INDEX('Output Utente'!$G$2:$G$492,MATCH(131,'Output Utente'!$R$2:$R$492,0)),"")</f>
        <v/>
      </c>
      <c r="K134" s="27" t="str">
        <f aca="false">IFERROR(INDEX('Output Utente'!$H$2:$H$492,MATCH(131,'Output Utente'!$R$2:$R$492,0)),"")</f>
        <v/>
      </c>
      <c r="L134" s="26" t="str">
        <f aca="false">IFERROR(INDEX('Output Utente'!$E$2:$E$492,MATCH(131,'Output Utente'!$R$2:$R$492,0)),"")</f>
        <v/>
      </c>
    </row>
    <row r="135" customFormat="false" ht="15" hidden="false" customHeight="true" outlineLevel="0" collapsed="false">
      <c r="A135" s="29" t="n">
        <v>132</v>
      </c>
      <c r="B135" s="26" t="str">
        <f aca="false">IFERROR(INDEX('Output Utente'!$A$2:$A$492,MATCH(132,'Output Utente'!$R$2:$R$492,0)),"")</f>
        <v/>
      </c>
      <c r="C135" s="26" t="str">
        <f aca="false">IFERROR(INDEX('Output Utente'!$B$2:$B$492,MATCH(132,'Output Utente'!$R$2:$R$492,0)),"")</f>
        <v/>
      </c>
      <c r="D135" s="26" t="str">
        <f aca="false">IFERROR(INDEX('Output Utente'!$C$2:$C$492,MATCH(132,'Output Utente'!$R$2:$R$492,0)),"")</f>
        <v/>
      </c>
      <c r="E135" s="26" t="str">
        <f aca="false">IFERROR(INDEX('Input Giocatori 2026_27'!$D$3:$D$493,MATCH($B135,'Input Giocatori 2026_27'!$A$3:$A$493,0)),"")</f>
        <v/>
      </c>
      <c r="F135" s="27" t="str">
        <f aca="false">IFERROR(INDEX('Output Utente'!$N$2:$N$492,MATCH(132,'Output Utente'!$R$2:$R$492,0)),"")</f>
        <v/>
      </c>
      <c r="G135" s="26" t="str">
        <f aca="false">IFERROR(INDEX('Output Utente'!$O$2:$O$492,MATCH(132,'Output Utente'!$R$2:$R$492,0)),"")</f>
        <v/>
      </c>
      <c r="H135" s="26" t="str">
        <f aca="false">IFERROR(INDEX('Output Utente'!$P$2:$P$492,MATCH(132,'Output Utente'!$R$2:$R$492,0)),"")</f>
        <v/>
      </c>
      <c r="I135" s="27" t="str">
        <f aca="false">IFERROR(INDEX('Output Utente'!$F$2:$F$492,MATCH(132,'Output Utente'!$R$2:$R$492,0)),"")</f>
        <v/>
      </c>
      <c r="J135" s="27" t="str">
        <f aca="false">IFERROR(INDEX('Output Utente'!$G$2:$G$492,MATCH(132,'Output Utente'!$R$2:$R$492,0)),"")</f>
        <v/>
      </c>
      <c r="K135" s="27" t="str">
        <f aca="false">IFERROR(INDEX('Output Utente'!$H$2:$H$492,MATCH(132,'Output Utente'!$R$2:$R$492,0)),"")</f>
        <v/>
      </c>
      <c r="L135" s="26" t="str">
        <f aca="false">IFERROR(INDEX('Output Utente'!$E$2:$E$492,MATCH(132,'Output Utente'!$R$2:$R$492,0)),"")</f>
        <v/>
      </c>
    </row>
    <row r="136" customFormat="false" ht="15" hidden="false" customHeight="true" outlineLevel="0" collapsed="false">
      <c r="A136" s="29" t="n">
        <v>133</v>
      </c>
      <c r="B136" s="26" t="str">
        <f aca="false">IFERROR(INDEX('Output Utente'!$A$2:$A$492,MATCH(133,'Output Utente'!$R$2:$R$492,0)),"")</f>
        <v/>
      </c>
      <c r="C136" s="26" t="str">
        <f aca="false">IFERROR(INDEX('Output Utente'!$B$2:$B$492,MATCH(133,'Output Utente'!$R$2:$R$492,0)),"")</f>
        <v/>
      </c>
      <c r="D136" s="26" t="str">
        <f aca="false">IFERROR(INDEX('Output Utente'!$C$2:$C$492,MATCH(133,'Output Utente'!$R$2:$R$492,0)),"")</f>
        <v/>
      </c>
      <c r="E136" s="26" t="str">
        <f aca="false">IFERROR(INDEX('Input Giocatori 2026_27'!$D$3:$D$493,MATCH($B136,'Input Giocatori 2026_27'!$A$3:$A$493,0)),"")</f>
        <v/>
      </c>
      <c r="F136" s="27" t="str">
        <f aca="false">IFERROR(INDEX('Output Utente'!$N$2:$N$492,MATCH(133,'Output Utente'!$R$2:$R$492,0)),"")</f>
        <v/>
      </c>
      <c r="G136" s="26" t="str">
        <f aca="false">IFERROR(INDEX('Output Utente'!$O$2:$O$492,MATCH(133,'Output Utente'!$R$2:$R$492,0)),"")</f>
        <v/>
      </c>
      <c r="H136" s="26" t="str">
        <f aca="false">IFERROR(INDEX('Output Utente'!$P$2:$P$492,MATCH(133,'Output Utente'!$R$2:$R$492,0)),"")</f>
        <v/>
      </c>
      <c r="I136" s="27" t="str">
        <f aca="false">IFERROR(INDEX('Output Utente'!$F$2:$F$492,MATCH(133,'Output Utente'!$R$2:$R$492,0)),"")</f>
        <v/>
      </c>
      <c r="J136" s="27" t="str">
        <f aca="false">IFERROR(INDEX('Output Utente'!$G$2:$G$492,MATCH(133,'Output Utente'!$R$2:$R$492,0)),"")</f>
        <v/>
      </c>
      <c r="K136" s="27" t="str">
        <f aca="false">IFERROR(INDEX('Output Utente'!$H$2:$H$492,MATCH(133,'Output Utente'!$R$2:$R$492,0)),"")</f>
        <v/>
      </c>
      <c r="L136" s="26" t="str">
        <f aca="false">IFERROR(INDEX('Output Utente'!$E$2:$E$492,MATCH(133,'Output Utente'!$R$2:$R$492,0)),"")</f>
        <v/>
      </c>
    </row>
    <row r="137" customFormat="false" ht="15" hidden="false" customHeight="true" outlineLevel="0" collapsed="false">
      <c r="A137" s="29" t="n">
        <v>134</v>
      </c>
      <c r="B137" s="26" t="str">
        <f aca="false">IFERROR(INDEX('Output Utente'!$A$2:$A$492,MATCH(134,'Output Utente'!$R$2:$R$492,0)),"")</f>
        <v/>
      </c>
      <c r="C137" s="26" t="str">
        <f aca="false">IFERROR(INDEX('Output Utente'!$B$2:$B$492,MATCH(134,'Output Utente'!$R$2:$R$492,0)),"")</f>
        <v/>
      </c>
      <c r="D137" s="26" t="str">
        <f aca="false">IFERROR(INDEX('Output Utente'!$C$2:$C$492,MATCH(134,'Output Utente'!$R$2:$R$492,0)),"")</f>
        <v/>
      </c>
      <c r="E137" s="26" t="str">
        <f aca="false">IFERROR(INDEX('Input Giocatori 2026_27'!$D$3:$D$493,MATCH($B137,'Input Giocatori 2026_27'!$A$3:$A$493,0)),"")</f>
        <v/>
      </c>
      <c r="F137" s="27" t="str">
        <f aca="false">IFERROR(INDEX('Output Utente'!$N$2:$N$492,MATCH(134,'Output Utente'!$R$2:$R$492,0)),"")</f>
        <v/>
      </c>
      <c r="G137" s="26" t="str">
        <f aca="false">IFERROR(INDEX('Output Utente'!$O$2:$O$492,MATCH(134,'Output Utente'!$R$2:$R$492,0)),"")</f>
        <v/>
      </c>
      <c r="H137" s="26" t="str">
        <f aca="false">IFERROR(INDEX('Output Utente'!$P$2:$P$492,MATCH(134,'Output Utente'!$R$2:$R$492,0)),"")</f>
        <v/>
      </c>
      <c r="I137" s="27" t="str">
        <f aca="false">IFERROR(INDEX('Output Utente'!$F$2:$F$492,MATCH(134,'Output Utente'!$R$2:$R$492,0)),"")</f>
        <v/>
      </c>
      <c r="J137" s="27" t="str">
        <f aca="false">IFERROR(INDEX('Output Utente'!$G$2:$G$492,MATCH(134,'Output Utente'!$R$2:$R$492,0)),"")</f>
        <v/>
      </c>
      <c r="K137" s="27" t="str">
        <f aca="false">IFERROR(INDEX('Output Utente'!$H$2:$H$492,MATCH(134,'Output Utente'!$R$2:$R$492,0)),"")</f>
        <v/>
      </c>
      <c r="L137" s="26" t="str">
        <f aca="false">IFERROR(INDEX('Output Utente'!$E$2:$E$492,MATCH(134,'Output Utente'!$R$2:$R$492,0)),"")</f>
        <v/>
      </c>
    </row>
    <row r="138" customFormat="false" ht="15" hidden="false" customHeight="true" outlineLevel="0" collapsed="false">
      <c r="A138" s="29" t="n">
        <v>135</v>
      </c>
      <c r="B138" s="26" t="str">
        <f aca="false">IFERROR(INDEX('Output Utente'!$A$2:$A$492,MATCH(135,'Output Utente'!$R$2:$R$492,0)),"")</f>
        <v/>
      </c>
      <c r="C138" s="26" t="str">
        <f aca="false">IFERROR(INDEX('Output Utente'!$B$2:$B$492,MATCH(135,'Output Utente'!$R$2:$R$492,0)),"")</f>
        <v/>
      </c>
      <c r="D138" s="26" t="str">
        <f aca="false">IFERROR(INDEX('Output Utente'!$C$2:$C$492,MATCH(135,'Output Utente'!$R$2:$R$492,0)),"")</f>
        <v/>
      </c>
      <c r="E138" s="26" t="str">
        <f aca="false">IFERROR(INDEX('Input Giocatori 2026_27'!$D$3:$D$493,MATCH($B138,'Input Giocatori 2026_27'!$A$3:$A$493,0)),"")</f>
        <v/>
      </c>
      <c r="F138" s="27" t="str">
        <f aca="false">IFERROR(INDEX('Output Utente'!$N$2:$N$492,MATCH(135,'Output Utente'!$R$2:$R$492,0)),"")</f>
        <v/>
      </c>
      <c r="G138" s="26" t="str">
        <f aca="false">IFERROR(INDEX('Output Utente'!$O$2:$O$492,MATCH(135,'Output Utente'!$R$2:$R$492,0)),"")</f>
        <v/>
      </c>
      <c r="H138" s="26" t="str">
        <f aca="false">IFERROR(INDEX('Output Utente'!$P$2:$P$492,MATCH(135,'Output Utente'!$R$2:$R$492,0)),"")</f>
        <v/>
      </c>
      <c r="I138" s="27" t="str">
        <f aca="false">IFERROR(INDEX('Output Utente'!$F$2:$F$492,MATCH(135,'Output Utente'!$R$2:$R$492,0)),"")</f>
        <v/>
      </c>
      <c r="J138" s="27" t="str">
        <f aca="false">IFERROR(INDEX('Output Utente'!$G$2:$G$492,MATCH(135,'Output Utente'!$R$2:$R$492,0)),"")</f>
        <v/>
      </c>
      <c r="K138" s="27" t="str">
        <f aca="false">IFERROR(INDEX('Output Utente'!$H$2:$H$492,MATCH(135,'Output Utente'!$R$2:$R$492,0)),"")</f>
        <v/>
      </c>
      <c r="L138" s="26" t="str">
        <f aca="false">IFERROR(INDEX('Output Utente'!$E$2:$E$492,MATCH(135,'Output Utente'!$R$2:$R$492,0)),"")</f>
        <v/>
      </c>
    </row>
    <row r="139" customFormat="false" ht="15" hidden="false" customHeight="true" outlineLevel="0" collapsed="false">
      <c r="A139" s="29" t="n">
        <v>136</v>
      </c>
      <c r="B139" s="26" t="str">
        <f aca="false">IFERROR(INDEX('Output Utente'!$A$2:$A$492,MATCH(136,'Output Utente'!$R$2:$R$492,0)),"")</f>
        <v/>
      </c>
      <c r="C139" s="26" t="str">
        <f aca="false">IFERROR(INDEX('Output Utente'!$B$2:$B$492,MATCH(136,'Output Utente'!$R$2:$R$492,0)),"")</f>
        <v/>
      </c>
      <c r="D139" s="26" t="str">
        <f aca="false">IFERROR(INDEX('Output Utente'!$C$2:$C$492,MATCH(136,'Output Utente'!$R$2:$R$492,0)),"")</f>
        <v/>
      </c>
      <c r="E139" s="26" t="str">
        <f aca="false">IFERROR(INDEX('Input Giocatori 2026_27'!$D$3:$D$493,MATCH($B139,'Input Giocatori 2026_27'!$A$3:$A$493,0)),"")</f>
        <v/>
      </c>
      <c r="F139" s="27" t="str">
        <f aca="false">IFERROR(INDEX('Output Utente'!$N$2:$N$492,MATCH(136,'Output Utente'!$R$2:$R$492,0)),"")</f>
        <v/>
      </c>
      <c r="G139" s="26" t="str">
        <f aca="false">IFERROR(INDEX('Output Utente'!$O$2:$O$492,MATCH(136,'Output Utente'!$R$2:$R$492,0)),"")</f>
        <v/>
      </c>
      <c r="H139" s="26" t="str">
        <f aca="false">IFERROR(INDEX('Output Utente'!$P$2:$P$492,MATCH(136,'Output Utente'!$R$2:$R$492,0)),"")</f>
        <v/>
      </c>
      <c r="I139" s="27" t="str">
        <f aca="false">IFERROR(INDEX('Output Utente'!$F$2:$F$492,MATCH(136,'Output Utente'!$R$2:$R$492,0)),"")</f>
        <v/>
      </c>
      <c r="J139" s="27" t="str">
        <f aca="false">IFERROR(INDEX('Output Utente'!$G$2:$G$492,MATCH(136,'Output Utente'!$R$2:$R$492,0)),"")</f>
        <v/>
      </c>
      <c r="K139" s="27" t="str">
        <f aca="false">IFERROR(INDEX('Output Utente'!$H$2:$H$492,MATCH(136,'Output Utente'!$R$2:$R$492,0)),"")</f>
        <v/>
      </c>
      <c r="L139" s="26" t="str">
        <f aca="false">IFERROR(INDEX('Output Utente'!$E$2:$E$492,MATCH(136,'Output Utente'!$R$2:$R$492,0)),"")</f>
        <v/>
      </c>
    </row>
    <row r="140" customFormat="false" ht="15" hidden="false" customHeight="true" outlineLevel="0" collapsed="false">
      <c r="A140" s="29" t="n">
        <v>137</v>
      </c>
      <c r="B140" s="26" t="str">
        <f aca="false">IFERROR(INDEX('Output Utente'!$A$2:$A$492,MATCH(137,'Output Utente'!$R$2:$R$492,0)),"")</f>
        <v/>
      </c>
      <c r="C140" s="26" t="str">
        <f aca="false">IFERROR(INDEX('Output Utente'!$B$2:$B$492,MATCH(137,'Output Utente'!$R$2:$R$492,0)),"")</f>
        <v/>
      </c>
      <c r="D140" s="26" t="str">
        <f aca="false">IFERROR(INDEX('Output Utente'!$C$2:$C$492,MATCH(137,'Output Utente'!$R$2:$R$492,0)),"")</f>
        <v/>
      </c>
      <c r="E140" s="26" t="str">
        <f aca="false">IFERROR(INDEX('Input Giocatori 2026_27'!$D$3:$D$493,MATCH($B140,'Input Giocatori 2026_27'!$A$3:$A$493,0)),"")</f>
        <v/>
      </c>
      <c r="F140" s="27" t="str">
        <f aca="false">IFERROR(INDEX('Output Utente'!$N$2:$N$492,MATCH(137,'Output Utente'!$R$2:$R$492,0)),"")</f>
        <v/>
      </c>
      <c r="G140" s="26" t="str">
        <f aca="false">IFERROR(INDEX('Output Utente'!$O$2:$O$492,MATCH(137,'Output Utente'!$R$2:$R$492,0)),"")</f>
        <v/>
      </c>
      <c r="H140" s="26" t="str">
        <f aca="false">IFERROR(INDEX('Output Utente'!$P$2:$P$492,MATCH(137,'Output Utente'!$R$2:$R$492,0)),"")</f>
        <v/>
      </c>
      <c r="I140" s="27" t="str">
        <f aca="false">IFERROR(INDEX('Output Utente'!$F$2:$F$492,MATCH(137,'Output Utente'!$R$2:$R$492,0)),"")</f>
        <v/>
      </c>
      <c r="J140" s="27" t="str">
        <f aca="false">IFERROR(INDEX('Output Utente'!$G$2:$G$492,MATCH(137,'Output Utente'!$R$2:$R$492,0)),"")</f>
        <v/>
      </c>
      <c r="K140" s="27" t="str">
        <f aca="false">IFERROR(INDEX('Output Utente'!$H$2:$H$492,MATCH(137,'Output Utente'!$R$2:$R$492,0)),"")</f>
        <v/>
      </c>
      <c r="L140" s="26" t="str">
        <f aca="false">IFERROR(INDEX('Output Utente'!$E$2:$E$492,MATCH(137,'Output Utente'!$R$2:$R$492,0)),"")</f>
        <v/>
      </c>
    </row>
    <row r="141" customFormat="false" ht="15" hidden="false" customHeight="true" outlineLevel="0" collapsed="false">
      <c r="A141" s="29" t="n">
        <v>138</v>
      </c>
      <c r="B141" s="26" t="str">
        <f aca="false">IFERROR(INDEX('Output Utente'!$A$2:$A$492,MATCH(138,'Output Utente'!$R$2:$R$492,0)),"")</f>
        <v/>
      </c>
      <c r="C141" s="26" t="str">
        <f aca="false">IFERROR(INDEX('Output Utente'!$B$2:$B$492,MATCH(138,'Output Utente'!$R$2:$R$492,0)),"")</f>
        <v/>
      </c>
      <c r="D141" s="26" t="str">
        <f aca="false">IFERROR(INDEX('Output Utente'!$C$2:$C$492,MATCH(138,'Output Utente'!$R$2:$R$492,0)),"")</f>
        <v/>
      </c>
      <c r="E141" s="26" t="str">
        <f aca="false">IFERROR(INDEX('Input Giocatori 2026_27'!$D$3:$D$493,MATCH($B141,'Input Giocatori 2026_27'!$A$3:$A$493,0)),"")</f>
        <v/>
      </c>
      <c r="F141" s="27" t="str">
        <f aca="false">IFERROR(INDEX('Output Utente'!$N$2:$N$492,MATCH(138,'Output Utente'!$R$2:$R$492,0)),"")</f>
        <v/>
      </c>
      <c r="G141" s="26" t="str">
        <f aca="false">IFERROR(INDEX('Output Utente'!$O$2:$O$492,MATCH(138,'Output Utente'!$R$2:$R$492,0)),"")</f>
        <v/>
      </c>
      <c r="H141" s="26" t="str">
        <f aca="false">IFERROR(INDEX('Output Utente'!$P$2:$P$492,MATCH(138,'Output Utente'!$R$2:$R$492,0)),"")</f>
        <v/>
      </c>
      <c r="I141" s="27" t="str">
        <f aca="false">IFERROR(INDEX('Output Utente'!$F$2:$F$492,MATCH(138,'Output Utente'!$R$2:$R$492,0)),"")</f>
        <v/>
      </c>
      <c r="J141" s="27" t="str">
        <f aca="false">IFERROR(INDEX('Output Utente'!$G$2:$G$492,MATCH(138,'Output Utente'!$R$2:$R$492,0)),"")</f>
        <v/>
      </c>
      <c r="K141" s="27" t="str">
        <f aca="false">IFERROR(INDEX('Output Utente'!$H$2:$H$492,MATCH(138,'Output Utente'!$R$2:$R$492,0)),"")</f>
        <v/>
      </c>
      <c r="L141" s="26" t="str">
        <f aca="false">IFERROR(INDEX('Output Utente'!$E$2:$E$492,MATCH(138,'Output Utente'!$R$2:$R$492,0)),"")</f>
        <v/>
      </c>
    </row>
    <row r="142" customFormat="false" ht="15" hidden="false" customHeight="true" outlineLevel="0" collapsed="false">
      <c r="A142" s="29" t="n">
        <v>139</v>
      </c>
      <c r="B142" s="26" t="str">
        <f aca="false">IFERROR(INDEX('Output Utente'!$A$2:$A$492,MATCH(139,'Output Utente'!$R$2:$R$492,0)),"")</f>
        <v/>
      </c>
      <c r="C142" s="26" t="str">
        <f aca="false">IFERROR(INDEX('Output Utente'!$B$2:$B$492,MATCH(139,'Output Utente'!$R$2:$R$492,0)),"")</f>
        <v/>
      </c>
      <c r="D142" s="26" t="str">
        <f aca="false">IFERROR(INDEX('Output Utente'!$C$2:$C$492,MATCH(139,'Output Utente'!$R$2:$R$492,0)),"")</f>
        <v/>
      </c>
      <c r="E142" s="26" t="str">
        <f aca="false">IFERROR(INDEX('Input Giocatori 2026_27'!$D$3:$D$493,MATCH($B142,'Input Giocatori 2026_27'!$A$3:$A$493,0)),"")</f>
        <v/>
      </c>
      <c r="F142" s="27" t="str">
        <f aca="false">IFERROR(INDEX('Output Utente'!$N$2:$N$492,MATCH(139,'Output Utente'!$R$2:$R$492,0)),"")</f>
        <v/>
      </c>
      <c r="G142" s="26" t="str">
        <f aca="false">IFERROR(INDEX('Output Utente'!$O$2:$O$492,MATCH(139,'Output Utente'!$R$2:$R$492,0)),"")</f>
        <v/>
      </c>
      <c r="H142" s="26" t="str">
        <f aca="false">IFERROR(INDEX('Output Utente'!$P$2:$P$492,MATCH(139,'Output Utente'!$R$2:$R$492,0)),"")</f>
        <v/>
      </c>
      <c r="I142" s="27" t="str">
        <f aca="false">IFERROR(INDEX('Output Utente'!$F$2:$F$492,MATCH(139,'Output Utente'!$R$2:$R$492,0)),"")</f>
        <v/>
      </c>
      <c r="J142" s="27" t="str">
        <f aca="false">IFERROR(INDEX('Output Utente'!$G$2:$G$492,MATCH(139,'Output Utente'!$R$2:$R$492,0)),"")</f>
        <v/>
      </c>
      <c r="K142" s="27" t="str">
        <f aca="false">IFERROR(INDEX('Output Utente'!$H$2:$H$492,MATCH(139,'Output Utente'!$R$2:$R$492,0)),"")</f>
        <v/>
      </c>
      <c r="L142" s="26" t="str">
        <f aca="false">IFERROR(INDEX('Output Utente'!$E$2:$E$492,MATCH(139,'Output Utente'!$R$2:$R$492,0)),"")</f>
        <v/>
      </c>
    </row>
    <row r="143" customFormat="false" ht="15" hidden="false" customHeight="true" outlineLevel="0" collapsed="false">
      <c r="A143" s="29" t="n">
        <v>140</v>
      </c>
      <c r="B143" s="26" t="str">
        <f aca="false">IFERROR(INDEX('Output Utente'!$A$2:$A$492,MATCH(140,'Output Utente'!$R$2:$R$492,0)),"")</f>
        <v/>
      </c>
      <c r="C143" s="26" t="str">
        <f aca="false">IFERROR(INDEX('Output Utente'!$B$2:$B$492,MATCH(140,'Output Utente'!$R$2:$R$492,0)),"")</f>
        <v/>
      </c>
      <c r="D143" s="26" t="str">
        <f aca="false">IFERROR(INDEX('Output Utente'!$C$2:$C$492,MATCH(140,'Output Utente'!$R$2:$R$492,0)),"")</f>
        <v/>
      </c>
      <c r="E143" s="26" t="str">
        <f aca="false">IFERROR(INDEX('Input Giocatori 2026_27'!$D$3:$D$493,MATCH($B143,'Input Giocatori 2026_27'!$A$3:$A$493,0)),"")</f>
        <v/>
      </c>
      <c r="F143" s="27" t="str">
        <f aca="false">IFERROR(INDEX('Output Utente'!$N$2:$N$492,MATCH(140,'Output Utente'!$R$2:$R$492,0)),"")</f>
        <v/>
      </c>
      <c r="G143" s="26" t="str">
        <f aca="false">IFERROR(INDEX('Output Utente'!$O$2:$O$492,MATCH(140,'Output Utente'!$R$2:$R$492,0)),"")</f>
        <v/>
      </c>
      <c r="H143" s="26" t="str">
        <f aca="false">IFERROR(INDEX('Output Utente'!$P$2:$P$492,MATCH(140,'Output Utente'!$R$2:$R$492,0)),"")</f>
        <v/>
      </c>
      <c r="I143" s="27" t="str">
        <f aca="false">IFERROR(INDEX('Output Utente'!$F$2:$F$492,MATCH(140,'Output Utente'!$R$2:$R$492,0)),"")</f>
        <v/>
      </c>
      <c r="J143" s="27" t="str">
        <f aca="false">IFERROR(INDEX('Output Utente'!$G$2:$G$492,MATCH(140,'Output Utente'!$R$2:$R$492,0)),"")</f>
        <v/>
      </c>
      <c r="K143" s="27" t="str">
        <f aca="false">IFERROR(INDEX('Output Utente'!$H$2:$H$492,MATCH(140,'Output Utente'!$R$2:$R$492,0)),"")</f>
        <v/>
      </c>
      <c r="L143" s="26" t="str">
        <f aca="false">IFERROR(INDEX('Output Utente'!$E$2:$E$492,MATCH(140,'Output Utente'!$R$2:$R$492,0)),"")</f>
        <v/>
      </c>
    </row>
    <row r="144" customFormat="false" ht="15" hidden="false" customHeight="true" outlineLevel="0" collapsed="false">
      <c r="A144" s="29" t="n">
        <v>141</v>
      </c>
      <c r="B144" s="26" t="str">
        <f aca="false">IFERROR(INDEX('Output Utente'!$A$2:$A$492,MATCH(141,'Output Utente'!$R$2:$R$492,0)),"")</f>
        <v/>
      </c>
      <c r="C144" s="26" t="str">
        <f aca="false">IFERROR(INDEX('Output Utente'!$B$2:$B$492,MATCH(141,'Output Utente'!$R$2:$R$492,0)),"")</f>
        <v/>
      </c>
      <c r="D144" s="26" t="str">
        <f aca="false">IFERROR(INDEX('Output Utente'!$C$2:$C$492,MATCH(141,'Output Utente'!$R$2:$R$492,0)),"")</f>
        <v/>
      </c>
      <c r="E144" s="26" t="str">
        <f aca="false">IFERROR(INDEX('Input Giocatori 2026_27'!$D$3:$D$493,MATCH($B144,'Input Giocatori 2026_27'!$A$3:$A$493,0)),"")</f>
        <v/>
      </c>
      <c r="F144" s="27" t="str">
        <f aca="false">IFERROR(INDEX('Output Utente'!$N$2:$N$492,MATCH(141,'Output Utente'!$R$2:$R$492,0)),"")</f>
        <v/>
      </c>
      <c r="G144" s="26" t="str">
        <f aca="false">IFERROR(INDEX('Output Utente'!$O$2:$O$492,MATCH(141,'Output Utente'!$R$2:$R$492,0)),"")</f>
        <v/>
      </c>
      <c r="H144" s="26" t="str">
        <f aca="false">IFERROR(INDEX('Output Utente'!$P$2:$P$492,MATCH(141,'Output Utente'!$R$2:$R$492,0)),"")</f>
        <v/>
      </c>
      <c r="I144" s="27" t="str">
        <f aca="false">IFERROR(INDEX('Output Utente'!$F$2:$F$492,MATCH(141,'Output Utente'!$R$2:$R$492,0)),"")</f>
        <v/>
      </c>
      <c r="J144" s="27" t="str">
        <f aca="false">IFERROR(INDEX('Output Utente'!$G$2:$G$492,MATCH(141,'Output Utente'!$R$2:$R$492,0)),"")</f>
        <v/>
      </c>
      <c r="K144" s="27" t="str">
        <f aca="false">IFERROR(INDEX('Output Utente'!$H$2:$H$492,MATCH(141,'Output Utente'!$R$2:$R$492,0)),"")</f>
        <v/>
      </c>
      <c r="L144" s="26" t="str">
        <f aca="false">IFERROR(INDEX('Output Utente'!$E$2:$E$492,MATCH(141,'Output Utente'!$R$2:$R$492,0)),"")</f>
        <v/>
      </c>
    </row>
    <row r="145" customFormat="false" ht="15" hidden="false" customHeight="true" outlineLevel="0" collapsed="false">
      <c r="A145" s="29" t="n">
        <v>142</v>
      </c>
      <c r="B145" s="26" t="str">
        <f aca="false">IFERROR(INDEX('Output Utente'!$A$2:$A$492,MATCH(142,'Output Utente'!$R$2:$R$492,0)),"")</f>
        <v/>
      </c>
      <c r="C145" s="26" t="str">
        <f aca="false">IFERROR(INDEX('Output Utente'!$B$2:$B$492,MATCH(142,'Output Utente'!$R$2:$R$492,0)),"")</f>
        <v/>
      </c>
      <c r="D145" s="26" t="str">
        <f aca="false">IFERROR(INDEX('Output Utente'!$C$2:$C$492,MATCH(142,'Output Utente'!$R$2:$R$492,0)),"")</f>
        <v/>
      </c>
      <c r="E145" s="26" t="str">
        <f aca="false">IFERROR(INDEX('Input Giocatori 2026_27'!$D$3:$D$493,MATCH($B145,'Input Giocatori 2026_27'!$A$3:$A$493,0)),"")</f>
        <v/>
      </c>
      <c r="F145" s="27" t="str">
        <f aca="false">IFERROR(INDEX('Output Utente'!$N$2:$N$492,MATCH(142,'Output Utente'!$R$2:$R$492,0)),"")</f>
        <v/>
      </c>
      <c r="G145" s="26" t="str">
        <f aca="false">IFERROR(INDEX('Output Utente'!$O$2:$O$492,MATCH(142,'Output Utente'!$R$2:$R$492,0)),"")</f>
        <v/>
      </c>
      <c r="H145" s="26" t="str">
        <f aca="false">IFERROR(INDEX('Output Utente'!$P$2:$P$492,MATCH(142,'Output Utente'!$R$2:$R$492,0)),"")</f>
        <v/>
      </c>
      <c r="I145" s="27" t="str">
        <f aca="false">IFERROR(INDEX('Output Utente'!$F$2:$F$492,MATCH(142,'Output Utente'!$R$2:$R$492,0)),"")</f>
        <v/>
      </c>
      <c r="J145" s="27" t="str">
        <f aca="false">IFERROR(INDEX('Output Utente'!$G$2:$G$492,MATCH(142,'Output Utente'!$R$2:$R$492,0)),"")</f>
        <v/>
      </c>
      <c r="K145" s="27" t="str">
        <f aca="false">IFERROR(INDEX('Output Utente'!$H$2:$H$492,MATCH(142,'Output Utente'!$R$2:$R$492,0)),"")</f>
        <v/>
      </c>
      <c r="L145" s="26" t="str">
        <f aca="false">IFERROR(INDEX('Output Utente'!$E$2:$E$492,MATCH(142,'Output Utente'!$R$2:$R$492,0)),"")</f>
        <v/>
      </c>
    </row>
    <row r="146" customFormat="false" ht="15" hidden="false" customHeight="true" outlineLevel="0" collapsed="false">
      <c r="A146" s="29" t="n">
        <v>143</v>
      </c>
      <c r="B146" s="26" t="str">
        <f aca="false">IFERROR(INDEX('Output Utente'!$A$2:$A$492,MATCH(143,'Output Utente'!$R$2:$R$492,0)),"")</f>
        <v/>
      </c>
      <c r="C146" s="26" t="str">
        <f aca="false">IFERROR(INDEX('Output Utente'!$B$2:$B$492,MATCH(143,'Output Utente'!$R$2:$R$492,0)),"")</f>
        <v/>
      </c>
      <c r="D146" s="26" t="str">
        <f aca="false">IFERROR(INDEX('Output Utente'!$C$2:$C$492,MATCH(143,'Output Utente'!$R$2:$R$492,0)),"")</f>
        <v/>
      </c>
      <c r="E146" s="26" t="str">
        <f aca="false">IFERROR(INDEX('Input Giocatori 2026_27'!$D$3:$D$493,MATCH($B146,'Input Giocatori 2026_27'!$A$3:$A$493,0)),"")</f>
        <v/>
      </c>
      <c r="F146" s="27" t="str">
        <f aca="false">IFERROR(INDEX('Output Utente'!$N$2:$N$492,MATCH(143,'Output Utente'!$R$2:$R$492,0)),"")</f>
        <v/>
      </c>
      <c r="G146" s="26" t="str">
        <f aca="false">IFERROR(INDEX('Output Utente'!$O$2:$O$492,MATCH(143,'Output Utente'!$R$2:$R$492,0)),"")</f>
        <v/>
      </c>
      <c r="H146" s="26" t="str">
        <f aca="false">IFERROR(INDEX('Output Utente'!$P$2:$P$492,MATCH(143,'Output Utente'!$R$2:$R$492,0)),"")</f>
        <v/>
      </c>
      <c r="I146" s="27" t="str">
        <f aca="false">IFERROR(INDEX('Output Utente'!$F$2:$F$492,MATCH(143,'Output Utente'!$R$2:$R$492,0)),"")</f>
        <v/>
      </c>
      <c r="J146" s="27" t="str">
        <f aca="false">IFERROR(INDEX('Output Utente'!$G$2:$G$492,MATCH(143,'Output Utente'!$R$2:$R$492,0)),"")</f>
        <v/>
      </c>
      <c r="K146" s="27" t="str">
        <f aca="false">IFERROR(INDEX('Output Utente'!$H$2:$H$492,MATCH(143,'Output Utente'!$R$2:$R$492,0)),"")</f>
        <v/>
      </c>
      <c r="L146" s="26" t="str">
        <f aca="false">IFERROR(INDEX('Output Utente'!$E$2:$E$492,MATCH(143,'Output Utente'!$R$2:$R$492,0)),"")</f>
        <v/>
      </c>
    </row>
    <row r="147" customFormat="false" ht="15" hidden="false" customHeight="true" outlineLevel="0" collapsed="false">
      <c r="A147" s="29" t="n">
        <v>144</v>
      </c>
      <c r="B147" s="26" t="str">
        <f aca="false">IFERROR(INDEX('Output Utente'!$A$2:$A$492,MATCH(144,'Output Utente'!$R$2:$R$492,0)),"")</f>
        <v/>
      </c>
      <c r="C147" s="26" t="str">
        <f aca="false">IFERROR(INDEX('Output Utente'!$B$2:$B$492,MATCH(144,'Output Utente'!$R$2:$R$492,0)),"")</f>
        <v/>
      </c>
      <c r="D147" s="26" t="str">
        <f aca="false">IFERROR(INDEX('Output Utente'!$C$2:$C$492,MATCH(144,'Output Utente'!$R$2:$R$492,0)),"")</f>
        <v/>
      </c>
      <c r="E147" s="26" t="str">
        <f aca="false">IFERROR(INDEX('Input Giocatori 2026_27'!$D$3:$D$493,MATCH($B147,'Input Giocatori 2026_27'!$A$3:$A$493,0)),"")</f>
        <v/>
      </c>
      <c r="F147" s="27" t="str">
        <f aca="false">IFERROR(INDEX('Output Utente'!$N$2:$N$492,MATCH(144,'Output Utente'!$R$2:$R$492,0)),"")</f>
        <v/>
      </c>
      <c r="G147" s="26" t="str">
        <f aca="false">IFERROR(INDEX('Output Utente'!$O$2:$O$492,MATCH(144,'Output Utente'!$R$2:$R$492,0)),"")</f>
        <v/>
      </c>
      <c r="H147" s="26" t="str">
        <f aca="false">IFERROR(INDEX('Output Utente'!$P$2:$P$492,MATCH(144,'Output Utente'!$R$2:$R$492,0)),"")</f>
        <v/>
      </c>
      <c r="I147" s="27" t="str">
        <f aca="false">IFERROR(INDEX('Output Utente'!$F$2:$F$492,MATCH(144,'Output Utente'!$R$2:$R$492,0)),"")</f>
        <v/>
      </c>
      <c r="J147" s="27" t="str">
        <f aca="false">IFERROR(INDEX('Output Utente'!$G$2:$G$492,MATCH(144,'Output Utente'!$R$2:$R$492,0)),"")</f>
        <v/>
      </c>
      <c r="K147" s="27" t="str">
        <f aca="false">IFERROR(INDEX('Output Utente'!$H$2:$H$492,MATCH(144,'Output Utente'!$R$2:$R$492,0)),"")</f>
        <v/>
      </c>
      <c r="L147" s="26" t="str">
        <f aca="false">IFERROR(INDEX('Output Utente'!$E$2:$E$492,MATCH(144,'Output Utente'!$R$2:$R$492,0)),"")</f>
        <v/>
      </c>
    </row>
    <row r="148" customFormat="false" ht="15" hidden="false" customHeight="true" outlineLevel="0" collapsed="false">
      <c r="A148" s="29" t="n">
        <v>145</v>
      </c>
      <c r="B148" s="26" t="str">
        <f aca="false">IFERROR(INDEX('Output Utente'!$A$2:$A$492,MATCH(145,'Output Utente'!$R$2:$R$492,0)),"")</f>
        <v/>
      </c>
      <c r="C148" s="26" t="str">
        <f aca="false">IFERROR(INDEX('Output Utente'!$B$2:$B$492,MATCH(145,'Output Utente'!$R$2:$R$492,0)),"")</f>
        <v/>
      </c>
      <c r="D148" s="26" t="str">
        <f aca="false">IFERROR(INDEX('Output Utente'!$C$2:$C$492,MATCH(145,'Output Utente'!$R$2:$R$492,0)),"")</f>
        <v/>
      </c>
      <c r="E148" s="26" t="str">
        <f aca="false">IFERROR(INDEX('Input Giocatori 2026_27'!$D$3:$D$493,MATCH($B148,'Input Giocatori 2026_27'!$A$3:$A$493,0)),"")</f>
        <v/>
      </c>
      <c r="F148" s="27" t="str">
        <f aca="false">IFERROR(INDEX('Output Utente'!$N$2:$N$492,MATCH(145,'Output Utente'!$R$2:$R$492,0)),"")</f>
        <v/>
      </c>
      <c r="G148" s="26" t="str">
        <f aca="false">IFERROR(INDEX('Output Utente'!$O$2:$O$492,MATCH(145,'Output Utente'!$R$2:$R$492,0)),"")</f>
        <v/>
      </c>
      <c r="H148" s="26" t="str">
        <f aca="false">IFERROR(INDEX('Output Utente'!$P$2:$P$492,MATCH(145,'Output Utente'!$R$2:$R$492,0)),"")</f>
        <v/>
      </c>
      <c r="I148" s="27" t="str">
        <f aca="false">IFERROR(INDEX('Output Utente'!$F$2:$F$492,MATCH(145,'Output Utente'!$R$2:$R$492,0)),"")</f>
        <v/>
      </c>
      <c r="J148" s="27" t="str">
        <f aca="false">IFERROR(INDEX('Output Utente'!$G$2:$G$492,MATCH(145,'Output Utente'!$R$2:$R$492,0)),"")</f>
        <v/>
      </c>
      <c r="K148" s="27" t="str">
        <f aca="false">IFERROR(INDEX('Output Utente'!$H$2:$H$492,MATCH(145,'Output Utente'!$R$2:$R$492,0)),"")</f>
        <v/>
      </c>
      <c r="L148" s="26" t="str">
        <f aca="false">IFERROR(INDEX('Output Utente'!$E$2:$E$492,MATCH(145,'Output Utente'!$R$2:$R$492,0)),"")</f>
        <v/>
      </c>
    </row>
    <row r="149" customFormat="false" ht="15" hidden="false" customHeight="true" outlineLevel="0" collapsed="false">
      <c r="A149" s="29" t="n">
        <v>146</v>
      </c>
      <c r="B149" s="26" t="str">
        <f aca="false">IFERROR(INDEX('Output Utente'!$A$2:$A$492,MATCH(146,'Output Utente'!$R$2:$R$492,0)),"")</f>
        <v/>
      </c>
      <c r="C149" s="26" t="str">
        <f aca="false">IFERROR(INDEX('Output Utente'!$B$2:$B$492,MATCH(146,'Output Utente'!$R$2:$R$492,0)),"")</f>
        <v/>
      </c>
      <c r="D149" s="26" t="str">
        <f aca="false">IFERROR(INDEX('Output Utente'!$C$2:$C$492,MATCH(146,'Output Utente'!$R$2:$R$492,0)),"")</f>
        <v/>
      </c>
      <c r="E149" s="26" t="str">
        <f aca="false">IFERROR(INDEX('Input Giocatori 2026_27'!$D$3:$D$493,MATCH($B149,'Input Giocatori 2026_27'!$A$3:$A$493,0)),"")</f>
        <v/>
      </c>
      <c r="F149" s="27" t="str">
        <f aca="false">IFERROR(INDEX('Output Utente'!$N$2:$N$492,MATCH(146,'Output Utente'!$R$2:$R$492,0)),"")</f>
        <v/>
      </c>
      <c r="G149" s="26" t="str">
        <f aca="false">IFERROR(INDEX('Output Utente'!$O$2:$O$492,MATCH(146,'Output Utente'!$R$2:$R$492,0)),"")</f>
        <v/>
      </c>
      <c r="H149" s="26" t="str">
        <f aca="false">IFERROR(INDEX('Output Utente'!$P$2:$P$492,MATCH(146,'Output Utente'!$R$2:$R$492,0)),"")</f>
        <v/>
      </c>
      <c r="I149" s="27" t="str">
        <f aca="false">IFERROR(INDEX('Output Utente'!$F$2:$F$492,MATCH(146,'Output Utente'!$R$2:$R$492,0)),"")</f>
        <v/>
      </c>
      <c r="J149" s="27" t="str">
        <f aca="false">IFERROR(INDEX('Output Utente'!$G$2:$G$492,MATCH(146,'Output Utente'!$R$2:$R$492,0)),"")</f>
        <v/>
      </c>
      <c r="K149" s="27" t="str">
        <f aca="false">IFERROR(INDEX('Output Utente'!$H$2:$H$492,MATCH(146,'Output Utente'!$R$2:$R$492,0)),"")</f>
        <v/>
      </c>
      <c r="L149" s="26" t="str">
        <f aca="false">IFERROR(INDEX('Output Utente'!$E$2:$E$492,MATCH(146,'Output Utente'!$R$2:$R$492,0)),"")</f>
        <v/>
      </c>
    </row>
    <row r="150" customFormat="false" ht="15" hidden="false" customHeight="true" outlineLevel="0" collapsed="false">
      <c r="A150" s="29" t="n">
        <v>147</v>
      </c>
      <c r="B150" s="26" t="str">
        <f aca="false">IFERROR(INDEX('Output Utente'!$A$2:$A$492,MATCH(147,'Output Utente'!$R$2:$R$492,0)),"")</f>
        <v/>
      </c>
      <c r="C150" s="26" t="str">
        <f aca="false">IFERROR(INDEX('Output Utente'!$B$2:$B$492,MATCH(147,'Output Utente'!$R$2:$R$492,0)),"")</f>
        <v/>
      </c>
      <c r="D150" s="26" t="str">
        <f aca="false">IFERROR(INDEX('Output Utente'!$C$2:$C$492,MATCH(147,'Output Utente'!$R$2:$R$492,0)),"")</f>
        <v/>
      </c>
      <c r="E150" s="26" t="str">
        <f aca="false">IFERROR(INDEX('Input Giocatori 2026_27'!$D$3:$D$493,MATCH($B150,'Input Giocatori 2026_27'!$A$3:$A$493,0)),"")</f>
        <v/>
      </c>
      <c r="F150" s="27" t="str">
        <f aca="false">IFERROR(INDEX('Output Utente'!$N$2:$N$492,MATCH(147,'Output Utente'!$R$2:$R$492,0)),"")</f>
        <v/>
      </c>
      <c r="G150" s="26" t="str">
        <f aca="false">IFERROR(INDEX('Output Utente'!$O$2:$O$492,MATCH(147,'Output Utente'!$R$2:$R$492,0)),"")</f>
        <v/>
      </c>
      <c r="H150" s="26" t="str">
        <f aca="false">IFERROR(INDEX('Output Utente'!$P$2:$P$492,MATCH(147,'Output Utente'!$R$2:$R$492,0)),"")</f>
        <v/>
      </c>
      <c r="I150" s="27" t="str">
        <f aca="false">IFERROR(INDEX('Output Utente'!$F$2:$F$492,MATCH(147,'Output Utente'!$R$2:$R$492,0)),"")</f>
        <v/>
      </c>
      <c r="J150" s="27" t="str">
        <f aca="false">IFERROR(INDEX('Output Utente'!$G$2:$G$492,MATCH(147,'Output Utente'!$R$2:$R$492,0)),"")</f>
        <v/>
      </c>
      <c r="K150" s="27" t="str">
        <f aca="false">IFERROR(INDEX('Output Utente'!$H$2:$H$492,MATCH(147,'Output Utente'!$R$2:$R$492,0)),"")</f>
        <v/>
      </c>
      <c r="L150" s="26" t="str">
        <f aca="false">IFERROR(INDEX('Output Utente'!$E$2:$E$492,MATCH(147,'Output Utente'!$R$2:$R$492,0)),"")</f>
        <v/>
      </c>
    </row>
    <row r="151" customFormat="false" ht="15" hidden="false" customHeight="true" outlineLevel="0" collapsed="false">
      <c r="A151" s="29" t="n">
        <v>148</v>
      </c>
      <c r="B151" s="26" t="str">
        <f aca="false">IFERROR(INDEX('Output Utente'!$A$2:$A$492,MATCH(148,'Output Utente'!$R$2:$R$492,0)),"")</f>
        <v/>
      </c>
      <c r="C151" s="26" t="str">
        <f aca="false">IFERROR(INDEX('Output Utente'!$B$2:$B$492,MATCH(148,'Output Utente'!$R$2:$R$492,0)),"")</f>
        <v/>
      </c>
      <c r="D151" s="26" t="str">
        <f aca="false">IFERROR(INDEX('Output Utente'!$C$2:$C$492,MATCH(148,'Output Utente'!$R$2:$R$492,0)),"")</f>
        <v/>
      </c>
      <c r="E151" s="26" t="str">
        <f aca="false">IFERROR(INDEX('Input Giocatori 2026_27'!$D$3:$D$493,MATCH($B151,'Input Giocatori 2026_27'!$A$3:$A$493,0)),"")</f>
        <v/>
      </c>
      <c r="F151" s="27" t="str">
        <f aca="false">IFERROR(INDEX('Output Utente'!$N$2:$N$492,MATCH(148,'Output Utente'!$R$2:$R$492,0)),"")</f>
        <v/>
      </c>
      <c r="G151" s="26" t="str">
        <f aca="false">IFERROR(INDEX('Output Utente'!$O$2:$O$492,MATCH(148,'Output Utente'!$R$2:$R$492,0)),"")</f>
        <v/>
      </c>
      <c r="H151" s="26" t="str">
        <f aca="false">IFERROR(INDEX('Output Utente'!$P$2:$P$492,MATCH(148,'Output Utente'!$R$2:$R$492,0)),"")</f>
        <v/>
      </c>
      <c r="I151" s="27" t="str">
        <f aca="false">IFERROR(INDEX('Output Utente'!$F$2:$F$492,MATCH(148,'Output Utente'!$R$2:$R$492,0)),"")</f>
        <v/>
      </c>
      <c r="J151" s="27" t="str">
        <f aca="false">IFERROR(INDEX('Output Utente'!$G$2:$G$492,MATCH(148,'Output Utente'!$R$2:$R$492,0)),"")</f>
        <v/>
      </c>
      <c r="K151" s="27" t="str">
        <f aca="false">IFERROR(INDEX('Output Utente'!$H$2:$H$492,MATCH(148,'Output Utente'!$R$2:$R$492,0)),"")</f>
        <v/>
      </c>
      <c r="L151" s="26" t="str">
        <f aca="false">IFERROR(INDEX('Output Utente'!$E$2:$E$492,MATCH(148,'Output Utente'!$R$2:$R$492,0)),"")</f>
        <v/>
      </c>
    </row>
    <row r="152" customFormat="false" ht="15" hidden="false" customHeight="true" outlineLevel="0" collapsed="false">
      <c r="A152" s="29" t="n">
        <v>149</v>
      </c>
      <c r="B152" s="26" t="str">
        <f aca="false">IFERROR(INDEX('Output Utente'!$A$2:$A$492,MATCH(149,'Output Utente'!$R$2:$R$492,0)),"")</f>
        <v/>
      </c>
      <c r="C152" s="26" t="str">
        <f aca="false">IFERROR(INDEX('Output Utente'!$B$2:$B$492,MATCH(149,'Output Utente'!$R$2:$R$492,0)),"")</f>
        <v/>
      </c>
      <c r="D152" s="26" t="str">
        <f aca="false">IFERROR(INDEX('Output Utente'!$C$2:$C$492,MATCH(149,'Output Utente'!$R$2:$R$492,0)),"")</f>
        <v/>
      </c>
      <c r="E152" s="26" t="str">
        <f aca="false">IFERROR(INDEX('Input Giocatori 2026_27'!$D$3:$D$493,MATCH($B152,'Input Giocatori 2026_27'!$A$3:$A$493,0)),"")</f>
        <v/>
      </c>
      <c r="F152" s="27" t="str">
        <f aca="false">IFERROR(INDEX('Output Utente'!$N$2:$N$492,MATCH(149,'Output Utente'!$R$2:$R$492,0)),"")</f>
        <v/>
      </c>
      <c r="G152" s="26" t="str">
        <f aca="false">IFERROR(INDEX('Output Utente'!$O$2:$O$492,MATCH(149,'Output Utente'!$R$2:$R$492,0)),"")</f>
        <v/>
      </c>
      <c r="H152" s="26" t="str">
        <f aca="false">IFERROR(INDEX('Output Utente'!$P$2:$P$492,MATCH(149,'Output Utente'!$R$2:$R$492,0)),"")</f>
        <v/>
      </c>
      <c r="I152" s="27" t="str">
        <f aca="false">IFERROR(INDEX('Output Utente'!$F$2:$F$492,MATCH(149,'Output Utente'!$R$2:$R$492,0)),"")</f>
        <v/>
      </c>
      <c r="J152" s="27" t="str">
        <f aca="false">IFERROR(INDEX('Output Utente'!$G$2:$G$492,MATCH(149,'Output Utente'!$R$2:$R$492,0)),"")</f>
        <v/>
      </c>
      <c r="K152" s="27" t="str">
        <f aca="false">IFERROR(INDEX('Output Utente'!$H$2:$H$492,MATCH(149,'Output Utente'!$R$2:$R$492,0)),"")</f>
        <v/>
      </c>
      <c r="L152" s="26" t="str">
        <f aca="false">IFERROR(INDEX('Output Utente'!$E$2:$E$492,MATCH(149,'Output Utente'!$R$2:$R$492,0)),"")</f>
        <v/>
      </c>
    </row>
    <row r="153" customFormat="false" ht="15" hidden="false" customHeight="true" outlineLevel="0" collapsed="false">
      <c r="A153" s="29" t="n">
        <v>150</v>
      </c>
      <c r="B153" s="26" t="str">
        <f aca="false">IFERROR(INDEX('Output Utente'!$A$2:$A$492,MATCH(150,'Output Utente'!$R$2:$R$492,0)),"")</f>
        <v/>
      </c>
      <c r="C153" s="26" t="str">
        <f aca="false">IFERROR(INDEX('Output Utente'!$B$2:$B$492,MATCH(150,'Output Utente'!$R$2:$R$492,0)),"")</f>
        <v/>
      </c>
      <c r="D153" s="26" t="str">
        <f aca="false">IFERROR(INDEX('Output Utente'!$C$2:$C$492,MATCH(150,'Output Utente'!$R$2:$R$492,0)),"")</f>
        <v/>
      </c>
      <c r="E153" s="26" t="str">
        <f aca="false">IFERROR(INDEX('Input Giocatori 2026_27'!$D$3:$D$493,MATCH($B153,'Input Giocatori 2026_27'!$A$3:$A$493,0)),"")</f>
        <v/>
      </c>
      <c r="F153" s="27" t="str">
        <f aca="false">IFERROR(INDEX('Output Utente'!$N$2:$N$492,MATCH(150,'Output Utente'!$R$2:$R$492,0)),"")</f>
        <v/>
      </c>
      <c r="G153" s="26" t="str">
        <f aca="false">IFERROR(INDEX('Output Utente'!$O$2:$O$492,MATCH(150,'Output Utente'!$R$2:$R$492,0)),"")</f>
        <v/>
      </c>
      <c r="H153" s="26" t="str">
        <f aca="false">IFERROR(INDEX('Output Utente'!$P$2:$P$492,MATCH(150,'Output Utente'!$R$2:$R$492,0)),"")</f>
        <v/>
      </c>
      <c r="I153" s="27" t="str">
        <f aca="false">IFERROR(INDEX('Output Utente'!$F$2:$F$492,MATCH(150,'Output Utente'!$R$2:$R$492,0)),"")</f>
        <v/>
      </c>
      <c r="J153" s="27" t="str">
        <f aca="false">IFERROR(INDEX('Output Utente'!$G$2:$G$492,MATCH(150,'Output Utente'!$R$2:$R$492,0)),"")</f>
        <v/>
      </c>
      <c r="K153" s="27" t="str">
        <f aca="false">IFERROR(INDEX('Output Utente'!$H$2:$H$492,MATCH(150,'Output Utente'!$R$2:$R$492,0)),"")</f>
        <v/>
      </c>
      <c r="L153" s="26" t="str">
        <f aca="false">IFERROR(INDEX('Output Utente'!$E$2:$E$492,MATCH(150,'Output Utente'!$R$2:$R$492,0)),"")</f>
        <v/>
      </c>
    </row>
    <row r="154" customFormat="false" ht="15" hidden="false" customHeight="true" outlineLevel="0" collapsed="false">
      <c r="A154" s="29" t="n">
        <v>151</v>
      </c>
      <c r="B154" s="26" t="str">
        <f aca="false">IFERROR(INDEX('Output Utente'!$A$2:$A$492,MATCH(151,'Output Utente'!$R$2:$R$492,0)),"")</f>
        <v/>
      </c>
      <c r="C154" s="26" t="str">
        <f aca="false">IFERROR(INDEX('Output Utente'!$B$2:$B$492,MATCH(151,'Output Utente'!$R$2:$R$492,0)),"")</f>
        <v/>
      </c>
      <c r="D154" s="26" t="str">
        <f aca="false">IFERROR(INDEX('Output Utente'!$C$2:$C$492,MATCH(151,'Output Utente'!$R$2:$R$492,0)),"")</f>
        <v/>
      </c>
      <c r="E154" s="26" t="str">
        <f aca="false">IFERROR(INDEX('Input Giocatori 2026_27'!$D$3:$D$493,MATCH($B154,'Input Giocatori 2026_27'!$A$3:$A$493,0)),"")</f>
        <v/>
      </c>
      <c r="F154" s="27" t="str">
        <f aca="false">IFERROR(INDEX('Output Utente'!$N$2:$N$492,MATCH(151,'Output Utente'!$R$2:$R$492,0)),"")</f>
        <v/>
      </c>
      <c r="G154" s="26" t="str">
        <f aca="false">IFERROR(INDEX('Output Utente'!$O$2:$O$492,MATCH(151,'Output Utente'!$R$2:$R$492,0)),"")</f>
        <v/>
      </c>
      <c r="H154" s="26" t="str">
        <f aca="false">IFERROR(INDEX('Output Utente'!$P$2:$P$492,MATCH(151,'Output Utente'!$R$2:$R$492,0)),"")</f>
        <v/>
      </c>
      <c r="I154" s="27" t="str">
        <f aca="false">IFERROR(INDEX('Output Utente'!$F$2:$F$492,MATCH(151,'Output Utente'!$R$2:$R$492,0)),"")</f>
        <v/>
      </c>
      <c r="J154" s="27" t="str">
        <f aca="false">IFERROR(INDEX('Output Utente'!$G$2:$G$492,MATCH(151,'Output Utente'!$R$2:$R$492,0)),"")</f>
        <v/>
      </c>
      <c r="K154" s="27" t="str">
        <f aca="false">IFERROR(INDEX('Output Utente'!$H$2:$H$492,MATCH(151,'Output Utente'!$R$2:$R$492,0)),"")</f>
        <v/>
      </c>
      <c r="L154" s="26" t="str">
        <f aca="false">IFERROR(INDEX('Output Utente'!$E$2:$E$492,MATCH(151,'Output Utente'!$R$2:$R$492,0)),"")</f>
        <v/>
      </c>
    </row>
    <row r="155" customFormat="false" ht="15" hidden="false" customHeight="true" outlineLevel="0" collapsed="false">
      <c r="A155" s="29" t="n">
        <v>152</v>
      </c>
      <c r="B155" s="26" t="str">
        <f aca="false">IFERROR(INDEX('Output Utente'!$A$2:$A$492,MATCH(152,'Output Utente'!$R$2:$R$492,0)),"")</f>
        <v/>
      </c>
      <c r="C155" s="26" t="str">
        <f aca="false">IFERROR(INDEX('Output Utente'!$B$2:$B$492,MATCH(152,'Output Utente'!$R$2:$R$492,0)),"")</f>
        <v/>
      </c>
      <c r="D155" s="26" t="str">
        <f aca="false">IFERROR(INDEX('Output Utente'!$C$2:$C$492,MATCH(152,'Output Utente'!$R$2:$R$492,0)),"")</f>
        <v/>
      </c>
      <c r="E155" s="26" t="str">
        <f aca="false">IFERROR(INDEX('Input Giocatori 2026_27'!$D$3:$D$493,MATCH($B155,'Input Giocatori 2026_27'!$A$3:$A$493,0)),"")</f>
        <v/>
      </c>
      <c r="F155" s="27" t="str">
        <f aca="false">IFERROR(INDEX('Output Utente'!$N$2:$N$492,MATCH(152,'Output Utente'!$R$2:$R$492,0)),"")</f>
        <v/>
      </c>
      <c r="G155" s="26" t="str">
        <f aca="false">IFERROR(INDEX('Output Utente'!$O$2:$O$492,MATCH(152,'Output Utente'!$R$2:$R$492,0)),"")</f>
        <v/>
      </c>
      <c r="H155" s="26" t="str">
        <f aca="false">IFERROR(INDEX('Output Utente'!$P$2:$P$492,MATCH(152,'Output Utente'!$R$2:$R$492,0)),"")</f>
        <v/>
      </c>
      <c r="I155" s="27" t="str">
        <f aca="false">IFERROR(INDEX('Output Utente'!$F$2:$F$492,MATCH(152,'Output Utente'!$R$2:$R$492,0)),"")</f>
        <v/>
      </c>
      <c r="J155" s="27" t="str">
        <f aca="false">IFERROR(INDEX('Output Utente'!$G$2:$G$492,MATCH(152,'Output Utente'!$R$2:$R$492,0)),"")</f>
        <v/>
      </c>
      <c r="K155" s="27" t="str">
        <f aca="false">IFERROR(INDEX('Output Utente'!$H$2:$H$492,MATCH(152,'Output Utente'!$R$2:$R$492,0)),"")</f>
        <v/>
      </c>
      <c r="L155" s="26" t="str">
        <f aca="false">IFERROR(INDEX('Output Utente'!$E$2:$E$492,MATCH(152,'Output Utente'!$R$2:$R$492,0)),"")</f>
        <v/>
      </c>
    </row>
    <row r="156" customFormat="false" ht="15" hidden="false" customHeight="true" outlineLevel="0" collapsed="false">
      <c r="A156" s="29" t="n">
        <v>153</v>
      </c>
      <c r="B156" s="26" t="str">
        <f aca="false">IFERROR(INDEX('Output Utente'!$A$2:$A$492,MATCH(153,'Output Utente'!$R$2:$R$492,0)),"")</f>
        <v/>
      </c>
      <c r="C156" s="26" t="str">
        <f aca="false">IFERROR(INDEX('Output Utente'!$B$2:$B$492,MATCH(153,'Output Utente'!$R$2:$R$492,0)),"")</f>
        <v/>
      </c>
      <c r="D156" s="26" t="str">
        <f aca="false">IFERROR(INDEX('Output Utente'!$C$2:$C$492,MATCH(153,'Output Utente'!$R$2:$R$492,0)),"")</f>
        <v/>
      </c>
      <c r="E156" s="26" t="str">
        <f aca="false">IFERROR(INDEX('Input Giocatori 2026_27'!$D$3:$D$493,MATCH($B156,'Input Giocatori 2026_27'!$A$3:$A$493,0)),"")</f>
        <v/>
      </c>
      <c r="F156" s="27" t="str">
        <f aca="false">IFERROR(INDEX('Output Utente'!$N$2:$N$492,MATCH(153,'Output Utente'!$R$2:$R$492,0)),"")</f>
        <v/>
      </c>
      <c r="G156" s="26" t="str">
        <f aca="false">IFERROR(INDEX('Output Utente'!$O$2:$O$492,MATCH(153,'Output Utente'!$R$2:$R$492,0)),"")</f>
        <v/>
      </c>
      <c r="H156" s="26" t="str">
        <f aca="false">IFERROR(INDEX('Output Utente'!$P$2:$P$492,MATCH(153,'Output Utente'!$R$2:$R$492,0)),"")</f>
        <v/>
      </c>
      <c r="I156" s="27" t="str">
        <f aca="false">IFERROR(INDEX('Output Utente'!$F$2:$F$492,MATCH(153,'Output Utente'!$R$2:$R$492,0)),"")</f>
        <v/>
      </c>
      <c r="J156" s="27" t="str">
        <f aca="false">IFERROR(INDEX('Output Utente'!$G$2:$G$492,MATCH(153,'Output Utente'!$R$2:$R$492,0)),"")</f>
        <v/>
      </c>
      <c r="K156" s="27" t="str">
        <f aca="false">IFERROR(INDEX('Output Utente'!$H$2:$H$492,MATCH(153,'Output Utente'!$R$2:$R$492,0)),"")</f>
        <v/>
      </c>
      <c r="L156" s="26" t="str">
        <f aca="false">IFERROR(INDEX('Output Utente'!$E$2:$E$492,MATCH(153,'Output Utente'!$R$2:$R$492,0)),"")</f>
        <v/>
      </c>
    </row>
    <row r="157" customFormat="false" ht="15" hidden="false" customHeight="true" outlineLevel="0" collapsed="false">
      <c r="A157" s="29" t="n">
        <v>154</v>
      </c>
      <c r="B157" s="26" t="str">
        <f aca="false">IFERROR(INDEX('Output Utente'!$A$2:$A$492,MATCH(154,'Output Utente'!$R$2:$R$492,0)),"")</f>
        <v/>
      </c>
      <c r="C157" s="26" t="str">
        <f aca="false">IFERROR(INDEX('Output Utente'!$B$2:$B$492,MATCH(154,'Output Utente'!$R$2:$R$492,0)),"")</f>
        <v/>
      </c>
      <c r="D157" s="26" t="str">
        <f aca="false">IFERROR(INDEX('Output Utente'!$C$2:$C$492,MATCH(154,'Output Utente'!$R$2:$R$492,0)),"")</f>
        <v/>
      </c>
      <c r="E157" s="26" t="str">
        <f aca="false">IFERROR(INDEX('Input Giocatori 2026_27'!$D$3:$D$493,MATCH($B157,'Input Giocatori 2026_27'!$A$3:$A$493,0)),"")</f>
        <v/>
      </c>
      <c r="F157" s="27" t="str">
        <f aca="false">IFERROR(INDEX('Output Utente'!$N$2:$N$492,MATCH(154,'Output Utente'!$R$2:$R$492,0)),"")</f>
        <v/>
      </c>
      <c r="G157" s="26" t="str">
        <f aca="false">IFERROR(INDEX('Output Utente'!$O$2:$O$492,MATCH(154,'Output Utente'!$R$2:$R$492,0)),"")</f>
        <v/>
      </c>
      <c r="H157" s="26" t="str">
        <f aca="false">IFERROR(INDEX('Output Utente'!$P$2:$P$492,MATCH(154,'Output Utente'!$R$2:$R$492,0)),"")</f>
        <v/>
      </c>
      <c r="I157" s="27" t="str">
        <f aca="false">IFERROR(INDEX('Output Utente'!$F$2:$F$492,MATCH(154,'Output Utente'!$R$2:$R$492,0)),"")</f>
        <v/>
      </c>
      <c r="J157" s="27" t="str">
        <f aca="false">IFERROR(INDEX('Output Utente'!$G$2:$G$492,MATCH(154,'Output Utente'!$R$2:$R$492,0)),"")</f>
        <v/>
      </c>
      <c r="K157" s="27" t="str">
        <f aca="false">IFERROR(INDEX('Output Utente'!$H$2:$H$492,MATCH(154,'Output Utente'!$R$2:$R$492,0)),"")</f>
        <v/>
      </c>
      <c r="L157" s="26" t="str">
        <f aca="false">IFERROR(INDEX('Output Utente'!$E$2:$E$492,MATCH(154,'Output Utente'!$R$2:$R$492,0)),"")</f>
        <v/>
      </c>
    </row>
    <row r="158" customFormat="false" ht="15" hidden="false" customHeight="true" outlineLevel="0" collapsed="false">
      <c r="A158" s="29" t="n">
        <v>155</v>
      </c>
      <c r="B158" s="26" t="str">
        <f aca="false">IFERROR(INDEX('Output Utente'!$A$2:$A$492,MATCH(155,'Output Utente'!$R$2:$R$492,0)),"")</f>
        <v/>
      </c>
      <c r="C158" s="26" t="str">
        <f aca="false">IFERROR(INDEX('Output Utente'!$B$2:$B$492,MATCH(155,'Output Utente'!$R$2:$R$492,0)),"")</f>
        <v/>
      </c>
      <c r="D158" s="26" t="str">
        <f aca="false">IFERROR(INDEX('Output Utente'!$C$2:$C$492,MATCH(155,'Output Utente'!$R$2:$R$492,0)),"")</f>
        <v/>
      </c>
      <c r="E158" s="26" t="str">
        <f aca="false">IFERROR(INDEX('Input Giocatori 2026_27'!$D$3:$D$493,MATCH($B158,'Input Giocatori 2026_27'!$A$3:$A$493,0)),"")</f>
        <v/>
      </c>
      <c r="F158" s="27" t="str">
        <f aca="false">IFERROR(INDEX('Output Utente'!$N$2:$N$492,MATCH(155,'Output Utente'!$R$2:$R$492,0)),"")</f>
        <v/>
      </c>
      <c r="G158" s="26" t="str">
        <f aca="false">IFERROR(INDEX('Output Utente'!$O$2:$O$492,MATCH(155,'Output Utente'!$R$2:$R$492,0)),"")</f>
        <v/>
      </c>
      <c r="H158" s="26" t="str">
        <f aca="false">IFERROR(INDEX('Output Utente'!$P$2:$P$492,MATCH(155,'Output Utente'!$R$2:$R$492,0)),"")</f>
        <v/>
      </c>
      <c r="I158" s="27" t="str">
        <f aca="false">IFERROR(INDEX('Output Utente'!$F$2:$F$492,MATCH(155,'Output Utente'!$R$2:$R$492,0)),"")</f>
        <v/>
      </c>
      <c r="J158" s="27" t="str">
        <f aca="false">IFERROR(INDEX('Output Utente'!$G$2:$G$492,MATCH(155,'Output Utente'!$R$2:$R$492,0)),"")</f>
        <v/>
      </c>
      <c r="K158" s="27" t="str">
        <f aca="false">IFERROR(INDEX('Output Utente'!$H$2:$H$492,MATCH(155,'Output Utente'!$R$2:$R$492,0)),"")</f>
        <v/>
      </c>
      <c r="L158" s="26" t="str">
        <f aca="false">IFERROR(INDEX('Output Utente'!$E$2:$E$492,MATCH(155,'Output Utente'!$R$2:$R$492,0)),"")</f>
        <v/>
      </c>
    </row>
    <row r="159" customFormat="false" ht="15" hidden="false" customHeight="true" outlineLevel="0" collapsed="false">
      <c r="A159" s="29" t="n">
        <v>156</v>
      </c>
      <c r="B159" s="26" t="str">
        <f aca="false">IFERROR(INDEX('Output Utente'!$A$2:$A$492,MATCH(156,'Output Utente'!$R$2:$R$492,0)),"")</f>
        <v/>
      </c>
      <c r="C159" s="26" t="str">
        <f aca="false">IFERROR(INDEX('Output Utente'!$B$2:$B$492,MATCH(156,'Output Utente'!$R$2:$R$492,0)),"")</f>
        <v/>
      </c>
      <c r="D159" s="26" t="str">
        <f aca="false">IFERROR(INDEX('Output Utente'!$C$2:$C$492,MATCH(156,'Output Utente'!$R$2:$R$492,0)),"")</f>
        <v/>
      </c>
      <c r="E159" s="26" t="str">
        <f aca="false">IFERROR(INDEX('Input Giocatori 2026_27'!$D$3:$D$493,MATCH($B159,'Input Giocatori 2026_27'!$A$3:$A$493,0)),"")</f>
        <v/>
      </c>
      <c r="F159" s="27" t="str">
        <f aca="false">IFERROR(INDEX('Output Utente'!$N$2:$N$492,MATCH(156,'Output Utente'!$R$2:$R$492,0)),"")</f>
        <v/>
      </c>
      <c r="G159" s="26" t="str">
        <f aca="false">IFERROR(INDEX('Output Utente'!$O$2:$O$492,MATCH(156,'Output Utente'!$R$2:$R$492,0)),"")</f>
        <v/>
      </c>
      <c r="H159" s="26" t="str">
        <f aca="false">IFERROR(INDEX('Output Utente'!$P$2:$P$492,MATCH(156,'Output Utente'!$R$2:$R$492,0)),"")</f>
        <v/>
      </c>
      <c r="I159" s="27" t="str">
        <f aca="false">IFERROR(INDEX('Output Utente'!$F$2:$F$492,MATCH(156,'Output Utente'!$R$2:$R$492,0)),"")</f>
        <v/>
      </c>
      <c r="J159" s="27" t="str">
        <f aca="false">IFERROR(INDEX('Output Utente'!$G$2:$G$492,MATCH(156,'Output Utente'!$R$2:$R$492,0)),"")</f>
        <v/>
      </c>
      <c r="K159" s="27" t="str">
        <f aca="false">IFERROR(INDEX('Output Utente'!$H$2:$H$492,MATCH(156,'Output Utente'!$R$2:$R$492,0)),"")</f>
        <v/>
      </c>
      <c r="L159" s="26" t="str">
        <f aca="false">IFERROR(INDEX('Output Utente'!$E$2:$E$492,MATCH(156,'Output Utente'!$R$2:$R$492,0)),"")</f>
        <v/>
      </c>
    </row>
    <row r="160" customFormat="false" ht="15" hidden="false" customHeight="true" outlineLevel="0" collapsed="false">
      <c r="A160" s="29" t="n">
        <v>157</v>
      </c>
      <c r="B160" s="26" t="str">
        <f aca="false">IFERROR(INDEX('Output Utente'!$A$2:$A$492,MATCH(157,'Output Utente'!$R$2:$R$492,0)),"")</f>
        <v/>
      </c>
      <c r="C160" s="26" t="str">
        <f aca="false">IFERROR(INDEX('Output Utente'!$B$2:$B$492,MATCH(157,'Output Utente'!$R$2:$R$492,0)),"")</f>
        <v/>
      </c>
      <c r="D160" s="26" t="str">
        <f aca="false">IFERROR(INDEX('Output Utente'!$C$2:$C$492,MATCH(157,'Output Utente'!$R$2:$R$492,0)),"")</f>
        <v/>
      </c>
      <c r="E160" s="26" t="str">
        <f aca="false">IFERROR(INDEX('Input Giocatori 2026_27'!$D$3:$D$493,MATCH($B160,'Input Giocatori 2026_27'!$A$3:$A$493,0)),"")</f>
        <v/>
      </c>
      <c r="F160" s="27" t="str">
        <f aca="false">IFERROR(INDEX('Output Utente'!$N$2:$N$492,MATCH(157,'Output Utente'!$R$2:$R$492,0)),"")</f>
        <v/>
      </c>
      <c r="G160" s="26" t="str">
        <f aca="false">IFERROR(INDEX('Output Utente'!$O$2:$O$492,MATCH(157,'Output Utente'!$R$2:$R$492,0)),"")</f>
        <v/>
      </c>
      <c r="H160" s="26" t="str">
        <f aca="false">IFERROR(INDEX('Output Utente'!$P$2:$P$492,MATCH(157,'Output Utente'!$R$2:$R$492,0)),"")</f>
        <v/>
      </c>
      <c r="I160" s="27" t="str">
        <f aca="false">IFERROR(INDEX('Output Utente'!$F$2:$F$492,MATCH(157,'Output Utente'!$R$2:$R$492,0)),"")</f>
        <v/>
      </c>
      <c r="J160" s="27" t="str">
        <f aca="false">IFERROR(INDEX('Output Utente'!$G$2:$G$492,MATCH(157,'Output Utente'!$R$2:$R$492,0)),"")</f>
        <v/>
      </c>
      <c r="K160" s="27" t="str">
        <f aca="false">IFERROR(INDEX('Output Utente'!$H$2:$H$492,MATCH(157,'Output Utente'!$R$2:$R$492,0)),"")</f>
        <v/>
      </c>
      <c r="L160" s="26" t="str">
        <f aca="false">IFERROR(INDEX('Output Utente'!$E$2:$E$492,MATCH(157,'Output Utente'!$R$2:$R$492,0)),"")</f>
        <v/>
      </c>
    </row>
    <row r="161" customFormat="false" ht="15" hidden="false" customHeight="true" outlineLevel="0" collapsed="false">
      <c r="A161" s="29" t="n">
        <v>158</v>
      </c>
      <c r="B161" s="26" t="str">
        <f aca="false">IFERROR(INDEX('Output Utente'!$A$2:$A$492,MATCH(158,'Output Utente'!$R$2:$R$492,0)),"")</f>
        <v/>
      </c>
      <c r="C161" s="26" t="str">
        <f aca="false">IFERROR(INDEX('Output Utente'!$B$2:$B$492,MATCH(158,'Output Utente'!$R$2:$R$492,0)),"")</f>
        <v/>
      </c>
      <c r="D161" s="26" t="str">
        <f aca="false">IFERROR(INDEX('Output Utente'!$C$2:$C$492,MATCH(158,'Output Utente'!$R$2:$R$492,0)),"")</f>
        <v/>
      </c>
      <c r="E161" s="26" t="str">
        <f aca="false">IFERROR(INDEX('Input Giocatori 2026_27'!$D$3:$D$493,MATCH($B161,'Input Giocatori 2026_27'!$A$3:$A$493,0)),"")</f>
        <v/>
      </c>
      <c r="F161" s="27" t="str">
        <f aca="false">IFERROR(INDEX('Output Utente'!$N$2:$N$492,MATCH(158,'Output Utente'!$R$2:$R$492,0)),"")</f>
        <v/>
      </c>
      <c r="G161" s="26" t="str">
        <f aca="false">IFERROR(INDEX('Output Utente'!$O$2:$O$492,MATCH(158,'Output Utente'!$R$2:$R$492,0)),"")</f>
        <v/>
      </c>
      <c r="H161" s="26" t="str">
        <f aca="false">IFERROR(INDEX('Output Utente'!$P$2:$P$492,MATCH(158,'Output Utente'!$R$2:$R$492,0)),"")</f>
        <v/>
      </c>
      <c r="I161" s="27" t="str">
        <f aca="false">IFERROR(INDEX('Output Utente'!$F$2:$F$492,MATCH(158,'Output Utente'!$R$2:$R$492,0)),"")</f>
        <v/>
      </c>
      <c r="J161" s="27" t="str">
        <f aca="false">IFERROR(INDEX('Output Utente'!$G$2:$G$492,MATCH(158,'Output Utente'!$R$2:$R$492,0)),"")</f>
        <v/>
      </c>
      <c r="K161" s="27" t="str">
        <f aca="false">IFERROR(INDEX('Output Utente'!$H$2:$H$492,MATCH(158,'Output Utente'!$R$2:$R$492,0)),"")</f>
        <v/>
      </c>
      <c r="L161" s="26" t="str">
        <f aca="false">IFERROR(INDEX('Output Utente'!$E$2:$E$492,MATCH(158,'Output Utente'!$R$2:$R$492,0)),"")</f>
        <v/>
      </c>
    </row>
    <row r="162" customFormat="false" ht="15" hidden="false" customHeight="true" outlineLevel="0" collapsed="false">
      <c r="A162" s="29" t="n">
        <v>159</v>
      </c>
      <c r="B162" s="26" t="str">
        <f aca="false">IFERROR(INDEX('Output Utente'!$A$2:$A$492,MATCH(159,'Output Utente'!$R$2:$R$492,0)),"")</f>
        <v/>
      </c>
      <c r="C162" s="26" t="str">
        <f aca="false">IFERROR(INDEX('Output Utente'!$B$2:$B$492,MATCH(159,'Output Utente'!$R$2:$R$492,0)),"")</f>
        <v/>
      </c>
      <c r="D162" s="26" t="str">
        <f aca="false">IFERROR(INDEX('Output Utente'!$C$2:$C$492,MATCH(159,'Output Utente'!$R$2:$R$492,0)),"")</f>
        <v/>
      </c>
      <c r="E162" s="26" t="str">
        <f aca="false">IFERROR(INDEX('Input Giocatori 2026_27'!$D$3:$D$493,MATCH($B162,'Input Giocatori 2026_27'!$A$3:$A$493,0)),"")</f>
        <v/>
      </c>
      <c r="F162" s="27" t="str">
        <f aca="false">IFERROR(INDEX('Output Utente'!$N$2:$N$492,MATCH(159,'Output Utente'!$R$2:$R$492,0)),"")</f>
        <v/>
      </c>
      <c r="G162" s="26" t="str">
        <f aca="false">IFERROR(INDEX('Output Utente'!$O$2:$O$492,MATCH(159,'Output Utente'!$R$2:$R$492,0)),"")</f>
        <v/>
      </c>
      <c r="H162" s="26" t="str">
        <f aca="false">IFERROR(INDEX('Output Utente'!$P$2:$P$492,MATCH(159,'Output Utente'!$R$2:$R$492,0)),"")</f>
        <v/>
      </c>
      <c r="I162" s="27" t="str">
        <f aca="false">IFERROR(INDEX('Output Utente'!$F$2:$F$492,MATCH(159,'Output Utente'!$R$2:$R$492,0)),"")</f>
        <v/>
      </c>
      <c r="J162" s="27" t="str">
        <f aca="false">IFERROR(INDEX('Output Utente'!$G$2:$G$492,MATCH(159,'Output Utente'!$R$2:$R$492,0)),"")</f>
        <v/>
      </c>
      <c r="K162" s="27" t="str">
        <f aca="false">IFERROR(INDEX('Output Utente'!$H$2:$H$492,MATCH(159,'Output Utente'!$R$2:$R$492,0)),"")</f>
        <v/>
      </c>
      <c r="L162" s="26" t="str">
        <f aca="false">IFERROR(INDEX('Output Utente'!$E$2:$E$492,MATCH(159,'Output Utente'!$R$2:$R$492,0)),"")</f>
        <v/>
      </c>
    </row>
    <row r="163" customFormat="false" ht="15" hidden="false" customHeight="true" outlineLevel="0" collapsed="false">
      <c r="A163" s="29" t="n">
        <v>160</v>
      </c>
      <c r="B163" s="26" t="str">
        <f aca="false">IFERROR(INDEX('Output Utente'!$A$2:$A$492,MATCH(160,'Output Utente'!$R$2:$R$492,0)),"")</f>
        <v/>
      </c>
      <c r="C163" s="26" t="str">
        <f aca="false">IFERROR(INDEX('Output Utente'!$B$2:$B$492,MATCH(160,'Output Utente'!$R$2:$R$492,0)),"")</f>
        <v/>
      </c>
      <c r="D163" s="26" t="str">
        <f aca="false">IFERROR(INDEX('Output Utente'!$C$2:$C$492,MATCH(160,'Output Utente'!$R$2:$R$492,0)),"")</f>
        <v/>
      </c>
      <c r="E163" s="26" t="str">
        <f aca="false">IFERROR(INDEX('Input Giocatori 2026_27'!$D$3:$D$493,MATCH($B163,'Input Giocatori 2026_27'!$A$3:$A$493,0)),"")</f>
        <v/>
      </c>
      <c r="F163" s="27" t="str">
        <f aca="false">IFERROR(INDEX('Output Utente'!$N$2:$N$492,MATCH(160,'Output Utente'!$R$2:$R$492,0)),"")</f>
        <v/>
      </c>
      <c r="G163" s="26" t="str">
        <f aca="false">IFERROR(INDEX('Output Utente'!$O$2:$O$492,MATCH(160,'Output Utente'!$R$2:$R$492,0)),"")</f>
        <v/>
      </c>
      <c r="H163" s="26" t="str">
        <f aca="false">IFERROR(INDEX('Output Utente'!$P$2:$P$492,MATCH(160,'Output Utente'!$R$2:$R$492,0)),"")</f>
        <v/>
      </c>
      <c r="I163" s="27" t="str">
        <f aca="false">IFERROR(INDEX('Output Utente'!$F$2:$F$492,MATCH(160,'Output Utente'!$R$2:$R$492,0)),"")</f>
        <v/>
      </c>
      <c r="J163" s="27" t="str">
        <f aca="false">IFERROR(INDEX('Output Utente'!$G$2:$G$492,MATCH(160,'Output Utente'!$R$2:$R$492,0)),"")</f>
        <v/>
      </c>
      <c r="K163" s="27" t="str">
        <f aca="false">IFERROR(INDEX('Output Utente'!$H$2:$H$492,MATCH(160,'Output Utente'!$R$2:$R$492,0)),"")</f>
        <v/>
      </c>
      <c r="L163" s="26" t="str">
        <f aca="false">IFERROR(INDEX('Output Utente'!$E$2:$E$492,MATCH(160,'Output Utente'!$R$2:$R$492,0)),"")</f>
        <v/>
      </c>
    </row>
    <row r="164" customFormat="false" ht="15" hidden="false" customHeight="true" outlineLevel="0" collapsed="false">
      <c r="A164" s="29" t="n">
        <v>161</v>
      </c>
      <c r="B164" s="26" t="str">
        <f aca="false">IFERROR(INDEX('Output Utente'!$A$2:$A$492,MATCH(161,'Output Utente'!$R$2:$R$492,0)),"")</f>
        <v/>
      </c>
      <c r="C164" s="26" t="str">
        <f aca="false">IFERROR(INDEX('Output Utente'!$B$2:$B$492,MATCH(161,'Output Utente'!$R$2:$R$492,0)),"")</f>
        <v/>
      </c>
      <c r="D164" s="26" t="str">
        <f aca="false">IFERROR(INDEX('Output Utente'!$C$2:$C$492,MATCH(161,'Output Utente'!$R$2:$R$492,0)),"")</f>
        <v/>
      </c>
      <c r="E164" s="26" t="str">
        <f aca="false">IFERROR(INDEX('Input Giocatori 2026_27'!$D$3:$D$493,MATCH($B164,'Input Giocatori 2026_27'!$A$3:$A$493,0)),"")</f>
        <v/>
      </c>
      <c r="F164" s="27" t="str">
        <f aca="false">IFERROR(INDEX('Output Utente'!$N$2:$N$492,MATCH(161,'Output Utente'!$R$2:$R$492,0)),"")</f>
        <v/>
      </c>
      <c r="G164" s="26" t="str">
        <f aca="false">IFERROR(INDEX('Output Utente'!$O$2:$O$492,MATCH(161,'Output Utente'!$R$2:$R$492,0)),"")</f>
        <v/>
      </c>
      <c r="H164" s="26" t="str">
        <f aca="false">IFERROR(INDEX('Output Utente'!$P$2:$P$492,MATCH(161,'Output Utente'!$R$2:$R$492,0)),"")</f>
        <v/>
      </c>
      <c r="I164" s="27" t="str">
        <f aca="false">IFERROR(INDEX('Output Utente'!$F$2:$F$492,MATCH(161,'Output Utente'!$R$2:$R$492,0)),"")</f>
        <v/>
      </c>
      <c r="J164" s="27" t="str">
        <f aca="false">IFERROR(INDEX('Output Utente'!$G$2:$G$492,MATCH(161,'Output Utente'!$R$2:$R$492,0)),"")</f>
        <v/>
      </c>
      <c r="K164" s="27" t="str">
        <f aca="false">IFERROR(INDEX('Output Utente'!$H$2:$H$492,MATCH(161,'Output Utente'!$R$2:$R$492,0)),"")</f>
        <v/>
      </c>
      <c r="L164" s="26" t="str">
        <f aca="false">IFERROR(INDEX('Output Utente'!$E$2:$E$492,MATCH(161,'Output Utente'!$R$2:$R$492,0)),"")</f>
        <v/>
      </c>
    </row>
    <row r="165" customFormat="false" ht="15" hidden="false" customHeight="true" outlineLevel="0" collapsed="false">
      <c r="A165" s="29" t="n">
        <v>162</v>
      </c>
      <c r="B165" s="26" t="str">
        <f aca="false">IFERROR(INDEX('Output Utente'!$A$2:$A$492,MATCH(162,'Output Utente'!$R$2:$R$492,0)),"")</f>
        <v/>
      </c>
      <c r="C165" s="26" t="str">
        <f aca="false">IFERROR(INDEX('Output Utente'!$B$2:$B$492,MATCH(162,'Output Utente'!$R$2:$R$492,0)),"")</f>
        <v/>
      </c>
      <c r="D165" s="26" t="str">
        <f aca="false">IFERROR(INDEX('Output Utente'!$C$2:$C$492,MATCH(162,'Output Utente'!$R$2:$R$492,0)),"")</f>
        <v/>
      </c>
      <c r="E165" s="26" t="str">
        <f aca="false">IFERROR(INDEX('Input Giocatori 2026_27'!$D$3:$D$493,MATCH($B165,'Input Giocatori 2026_27'!$A$3:$A$493,0)),"")</f>
        <v/>
      </c>
      <c r="F165" s="27" t="str">
        <f aca="false">IFERROR(INDEX('Output Utente'!$N$2:$N$492,MATCH(162,'Output Utente'!$R$2:$R$492,0)),"")</f>
        <v/>
      </c>
      <c r="G165" s="26" t="str">
        <f aca="false">IFERROR(INDEX('Output Utente'!$O$2:$O$492,MATCH(162,'Output Utente'!$R$2:$R$492,0)),"")</f>
        <v/>
      </c>
      <c r="H165" s="26" t="str">
        <f aca="false">IFERROR(INDEX('Output Utente'!$P$2:$P$492,MATCH(162,'Output Utente'!$R$2:$R$492,0)),"")</f>
        <v/>
      </c>
      <c r="I165" s="27" t="str">
        <f aca="false">IFERROR(INDEX('Output Utente'!$F$2:$F$492,MATCH(162,'Output Utente'!$R$2:$R$492,0)),"")</f>
        <v/>
      </c>
      <c r="J165" s="27" t="str">
        <f aca="false">IFERROR(INDEX('Output Utente'!$G$2:$G$492,MATCH(162,'Output Utente'!$R$2:$R$492,0)),"")</f>
        <v/>
      </c>
      <c r="K165" s="27" t="str">
        <f aca="false">IFERROR(INDEX('Output Utente'!$H$2:$H$492,MATCH(162,'Output Utente'!$R$2:$R$492,0)),"")</f>
        <v/>
      </c>
      <c r="L165" s="26" t="str">
        <f aca="false">IFERROR(INDEX('Output Utente'!$E$2:$E$492,MATCH(162,'Output Utente'!$R$2:$R$492,0)),"")</f>
        <v/>
      </c>
    </row>
    <row r="166" customFormat="false" ht="15" hidden="false" customHeight="true" outlineLevel="0" collapsed="false">
      <c r="A166" s="29" t="n">
        <v>163</v>
      </c>
      <c r="B166" s="26" t="str">
        <f aca="false">IFERROR(INDEX('Output Utente'!$A$2:$A$492,MATCH(163,'Output Utente'!$R$2:$R$492,0)),"")</f>
        <v/>
      </c>
      <c r="C166" s="26" t="str">
        <f aca="false">IFERROR(INDEX('Output Utente'!$B$2:$B$492,MATCH(163,'Output Utente'!$R$2:$R$492,0)),"")</f>
        <v/>
      </c>
      <c r="D166" s="26" t="str">
        <f aca="false">IFERROR(INDEX('Output Utente'!$C$2:$C$492,MATCH(163,'Output Utente'!$R$2:$R$492,0)),"")</f>
        <v/>
      </c>
      <c r="E166" s="26" t="str">
        <f aca="false">IFERROR(INDEX('Input Giocatori 2026_27'!$D$3:$D$493,MATCH($B166,'Input Giocatori 2026_27'!$A$3:$A$493,0)),"")</f>
        <v/>
      </c>
      <c r="F166" s="27" t="str">
        <f aca="false">IFERROR(INDEX('Output Utente'!$N$2:$N$492,MATCH(163,'Output Utente'!$R$2:$R$492,0)),"")</f>
        <v/>
      </c>
      <c r="G166" s="26" t="str">
        <f aca="false">IFERROR(INDEX('Output Utente'!$O$2:$O$492,MATCH(163,'Output Utente'!$R$2:$R$492,0)),"")</f>
        <v/>
      </c>
      <c r="H166" s="26" t="str">
        <f aca="false">IFERROR(INDEX('Output Utente'!$P$2:$P$492,MATCH(163,'Output Utente'!$R$2:$R$492,0)),"")</f>
        <v/>
      </c>
      <c r="I166" s="27" t="str">
        <f aca="false">IFERROR(INDEX('Output Utente'!$F$2:$F$492,MATCH(163,'Output Utente'!$R$2:$R$492,0)),"")</f>
        <v/>
      </c>
      <c r="J166" s="27" t="str">
        <f aca="false">IFERROR(INDEX('Output Utente'!$G$2:$G$492,MATCH(163,'Output Utente'!$R$2:$R$492,0)),"")</f>
        <v/>
      </c>
      <c r="K166" s="27" t="str">
        <f aca="false">IFERROR(INDEX('Output Utente'!$H$2:$H$492,MATCH(163,'Output Utente'!$R$2:$R$492,0)),"")</f>
        <v/>
      </c>
      <c r="L166" s="26" t="str">
        <f aca="false">IFERROR(INDEX('Output Utente'!$E$2:$E$492,MATCH(163,'Output Utente'!$R$2:$R$492,0)),"")</f>
        <v/>
      </c>
    </row>
    <row r="167" customFormat="false" ht="15" hidden="false" customHeight="true" outlineLevel="0" collapsed="false">
      <c r="A167" s="29" t="n">
        <v>164</v>
      </c>
      <c r="B167" s="26" t="str">
        <f aca="false">IFERROR(INDEX('Output Utente'!$A$2:$A$492,MATCH(164,'Output Utente'!$R$2:$R$492,0)),"")</f>
        <v/>
      </c>
      <c r="C167" s="26" t="str">
        <f aca="false">IFERROR(INDEX('Output Utente'!$B$2:$B$492,MATCH(164,'Output Utente'!$R$2:$R$492,0)),"")</f>
        <v/>
      </c>
      <c r="D167" s="26" t="str">
        <f aca="false">IFERROR(INDEX('Output Utente'!$C$2:$C$492,MATCH(164,'Output Utente'!$R$2:$R$492,0)),"")</f>
        <v/>
      </c>
      <c r="E167" s="26" t="str">
        <f aca="false">IFERROR(INDEX('Input Giocatori 2026_27'!$D$3:$D$493,MATCH($B167,'Input Giocatori 2026_27'!$A$3:$A$493,0)),"")</f>
        <v/>
      </c>
      <c r="F167" s="27" t="str">
        <f aca="false">IFERROR(INDEX('Output Utente'!$N$2:$N$492,MATCH(164,'Output Utente'!$R$2:$R$492,0)),"")</f>
        <v/>
      </c>
      <c r="G167" s="26" t="str">
        <f aca="false">IFERROR(INDEX('Output Utente'!$O$2:$O$492,MATCH(164,'Output Utente'!$R$2:$R$492,0)),"")</f>
        <v/>
      </c>
      <c r="H167" s="26" t="str">
        <f aca="false">IFERROR(INDEX('Output Utente'!$P$2:$P$492,MATCH(164,'Output Utente'!$R$2:$R$492,0)),"")</f>
        <v/>
      </c>
      <c r="I167" s="27" t="str">
        <f aca="false">IFERROR(INDEX('Output Utente'!$F$2:$F$492,MATCH(164,'Output Utente'!$R$2:$R$492,0)),"")</f>
        <v/>
      </c>
      <c r="J167" s="27" t="str">
        <f aca="false">IFERROR(INDEX('Output Utente'!$G$2:$G$492,MATCH(164,'Output Utente'!$R$2:$R$492,0)),"")</f>
        <v/>
      </c>
      <c r="K167" s="27" t="str">
        <f aca="false">IFERROR(INDEX('Output Utente'!$H$2:$H$492,MATCH(164,'Output Utente'!$R$2:$R$492,0)),"")</f>
        <v/>
      </c>
      <c r="L167" s="26" t="str">
        <f aca="false">IFERROR(INDEX('Output Utente'!$E$2:$E$492,MATCH(164,'Output Utente'!$R$2:$R$492,0)),"")</f>
        <v/>
      </c>
    </row>
    <row r="168" customFormat="false" ht="15" hidden="false" customHeight="true" outlineLevel="0" collapsed="false">
      <c r="A168" s="29" t="n">
        <v>165</v>
      </c>
      <c r="B168" s="26" t="str">
        <f aca="false">IFERROR(INDEX('Output Utente'!$A$2:$A$492,MATCH(165,'Output Utente'!$R$2:$R$492,0)),"")</f>
        <v/>
      </c>
      <c r="C168" s="26" t="str">
        <f aca="false">IFERROR(INDEX('Output Utente'!$B$2:$B$492,MATCH(165,'Output Utente'!$R$2:$R$492,0)),"")</f>
        <v/>
      </c>
      <c r="D168" s="26" t="str">
        <f aca="false">IFERROR(INDEX('Output Utente'!$C$2:$C$492,MATCH(165,'Output Utente'!$R$2:$R$492,0)),"")</f>
        <v/>
      </c>
      <c r="E168" s="26" t="str">
        <f aca="false">IFERROR(INDEX('Input Giocatori 2026_27'!$D$3:$D$493,MATCH($B168,'Input Giocatori 2026_27'!$A$3:$A$493,0)),"")</f>
        <v/>
      </c>
      <c r="F168" s="27" t="str">
        <f aca="false">IFERROR(INDEX('Output Utente'!$N$2:$N$492,MATCH(165,'Output Utente'!$R$2:$R$492,0)),"")</f>
        <v/>
      </c>
      <c r="G168" s="26" t="str">
        <f aca="false">IFERROR(INDEX('Output Utente'!$O$2:$O$492,MATCH(165,'Output Utente'!$R$2:$R$492,0)),"")</f>
        <v/>
      </c>
      <c r="H168" s="26" t="str">
        <f aca="false">IFERROR(INDEX('Output Utente'!$P$2:$P$492,MATCH(165,'Output Utente'!$R$2:$R$492,0)),"")</f>
        <v/>
      </c>
      <c r="I168" s="27" t="str">
        <f aca="false">IFERROR(INDEX('Output Utente'!$F$2:$F$492,MATCH(165,'Output Utente'!$R$2:$R$492,0)),"")</f>
        <v/>
      </c>
      <c r="J168" s="27" t="str">
        <f aca="false">IFERROR(INDEX('Output Utente'!$G$2:$G$492,MATCH(165,'Output Utente'!$R$2:$R$492,0)),"")</f>
        <v/>
      </c>
      <c r="K168" s="27" t="str">
        <f aca="false">IFERROR(INDEX('Output Utente'!$H$2:$H$492,MATCH(165,'Output Utente'!$R$2:$R$492,0)),"")</f>
        <v/>
      </c>
      <c r="L168" s="26" t="str">
        <f aca="false">IFERROR(INDEX('Output Utente'!$E$2:$E$492,MATCH(165,'Output Utente'!$R$2:$R$492,0)),"")</f>
        <v/>
      </c>
    </row>
    <row r="169" customFormat="false" ht="15" hidden="false" customHeight="true" outlineLevel="0" collapsed="false">
      <c r="A169" s="29" t="n">
        <v>166</v>
      </c>
      <c r="B169" s="26" t="str">
        <f aca="false">IFERROR(INDEX('Output Utente'!$A$2:$A$492,MATCH(166,'Output Utente'!$R$2:$R$492,0)),"")</f>
        <v/>
      </c>
      <c r="C169" s="26" t="str">
        <f aca="false">IFERROR(INDEX('Output Utente'!$B$2:$B$492,MATCH(166,'Output Utente'!$R$2:$R$492,0)),"")</f>
        <v/>
      </c>
      <c r="D169" s="26" t="str">
        <f aca="false">IFERROR(INDEX('Output Utente'!$C$2:$C$492,MATCH(166,'Output Utente'!$R$2:$R$492,0)),"")</f>
        <v/>
      </c>
      <c r="E169" s="26" t="str">
        <f aca="false">IFERROR(INDEX('Input Giocatori 2026_27'!$D$3:$D$493,MATCH($B169,'Input Giocatori 2026_27'!$A$3:$A$493,0)),"")</f>
        <v/>
      </c>
      <c r="F169" s="27" t="str">
        <f aca="false">IFERROR(INDEX('Output Utente'!$N$2:$N$492,MATCH(166,'Output Utente'!$R$2:$R$492,0)),"")</f>
        <v/>
      </c>
      <c r="G169" s="26" t="str">
        <f aca="false">IFERROR(INDEX('Output Utente'!$O$2:$O$492,MATCH(166,'Output Utente'!$R$2:$R$492,0)),"")</f>
        <v/>
      </c>
      <c r="H169" s="26" t="str">
        <f aca="false">IFERROR(INDEX('Output Utente'!$P$2:$P$492,MATCH(166,'Output Utente'!$R$2:$R$492,0)),"")</f>
        <v/>
      </c>
      <c r="I169" s="27" t="str">
        <f aca="false">IFERROR(INDEX('Output Utente'!$F$2:$F$492,MATCH(166,'Output Utente'!$R$2:$R$492,0)),"")</f>
        <v/>
      </c>
      <c r="J169" s="27" t="str">
        <f aca="false">IFERROR(INDEX('Output Utente'!$G$2:$G$492,MATCH(166,'Output Utente'!$R$2:$R$492,0)),"")</f>
        <v/>
      </c>
      <c r="K169" s="27" t="str">
        <f aca="false">IFERROR(INDEX('Output Utente'!$H$2:$H$492,MATCH(166,'Output Utente'!$R$2:$R$492,0)),"")</f>
        <v/>
      </c>
      <c r="L169" s="26" t="str">
        <f aca="false">IFERROR(INDEX('Output Utente'!$E$2:$E$492,MATCH(166,'Output Utente'!$R$2:$R$492,0)),"")</f>
        <v/>
      </c>
    </row>
    <row r="170" customFormat="false" ht="15" hidden="false" customHeight="true" outlineLevel="0" collapsed="false">
      <c r="A170" s="29" t="n">
        <v>167</v>
      </c>
      <c r="B170" s="26" t="str">
        <f aca="false">IFERROR(INDEX('Output Utente'!$A$2:$A$492,MATCH(167,'Output Utente'!$R$2:$R$492,0)),"")</f>
        <v/>
      </c>
      <c r="C170" s="26" t="str">
        <f aca="false">IFERROR(INDEX('Output Utente'!$B$2:$B$492,MATCH(167,'Output Utente'!$R$2:$R$492,0)),"")</f>
        <v/>
      </c>
      <c r="D170" s="26" t="str">
        <f aca="false">IFERROR(INDEX('Output Utente'!$C$2:$C$492,MATCH(167,'Output Utente'!$R$2:$R$492,0)),"")</f>
        <v/>
      </c>
      <c r="E170" s="26" t="str">
        <f aca="false">IFERROR(INDEX('Input Giocatori 2026_27'!$D$3:$D$493,MATCH($B170,'Input Giocatori 2026_27'!$A$3:$A$493,0)),"")</f>
        <v/>
      </c>
      <c r="F170" s="27" t="str">
        <f aca="false">IFERROR(INDEX('Output Utente'!$N$2:$N$492,MATCH(167,'Output Utente'!$R$2:$R$492,0)),"")</f>
        <v/>
      </c>
      <c r="G170" s="26" t="str">
        <f aca="false">IFERROR(INDEX('Output Utente'!$O$2:$O$492,MATCH(167,'Output Utente'!$R$2:$R$492,0)),"")</f>
        <v/>
      </c>
      <c r="H170" s="26" t="str">
        <f aca="false">IFERROR(INDEX('Output Utente'!$P$2:$P$492,MATCH(167,'Output Utente'!$R$2:$R$492,0)),"")</f>
        <v/>
      </c>
      <c r="I170" s="27" t="str">
        <f aca="false">IFERROR(INDEX('Output Utente'!$F$2:$F$492,MATCH(167,'Output Utente'!$R$2:$R$492,0)),"")</f>
        <v/>
      </c>
      <c r="J170" s="27" t="str">
        <f aca="false">IFERROR(INDEX('Output Utente'!$G$2:$G$492,MATCH(167,'Output Utente'!$R$2:$R$492,0)),"")</f>
        <v/>
      </c>
      <c r="K170" s="27" t="str">
        <f aca="false">IFERROR(INDEX('Output Utente'!$H$2:$H$492,MATCH(167,'Output Utente'!$R$2:$R$492,0)),"")</f>
        <v/>
      </c>
      <c r="L170" s="26" t="str">
        <f aca="false">IFERROR(INDEX('Output Utente'!$E$2:$E$492,MATCH(167,'Output Utente'!$R$2:$R$492,0)),"")</f>
        <v/>
      </c>
    </row>
    <row r="171" customFormat="false" ht="15" hidden="false" customHeight="true" outlineLevel="0" collapsed="false">
      <c r="A171" s="29" t="n">
        <v>168</v>
      </c>
      <c r="B171" s="26" t="str">
        <f aca="false">IFERROR(INDEX('Output Utente'!$A$2:$A$492,MATCH(168,'Output Utente'!$R$2:$R$492,0)),"")</f>
        <v/>
      </c>
      <c r="C171" s="26" t="str">
        <f aca="false">IFERROR(INDEX('Output Utente'!$B$2:$B$492,MATCH(168,'Output Utente'!$R$2:$R$492,0)),"")</f>
        <v/>
      </c>
      <c r="D171" s="26" t="str">
        <f aca="false">IFERROR(INDEX('Output Utente'!$C$2:$C$492,MATCH(168,'Output Utente'!$R$2:$R$492,0)),"")</f>
        <v/>
      </c>
      <c r="E171" s="26" t="str">
        <f aca="false">IFERROR(INDEX('Input Giocatori 2026_27'!$D$3:$D$493,MATCH($B171,'Input Giocatori 2026_27'!$A$3:$A$493,0)),"")</f>
        <v/>
      </c>
      <c r="F171" s="27" t="str">
        <f aca="false">IFERROR(INDEX('Output Utente'!$N$2:$N$492,MATCH(168,'Output Utente'!$R$2:$R$492,0)),"")</f>
        <v/>
      </c>
      <c r="G171" s="26" t="str">
        <f aca="false">IFERROR(INDEX('Output Utente'!$O$2:$O$492,MATCH(168,'Output Utente'!$R$2:$R$492,0)),"")</f>
        <v/>
      </c>
      <c r="H171" s="26" t="str">
        <f aca="false">IFERROR(INDEX('Output Utente'!$P$2:$P$492,MATCH(168,'Output Utente'!$R$2:$R$492,0)),"")</f>
        <v/>
      </c>
      <c r="I171" s="27" t="str">
        <f aca="false">IFERROR(INDEX('Output Utente'!$F$2:$F$492,MATCH(168,'Output Utente'!$R$2:$R$492,0)),"")</f>
        <v/>
      </c>
      <c r="J171" s="27" t="str">
        <f aca="false">IFERROR(INDEX('Output Utente'!$G$2:$G$492,MATCH(168,'Output Utente'!$R$2:$R$492,0)),"")</f>
        <v/>
      </c>
      <c r="K171" s="27" t="str">
        <f aca="false">IFERROR(INDEX('Output Utente'!$H$2:$H$492,MATCH(168,'Output Utente'!$R$2:$R$492,0)),"")</f>
        <v/>
      </c>
      <c r="L171" s="26" t="str">
        <f aca="false">IFERROR(INDEX('Output Utente'!$E$2:$E$492,MATCH(168,'Output Utente'!$R$2:$R$492,0)),"")</f>
        <v/>
      </c>
    </row>
    <row r="172" customFormat="false" ht="15" hidden="false" customHeight="true" outlineLevel="0" collapsed="false">
      <c r="A172" s="29" t="n">
        <v>169</v>
      </c>
      <c r="B172" s="26" t="str">
        <f aca="false">IFERROR(INDEX('Output Utente'!$A$2:$A$492,MATCH(169,'Output Utente'!$R$2:$R$492,0)),"")</f>
        <v/>
      </c>
      <c r="C172" s="26" t="str">
        <f aca="false">IFERROR(INDEX('Output Utente'!$B$2:$B$492,MATCH(169,'Output Utente'!$R$2:$R$492,0)),"")</f>
        <v/>
      </c>
      <c r="D172" s="26" t="str">
        <f aca="false">IFERROR(INDEX('Output Utente'!$C$2:$C$492,MATCH(169,'Output Utente'!$R$2:$R$492,0)),"")</f>
        <v/>
      </c>
      <c r="E172" s="26" t="str">
        <f aca="false">IFERROR(INDEX('Input Giocatori 2026_27'!$D$3:$D$493,MATCH($B172,'Input Giocatori 2026_27'!$A$3:$A$493,0)),"")</f>
        <v/>
      </c>
      <c r="F172" s="27" t="str">
        <f aca="false">IFERROR(INDEX('Output Utente'!$N$2:$N$492,MATCH(169,'Output Utente'!$R$2:$R$492,0)),"")</f>
        <v/>
      </c>
      <c r="G172" s="26" t="str">
        <f aca="false">IFERROR(INDEX('Output Utente'!$O$2:$O$492,MATCH(169,'Output Utente'!$R$2:$R$492,0)),"")</f>
        <v/>
      </c>
      <c r="H172" s="26" t="str">
        <f aca="false">IFERROR(INDEX('Output Utente'!$P$2:$P$492,MATCH(169,'Output Utente'!$R$2:$R$492,0)),"")</f>
        <v/>
      </c>
      <c r="I172" s="27" t="str">
        <f aca="false">IFERROR(INDEX('Output Utente'!$F$2:$F$492,MATCH(169,'Output Utente'!$R$2:$R$492,0)),"")</f>
        <v/>
      </c>
      <c r="J172" s="27" t="str">
        <f aca="false">IFERROR(INDEX('Output Utente'!$G$2:$G$492,MATCH(169,'Output Utente'!$R$2:$R$492,0)),"")</f>
        <v/>
      </c>
      <c r="K172" s="27" t="str">
        <f aca="false">IFERROR(INDEX('Output Utente'!$H$2:$H$492,MATCH(169,'Output Utente'!$R$2:$R$492,0)),"")</f>
        <v/>
      </c>
      <c r="L172" s="26" t="str">
        <f aca="false">IFERROR(INDEX('Output Utente'!$E$2:$E$492,MATCH(169,'Output Utente'!$R$2:$R$492,0)),"")</f>
        <v/>
      </c>
    </row>
    <row r="173" customFormat="false" ht="15" hidden="false" customHeight="true" outlineLevel="0" collapsed="false">
      <c r="A173" s="29" t="n">
        <v>170</v>
      </c>
      <c r="B173" s="26" t="str">
        <f aca="false">IFERROR(INDEX('Output Utente'!$A$2:$A$492,MATCH(170,'Output Utente'!$R$2:$R$492,0)),"")</f>
        <v/>
      </c>
      <c r="C173" s="26" t="str">
        <f aca="false">IFERROR(INDEX('Output Utente'!$B$2:$B$492,MATCH(170,'Output Utente'!$R$2:$R$492,0)),"")</f>
        <v/>
      </c>
      <c r="D173" s="26" t="str">
        <f aca="false">IFERROR(INDEX('Output Utente'!$C$2:$C$492,MATCH(170,'Output Utente'!$R$2:$R$492,0)),"")</f>
        <v/>
      </c>
      <c r="E173" s="26" t="str">
        <f aca="false">IFERROR(INDEX('Input Giocatori 2026_27'!$D$3:$D$493,MATCH($B173,'Input Giocatori 2026_27'!$A$3:$A$493,0)),"")</f>
        <v/>
      </c>
      <c r="F173" s="27" t="str">
        <f aca="false">IFERROR(INDEX('Output Utente'!$N$2:$N$492,MATCH(170,'Output Utente'!$R$2:$R$492,0)),"")</f>
        <v/>
      </c>
      <c r="G173" s="26" t="str">
        <f aca="false">IFERROR(INDEX('Output Utente'!$O$2:$O$492,MATCH(170,'Output Utente'!$R$2:$R$492,0)),"")</f>
        <v/>
      </c>
      <c r="H173" s="26" t="str">
        <f aca="false">IFERROR(INDEX('Output Utente'!$P$2:$P$492,MATCH(170,'Output Utente'!$R$2:$R$492,0)),"")</f>
        <v/>
      </c>
      <c r="I173" s="27" t="str">
        <f aca="false">IFERROR(INDEX('Output Utente'!$F$2:$F$492,MATCH(170,'Output Utente'!$R$2:$R$492,0)),"")</f>
        <v/>
      </c>
      <c r="J173" s="27" t="str">
        <f aca="false">IFERROR(INDEX('Output Utente'!$G$2:$G$492,MATCH(170,'Output Utente'!$R$2:$R$492,0)),"")</f>
        <v/>
      </c>
      <c r="K173" s="27" t="str">
        <f aca="false">IFERROR(INDEX('Output Utente'!$H$2:$H$492,MATCH(170,'Output Utente'!$R$2:$R$492,0)),"")</f>
        <v/>
      </c>
      <c r="L173" s="26" t="str">
        <f aca="false">IFERROR(INDEX('Output Utente'!$E$2:$E$492,MATCH(170,'Output Utente'!$R$2:$R$492,0)),"")</f>
        <v/>
      </c>
    </row>
    <row r="174" customFormat="false" ht="15" hidden="false" customHeight="true" outlineLevel="0" collapsed="false">
      <c r="A174" s="29" t="n">
        <v>171</v>
      </c>
      <c r="B174" s="26" t="str">
        <f aca="false">IFERROR(INDEX('Output Utente'!$A$2:$A$492,MATCH(171,'Output Utente'!$R$2:$R$492,0)),"")</f>
        <v/>
      </c>
      <c r="C174" s="26" t="str">
        <f aca="false">IFERROR(INDEX('Output Utente'!$B$2:$B$492,MATCH(171,'Output Utente'!$R$2:$R$492,0)),"")</f>
        <v/>
      </c>
      <c r="D174" s="26" t="str">
        <f aca="false">IFERROR(INDEX('Output Utente'!$C$2:$C$492,MATCH(171,'Output Utente'!$R$2:$R$492,0)),"")</f>
        <v/>
      </c>
      <c r="E174" s="26" t="str">
        <f aca="false">IFERROR(INDEX('Input Giocatori 2026_27'!$D$3:$D$493,MATCH($B174,'Input Giocatori 2026_27'!$A$3:$A$493,0)),"")</f>
        <v/>
      </c>
      <c r="F174" s="27" t="str">
        <f aca="false">IFERROR(INDEX('Output Utente'!$N$2:$N$492,MATCH(171,'Output Utente'!$R$2:$R$492,0)),"")</f>
        <v/>
      </c>
      <c r="G174" s="26" t="str">
        <f aca="false">IFERROR(INDEX('Output Utente'!$O$2:$O$492,MATCH(171,'Output Utente'!$R$2:$R$492,0)),"")</f>
        <v/>
      </c>
      <c r="H174" s="26" t="str">
        <f aca="false">IFERROR(INDEX('Output Utente'!$P$2:$P$492,MATCH(171,'Output Utente'!$R$2:$R$492,0)),"")</f>
        <v/>
      </c>
      <c r="I174" s="27" t="str">
        <f aca="false">IFERROR(INDEX('Output Utente'!$F$2:$F$492,MATCH(171,'Output Utente'!$R$2:$R$492,0)),"")</f>
        <v/>
      </c>
      <c r="J174" s="27" t="str">
        <f aca="false">IFERROR(INDEX('Output Utente'!$G$2:$G$492,MATCH(171,'Output Utente'!$R$2:$R$492,0)),"")</f>
        <v/>
      </c>
      <c r="K174" s="27" t="str">
        <f aca="false">IFERROR(INDEX('Output Utente'!$H$2:$H$492,MATCH(171,'Output Utente'!$R$2:$R$492,0)),"")</f>
        <v/>
      </c>
      <c r="L174" s="26" t="str">
        <f aca="false">IFERROR(INDEX('Output Utente'!$E$2:$E$492,MATCH(171,'Output Utente'!$R$2:$R$492,0)),"")</f>
        <v/>
      </c>
    </row>
    <row r="175" customFormat="false" ht="15" hidden="false" customHeight="true" outlineLevel="0" collapsed="false">
      <c r="A175" s="29" t="n">
        <v>172</v>
      </c>
      <c r="B175" s="26" t="str">
        <f aca="false">IFERROR(INDEX('Output Utente'!$A$2:$A$492,MATCH(172,'Output Utente'!$R$2:$R$492,0)),"")</f>
        <v/>
      </c>
      <c r="C175" s="26" t="str">
        <f aca="false">IFERROR(INDEX('Output Utente'!$B$2:$B$492,MATCH(172,'Output Utente'!$R$2:$R$492,0)),"")</f>
        <v/>
      </c>
      <c r="D175" s="26" t="str">
        <f aca="false">IFERROR(INDEX('Output Utente'!$C$2:$C$492,MATCH(172,'Output Utente'!$R$2:$R$492,0)),"")</f>
        <v/>
      </c>
      <c r="E175" s="26" t="str">
        <f aca="false">IFERROR(INDEX('Input Giocatori 2026_27'!$D$3:$D$493,MATCH($B175,'Input Giocatori 2026_27'!$A$3:$A$493,0)),"")</f>
        <v/>
      </c>
      <c r="F175" s="27" t="str">
        <f aca="false">IFERROR(INDEX('Output Utente'!$N$2:$N$492,MATCH(172,'Output Utente'!$R$2:$R$492,0)),"")</f>
        <v/>
      </c>
      <c r="G175" s="26" t="str">
        <f aca="false">IFERROR(INDEX('Output Utente'!$O$2:$O$492,MATCH(172,'Output Utente'!$R$2:$R$492,0)),"")</f>
        <v/>
      </c>
      <c r="H175" s="26" t="str">
        <f aca="false">IFERROR(INDEX('Output Utente'!$P$2:$P$492,MATCH(172,'Output Utente'!$R$2:$R$492,0)),"")</f>
        <v/>
      </c>
      <c r="I175" s="27" t="str">
        <f aca="false">IFERROR(INDEX('Output Utente'!$F$2:$F$492,MATCH(172,'Output Utente'!$R$2:$R$492,0)),"")</f>
        <v/>
      </c>
      <c r="J175" s="27" t="str">
        <f aca="false">IFERROR(INDEX('Output Utente'!$G$2:$G$492,MATCH(172,'Output Utente'!$R$2:$R$492,0)),"")</f>
        <v/>
      </c>
      <c r="K175" s="27" t="str">
        <f aca="false">IFERROR(INDEX('Output Utente'!$H$2:$H$492,MATCH(172,'Output Utente'!$R$2:$R$492,0)),"")</f>
        <v/>
      </c>
      <c r="L175" s="26" t="str">
        <f aca="false">IFERROR(INDEX('Output Utente'!$E$2:$E$492,MATCH(172,'Output Utente'!$R$2:$R$492,0)),"")</f>
        <v/>
      </c>
    </row>
    <row r="176" customFormat="false" ht="15" hidden="false" customHeight="true" outlineLevel="0" collapsed="false">
      <c r="A176" s="29" t="n">
        <v>173</v>
      </c>
      <c r="B176" s="26" t="str">
        <f aca="false">IFERROR(INDEX('Output Utente'!$A$2:$A$492,MATCH(173,'Output Utente'!$R$2:$R$492,0)),"")</f>
        <v/>
      </c>
      <c r="C176" s="26" t="str">
        <f aca="false">IFERROR(INDEX('Output Utente'!$B$2:$B$492,MATCH(173,'Output Utente'!$R$2:$R$492,0)),"")</f>
        <v/>
      </c>
      <c r="D176" s="26" t="str">
        <f aca="false">IFERROR(INDEX('Output Utente'!$C$2:$C$492,MATCH(173,'Output Utente'!$R$2:$R$492,0)),"")</f>
        <v/>
      </c>
      <c r="E176" s="26" t="str">
        <f aca="false">IFERROR(INDEX('Input Giocatori 2026_27'!$D$3:$D$493,MATCH($B176,'Input Giocatori 2026_27'!$A$3:$A$493,0)),"")</f>
        <v/>
      </c>
      <c r="F176" s="27" t="str">
        <f aca="false">IFERROR(INDEX('Output Utente'!$N$2:$N$492,MATCH(173,'Output Utente'!$R$2:$R$492,0)),"")</f>
        <v/>
      </c>
      <c r="G176" s="26" t="str">
        <f aca="false">IFERROR(INDEX('Output Utente'!$O$2:$O$492,MATCH(173,'Output Utente'!$R$2:$R$492,0)),"")</f>
        <v/>
      </c>
      <c r="H176" s="26" t="str">
        <f aca="false">IFERROR(INDEX('Output Utente'!$P$2:$P$492,MATCH(173,'Output Utente'!$R$2:$R$492,0)),"")</f>
        <v/>
      </c>
      <c r="I176" s="27" t="str">
        <f aca="false">IFERROR(INDEX('Output Utente'!$F$2:$F$492,MATCH(173,'Output Utente'!$R$2:$R$492,0)),"")</f>
        <v/>
      </c>
      <c r="J176" s="27" t="str">
        <f aca="false">IFERROR(INDEX('Output Utente'!$G$2:$G$492,MATCH(173,'Output Utente'!$R$2:$R$492,0)),"")</f>
        <v/>
      </c>
      <c r="K176" s="27" t="str">
        <f aca="false">IFERROR(INDEX('Output Utente'!$H$2:$H$492,MATCH(173,'Output Utente'!$R$2:$R$492,0)),"")</f>
        <v/>
      </c>
      <c r="L176" s="26" t="str">
        <f aca="false">IFERROR(INDEX('Output Utente'!$E$2:$E$492,MATCH(173,'Output Utente'!$R$2:$R$492,0)),"")</f>
        <v/>
      </c>
    </row>
    <row r="177" customFormat="false" ht="15" hidden="false" customHeight="true" outlineLevel="0" collapsed="false">
      <c r="A177" s="29" t="n">
        <v>174</v>
      </c>
      <c r="B177" s="26" t="str">
        <f aca="false">IFERROR(INDEX('Output Utente'!$A$2:$A$492,MATCH(174,'Output Utente'!$R$2:$R$492,0)),"")</f>
        <v/>
      </c>
      <c r="C177" s="26" t="str">
        <f aca="false">IFERROR(INDEX('Output Utente'!$B$2:$B$492,MATCH(174,'Output Utente'!$R$2:$R$492,0)),"")</f>
        <v/>
      </c>
      <c r="D177" s="26" t="str">
        <f aca="false">IFERROR(INDEX('Output Utente'!$C$2:$C$492,MATCH(174,'Output Utente'!$R$2:$R$492,0)),"")</f>
        <v/>
      </c>
      <c r="E177" s="26" t="str">
        <f aca="false">IFERROR(INDEX('Input Giocatori 2026_27'!$D$3:$D$493,MATCH($B177,'Input Giocatori 2026_27'!$A$3:$A$493,0)),"")</f>
        <v/>
      </c>
      <c r="F177" s="27" t="str">
        <f aca="false">IFERROR(INDEX('Output Utente'!$N$2:$N$492,MATCH(174,'Output Utente'!$R$2:$R$492,0)),"")</f>
        <v/>
      </c>
      <c r="G177" s="26" t="str">
        <f aca="false">IFERROR(INDEX('Output Utente'!$O$2:$O$492,MATCH(174,'Output Utente'!$R$2:$R$492,0)),"")</f>
        <v/>
      </c>
      <c r="H177" s="26" t="str">
        <f aca="false">IFERROR(INDEX('Output Utente'!$P$2:$P$492,MATCH(174,'Output Utente'!$R$2:$R$492,0)),"")</f>
        <v/>
      </c>
      <c r="I177" s="27" t="str">
        <f aca="false">IFERROR(INDEX('Output Utente'!$F$2:$F$492,MATCH(174,'Output Utente'!$R$2:$R$492,0)),"")</f>
        <v/>
      </c>
      <c r="J177" s="27" t="str">
        <f aca="false">IFERROR(INDEX('Output Utente'!$G$2:$G$492,MATCH(174,'Output Utente'!$R$2:$R$492,0)),"")</f>
        <v/>
      </c>
      <c r="K177" s="27" t="str">
        <f aca="false">IFERROR(INDEX('Output Utente'!$H$2:$H$492,MATCH(174,'Output Utente'!$R$2:$R$492,0)),"")</f>
        <v/>
      </c>
      <c r="L177" s="26" t="str">
        <f aca="false">IFERROR(INDEX('Output Utente'!$E$2:$E$492,MATCH(174,'Output Utente'!$R$2:$R$492,0)),"")</f>
        <v/>
      </c>
    </row>
    <row r="178" customFormat="false" ht="15" hidden="false" customHeight="true" outlineLevel="0" collapsed="false">
      <c r="A178" s="29" t="n">
        <v>175</v>
      </c>
      <c r="B178" s="26" t="str">
        <f aca="false">IFERROR(INDEX('Output Utente'!$A$2:$A$492,MATCH(175,'Output Utente'!$R$2:$R$492,0)),"")</f>
        <v/>
      </c>
      <c r="C178" s="26" t="str">
        <f aca="false">IFERROR(INDEX('Output Utente'!$B$2:$B$492,MATCH(175,'Output Utente'!$R$2:$R$492,0)),"")</f>
        <v/>
      </c>
      <c r="D178" s="26" t="str">
        <f aca="false">IFERROR(INDEX('Output Utente'!$C$2:$C$492,MATCH(175,'Output Utente'!$R$2:$R$492,0)),"")</f>
        <v/>
      </c>
      <c r="E178" s="26" t="str">
        <f aca="false">IFERROR(INDEX('Input Giocatori 2026_27'!$D$3:$D$493,MATCH($B178,'Input Giocatori 2026_27'!$A$3:$A$493,0)),"")</f>
        <v/>
      </c>
      <c r="F178" s="27" t="str">
        <f aca="false">IFERROR(INDEX('Output Utente'!$N$2:$N$492,MATCH(175,'Output Utente'!$R$2:$R$492,0)),"")</f>
        <v/>
      </c>
      <c r="G178" s="26" t="str">
        <f aca="false">IFERROR(INDEX('Output Utente'!$O$2:$O$492,MATCH(175,'Output Utente'!$R$2:$R$492,0)),"")</f>
        <v/>
      </c>
      <c r="H178" s="26" t="str">
        <f aca="false">IFERROR(INDEX('Output Utente'!$P$2:$P$492,MATCH(175,'Output Utente'!$R$2:$R$492,0)),"")</f>
        <v/>
      </c>
      <c r="I178" s="27" t="str">
        <f aca="false">IFERROR(INDEX('Output Utente'!$F$2:$F$492,MATCH(175,'Output Utente'!$R$2:$R$492,0)),"")</f>
        <v/>
      </c>
      <c r="J178" s="27" t="str">
        <f aca="false">IFERROR(INDEX('Output Utente'!$G$2:$G$492,MATCH(175,'Output Utente'!$R$2:$R$492,0)),"")</f>
        <v/>
      </c>
      <c r="K178" s="27" t="str">
        <f aca="false">IFERROR(INDEX('Output Utente'!$H$2:$H$492,MATCH(175,'Output Utente'!$R$2:$R$492,0)),"")</f>
        <v/>
      </c>
      <c r="L178" s="26" t="str">
        <f aca="false">IFERROR(INDEX('Output Utente'!$E$2:$E$492,MATCH(175,'Output Utente'!$R$2:$R$492,0)),"")</f>
        <v/>
      </c>
    </row>
    <row r="179" customFormat="false" ht="15" hidden="false" customHeight="true" outlineLevel="0" collapsed="false">
      <c r="A179" s="29" t="n">
        <v>176</v>
      </c>
      <c r="B179" s="26" t="str">
        <f aca="false">IFERROR(INDEX('Output Utente'!$A$2:$A$492,MATCH(176,'Output Utente'!$R$2:$R$492,0)),"")</f>
        <v/>
      </c>
      <c r="C179" s="26" t="str">
        <f aca="false">IFERROR(INDEX('Output Utente'!$B$2:$B$492,MATCH(176,'Output Utente'!$R$2:$R$492,0)),"")</f>
        <v/>
      </c>
      <c r="D179" s="26" t="str">
        <f aca="false">IFERROR(INDEX('Output Utente'!$C$2:$C$492,MATCH(176,'Output Utente'!$R$2:$R$492,0)),"")</f>
        <v/>
      </c>
      <c r="E179" s="26" t="str">
        <f aca="false">IFERROR(INDEX('Input Giocatori 2026_27'!$D$3:$D$493,MATCH($B179,'Input Giocatori 2026_27'!$A$3:$A$493,0)),"")</f>
        <v/>
      </c>
      <c r="F179" s="27" t="str">
        <f aca="false">IFERROR(INDEX('Output Utente'!$N$2:$N$492,MATCH(176,'Output Utente'!$R$2:$R$492,0)),"")</f>
        <v/>
      </c>
      <c r="G179" s="26" t="str">
        <f aca="false">IFERROR(INDEX('Output Utente'!$O$2:$O$492,MATCH(176,'Output Utente'!$R$2:$R$492,0)),"")</f>
        <v/>
      </c>
      <c r="H179" s="26" t="str">
        <f aca="false">IFERROR(INDEX('Output Utente'!$P$2:$P$492,MATCH(176,'Output Utente'!$R$2:$R$492,0)),"")</f>
        <v/>
      </c>
      <c r="I179" s="27" t="str">
        <f aca="false">IFERROR(INDEX('Output Utente'!$F$2:$F$492,MATCH(176,'Output Utente'!$R$2:$R$492,0)),"")</f>
        <v/>
      </c>
      <c r="J179" s="27" t="str">
        <f aca="false">IFERROR(INDEX('Output Utente'!$G$2:$G$492,MATCH(176,'Output Utente'!$R$2:$R$492,0)),"")</f>
        <v/>
      </c>
      <c r="K179" s="27" t="str">
        <f aca="false">IFERROR(INDEX('Output Utente'!$H$2:$H$492,MATCH(176,'Output Utente'!$R$2:$R$492,0)),"")</f>
        <v/>
      </c>
      <c r="L179" s="26" t="str">
        <f aca="false">IFERROR(INDEX('Output Utente'!$E$2:$E$492,MATCH(176,'Output Utente'!$R$2:$R$492,0)),"")</f>
        <v/>
      </c>
    </row>
    <row r="180" customFormat="false" ht="15" hidden="false" customHeight="true" outlineLevel="0" collapsed="false">
      <c r="A180" s="29" t="n">
        <v>177</v>
      </c>
      <c r="B180" s="26" t="str">
        <f aca="false">IFERROR(INDEX('Output Utente'!$A$2:$A$492,MATCH(177,'Output Utente'!$R$2:$R$492,0)),"")</f>
        <v/>
      </c>
      <c r="C180" s="26" t="str">
        <f aca="false">IFERROR(INDEX('Output Utente'!$B$2:$B$492,MATCH(177,'Output Utente'!$R$2:$R$492,0)),"")</f>
        <v/>
      </c>
      <c r="D180" s="26" t="str">
        <f aca="false">IFERROR(INDEX('Output Utente'!$C$2:$C$492,MATCH(177,'Output Utente'!$R$2:$R$492,0)),"")</f>
        <v/>
      </c>
      <c r="E180" s="26" t="str">
        <f aca="false">IFERROR(INDEX('Input Giocatori 2026_27'!$D$3:$D$493,MATCH($B180,'Input Giocatori 2026_27'!$A$3:$A$493,0)),"")</f>
        <v/>
      </c>
      <c r="F180" s="27" t="str">
        <f aca="false">IFERROR(INDEX('Output Utente'!$N$2:$N$492,MATCH(177,'Output Utente'!$R$2:$R$492,0)),"")</f>
        <v/>
      </c>
      <c r="G180" s="26" t="str">
        <f aca="false">IFERROR(INDEX('Output Utente'!$O$2:$O$492,MATCH(177,'Output Utente'!$R$2:$R$492,0)),"")</f>
        <v/>
      </c>
      <c r="H180" s="26" t="str">
        <f aca="false">IFERROR(INDEX('Output Utente'!$P$2:$P$492,MATCH(177,'Output Utente'!$R$2:$R$492,0)),"")</f>
        <v/>
      </c>
      <c r="I180" s="27" t="str">
        <f aca="false">IFERROR(INDEX('Output Utente'!$F$2:$F$492,MATCH(177,'Output Utente'!$R$2:$R$492,0)),"")</f>
        <v/>
      </c>
      <c r="J180" s="27" t="str">
        <f aca="false">IFERROR(INDEX('Output Utente'!$G$2:$G$492,MATCH(177,'Output Utente'!$R$2:$R$492,0)),"")</f>
        <v/>
      </c>
      <c r="K180" s="27" t="str">
        <f aca="false">IFERROR(INDEX('Output Utente'!$H$2:$H$492,MATCH(177,'Output Utente'!$R$2:$R$492,0)),"")</f>
        <v/>
      </c>
      <c r="L180" s="26" t="str">
        <f aca="false">IFERROR(INDEX('Output Utente'!$E$2:$E$492,MATCH(177,'Output Utente'!$R$2:$R$492,0)),"")</f>
        <v/>
      </c>
    </row>
    <row r="181" customFormat="false" ht="15" hidden="false" customHeight="true" outlineLevel="0" collapsed="false">
      <c r="A181" s="29" t="n">
        <v>178</v>
      </c>
      <c r="B181" s="26" t="str">
        <f aca="false">IFERROR(INDEX('Output Utente'!$A$2:$A$492,MATCH(178,'Output Utente'!$R$2:$R$492,0)),"")</f>
        <v/>
      </c>
      <c r="C181" s="26" t="str">
        <f aca="false">IFERROR(INDEX('Output Utente'!$B$2:$B$492,MATCH(178,'Output Utente'!$R$2:$R$492,0)),"")</f>
        <v/>
      </c>
      <c r="D181" s="26" t="str">
        <f aca="false">IFERROR(INDEX('Output Utente'!$C$2:$C$492,MATCH(178,'Output Utente'!$R$2:$R$492,0)),"")</f>
        <v/>
      </c>
      <c r="E181" s="26" t="str">
        <f aca="false">IFERROR(INDEX('Input Giocatori 2026_27'!$D$3:$D$493,MATCH($B181,'Input Giocatori 2026_27'!$A$3:$A$493,0)),"")</f>
        <v/>
      </c>
      <c r="F181" s="27" t="str">
        <f aca="false">IFERROR(INDEX('Output Utente'!$N$2:$N$492,MATCH(178,'Output Utente'!$R$2:$R$492,0)),"")</f>
        <v/>
      </c>
      <c r="G181" s="26" t="str">
        <f aca="false">IFERROR(INDEX('Output Utente'!$O$2:$O$492,MATCH(178,'Output Utente'!$R$2:$R$492,0)),"")</f>
        <v/>
      </c>
      <c r="H181" s="26" t="str">
        <f aca="false">IFERROR(INDEX('Output Utente'!$P$2:$P$492,MATCH(178,'Output Utente'!$R$2:$R$492,0)),"")</f>
        <v/>
      </c>
      <c r="I181" s="27" t="str">
        <f aca="false">IFERROR(INDEX('Output Utente'!$F$2:$F$492,MATCH(178,'Output Utente'!$R$2:$R$492,0)),"")</f>
        <v/>
      </c>
      <c r="J181" s="27" t="str">
        <f aca="false">IFERROR(INDEX('Output Utente'!$G$2:$G$492,MATCH(178,'Output Utente'!$R$2:$R$492,0)),"")</f>
        <v/>
      </c>
      <c r="K181" s="27" t="str">
        <f aca="false">IFERROR(INDEX('Output Utente'!$H$2:$H$492,MATCH(178,'Output Utente'!$R$2:$R$492,0)),"")</f>
        <v/>
      </c>
      <c r="L181" s="26" t="str">
        <f aca="false">IFERROR(INDEX('Output Utente'!$E$2:$E$492,MATCH(178,'Output Utente'!$R$2:$R$492,0)),"")</f>
        <v/>
      </c>
    </row>
    <row r="182" customFormat="false" ht="15" hidden="false" customHeight="true" outlineLevel="0" collapsed="false">
      <c r="A182" s="29" t="n">
        <v>179</v>
      </c>
      <c r="B182" s="26" t="str">
        <f aca="false">IFERROR(INDEX('Output Utente'!$A$2:$A$492,MATCH(179,'Output Utente'!$R$2:$R$492,0)),"")</f>
        <v/>
      </c>
      <c r="C182" s="26" t="str">
        <f aca="false">IFERROR(INDEX('Output Utente'!$B$2:$B$492,MATCH(179,'Output Utente'!$R$2:$R$492,0)),"")</f>
        <v/>
      </c>
      <c r="D182" s="26" t="str">
        <f aca="false">IFERROR(INDEX('Output Utente'!$C$2:$C$492,MATCH(179,'Output Utente'!$R$2:$R$492,0)),"")</f>
        <v/>
      </c>
      <c r="E182" s="26" t="str">
        <f aca="false">IFERROR(INDEX('Input Giocatori 2026_27'!$D$3:$D$493,MATCH($B182,'Input Giocatori 2026_27'!$A$3:$A$493,0)),"")</f>
        <v/>
      </c>
      <c r="F182" s="27" t="str">
        <f aca="false">IFERROR(INDEX('Output Utente'!$N$2:$N$492,MATCH(179,'Output Utente'!$R$2:$R$492,0)),"")</f>
        <v/>
      </c>
      <c r="G182" s="26" t="str">
        <f aca="false">IFERROR(INDEX('Output Utente'!$O$2:$O$492,MATCH(179,'Output Utente'!$R$2:$R$492,0)),"")</f>
        <v/>
      </c>
      <c r="H182" s="26" t="str">
        <f aca="false">IFERROR(INDEX('Output Utente'!$P$2:$P$492,MATCH(179,'Output Utente'!$R$2:$R$492,0)),"")</f>
        <v/>
      </c>
      <c r="I182" s="27" t="str">
        <f aca="false">IFERROR(INDEX('Output Utente'!$F$2:$F$492,MATCH(179,'Output Utente'!$R$2:$R$492,0)),"")</f>
        <v/>
      </c>
      <c r="J182" s="27" t="str">
        <f aca="false">IFERROR(INDEX('Output Utente'!$G$2:$G$492,MATCH(179,'Output Utente'!$R$2:$R$492,0)),"")</f>
        <v/>
      </c>
      <c r="K182" s="27" t="str">
        <f aca="false">IFERROR(INDEX('Output Utente'!$H$2:$H$492,MATCH(179,'Output Utente'!$R$2:$R$492,0)),"")</f>
        <v/>
      </c>
      <c r="L182" s="26" t="str">
        <f aca="false">IFERROR(INDEX('Output Utente'!$E$2:$E$492,MATCH(179,'Output Utente'!$R$2:$R$492,0)),"")</f>
        <v/>
      </c>
    </row>
    <row r="183" customFormat="false" ht="15" hidden="false" customHeight="true" outlineLevel="0" collapsed="false">
      <c r="A183" s="29" t="n">
        <v>180</v>
      </c>
      <c r="B183" s="26" t="str">
        <f aca="false">IFERROR(INDEX('Output Utente'!$A$2:$A$492,MATCH(180,'Output Utente'!$R$2:$R$492,0)),"")</f>
        <v/>
      </c>
      <c r="C183" s="26" t="str">
        <f aca="false">IFERROR(INDEX('Output Utente'!$B$2:$B$492,MATCH(180,'Output Utente'!$R$2:$R$492,0)),"")</f>
        <v/>
      </c>
      <c r="D183" s="26" t="str">
        <f aca="false">IFERROR(INDEX('Output Utente'!$C$2:$C$492,MATCH(180,'Output Utente'!$R$2:$R$492,0)),"")</f>
        <v/>
      </c>
      <c r="E183" s="26" t="str">
        <f aca="false">IFERROR(INDEX('Input Giocatori 2026_27'!$D$3:$D$493,MATCH($B183,'Input Giocatori 2026_27'!$A$3:$A$493,0)),"")</f>
        <v/>
      </c>
      <c r="F183" s="27" t="str">
        <f aca="false">IFERROR(INDEX('Output Utente'!$N$2:$N$492,MATCH(180,'Output Utente'!$R$2:$R$492,0)),"")</f>
        <v/>
      </c>
      <c r="G183" s="26" t="str">
        <f aca="false">IFERROR(INDEX('Output Utente'!$O$2:$O$492,MATCH(180,'Output Utente'!$R$2:$R$492,0)),"")</f>
        <v/>
      </c>
      <c r="H183" s="26" t="str">
        <f aca="false">IFERROR(INDEX('Output Utente'!$P$2:$P$492,MATCH(180,'Output Utente'!$R$2:$R$492,0)),"")</f>
        <v/>
      </c>
      <c r="I183" s="27" t="str">
        <f aca="false">IFERROR(INDEX('Output Utente'!$F$2:$F$492,MATCH(180,'Output Utente'!$R$2:$R$492,0)),"")</f>
        <v/>
      </c>
      <c r="J183" s="27" t="str">
        <f aca="false">IFERROR(INDEX('Output Utente'!$G$2:$G$492,MATCH(180,'Output Utente'!$R$2:$R$492,0)),"")</f>
        <v/>
      </c>
      <c r="K183" s="27" t="str">
        <f aca="false">IFERROR(INDEX('Output Utente'!$H$2:$H$492,MATCH(180,'Output Utente'!$R$2:$R$492,0)),"")</f>
        <v/>
      </c>
      <c r="L183" s="26" t="str">
        <f aca="false">IFERROR(INDEX('Output Utente'!$E$2:$E$492,MATCH(180,'Output Utente'!$R$2:$R$492,0)),"")</f>
        <v/>
      </c>
    </row>
    <row r="184" customFormat="false" ht="15" hidden="false" customHeight="true" outlineLevel="0" collapsed="false">
      <c r="A184" s="29" t="n">
        <v>181</v>
      </c>
      <c r="B184" s="26" t="str">
        <f aca="false">IFERROR(INDEX('Output Utente'!$A$2:$A$492,MATCH(181,'Output Utente'!$R$2:$R$492,0)),"")</f>
        <v/>
      </c>
      <c r="C184" s="26" t="str">
        <f aca="false">IFERROR(INDEX('Output Utente'!$B$2:$B$492,MATCH(181,'Output Utente'!$R$2:$R$492,0)),"")</f>
        <v/>
      </c>
      <c r="D184" s="26" t="str">
        <f aca="false">IFERROR(INDEX('Output Utente'!$C$2:$C$492,MATCH(181,'Output Utente'!$R$2:$R$492,0)),"")</f>
        <v/>
      </c>
      <c r="E184" s="26" t="str">
        <f aca="false">IFERROR(INDEX('Input Giocatori 2026_27'!$D$3:$D$493,MATCH($B184,'Input Giocatori 2026_27'!$A$3:$A$493,0)),"")</f>
        <v/>
      </c>
      <c r="F184" s="27" t="str">
        <f aca="false">IFERROR(INDEX('Output Utente'!$N$2:$N$492,MATCH(181,'Output Utente'!$R$2:$R$492,0)),"")</f>
        <v/>
      </c>
      <c r="G184" s="26" t="str">
        <f aca="false">IFERROR(INDEX('Output Utente'!$O$2:$O$492,MATCH(181,'Output Utente'!$R$2:$R$492,0)),"")</f>
        <v/>
      </c>
      <c r="H184" s="26" t="str">
        <f aca="false">IFERROR(INDEX('Output Utente'!$P$2:$P$492,MATCH(181,'Output Utente'!$R$2:$R$492,0)),"")</f>
        <v/>
      </c>
      <c r="I184" s="27" t="str">
        <f aca="false">IFERROR(INDEX('Output Utente'!$F$2:$F$492,MATCH(181,'Output Utente'!$R$2:$R$492,0)),"")</f>
        <v/>
      </c>
      <c r="J184" s="27" t="str">
        <f aca="false">IFERROR(INDEX('Output Utente'!$G$2:$G$492,MATCH(181,'Output Utente'!$R$2:$R$492,0)),"")</f>
        <v/>
      </c>
      <c r="K184" s="27" t="str">
        <f aca="false">IFERROR(INDEX('Output Utente'!$H$2:$H$492,MATCH(181,'Output Utente'!$R$2:$R$492,0)),"")</f>
        <v/>
      </c>
      <c r="L184" s="26" t="str">
        <f aca="false">IFERROR(INDEX('Output Utente'!$E$2:$E$492,MATCH(181,'Output Utente'!$R$2:$R$492,0)),"")</f>
        <v/>
      </c>
    </row>
    <row r="185" customFormat="false" ht="15" hidden="false" customHeight="true" outlineLevel="0" collapsed="false">
      <c r="A185" s="29" t="n">
        <v>182</v>
      </c>
      <c r="B185" s="26" t="str">
        <f aca="false">IFERROR(INDEX('Output Utente'!$A$2:$A$492,MATCH(182,'Output Utente'!$R$2:$R$492,0)),"")</f>
        <v/>
      </c>
      <c r="C185" s="26" t="str">
        <f aca="false">IFERROR(INDEX('Output Utente'!$B$2:$B$492,MATCH(182,'Output Utente'!$R$2:$R$492,0)),"")</f>
        <v/>
      </c>
      <c r="D185" s="26" t="str">
        <f aca="false">IFERROR(INDEX('Output Utente'!$C$2:$C$492,MATCH(182,'Output Utente'!$R$2:$R$492,0)),"")</f>
        <v/>
      </c>
      <c r="E185" s="26" t="str">
        <f aca="false">IFERROR(INDEX('Input Giocatori 2026_27'!$D$3:$D$493,MATCH($B185,'Input Giocatori 2026_27'!$A$3:$A$493,0)),"")</f>
        <v/>
      </c>
      <c r="F185" s="27" t="str">
        <f aca="false">IFERROR(INDEX('Output Utente'!$N$2:$N$492,MATCH(182,'Output Utente'!$R$2:$R$492,0)),"")</f>
        <v/>
      </c>
      <c r="G185" s="26" t="str">
        <f aca="false">IFERROR(INDEX('Output Utente'!$O$2:$O$492,MATCH(182,'Output Utente'!$R$2:$R$492,0)),"")</f>
        <v/>
      </c>
      <c r="H185" s="26" t="str">
        <f aca="false">IFERROR(INDEX('Output Utente'!$P$2:$P$492,MATCH(182,'Output Utente'!$R$2:$R$492,0)),"")</f>
        <v/>
      </c>
      <c r="I185" s="27" t="str">
        <f aca="false">IFERROR(INDEX('Output Utente'!$F$2:$F$492,MATCH(182,'Output Utente'!$R$2:$R$492,0)),"")</f>
        <v/>
      </c>
      <c r="J185" s="27" t="str">
        <f aca="false">IFERROR(INDEX('Output Utente'!$G$2:$G$492,MATCH(182,'Output Utente'!$R$2:$R$492,0)),"")</f>
        <v/>
      </c>
      <c r="K185" s="27" t="str">
        <f aca="false">IFERROR(INDEX('Output Utente'!$H$2:$H$492,MATCH(182,'Output Utente'!$R$2:$R$492,0)),"")</f>
        <v/>
      </c>
      <c r="L185" s="26" t="str">
        <f aca="false">IFERROR(INDEX('Output Utente'!$E$2:$E$492,MATCH(182,'Output Utente'!$R$2:$R$492,0)),"")</f>
        <v/>
      </c>
    </row>
    <row r="186" customFormat="false" ht="15" hidden="false" customHeight="true" outlineLevel="0" collapsed="false">
      <c r="A186" s="29" t="n">
        <v>183</v>
      </c>
      <c r="B186" s="26" t="str">
        <f aca="false">IFERROR(INDEX('Output Utente'!$A$2:$A$492,MATCH(183,'Output Utente'!$R$2:$R$492,0)),"")</f>
        <v/>
      </c>
      <c r="C186" s="26" t="str">
        <f aca="false">IFERROR(INDEX('Output Utente'!$B$2:$B$492,MATCH(183,'Output Utente'!$R$2:$R$492,0)),"")</f>
        <v/>
      </c>
      <c r="D186" s="26" t="str">
        <f aca="false">IFERROR(INDEX('Output Utente'!$C$2:$C$492,MATCH(183,'Output Utente'!$R$2:$R$492,0)),"")</f>
        <v/>
      </c>
      <c r="E186" s="26" t="str">
        <f aca="false">IFERROR(INDEX('Input Giocatori 2026_27'!$D$3:$D$493,MATCH($B186,'Input Giocatori 2026_27'!$A$3:$A$493,0)),"")</f>
        <v/>
      </c>
      <c r="F186" s="27" t="str">
        <f aca="false">IFERROR(INDEX('Output Utente'!$N$2:$N$492,MATCH(183,'Output Utente'!$R$2:$R$492,0)),"")</f>
        <v/>
      </c>
      <c r="G186" s="26" t="str">
        <f aca="false">IFERROR(INDEX('Output Utente'!$O$2:$O$492,MATCH(183,'Output Utente'!$R$2:$R$492,0)),"")</f>
        <v/>
      </c>
      <c r="H186" s="26" t="str">
        <f aca="false">IFERROR(INDEX('Output Utente'!$P$2:$P$492,MATCH(183,'Output Utente'!$R$2:$R$492,0)),"")</f>
        <v/>
      </c>
      <c r="I186" s="27" t="str">
        <f aca="false">IFERROR(INDEX('Output Utente'!$F$2:$F$492,MATCH(183,'Output Utente'!$R$2:$R$492,0)),"")</f>
        <v/>
      </c>
      <c r="J186" s="27" t="str">
        <f aca="false">IFERROR(INDEX('Output Utente'!$G$2:$G$492,MATCH(183,'Output Utente'!$R$2:$R$492,0)),"")</f>
        <v/>
      </c>
      <c r="K186" s="27" t="str">
        <f aca="false">IFERROR(INDEX('Output Utente'!$H$2:$H$492,MATCH(183,'Output Utente'!$R$2:$R$492,0)),"")</f>
        <v/>
      </c>
      <c r="L186" s="26" t="str">
        <f aca="false">IFERROR(INDEX('Output Utente'!$E$2:$E$492,MATCH(183,'Output Utente'!$R$2:$R$492,0)),"")</f>
        <v/>
      </c>
    </row>
    <row r="187" customFormat="false" ht="15" hidden="false" customHeight="true" outlineLevel="0" collapsed="false">
      <c r="A187" s="29" t="n">
        <v>184</v>
      </c>
      <c r="B187" s="26" t="str">
        <f aca="false">IFERROR(INDEX('Output Utente'!$A$2:$A$492,MATCH(184,'Output Utente'!$R$2:$R$492,0)),"")</f>
        <v/>
      </c>
      <c r="C187" s="26" t="str">
        <f aca="false">IFERROR(INDEX('Output Utente'!$B$2:$B$492,MATCH(184,'Output Utente'!$R$2:$R$492,0)),"")</f>
        <v/>
      </c>
      <c r="D187" s="26" t="str">
        <f aca="false">IFERROR(INDEX('Output Utente'!$C$2:$C$492,MATCH(184,'Output Utente'!$R$2:$R$492,0)),"")</f>
        <v/>
      </c>
      <c r="E187" s="26" t="str">
        <f aca="false">IFERROR(INDEX('Input Giocatori 2026_27'!$D$3:$D$493,MATCH($B187,'Input Giocatori 2026_27'!$A$3:$A$493,0)),"")</f>
        <v/>
      </c>
      <c r="F187" s="27" t="str">
        <f aca="false">IFERROR(INDEX('Output Utente'!$N$2:$N$492,MATCH(184,'Output Utente'!$R$2:$R$492,0)),"")</f>
        <v/>
      </c>
      <c r="G187" s="26" t="str">
        <f aca="false">IFERROR(INDEX('Output Utente'!$O$2:$O$492,MATCH(184,'Output Utente'!$R$2:$R$492,0)),"")</f>
        <v/>
      </c>
      <c r="H187" s="26" t="str">
        <f aca="false">IFERROR(INDEX('Output Utente'!$P$2:$P$492,MATCH(184,'Output Utente'!$R$2:$R$492,0)),"")</f>
        <v/>
      </c>
      <c r="I187" s="27" t="str">
        <f aca="false">IFERROR(INDEX('Output Utente'!$F$2:$F$492,MATCH(184,'Output Utente'!$R$2:$R$492,0)),"")</f>
        <v/>
      </c>
      <c r="J187" s="27" t="str">
        <f aca="false">IFERROR(INDEX('Output Utente'!$G$2:$G$492,MATCH(184,'Output Utente'!$R$2:$R$492,0)),"")</f>
        <v/>
      </c>
      <c r="K187" s="27" t="str">
        <f aca="false">IFERROR(INDEX('Output Utente'!$H$2:$H$492,MATCH(184,'Output Utente'!$R$2:$R$492,0)),"")</f>
        <v/>
      </c>
      <c r="L187" s="26" t="str">
        <f aca="false">IFERROR(INDEX('Output Utente'!$E$2:$E$492,MATCH(184,'Output Utente'!$R$2:$R$492,0)),"")</f>
        <v/>
      </c>
    </row>
    <row r="188" customFormat="false" ht="15" hidden="false" customHeight="true" outlineLevel="0" collapsed="false">
      <c r="A188" s="29" t="n">
        <v>185</v>
      </c>
      <c r="B188" s="26" t="str">
        <f aca="false">IFERROR(INDEX('Output Utente'!$A$2:$A$492,MATCH(185,'Output Utente'!$R$2:$R$492,0)),"")</f>
        <v/>
      </c>
      <c r="C188" s="26" t="str">
        <f aca="false">IFERROR(INDEX('Output Utente'!$B$2:$B$492,MATCH(185,'Output Utente'!$R$2:$R$492,0)),"")</f>
        <v/>
      </c>
      <c r="D188" s="26" t="str">
        <f aca="false">IFERROR(INDEX('Output Utente'!$C$2:$C$492,MATCH(185,'Output Utente'!$R$2:$R$492,0)),"")</f>
        <v/>
      </c>
      <c r="E188" s="26" t="str">
        <f aca="false">IFERROR(INDEX('Input Giocatori 2026_27'!$D$3:$D$493,MATCH($B188,'Input Giocatori 2026_27'!$A$3:$A$493,0)),"")</f>
        <v/>
      </c>
      <c r="F188" s="27" t="str">
        <f aca="false">IFERROR(INDEX('Output Utente'!$N$2:$N$492,MATCH(185,'Output Utente'!$R$2:$R$492,0)),"")</f>
        <v/>
      </c>
      <c r="G188" s="26" t="str">
        <f aca="false">IFERROR(INDEX('Output Utente'!$O$2:$O$492,MATCH(185,'Output Utente'!$R$2:$R$492,0)),"")</f>
        <v/>
      </c>
      <c r="H188" s="26" t="str">
        <f aca="false">IFERROR(INDEX('Output Utente'!$P$2:$P$492,MATCH(185,'Output Utente'!$R$2:$R$492,0)),"")</f>
        <v/>
      </c>
      <c r="I188" s="27" t="str">
        <f aca="false">IFERROR(INDEX('Output Utente'!$F$2:$F$492,MATCH(185,'Output Utente'!$R$2:$R$492,0)),"")</f>
        <v/>
      </c>
      <c r="J188" s="27" t="str">
        <f aca="false">IFERROR(INDEX('Output Utente'!$G$2:$G$492,MATCH(185,'Output Utente'!$R$2:$R$492,0)),"")</f>
        <v/>
      </c>
      <c r="K188" s="27" t="str">
        <f aca="false">IFERROR(INDEX('Output Utente'!$H$2:$H$492,MATCH(185,'Output Utente'!$R$2:$R$492,0)),"")</f>
        <v/>
      </c>
      <c r="L188" s="26" t="str">
        <f aca="false">IFERROR(INDEX('Output Utente'!$E$2:$E$492,MATCH(185,'Output Utente'!$R$2:$R$492,0)),"")</f>
        <v/>
      </c>
    </row>
    <row r="189" customFormat="false" ht="15" hidden="false" customHeight="true" outlineLevel="0" collapsed="false">
      <c r="A189" s="29" t="n">
        <v>186</v>
      </c>
      <c r="B189" s="26" t="str">
        <f aca="false">IFERROR(INDEX('Output Utente'!$A$2:$A$492,MATCH(186,'Output Utente'!$R$2:$R$492,0)),"")</f>
        <v/>
      </c>
      <c r="C189" s="26" t="str">
        <f aca="false">IFERROR(INDEX('Output Utente'!$B$2:$B$492,MATCH(186,'Output Utente'!$R$2:$R$492,0)),"")</f>
        <v/>
      </c>
      <c r="D189" s="26" t="str">
        <f aca="false">IFERROR(INDEX('Output Utente'!$C$2:$C$492,MATCH(186,'Output Utente'!$R$2:$R$492,0)),"")</f>
        <v/>
      </c>
      <c r="E189" s="26" t="str">
        <f aca="false">IFERROR(INDEX('Input Giocatori 2026_27'!$D$3:$D$493,MATCH($B189,'Input Giocatori 2026_27'!$A$3:$A$493,0)),"")</f>
        <v/>
      </c>
      <c r="F189" s="27" t="str">
        <f aca="false">IFERROR(INDEX('Output Utente'!$N$2:$N$492,MATCH(186,'Output Utente'!$R$2:$R$492,0)),"")</f>
        <v/>
      </c>
      <c r="G189" s="26" t="str">
        <f aca="false">IFERROR(INDEX('Output Utente'!$O$2:$O$492,MATCH(186,'Output Utente'!$R$2:$R$492,0)),"")</f>
        <v/>
      </c>
      <c r="H189" s="26" t="str">
        <f aca="false">IFERROR(INDEX('Output Utente'!$P$2:$P$492,MATCH(186,'Output Utente'!$R$2:$R$492,0)),"")</f>
        <v/>
      </c>
      <c r="I189" s="27" t="str">
        <f aca="false">IFERROR(INDEX('Output Utente'!$F$2:$F$492,MATCH(186,'Output Utente'!$R$2:$R$492,0)),"")</f>
        <v/>
      </c>
      <c r="J189" s="27" t="str">
        <f aca="false">IFERROR(INDEX('Output Utente'!$G$2:$G$492,MATCH(186,'Output Utente'!$R$2:$R$492,0)),"")</f>
        <v/>
      </c>
      <c r="K189" s="27" t="str">
        <f aca="false">IFERROR(INDEX('Output Utente'!$H$2:$H$492,MATCH(186,'Output Utente'!$R$2:$R$492,0)),"")</f>
        <v/>
      </c>
      <c r="L189" s="26" t="str">
        <f aca="false">IFERROR(INDEX('Output Utente'!$E$2:$E$492,MATCH(186,'Output Utente'!$R$2:$R$492,0)),"")</f>
        <v/>
      </c>
    </row>
    <row r="190" customFormat="false" ht="15" hidden="false" customHeight="true" outlineLevel="0" collapsed="false">
      <c r="A190" s="29" t="n">
        <v>187</v>
      </c>
      <c r="B190" s="26" t="str">
        <f aca="false">IFERROR(INDEX('Output Utente'!$A$2:$A$492,MATCH(187,'Output Utente'!$R$2:$R$492,0)),"")</f>
        <v/>
      </c>
      <c r="C190" s="26" t="str">
        <f aca="false">IFERROR(INDEX('Output Utente'!$B$2:$B$492,MATCH(187,'Output Utente'!$R$2:$R$492,0)),"")</f>
        <v/>
      </c>
      <c r="D190" s="26" t="str">
        <f aca="false">IFERROR(INDEX('Output Utente'!$C$2:$C$492,MATCH(187,'Output Utente'!$R$2:$R$492,0)),"")</f>
        <v/>
      </c>
      <c r="E190" s="26" t="str">
        <f aca="false">IFERROR(INDEX('Input Giocatori 2026_27'!$D$3:$D$493,MATCH($B190,'Input Giocatori 2026_27'!$A$3:$A$493,0)),"")</f>
        <v/>
      </c>
      <c r="F190" s="27" t="str">
        <f aca="false">IFERROR(INDEX('Output Utente'!$N$2:$N$492,MATCH(187,'Output Utente'!$R$2:$R$492,0)),"")</f>
        <v/>
      </c>
      <c r="G190" s="26" t="str">
        <f aca="false">IFERROR(INDEX('Output Utente'!$O$2:$O$492,MATCH(187,'Output Utente'!$R$2:$R$492,0)),"")</f>
        <v/>
      </c>
      <c r="H190" s="26" t="str">
        <f aca="false">IFERROR(INDEX('Output Utente'!$P$2:$P$492,MATCH(187,'Output Utente'!$R$2:$R$492,0)),"")</f>
        <v/>
      </c>
      <c r="I190" s="27" t="str">
        <f aca="false">IFERROR(INDEX('Output Utente'!$F$2:$F$492,MATCH(187,'Output Utente'!$R$2:$R$492,0)),"")</f>
        <v/>
      </c>
      <c r="J190" s="27" t="str">
        <f aca="false">IFERROR(INDEX('Output Utente'!$G$2:$G$492,MATCH(187,'Output Utente'!$R$2:$R$492,0)),"")</f>
        <v/>
      </c>
      <c r="K190" s="27" t="str">
        <f aca="false">IFERROR(INDEX('Output Utente'!$H$2:$H$492,MATCH(187,'Output Utente'!$R$2:$R$492,0)),"")</f>
        <v/>
      </c>
      <c r="L190" s="26" t="str">
        <f aca="false">IFERROR(INDEX('Output Utente'!$E$2:$E$492,MATCH(187,'Output Utente'!$R$2:$R$492,0)),"")</f>
        <v/>
      </c>
    </row>
    <row r="191" customFormat="false" ht="15" hidden="false" customHeight="true" outlineLevel="0" collapsed="false">
      <c r="A191" s="29" t="n">
        <v>188</v>
      </c>
      <c r="B191" s="26" t="str">
        <f aca="false">IFERROR(INDEX('Output Utente'!$A$2:$A$492,MATCH(188,'Output Utente'!$R$2:$R$492,0)),"")</f>
        <v/>
      </c>
      <c r="C191" s="26" t="str">
        <f aca="false">IFERROR(INDEX('Output Utente'!$B$2:$B$492,MATCH(188,'Output Utente'!$R$2:$R$492,0)),"")</f>
        <v/>
      </c>
      <c r="D191" s="26" t="str">
        <f aca="false">IFERROR(INDEX('Output Utente'!$C$2:$C$492,MATCH(188,'Output Utente'!$R$2:$R$492,0)),"")</f>
        <v/>
      </c>
      <c r="E191" s="26" t="str">
        <f aca="false">IFERROR(INDEX('Input Giocatori 2026_27'!$D$3:$D$493,MATCH($B191,'Input Giocatori 2026_27'!$A$3:$A$493,0)),"")</f>
        <v/>
      </c>
      <c r="F191" s="27" t="str">
        <f aca="false">IFERROR(INDEX('Output Utente'!$N$2:$N$492,MATCH(188,'Output Utente'!$R$2:$R$492,0)),"")</f>
        <v/>
      </c>
      <c r="G191" s="26" t="str">
        <f aca="false">IFERROR(INDEX('Output Utente'!$O$2:$O$492,MATCH(188,'Output Utente'!$R$2:$R$492,0)),"")</f>
        <v/>
      </c>
      <c r="H191" s="26" t="str">
        <f aca="false">IFERROR(INDEX('Output Utente'!$P$2:$P$492,MATCH(188,'Output Utente'!$R$2:$R$492,0)),"")</f>
        <v/>
      </c>
      <c r="I191" s="27" t="str">
        <f aca="false">IFERROR(INDEX('Output Utente'!$F$2:$F$492,MATCH(188,'Output Utente'!$R$2:$R$492,0)),"")</f>
        <v/>
      </c>
      <c r="J191" s="27" t="str">
        <f aca="false">IFERROR(INDEX('Output Utente'!$G$2:$G$492,MATCH(188,'Output Utente'!$R$2:$R$492,0)),"")</f>
        <v/>
      </c>
      <c r="K191" s="27" t="str">
        <f aca="false">IFERROR(INDEX('Output Utente'!$H$2:$H$492,MATCH(188,'Output Utente'!$R$2:$R$492,0)),"")</f>
        <v/>
      </c>
      <c r="L191" s="26" t="str">
        <f aca="false">IFERROR(INDEX('Output Utente'!$E$2:$E$492,MATCH(188,'Output Utente'!$R$2:$R$492,0)),"")</f>
        <v/>
      </c>
    </row>
    <row r="192" customFormat="false" ht="15" hidden="false" customHeight="true" outlineLevel="0" collapsed="false">
      <c r="A192" s="29" t="n">
        <v>189</v>
      </c>
      <c r="B192" s="26" t="str">
        <f aca="false">IFERROR(INDEX('Output Utente'!$A$2:$A$492,MATCH(189,'Output Utente'!$R$2:$R$492,0)),"")</f>
        <v/>
      </c>
      <c r="C192" s="26" t="str">
        <f aca="false">IFERROR(INDEX('Output Utente'!$B$2:$B$492,MATCH(189,'Output Utente'!$R$2:$R$492,0)),"")</f>
        <v/>
      </c>
      <c r="D192" s="26" t="str">
        <f aca="false">IFERROR(INDEX('Output Utente'!$C$2:$C$492,MATCH(189,'Output Utente'!$R$2:$R$492,0)),"")</f>
        <v/>
      </c>
      <c r="E192" s="26" t="str">
        <f aca="false">IFERROR(INDEX('Input Giocatori 2026_27'!$D$3:$D$493,MATCH($B192,'Input Giocatori 2026_27'!$A$3:$A$493,0)),"")</f>
        <v/>
      </c>
      <c r="F192" s="27" t="str">
        <f aca="false">IFERROR(INDEX('Output Utente'!$N$2:$N$492,MATCH(189,'Output Utente'!$R$2:$R$492,0)),"")</f>
        <v/>
      </c>
      <c r="G192" s="26" t="str">
        <f aca="false">IFERROR(INDEX('Output Utente'!$O$2:$O$492,MATCH(189,'Output Utente'!$R$2:$R$492,0)),"")</f>
        <v/>
      </c>
      <c r="H192" s="26" t="str">
        <f aca="false">IFERROR(INDEX('Output Utente'!$P$2:$P$492,MATCH(189,'Output Utente'!$R$2:$R$492,0)),"")</f>
        <v/>
      </c>
      <c r="I192" s="27" t="str">
        <f aca="false">IFERROR(INDEX('Output Utente'!$F$2:$F$492,MATCH(189,'Output Utente'!$R$2:$R$492,0)),"")</f>
        <v/>
      </c>
      <c r="J192" s="27" t="str">
        <f aca="false">IFERROR(INDEX('Output Utente'!$G$2:$G$492,MATCH(189,'Output Utente'!$R$2:$R$492,0)),"")</f>
        <v/>
      </c>
      <c r="K192" s="27" t="str">
        <f aca="false">IFERROR(INDEX('Output Utente'!$H$2:$H$492,MATCH(189,'Output Utente'!$R$2:$R$492,0)),"")</f>
        <v/>
      </c>
      <c r="L192" s="26" t="str">
        <f aca="false">IFERROR(INDEX('Output Utente'!$E$2:$E$492,MATCH(189,'Output Utente'!$R$2:$R$492,0)),"")</f>
        <v/>
      </c>
    </row>
    <row r="193" customFormat="false" ht="15" hidden="false" customHeight="true" outlineLevel="0" collapsed="false">
      <c r="A193" s="29" t="n">
        <v>190</v>
      </c>
      <c r="B193" s="26" t="str">
        <f aca="false">IFERROR(INDEX('Output Utente'!$A$2:$A$492,MATCH(190,'Output Utente'!$R$2:$R$492,0)),"")</f>
        <v/>
      </c>
      <c r="C193" s="26" t="str">
        <f aca="false">IFERROR(INDEX('Output Utente'!$B$2:$B$492,MATCH(190,'Output Utente'!$R$2:$R$492,0)),"")</f>
        <v/>
      </c>
      <c r="D193" s="26" t="str">
        <f aca="false">IFERROR(INDEX('Output Utente'!$C$2:$C$492,MATCH(190,'Output Utente'!$R$2:$R$492,0)),"")</f>
        <v/>
      </c>
      <c r="E193" s="26" t="str">
        <f aca="false">IFERROR(INDEX('Input Giocatori 2026_27'!$D$3:$D$493,MATCH($B193,'Input Giocatori 2026_27'!$A$3:$A$493,0)),"")</f>
        <v/>
      </c>
      <c r="F193" s="27" t="str">
        <f aca="false">IFERROR(INDEX('Output Utente'!$N$2:$N$492,MATCH(190,'Output Utente'!$R$2:$R$492,0)),"")</f>
        <v/>
      </c>
      <c r="G193" s="26" t="str">
        <f aca="false">IFERROR(INDEX('Output Utente'!$O$2:$O$492,MATCH(190,'Output Utente'!$R$2:$R$492,0)),"")</f>
        <v/>
      </c>
      <c r="H193" s="26" t="str">
        <f aca="false">IFERROR(INDEX('Output Utente'!$P$2:$P$492,MATCH(190,'Output Utente'!$R$2:$R$492,0)),"")</f>
        <v/>
      </c>
      <c r="I193" s="27" t="str">
        <f aca="false">IFERROR(INDEX('Output Utente'!$F$2:$F$492,MATCH(190,'Output Utente'!$R$2:$R$492,0)),"")</f>
        <v/>
      </c>
      <c r="J193" s="27" t="str">
        <f aca="false">IFERROR(INDEX('Output Utente'!$G$2:$G$492,MATCH(190,'Output Utente'!$R$2:$R$492,0)),"")</f>
        <v/>
      </c>
      <c r="K193" s="27" t="str">
        <f aca="false">IFERROR(INDEX('Output Utente'!$H$2:$H$492,MATCH(190,'Output Utente'!$R$2:$R$492,0)),"")</f>
        <v/>
      </c>
      <c r="L193" s="26" t="str">
        <f aca="false">IFERROR(INDEX('Output Utente'!$E$2:$E$492,MATCH(190,'Output Utente'!$R$2:$R$492,0)),"")</f>
        <v/>
      </c>
    </row>
    <row r="194" customFormat="false" ht="15" hidden="false" customHeight="true" outlineLevel="0" collapsed="false">
      <c r="A194" s="29" t="n">
        <v>191</v>
      </c>
      <c r="B194" s="26" t="str">
        <f aca="false">IFERROR(INDEX('Output Utente'!$A$2:$A$492,MATCH(191,'Output Utente'!$R$2:$R$492,0)),"")</f>
        <v/>
      </c>
      <c r="C194" s="26" t="str">
        <f aca="false">IFERROR(INDEX('Output Utente'!$B$2:$B$492,MATCH(191,'Output Utente'!$R$2:$R$492,0)),"")</f>
        <v/>
      </c>
      <c r="D194" s="26" t="str">
        <f aca="false">IFERROR(INDEX('Output Utente'!$C$2:$C$492,MATCH(191,'Output Utente'!$R$2:$R$492,0)),"")</f>
        <v/>
      </c>
      <c r="E194" s="26" t="str">
        <f aca="false">IFERROR(INDEX('Input Giocatori 2026_27'!$D$3:$D$493,MATCH($B194,'Input Giocatori 2026_27'!$A$3:$A$493,0)),"")</f>
        <v/>
      </c>
      <c r="F194" s="27" t="str">
        <f aca="false">IFERROR(INDEX('Output Utente'!$N$2:$N$492,MATCH(191,'Output Utente'!$R$2:$R$492,0)),"")</f>
        <v/>
      </c>
      <c r="G194" s="26" t="str">
        <f aca="false">IFERROR(INDEX('Output Utente'!$O$2:$O$492,MATCH(191,'Output Utente'!$R$2:$R$492,0)),"")</f>
        <v/>
      </c>
      <c r="H194" s="26" t="str">
        <f aca="false">IFERROR(INDEX('Output Utente'!$P$2:$P$492,MATCH(191,'Output Utente'!$R$2:$R$492,0)),"")</f>
        <v/>
      </c>
      <c r="I194" s="27" t="str">
        <f aca="false">IFERROR(INDEX('Output Utente'!$F$2:$F$492,MATCH(191,'Output Utente'!$R$2:$R$492,0)),"")</f>
        <v/>
      </c>
      <c r="J194" s="27" t="str">
        <f aca="false">IFERROR(INDEX('Output Utente'!$G$2:$G$492,MATCH(191,'Output Utente'!$R$2:$R$492,0)),"")</f>
        <v/>
      </c>
      <c r="K194" s="27" t="str">
        <f aca="false">IFERROR(INDEX('Output Utente'!$H$2:$H$492,MATCH(191,'Output Utente'!$R$2:$R$492,0)),"")</f>
        <v/>
      </c>
      <c r="L194" s="26" t="str">
        <f aca="false">IFERROR(INDEX('Output Utente'!$E$2:$E$492,MATCH(191,'Output Utente'!$R$2:$R$492,0)),"")</f>
        <v/>
      </c>
    </row>
    <row r="195" customFormat="false" ht="15" hidden="false" customHeight="true" outlineLevel="0" collapsed="false">
      <c r="A195" s="29" t="n">
        <v>192</v>
      </c>
      <c r="B195" s="26" t="str">
        <f aca="false">IFERROR(INDEX('Output Utente'!$A$2:$A$492,MATCH(192,'Output Utente'!$R$2:$R$492,0)),"")</f>
        <v/>
      </c>
      <c r="C195" s="26" t="str">
        <f aca="false">IFERROR(INDEX('Output Utente'!$B$2:$B$492,MATCH(192,'Output Utente'!$R$2:$R$492,0)),"")</f>
        <v/>
      </c>
      <c r="D195" s="26" t="str">
        <f aca="false">IFERROR(INDEX('Output Utente'!$C$2:$C$492,MATCH(192,'Output Utente'!$R$2:$R$492,0)),"")</f>
        <v/>
      </c>
      <c r="E195" s="26" t="str">
        <f aca="false">IFERROR(INDEX('Input Giocatori 2026_27'!$D$3:$D$493,MATCH($B195,'Input Giocatori 2026_27'!$A$3:$A$493,0)),"")</f>
        <v/>
      </c>
      <c r="F195" s="27" t="str">
        <f aca="false">IFERROR(INDEX('Output Utente'!$N$2:$N$492,MATCH(192,'Output Utente'!$R$2:$R$492,0)),"")</f>
        <v/>
      </c>
      <c r="G195" s="26" t="str">
        <f aca="false">IFERROR(INDEX('Output Utente'!$O$2:$O$492,MATCH(192,'Output Utente'!$R$2:$R$492,0)),"")</f>
        <v/>
      </c>
      <c r="H195" s="26" t="str">
        <f aca="false">IFERROR(INDEX('Output Utente'!$P$2:$P$492,MATCH(192,'Output Utente'!$R$2:$R$492,0)),"")</f>
        <v/>
      </c>
      <c r="I195" s="27" t="str">
        <f aca="false">IFERROR(INDEX('Output Utente'!$F$2:$F$492,MATCH(192,'Output Utente'!$R$2:$R$492,0)),"")</f>
        <v/>
      </c>
      <c r="J195" s="27" t="str">
        <f aca="false">IFERROR(INDEX('Output Utente'!$G$2:$G$492,MATCH(192,'Output Utente'!$R$2:$R$492,0)),"")</f>
        <v/>
      </c>
      <c r="K195" s="27" t="str">
        <f aca="false">IFERROR(INDEX('Output Utente'!$H$2:$H$492,MATCH(192,'Output Utente'!$R$2:$R$492,0)),"")</f>
        <v/>
      </c>
      <c r="L195" s="26" t="str">
        <f aca="false">IFERROR(INDEX('Output Utente'!$E$2:$E$492,MATCH(192,'Output Utente'!$R$2:$R$492,0)),"")</f>
        <v/>
      </c>
    </row>
    <row r="196" customFormat="false" ht="15" hidden="false" customHeight="true" outlineLevel="0" collapsed="false">
      <c r="A196" s="29" t="n">
        <v>193</v>
      </c>
      <c r="B196" s="26" t="str">
        <f aca="false">IFERROR(INDEX('Output Utente'!$A$2:$A$492,MATCH(193,'Output Utente'!$R$2:$R$492,0)),"")</f>
        <v/>
      </c>
      <c r="C196" s="26" t="str">
        <f aca="false">IFERROR(INDEX('Output Utente'!$B$2:$B$492,MATCH(193,'Output Utente'!$R$2:$R$492,0)),"")</f>
        <v/>
      </c>
      <c r="D196" s="26" t="str">
        <f aca="false">IFERROR(INDEX('Output Utente'!$C$2:$C$492,MATCH(193,'Output Utente'!$R$2:$R$492,0)),"")</f>
        <v/>
      </c>
      <c r="E196" s="26" t="str">
        <f aca="false">IFERROR(INDEX('Input Giocatori 2026_27'!$D$3:$D$493,MATCH($B196,'Input Giocatori 2026_27'!$A$3:$A$493,0)),"")</f>
        <v/>
      </c>
      <c r="F196" s="27" t="str">
        <f aca="false">IFERROR(INDEX('Output Utente'!$N$2:$N$492,MATCH(193,'Output Utente'!$R$2:$R$492,0)),"")</f>
        <v/>
      </c>
      <c r="G196" s="26" t="str">
        <f aca="false">IFERROR(INDEX('Output Utente'!$O$2:$O$492,MATCH(193,'Output Utente'!$R$2:$R$492,0)),"")</f>
        <v/>
      </c>
      <c r="H196" s="26" t="str">
        <f aca="false">IFERROR(INDEX('Output Utente'!$P$2:$P$492,MATCH(193,'Output Utente'!$R$2:$R$492,0)),"")</f>
        <v/>
      </c>
      <c r="I196" s="27" t="str">
        <f aca="false">IFERROR(INDEX('Output Utente'!$F$2:$F$492,MATCH(193,'Output Utente'!$R$2:$R$492,0)),"")</f>
        <v/>
      </c>
      <c r="J196" s="27" t="str">
        <f aca="false">IFERROR(INDEX('Output Utente'!$G$2:$G$492,MATCH(193,'Output Utente'!$R$2:$R$492,0)),"")</f>
        <v/>
      </c>
      <c r="K196" s="27" t="str">
        <f aca="false">IFERROR(INDEX('Output Utente'!$H$2:$H$492,MATCH(193,'Output Utente'!$R$2:$R$492,0)),"")</f>
        <v/>
      </c>
      <c r="L196" s="26" t="str">
        <f aca="false">IFERROR(INDEX('Output Utente'!$E$2:$E$492,MATCH(193,'Output Utente'!$R$2:$R$492,0)),"")</f>
        <v/>
      </c>
    </row>
    <row r="197" customFormat="false" ht="15" hidden="false" customHeight="true" outlineLevel="0" collapsed="false">
      <c r="A197" s="29" t="n">
        <v>194</v>
      </c>
      <c r="B197" s="26" t="str">
        <f aca="false">IFERROR(INDEX('Output Utente'!$A$2:$A$492,MATCH(194,'Output Utente'!$R$2:$R$492,0)),"")</f>
        <v/>
      </c>
      <c r="C197" s="26" t="str">
        <f aca="false">IFERROR(INDEX('Output Utente'!$B$2:$B$492,MATCH(194,'Output Utente'!$R$2:$R$492,0)),"")</f>
        <v/>
      </c>
      <c r="D197" s="26" t="str">
        <f aca="false">IFERROR(INDEX('Output Utente'!$C$2:$C$492,MATCH(194,'Output Utente'!$R$2:$R$492,0)),"")</f>
        <v/>
      </c>
      <c r="E197" s="26" t="str">
        <f aca="false">IFERROR(INDEX('Input Giocatori 2026_27'!$D$3:$D$493,MATCH($B197,'Input Giocatori 2026_27'!$A$3:$A$493,0)),"")</f>
        <v/>
      </c>
      <c r="F197" s="27" t="str">
        <f aca="false">IFERROR(INDEX('Output Utente'!$N$2:$N$492,MATCH(194,'Output Utente'!$R$2:$R$492,0)),"")</f>
        <v/>
      </c>
      <c r="G197" s="26" t="str">
        <f aca="false">IFERROR(INDEX('Output Utente'!$O$2:$O$492,MATCH(194,'Output Utente'!$R$2:$R$492,0)),"")</f>
        <v/>
      </c>
      <c r="H197" s="26" t="str">
        <f aca="false">IFERROR(INDEX('Output Utente'!$P$2:$P$492,MATCH(194,'Output Utente'!$R$2:$R$492,0)),"")</f>
        <v/>
      </c>
      <c r="I197" s="27" t="str">
        <f aca="false">IFERROR(INDEX('Output Utente'!$F$2:$F$492,MATCH(194,'Output Utente'!$R$2:$R$492,0)),"")</f>
        <v/>
      </c>
      <c r="J197" s="27" t="str">
        <f aca="false">IFERROR(INDEX('Output Utente'!$G$2:$G$492,MATCH(194,'Output Utente'!$R$2:$R$492,0)),"")</f>
        <v/>
      </c>
      <c r="K197" s="27" t="str">
        <f aca="false">IFERROR(INDEX('Output Utente'!$H$2:$H$492,MATCH(194,'Output Utente'!$R$2:$R$492,0)),"")</f>
        <v/>
      </c>
      <c r="L197" s="26" t="str">
        <f aca="false">IFERROR(INDEX('Output Utente'!$E$2:$E$492,MATCH(194,'Output Utente'!$R$2:$R$492,0)),"")</f>
        <v/>
      </c>
    </row>
    <row r="198" customFormat="false" ht="15" hidden="false" customHeight="true" outlineLevel="0" collapsed="false">
      <c r="A198" s="29" t="n">
        <v>195</v>
      </c>
      <c r="B198" s="26" t="str">
        <f aca="false">IFERROR(INDEX('Output Utente'!$A$2:$A$492,MATCH(195,'Output Utente'!$R$2:$R$492,0)),"")</f>
        <v/>
      </c>
      <c r="C198" s="26" t="str">
        <f aca="false">IFERROR(INDEX('Output Utente'!$B$2:$B$492,MATCH(195,'Output Utente'!$R$2:$R$492,0)),"")</f>
        <v/>
      </c>
      <c r="D198" s="26" t="str">
        <f aca="false">IFERROR(INDEX('Output Utente'!$C$2:$C$492,MATCH(195,'Output Utente'!$R$2:$R$492,0)),"")</f>
        <v/>
      </c>
      <c r="E198" s="26" t="str">
        <f aca="false">IFERROR(INDEX('Input Giocatori 2026_27'!$D$3:$D$493,MATCH($B198,'Input Giocatori 2026_27'!$A$3:$A$493,0)),"")</f>
        <v/>
      </c>
      <c r="F198" s="27" t="str">
        <f aca="false">IFERROR(INDEX('Output Utente'!$N$2:$N$492,MATCH(195,'Output Utente'!$R$2:$R$492,0)),"")</f>
        <v/>
      </c>
      <c r="G198" s="26" t="str">
        <f aca="false">IFERROR(INDEX('Output Utente'!$O$2:$O$492,MATCH(195,'Output Utente'!$R$2:$R$492,0)),"")</f>
        <v/>
      </c>
      <c r="H198" s="26" t="str">
        <f aca="false">IFERROR(INDEX('Output Utente'!$P$2:$P$492,MATCH(195,'Output Utente'!$R$2:$R$492,0)),"")</f>
        <v/>
      </c>
      <c r="I198" s="27" t="str">
        <f aca="false">IFERROR(INDEX('Output Utente'!$F$2:$F$492,MATCH(195,'Output Utente'!$R$2:$R$492,0)),"")</f>
        <v/>
      </c>
      <c r="J198" s="27" t="str">
        <f aca="false">IFERROR(INDEX('Output Utente'!$G$2:$G$492,MATCH(195,'Output Utente'!$R$2:$R$492,0)),"")</f>
        <v/>
      </c>
      <c r="K198" s="27" t="str">
        <f aca="false">IFERROR(INDEX('Output Utente'!$H$2:$H$492,MATCH(195,'Output Utente'!$R$2:$R$492,0)),"")</f>
        <v/>
      </c>
      <c r="L198" s="26" t="str">
        <f aca="false">IFERROR(INDEX('Output Utente'!$E$2:$E$492,MATCH(195,'Output Utente'!$R$2:$R$492,0)),"")</f>
        <v/>
      </c>
    </row>
    <row r="199" customFormat="false" ht="15" hidden="false" customHeight="true" outlineLevel="0" collapsed="false">
      <c r="A199" s="29" t="n">
        <v>196</v>
      </c>
      <c r="B199" s="26" t="str">
        <f aca="false">IFERROR(INDEX('Output Utente'!$A$2:$A$492,MATCH(196,'Output Utente'!$R$2:$R$492,0)),"")</f>
        <v/>
      </c>
      <c r="C199" s="26" t="str">
        <f aca="false">IFERROR(INDEX('Output Utente'!$B$2:$B$492,MATCH(196,'Output Utente'!$R$2:$R$492,0)),"")</f>
        <v/>
      </c>
      <c r="D199" s="26" t="str">
        <f aca="false">IFERROR(INDEX('Output Utente'!$C$2:$C$492,MATCH(196,'Output Utente'!$R$2:$R$492,0)),"")</f>
        <v/>
      </c>
      <c r="E199" s="26" t="str">
        <f aca="false">IFERROR(INDEX('Input Giocatori 2026_27'!$D$3:$D$493,MATCH($B199,'Input Giocatori 2026_27'!$A$3:$A$493,0)),"")</f>
        <v/>
      </c>
      <c r="F199" s="27" t="str">
        <f aca="false">IFERROR(INDEX('Output Utente'!$N$2:$N$492,MATCH(196,'Output Utente'!$R$2:$R$492,0)),"")</f>
        <v/>
      </c>
      <c r="G199" s="26" t="str">
        <f aca="false">IFERROR(INDEX('Output Utente'!$O$2:$O$492,MATCH(196,'Output Utente'!$R$2:$R$492,0)),"")</f>
        <v/>
      </c>
      <c r="H199" s="26" t="str">
        <f aca="false">IFERROR(INDEX('Output Utente'!$P$2:$P$492,MATCH(196,'Output Utente'!$R$2:$R$492,0)),"")</f>
        <v/>
      </c>
      <c r="I199" s="27" t="str">
        <f aca="false">IFERROR(INDEX('Output Utente'!$F$2:$F$492,MATCH(196,'Output Utente'!$R$2:$R$492,0)),"")</f>
        <v/>
      </c>
      <c r="J199" s="27" t="str">
        <f aca="false">IFERROR(INDEX('Output Utente'!$G$2:$G$492,MATCH(196,'Output Utente'!$R$2:$R$492,0)),"")</f>
        <v/>
      </c>
      <c r="K199" s="27" t="str">
        <f aca="false">IFERROR(INDEX('Output Utente'!$H$2:$H$492,MATCH(196,'Output Utente'!$R$2:$R$492,0)),"")</f>
        <v/>
      </c>
      <c r="L199" s="26" t="str">
        <f aca="false">IFERROR(INDEX('Output Utente'!$E$2:$E$492,MATCH(196,'Output Utente'!$R$2:$R$492,0)),"")</f>
        <v/>
      </c>
    </row>
    <row r="200" customFormat="false" ht="15" hidden="false" customHeight="true" outlineLevel="0" collapsed="false">
      <c r="A200" s="29" t="n">
        <v>197</v>
      </c>
      <c r="B200" s="26" t="str">
        <f aca="false">IFERROR(INDEX('Output Utente'!$A$2:$A$492,MATCH(197,'Output Utente'!$R$2:$R$492,0)),"")</f>
        <v/>
      </c>
      <c r="C200" s="26" t="str">
        <f aca="false">IFERROR(INDEX('Output Utente'!$B$2:$B$492,MATCH(197,'Output Utente'!$R$2:$R$492,0)),"")</f>
        <v/>
      </c>
      <c r="D200" s="26" t="str">
        <f aca="false">IFERROR(INDEX('Output Utente'!$C$2:$C$492,MATCH(197,'Output Utente'!$R$2:$R$492,0)),"")</f>
        <v/>
      </c>
      <c r="E200" s="26" t="str">
        <f aca="false">IFERROR(INDEX('Input Giocatori 2026_27'!$D$3:$D$493,MATCH($B200,'Input Giocatori 2026_27'!$A$3:$A$493,0)),"")</f>
        <v/>
      </c>
      <c r="F200" s="27" t="str">
        <f aca="false">IFERROR(INDEX('Output Utente'!$N$2:$N$492,MATCH(197,'Output Utente'!$R$2:$R$492,0)),"")</f>
        <v/>
      </c>
      <c r="G200" s="26" t="str">
        <f aca="false">IFERROR(INDEX('Output Utente'!$O$2:$O$492,MATCH(197,'Output Utente'!$R$2:$R$492,0)),"")</f>
        <v/>
      </c>
      <c r="H200" s="26" t="str">
        <f aca="false">IFERROR(INDEX('Output Utente'!$P$2:$P$492,MATCH(197,'Output Utente'!$R$2:$R$492,0)),"")</f>
        <v/>
      </c>
      <c r="I200" s="27" t="str">
        <f aca="false">IFERROR(INDEX('Output Utente'!$F$2:$F$492,MATCH(197,'Output Utente'!$R$2:$R$492,0)),"")</f>
        <v/>
      </c>
      <c r="J200" s="27" t="str">
        <f aca="false">IFERROR(INDEX('Output Utente'!$G$2:$G$492,MATCH(197,'Output Utente'!$R$2:$R$492,0)),"")</f>
        <v/>
      </c>
      <c r="K200" s="27" t="str">
        <f aca="false">IFERROR(INDEX('Output Utente'!$H$2:$H$492,MATCH(197,'Output Utente'!$R$2:$R$492,0)),"")</f>
        <v/>
      </c>
      <c r="L200" s="26" t="str">
        <f aca="false">IFERROR(INDEX('Output Utente'!$E$2:$E$492,MATCH(197,'Output Utente'!$R$2:$R$492,0)),"")</f>
        <v/>
      </c>
    </row>
    <row r="201" customFormat="false" ht="15" hidden="false" customHeight="true" outlineLevel="0" collapsed="false">
      <c r="A201" s="29" t="n">
        <v>198</v>
      </c>
      <c r="B201" s="26" t="str">
        <f aca="false">IFERROR(INDEX('Output Utente'!$A$2:$A$492,MATCH(198,'Output Utente'!$R$2:$R$492,0)),"")</f>
        <v/>
      </c>
      <c r="C201" s="26" t="str">
        <f aca="false">IFERROR(INDEX('Output Utente'!$B$2:$B$492,MATCH(198,'Output Utente'!$R$2:$R$492,0)),"")</f>
        <v/>
      </c>
      <c r="D201" s="26" t="str">
        <f aca="false">IFERROR(INDEX('Output Utente'!$C$2:$C$492,MATCH(198,'Output Utente'!$R$2:$R$492,0)),"")</f>
        <v/>
      </c>
      <c r="E201" s="26" t="str">
        <f aca="false">IFERROR(INDEX('Input Giocatori 2026_27'!$D$3:$D$493,MATCH($B201,'Input Giocatori 2026_27'!$A$3:$A$493,0)),"")</f>
        <v/>
      </c>
      <c r="F201" s="27" t="str">
        <f aca="false">IFERROR(INDEX('Output Utente'!$N$2:$N$492,MATCH(198,'Output Utente'!$R$2:$R$492,0)),"")</f>
        <v/>
      </c>
      <c r="G201" s="26" t="str">
        <f aca="false">IFERROR(INDEX('Output Utente'!$O$2:$O$492,MATCH(198,'Output Utente'!$R$2:$R$492,0)),"")</f>
        <v/>
      </c>
      <c r="H201" s="26" t="str">
        <f aca="false">IFERROR(INDEX('Output Utente'!$P$2:$P$492,MATCH(198,'Output Utente'!$R$2:$R$492,0)),"")</f>
        <v/>
      </c>
      <c r="I201" s="27" t="str">
        <f aca="false">IFERROR(INDEX('Output Utente'!$F$2:$F$492,MATCH(198,'Output Utente'!$R$2:$R$492,0)),"")</f>
        <v/>
      </c>
      <c r="J201" s="27" t="str">
        <f aca="false">IFERROR(INDEX('Output Utente'!$G$2:$G$492,MATCH(198,'Output Utente'!$R$2:$R$492,0)),"")</f>
        <v/>
      </c>
      <c r="K201" s="27" t="str">
        <f aca="false">IFERROR(INDEX('Output Utente'!$H$2:$H$492,MATCH(198,'Output Utente'!$R$2:$R$492,0)),"")</f>
        <v/>
      </c>
      <c r="L201" s="26" t="str">
        <f aca="false">IFERROR(INDEX('Output Utente'!$E$2:$E$492,MATCH(198,'Output Utente'!$R$2:$R$492,0)),"")</f>
        <v/>
      </c>
    </row>
    <row r="202" customFormat="false" ht="15" hidden="false" customHeight="true" outlineLevel="0" collapsed="false">
      <c r="A202" s="29" t="n">
        <v>199</v>
      </c>
      <c r="B202" s="26" t="str">
        <f aca="false">IFERROR(INDEX('Output Utente'!$A$2:$A$492,MATCH(199,'Output Utente'!$R$2:$R$492,0)),"")</f>
        <v/>
      </c>
      <c r="C202" s="26" t="str">
        <f aca="false">IFERROR(INDEX('Output Utente'!$B$2:$B$492,MATCH(199,'Output Utente'!$R$2:$R$492,0)),"")</f>
        <v/>
      </c>
      <c r="D202" s="26" t="str">
        <f aca="false">IFERROR(INDEX('Output Utente'!$C$2:$C$492,MATCH(199,'Output Utente'!$R$2:$R$492,0)),"")</f>
        <v/>
      </c>
      <c r="E202" s="26" t="str">
        <f aca="false">IFERROR(INDEX('Input Giocatori 2026_27'!$D$3:$D$493,MATCH($B202,'Input Giocatori 2026_27'!$A$3:$A$493,0)),"")</f>
        <v/>
      </c>
      <c r="F202" s="27" t="str">
        <f aca="false">IFERROR(INDEX('Output Utente'!$N$2:$N$492,MATCH(199,'Output Utente'!$R$2:$R$492,0)),"")</f>
        <v/>
      </c>
      <c r="G202" s="26" t="str">
        <f aca="false">IFERROR(INDEX('Output Utente'!$O$2:$O$492,MATCH(199,'Output Utente'!$R$2:$R$492,0)),"")</f>
        <v/>
      </c>
      <c r="H202" s="26" t="str">
        <f aca="false">IFERROR(INDEX('Output Utente'!$P$2:$P$492,MATCH(199,'Output Utente'!$R$2:$R$492,0)),"")</f>
        <v/>
      </c>
      <c r="I202" s="27" t="str">
        <f aca="false">IFERROR(INDEX('Output Utente'!$F$2:$F$492,MATCH(199,'Output Utente'!$R$2:$R$492,0)),"")</f>
        <v/>
      </c>
      <c r="J202" s="27" t="str">
        <f aca="false">IFERROR(INDEX('Output Utente'!$G$2:$G$492,MATCH(199,'Output Utente'!$R$2:$R$492,0)),"")</f>
        <v/>
      </c>
      <c r="K202" s="27" t="str">
        <f aca="false">IFERROR(INDEX('Output Utente'!$H$2:$H$492,MATCH(199,'Output Utente'!$R$2:$R$492,0)),"")</f>
        <v/>
      </c>
      <c r="L202" s="26" t="str">
        <f aca="false">IFERROR(INDEX('Output Utente'!$E$2:$E$492,MATCH(199,'Output Utente'!$R$2:$R$492,0)),"")</f>
        <v/>
      </c>
    </row>
    <row r="203" customFormat="false" ht="15" hidden="false" customHeight="true" outlineLevel="0" collapsed="false">
      <c r="A203" s="29" t="n">
        <v>200</v>
      </c>
      <c r="B203" s="26" t="str">
        <f aca="false">IFERROR(INDEX('Output Utente'!$A$2:$A$492,MATCH(200,'Output Utente'!$R$2:$R$492,0)),"")</f>
        <v/>
      </c>
      <c r="C203" s="26" t="str">
        <f aca="false">IFERROR(INDEX('Output Utente'!$B$2:$B$492,MATCH(200,'Output Utente'!$R$2:$R$492,0)),"")</f>
        <v/>
      </c>
      <c r="D203" s="26" t="str">
        <f aca="false">IFERROR(INDEX('Output Utente'!$C$2:$C$492,MATCH(200,'Output Utente'!$R$2:$R$492,0)),"")</f>
        <v/>
      </c>
      <c r="E203" s="26" t="str">
        <f aca="false">IFERROR(INDEX('Input Giocatori 2026_27'!$D$3:$D$493,MATCH($B203,'Input Giocatori 2026_27'!$A$3:$A$493,0)),"")</f>
        <v/>
      </c>
      <c r="F203" s="27" t="str">
        <f aca="false">IFERROR(INDEX('Output Utente'!$N$2:$N$492,MATCH(200,'Output Utente'!$R$2:$R$492,0)),"")</f>
        <v/>
      </c>
      <c r="G203" s="26" t="str">
        <f aca="false">IFERROR(INDEX('Output Utente'!$O$2:$O$492,MATCH(200,'Output Utente'!$R$2:$R$492,0)),"")</f>
        <v/>
      </c>
      <c r="H203" s="26" t="str">
        <f aca="false">IFERROR(INDEX('Output Utente'!$P$2:$P$492,MATCH(200,'Output Utente'!$R$2:$R$492,0)),"")</f>
        <v/>
      </c>
      <c r="I203" s="27" t="str">
        <f aca="false">IFERROR(INDEX('Output Utente'!$F$2:$F$492,MATCH(200,'Output Utente'!$R$2:$R$492,0)),"")</f>
        <v/>
      </c>
      <c r="J203" s="27" t="str">
        <f aca="false">IFERROR(INDEX('Output Utente'!$G$2:$G$492,MATCH(200,'Output Utente'!$R$2:$R$492,0)),"")</f>
        <v/>
      </c>
      <c r="K203" s="27" t="str">
        <f aca="false">IFERROR(INDEX('Output Utente'!$H$2:$H$492,MATCH(200,'Output Utente'!$R$2:$R$492,0)),"")</f>
        <v/>
      </c>
      <c r="L203" s="26" t="str">
        <f aca="false">IFERROR(INDEX('Output Utente'!$E$2:$E$492,MATCH(200,'Output Utente'!$R$2:$R$492,0)),"")</f>
        <v/>
      </c>
    </row>
    <row r="204" customFormat="false" ht="15" hidden="false" customHeight="true" outlineLevel="0" collapsed="false">
      <c r="A204" s="29" t="n">
        <v>201</v>
      </c>
      <c r="B204" s="26" t="str">
        <f aca="false">IFERROR(INDEX('Output Utente'!$A$2:$A$492,MATCH(201,'Output Utente'!$R$2:$R$492,0)),"")</f>
        <v/>
      </c>
      <c r="C204" s="26" t="str">
        <f aca="false">IFERROR(INDEX('Output Utente'!$B$2:$B$492,MATCH(201,'Output Utente'!$R$2:$R$492,0)),"")</f>
        <v/>
      </c>
      <c r="D204" s="26" t="str">
        <f aca="false">IFERROR(INDEX('Output Utente'!$C$2:$C$492,MATCH(201,'Output Utente'!$R$2:$R$492,0)),"")</f>
        <v/>
      </c>
      <c r="E204" s="26" t="str">
        <f aca="false">IFERROR(INDEX('Input Giocatori 2026_27'!$D$3:$D$493,MATCH($B204,'Input Giocatori 2026_27'!$A$3:$A$493,0)),"")</f>
        <v/>
      </c>
      <c r="F204" s="27" t="str">
        <f aca="false">IFERROR(INDEX('Output Utente'!$N$2:$N$492,MATCH(201,'Output Utente'!$R$2:$R$492,0)),"")</f>
        <v/>
      </c>
      <c r="G204" s="26" t="str">
        <f aca="false">IFERROR(INDEX('Output Utente'!$O$2:$O$492,MATCH(201,'Output Utente'!$R$2:$R$492,0)),"")</f>
        <v/>
      </c>
      <c r="H204" s="26" t="str">
        <f aca="false">IFERROR(INDEX('Output Utente'!$P$2:$P$492,MATCH(201,'Output Utente'!$R$2:$R$492,0)),"")</f>
        <v/>
      </c>
      <c r="I204" s="27" t="str">
        <f aca="false">IFERROR(INDEX('Output Utente'!$F$2:$F$492,MATCH(201,'Output Utente'!$R$2:$R$492,0)),"")</f>
        <v/>
      </c>
      <c r="J204" s="27" t="str">
        <f aca="false">IFERROR(INDEX('Output Utente'!$G$2:$G$492,MATCH(201,'Output Utente'!$R$2:$R$492,0)),"")</f>
        <v/>
      </c>
      <c r="K204" s="27" t="str">
        <f aca="false">IFERROR(INDEX('Output Utente'!$H$2:$H$492,MATCH(201,'Output Utente'!$R$2:$R$492,0)),"")</f>
        <v/>
      </c>
      <c r="L204" s="26" t="str">
        <f aca="false">IFERROR(INDEX('Output Utente'!$E$2:$E$492,MATCH(201,'Output Utente'!$R$2:$R$492,0)),"")</f>
        <v/>
      </c>
    </row>
    <row r="205" customFormat="false" ht="15" hidden="false" customHeight="true" outlineLevel="0" collapsed="false">
      <c r="A205" s="29" t="n">
        <v>202</v>
      </c>
      <c r="B205" s="26" t="str">
        <f aca="false">IFERROR(INDEX('Output Utente'!$A$2:$A$492,MATCH(202,'Output Utente'!$R$2:$R$492,0)),"")</f>
        <v/>
      </c>
      <c r="C205" s="26" t="str">
        <f aca="false">IFERROR(INDEX('Output Utente'!$B$2:$B$492,MATCH(202,'Output Utente'!$R$2:$R$492,0)),"")</f>
        <v/>
      </c>
      <c r="D205" s="26" t="str">
        <f aca="false">IFERROR(INDEX('Output Utente'!$C$2:$C$492,MATCH(202,'Output Utente'!$R$2:$R$492,0)),"")</f>
        <v/>
      </c>
      <c r="E205" s="26" t="str">
        <f aca="false">IFERROR(INDEX('Input Giocatori 2026_27'!$D$3:$D$493,MATCH($B205,'Input Giocatori 2026_27'!$A$3:$A$493,0)),"")</f>
        <v/>
      </c>
      <c r="F205" s="27" t="str">
        <f aca="false">IFERROR(INDEX('Output Utente'!$N$2:$N$492,MATCH(202,'Output Utente'!$R$2:$R$492,0)),"")</f>
        <v/>
      </c>
      <c r="G205" s="26" t="str">
        <f aca="false">IFERROR(INDEX('Output Utente'!$O$2:$O$492,MATCH(202,'Output Utente'!$R$2:$R$492,0)),"")</f>
        <v/>
      </c>
      <c r="H205" s="26" t="str">
        <f aca="false">IFERROR(INDEX('Output Utente'!$P$2:$P$492,MATCH(202,'Output Utente'!$R$2:$R$492,0)),"")</f>
        <v/>
      </c>
      <c r="I205" s="27" t="str">
        <f aca="false">IFERROR(INDEX('Output Utente'!$F$2:$F$492,MATCH(202,'Output Utente'!$R$2:$R$492,0)),"")</f>
        <v/>
      </c>
      <c r="J205" s="27" t="str">
        <f aca="false">IFERROR(INDEX('Output Utente'!$G$2:$G$492,MATCH(202,'Output Utente'!$R$2:$R$492,0)),"")</f>
        <v/>
      </c>
      <c r="K205" s="27" t="str">
        <f aca="false">IFERROR(INDEX('Output Utente'!$H$2:$H$492,MATCH(202,'Output Utente'!$R$2:$R$492,0)),"")</f>
        <v/>
      </c>
      <c r="L205" s="26" t="str">
        <f aca="false">IFERROR(INDEX('Output Utente'!$E$2:$E$492,MATCH(202,'Output Utente'!$R$2:$R$492,0)),"")</f>
        <v/>
      </c>
    </row>
    <row r="206" customFormat="false" ht="15" hidden="false" customHeight="true" outlineLevel="0" collapsed="false">
      <c r="A206" s="29" t="n">
        <v>203</v>
      </c>
      <c r="B206" s="26" t="str">
        <f aca="false">IFERROR(INDEX('Output Utente'!$A$2:$A$492,MATCH(203,'Output Utente'!$R$2:$R$492,0)),"")</f>
        <v/>
      </c>
      <c r="C206" s="26" t="str">
        <f aca="false">IFERROR(INDEX('Output Utente'!$B$2:$B$492,MATCH(203,'Output Utente'!$R$2:$R$492,0)),"")</f>
        <v/>
      </c>
      <c r="D206" s="26" t="str">
        <f aca="false">IFERROR(INDEX('Output Utente'!$C$2:$C$492,MATCH(203,'Output Utente'!$R$2:$R$492,0)),"")</f>
        <v/>
      </c>
      <c r="E206" s="26" t="str">
        <f aca="false">IFERROR(INDEX('Input Giocatori 2026_27'!$D$3:$D$493,MATCH($B206,'Input Giocatori 2026_27'!$A$3:$A$493,0)),"")</f>
        <v/>
      </c>
      <c r="F206" s="27" t="str">
        <f aca="false">IFERROR(INDEX('Output Utente'!$N$2:$N$492,MATCH(203,'Output Utente'!$R$2:$R$492,0)),"")</f>
        <v/>
      </c>
      <c r="G206" s="26" t="str">
        <f aca="false">IFERROR(INDEX('Output Utente'!$O$2:$O$492,MATCH(203,'Output Utente'!$R$2:$R$492,0)),"")</f>
        <v/>
      </c>
      <c r="H206" s="26" t="str">
        <f aca="false">IFERROR(INDEX('Output Utente'!$P$2:$P$492,MATCH(203,'Output Utente'!$R$2:$R$492,0)),"")</f>
        <v/>
      </c>
      <c r="I206" s="27" t="str">
        <f aca="false">IFERROR(INDEX('Output Utente'!$F$2:$F$492,MATCH(203,'Output Utente'!$R$2:$R$492,0)),"")</f>
        <v/>
      </c>
      <c r="J206" s="27" t="str">
        <f aca="false">IFERROR(INDEX('Output Utente'!$G$2:$G$492,MATCH(203,'Output Utente'!$R$2:$R$492,0)),"")</f>
        <v/>
      </c>
      <c r="K206" s="27" t="str">
        <f aca="false">IFERROR(INDEX('Output Utente'!$H$2:$H$492,MATCH(203,'Output Utente'!$R$2:$R$492,0)),"")</f>
        <v/>
      </c>
      <c r="L206" s="26" t="str">
        <f aca="false">IFERROR(INDEX('Output Utente'!$E$2:$E$492,MATCH(203,'Output Utente'!$R$2:$R$492,0)),"")</f>
        <v/>
      </c>
    </row>
    <row r="207" customFormat="false" ht="15" hidden="false" customHeight="true" outlineLevel="0" collapsed="false">
      <c r="A207" s="29" t="n">
        <v>204</v>
      </c>
      <c r="B207" s="26" t="str">
        <f aca="false">IFERROR(INDEX('Output Utente'!$A$2:$A$492,MATCH(204,'Output Utente'!$R$2:$R$492,0)),"")</f>
        <v/>
      </c>
      <c r="C207" s="26" t="str">
        <f aca="false">IFERROR(INDEX('Output Utente'!$B$2:$B$492,MATCH(204,'Output Utente'!$R$2:$R$492,0)),"")</f>
        <v/>
      </c>
      <c r="D207" s="26" t="str">
        <f aca="false">IFERROR(INDEX('Output Utente'!$C$2:$C$492,MATCH(204,'Output Utente'!$R$2:$R$492,0)),"")</f>
        <v/>
      </c>
      <c r="E207" s="26" t="str">
        <f aca="false">IFERROR(INDEX('Input Giocatori 2026_27'!$D$3:$D$493,MATCH($B207,'Input Giocatori 2026_27'!$A$3:$A$493,0)),"")</f>
        <v/>
      </c>
      <c r="F207" s="27" t="str">
        <f aca="false">IFERROR(INDEX('Output Utente'!$N$2:$N$492,MATCH(204,'Output Utente'!$R$2:$R$492,0)),"")</f>
        <v/>
      </c>
      <c r="G207" s="26" t="str">
        <f aca="false">IFERROR(INDEX('Output Utente'!$O$2:$O$492,MATCH(204,'Output Utente'!$R$2:$R$492,0)),"")</f>
        <v/>
      </c>
      <c r="H207" s="26" t="str">
        <f aca="false">IFERROR(INDEX('Output Utente'!$P$2:$P$492,MATCH(204,'Output Utente'!$R$2:$R$492,0)),"")</f>
        <v/>
      </c>
      <c r="I207" s="27" t="str">
        <f aca="false">IFERROR(INDEX('Output Utente'!$F$2:$F$492,MATCH(204,'Output Utente'!$R$2:$R$492,0)),"")</f>
        <v/>
      </c>
      <c r="J207" s="27" t="str">
        <f aca="false">IFERROR(INDEX('Output Utente'!$G$2:$G$492,MATCH(204,'Output Utente'!$R$2:$R$492,0)),"")</f>
        <v/>
      </c>
      <c r="K207" s="27" t="str">
        <f aca="false">IFERROR(INDEX('Output Utente'!$H$2:$H$492,MATCH(204,'Output Utente'!$R$2:$R$492,0)),"")</f>
        <v/>
      </c>
      <c r="L207" s="26" t="str">
        <f aca="false">IFERROR(INDEX('Output Utente'!$E$2:$E$492,MATCH(204,'Output Utente'!$R$2:$R$492,0)),"")</f>
        <v/>
      </c>
    </row>
    <row r="208" customFormat="false" ht="15" hidden="false" customHeight="true" outlineLevel="0" collapsed="false">
      <c r="A208" s="29" t="n">
        <v>205</v>
      </c>
      <c r="B208" s="26" t="str">
        <f aca="false">IFERROR(INDEX('Output Utente'!$A$2:$A$492,MATCH(205,'Output Utente'!$R$2:$R$492,0)),"")</f>
        <v/>
      </c>
      <c r="C208" s="26" t="str">
        <f aca="false">IFERROR(INDEX('Output Utente'!$B$2:$B$492,MATCH(205,'Output Utente'!$R$2:$R$492,0)),"")</f>
        <v/>
      </c>
      <c r="D208" s="26" t="str">
        <f aca="false">IFERROR(INDEX('Output Utente'!$C$2:$C$492,MATCH(205,'Output Utente'!$R$2:$R$492,0)),"")</f>
        <v/>
      </c>
      <c r="E208" s="26" t="str">
        <f aca="false">IFERROR(INDEX('Input Giocatori 2026_27'!$D$3:$D$493,MATCH($B208,'Input Giocatori 2026_27'!$A$3:$A$493,0)),"")</f>
        <v/>
      </c>
      <c r="F208" s="27" t="str">
        <f aca="false">IFERROR(INDEX('Output Utente'!$N$2:$N$492,MATCH(205,'Output Utente'!$R$2:$R$492,0)),"")</f>
        <v/>
      </c>
      <c r="G208" s="26" t="str">
        <f aca="false">IFERROR(INDEX('Output Utente'!$O$2:$O$492,MATCH(205,'Output Utente'!$R$2:$R$492,0)),"")</f>
        <v/>
      </c>
      <c r="H208" s="26" t="str">
        <f aca="false">IFERROR(INDEX('Output Utente'!$P$2:$P$492,MATCH(205,'Output Utente'!$R$2:$R$492,0)),"")</f>
        <v/>
      </c>
      <c r="I208" s="27" t="str">
        <f aca="false">IFERROR(INDEX('Output Utente'!$F$2:$F$492,MATCH(205,'Output Utente'!$R$2:$R$492,0)),"")</f>
        <v/>
      </c>
      <c r="J208" s="27" t="str">
        <f aca="false">IFERROR(INDEX('Output Utente'!$G$2:$G$492,MATCH(205,'Output Utente'!$R$2:$R$492,0)),"")</f>
        <v/>
      </c>
      <c r="K208" s="27" t="str">
        <f aca="false">IFERROR(INDEX('Output Utente'!$H$2:$H$492,MATCH(205,'Output Utente'!$R$2:$R$492,0)),"")</f>
        <v/>
      </c>
      <c r="L208" s="26" t="str">
        <f aca="false">IFERROR(INDEX('Output Utente'!$E$2:$E$492,MATCH(205,'Output Utente'!$R$2:$R$492,0)),"")</f>
        <v/>
      </c>
    </row>
    <row r="209" customFormat="false" ht="15" hidden="false" customHeight="true" outlineLevel="0" collapsed="false">
      <c r="A209" s="29" t="n">
        <v>206</v>
      </c>
      <c r="B209" s="26" t="str">
        <f aca="false">IFERROR(INDEX('Output Utente'!$A$2:$A$492,MATCH(206,'Output Utente'!$R$2:$R$492,0)),"")</f>
        <v/>
      </c>
      <c r="C209" s="26" t="str">
        <f aca="false">IFERROR(INDEX('Output Utente'!$B$2:$B$492,MATCH(206,'Output Utente'!$R$2:$R$492,0)),"")</f>
        <v/>
      </c>
      <c r="D209" s="26" t="str">
        <f aca="false">IFERROR(INDEX('Output Utente'!$C$2:$C$492,MATCH(206,'Output Utente'!$R$2:$R$492,0)),"")</f>
        <v/>
      </c>
      <c r="E209" s="26" t="str">
        <f aca="false">IFERROR(INDEX('Input Giocatori 2026_27'!$D$3:$D$493,MATCH($B209,'Input Giocatori 2026_27'!$A$3:$A$493,0)),"")</f>
        <v/>
      </c>
      <c r="F209" s="27" t="str">
        <f aca="false">IFERROR(INDEX('Output Utente'!$N$2:$N$492,MATCH(206,'Output Utente'!$R$2:$R$492,0)),"")</f>
        <v/>
      </c>
      <c r="G209" s="26" t="str">
        <f aca="false">IFERROR(INDEX('Output Utente'!$O$2:$O$492,MATCH(206,'Output Utente'!$R$2:$R$492,0)),"")</f>
        <v/>
      </c>
      <c r="H209" s="26" t="str">
        <f aca="false">IFERROR(INDEX('Output Utente'!$P$2:$P$492,MATCH(206,'Output Utente'!$R$2:$R$492,0)),"")</f>
        <v/>
      </c>
      <c r="I209" s="27" t="str">
        <f aca="false">IFERROR(INDEX('Output Utente'!$F$2:$F$492,MATCH(206,'Output Utente'!$R$2:$R$492,0)),"")</f>
        <v/>
      </c>
      <c r="J209" s="27" t="str">
        <f aca="false">IFERROR(INDEX('Output Utente'!$G$2:$G$492,MATCH(206,'Output Utente'!$R$2:$R$492,0)),"")</f>
        <v/>
      </c>
      <c r="K209" s="27" t="str">
        <f aca="false">IFERROR(INDEX('Output Utente'!$H$2:$H$492,MATCH(206,'Output Utente'!$R$2:$R$492,0)),"")</f>
        <v/>
      </c>
      <c r="L209" s="26" t="str">
        <f aca="false">IFERROR(INDEX('Output Utente'!$E$2:$E$492,MATCH(206,'Output Utente'!$R$2:$R$492,0)),"")</f>
        <v/>
      </c>
    </row>
    <row r="210" customFormat="false" ht="15" hidden="false" customHeight="true" outlineLevel="0" collapsed="false">
      <c r="A210" s="29" t="n">
        <v>207</v>
      </c>
      <c r="B210" s="26" t="str">
        <f aca="false">IFERROR(INDEX('Output Utente'!$A$2:$A$492,MATCH(207,'Output Utente'!$R$2:$R$492,0)),"")</f>
        <v/>
      </c>
      <c r="C210" s="26" t="str">
        <f aca="false">IFERROR(INDEX('Output Utente'!$B$2:$B$492,MATCH(207,'Output Utente'!$R$2:$R$492,0)),"")</f>
        <v/>
      </c>
      <c r="D210" s="26" t="str">
        <f aca="false">IFERROR(INDEX('Output Utente'!$C$2:$C$492,MATCH(207,'Output Utente'!$R$2:$R$492,0)),"")</f>
        <v/>
      </c>
      <c r="E210" s="26" t="str">
        <f aca="false">IFERROR(INDEX('Input Giocatori 2026_27'!$D$3:$D$493,MATCH($B210,'Input Giocatori 2026_27'!$A$3:$A$493,0)),"")</f>
        <v/>
      </c>
      <c r="F210" s="27" t="str">
        <f aca="false">IFERROR(INDEX('Output Utente'!$N$2:$N$492,MATCH(207,'Output Utente'!$R$2:$R$492,0)),"")</f>
        <v/>
      </c>
      <c r="G210" s="26" t="str">
        <f aca="false">IFERROR(INDEX('Output Utente'!$O$2:$O$492,MATCH(207,'Output Utente'!$R$2:$R$492,0)),"")</f>
        <v/>
      </c>
      <c r="H210" s="26" t="str">
        <f aca="false">IFERROR(INDEX('Output Utente'!$P$2:$P$492,MATCH(207,'Output Utente'!$R$2:$R$492,0)),"")</f>
        <v/>
      </c>
      <c r="I210" s="27" t="str">
        <f aca="false">IFERROR(INDEX('Output Utente'!$F$2:$F$492,MATCH(207,'Output Utente'!$R$2:$R$492,0)),"")</f>
        <v/>
      </c>
      <c r="J210" s="27" t="str">
        <f aca="false">IFERROR(INDEX('Output Utente'!$G$2:$G$492,MATCH(207,'Output Utente'!$R$2:$R$492,0)),"")</f>
        <v/>
      </c>
      <c r="K210" s="27" t="str">
        <f aca="false">IFERROR(INDEX('Output Utente'!$H$2:$H$492,MATCH(207,'Output Utente'!$R$2:$R$492,0)),"")</f>
        <v/>
      </c>
      <c r="L210" s="26" t="str">
        <f aca="false">IFERROR(INDEX('Output Utente'!$E$2:$E$492,MATCH(207,'Output Utente'!$R$2:$R$492,0)),"")</f>
        <v/>
      </c>
    </row>
    <row r="211" customFormat="false" ht="15" hidden="false" customHeight="true" outlineLevel="0" collapsed="false">
      <c r="A211" s="29" t="n">
        <v>208</v>
      </c>
      <c r="B211" s="26" t="str">
        <f aca="false">IFERROR(INDEX('Output Utente'!$A$2:$A$492,MATCH(208,'Output Utente'!$R$2:$R$492,0)),"")</f>
        <v/>
      </c>
      <c r="C211" s="26" t="str">
        <f aca="false">IFERROR(INDEX('Output Utente'!$B$2:$B$492,MATCH(208,'Output Utente'!$R$2:$R$492,0)),"")</f>
        <v/>
      </c>
      <c r="D211" s="26" t="str">
        <f aca="false">IFERROR(INDEX('Output Utente'!$C$2:$C$492,MATCH(208,'Output Utente'!$R$2:$R$492,0)),"")</f>
        <v/>
      </c>
      <c r="E211" s="26" t="str">
        <f aca="false">IFERROR(INDEX('Input Giocatori 2026_27'!$D$3:$D$493,MATCH($B211,'Input Giocatori 2026_27'!$A$3:$A$493,0)),"")</f>
        <v/>
      </c>
      <c r="F211" s="27" t="str">
        <f aca="false">IFERROR(INDEX('Output Utente'!$N$2:$N$492,MATCH(208,'Output Utente'!$R$2:$R$492,0)),"")</f>
        <v/>
      </c>
      <c r="G211" s="26" t="str">
        <f aca="false">IFERROR(INDEX('Output Utente'!$O$2:$O$492,MATCH(208,'Output Utente'!$R$2:$R$492,0)),"")</f>
        <v/>
      </c>
      <c r="H211" s="26" t="str">
        <f aca="false">IFERROR(INDEX('Output Utente'!$P$2:$P$492,MATCH(208,'Output Utente'!$R$2:$R$492,0)),"")</f>
        <v/>
      </c>
      <c r="I211" s="27" t="str">
        <f aca="false">IFERROR(INDEX('Output Utente'!$F$2:$F$492,MATCH(208,'Output Utente'!$R$2:$R$492,0)),"")</f>
        <v/>
      </c>
      <c r="J211" s="27" t="str">
        <f aca="false">IFERROR(INDEX('Output Utente'!$G$2:$G$492,MATCH(208,'Output Utente'!$R$2:$R$492,0)),"")</f>
        <v/>
      </c>
      <c r="K211" s="27" t="str">
        <f aca="false">IFERROR(INDEX('Output Utente'!$H$2:$H$492,MATCH(208,'Output Utente'!$R$2:$R$492,0)),"")</f>
        <v/>
      </c>
      <c r="L211" s="26" t="str">
        <f aca="false">IFERROR(INDEX('Output Utente'!$E$2:$E$492,MATCH(208,'Output Utente'!$R$2:$R$492,0)),"")</f>
        <v/>
      </c>
    </row>
    <row r="212" customFormat="false" ht="15" hidden="false" customHeight="true" outlineLevel="0" collapsed="false">
      <c r="A212" s="29" t="n">
        <v>209</v>
      </c>
      <c r="B212" s="26" t="str">
        <f aca="false">IFERROR(INDEX('Output Utente'!$A$2:$A$492,MATCH(209,'Output Utente'!$R$2:$R$492,0)),"")</f>
        <v/>
      </c>
      <c r="C212" s="26" t="str">
        <f aca="false">IFERROR(INDEX('Output Utente'!$B$2:$B$492,MATCH(209,'Output Utente'!$R$2:$R$492,0)),"")</f>
        <v/>
      </c>
      <c r="D212" s="26" t="str">
        <f aca="false">IFERROR(INDEX('Output Utente'!$C$2:$C$492,MATCH(209,'Output Utente'!$R$2:$R$492,0)),"")</f>
        <v/>
      </c>
      <c r="E212" s="26" t="str">
        <f aca="false">IFERROR(INDEX('Input Giocatori 2026_27'!$D$3:$D$493,MATCH($B212,'Input Giocatori 2026_27'!$A$3:$A$493,0)),"")</f>
        <v/>
      </c>
      <c r="F212" s="27" t="str">
        <f aca="false">IFERROR(INDEX('Output Utente'!$N$2:$N$492,MATCH(209,'Output Utente'!$R$2:$R$492,0)),"")</f>
        <v/>
      </c>
      <c r="G212" s="26" t="str">
        <f aca="false">IFERROR(INDEX('Output Utente'!$O$2:$O$492,MATCH(209,'Output Utente'!$R$2:$R$492,0)),"")</f>
        <v/>
      </c>
      <c r="H212" s="26" t="str">
        <f aca="false">IFERROR(INDEX('Output Utente'!$P$2:$P$492,MATCH(209,'Output Utente'!$R$2:$R$492,0)),"")</f>
        <v/>
      </c>
      <c r="I212" s="27" t="str">
        <f aca="false">IFERROR(INDEX('Output Utente'!$F$2:$F$492,MATCH(209,'Output Utente'!$R$2:$R$492,0)),"")</f>
        <v/>
      </c>
      <c r="J212" s="27" t="str">
        <f aca="false">IFERROR(INDEX('Output Utente'!$G$2:$G$492,MATCH(209,'Output Utente'!$R$2:$R$492,0)),"")</f>
        <v/>
      </c>
      <c r="K212" s="27" t="str">
        <f aca="false">IFERROR(INDEX('Output Utente'!$H$2:$H$492,MATCH(209,'Output Utente'!$R$2:$R$492,0)),"")</f>
        <v/>
      </c>
      <c r="L212" s="26" t="str">
        <f aca="false">IFERROR(INDEX('Output Utente'!$E$2:$E$492,MATCH(209,'Output Utente'!$R$2:$R$492,0)),"")</f>
        <v/>
      </c>
    </row>
    <row r="213" customFormat="false" ht="15" hidden="false" customHeight="true" outlineLevel="0" collapsed="false">
      <c r="A213" s="29" t="n">
        <v>210</v>
      </c>
      <c r="B213" s="26" t="str">
        <f aca="false">IFERROR(INDEX('Output Utente'!$A$2:$A$492,MATCH(210,'Output Utente'!$R$2:$R$492,0)),"")</f>
        <v/>
      </c>
      <c r="C213" s="26" t="str">
        <f aca="false">IFERROR(INDEX('Output Utente'!$B$2:$B$492,MATCH(210,'Output Utente'!$R$2:$R$492,0)),"")</f>
        <v/>
      </c>
      <c r="D213" s="26" t="str">
        <f aca="false">IFERROR(INDEX('Output Utente'!$C$2:$C$492,MATCH(210,'Output Utente'!$R$2:$R$492,0)),"")</f>
        <v/>
      </c>
      <c r="E213" s="26" t="str">
        <f aca="false">IFERROR(INDEX('Input Giocatori 2026_27'!$D$3:$D$493,MATCH($B213,'Input Giocatori 2026_27'!$A$3:$A$493,0)),"")</f>
        <v/>
      </c>
      <c r="F213" s="27" t="str">
        <f aca="false">IFERROR(INDEX('Output Utente'!$N$2:$N$492,MATCH(210,'Output Utente'!$R$2:$R$492,0)),"")</f>
        <v/>
      </c>
      <c r="G213" s="26" t="str">
        <f aca="false">IFERROR(INDEX('Output Utente'!$O$2:$O$492,MATCH(210,'Output Utente'!$R$2:$R$492,0)),"")</f>
        <v/>
      </c>
      <c r="H213" s="26" t="str">
        <f aca="false">IFERROR(INDEX('Output Utente'!$P$2:$P$492,MATCH(210,'Output Utente'!$R$2:$R$492,0)),"")</f>
        <v/>
      </c>
      <c r="I213" s="27" t="str">
        <f aca="false">IFERROR(INDEX('Output Utente'!$F$2:$F$492,MATCH(210,'Output Utente'!$R$2:$R$492,0)),"")</f>
        <v/>
      </c>
      <c r="J213" s="27" t="str">
        <f aca="false">IFERROR(INDEX('Output Utente'!$G$2:$G$492,MATCH(210,'Output Utente'!$R$2:$R$492,0)),"")</f>
        <v/>
      </c>
      <c r="K213" s="27" t="str">
        <f aca="false">IFERROR(INDEX('Output Utente'!$H$2:$H$492,MATCH(210,'Output Utente'!$R$2:$R$492,0)),"")</f>
        <v/>
      </c>
      <c r="L213" s="26" t="str">
        <f aca="false">IFERROR(INDEX('Output Utente'!$E$2:$E$492,MATCH(210,'Output Utente'!$R$2:$R$492,0)),"")</f>
        <v/>
      </c>
    </row>
    <row r="214" customFormat="false" ht="15" hidden="false" customHeight="true" outlineLevel="0" collapsed="false">
      <c r="A214" s="29" t="n">
        <v>211</v>
      </c>
      <c r="B214" s="26" t="str">
        <f aca="false">IFERROR(INDEX('Output Utente'!$A$2:$A$492,MATCH(211,'Output Utente'!$R$2:$R$492,0)),"")</f>
        <v/>
      </c>
      <c r="C214" s="26" t="str">
        <f aca="false">IFERROR(INDEX('Output Utente'!$B$2:$B$492,MATCH(211,'Output Utente'!$R$2:$R$492,0)),"")</f>
        <v/>
      </c>
      <c r="D214" s="26" t="str">
        <f aca="false">IFERROR(INDEX('Output Utente'!$C$2:$C$492,MATCH(211,'Output Utente'!$R$2:$R$492,0)),"")</f>
        <v/>
      </c>
      <c r="E214" s="26" t="str">
        <f aca="false">IFERROR(INDEX('Input Giocatori 2026_27'!$D$3:$D$493,MATCH($B214,'Input Giocatori 2026_27'!$A$3:$A$493,0)),"")</f>
        <v/>
      </c>
      <c r="F214" s="27" t="str">
        <f aca="false">IFERROR(INDEX('Output Utente'!$N$2:$N$492,MATCH(211,'Output Utente'!$R$2:$R$492,0)),"")</f>
        <v/>
      </c>
      <c r="G214" s="26" t="str">
        <f aca="false">IFERROR(INDEX('Output Utente'!$O$2:$O$492,MATCH(211,'Output Utente'!$R$2:$R$492,0)),"")</f>
        <v/>
      </c>
      <c r="H214" s="26" t="str">
        <f aca="false">IFERROR(INDEX('Output Utente'!$P$2:$P$492,MATCH(211,'Output Utente'!$R$2:$R$492,0)),"")</f>
        <v/>
      </c>
      <c r="I214" s="27" t="str">
        <f aca="false">IFERROR(INDEX('Output Utente'!$F$2:$F$492,MATCH(211,'Output Utente'!$R$2:$R$492,0)),"")</f>
        <v/>
      </c>
      <c r="J214" s="27" t="str">
        <f aca="false">IFERROR(INDEX('Output Utente'!$G$2:$G$492,MATCH(211,'Output Utente'!$R$2:$R$492,0)),"")</f>
        <v/>
      </c>
      <c r="K214" s="27" t="str">
        <f aca="false">IFERROR(INDEX('Output Utente'!$H$2:$H$492,MATCH(211,'Output Utente'!$R$2:$R$492,0)),"")</f>
        <v/>
      </c>
      <c r="L214" s="26" t="str">
        <f aca="false">IFERROR(INDEX('Output Utente'!$E$2:$E$492,MATCH(211,'Output Utente'!$R$2:$R$492,0)),"")</f>
        <v/>
      </c>
    </row>
    <row r="215" customFormat="false" ht="15" hidden="false" customHeight="true" outlineLevel="0" collapsed="false">
      <c r="A215" s="29" t="n">
        <v>212</v>
      </c>
      <c r="B215" s="26" t="str">
        <f aca="false">IFERROR(INDEX('Output Utente'!$A$2:$A$492,MATCH(212,'Output Utente'!$R$2:$R$492,0)),"")</f>
        <v/>
      </c>
      <c r="C215" s="26" t="str">
        <f aca="false">IFERROR(INDEX('Output Utente'!$B$2:$B$492,MATCH(212,'Output Utente'!$R$2:$R$492,0)),"")</f>
        <v/>
      </c>
      <c r="D215" s="26" t="str">
        <f aca="false">IFERROR(INDEX('Output Utente'!$C$2:$C$492,MATCH(212,'Output Utente'!$R$2:$R$492,0)),"")</f>
        <v/>
      </c>
      <c r="E215" s="26" t="str">
        <f aca="false">IFERROR(INDEX('Input Giocatori 2026_27'!$D$3:$D$493,MATCH($B215,'Input Giocatori 2026_27'!$A$3:$A$493,0)),"")</f>
        <v/>
      </c>
      <c r="F215" s="27" t="str">
        <f aca="false">IFERROR(INDEX('Output Utente'!$N$2:$N$492,MATCH(212,'Output Utente'!$R$2:$R$492,0)),"")</f>
        <v/>
      </c>
      <c r="G215" s="26" t="str">
        <f aca="false">IFERROR(INDEX('Output Utente'!$O$2:$O$492,MATCH(212,'Output Utente'!$R$2:$R$492,0)),"")</f>
        <v/>
      </c>
      <c r="H215" s="26" t="str">
        <f aca="false">IFERROR(INDEX('Output Utente'!$P$2:$P$492,MATCH(212,'Output Utente'!$R$2:$R$492,0)),"")</f>
        <v/>
      </c>
      <c r="I215" s="27" t="str">
        <f aca="false">IFERROR(INDEX('Output Utente'!$F$2:$F$492,MATCH(212,'Output Utente'!$R$2:$R$492,0)),"")</f>
        <v/>
      </c>
      <c r="J215" s="27" t="str">
        <f aca="false">IFERROR(INDEX('Output Utente'!$G$2:$G$492,MATCH(212,'Output Utente'!$R$2:$R$492,0)),"")</f>
        <v/>
      </c>
      <c r="K215" s="27" t="str">
        <f aca="false">IFERROR(INDEX('Output Utente'!$H$2:$H$492,MATCH(212,'Output Utente'!$R$2:$R$492,0)),"")</f>
        <v/>
      </c>
      <c r="L215" s="26" t="str">
        <f aca="false">IFERROR(INDEX('Output Utente'!$E$2:$E$492,MATCH(212,'Output Utente'!$R$2:$R$492,0)),"")</f>
        <v/>
      </c>
    </row>
    <row r="216" customFormat="false" ht="15" hidden="false" customHeight="true" outlineLevel="0" collapsed="false">
      <c r="A216" s="29" t="n">
        <v>213</v>
      </c>
      <c r="B216" s="26" t="str">
        <f aca="false">IFERROR(INDEX('Output Utente'!$A$2:$A$492,MATCH(213,'Output Utente'!$R$2:$R$492,0)),"")</f>
        <v/>
      </c>
      <c r="C216" s="26" t="str">
        <f aca="false">IFERROR(INDEX('Output Utente'!$B$2:$B$492,MATCH(213,'Output Utente'!$R$2:$R$492,0)),"")</f>
        <v/>
      </c>
      <c r="D216" s="26" t="str">
        <f aca="false">IFERROR(INDEX('Output Utente'!$C$2:$C$492,MATCH(213,'Output Utente'!$R$2:$R$492,0)),"")</f>
        <v/>
      </c>
      <c r="E216" s="26" t="str">
        <f aca="false">IFERROR(INDEX('Input Giocatori 2026_27'!$D$3:$D$493,MATCH($B216,'Input Giocatori 2026_27'!$A$3:$A$493,0)),"")</f>
        <v/>
      </c>
      <c r="F216" s="27" t="str">
        <f aca="false">IFERROR(INDEX('Output Utente'!$N$2:$N$492,MATCH(213,'Output Utente'!$R$2:$R$492,0)),"")</f>
        <v/>
      </c>
      <c r="G216" s="26" t="str">
        <f aca="false">IFERROR(INDEX('Output Utente'!$O$2:$O$492,MATCH(213,'Output Utente'!$R$2:$R$492,0)),"")</f>
        <v/>
      </c>
      <c r="H216" s="26" t="str">
        <f aca="false">IFERROR(INDEX('Output Utente'!$P$2:$P$492,MATCH(213,'Output Utente'!$R$2:$R$492,0)),"")</f>
        <v/>
      </c>
      <c r="I216" s="27" t="str">
        <f aca="false">IFERROR(INDEX('Output Utente'!$F$2:$F$492,MATCH(213,'Output Utente'!$R$2:$R$492,0)),"")</f>
        <v/>
      </c>
      <c r="J216" s="27" t="str">
        <f aca="false">IFERROR(INDEX('Output Utente'!$G$2:$G$492,MATCH(213,'Output Utente'!$R$2:$R$492,0)),"")</f>
        <v/>
      </c>
      <c r="K216" s="27" t="str">
        <f aca="false">IFERROR(INDEX('Output Utente'!$H$2:$H$492,MATCH(213,'Output Utente'!$R$2:$R$492,0)),"")</f>
        <v/>
      </c>
      <c r="L216" s="26" t="str">
        <f aca="false">IFERROR(INDEX('Output Utente'!$E$2:$E$492,MATCH(213,'Output Utente'!$R$2:$R$492,0)),"")</f>
        <v/>
      </c>
    </row>
    <row r="217" customFormat="false" ht="15" hidden="false" customHeight="true" outlineLevel="0" collapsed="false">
      <c r="A217" s="29" t="n">
        <v>214</v>
      </c>
      <c r="B217" s="26" t="str">
        <f aca="false">IFERROR(INDEX('Output Utente'!$A$2:$A$492,MATCH(214,'Output Utente'!$R$2:$R$492,0)),"")</f>
        <v/>
      </c>
      <c r="C217" s="26" t="str">
        <f aca="false">IFERROR(INDEX('Output Utente'!$B$2:$B$492,MATCH(214,'Output Utente'!$R$2:$R$492,0)),"")</f>
        <v/>
      </c>
      <c r="D217" s="26" t="str">
        <f aca="false">IFERROR(INDEX('Output Utente'!$C$2:$C$492,MATCH(214,'Output Utente'!$R$2:$R$492,0)),"")</f>
        <v/>
      </c>
      <c r="E217" s="26" t="str">
        <f aca="false">IFERROR(INDEX('Input Giocatori 2026_27'!$D$3:$D$493,MATCH($B217,'Input Giocatori 2026_27'!$A$3:$A$493,0)),"")</f>
        <v/>
      </c>
      <c r="F217" s="27" t="str">
        <f aca="false">IFERROR(INDEX('Output Utente'!$N$2:$N$492,MATCH(214,'Output Utente'!$R$2:$R$492,0)),"")</f>
        <v/>
      </c>
      <c r="G217" s="26" t="str">
        <f aca="false">IFERROR(INDEX('Output Utente'!$O$2:$O$492,MATCH(214,'Output Utente'!$R$2:$R$492,0)),"")</f>
        <v/>
      </c>
      <c r="H217" s="26" t="str">
        <f aca="false">IFERROR(INDEX('Output Utente'!$P$2:$P$492,MATCH(214,'Output Utente'!$R$2:$R$492,0)),"")</f>
        <v/>
      </c>
      <c r="I217" s="27" t="str">
        <f aca="false">IFERROR(INDEX('Output Utente'!$F$2:$F$492,MATCH(214,'Output Utente'!$R$2:$R$492,0)),"")</f>
        <v/>
      </c>
      <c r="J217" s="27" t="str">
        <f aca="false">IFERROR(INDEX('Output Utente'!$G$2:$G$492,MATCH(214,'Output Utente'!$R$2:$R$492,0)),"")</f>
        <v/>
      </c>
      <c r="K217" s="27" t="str">
        <f aca="false">IFERROR(INDEX('Output Utente'!$H$2:$H$492,MATCH(214,'Output Utente'!$R$2:$R$492,0)),"")</f>
        <v/>
      </c>
      <c r="L217" s="26" t="str">
        <f aca="false">IFERROR(INDEX('Output Utente'!$E$2:$E$492,MATCH(214,'Output Utente'!$R$2:$R$492,0)),"")</f>
        <v/>
      </c>
    </row>
    <row r="218" customFormat="false" ht="15" hidden="false" customHeight="true" outlineLevel="0" collapsed="false">
      <c r="A218" s="29" t="n">
        <v>215</v>
      </c>
      <c r="B218" s="26" t="str">
        <f aca="false">IFERROR(INDEX('Output Utente'!$A$2:$A$492,MATCH(215,'Output Utente'!$R$2:$R$492,0)),"")</f>
        <v/>
      </c>
      <c r="C218" s="26" t="str">
        <f aca="false">IFERROR(INDEX('Output Utente'!$B$2:$B$492,MATCH(215,'Output Utente'!$R$2:$R$492,0)),"")</f>
        <v/>
      </c>
      <c r="D218" s="26" t="str">
        <f aca="false">IFERROR(INDEX('Output Utente'!$C$2:$C$492,MATCH(215,'Output Utente'!$R$2:$R$492,0)),"")</f>
        <v/>
      </c>
      <c r="E218" s="26" t="str">
        <f aca="false">IFERROR(INDEX('Input Giocatori 2026_27'!$D$3:$D$493,MATCH($B218,'Input Giocatori 2026_27'!$A$3:$A$493,0)),"")</f>
        <v/>
      </c>
      <c r="F218" s="27" t="str">
        <f aca="false">IFERROR(INDEX('Output Utente'!$N$2:$N$492,MATCH(215,'Output Utente'!$R$2:$R$492,0)),"")</f>
        <v/>
      </c>
      <c r="G218" s="26" t="str">
        <f aca="false">IFERROR(INDEX('Output Utente'!$O$2:$O$492,MATCH(215,'Output Utente'!$R$2:$R$492,0)),"")</f>
        <v/>
      </c>
      <c r="H218" s="26" t="str">
        <f aca="false">IFERROR(INDEX('Output Utente'!$P$2:$P$492,MATCH(215,'Output Utente'!$R$2:$R$492,0)),"")</f>
        <v/>
      </c>
      <c r="I218" s="27" t="str">
        <f aca="false">IFERROR(INDEX('Output Utente'!$F$2:$F$492,MATCH(215,'Output Utente'!$R$2:$R$492,0)),"")</f>
        <v/>
      </c>
      <c r="J218" s="27" t="str">
        <f aca="false">IFERROR(INDEX('Output Utente'!$G$2:$G$492,MATCH(215,'Output Utente'!$R$2:$R$492,0)),"")</f>
        <v/>
      </c>
      <c r="K218" s="27" t="str">
        <f aca="false">IFERROR(INDEX('Output Utente'!$H$2:$H$492,MATCH(215,'Output Utente'!$R$2:$R$492,0)),"")</f>
        <v/>
      </c>
      <c r="L218" s="26" t="str">
        <f aca="false">IFERROR(INDEX('Output Utente'!$E$2:$E$492,MATCH(215,'Output Utente'!$R$2:$R$492,0)),"")</f>
        <v/>
      </c>
    </row>
    <row r="219" customFormat="false" ht="15" hidden="false" customHeight="true" outlineLevel="0" collapsed="false">
      <c r="A219" s="29" t="n">
        <v>216</v>
      </c>
      <c r="B219" s="26" t="str">
        <f aca="false">IFERROR(INDEX('Output Utente'!$A$2:$A$492,MATCH(216,'Output Utente'!$R$2:$R$492,0)),"")</f>
        <v/>
      </c>
      <c r="C219" s="26" t="str">
        <f aca="false">IFERROR(INDEX('Output Utente'!$B$2:$B$492,MATCH(216,'Output Utente'!$R$2:$R$492,0)),"")</f>
        <v/>
      </c>
      <c r="D219" s="26" t="str">
        <f aca="false">IFERROR(INDEX('Output Utente'!$C$2:$C$492,MATCH(216,'Output Utente'!$R$2:$R$492,0)),"")</f>
        <v/>
      </c>
      <c r="E219" s="26" t="str">
        <f aca="false">IFERROR(INDEX('Input Giocatori 2026_27'!$D$3:$D$493,MATCH($B219,'Input Giocatori 2026_27'!$A$3:$A$493,0)),"")</f>
        <v/>
      </c>
      <c r="F219" s="27" t="str">
        <f aca="false">IFERROR(INDEX('Output Utente'!$N$2:$N$492,MATCH(216,'Output Utente'!$R$2:$R$492,0)),"")</f>
        <v/>
      </c>
      <c r="G219" s="26" t="str">
        <f aca="false">IFERROR(INDEX('Output Utente'!$O$2:$O$492,MATCH(216,'Output Utente'!$R$2:$R$492,0)),"")</f>
        <v/>
      </c>
      <c r="H219" s="26" t="str">
        <f aca="false">IFERROR(INDEX('Output Utente'!$P$2:$P$492,MATCH(216,'Output Utente'!$R$2:$R$492,0)),"")</f>
        <v/>
      </c>
      <c r="I219" s="27" t="str">
        <f aca="false">IFERROR(INDEX('Output Utente'!$F$2:$F$492,MATCH(216,'Output Utente'!$R$2:$R$492,0)),"")</f>
        <v/>
      </c>
      <c r="J219" s="27" t="str">
        <f aca="false">IFERROR(INDEX('Output Utente'!$G$2:$G$492,MATCH(216,'Output Utente'!$R$2:$R$492,0)),"")</f>
        <v/>
      </c>
      <c r="K219" s="27" t="str">
        <f aca="false">IFERROR(INDEX('Output Utente'!$H$2:$H$492,MATCH(216,'Output Utente'!$R$2:$R$492,0)),"")</f>
        <v/>
      </c>
      <c r="L219" s="26" t="str">
        <f aca="false">IFERROR(INDEX('Output Utente'!$E$2:$E$492,MATCH(216,'Output Utente'!$R$2:$R$492,0)),"")</f>
        <v/>
      </c>
    </row>
    <row r="220" customFormat="false" ht="15" hidden="false" customHeight="true" outlineLevel="0" collapsed="false">
      <c r="A220" s="29" t="n">
        <v>217</v>
      </c>
      <c r="B220" s="26" t="str">
        <f aca="false">IFERROR(INDEX('Output Utente'!$A$2:$A$492,MATCH(217,'Output Utente'!$R$2:$R$492,0)),"")</f>
        <v/>
      </c>
      <c r="C220" s="26" t="str">
        <f aca="false">IFERROR(INDEX('Output Utente'!$B$2:$B$492,MATCH(217,'Output Utente'!$R$2:$R$492,0)),"")</f>
        <v/>
      </c>
      <c r="D220" s="26" t="str">
        <f aca="false">IFERROR(INDEX('Output Utente'!$C$2:$C$492,MATCH(217,'Output Utente'!$R$2:$R$492,0)),"")</f>
        <v/>
      </c>
      <c r="E220" s="26" t="str">
        <f aca="false">IFERROR(INDEX('Input Giocatori 2026_27'!$D$3:$D$493,MATCH($B220,'Input Giocatori 2026_27'!$A$3:$A$493,0)),"")</f>
        <v/>
      </c>
      <c r="F220" s="27" t="str">
        <f aca="false">IFERROR(INDEX('Output Utente'!$N$2:$N$492,MATCH(217,'Output Utente'!$R$2:$R$492,0)),"")</f>
        <v/>
      </c>
      <c r="G220" s="26" t="str">
        <f aca="false">IFERROR(INDEX('Output Utente'!$O$2:$O$492,MATCH(217,'Output Utente'!$R$2:$R$492,0)),"")</f>
        <v/>
      </c>
      <c r="H220" s="26" t="str">
        <f aca="false">IFERROR(INDEX('Output Utente'!$P$2:$P$492,MATCH(217,'Output Utente'!$R$2:$R$492,0)),"")</f>
        <v/>
      </c>
      <c r="I220" s="27" t="str">
        <f aca="false">IFERROR(INDEX('Output Utente'!$F$2:$F$492,MATCH(217,'Output Utente'!$R$2:$R$492,0)),"")</f>
        <v/>
      </c>
      <c r="J220" s="27" t="str">
        <f aca="false">IFERROR(INDEX('Output Utente'!$G$2:$G$492,MATCH(217,'Output Utente'!$R$2:$R$492,0)),"")</f>
        <v/>
      </c>
      <c r="K220" s="27" t="str">
        <f aca="false">IFERROR(INDEX('Output Utente'!$H$2:$H$492,MATCH(217,'Output Utente'!$R$2:$R$492,0)),"")</f>
        <v/>
      </c>
      <c r="L220" s="26" t="str">
        <f aca="false">IFERROR(INDEX('Output Utente'!$E$2:$E$492,MATCH(217,'Output Utente'!$R$2:$R$492,0)),"")</f>
        <v/>
      </c>
    </row>
    <row r="221" customFormat="false" ht="15" hidden="false" customHeight="true" outlineLevel="0" collapsed="false">
      <c r="A221" s="29" t="n">
        <v>218</v>
      </c>
      <c r="B221" s="26" t="str">
        <f aca="false">IFERROR(INDEX('Output Utente'!$A$2:$A$492,MATCH(218,'Output Utente'!$R$2:$R$492,0)),"")</f>
        <v/>
      </c>
      <c r="C221" s="26" t="str">
        <f aca="false">IFERROR(INDEX('Output Utente'!$B$2:$B$492,MATCH(218,'Output Utente'!$R$2:$R$492,0)),"")</f>
        <v/>
      </c>
      <c r="D221" s="26" t="str">
        <f aca="false">IFERROR(INDEX('Output Utente'!$C$2:$C$492,MATCH(218,'Output Utente'!$R$2:$R$492,0)),"")</f>
        <v/>
      </c>
      <c r="E221" s="26" t="str">
        <f aca="false">IFERROR(INDEX('Input Giocatori 2026_27'!$D$3:$D$493,MATCH($B221,'Input Giocatori 2026_27'!$A$3:$A$493,0)),"")</f>
        <v/>
      </c>
      <c r="F221" s="27" t="str">
        <f aca="false">IFERROR(INDEX('Output Utente'!$N$2:$N$492,MATCH(218,'Output Utente'!$R$2:$R$492,0)),"")</f>
        <v/>
      </c>
      <c r="G221" s="26" t="str">
        <f aca="false">IFERROR(INDEX('Output Utente'!$O$2:$O$492,MATCH(218,'Output Utente'!$R$2:$R$492,0)),"")</f>
        <v/>
      </c>
      <c r="H221" s="26" t="str">
        <f aca="false">IFERROR(INDEX('Output Utente'!$P$2:$P$492,MATCH(218,'Output Utente'!$R$2:$R$492,0)),"")</f>
        <v/>
      </c>
      <c r="I221" s="27" t="str">
        <f aca="false">IFERROR(INDEX('Output Utente'!$F$2:$F$492,MATCH(218,'Output Utente'!$R$2:$R$492,0)),"")</f>
        <v/>
      </c>
      <c r="J221" s="27" t="str">
        <f aca="false">IFERROR(INDEX('Output Utente'!$G$2:$G$492,MATCH(218,'Output Utente'!$R$2:$R$492,0)),"")</f>
        <v/>
      </c>
      <c r="K221" s="27" t="str">
        <f aca="false">IFERROR(INDEX('Output Utente'!$H$2:$H$492,MATCH(218,'Output Utente'!$R$2:$R$492,0)),"")</f>
        <v/>
      </c>
      <c r="L221" s="26" t="str">
        <f aca="false">IFERROR(INDEX('Output Utente'!$E$2:$E$492,MATCH(218,'Output Utente'!$R$2:$R$492,0)),"")</f>
        <v/>
      </c>
    </row>
    <row r="222" customFormat="false" ht="15" hidden="false" customHeight="true" outlineLevel="0" collapsed="false">
      <c r="A222" s="29" t="n">
        <v>219</v>
      </c>
      <c r="B222" s="26" t="str">
        <f aca="false">IFERROR(INDEX('Output Utente'!$A$2:$A$492,MATCH(219,'Output Utente'!$R$2:$R$492,0)),"")</f>
        <v/>
      </c>
      <c r="C222" s="26" t="str">
        <f aca="false">IFERROR(INDEX('Output Utente'!$B$2:$B$492,MATCH(219,'Output Utente'!$R$2:$R$492,0)),"")</f>
        <v/>
      </c>
      <c r="D222" s="26" t="str">
        <f aca="false">IFERROR(INDEX('Output Utente'!$C$2:$C$492,MATCH(219,'Output Utente'!$R$2:$R$492,0)),"")</f>
        <v/>
      </c>
      <c r="E222" s="26" t="str">
        <f aca="false">IFERROR(INDEX('Input Giocatori 2026_27'!$D$3:$D$493,MATCH($B222,'Input Giocatori 2026_27'!$A$3:$A$493,0)),"")</f>
        <v/>
      </c>
      <c r="F222" s="27" t="str">
        <f aca="false">IFERROR(INDEX('Output Utente'!$N$2:$N$492,MATCH(219,'Output Utente'!$R$2:$R$492,0)),"")</f>
        <v/>
      </c>
      <c r="G222" s="26" t="str">
        <f aca="false">IFERROR(INDEX('Output Utente'!$O$2:$O$492,MATCH(219,'Output Utente'!$R$2:$R$492,0)),"")</f>
        <v/>
      </c>
      <c r="H222" s="26" t="str">
        <f aca="false">IFERROR(INDEX('Output Utente'!$P$2:$P$492,MATCH(219,'Output Utente'!$R$2:$R$492,0)),"")</f>
        <v/>
      </c>
      <c r="I222" s="27" t="str">
        <f aca="false">IFERROR(INDEX('Output Utente'!$F$2:$F$492,MATCH(219,'Output Utente'!$R$2:$R$492,0)),"")</f>
        <v/>
      </c>
      <c r="J222" s="27" t="str">
        <f aca="false">IFERROR(INDEX('Output Utente'!$G$2:$G$492,MATCH(219,'Output Utente'!$R$2:$R$492,0)),"")</f>
        <v/>
      </c>
      <c r="K222" s="27" t="str">
        <f aca="false">IFERROR(INDEX('Output Utente'!$H$2:$H$492,MATCH(219,'Output Utente'!$R$2:$R$492,0)),"")</f>
        <v/>
      </c>
      <c r="L222" s="26" t="str">
        <f aca="false">IFERROR(INDEX('Output Utente'!$E$2:$E$492,MATCH(219,'Output Utente'!$R$2:$R$492,0)),"")</f>
        <v/>
      </c>
    </row>
    <row r="223" customFormat="false" ht="15" hidden="false" customHeight="true" outlineLevel="0" collapsed="false">
      <c r="A223" s="29" t="n">
        <v>220</v>
      </c>
      <c r="B223" s="26" t="str">
        <f aca="false">IFERROR(INDEX('Output Utente'!$A$2:$A$492,MATCH(220,'Output Utente'!$R$2:$R$492,0)),"")</f>
        <v/>
      </c>
      <c r="C223" s="26" t="str">
        <f aca="false">IFERROR(INDEX('Output Utente'!$B$2:$B$492,MATCH(220,'Output Utente'!$R$2:$R$492,0)),"")</f>
        <v/>
      </c>
      <c r="D223" s="26" t="str">
        <f aca="false">IFERROR(INDEX('Output Utente'!$C$2:$C$492,MATCH(220,'Output Utente'!$R$2:$R$492,0)),"")</f>
        <v/>
      </c>
      <c r="E223" s="26" t="str">
        <f aca="false">IFERROR(INDEX('Input Giocatori 2026_27'!$D$3:$D$493,MATCH($B223,'Input Giocatori 2026_27'!$A$3:$A$493,0)),"")</f>
        <v/>
      </c>
      <c r="F223" s="27" t="str">
        <f aca="false">IFERROR(INDEX('Output Utente'!$N$2:$N$492,MATCH(220,'Output Utente'!$R$2:$R$492,0)),"")</f>
        <v/>
      </c>
      <c r="G223" s="26" t="str">
        <f aca="false">IFERROR(INDEX('Output Utente'!$O$2:$O$492,MATCH(220,'Output Utente'!$R$2:$R$492,0)),"")</f>
        <v/>
      </c>
      <c r="H223" s="26" t="str">
        <f aca="false">IFERROR(INDEX('Output Utente'!$P$2:$P$492,MATCH(220,'Output Utente'!$R$2:$R$492,0)),"")</f>
        <v/>
      </c>
      <c r="I223" s="27" t="str">
        <f aca="false">IFERROR(INDEX('Output Utente'!$F$2:$F$492,MATCH(220,'Output Utente'!$R$2:$R$492,0)),"")</f>
        <v/>
      </c>
      <c r="J223" s="27" t="str">
        <f aca="false">IFERROR(INDEX('Output Utente'!$G$2:$G$492,MATCH(220,'Output Utente'!$R$2:$R$492,0)),"")</f>
        <v/>
      </c>
      <c r="K223" s="27" t="str">
        <f aca="false">IFERROR(INDEX('Output Utente'!$H$2:$H$492,MATCH(220,'Output Utente'!$R$2:$R$492,0)),"")</f>
        <v/>
      </c>
      <c r="L223" s="26" t="str">
        <f aca="false">IFERROR(INDEX('Output Utente'!$E$2:$E$492,MATCH(220,'Output Utente'!$R$2:$R$492,0)),"")</f>
        <v/>
      </c>
    </row>
    <row r="224" customFormat="false" ht="15" hidden="false" customHeight="true" outlineLevel="0" collapsed="false">
      <c r="A224" s="29" t="n">
        <v>221</v>
      </c>
      <c r="B224" s="26" t="str">
        <f aca="false">IFERROR(INDEX('Output Utente'!$A$2:$A$492,MATCH(221,'Output Utente'!$R$2:$R$492,0)),"")</f>
        <v/>
      </c>
      <c r="C224" s="26" t="str">
        <f aca="false">IFERROR(INDEX('Output Utente'!$B$2:$B$492,MATCH(221,'Output Utente'!$R$2:$R$492,0)),"")</f>
        <v/>
      </c>
      <c r="D224" s="26" t="str">
        <f aca="false">IFERROR(INDEX('Output Utente'!$C$2:$C$492,MATCH(221,'Output Utente'!$R$2:$R$492,0)),"")</f>
        <v/>
      </c>
      <c r="E224" s="26" t="str">
        <f aca="false">IFERROR(INDEX('Input Giocatori 2026_27'!$D$3:$D$493,MATCH($B224,'Input Giocatori 2026_27'!$A$3:$A$493,0)),"")</f>
        <v/>
      </c>
      <c r="F224" s="27" t="str">
        <f aca="false">IFERROR(INDEX('Output Utente'!$N$2:$N$492,MATCH(221,'Output Utente'!$R$2:$R$492,0)),"")</f>
        <v/>
      </c>
      <c r="G224" s="26" t="str">
        <f aca="false">IFERROR(INDEX('Output Utente'!$O$2:$O$492,MATCH(221,'Output Utente'!$R$2:$R$492,0)),"")</f>
        <v/>
      </c>
      <c r="H224" s="26" t="str">
        <f aca="false">IFERROR(INDEX('Output Utente'!$P$2:$P$492,MATCH(221,'Output Utente'!$R$2:$R$492,0)),"")</f>
        <v/>
      </c>
      <c r="I224" s="27" t="str">
        <f aca="false">IFERROR(INDEX('Output Utente'!$F$2:$F$492,MATCH(221,'Output Utente'!$R$2:$R$492,0)),"")</f>
        <v/>
      </c>
      <c r="J224" s="27" t="str">
        <f aca="false">IFERROR(INDEX('Output Utente'!$G$2:$G$492,MATCH(221,'Output Utente'!$R$2:$R$492,0)),"")</f>
        <v/>
      </c>
      <c r="K224" s="27" t="str">
        <f aca="false">IFERROR(INDEX('Output Utente'!$H$2:$H$492,MATCH(221,'Output Utente'!$R$2:$R$492,0)),"")</f>
        <v/>
      </c>
      <c r="L224" s="26" t="str">
        <f aca="false">IFERROR(INDEX('Output Utente'!$E$2:$E$492,MATCH(221,'Output Utente'!$R$2:$R$492,0)),"")</f>
        <v/>
      </c>
    </row>
    <row r="225" customFormat="false" ht="15" hidden="false" customHeight="true" outlineLevel="0" collapsed="false">
      <c r="A225" s="29" t="n">
        <v>222</v>
      </c>
      <c r="B225" s="26" t="str">
        <f aca="false">IFERROR(INDEX('Output Utente'!$A$2:$A$492,MATCH(222,'Output Utente'!$R$2:$R$492,0)),"")</f>
        <v/>
      </c>
      <c r="C225" s="26" t="str">
        <f aca="false">IFERROR(INDEX('Output Utente'!$B$2:$B$492,MATCH(222,'Output Utente'!$R$2:$R$492,0)),"")</f>
        <v/>
      </c>
      <c r="D225" s="26" t="str">
        <f aca="false">IFERROR(INDEX('Output Utente'!$C$2:$C$492,MATCH(222,'Output Utente'!$R$2:$R$492,0)),"")</f>
        <v/>
      </c>
      <c r="E225" s="26" t="str">
        <f aca="false">IFERROR(INDEX('Input Giocatori 2026_27'!$D$3:$D$493,MATCH($B225,'Input Giocatori 2026_27'!$A$3:$A$493,0)),"")</f>
        <v/>
      </c>
      <c r="F225" s="27" t="str">
        <f aca="false">IFERROR(INDEX('Output Utente'!$N$2:$N$492,MATCH(222,'Output Utente'!$R$2:$R$492,0)),"")</f>
        <v/>
      </c>
      <c r="G225" s="26" t="str">
        <f aca="false">IFERROR(INDEX('Output Utente'!$O$2:$O$492,MATCH(222,'Output Utente'!$R$2:$R$492,0)),"")</f>
        <v/>
      </c>
      <c r="H225" s="26" t="str">
        <f aca="false">IFERROR(INDEX('Output Utente'!$P$2:$P$492,MATCH(222,'Output Utente'!$R$2:$R$492,0)),"")</f>
        <v/>
      </c>
      <c r="I225" s="27" t="str">
        <f aca="false">IFERROR(INDEX('Output Utente'!$F$2:$F$492,MATCH(222,'Output Utente'!$R$2:$R$492,0)),"")</f>
        <v/>
      </c>
      <c r="J225" s="27" t="str">
        <f aca="false">IFERROR(INDEX('Output Utente'!$G$2:$G$492,MATCH(222,'Output Utente'!$R$2:$R$492,0)),"")</f>
        <v/>
      </c>
      <c r="K225" s="27" t="str">
        <f aca="false">IFERROR(INDEX('Output Utente'!$H$2:$H$492,MATCH(222,'Output Utente'!$R$2:$R$492,0)),"")</f>
        <v/>
      </c>
      <c r="L225" s="26" t="str">
        <f aca="false">IFERROR(INDEX('Output Utente'!$E$2:$E$492,MATCH(222,'Output Utente'!$R$2:$R$492,0)),"")</f>
        <v/>
      </c>
    </row>
    <row r="226" customFormat="false" ht="15" hidden="false" customHeight="true" outlineLevel="0" collapsed="false">
      <c r="A226" s="29" t="n">
        <v>223</v>
      </c>
      <c r="B226" s="26" t="str">
        <f aca="false">IFERROR(INDEX('Output Utente'!$A$2:$A$492,MATCH(223,'Output Utente'!$R$2:$R$492,0)),"")</f>
        <v/>
      </c>
      <c r="C226" s="26" t="str">
        <f aca="false">IFERROR(INDEX('Output Utente'!$B$2:$B$492,MATCH(223,'Output Utente'!$R$2:$R$492,0)),"")</f>
        <v/>
      </c>
      <c r="D226" s="26" t="str">
        <f aca="false">IFERROR(INDEX('Output Utente'!$C$2:$C$492,MATCH(223,'Output Utente'!$R$2:$R$492,0)),"")</f>
        <v/>
      </c>
      <c r="E226" s="26" t="str">
        <f aca="false">IFERROR(INDEX('Input Giocatori 2026_27'!$D$3:$D$493,MATCH($B226,'Input Giocatori 2026_27'!$A$3:$A$493,0)),"")</f>
        <v/>
      </c>
      <c r="F226" s="27" t="str">
        <f aca="false">IFERROR(INDEX('Output Utente'!$N$2:$N$492,MATCH(223,'Output Utente'!$R$2:$R$492,0)),"")</f>
        <v/>
      </c>
      <c r="G226" s="26" t="str">
        <f aca="false">IFERROR(INDEX('Output Utente'!$O$2:$O$492,MATCH(223,'Output Utente'!$R$2:$R$492,0)),"")</f>
        <v/>
      </c>
      <c r="H226" s="26" t="str">
        <f aca="false">IFERROR(INDEX('Output Utente'!$P$2:$P$492,MATCH(223,'Output Utente'!$R$2:$R$492,0)),"")</f>
        <v/>
      </c>
      <c r="I226" s="27" t="str">
        <f aca="false">IFERROR(INDEX('Output Utente'!$F$2:$F$492,MATCH(223,'Output Utente'!$R$2:$R$492,0)),"")</f>
        <v/>
      </c>
      <c r="J226" s="27" t="str">
        <f aca="false">IFERROR(INDEX('Output Utente'!$G$2:$G$492,MATCH(223,'Output Utente'!$R$2:$R$492,0)),"")</f>
        <v/>
      </c>
      <c r="K226" s="27" t="str">
        <f aca="false">IFERROR(INDEX('Output Utente'!$H$2:$H$492,MATCH(223,'Output Utente'!$R$2:$R$492,0)),"")</f>
        <v/>
      </c>
      <c r="L226" s="26" t="str">
        <f aca="false">IFERROR(INDEX('Output Utente'!$E$2:$E$492,MATCH(223,'Output Utente'!$R$2:$R$492,0)),"")</f>
        <v/>
      </c>
    </row>
    <row r="227" customFormat="false" ht="15" hidden="false" customHeight="true" outlineLevel="0" collapsed="false">
      <c r="A227" s="29" t="n">
        <v>224</v>
      </c>
      <c r="B227" s="26" t="str">
        <f aca="false">IFERROR(INDEX('Output Utente'!$A$2:$A$492,MATCH(224,'Output Utente'!$R$2:$R$492,0)),"")</f>
        <v/>
      </c>
      <c r="C227" s="26" t="str">
        <f aca="false">IFERROR(INDEX('Output Utente'!$B$2:$B$492,MATCH(224,'Output Utente'!$R$2:$R$492,0)),"")</f>
        <v/>
      </c>
      <c r="D227" s="26" t="str">
        <f aca="false">IFERROR(INDEX('Output Utente'!$C$2:$C$492,MATCH(224,'Output Utente'!$R$2:$R$492,0)),"")</f>
        <v/>
      </c>
      <c r="E227" s="26" t="str">
        <f aca="false">IFERROR(INDEX('Input Giocatori 2026_27'!$D$3:$D$493,MATCH($B227,'Input Giocatori 2026_27'!$A$3:$A$493,0)),"")</f>
        <v/>
      </c>
      <c r="F227" s="27" t="str">
        <f aca="false">IFERROR(INDEX('Output Utente'!$N$2:$N$492,MATCH(224,'Output Utente'!$R$2:$R$492,0)),"")</f>
        <v/>
      </c>
      <c r="G227" s="26" t="str">
        <f aca="false">IFERROR(INDEX('Output Utente'!$O$2:$O$492,MATCH(224,'Output Utente'!$R$2:$R$492,0)),"")</f>
        <v/>
      </c>
      <c r="H227" s="26" t="str">
        <f aca="false">IFERROR(INDEX('Output Utente'!$P$2:$P$492,MATCH(224,'Output Utente'!$R$2:$R$492,0)),"")</f>
        <v/>
      </c>
      <c r="I227" s="27" t="str">
        <f aca="false">IFERROR(INDEX('Output Utente'!$F$2:$F$492,MATCH(224,'Output Utente'!$R$2:$R$492,0)),"")</f>
        <v/>
      </c>
      <c r="J227" s="27" t="str">
        <f aca="false">IFERROR(INDEX('Output Utente'!$G$2:$G$492,MATCH(224,'Output Utente'!$R$2:$R$492,0)),"")</f>
        <v/>
      </c>
      <c r="K227" s="27" t="str">
        <f aca="false">IFERROR(INDEX('Output Utente'!$H$2:$H$492,MATCH(224,'Output Utente'!$R$2:$R$492,0)),"")</f>
        <v/>
      </c>
      <c r="L227" s="26" t="str">
        <f aca="false">IFERROR(INDEX('Output Utente'!$E$2:$E$492,MATCH(224,'Output Utente'!$R$2:$R$492,0)),"")</f>
        <v/>
      </c>
    </row>
    <row r="228" customFormat="false" ht="15" hidden="false" customHeight="true" outlineLevel="0" collapsed="false">
      <c r="A228" s="29" t="n">
        <v>225</v>
      </c>
      <c r="B228" s="26" t="str">
        <f aca="false">IFERROR(INDEX('Output Utente'!$A$2:$A$492,MATCH(225,'Output Utente'!$R$2:$R$492,0)),"")</f>
        <v/>
      </c>
      <c r="C228" s="26" t="str">
        <f aca="false">IFERROR(INDEX('Output Utente'!$B$2:$B$492,MATCH(225,'Output Utente'!$R$2:$R$492,0)),"")</f>
        <v/>
      </c>
      <c r="D228" s="26" t="str">
        <f aca="false">IFERROR(INDEX('Output Utente'!$C$2:$C$492,MATCH(225,'Output Utente'!$R$2:$R$492,0)),"")</f>
        <v/>
      </c>
      <c r="E228" s="26" t="str">
        <f aca="false">IFERROR(INDEX('Input Giocatori 2026_27'!$D$3:$D$493,MATCH($B228,'Input Giocatori 2026_27'!$A$3:$A$493,0)),"")</f>
        <v/>
      </c>
      <c r="F228" s="27" t="str">
        <f aca="false">IFERROR(INDEX('Output Utente'!$N$2:$N$492,MATCH(225,'Output Utente'!$R$2:$R$492,0)),"")</f>
        <v/>
      </c>
      <c r="G228" s="26" t="str">
        <f aca="false">IFERROR(INDEX('Output Utente'!$O$2:$O$492,MATCH(225,'Output Utente'!$R$2:$R$492,0)),"")</f>
        <v/>
      </c>
      <c r="H228" s="26" t="str">
        <f aca="false">IFERROR(INDEX('Output Utente'!$P$2:$P$492,MATCH(225,'Output Utente'!$R$2:$R$492,0)),"")</f>
        <v/>
      </c>
      <c r="I228" s="27" t="str">
        <f aca="false">IFERROR(INDEX('Output Utente'!$F$2:$F$492,MATCH(225,'Output Utente'!$R$2:$R$492,0)),"")</f>
        <v/>
      </c>
      <c r="J228" s="27" t="str">
        <f aca="false">IFERROR(INDEX('Output Utente'!$G$2:$G$492,MATCH(225,'Output Utente'!$R$2:$R$492,0)),"")</f>
        <v/>
      </c>
      <c r="K228" s="27" t="str">
        <f aca="false">IFERROR(INDEX('Output Utente'!$H$2:$H$492,MATCH(225,'Output Utente'!$R$2:$R$492,0)),"")</f>
        <v/>
      </c>
      <c r="L228" s="26" t="str">
        <f aca="false">IFERROR(INDEX('Output Utente'!$E$2:$E$492,MATCH(225,'Output Utente'!$R$2:$R$492,0)),"")</f>
        <v/>
      </c>
    </row>
    <row r="229" customFormat="false" ht="15" hidden="false" customHeight="true" outlineLevel="0" collapsed="false">
      <c r="A229" s="29" t="n">
        <v>226</v>
      </c>
      <c r="B229" s="26" t="str">
        <f aca="false">IFERROR(INDEX('Output Utente'!$A$2:$A$492,MATCH(226,'Output Utente'!$R$2:$R$492,0)),"")</f>
        <v/>
      </c>
      <c r="C229" s="26" t="str">
        <f aca="false">IFERROR(INDEX('Output Utente'!$B$2:$B$492,MATCH(226,'Output Utente'!$R$2:$R$492,0)),"")</f>
        <v/>
      </c>
      <c r="D229" s="26" t="str">
        <f aca="false">IFERROR(INDEX('Output Utente'!$C$2:$C$492,MATCH(226,'Output Utente'!$R$2:$R$492,0)),"")</f>
        <v/>
      </c>
      <c r="E229" s="26" t="str">
        <f aca="false">IFERROR(INDEX('Input Giocatori 2026_27'!$D$3:$D$493,MATCH($B229,'Input Giocatori 2026_27'!$A$3:$A$493,0)),"")</f>
        <v/>
      </c>
      <c r="F229" s="27" t="str">
        <f aca="false">IFERROR(INDEX('Output Utente'!$N$2:$N$492,MATCH(226,'Output Utente'!$R$2:$R$492,0)),"")</f>
        <v/>
      </c>
      <c r="G229" s="26" t="str">
        <f aca="false">IFERROR(INDEX('Output Utente'!$O$2:$O$492,MATCH(226,'Output Utente'!$R$2:$R$492,0)),"")</f>
        <v/>
      </c>
      <c r="H229" s="26" t="str">
        <f aca="false">IFERROR(INDEX('Output Utente'!$P$2:$P$492,MATCH(226,'Output Utente'!$R$2:$R$492,0)),"")</f>
        <v/>
      </c>
      <c r="I229" s="27" t="str">
        <f aca="false">IFERROR(INDEX('Output Utente'!$F$2:$F$492,MATCH(226,'Output Utente'!$R$2:$R$492,0)),"")</f>
        <v/>
      </c>
      <c r="J229" s="27" t="str">
        <f aca="false">IFERROR(INDEX('Output Utente'!$G$2:$G$492,MATCH(226,'Output Utente'!$R$2:$R$492,0)),"")</f>
        <v/>
      </c>
      <c r="K229" s="27" t="str">
        <f aca="false">IFERROR(INDEX('Output Utente'!$H$2:$H$492,MATCH(226,'Output Utente'!$R$2:$R$492,0)),"")</f>
        <v/>
      </c>
      <c r="L229" s="26" t="str">
        <f aca="false">IFERROR(INDEX('Output Utente'!$E$2:$E$492,MATCH(226,'Output Utente'!$R$2:$R$492,0)),"")</f>
        <v/>
      </c>
    </row>
    <row r="230" customFormat="false" ht="15" hidden="false" customHeight="true" outlineLevel="0" collapsed="false">
      <c r="A230" s="29" t="n">
        <v>227</v>
      </c>
      <c r="B230" s="26" t="str">
        <f aca="false">IFERROR(INDEX('Output Utente'!$A$2:$A$492,MATCH(227,'Output Utente'!$R$2:$R$492,0)),"")</f>
        <v/>
      </c>
      <c r="C230" s="26" t="str">
        <f aca="false">IFERROR(INDEX('Output Utente'!$B$2:$B$492,MATCH(227,'Output Utente'!$R$2:$R$492,0)),"")</f>
        <v/>
      </c>
      <c r="D230" s="26" t="str">
        <f aca="false">IFERROR(INDEX('Output Utente'!$C$2:$C$492,MATCH(227,'Output Utente'!$R$2:$R$492,0)),"")</f>
        <v/>
      </c>
      <c r="E230" s="26" t="str">
        <f aca="false">IFERROR(INDEX('Input Giocatori 2026_27'!$D$3:$D$493,MATCH($B230,'Input Giocatori 2026_27'!$A$3:$A$493,0)),"")</f>
        <v/>
      </c>
      <c r="F230" s="27" t="str">
        <f aca="false">IFERROR(INDEX('Output Utente'!$N$2:$N$492,MATCH(227,'Output Utente'!$R$2:$R$492,0)),"")</f>
        <v/>
      </c>
      <c r="G230" s="26" t="str">
        <f aca="false">IFERROR(INDEX('Output Utente'!$O$2:$O$492,MATCH(227,'Output Utente'!$R$2:$R$492,0)),"")</f>
        <v/>
      </c>
      <c r="H230" s="26" t="str">
        <f aca="false">IFERROR(INDEX('Output Utente'!$P$2:$P$492,MATCH(227,'Output Utente'!$R$2:$R$492,0)),"")</f>
        <v/>
      </c>
      <c r="I230" s="27" t="str">
        <f aca="false">IFERROR(INDEX('Output Utente'!$F$2:$F$492,MATCH(227,'Output Utente'!$R$2:$R$492,0)),"")</f>
        <v/>
      </c>
      <c r="J230" s="27" t="str">
        <f aca="false">IFERROR(INDEX('Output Utente'!$G$2:$G$492,MATCH(227,'Output Utente'!$R$2:$R$492,0)),"")</f>
        <v/>
      </c>
      <c r="K230" s="27" t="str">
        <f aca="false">IFERROR(INDEX('Output Utente'!$H$2:$H$492,MATCH(227,'Output Utente'!$R$2:$R$492,0)),"")</f>
        <v/>
      </c>
      <c r="L230" s="26" t="str">
        <f aca="false">IFERROR(INDEX('Output Utente'!$E$2:$E$492,MATCH(227,'Output Utente'!$R$2:$R$492,0)),"")</f>
        <v/>
      </c>
    </row>
    <row r="231" customFormat="false" ht="15" hidden="false" customHeight="true" outlineLevel="0" collapsed="false">
      <c r="A231" s="29" t="n">
        <v>228</v>
      </c>
      <c r="B231" s="26" t="str">
        <f aca="false">IFERROR(INDEX('Output Utente'!$A$2:$A$492,MATCH(228,'Output Utente'!$R$2:$R$492,0)),"")</f>
        <v/>
      </c>
      <c r="C231" s="26" t="str">
        <f aca="false">IFERROR(INDEX('Output Utente'!$B$2:$B$492,MATCH(228,'Output Utente'!$R$2:$R$492,0)),"")</f>
        <v/>
      </c>
      <c r="D231" s="26" t="str">
        <f aca="false">IFERROR(INDEX('Output Utente'!$C$2:$C$492,MATCH(228,'Output Utente'!$R$2:$R$492,0)),"")</f>
        <v/>
      </c>
      <c r="E231" s="26" t="str">
        <f aca="false">IFERROR(INDEX('Input Giocatori 2026_27'!$D$3:$D$493,MATCH($B231,'Input Giocatori 2026_27'!$A$3:$A$493,0)),"")</f>
        <v/>
      </c>
      <c r="F231" s="27" t="str">
        <f aca="false">IFERROR(INDEX('Output Utente'!$N$2:$N$492,MATCH(228,'Output Utente'!$R$2:$R$492,0)),"")</f>
        <v/>
      </c>
      <c r="G231" s="26" t="str">
        <f aca="false">IFERROR(INDEX('Output Utente'!$O$2:$O$492,MATCH(228,'Output Utente'!$R$2:$R$492,0)),"")</f>
        <v/>
      </c>
      <c r="H231" s="26" t="str">
        <f aca="false">IFERROR(INDEX('Output Utente'!$P$2:$P$492,MATCH(228,'Output Utente'!$R$2:$R$492,0)),"")</f>
        <v/>
      </c>
      <c r="I231" s="27" t="str">
        <f aca="false">IFERROR(INDEX('Output Utente'!$F$2:$F$492,MATCH(228,'Output Utente'!$R$2:$R$492,0)),"")</f>
        <v/>
      </c>
      <c r="J231" s="27" t="str">
        <f aca="false">IFERROR(INDEX('Output Utente'!$G$2:$G$492,MATCH(228,'Output Utente'!$R$2:$R$492,0)),"")</f>
        <v/>
      </c>
      <c r="K231" s="27" t="str">
        <f aca="false">IFERROR(INDEX('Output Utente'!$H$2:$H$492,MATCH(228,'Output Utente'!$R$2:$R$492,0)),"")</f>
        <v/>
      </c>
      <c r="L231" s="26" t="str">
        <f aca="false">IFERROR(INDEX('Output Utente'!$E$2:$E$492,MATCH(228,'Output Utente'!$R$2:$R$492,0)),"")</f>
        <v/>
      </c>
    </row>
    <row r="232" customFormat="false" ht="15" hidden="false" customHeight="true" outlineLevel="0" collapsed="false">
      <c r="A232" s="29" t="n">
        <v>229</v>
      </c>
      <c r="B232" s="26" t="str">
        <f aca="false">IFERROR(INDEX('Output Utente'!$A$2:$A$492,MATCH(229,'Output Utente'!$R$2:$R$492,0)),"")</f>
        <v/>
      </c>
      <c r="C232" s="26" t="str">
        <f aca="false">IFERROR(INDEX('Output Utente'!$B$2:$B$492,MATCH(229,'Output Utente'!$R$2:$R$492,0)),"")</f>
        <v/>
      </c>
      <c r="D232" s="26" t="str">
        <f aca="false">IFERROR(INDEX('Output Utente'!$C$2:$C$492,MATCH(229,'Output Utente'!$R$2:$R$492,0)),"")</f>
        <v/>
      </c>
      <c r="E232" s="26" t="str">
        <f aca="false">IFERROR(INDEX('Input Giocatori 2026_27'!$D$3:$D$493,MATCH($B232,'Input Giocatori 2026_27'!$A$3:$A$493,0)),"")</f>
        <v/>
      </c>
      <c r="F232" s="27" t="str">
        <f aca="false">IFERROR(INDEX('Output Utente'!$N$2:$N$492,MATCH(229,'Output Utente'!$R$2:$R$492,0)),"")</f>
        <v/>
      </c>
      <c r="G232" s="26" t="str">
        <f aca="false">IFERROR(INDEX('Output Utente'!$O$2:$O$492,MATCH(229,'Output Utente'!$R$2:$R$492,0)),"")</f>
        <v/>
      </c>
      <c r="H232" s="26" t="str">
        <f aca="false">IFERROR(INDEX('Output Utente'!$P$2:$P$492,MATCH(229,'Output Utente'!$R$2:$R$492,0)),"")</f>
        <v/>
      </c>
      <c r="I232" s="27" t="str">
        <f aca="false">IFERROR(INDEX('Output Utente'!$F$2:$F$492,MATCH(229,'Output Utente'!$R$2:$R$492,0)),"")</f>
        <v/>
      </c>
      <c r="J232" s="27" t="str">
        <f aca="false">IFERROR(INDEX('Output Utente'!$G$2:$G$492,MATCH(229,'Output Utente'!$R$2:$R$492,0)),"")</f>
        <v/>
      </c>
      <c r="K232" s="27" t="str">
        <f aca="false">IFERROR(INDEX('Output Utente'!$H$2:$H$492,MATCH(229,'Output Utente'!$R$2:$R$492,0)),"")</f>
        <v/>
      </c>
      <c r="L232" s="26" t="str">
        <f aca="false">IFERROR(INDEX('Output Utente'!$E$2:$E$492,MATCH(229,'Output Utente'!$R$2:$R$492,0)),"")</f>
        <v/>
      </c>
    </row>
    <row r="233" customFormat="false" ht="15" hidden="false" customHeight="true" outlineLevel="0" collapsed="false">
      <c r="A233" s="29" t="n">
        <v>230</v>
      </c>
      <c r="B233" s="26" t="str">
        <f aca="false">IFERROR(INDEX('Output Utente'!$A$2:$A$492,MATCH(230,'Output Utente'!$R$2:$R$492,0)),"")</f>
        <v/>
      </c>
      <c r="C233" s="26" t="str">
        <f aca="false">IFERROR(INDEX('Output Utente'!$B$2:$B$492,MATCH(230,'Output Utente'!$R$2:$R$492,0)),"")</f>
        <v/>
      </c>
      <c r="D233" s="26" t="str">
        <f aca="false">IFERROR(INDEX('Output Utente'!$C$2:$C$492,MATCH(230,'Output Utente'!$R$2:$R$492,0)),"")</f>
        <v/>
      </c>
      <c r="E233" s="26" t="str">
        <f aca="false">IFERROR(INDEX('Input Giocatori 2026_27'!$D$3:$D$493,MATCH($B233,'Input Giocatori 2026_27'!$A$3:$A$493,0)),"")</f>
        <v/>
      </c>
      <c r="F233" s="27" t="str">
        <f aca="false">IFERROR(INDEX('Output Utente'!$N$2:$N$492,MATCH(230,'Output Utente'!$R$2:$R$492,0)),"")</f>
        <v/>
      </c>
      <c r="G233" s="26" t="str">
        <f aca="false">IFERROR(INDEX('Output Utente'!$O$2:$O$492,MATCH(230,'Output Utente'!$R$2:$R$492,0)),"")</f>
        <v/>
      </c>
      <c r="H233" s="26" t="str">
        <f aca="false">IFERROR(INDEX('Output Utente'!$P$2:$P$492,MATCH(230,'Output Utente'!$R$2:$R$492,0)),"")</f>
        <v/>
      </c>
      <c r="I233" s="27" t="str">
        <f aca="false">IFERROR(INDEX('Output Utente'!$F$2:$F$492,MATCH(230,'Output Utente'!$R$2:$R$492,0)),"")</f>
        <v/>
      </c>
      <c r="J233" s="27" t="str">
        <f aca="false">IFERROR(INDEX('Output Utente'!$G$2:$G$492,MATCH(230,'Output Utente'!$R$2:$R$492,0)),"")</f>
        <v/>
      </c>
      <c r="K233" s="27" t="str">
        <f aca="false">IFERROR(INDEX('Output Utente'!$H$2:$H$492,MATCH(230,'Output Utente'!$R$2:$R$492,0)),"")</f>
        <v/>
      </c>
      <c r="L233" s="26" t="str">
        <f aca="false">IFERROR(INDEX('Output Utente'!$E$2:$E$492,MATCH(230,'Output Utente'!$R$2:$R$492,0)),"")</f>
        <v/>
      </c>
    </row>
    <row r="234" customFormat="false" ht="15" hidden="false" customHeight="true" outlineLevel="0" collapsed="false">
      <c r="A234" s="29" t="n">
        <v>231</v>
      </c>
      <c r="B234" s="26" t="str">
        <f aca="false">IFERROR(INDEX('Output Utente'!$A$2:$A$492,MATCH(231,'Output Utente'!$R$2:$R$492,0)),"")</f>
        <v/>
      </c>
      <c r="C234" s="26" t="str">
        <f aca="false">IFERROR(INDEX('Output Utente'!$B$2:$B$492,MATCH(231,'Output Utente'!$R$2:$R$492,0)),"")</f>
        <v/>
      </c>
      <c r="D234" s="26" t="str">
        <f aca="false">IFERROR(INDEX('Output Utente'!$C$2:$C$492,MATCH(231,'Output Utente'!$R$2:$R$492,0)),"")</f>
        <v/>
      </c>
      <c r="E234" s="26" t="str">
        <f aca="false">IFERROR(INDEX('Input Giocatori 2026_27'!$D$3:$D$493,MATCH($B234,'Input Giocatori 2026_27'!$A$3:$A$493,0)),"")</f>
        <v/>
      </c>
      <c r="F234" s="27" t="str">
        <f aca="false">IFERROR(INDEX('Output Utente'!$N$2:$N$492,MATCH(231,'Output Utente'!$R$2:$R$492,0)),"")</f>
        <v/>
      </c>
      <c r="G234" s="26" t="str">
        <f aca="false">IFERROR(INDEX('Output Utente'!$O$2:$O$492,MATCH(231,'Output Utente'!$R$2:$R$492,0)),"")</f>
        <v/>
      </c>
      <c r="H234" s="26" t="str">
        <f aca="false">IFERROR(INDEX('Output Utente'!$P$2:$P$492,MATCH(231,'Output Utente'!$R$2:$R$492,0)),"")</f>
        <v/>
      </c>
      <c r="I234" s="27" t="str">
        <f aca="false">IFERROR(INDEX('Output Utente'!$F$2:$F$492,MATCH(231,'Output Utente'!$R$2:$R$492,0)),"")</f>
        <v/>
      </c>
      <c r="J234" s="27" t="str">
        <f aca="false">IFERROR(INDEX('Output Utente'!$G$2:$G$492,MATCH(231,'Output Utente'!$R$2:$R$492,0)),"")</f>
        <v/>
      </c>
      <c r="K234" s="27" t="str">
        <f aca="false">IFERROR(INDEX('Output Utente'!$H$2:$H$492,MATCH(231,'Output Utente'!$R$2:$R$492,0)),"")</f>
        <v/>
      </c>
      <c r="L234" s="26" t="str">
        <f aca="false">IFERROR(INDEX('Output Utente'!$E$2:$E$492,MATCH(231,'Output Utente'!$R$2:$R$492,0)),"")</f>
        <v/>
      </c>
    </row>
    <row r="235" customFormat="false" ht="15" hidden="false" customHeight="true" outlineLevel="0" collapsed="false">
      <c r="A235" s="29" t="n">
        <v>232</v>
      </c>
      <c r="B235" s="26" t="str">
        <f aca="false">IFERROR(INDEX('Output Utente'!$A$2:$A$492,MATCH(232,'Output Utente'!$R$2:$R$492,0)),"")</f>
        <v/>
      </c>
      <c r="C235" s="26" t="str">
        <f aca="false">IFERROR(INDEX('Output Utente'!$B$2:$B$492,MATCH(232,'Output Utente'!$R$2:$R$492,0)),"")</f>
        <v/>
      </c>
      <c r="D235" s="26" t="str">
        <f aca="false">IFERROR(INDEX('Output Utente'!$C$2:$C$492,MATCH(232,'Output Utente'!$R$2:$R$492,0)),"")</f>
        <v/>
      </c>
      <c r="E235" s="26" t="str">
        <f aca="false">IFERROR(INDEX('Input Giocatori 2026_27'!$D$3:$D$493,MATCH($B235,'Input Giocatori 2026_27'!$A$3:$A$493,0)),"")</f>
        <v/>
      </c>
      <c r="F235" s="27" t="str">
        <f aca="false">IFERROR(INDEX('Output Utente'!$N$2:$N$492,MATCH(232,'Output Utente'!$R$2:$R$492,0)),"")</f>
        <v/>
      </c>
      <c r="G235" s="26" t="str">
        <f aca="false">IFERROR(INDEX('Output Utente'!$O$2:$O$492,MATCH(232,'Output Utente'!$R$2:$R$492,0)),"")</f>
        <v/>
      </c>
      <c r="H235" s="26" t="str">
        <f aca="false">IFERROR(INDEX('Output Utente'!$P$2:$P$492,MATCH(232,'Output Utente'!$R$2:$R$492,0)),"")</f>
        <v/>
      </c>
      <c r="I235" s="27" t="str">
        <f aca="false">IFERROR(INDEX('Output Utente'!$F$2:$F$492,MATCH(232,'Output Utente'!$R$2:$R$492,0)),"")</f>
        <v/>
      </c>
      <c r="J235" s="27" t="str">
        <f aca="false">IFERROR(INDEX('Output Utente'!$G$2:$G$492,MATCH(232,'Output Utente'!$R$2:$R$492,0)),"")</f>
        <v/>
      </c>
      <c r="K235" s="27" t="str">
        <f aca="false">IFERROR(INDEX('Output Utente'!$H$2:$H$492,MATCH(232,'Output Utente'!$R$2:$R$492,0)),"")</f>
        <v/>
      </c>
      <c r="L235" s="26" t="str">
        <f aca="false">IFERROR(INDEX('Output Utente'!$E$2:$E$492,MATCH(232,'Output Utente'!$R$2:$R$492,0)),"")</f>
        <v/>
      </c>
    </row>
    <row r="236" customFormat="false" ht="15" hidden="false" customHeight="true" outlineLevel="0" collapsed="false">
      <c r="A236" s="29" t="n">
        <v>233</v>
      </c>
      <c r="B236" s="26" t="str">
        <f aca="false">IFERROR(INDEX('Output Utente'!$A$2:$A$492,MATCH(233,'Output Utente'!$R$2:$R$492,0)),"")</f>
        <v/>
      </c>
      <c r="C236" s="26" t="str">
        <f aca="false">IFERROR(INDEX('Output Utente'!$B$2:$B$492,MATCH(233,'Output Utente'!$R$2:$R$492,0)),"")</f>
        <v/>
      </c>
      <c r="D236" s="26" t="str">
        <f aca="false">IFERROR(INDEX('Output Utente'!$C$2:$C$492,MATCH(233,'Output Utente'!$R$2:$R$492,0)),"")</f>
        <v/>
      </c>
      <c r="E236" s="26" t="str">
        <f aca="false">IFERROR(INDEX('Input Giocatori 2026_27'!$D$3:$D$493,MATCH($B236,'Input Giocatori 2026_27'!$A$3:$A$493,0)),"")</f>
        <v/>
      </c>
      <c r="F236" s="27" t="str">
        <f aca="false">IFERROR(INDEX('Output Utente'!$N$2:$N$492,MATCH(233,'Output Utente'!$R$2:$R$492,0)),"")</f>
        <v/>
      </c>
      <c r="G236" s="26" t="str">
        <f aca="false">IFERROR(INDEX('Output Utente'!$O$2:$O$492,MATCH(233,'Output Utente'!$R$2:$R$492,0)),"")</f>
        <v/>
      </c>
      <c r="H236" s="26" t="str">
        <f aca="false">IFERROR(INDEX('Output Utente'!$P$2:$P$492,MATCH(233,'Output Utente'!$R$2:$R$492,0)),"")</f>
        <v/>
      </c>
      <c r="I236" s="27" t="str">
        <f aca="false">IFERROR(INDEX('Output Utente'!$F$2:$F$492,MATCH(233,'Output Utente'!$R$2:$R$492,0)),"")</f>
        <v/>
      </c>
      <c r="J236" s="27" t="str">
        <f aca="false">IFERROR(INDEX('Output Utente'!$G$2:$G$492,MATCH(233,'Output Utente'!$R$2:$R$492,0)),"")</f>
        <v/>
      </c>
      <c r="K236" s="27" t="str">
        <f aca="false">IFERROR(INDEX('Output Utente'!$H$2:$H$492,MATCH(233,'Output Utente'!$R$2:$R$492,0)),"")</f>
        <v/>
      </c>
      <c r="L236" s="26" t="str">
        <f aca="false">IFERROR(INDEX('Output Utente'!$E$2:$E$492,MATCH(233,'Output Utente'!$R$2:$R$492,0)),"")</f>
        <v/>
      </c>
    </row>
    <row r="237" customFormat="false" ht="15" hidden="false" customHeight="true" outlineLevel="0" collapsed="false">
      <c r="A237" s="29" t="n">
        <v>234</v>
      </c>
      <c r="B237" s="26" t="str">
        <f aca="false">IFERROR(INDEX('Output Utente'!$A$2:$A$492,MATCH(234,'Output Utente'!$R$2:$R$492,0)),"")</f>
        <v/>
      </c>
      <c r="C237" s="26" t="str">
        <f aca="false">IFERROR(INDEX('Output Utente'!$B$2:$B$492,MATCH(234,'Output Utente'!$R$2:$R$492,0)),"")</f>
        <v/>
      </c>
      <c r="D237" s="26" t="str">
        <f aca="false">IFERROR(INDEX('Output Utente'!$C$2:$C$492,MATCH(234,'Output Utente'!$R$2:$R$492,0)),"")</f>
        <v/>
      </c>
      <c r="E237" s="26" t="str">
        <f aca="false">IFERROR(INDEX('Input Giocatori 2026_27'!$D$3:$D$493,MATCH($B237,'Input Giocatori 2026_27'!$A$3:$A$493,0)),"")</f>
        <v/>
      </c>
      <c r="F237" s="27" t="str">
        <f aca="false">IFERROR(INDEX('Output Utente'!$N$2:$N$492,MATCH(234,'Output Utente'!$R$2:$R$492,0)),"")</f>
        <v/>
      </c>
      <c r="G237" s="26" t="str">
        <f aca="false">IFERROR(INDEX('Output Utente'!$O$2:$O$492,MATCH(234,'Output Utente'!$R$2:$R$492,0)),"")</f>
        <v/>
      </c>
      <c r="H237" s="26" t="str">
        <f aca="false">IFERROR(INDEX('Output Utente'!$P$2:$P$492,MATCH(234,'Output Utente'!$R$2:$R$492,0)),"")</f>
        <v/>
      </c>
      <c r="I237" s="27" t="str">
        <f aca="false">IFERROR(INDEX('Output Utente'!$F$2:$F$492,MATCH(234,'Output Utente'!$R$2:$R$492,0)),"")</f>
        <v/>
      </c>
      <c r="J237" s="27" t="str">
        <f aca="false">IFERROR(INDEX('Output Utente'!$G$2:$G$492,MATCH(234,'Output Utente'!$R$2:$R$492,0)),"")</f>
        <v/>
      </c>
      <c r="K237" s="27" t="str">
        <f aca="false">IFERROR(INDEX('Output Utente'!$H$2:$H$492,MATCH(234,'Output Utente'!$R$2:$R$492,0)),"")</f>
        <v/>
      </c>
      <c r="L237" s="26" t="str">
        <f aca="false">IFERROR(INDEX('Output Utente'!$E$2:$E$492,MATCH(234,'Output Utente'!$R$2:$R$492,0)),"")</f>
        <v/>
      </c>
    </row>
    <row r="238" customFormat="false" ht="15" hidden="false" customHeight="true" outlineLevel="0" collapsed="false">
      <c r="A238" s="29" t="n">
        <v>235</v>
      </c>
      <c r="B238" s="26" t="str">
        <f aca="false">IFERROR(INDEX('Output Utente'!$A$2:$A$492,MATCH(235,'Output Utente'!$R$2:$R$492,0)),"")</f>
        <v/>
      </c>
      <c r="C238" s="26" t="str">
        <f aca="false">IFERROR(INDEX('Output Utente'!$B$2:$B$492,MATCH(235,'Output Utente'!$R$2:$R$492,0)),"")</f>
        <v/>
      </c>
      <c r="D238" s="26" t="str">
        <f aca="false">IFERROR(INDEX('Output Utente'!$C$2:$C$492,MATCH(235,'Output Utente'!$R$2:$R$492,0)),"")</f>
        <v/>
      </c>
      <c r="E238" s="26" t="str">
        <f aca="false">IFERROR(INDEX('Input Giocatori 2026_27'!$D$3:$D$493,MATCH($B238,'Input Giocatori 2026_27'!$A$3:$A$493,0)),"")</f>
        <v/>
      </c>
      <c r="F238" s="27" t="str">
        <f aca="false">IFERROR(INDEX('Output Utente'!$N$2:$N$492,MATCH(235,'Output Utente'!$R$2:$R$492,0)),"")</f>
        <v/>
      </c>
      <c r="G238" s="26" t="str">
        <f aca="false">IFERROR(INDEX('Output Utente'!$O$2:$O$492,MATCH(235,'Output Utente'!$R$2:$R$492,0)),"")</f>
        <v/>
      </c>
      <c r="H238" s="26" t="str">
        <f aca="false">IFERROR(INDEX('Output Utente'!$P$2:$P$492,MATCH(235,'Output Utente'!$R$2:$R$492,0)),"")</f>
        <v/>
      </c>
      <c r="I238" s="27" t="str">
        <f aca="false">IFERROR(INDEX('Output Utente'!$F$2:$F$492,MATCH(235,'Output Utente'!$R$2:$R$492,0)),"")</f>
        <v/>
      </c>
      <c r="J238" s="27" t="str">
        <f aca="false">IFERROR(INDEX('Output Utente'!$G$2:$G$492,MATCH(235,'Output Utente'!$R$2:$R$492,0)),"")</f>
        <v/>
      </c>
      <c r="K238" s="27" t="str">
        <f aca="false">IFERROR(INDEX('Output Utente'!$H$2:$H$492,MATCH(235,'Output Utente'!$R$2:$R$492,0)),"")</f>
        <v/>
      </c>
      <c r="L238" s="26" t="str">
        <f aca="false">IFERROR(INDEX('Output Utente'!$E$2:$E$492,MATCH(235,'Output Utente'!$R$2:$R$492,0)),"")</f>
        <v/>
      </c>
    </row>
    <row r="239" customFormat="false" ht="15" hidden="false" customHeight="true" outlineLevel="0" collapsed="false">
      <c r="A239" s="29" t="n">
        <v>236</v>
      </c>
      <c r="B239" s="26" t="str">
        <f aca="false">IFERROR(INDEX('Output Utente'!$A$2:$A$492,MATCH(236,'Output Utente'!$R$2:$R$492,0)),"")</f>
        <v/>
      </c>
      <c r="C239" s="26" t="str">
        <f aca="false">IFERROR(INDEX('Output Utente'!$B$2:$B$492,MATCH(236,'Output Utente'!$R$2:$R$492,0)),"")</f>
        <v/>
      </c>
      <c r="D239" s="26" t="str">
        <f aca="false">IFERROR(INDEX('Output Utente'!$C$2:$C$492,MATCH(236,'Output Utente'!$R$2:$R$492,0)),"")</f>
        <v/>
      </c>
      <c r="E239" s="26" t="str">
        <f aca="false">IFERROR(INDEX('Input Giocatori 2026_27'!$D$3:$D$493,MATCH($B239,'Input Giocatori 2026_27'!$A$3:$A$493,0)),"")</f>
        <v/>
      </c>
      <c r="F239" s="27" t="str">
        <f aca="false">IFERROR(INDEX('Output Utente'!$N$2:$N$492,MATCH(236,'Output Utente'!$R$2:$R$492,0)),"")</f>
        <v/>
      </c>
      <c r="G239" s="26" t="str">
        <f aca="false">IFERROR(INDEX('Output Utente'!$O$2:$O$492,MATCH(236,'Output Utente'!$R$2:$R$492,0)),"")</f>
        <v/>
      </c>
      <c r="H239" s="26" t="str">
        <f aca="false">IFERROR(INDEX('Output Utente'!$P$2:$P$492,MATCH(236,'Output Utente'!$R$2:$R$492,0)),"")</f>
        <v/>
      </c>
      <c r="I239" s="27" t="str">
        <f aca="false">IFERROR(INDEX('Output Utente'!$F$2:$F$492,MATCH(236,'Output Utente'!$R$2:$R$492,0)),"")</f>
        <v/>
      </c>
      <c r="J239" s="27" t="str">
        <f aca="false">IFERROR(INDEX('Output Utente'!$G$2:$G$492,MATCH(236,'Output Utente'!$R$2:$R$492,0)),"")</f>
        <v/>
      </c>
      <c r="K239" s="27" t="str">
        <f aca="false">IFERROR(INDEX('Output Utente'!$H$2:$H$492,MATCH(236,'Output Utente'!$R$2:$R$492,0)),"")</f>
        <v/>
      </c>
      <c r="L239" s="26" t="str">
        <f aca="false">IFERROR(INDEX('Output Utente'!$E$2:$E$492,MATCH(236,'Output Utente'!$R$2:$R$492,0)),"")</f>
        <v/>
      </c>
    </row>
    <row r="240" customFormat="false" ht="15" hidden="false" customHeight="true" outlineLevel="0" collapsed="false">
      <c r="A240" s="29" t="n">
        <v>237</v>
      </c>
      <c r="B240" s="26" t="str">
        <f aca="false">IFERROR(INDEX('Output Utente'!$A$2:$A$492,MATCH(237,'Output Utente'!$R$2:$R$492,0)),"")</f>
        <v/>
      </c>
      <c r="C240" s="26" t="str">
        <f aca="false">IFERROR(INDEX('Output Utente'!$B$2:$B$492,MATCH(237,'Output Utente'!$R$2:$R$492,0)),"")</f>
        <v/>
      </c>
      <c r="D240" s="26" t="str">
        <f aca="false">IFERROR(INDEX('Output Utente'!$C$2:$C$492,MATCH(237,'Output Utente'!$R$2:$R$492,0)),"")</f>
        <v/>
      </c>
      <c r="E240" s="26" t="str">
        <f aca="false">IFERROR(INDEX('Input Giocatori 2026_27'!$D$3:$D$493,MATCH($B240,'Input Giocatori 2026_27'!$A$3:$A$493,0)),"")</f>
        <v/>
      </c>
      <c r="F240" s="27" t="str">
        <f aca="false">IFERROR(INDEX('Output Utente'!$N$2:$N$492,MATCH(237,'Output Utente'!$R$2:$R$492,0)),"")</f>
        <v/>
      </c>
      <c r="G240" s="26" t="str">
        <f aca="false">IFERROR(INDEX('Output Utente'!$O$2:$O$492,MATCH(237,'Output Utente'!$R$2:$R$492,0)),"")</f>
        <v/>
      </c>
      <c r="H240" s="26" t="str">
        <f aca="false">IFERROR(INDEX('Output Utente'!$P$2:$P$492,MATCH(237,'Output Utente'!$R$2:$R$492,0)),"")</f>
        <v/>
      </c>
      <c r="I240" s="27" t="str">
        <f aca="false">IFERROR(INDEX('Output Utente'!$F$2:$F$492,MATCH(237,'Output Utente'!$R$2:$R$492,0)),"")</f>
        <v/>
      </c>
      <c r="J240" s="27" t="str">
        <f aca="false">IFERROR(INDEX('Output Utente'!$G$2:$G$492,MATCH(237,'Output Utente'!$R$2:$R$492,0)),"")</f>
        <v/>
      </c>
      <c r="K240" s="27" t="str">
        <f aca="false">IFERROR(INDEX('Output Utente'!$H$2:$H$492,MATCH(237,'Output Utente'!$R$2:$R$492,0)),"")</f>
        <v/>
      </c>
      <c r="L240" s="26" t="str">
        <f aca="false">IFERROR(INDEX('Output Utente'!$E$2:$E$492,MATCH(237,'Output Utente'!$R$2:$R$492,0)),"")</f>
        <v/>
      </c>
    </row>
    <row r="241" customFormat="false" ht="15" hidden="false" customHeight="true" outlineLevel="0" collapsed="false">
      <c r="A241" s="29" t="n">
        <v>238</v>
      </c>
      <c r="B241" s="26" t="str">
        <f aca="false">IFERROR(INDEX('Output Utente'!$A$2:$A$492,MATCH(238,'Output Utente'!$R$2:$R$492,0)),"")</f>
        <v/>
      </c>
      <c r="C241" s="26" t="str">
        <f aca="false">IFERROR(INDEX('Output Utente'!$B$2:$B$492,MATCH(238,'Output Utente'!$R$2:$R$492,0)),"")</f>
        <v/>
      </c>
      <c r="D241" s="26" t="str">
        <f aca="false">IFERROR(INDEX('Output Utente'!$C$2:$C$492,MATCH(238,'Output Utente'!$R$2:$R$492,0)),"")</f>
        <v/>
      </c>
      <c r="E241" s="26" t="str">
        <f aca="false">IFERROR(INDEX('Input Giocatori 2026_27'!$D$3:$D$493,MATCH($B241,'Input Giocatori 2026_27'!$A$3:$A$493,0)),"")</f>
        <v/>
      </c>
      <c r="F241" s="27" t="str">
        <f aca="false">IFERROR(INDEX('Output Utente'!$N$2:$N$492,MATCH(238,'Output Utente'!$R$2:$R$492,0)),"")</f>
        <v/>
      </c>
      <c r="G241" s="26" t="str">
        <f aca="false">IFERROR(INDEX('Output Utente'!$O$2:$O$492,MATCH(238,'Output Utente'!$R$2:$R$492,0)),"")</f>
        <v/>
      </c>
      <c r="H241" s="26" t="str">
        <f aca="false">IFERROR(INDEX('Output Utente'!$P$2:$P$492,MATCH(238,'Output Utente'!$R$2:$R$492,0)),"")</f>
        <v/>
      </c>
      <c r="I241" s="27" t="str">
        <f aca="false">IFERROR(INDEX('Output Utente'!$F$2:$F$492,MATCH(238,'Output Utente'!$R$2:$R$492,0)),"")</f>
        <v/>
      </c>
      <c r="J241" s="27" t="str">
        <f aca="false">IFERROR(INDEX('Output Utente'!$G$2:$G$492,MATCH(238,'Output Utente'!$R$2:$R$492,0)),"")</f>
        <v/>
      </c>
      <c r="K241" s="27" t="str">
        <f aca="false">IFERROR(INDEX('Output Utente'!$H$2:$H$492,MATCH(238,'Output Utente'!$R$2:$R$492,0)),"")</f>
        <v/>
      </c>
      <c r="L241" s="26" t="str">
        <f aca="false">IFERROR(INDEX('Output Utente'!$E$2:$E$492,MATCH(238,'Output Utente'!$R$2:$R$492,0)),"")</f>
        <v/>
      </c>
    </row>
    <row r="242" customFormat="false" ht="15" hidden="false" customHeight="true" outlineLevel="0" collapsed="false">
      <c r="A242" s="29" t="n">
        <v>239</v>
      </c>
      <c r="B242" s="26" t="str">
        <f aca="false">IFERROR(INDEX('Output Utente'!$A$2:$A$492,MATCH(239,'Output Utente'!$R$2:$R$492,0)),"")</f>
        <v/>
      </c>
      <c r="C242" s="26" t="str">
        <f aca="false">IFERROR(INDEX('Output Utente'!$B$2:$B$492,MATCH(239,'Output Utente'!$R$2:$R$492,0)),"")</f>
        <v/>
      </c>
      <c r="D242" s="26" t="str">
        <f aca="false">IFERROR(INDEX('Output Utente'!$C$2:$C$492,MATCH(239,'Output Utente'!$R$2:$R$492,0)),"")</f>
        <v/>
      </c>
      <c r="E242" s="26" t="str">
        <f aca="false">IFERROR(INDEX('Input Giocatori 2026_27'!$D$3:$D$493,MATCH($B242,'Input Giocatori 2026_27'!$A$3:$A$493,0)),"")</f>
        <v/>
      </c>
      <c r="F242" s="27" t="str">
        <f aca="false">IFERROR(INDEX('Output Utente'!$N$2:$N$492,MATCH(239,'Output Utente'!$R$2:$R$492,0)),"")</f>
        <v/>
      </c>
      <c r="G242" s="26" t="str">
        <f aca="false">IFERROR(INDEX('Output Utente'!$O$2:$O$492,MATCH(239,'Output Utente'!$R$2:$R$492,0)),"")</f>
        <v/>
      </c>
      <c r="H242" s="26" t="str">
        <f aca="false">IFERROR(INDEX('Output Utente'!$P$2:$P$492,MATCH(239,'Output Utente'!$R$2:$R$492,0)),"")</f>
        <v/>
      </c>
      <c r="I242" s="27" t="str">
        <f aca="false">IFERROR(INDEX('Output Utente'!$F$2:$F$492,MATCH(239,'Output Utente'!$R$2:$R$492,0)),"")</f>
        <v/>
      </c>
      <c r="J242" s="27" t="str">
        <f aca="false">IFERROR(INDEX('Output Utente'!$G$2:$G$492,MATCH(239,'Output Utente'!$R$2:$R$492,0)),"")</f>
        <v/>
      </c>
      <c r="K242" s="27" t="str">
        <f aca="false">IFERROR(INDEX('Output Utente'!$H$2:$H$492,MATCH(239,'Output Utente'!$R$2:$R$492,0)),"")</f>
        <v/>
      </c>
      <c r="L242" s="26" t="str">
        <f aca="false">IFERROR(INDEX('Output Utente'!$E$2:$E$492,MATCH(239,'Output Utente'!$R$2:$R$492,0)),"")</f>
        <v/>
      </c>
    </row>
    <row r="243" customFormat="false" ht="15" hidden="false" customHeight="true" outlineLevel="0" collapsed="false">
      <c r="A243" s="29" t="n">
        <v>240</v>
      </c>
      <c r="B243" s="26" t="str">
        <f aca="false">IFERROR(INDEX('Output Utente'!$A$2:$A$492,MATCH(240,'Output Utente'!$R$2:$R$492,0)),"")</f>
        <v/>
      </c>
      <c r="C243" s="26" t="str">
        <f aca="false">IFERROR(INDEX('Output Utente'!$B$2:$B$492,MATCH(240,'Output Utente'!$R$2:$R$492,0)),"")</f>
        <v/>
      </c>
      <c r="D243" s="26" t="str">
        <f aca="false">IFERROR(INDEX('Output Utente'!$C$2:$C$492,MATCH(240,'Output Utente'!$R$2:$R$492,0)),"")</f>
        <v/>
      </c>
      <c r="E243" s="26" t="str">
        <f aca="false">IFERROR(INDEX('Input Giocatori 2026_27'!$D$3:$D$493,MATCH($B243,'Input Giocatori 2026_27'!$A$3:$A$493,0)),"")</f>
        <v/>
      </c>
      <c r="F243" s="27" t="str">
        <f aca="false">IFERROR(INDEX('Output Utente'!$N$2:$N$492,MATCH(240,'Output Utente'!$R$2:$R$492,0)),"")</f>
        <v/>
      </c>
      <c r="G243" s="26" t="str">
        <f aca="false">IFERROR(INDEX('Output Utente'!$O$2:$O$492,MATCH(240,'Output Utente'!$R$2:$R$492,0)),"")</f>
        <v/>
      </c>
      <c r="H243" s="26" t="str">
        <f aca="false">IFERROR(INDEX('Output Utente'!$P$2:$P$492,MATCH(240,'Output Utente'!$R$2:$R$492,0)),"")</f>
        <v/>
      </c>
      <c r="I243" s="27" t="str">
        <f aca="false">IFERROR(INDEX('Output Utente'!$F$2:$F$492,MATCH(240,'Output Utente'!$R$2:$R$492,0)),"")</f>
        <v/>
      </c>
      <c r="J243" s="27" t="str">
        <f aca="false">IFERROR(INDEX('Output Utente'!$G$2:$G$492,MATCH(240,'Output Utente'!$R$2:$R$492,0)),"")</f>
        <v/>
      </c>
      <c r="K243" s="27" t="str">
        <f aca="false">IFERROR(INDEX('Output Utente'!$H$2:$H$492,MATCH(240,'Output Utente'!$R$2:$R$492,0)),"")</f>
        <v/>
      </c>
      <c r="L243" s="26" t="str">
        <f aca="false">IFERROR(INDEX('Output Utente'!$E$2:$E$492,MATCH(240,'Output Utente'!$R$2:$R$492,0)),"")</f>
        <v/>
      </c>
    </row>
    <row r="244" customFormat="false" ht="15" hidden="false" customHeight="true" outlineLevel="0" collapsed="false">
      <c r="A244" s="29" t="n">
        <v>241</v>
      </c>
      <c r="B244" s="26" t="str">
        <f aca="false">IFERROR(INDEX('Output Utente'!$A$2:$A$492,MATCH(241,'Output Utente'!$R$2:$R$492,0)),"")</f>
        <v/>
      </c>
      <c r="C244" s="26" t="str">
        <f aca="false">IFERROR(INDEX('Output Utente'!$B$2:$B$492,MATCH(241,'Output Utente'!$R$2:$R$492,0)),"")</f>
        <v/>
      </c>
      <c r="D244" s="26" t="str">
        <f aca="false">IFERROR(INDEX('Output Utente'!$C$2:$C$492,MATCH(241,'Output Utente'!$R$2:$R$492,0)),"")</f>
        <v/>
      </c>
      <c r="E244" s="26" t="str">
        <f aca="false">IFERROR(INDEX('Input Giocatori 2026_27'!$D$3:$D$493,MATCH($B244,'Input Giocatori 2026_27'!$A$3:$A$493,0)),"")</f>
        <v/>
      </c>
      <c r="F244" s="27" t="str">
        <f aca="false">IFERROR(INDEX('Output Utente'!$N$2:$N$492,MATCH(241,'Output Utente'!$R$2:$R$492,0)),"")</f>
        <v/>
      </c>
      <c r="G244" s="26" t="str">
        <f aca="false">IFERROR(INDEX('Output Utente'!$O$2:$O$492,MATCH(241,'Output Utente'!$R$2:$R$492,0)),"")</f>
        <v/>
      </c>
      <c r="H244" s="26" t="str">
        <f aca="false">IFERROR(INDEX('Output Utente'!$P$2:$P$492,MATCH(241,'Output Utente'!$R$2:$R$492,0)),"")</f>
        <v/>
      </c>
      <c r="I244" s="27" t="str">
        <f aca="false">IFERROR(INDEX('Output Utente'!$F$2:$F$492,MATCH(241,'Output Utente'!$R$2:$R$492,0)),"")</f>
        <v/>
      </c>
      <c r="J244" s="27" t="str">
        <f aca="false">IFERROR(INDEX('Output Utente'!$G$2:$G$492,MATCH(241,'Output Utente'!$R$2:$R$492,0)),"")</f>
        <v/>
      </c>
      <c r="K244" s="27" t="str">
        <f aca="false">IFERROR(INDEX('Output Utente'!$H$2:$H$492,MATCH(241,'Output Utente'!$R$2:$R$492,0)),"")</f>
        <v/>
      </c>
      <c r="L244" s="26" t="str">
        <f aca="false">IFERROR(INDEX('Output Utente'!$E$2:$E$492,MATCH(241,'Output Utente'!$R$2:$R$492,0)),"")</f>
        <v/>
      </c>
    </row>
    <row r="245" customFormat="false" ht="15" hidden="false" customHeight="true" outlineLevel="0" collapsed="false">
      <c r="A245" s="29" t="n">
        <v>242</v>
      </c>
      <c r="B245" s="26" t="str">
        <f aca="false">IFERROR(INDEX('Output Utente'!$A$2:$A$492,MATCH(242,'Output Utente'!$R$2:$R$492,0)),"")</f>
        <v/>
      </c>
      <c r="C245" s="26" t="str">
        <f aca="false">IFERROR(INDEX('Output Utente'!$B$2:$B$492,MATCH(242,'Output Utente'!$R$2:$R$492,0)),"")</f>
        <v/>
      </c>
      <c r="D245" s="26" t="str">
        <f aca="false">IFERROR(INDEX('Output Utente'!$C$2:$C$492,MATCH(242,'Output Utente'!$R$2:$R$492,0)),"")</f>
        <v/>
      </c>
      <c r="E245" s="26" t="str">
        <f aca="false">IFERROR(INDEX('Input Giocatori 2026_27'!$D$3:$D$493,MATCH($B245,'Input Giocatori 2026_27'!$A$3:$A$493,0)),"")</f>
        <v/>
      </c>
      <c r="F245" s="27" t="str">
        <f aca="false">IFERROR(INDEX('Output Utente'!$N$2:$N$492,MATCH(242,'Output Utente'!$R$2:$R$492,0)),"")</f>
        <v/>
      </c>
      <c r="G245" s="26" t="str">
        <f aca="false">IFERROR(INDEX('Output Utente'!$O$2:$O$492,MATCH(242,'Output Utente'!$R$2:$R$492,0)),"")</f>
        <v/>
      </c>
      <c r="H245" s="26" t="str">
        <f aca="false">IFERROR(INDEX('Output Utente'!$P$2:$P$492,MATCH(242,'Output Utente'!$R$2:$R$492,0)),"")</f>
        <v/>
      </c>
      <c r="I245" s="27" t="str">
        <f aca="false">IFERROR(INDEX('Output Utente'!$F$2:$F$492,MATCH(242,'Output Utente'!$R$2:$R$492,0)),"")</f>
        <v/>
      </c>
      <c r="J245" s="27" t="str">
        <f aca="false">IFERROR(INDEX('Output Utente'!$G$2:$G$492,MATCH(242,'Output Utente'!$R$2:$R$492,0)),"")</f>
        <v/>
      </c>
      <c r="K245" s="27" t="str">
        <f aca="false">IFERROR(INDEX('Output Utente'!$H$2:$H$492,MATCH(242,'Output Utente'!$R$2:$R$492,0)),"")</f>
        <v/>
      </c>
      <c r="L245" s="26" t="str">
        <f aca="false">IFERROR(INDEX('Output Utente'!$E$2:$E$492,MATCH(242,'Output Utente'!$R$2:$R$492,0)),"")</f>
        <v/>
      </c>
    </row>
    <row r="246" customFormat="false" ht="15" hidden="false" customHeight="true" outlineLevel="0" collapsed="false">
      <c r="A246" s="29" t="n">
        <v>243</v>
      </c>
      <c r="B246" s="26" t="str">
        <f aca="false">IFERROR(INDEX('Output Utente'!$A$2:$A$492,MATCH(243,'Output Utente'!$R$2:$R$492,0)),"")</f>
        <v/>
      </c>
      <c r="C246" s="26" t="str">
        <f aca="false">IFERROR(INDEX('Output Utente'!$B$2:$B$492,MATCH(243,'Output Utente'!$R$2:$R$492,0)),"")</f>
        <v/>
      </c>
      <c r="D246" s="26" t="str">
        <f aca="false">IFERROR(INDEX('Output Utente'!$C$2:$C$492,MATCH(243,'Output Utente'!$R$2:$R$492,0)),"")</f>
        <v/>
      </c>
      <c r="E246" s="26" t="str">
        <f aca="false">IFERROR(INDEX('Input Giocatori 2026_27'!$D$3:$D$493,MATCH($B246,'Input Giocatori 2026_27'!$A$3:$A$493,0)),"")</f>
        <v/>
      </c>
      <c r="F246" s="27" t="str">
        <f aca="false">IFERROR(INDEX('Output Utente'!$N$2:$N$492,MATCH(243,'Output Utente'!$R$2:$R$492,0)),"")</f>
        <v/>
      </c>
      <c r="G246" s="26" t="str">
        <f aca="false">IFERROR(INDEX('Output Utente'!$O$2:$O$492,MATCH(243,'Output Utente'!$R$2:$R$492,0)),"")</f>
        <v/>
      </c>
      <c r="H246" s="26" t="str">
        <f aca="false">IFERROR(INDEX('Output Utente'!$P$2:$P$492,MATCH(243,'Output Utente'!$R$2:$R$492,0)),"")</f>
        <v/>
      </c>
      <c r="I246" s="27" t="str">
        <f aca="false">IFERROR(INDEX('Output Utente'!$F$2:$F$492,MATCH(243,'Output Utente'!$R$2:$R$492,0)),"")</f>
        <v/>
      </c>
      <c r="J246" s="27" t="str">
        <f aca="false">IFERROR(INDEX('Output Utente'!$G$2:$G$492,MATCH(243,'Output Utente'!$R$2:$R$492,0)),"")</f>
        <v/>
      </c>
      <c r="K246" s="27" t="str">
        <f aca="false">IFERROR(INDEX('Output Utente'!$H$2:$H$492,MATCH(243,'Output Utente'!$R$2:$R$492,0)),"")</f>
        <v/>
      </c>
      <c r="L246" s="26" t="str">
        <f aca="false">IFERROR(INDEX('Output Utente'!$E$2:$E$492,MATCH(243,'Output Utente'!$R$2:$R$492,0)),"")</f>
        <v/>
      </c>
    </row>
    <row r="247" customFormat="false" ht="15" hidden="false" customHeight="true" outlineLevel="0" collapsed="false">
      <c r="A247" s="29" t="n">
        <v>244</v>
      </c>
      <c r="B247" s="26" t="str">
        <f aca="false">IFERROR(INDEX('Output Utente'!$A$2:$A$492,MATCH(244,'Output Utente'!$R$2:$R$492,0)),"")</f>
        <v/>
      </c>
      <c r="C247" s="26" t="str">
        <f aca="false">IFERROR(INDEX('Output Utente'!$B$2:$B$492,MATCH(244,'Output Utente'!$R$2:$R$492,0)),"")</f>
        <v/>
      </c>
      <c r="D247" s="26" t="str">
        <f aca="false">IFERROR(INDEX('Output Utente'!$C$2:$C$492,MATCH(244,'Output Utente'!$R$2:$R$492,0)),"")</f>
        <v/>
      </c>
      <c r="E247" s="26" t="str">
        <f aca="false">IFERROR(INDEX('Input Giocatori 2026_27'!$D$3:$D$493,MATCH($B247,'Input Giocatori 2026_27'!$A$3:$A$493,0)),"")</f>
        <v/>
      </c>
      <c r="F247" s="27" t="str">
        <f aca="false">IFERROR(INDEX('Output Utente'!$N$2:$N$492,MATCH(244,'Output Utente'!$R$2:$R$492,0)),"")</f>
        <v/>
      </c>
      <c r="G247" s="26" t="str">
        <f aca="false">IFERROR(INDEX('Output Utente'!$O$2:$O$492,MATCH(244,'Output Utente'!$R$2:$R$492,0)),"")</f>
        <v/>
      </c>
      <c r="H247" s="26" t="str">
        <f aca="false">IFERROR(INDEX('Output Utente'!$P$2:$P$492,MATCH(244,'Output Utente'!$R$2:$R$492,0)),"")</f>
        <v/>
      </c>
      <c r="I247" s="27" t="str">
        <f aca="false">IFERROR(INDEX('Output Utente'!$F$2:$F$492,MATCH(244,'Output Utente'!$R$2:$R$492,0)),"")</f>
        <v/>
      </c>
      <c r="J247" s="27" t="str">
        <f aca="false">IFERROR(INDEX('Output Utente'!$G$2:$G$492,MATCH(244,'Output Utente'!$R$2:$R$492,0)),"")</f>
        <v/>
      </c>
      <c r="K247" s="27" t="str">
        <f aca="false">IFERROR(INDEX('Output Utente'!$H$2:$H$492,MATCH(244,'Output Utente'!$R$2:$R$492,0)),"")</f>
        <v/>
      </c>
      <c r="L247" s="26" t="str">
        <f aca="false">IFERROR(INDEX('Output Utente'!$E$2:$E$492,MATCH(244,'Output Utente'!$R$2:$R$492,0)),"")</f>
        <v/>
      </c>
    </row>
    <row r="248" customFormat="false" ht="15" hidden="false" customHeight="true" outlineLevel="0" collapsed="false">
      <c r="A248" s="29" t="n">
        <v>245</v>
      </c>
      <c r="B248" s="26" t="str">
        <f aca="false">IFERROR(INDEX('Output Utente'!$A$2:$A$492,MATCH(245,'Output Utente'!$R$2:$R$492,0)),"")</f>
        <v/>
      </c>
      <c r="C248" s="26" t="str">
        <f aca="false">IFERROR(INDEX('Output Utente'!$B$2:$B$492,MATCH(245,'Output Utente'!$R$2:$R$492,0)),"")</f>
        <v/>
      </c>
      <c r="D248" s="26" t="str">
        <f aca="false">IFERROR(INDEX('Output Utente'!$C$2:$C$492,MATCH(245,'Output Utente'!$R$2:$R$492,0)),"")</f>
        <v/>
      </c>
      <c r="E248" s="26" t="str">
        <f aca="false">IFERROR(INDEX('Input Giocatori 2026_27'!$D$3:$D$493,MATCH($B248,'Input Giocatori 2026_27'!$A$3:$A$493,0)),"")</f>
        <v/>
      </c>
      <c r="F248" s="27" t="str">
        <f aca="false">IFERROR(INDEX('Output Utente'!$N$2:$N$492,MATCH(245,'Output Utente'!$R$2:$R$492,0)),"")</f>
        <v/>
      </c>
      <c r="G248" s="26" t="str">
        <f aca="false">IFERROR(INDEX('Output Utente'!$O$2:$O$492,MATCH(245,'Output Utente'!$R$2:$R$492,0)),"")</f>
        <v/>
      </c>
      <c r="H248" s="26" t="str">
        <f aca="false">IFERROR(INDEX('Output Utente'!$P$2:$P$492,MATCH(245,'Output Utente'!$R$2:$R$492,0)),"")</f>
        <v/>
      </c>
      <c r="I248" s="27" t="str">
        <f aca="false">IFERROR(INDEX('Output Utente'!$F$2:$F$492,MATCH(245,'Output Utente'!$R$2:$R$492,0)),"")</f>
        <v/>
      </c>
      <c r="J248" s="27" t="str">
        <f aca="false">IFERROR(INDEX('Output Utente'!$G$2:$G$492,MATCH(245,'Output Utente'!$R$2:$R$492,0)),"")</f>
        <v/>
      </c>
      <c r="K248" s="27" t="str">
        <f aca="false">IFERROR(INDEX('Output Utente'!$H$2:$H$492,MATCH(245,'Output Utente'!$R$2:$R$492,0)),"")</f>
        <v/>
      </c>
      <c r="L248" s="26" t="str">
        <f aca="false">IFERROR(INDEX('Output Utente'!$E$2:$E$492,MATCH(245,'Output Utente'!$R$2:$R$492,0)),"")</f>
        <v/>
      </c>
    </row>
    <row r="249" customFormat="false" ht="15" hidden="false" customHeight="true" outlineLevel="0" collapsed="false">
      <c r="A249" s="29" t="n">
        <v>246</v>
      </c>
      <c r="B249" s="26" t="str">
        <f aca="false">IFERROR(INDEX('Output Utente'!$A$2:$A$492,MATCH(246,'Output Utente'!$R$2:$R$492,0)),"")</f>
        <v/>
      </c>
      <c r="C249" s="26" t="str">
        <f aca="false">IFERROR(INDEX('Output Utente'!$B$2:$B$492,MATCH(246,'Output Utente'!$R$2:$R$492,0)),"")</f>
        <v/>
      </c>
      <c r="D249" s="26" t="str">
        <f aca="false">IFERROR(INDEX('Output Utente'!$C$2:$C$492,MATCH(246,'Output Utente'!$R$2:$R$492,0)),"")</f>
        <v/>
      </c>
      <c r="E249" s="26" t="str">
        <f aca="false">IFERROR(INDEX('Input Giocatori 2026_27'!$D$3:$D$493,MATCH($B249,'Input Giocatori 2026_27'!$A$3:$A$493,0)),"")</f>
        <v/>
      </c>
      <c r="F249" s="27" t="str">
        <f aca="false">IFERROR(INDEX('Output Utente'!$N$2:$N$492,MATCH(246,'Output Utente'!$R$2:$R$492,0)),"")</f>
        <v/>
      </c>
      <c r="G249" s="26" t="str">
        <f aca="false">IFERROR(INDEX('Output Utente'!$O$2:$O$492,MATCH(246,'Output Utente'!$R$2:$R$492,0)),"")</f>
        <v/>
      </c>
      <c r="H249" s="26" t="str">
        <f aca="false">IFERROR(INDEX('Output Utente'!$P$2:$P$492,MATCH(246,'Output Utente'!$R$2:$R$492,0)),"")</f>
        <v/>
      </c>
      <c r="I249" s="27" t="str">
        <f aca="false">IFERROR(INDEX('Output Utente'!$F$2:$F$492,MATCH(246,'Output Utente'!$R$2:$R$492,0)),"")</f>
        <v/>
      </c>
      <c r="J249" s="27" t="str">
        <f aca="false">IFERROR(INDEX('Output Utente'!$G$2:$G$492,MATCH(246,'Output Utente'!$R$2:$R$492,0)),"")</f>
        <v/>
      </c>
      <c r="K249" s="27" t="str">
        <f aca="false">IFERROR(INDEX('Output Utente'!$H$2:$H$492,MATCH(246,'Output Utente'!$R$2:$R$492,0)),"")</f>
        <v/>
      </c>
      <c r="L249" s="26" t="str">
        <f aca="false">IFERROR(INDEX('Output Utente'!$E$2:$E$492,MATCH(246,'Output Utente'!$R$2:$R$492,0)),"")</f>
        <v/>
      </c>
    </row>
    <row r="250" customFormat="false" ht="15" hidden="false" customHeight="true" outlineLevel="0" collapsed="false">
      <c r="A250" s="29" t="n">
        <v>247</v>
      </c>
      <c r="B250" s="26" t="str">
        <f aca="false">IFERROR(INDEX('Output Utente'!$A$2:$A$492,MATCH(247,'Output Utente'!$R$2:$R$492,0)),"")</f>
        <v/>
      </c>
      <c r="C250" s="26" t="str">
        <f aca="false">IFERROR(INDEX('Output Utente'!$B$2:$B$492,MATCH(247,'Output Utente'!$R$2:$R$492,0)),"")</f>
        <v/>
      </c>
      <c r="D250" s="26" t="str">
        <f aca="false">IFERROR(INDEX('Output Utente'!$C$2:$C$492,MATCH(247,'Output Utente'!$R$2:$R$492,0)),"")</f>
        <v/>
      </c>
      <c r="E250" s="26" t="str">
        <f aca="false">IFERROR(INDEX('Input Giocatori 2026_27'!$D$3:$D$493,MATCH($B250,'Input Giocatori 2026_27'!$A$3:$A$493,0)),"")</f>
        <v/>
      </c>
      <c r="F250" s="27" t="str">
        <f aca="false">IFERROR(INDEX('Output Utente'!$N$2:$N$492,MATCH(247,'Output Utente'!$R$2:$R$492,0)),"")</f>
        <v/>
      </c>
      <c r="G250" s="26" t="str">
        <f aca="false">IFERROR(INDEX('Output Utente'!$O$2:$O$492,MATCH(247,'Output Utente'!$R$2:$R$492,0)),"")</f>
        <v/>
      </c>
      <c r="H250" s="26" t="str">
        <f aca="false">IFERROR(INDEX('Output Utente'!$P$2:$P$492,MATCH(247,'Output Utente'!$R$2:$R$492,0)),"")</f>
        <v/>
      </c>
      <c r="I250" s="27" t="str">
        <f aca="false">IFERROR(INDEX('Output Utente'!$F$2:$F$492,MATCH(247,'Output Utente'!$R$2:$R$492,0)),"")</f>
        <v/>
      </c>
      <c r="J250" s="27" t="str">
        <f aca="false">IFERROR(INDEX('Output Utente'!$G$2:$G$492,MATCH(247,'Output Utente'!$R$2:$R$492,0)),"")</f>
        <v/>
      </c>
      <c r="K250" s="27" t="str">
        <f aca="false">IFERROR(INDEX('Output Utente'!$H$2:$H$492,MATCH(247,'Output Utente'!$R$2:$R$492,0)),"")</f>
        <v/>
      </c>
      <c r="L250" s="26" t="str">
        <f aca="false">IFERROR(INDEX('Output Utente'!$E$2:$E$492,MATCH(247,'Output Utente'!$R$2:$R$492,0)),"")</f>
        <v/>
      </c>
    </row>
    <row r="251" customFormat="false" ht="15" hidden="false" customHeight="true" outlineLevel="0" collapsed="false">
      <c r="A251" s="29" t="n">
        <v>248</v>
      </c>
      <c r="B251" s="26" t="str">
        <f aca="false">IFERROR(INDEX('Output Utente'!$A$2:$A$492,MATCH(248,'Output Utente'!$R$2:$R$492,0)),"")</f>
        <v/>
      </c>
      <c r="C251" s="26" t="str">
        <f aca="false">IFERROR(INDEX('Output Utente'!$B$2:$B$492,MATCH(248,'Output Utente'!$R$2:$R$492,0)),"")</f>
        <v/>
      </c>
      <c r="D251" s="26" t="str">
        <f aca="false">IFERROR(INDEX('Output Utente'!$C$2:$C$492,MATCH(248,'Output Utente'!$R$2:$R$492,0)),"")</f>
        <v/>
      </c>
      <c r="E251" s="26" t="str">
        <f aca="false">IFERROR(INDEX('Input Giocatori 2026_27'!$D$3:$D$493,MATCH($B251,'Input Giocatori 2026_27'!$A$3:$A$493,0)),"")</f>
        <v/>
      </c>
      <c r="F251" s="27" t="str">
        <f aca="false">IFERROR(INDEX('Output Utente'!$N$2:$N$492,MATCH(248,'Output Utente'!$R$2:$R$492,0)),"")</f>
        <v/>
      </c>
      <c r="G251" s="26" t="str">
        <f aca="false">IFERROR(INDEX('Output Utente'!$O$2:$O$492,MATCH(248,'Output Utente'!$R$2:$R$492,0)),"")</f>
        <v/>
      </c>
      <c r="H251" s="26" t="str">
        <f aca="false">IFERROR(INDEX('Output Utente'!$P$2:$P$492,MATCH(248,'Output Utente'!$R$2:$R$492,0)),"")</f>
        <v/>
      </c>
      <c r="I251" s="27" t="str">
        <f aca="false">IFERROR(INDEX('Output Utente'!$F$2:$F$492,MATCH(248,'Output Utente'!$R$2:$R$492,0)),"")</f>
        <v/>
      </c>
      <c r="J251" s="27" t="str">
        <f aca="false">IFERROR(INDEX('Output Utente'!$G$2:$G$492,MATCH(248,'Output Utente'!$R$2:$R$492,0)),"")</f>
        <v/>
      </c>
      <c r="K251" s="27" t="str">
        <f aca="false">IFERROR(INDEX('Output Utente'!$H$2:$H$492,MATCH(248,'Output Utente'!$R$2:$R$492,0)),"")</f>
        <v/>
      </c>
      <c r="L251" s="26" t="str">
        <f aca="false">IFERROR(INDEX('Output Utente'!$E$2:$E$492,MATCH(248,'Output Utente'!$R$2:$R$492,0)),"")</f>
        <v/>
      </c>
    </row>
    <row r="252" customFormat="false" ht="15" hidden="false" customHeight="true" outlineLevel="0" collapsed="false">
      <c r="A252" s="29" t="n">
        <v>249</v>
      </c>
      <c r="B252" s="26" t="str">
        <f aca="false">IFERROR(INDEX('Output Utente'!$A$2:$A$492,MATCH(249,'Output Utente'!$R$2:$R$492,0)),"")</f>
        <v/>
      </c>
      <c r="C252" s="26" t="str">
        <f aca="false">IFERROR(INDEX('Output Utente'!$B$2:$B$492,MATCH(249,'Output Utente'!$R$2:$R$492,0)),"")</f>
        <v/>
      </c>
      <c r="D252" s="26" t="str">
        <f aca="false">IFERROR(INDEX('Output Utente'!$C$2:$C$492,MATCH(249,'Output Utente'!$R$2:$R$492,0)),"")</f>
        <v/>
      </c>
      <c r="E252" s="26" t="str">
        <f aca="false">IFERROR(INDEX('Input Giocatori 2026_27'!$D$3:$D$493,MATCH($B252,'Input Giocatori 2026_27'!$A$3:$A$493,0)),"")</f>
        <v/>
      </c>
      <c r="F252" s="27" t="str">
        <f aca="false">IFERROR(INDEX('Output Utente'!$N$2:$N$492,MATCH(249,'Output Utente'!$R$2:$R$492,0)),"")</f>
        <v/>
      </c>
      <c r="G252" s="26" t="str">
        <f aca="false">IFERROR(INDEX('Output Utente'!$O$2:$O$492,MATCH(249,'Output Utente'!$R$2:$R$492,0)),"")</f>
        <v/>
      </c>
      <c r="H252" s="26" t="str">
        <f aca="false">IFERROR(INDEX('Output Utente'!$P$2:$P$492,MATCH(249,'Output Utente'!$R$2:$R$492,0)),"")</f>
        <v/>
      </c>
      <c r="I252" s="27" t="str">
        <f aca="false">IFERROR(INDEX('Output Utente'!$F$2:$F$492,MATCH(249,'Output Utente'!$R$2:$R$492,0)),"")</f>
        <v/>
      </c>
      <c r="J252" s="27" t="str">
        <f aca="false">IFERROR(INDEX('Output Utente'!$G$2:$G$492,MATCH(249,'Output Utente'!$R$2:$R$492,0)),"")</f>
        <v/>
      </c>
      <c r="K252" s="27" t="str">
        <f aca="false">IFERROR(INDEX('Output Utente'!$H$2:$H$492,MATCH(249,'Output Utente'!$R$2:$R$492,0)),"")</f>
        <v/>
      </c>
      <c r="L252" s="26" t="str">
        <f aca="false">IFERROR(INDEX('Output Utente'!$E$2:$E$492,MATCH(249,'Output Utente'!$R$2:$R$492,0)),"")</f>
        <v/>
      </c>
    </row>
    <row r="253" customFormat="false" ht="15" hidden="false" customHeight="true" outlineLevel="0" collapsed="false">
      <c r="A253" s="29" t="n">
        <v>250</v>
      </c>
      <c r="B253" s="26" t="str">
        <f aca="false">IFERROR(INDEX('Output Utente'!$A$2:$A$492,MATCH(250,'Output Utente'!$R$2:$R$492,0)),"")</f>
        <v/>
      </c>
      <c r="C253" s="26" t="str">
        <f aca="false">IFERROR(INDEX('Output Utente'!$B$2:$B$492,MATCH(250,'Output Utente'!$R$2:$R$492,0)),"")</f>
        <v/>
      </c>
      <c r="D253" s="26" t="str">
        <f aca="false">IFERROR(INDEX('Output Utente'!$C$2:$C$492,MATCH(250,'Output Utente'!$R$2:$R$492,0)),"")</f>
        <v/>
      </c>
      <c r="E253" s="26" t="str">
        <f aca="false">IFERROR(INDEX('Input Giocatori 2026_27'!$D$3:$D$493,MATCH($B253,'Input Giocatori 2026_27'!$A$3:$A$493,0)),"")</f>
        <v/>
      </c>
      <c r="F253" s="27" t="str">
        <f aca="false">IFERROR(INDEX('Output Utente'!$N$2:$N$492,MATCH(250,'Output Utente'!$R$2:$R$492,0)),"")</f>
        <v/>
      </c>
      <c r="G253" s="26" t="str">
        <f aca="false">IFERROR(INDEX('Output Utente'!$O$2:$O$492,MATCH(250,'Output Utente'!$R$2:$R$492,0)),"")</f>
        <v/>
      </c>
      <c r="H253" s="26" t="str">
        <f aca="false">IFERROR(INDEX('Output Utente'!$P$2:$P$492,MATCH(250,'Output Utente'!$R$2:$R$492,0)),"")</f>
        <v/>
      </c>
      <c r="I253" s="27" t="str">
        <f aca="false">IFERROR(INDEX('Output Utente'!$F$2:$F$492,MATCH(250,'Output Utente'!$R$2:$R$492,0)),"")</f>
        <v/>
      </c>
      <c r="J253" s="27" t="str">
        <f aca="false">IFERROR(INDEX('Output Utente'!$G$2:$G$492,MATCH(250,'Output Utente'!$R$2:$R$492,0)),"")</f>
        <v/>
      </c>
      <c r="K253" s="27" t="str">
        <f aca="false">IFERROR(INDEX('Output Utente'!$H$2:$H$492,MATCH(250,'Output Utente'!$R$2:$R$492,0)),"")</f>
        <v/>
      </c>
      <c r="L253" s="26" t="str">
        <f aca="false">IFERROR(INDEX('Output Utente'!$E$2:$E$492,MATCH(250,'Output Utente'!$R$2:$R$492,0)),"")</f>
        <v/>
      </c>
    </row>
    <row r="254" customFormat="false" ht="15" hidden="false" customHeight="true" outlineLevel="0" collapsed="false">
      <c r="A254" s="29" t="n">
        <v>251</v>
      </c>
      <c r="B254" s="26" t="str">
        <f aca="false">IFERROR(INDEX('Output Utente'!$A$2:$A$492,MATCH(251,'Output Utente'!$R$2:$R$492,0)),"")</f>
        <v/>
      </c>
      <c r="C254" s="26" t="str">
        <f aca="false">IFERROR(INDEX('Output Utente'!$B$2:$B$492,MATCH(251,'Output Utente'!$R$2:$R$492,0)),"")</f>
        <v/>
      </c>
      <c r="D254" s="26" t="str">
        <f aca="false">IFERROR(INDEX('Output Utente'!$C$2:$C$492,MATCH(251,'Output Utente'!$R$2:$R$492,0)),"")</f>
        <v/>
      </c>
      <c r="E254" s="26" t="str">
        <f aca="false">IFERROR(INDEX('Input Giocatori 2026_27'!$D$3:$D$493,MATCH($B254,'Input Giocatori 2026_27'!$A$3:$A$493,0)),"")</f>
        <v/>
      </c>
      <c r="F254" s="27" t="str">
        <f aca="false">IFERROR(INDEX('Output Utente'!$N$2:$N$492,MATCH(251,'Output Utente'!$R$2:$R$492,0)),"")</f>
        <v/>
      </c>
      <c r="G254" s="26" t="str">
        <f aca="false">IFERROR(INDEX('Output Utente'!$O$2:$O$492,MATCH(251,'Output Utente'!$R$2:$R$492,0)),"")</f>
        <v/>
      </c>
      <c r="H254" s="26" t="str">
        <f aca="false">IFERROR(INDEX('Output Utente'!$P$2:$P$492,MATCH(251,'Output Utente'!$R$2:$R$492,0)),"")</f>
        <v/>
      </c>
      <c r="I254" s="27" t="str">
        <f aca="false">IFERROR(INDEX('Output Utente'!$F$2:$F$492,MATCH(251,'Output Utente'!$R$2:$R$492,0)),"")</f>
        <v/>
      </c>
      <c r="J254" s="27" t="str">
        <f aca="false">IFERROR(INDEX('Output Utente'!$G$2:$G$492,MATCH(251,'Output Utente'!$R$2:$R$492,0)),"")</f>
        <v/>
      </c>
      <c r="K254" s="27" t="str">
        <f aca="false">IFERROR(INDEX('Output Utente'!$H$2:$H$492,MATCH(251,'Output Utente'!$R$2:$R$492,0)),"")</f>
        <v/>
      </c>
      <c r="L254" s="26" t="str">
        <f aca="false">IFERROR(INDEX('Output Utente'!$E$2:$E$492,MATCH(251,'Output Utente'!$R$2:$R$492,0)),"")</f>
        <v/>
      </c>
    </row>
    <row r="255" customFormat="false" ht="15" hidden="false" customHeight="true" outlineLevel="0" collapsed="false">
      <c r="A255" s="29" t="n">
        <v>252</v>
      </c>
      <c r="B255" s="26" t="str">
        <f aca="false">IFERROR(INDEX('Output Utente'!$A$2:$A$492,MATCH(252,'Output Utente'!$R$2:$R$492,0)),"")</f>
        <v/>
      </c>
      <c r="C255" s="26" t="str">
        <f aca="false">IFERROR(INDEX('Output Utente'!$B$2:$B$492,MATCH(252,'Output Utente'!$R$2:$R$492,0)),"")</f>
        <v/>
      </c>
      <c r="D255" s="26" t="str">
        <f aca="false">IFERROR(INDEX('Output Utente'!$C$2:$C$492,MATCH(252,'Output Utente'!$R$2:$R$492,0)),"")</f>
        <v/>
      </c>
      <c r="E255" s="26" t="str">
        <f aca="false">IFERROR(INDEX('Input Giocatori 2026_27'!$D$3:$D$493,MATCH($B255,'Input Giocatori 2026_27'!$A$3:$A$493,0)),"")</f>
        <v/>
      </c>
      <c r="F255" s="27" t="str">
        <f aca="false">IFERROR(INDEX('Output Utente'!$N$2:$N$492,MATCH(252,'Output Utente'!$R$2:$R$492,0)),"")</f>
        <v/>
      </c>
      <c r="G255" s="26" t="str">
        <f aca="false">IFERROR(INDEX('Output Utente'!$O$2:$O$492,MATCH(252,'Output Utente'!$R$2:$R$492,0)),"")</f>
        <v/>
      </c>
      <c r="H255" s="26" t="str">
        <f aca="false">IFERROR(INDEX('Output Utente'!$P$2:$P$492,MATCH(252,'Output Utente'!$R$2:$R$492,0)),"")</f>
        <v/>
      </c>
      <c r="I255" s="27" t="str">
        <f aca="false">IFERROR(INDEX('Output Utente'!$F$2:$F$492,MATCH(252,'Output Utente'!$R$2:$R$492,0)),"")</f>
        <v/>
      </c>
      <c r="J255" s="27" t="str">
        <f aca="false">IFERROR(INDEX('Output Utente'!$G$2:$G$492,MATCH(252,'Output Utente'!$R$2:$R$492,0)),"")</f>
        <v/>
      </c>
      <c r="K255" s="27" t="str">
        <f aca="false">IFERROR(INDEX('Output Utente'!$H$2:$H$492,MATCH(252,'Output Utente'!$R$2:$R$492,0)),"")</f>
        <v/>
      </c>
      <c r="L255" s="26" t="str">
        <f aca="false">IFERROR(INDEX('Output Utente'!$E$2:$E$492,MATCH(252,'Output Utente'!$R$2:$R$492,0)),"")</f>
        <v/>
      </c>
    </row>
    <row r="256" customFormat="false" ht="15" hidden="false" customHeight="true" outlineLevel="0" collapsed="false">
      <c r="A256" s="29" t="n">
        <v>253</v>
      </c>
      <c r="B256" s="26" t="str">
        <f aca="false">IFERROR(INDEX('Output Utente'!$A$2:$A$492,MATCH(253,'Output Utente'!$R$2:$R$492,0)),"")</f>
        <v/>
      </c>
      <c r="C256" s="26" t="str">
        <f aca="false">IFERROR(INDEX('Output Utente'!$B$2:$B$492,MATCH(253,'Output Utente'!$R$2:$R$492,0)),"")</f>
        <v/>
      </c>
      <c r="D256" s="26" t="str">
        <f aca="false">IFERROR(INDEX('Output Utente'!$C$2:$C$492,MATCH(253,'Output Utente'!$R$2:$R$492,0)),"")</f>
        <v/>
      </c>
      <c r="E256" s="26" t="str">
        <f aca="false">IFERROR(INDEX('Input Giocatori 2026_27'!$D$3:$D$493,MATCH($B256,'Input Giocatori 2026_27'!$A$3:$A$493,0)),"")</f>
        <v/>
      </c>
      <c r="F256" s="27" t="str">
        <f aca="false">IFERROR(INDEX('Output Utente'!$N$2:$N$492,MATCH(253,'Output Utente'!$R$2:$R$492,0)),"")</f>
        <v/>
      </c>
      <c r="G256" s="26" t="str">
        <f aca="false">IFERROR(INDEX('Output Utente'!$O$2:$O$492,MATCH(253,'Output Utente'!$R$2:$R$492,0)),"")</f>
        <v/>
      </c>
      <c r="H256" s="26" t="str">
        <f aca="false">IFERROR(INDEX('Output Utente'!$P$2:$P$492,MATCH(253,'Output Utente'!$R$2:$R$492,0)),"")</f>
        <v/>
      </c>
      <c r="I256" s="27" t="str">
        <f aca="false">IFERROR(INDEX('Output Utente'!$F$2:$F$492,MATCH(253,'Output Utente'!$R$2:$R$492,0)),"")</f>
        <v/>
      </c>
      <c r="J256" s="27" t="str">
        <f aca="false">IFERROR(INDEX('Output Utente'!$G$2:$G$492,MATCH(253,'Output Utente'!$R$2:$R$492,0)),"")</f>
        <v/>
      </c>
      <c r="K256" s="27" t="str">
        <f aca="false">IFERROR(INDEX('Output Utente'!$H$2:$H$492,MATCH(253,'Output Utente'!$R$2:$R$492,0)),"")</f>
        <v/>
      </c>
      <c r="L256" s="26" t="str">
        <f aca="false">IFERROR(INDEX('Output Utente'!$E$2:$E$492,MATCH(253,'Output Utente'!$R$2:$R$492,0)),"")</f>
        <v/>
      </c>
    </row>
    <row r="257" customFormat="false" ht="15" hidden="false" customHeight="true" outlineLevel="0" collapsed="false">
      <c r="A257" s="29" t="n">
        <v>254</v>
      </c>
      <c r="B257" s="26" t="str">
        <f aca="false">IFERROR(INDEX('Output Utente'!$A$2:$A$492,MATCH(254,'Output Utente'!$R$2:$R$492,0)),"")</f>
        <v/>
      </c>
      <c r="C257" s="26" t="str">
        <f aca="false">IFERROR(INDEX('Output Utente'!$B$2:$B$492,MATCH(254,'Output Utente'!$R$2:$R$492,0)),"")</f>
        <v/>
      </c>
      <c r="D257" s="26" t="str">
        <f aca="false">IFERROR(INDEX('Output Utente'!$C$2:$C$492,MATCH(254,'Output Utente'!$R$2:$R$492,0)),"")</f>
        <v/>
      </c>
      <c r="E257" s="26" t="str">
        <f aca="false">IFERROR(INDEX('Input Giocatori 2026_27'!$D$3:$D$493,MATCH($B257,'Input Giocatori 2026_27'!$A$3:$A$493,0)),"")</f>
        <v/>
      </c>
      <c r="F257" s="27" t="str">
        <f aca="false">IFERROR(INDEX('Output Utente'!$N$2:$N$492,MATCH(254,'Output Utente'!$R$2:$R$492,0)),"")</f>
        <v/>
      </c>
      <c r="G257" s="26" t="str">
        <f aca="false">IFERROR(INDEX('Output Utente'!$O$2:$O$492,MATCH(254,'Output Utente'!$R$2:$R$492,0)),"")</f>
        <v/>
      </c>
      <c r="H257" s="26" t="str">
        <f aca="false">IFERROR(INDEX('Output Utente'!$P$2:$P$492,MATCH(254,'Output Utente'!$R$2:$R$492,0)),"")</f>
        <v/>
      </c>
      <c r="I257" s="27" t="str">
        <f aca="false">IFERROR(INDEX('Output Utente'!$F$2:$F$492,MATCH(254,'Output Utente'!$R$2:$R$492,0)),"")</f>
        <v/>
      </c>
      <c r="J257" s="27" t="str">
        <f aca="false">IFERROR(INDEX('Output Utente'!$G$2:$G$492,MATCH(254,'Output Utente'!$R$2:$R$492,0)),"")</f>
        <v/>
      </c>
      <c r="K257" s="27" t="str">
        <f aca="false">IFERROR(INDEX('Output Utente'!$H$2:$H$492,MATCH(254,'Output Utente'!$R$2:$R$492,0)),"")</f>
        <v/>
      </c>
      <c r="L257" s="26" t="str">
        <f aca="false">IFERROR(INDEX('Output Utente'!$E$2:$E$492,MATCH(254,'Output Utente'!$R$2:$R$492,0)),"")</f>
        <v/>
      </c>
    </row>
    <row r="258" customFormat="false" ht="15" hidden="false" customHeight="true" outlineLevel="0" collapsed="false">
      <c r="A258" s="29" t="n">
        <v>255</v>
      </c>
      <c r="B258" s="26" t="str">
        <f aca="false">IFERROR(INDEX('Output Utente'!$A$2:$A$492,MATCH(255,'Output Utente'!$R$2:$R$492,0)),"")</f>
        <v/>
      </c>
      <c r="C258" s="26" t="str">
        <f aca="false">IFERROR(INDEX('Output Utente'!$B$2:$B$492,MATCH(255,'Output Utente'!$R$2:$R$492,0)),"")</f>
        <v/>
      </c>
      <c r="D258" s="26" t="str">
        <f aca="false">IFERROR(INDEX('Output Utente'!$C$2:$C$492,MATCH(255,'Output Utente'!$R$2:$R$492,0)),"")</f>
        <v/>
      </c>
      <c r="E258" s="26" t="str">
        <f aca="false">IFERROR(INDEX('Input Giocatori 2026_27'!$D$3:$D$493,MATCH($B258,'Input Giocatori 2026_27'!$A$3:$A$493,0)),"")</f>
        <v/>
      </c>
      <c r="F258" s="27" t="str">
        <f aca="false">IFERROR(INDEX('Output Utente'!$N$2:$N$492,MATCH(255,'Output Utente'!$R$2:$R$492,0)),"")</f>
        <v/>
      </c>
      <c r="G258" s="26" t="str">
        <f aca="false">IFERROR(INDEX('Output Utente'!$O$2:$O$492,MATCH(255,'Output Utente'!$R$2:$R$492,0)),"")</f>
        <v/>
      </c>
      <c r="H258" s="26" t="str">
        <f aca="false">IFERROR(INDEX('Output Utente'!$P$2:$P$492,MATCH(255,'Output Utente'!$R$2:$R$492,0)),"")</f>
        <v/>
      </c>
      <c r="I258" s="27" t="str">
        <f aca="false">IFERROR(INDEX('Output Utente'!$F$2:$F$492,MATCH(255,'Output Utente'!$R$2:$R$492,0)),"")</f>
        <v/>
      </c>
      <c r="J258" s="27" t="str">
        <f aca="false">IFERROR(INDEX('Output Utente'!$G$2:$G$492,MATCH(255,'Output Utente'!$R$2:$R$492,0)),"")</f>
        <v/>
      </c>
      <c r="K258" s="27" t="str">
        <f aca="false">IFERROR(INDEX('Output Utente'!$H$2:$H$492,MATCH(255,'Output Utente'!$R$2:$R$492,0)),"")</f>
        <v/>
      </c>
      <c r="L258" s="26" t="str">
        <f aca="false">IFERROR(INDEX('Output Utente'!$E$2:$E$492,MATCH(255,'Output Utente'!$R$2:$R$492,0)),"")</f>
        <v/>
      </c>
    </row>
    <row r="259" customFormat="false" ht="15" hidden="false" customHeight="true" outlineLevel="0" collapsed="false">
      <c r="A259" s="29" t="n">
        <v>256</v>
      </c>
      <c r="B259" s="26" t="str">
        <f aca="false">IFERROR(INDEX('Output Utente'!$A$2:$A$492,MATCH(256,'Output Utente'!$R$2:$R$492,0)),"")</f>
        <v/>
      </c>
      <c r="C259" s="26" t="str">
        <f aca="false">IFERROR(INDEX('Output Utente'!$B$2:$B$492,MATCH(256,'Output Utente'!$R$2:$R$492,0)),"")</f>
        <v/>
      </c>
      <c r="D259" s="26" t="str">
        <f aca="false">IFERROR(INDEX('Output Utente'!$C$2:$C$492,MATCH(256,'Output Utente'!$R$2:$R$492,0)),"")</f>
        <v/>
      </c>
      <c r="E259" s="26" t="str">
        <f aca="false">IFERROR(INDEX('Input Giocatori 2026_27'!$D$3:$D$493,MATCH($B259,'Input Giocatori 2026_27'!$A$3:$A$493,0)),"")</f>
        <v/>
      </c>
      <c r="F259" s="27" t="str">
        <f aca="false">IFERROR(INDEX('Output Utente'!$N$2:$N$492,MATCH(256,'Output Utente'!$R$2:$R$492,0)),"")</f>
        <v/>
      </c>
      <c r="G259" s="26" t="str">
        <f aca="false">IFERROR(INDEX('Output Utente'!$O$2:$O$492,MATCH(256,'Output Utente'!$R$2:$R$492,0)),"")</f>
        <v/>
      </c>
      <c r="H259" s="26" t="str">
        <f aca="false">IFERROR(INDEX('Output Utente'!$P$2:$P$492,MATCH(256,'Output Utente'!$R$2:$R$492,0)),"")</f>
        <v/>
      </c>
      <c r="I259" s="27" t="str">
        <f aca="false">IFERROR(INDEX('Output Utente'!$F$2:$F$492,MATCH(256,'Output Utente'!$R$2:$R$492,0)),"")</f>
        <v/>
      </c>
      <c r="J259" s="27" t="str">
        <f aca="false">IFERROR(INDEX('Output Utente'!$G$2:$G$492,MATCH(256,'Output Utente'!$R$2:$R$492,0)),"")</f>
        <v/>
      </c>
      <c r="K259" s="27" t="str">
        <f aca="false">IFERROR(INDEX('Output Utente'!$H$2:$H$492,MATCH(256,'Output Utente'!$R$2:$R$492,0)),"")</f>
        <v/>
      </c>
      <c r="L259" s="26" t="str">
        <f aca="false">IFERROR(INDEX('Output Utente'!$E$2:$E$492,MATCH(256,'Output Utente'!$R$2:$R$492,0)),"")</f>
        <v/>
      </c>
    </row>
    <row r="260" customFormat="false" ht="15" hidden="false" customHeight="true" outlineLevel="0" collapsed="false">
      <c r="A260" s="29" t="n">
        <v>257</v>
      </c>
      <c r="B260" s="26" t="str">
        <f aca="false">IFERROR(INDEX('Output Utente'!$A$2:$A$492,MATCH(257,'Output Utente'!$R$2:$R$492,0)),"")</f>
        <v/>
      </c>
      <c r="C260" s="26" t="str">
        <f aca="false">IFERROR(INDEX('Output Utente'!$B$2:$B$492,MATCH(257,'Output Utente'!$R$2:$R$492,0)),"")</f>
        <v/>
      </c>
      <c r="D260" s="26" t="str">
        <f aca="false">IFERROR(INDEX('Output Utente'!$C$2:$C$492,MATCH(257,'Output Utente'!$R$2:$R$492,0)),"")</f>
        <v/>
      </c>
      <c r="E260" s="26" t="str">
        <f aca="false">IFERROR(INDEX('Input Giocatori 2026_27'!$D$3:$D$493,MATCH($B260,'Input Giocatori 2026_27'!$A$3:$A$493,0)),"")</f>
        <v/>
      </c>
      <c r="F260" s="27" t="str">
        <f aca="false">IFERROR(INDEX('Output Utente'!$N$2:$N$492,MATCH(257,'Output Utente'!$R$2:$R$492,0)),"")</f>
        <v/>
      </c>
      <c r="G260" s="26" t="str">
        <f aca="false">IFERROR(INDEX('Output Utente'!$O$2:$O$492,MATCH(257,'Output Utente'!$R$2:$R$492,0)),"")</f>
        <v/>
      </c>
      <c r="H260" s="26" t="str">
        <f aca="false">IFERROR(INDEX('Output Utente'!$P$2:$P$492,MATCH(257,'Output Utente'!$R$2:$R$492,0)),"")</f>
        <v/>
      </c>
      <c r="I260" s="27" t="str">
        <f aca="false">IFERROR(INDEX('Output Utente'!$F$2:$F$492,MATCH(257,'Output Utente'!$R$2:$R$492,0)),"")</f>
        <v/>
      </c>
      <c r="J260" s="27" t="str">
        <f aca="false">IFERROR(INDEX('Output Utente'!$G$2:$G$492,MATCH(257,'Output Utente'!$R$2:$R$492,0)),"")</f>
        <v/>
      </c>
      <c r="K260" s="27" t="str">
        <f aca="false">IFERROR(INDEX('Output Utente'!$H$2:$H$492,MATCH(257,'Output Utente'!$R$2:$R$492,0)),"")</f>
        <v/>
      </c>
      <c r="L260" s="26" t="str">
        <f aca="false">IFERROR(INDEX('Output Utente'!$E$2:$E$492,MATCH(257,'Output Utente'!$R$2:$R$492,0)),"")</f>
        <v/>
      </c>
    </row>
    <row r="261" customFormat="false" ht="15" hidden="false" customHeight="true" outlineLevel="0" collapsed="false">
      <c r="A261" s="29" t="n">
        <v>258</v>
      </c>
      <c r="B261" s="26" t="str">
        <f aca="false">IFERROR(INDEX('Output Utente'!$A$2:$A$492,MATCH(258,'Output Utente'!$R$2:$R$492,0)),"")</f>
        <v/>
      </c>
      <c r="C261" s="26" t="str">
        <f aca="false">IFERROR(INDEX('Output Utente'!$B$2:$B$492,MATCH(258,'Output Utente'!$R$2:$R$492,0)),"")</f>
        <v/>
      </c>
      <c r="D261" s="26" t="str">
        <f aca="false">IFERROR(INDEX('Output Utente'!$C$2:$C$492,MATCH(258,'Output Utente'!$R$2:$R$492,0)),"")</f>
        <v/>
      </c>
      <c r="E261" s="26" t="str">
        <f aca="false">IFERROR(INDEX('Input Giocatori 2026_27'!$D$3:$D$493,MATCH($B261,'Input Giocatori 2026_27'!$A$3:$A$493,0)),"")</f>
        <v/>
      </c>
      <c r="F261" s="27" t="str">
        <f aca="false">IFERROR(INDEX('Output Utente'!$N$2:$N$492,MATCH(258,'Output Utente'!$R$2:$R$492,0)),"")</f>
        <v/>
      </c>
      <c r="G261" s="26" t="str">
        <f aca="false">IFERROR(INDEX('Output Utente'!$O$2:$O$492,MATCH(258,'Output Utente'!$R$2:$R$492,0)),"")</f>
        <v/>
      </c>
      <c r="H261" s="26" t="str">
        <f aca="false">IFERROR(INDEX('Output Utente'!$P$2:$P$492,MATCH(258,'Output Utente'!$R$2:$R$492,0)),"")</f>
        <v/>
      </c>
      <c r="I261" s="27" t="str">
        <f aca="false">IFERROR(INDEX('Output Utente'!$F$2:$F$492,MATCH(258,'Output Utente'!$R$2:$R$492,0)),"")</f>
        <v/>
      </c>
      <c r="J261" s="27" t="str">
        <f aca="false">IFERROR(INDEX('Output Utente'!$G$2:$G$492,MATCH(258,'Output Utente'!$R$2:$R$492,0)),"")</f>
        <v/>
      </c>
      <c r="K261" s="27" t="str">
        <f aca="false">IFERROR(INDEX('Output Utente'!$H$2:$H$492,MATCH(258,'Output Utente'!$R$2:$R$492,0)),"")</f>
        <v/>
      </c>
      <c r="L261" s="26" t="str">
        <f aca="false">IFERROR(INDEX('Output Utente'!$E$2:$E$492,MATCH(258,'Output Utente'!$R$2:$R$492,0)),"")</f>
        <v/>
      </c>
    </row>
    <row r="262" customFormat="false" ht="15" hidden="false" customHeight="true" outlineLevel="0" collapsed="false">
      <c r="A262" s="29" t="n">
        <v>259</v>
      </c>
      <c r="B262" s="26" t="str">
        <f aca="false">IFERROR(INDEX('Output Utente'!$A$2:$A$492,MATCH(259,'Output Utente'!$R$2:$R$492,0)),"")</f>
        <v/>
      </c>
      <c r="C262" s="26" t="str">
        <f aca="false">IFERROR(INDEX('Output Utente'!$B$2:$B$492,MATCH(259,'Output Utente'!$R$2:$R$492,0)),"")</f>
        <v/>
      </c>
      <c r="D262" s="26" t="str">
        <f aca="false">IFERROR(INDEX('Output Utente'!$C$2:$C$492,MATCH(259,'Output Utente'!$R$2:$R$492,0)),"")</f>
        <v/>
      </c>
      <c r="E262" s="26" t="str">
        <f aca="false">IFERROR(INDEX('Input Giocatori 2026_27'!$D$3:$D$493,MATCH($B262,'Input Giocatori 2026_27'!$A$3:$A$493,0)),"")</f>
        <v/>
      </c>
      <c r="F262" s="27" t="str">
        <f aca="false">IFERROR(INDEX('Output Utente'!$N$2:$N$492,MATCH(259,'Output Utente'!$R$2:$R$492,0)),"")</f>
        <v/>
      </c>
      <c r="G262" s="26" t="str">
        <f aca="false">IFERROR(INDEX('Output Utente'!$O$2:$O$492,MATCH(259,'Output Utente'!$R$2:$R$492,0)),"")</f>
        <v/>
      </c>
      <c r="H262" s="26" t="str">
        <f aca="false">IFERROR(INDEX('Output Utente'!$P$2:$P$492,MATCH(259,'Output Utente'!$R$2:$R$492,0)),"")</f>
        <v/>
      </c>
      <c r="I262" s="27" t="str">
        <f aca="false">IFERROR(INDEX('Output Utente'!$F$2:$F$492,MATCH(259,'Output Utente'!$R$2:$R$492,0)),"")</f>
        <v/>
      </c>
      <c r="J262" s="27" t="str">
        <f aca="false">IFERROR(INDEX('Output Utente'!$G$2:$G$492,MATCH(259,'Output Utente'!$R$2:$R$492,0)),"")</f>
        <v/>
      </c>
      <c r="K262" s="27" t="str">
        <f aca="false">IFERROR(INDEX('Output Utente'!$H$2:$H$492,MATCH(259,'Output Utente'!$R$2:$R$492,0)),"")</f>
        <v/>
      </c>
      <c r="L262" s="26" t="str">
        <f aca="false">IFERROR(INDEX('Output Utente'!$E$2:$E$492,MATCH(259,'Output Utente'!$R$2:$R$492,0)),"")</f>
        <v/>
      </c>
    </row>
    <row r="263" customFormat="false" ht="15" hidden="false" customHeight="true" outlineLevel="0" collapsed="false">
      <c r="A263" s="29" t="n">
        <v>260</v>
      </c>
      <c r="B263" s="26" t="str">
        <f aca="false">IFERROR(INDEX('Output Utente'!$A$2:$A$492,MATCH(260,'Output Utente'!$R$2:$R$492,0)),"")</f>
        <v/>
      </c>
      <c r="C263" s="26" t="str">
        <f aca="false">IFERROR(INDEX('Output Utente'!$B$2:$B$492,MATCH(260,'Output Utente'!$R$2:$R$492,0)),"")</f>
        <v/>
      </c>
      <c r="D263" s="26" t="str">
        <f aca="false">IFERROR(INDEX('Output Utente'!$C$2:$C$492,MATCH(260,'Output Utente'!$R$2:$R$492,0)),"")</f>
        <v/>
      </c>
      <c r="E263" s="26" t="str">
        <f aca="false">IFERROR(INDEX('Input Giocatori 2026_27'!$D$3:$D$493,MATCH($B263,'Input Giocatori 2026_27'!$A$3:$A$493,0)),"")</f>
        <v/>
      </c>
      <c r="F263" s="27" t="str">
        <f aca="false">IFERROR(INDEX('Output Utente'!$N$2:$N$492,MATCH(260,'Output Utente'!$R$2:$R$492,0)),"")</f>
        <v/>
      </c>
      <c r="G263" s="26" t="str">
        <f aca="false">IFERROR(INDEX('Output Utente'!$O$2:$O$492,MATCH(260,'Output Utente'!$R$2:$R$492,0)),"")</f>
        <v/>
      </c>
      <c r="H263" s="26" t="str">
        <f aca="false">IFERROR(INDEX('Output Utente'!$P$2:$P$492,MATCH(260,'Output Utente'!$R$2:$R$492,0)),"")</f>
        <v/>
      </c>
      <c r="I263" s="27" t="str">
        <f aca="false">IFERROR(INDEX('Output Utente'!$F$2:$F$492,MATCH(260,'Output Utente'!$R$2:$R$492,0)),"")</f>
        <v/>
      </c>
      <c r="J263" s="27" t="str">
        <f aca="false">IFERROR(INDEX('Output Utente'!$G$2:$G$492,MATCH(260,'Output Utente'!$R$2:$R$492,0)),"")</f>
        <v/>
      </c>
      <c r="K263" s="27" t="str">
        <f aca="false">IFERROR(INDEX('Output Utente'!$H$2:$H$492,MATCH(260,'Output Utente'!$R$2:$R$492,0)),"")</f>
        <v/>
      </c>
      <c r="L263" s="26" t="str">
        <f aca="false">IFERROR(INDEX('Output Utente'!$E$2:$E$492,MATCH(260,'Output Utente'!$R$2:$R$492,0)),"")</f>
        <v/>
      </c>
    </row>
    <row r="264" customFormat="false" ht="15" hidden="false" customHeight="true" outlineLevel="0" collapsed="false">
      <c r="A264" s="29" t="n">
        <v>261</v>
      </c>
      <c r="B264" s="26" t="str">
        <f aca="false">IFERROR(INDEX('Output Utente'!$A$2:$A$492,MATCH(261,'Output Utente'!$R$2:$R$492,0)),"")</f>
        <v/>
      </c>
      <c r="C264" s="26" t="str">
        <f aca="false">IFERROR(INDEX('Output Utente'!$B$2:$B$492,MATCH(261,'Output Utente'!$R$2:$R$492,0)),"")</f>
        <v/>
      </c>
      <c r="D264" s="26" t="str">
        <f aca="false">IFERROR(INDEX('Output Utente'!$C$2:$C$492,MATCH(261,'Output Utente'!$R$2:$R$492,0)),"")</f>
        <v/>
      </c>
      <c r="E264" s="26" t="str">
        <f aca="false">IFERROR(INDEX('Input Giocatori 2026_27'!$D$3:$D$493,MATCH($B264,'Input Giocatori 2026_27'!$A$3:$A$493,0)),"")</f>
        <v/>
      </c>
      <c r="F264" s="27" t="str">
        <f aca="false">IFERROR(INDEX('Output Utente'!$N$2:$N$492,MATCH(261,'Output Utente'!$R$2:$R$492,0)),"")</f>
        <v/>
      </c>
      <c r="G264" s="26" t="str">
        <f aca="false">IFERROR(INDEX('Output Utente'!$O$2:$O$492,MATCH(261,'Output Utente'!$R$2:$R$492,0)),"")</f>
        <v/>
      </c>
      <c r="H264" s="26" t="str">
        <f aca="false">IFERROR(INDEX('Output Utente'!$P$2:$P$492,MATCH(261,'Output Utente'!$R$2:$R$492,0)),"")</f>
        <v/>
      </c>
      <c r="I264" s="27" t="str">
        <f aca="false">IFERROR(INDEX('Output Utente'!$F$2:$F$492,MATCH(261,'Output Utente'!$R$2:$R$492,0)),"")</f>
        <v/>
      </c>
      <c r="J264" s="27" t="str">
        <f aca="false">IFERROR(INDEX('Output Utente'!$G$2:$G$492,MATCH(261,'Output Utente'!$R$2:$R$492,0)),"")</f>
        <v/>
      </c>
      <c r="K264" s="27" t="str">
        <f aca="false">IFERROR(INDEX('Output Utente'!$H$2:$H$492,MATCH(261,'Output Utente'!$R$2:$R$492,0)),"")</f>
        <v/>
      </c>
      <c r="L264" s="26" t="str">
        <f aca="false">IFERROR(INDEX('Output Utente'!$E$2:$E$492,MATCH(261,'Output Utente'!$R$2:$R$492,0)),"")</f>
        <v/>
      </c>
    </row>
    <row r="265" customFormat="false" ht="15" hidden="false" customHeight="true" outlineLevel="0" collapsed="false">
      <c r="A265" s="29" t="n">
        <v>262</v>
      </c>
      <c r="B265" s="26" t="str">
        <f aca="false">IFERROR(INDEX('Output Utente'!$A$2:$A$492,MATCH(262,'Output Utente'!$R$2:$R$492,0)),"")</f>
        <v/>
      </c>
      <c r="C265" s="26" t="str">
        <f aca="false">IFERROR(INDEX('Output Utente'!$B$2:$B$492,MATCH(262,'Output Utente'!$R$2:$R$492,0)),"")</f>
        <v/>
      </c>
      <c r="D265" s="26" t="str">
        <f aca="false">IFERROR(INDEX('Output Utente'!$C$2:$C$492,MATCH(262,'Output Utente'!$R$2:$R$492,0)),"")</f>
        <v/>
      </c>
      <c r="E265" s="26" t="str">
        <f aca="false">IFERROR(INDEX('Input Giocatori 2026_27'!$D$3:$D$493,MATCH($B265,'Input Giocatori 2026_27'!$A$3:$A$493,0)),"")</f>
        <v/>
      </c>
      <c r="F265" s="27" t="str">
        <f aca="false">IFERROR(INDEX('Output Utente'!$N$2:$N$492,MATCH(262,'Output Utente'!$R$2:$R$492,0)),"")</f>
        <v/>
      </c>
      <c r="G265" s="26" t="str">
        <f aca="false">IFERROR(INDEX('Output Utente'!$O$2:$O$492,MATCH(262,'Output Utente'!$R$2:$R$492,0)),"")</f>
        <v/>
      </c>
      <c r="H265" s="26" t="str">
        <f aca="false">IFERROR(INDEX('Output Utente'!$P$2:$P$492,MATCH(262,'Output Utente'!$R$2:$R$492,0)),"")</f>
        <v/>
      </c>
      <c r="I265" s="27" t="str">
        <f aca="false">IFERROR(INDEX('Output Utente'!$F$2:$F$492,MATCH(262,'Output Utente'!$R$2:$R$492,0)),"")</f>
        <v/>
      </c>
      <c r="J265" s="27" t="str">
        <f aca="false">IFERROR(INDEX('Output Utente'!$G$2:$G$492,MATCH(262,'Output Utente'!$R$2:$R$492,0)),"")</f>
        <v/>
      </c>
      <c r="K265" s="27" t="str">
        <f aca="false">IFERROR(INDEX('Output Utente'!$H$2:$H$492,MATCH(262,'Output Utente'!$R$2:$R$492,0)),"")</f>
        <v/>
      </c>
      <c r="L265" s="26" t="str">
        <f aca="false">IFERROR(INDEX('Output Utente'!$E$2:$E$492,MATCH(262,'Output Utente'!$R$2:$R$492,0)),"")</f>
        <v/>
      </c>
    </row>
    <row r="266" customFormat="false" ht="15" hidden="false" customHeight="true" outlineLevel="0" collapsed="false">
      <c r="A266" s="29" t="n">
        <v>263</v>
      </c>
      <c r="B266" s="26" t="str">
        <f aca="false">IFERROR(INDEX('Output Utente'!$A$2:$A$492,MATCH(263,'Output Utente'!$R$2:$R$492,0)),"")</f>
        <v/>
      </c>
      <c r="C266" s="26" t="str">
        <f aca="false">IFERROR(INDEX('Output Utente'!$B$2:$B$492,MATCH(263,'Output Utente'!$R$2:$R$492,0)),"")</f>
        <v/>
      </c>
      <c r="D266" s="26" t="str">
        <f aca="false">IFERROR(INDEX('Output Utente'!$C$2:$C$492,MATCH(263,'Output Utente'!$R$2:$R$492,0)),"")</f>
        <v/>
      </c>
      <c r="E266" s="26" t="str">
        <f aca="false">IFERROR(INDEX('Input Giocatori 2026_27'!$D$3:$D$493,MATCH($B266,'Input Giocatori 2026_27'!$A$3:$A$493,0)),"")</f>
        <v/>
      </c>
      <c r="F266" s="27" t="str">
        <f aca="false">IFERROR(INDEX('Output Utente'!$N$2:$N$492,MATCH(263,'Output Utente'!$R$2:$R$492,0)),"")</f>
        <v/>
      </c>
      <c r="G266" s="26" t="str">
        <f aca="false">IFERROR(INDEX('Output Utente'!$O$2:$O$492,MATCH(263,'Output Utente'!$R$2:$R$492,0)),"")</f>
        <v/>
      </c>
      <c r="H266" s="26" t="str">
        <f aca="false">IFERROR(INDEX('Output Utente'!$P$2:$P$492,MATCH(263,'Output Utente'!$R$2:$R$492,0)),"")</f>
        <v/>
      </c>
      <c r="I266" s="27" t="str">
        <f aca="false">IFERROR(INDEX('Output Utente'!$F$2:$F$492,MATCH(263,'Output Utente'!$R$2:$R$492,0)),"")</f>
        <v/>
      </c>
      <c r="J266" s="27" t="str">
        <f aca="false">IFERROR(INDEX('Output Utente'!$G$2:$G$492,MATCH(263,'Output Utente'!$R$2:$R$492,0)),"")</f>
        <v/>
      </c>
      <c r="K266" s="27" t="str">
        <f aca="false">IFERROR(INDEX('Output Utente'!$H$2:$H$492,MATCH(263,'Output Utente'!$R$2:$R$492,0)),"")</f>
        <v/>
      </c>
      <c r="L266" s="26" t="str">
        <f aca="false">IFERROR(INDEX('Output Utente'!$E$2:$E$492,MATCH(263,'Output Utente'!$R$2:$R$492,0)),"")</f>
        <v/>
      </c>
    </row>
    <row r="267" customFormat="false" ht="15" hidden="false" customHeight="true" outlineLevel="0" collapsed="false">
      <c r="A267" s="29" t="n">
        <v>264</v>
      </c>
      <c r="B267" s="26" t="str">
        <f aca="false">IFERROR(INDEX('Output Utente'!$A$2:$A$492,MATCH(264,'Output Utente'!$R$2:$R$492,0)),"")</f>
        <v/>
      </c>
      <c r="C267" s="26" t="str">
        <f aca="false">IFERROR(INDEX('Output Utente'!$B$2:$B$492,MATCH(264,'Output Utente'!$R$2:$R$492,0)),"")</f>
        <v/>
      </c>
      <c r="D267" s="26" t="str">
        <f aca="false">IFERROR(INDEX('Output Utente'!$C$2:$C$492,MATCH(264,'Output Utente'!$R$2:$R$492,0)),"")</f>
        <v/>
      </c>
      <c r="E267" s="26" t="str">
        <f aca="false">IFERROR(INDEX('Input Giocatori 2026_27'!$D$3:$D$493,MATCH($B267,'Input Giocatori 2026_27'!$A$3:$A$493,0)),"")</f>
        <v/>
      </c>
      <c r="F267" s="27" t="str">
        <f aca="false">IFERROR(INDEX('Output Utente'!$N$2:$N$492,MATCH(264,'Output Utente'!$R$2:$R$492,0)),"")</f>
        <v/>
      </c>
      <c r="G267" s="26" t="str">
        <f aca="false">IFERROR(INDEX('Output Utente'!$O$2:$O$492,MATCH(264,'Output Utente'!$R$2:$R$492,0)),"")</f>
        <v/>
      </c>
      <c r="H267" s="26" t="str">
        <f aca="false">IFERROR(INDEX('Output Utente'!$P$2:$P$492,MATCH(264,'Output Utente'!$R$2:$R$492,0)),"")</f>
        <v/>
      </c>
      <c r="I267" s="27" t="str">
        <f aca="false">IFERROR(INDEX('Output Utente'!$F$2:$F$492,MATCH(264,'Output Utente'!$R$2:$R$492,0)),"")</f>
        <v/>
      </c>
      <c r="J267" s="27" t="str">
        <f aca="false">IFERROR(INDEX('Output Utente'!$G$2:$G$492,MATCH(264,'Output Utente'!$R$2:$R$492,0)),"")</f>
        <v/>
      </c>
      <c r="K267" s="27" t="str">
        <f aca="false">IFERROR(INDEX('Output Utente'!$H$2:$H$492,MATCH(264,'Output Utente'!$R$2:$R$492,0)),"")</f>
        <v/>
      </c>
      <c r="L267" s="26" t="str">
        <f aca="false">IFERROR(INDEX('Output Utente'!$E$2:$E$492,MATCH(264,'Output Utente'!$R$2:$R$492,0)),"")</f>
        <v/>
      </c>
    </row>
    <row r="268" customFormat="false" ht="15" hidden="false" customHeight="true" outlineLevel="0" collapsed="false">
      <c r="A268" s="29" t="n">
        <v>265</v>
      </c>
      <c r="B268" s="26" t="str">
        <f aca="false">IFERROR(INDEX('Output Utente'!$A$2:$A$492,MATCH(265,'Output Utente'!$R$2:$R$492,0)),"")</f>
        <v/>
      </c>
      <c r="C268" s="26" t="str">
        <f aca="false">IFERROR(INDEX('Output Utente'!$B$2:$B$492,MATCH(265,'Output Utente'!$R$2:$R$492,0)),"")</f>
        <v/>
      </c>
      <c r="D268" s="26" t="str">
        <f aca="false">IFERROR(INDEX('Output Utente'!$C$2:$C$492,MATCH(265,'Output Utente'!$R$2:$R$492,0)),"")</f>
        <v/>
      </c>
      <c r="E268" s="26" t="str">
        <f aca="false">IFERROR(INDEX('Input Giocatori 2026_27'!$D$3:$D$493,MATCH($B268,'Input Giocatori 2026_27'!$A$3:$A$493,0)),"")</f>
        <v/>
      </c>
      <c r="F268" s="27" t="str">
        <f aca="false">IFERROR(INDEX('Output Utente'!$N$2:$N$492,MATCH(265,'Output Utente'!$R$2:$R$492,0)),"")</f>
        <v/>
      </c>
      <c r="G268" s="26" t="str">
        <f aca="false">IFERROR(INDEX('Output Utente'!$O$2:$O$492,MATCH(265,'Output Utente'!$R$2:$R$492,0)),"")</f>
        <v/>
      </c>
      <c r="H268" s="26" t="str">
        <f aca="false">IFERROR(INDEX('Output Utente'!$P$2:$P$492,MATCH(265,'Output Utente'!$R$2:$R$492,0)),"")</f>
        <v/>
      </c>
      <c r="I268" s="27" t="str">
        <f aca="false">IFERROR(INDEX('Output Utente'!$F$2:$F$492,MATCH(265,'Output Utente'!$R$2:$R$492,0)),"")</f>
        <v/>
      </c>
      <c r="J268" s="27" t="str">
        <f aca="false">IFERROR(INDEX('Output Utente'!$G$2:$G$492,MATCH(265,'Output Utente'!$R$2:$R$492,0)),"")</f>
        <v/>
      </c>
      <c r="K268" s="27" t="str">
        <f aca="false">IFERROR(INDEX('Output Utente'!$H$2:$H$492,MATCH(265,'Output Utente'!$R$2:$R$492,0)),"")</f>
        <v/>
      </c>
      <c r="L268" s="26" t="str">
        <f aca="false">IFERROR(INDEX('Output Utente'!$E$2:$E$492,MATCH(265,'Output Utente'!$R$2:$R$492,0)),"")</f>
        <v/>
      </c>
    </row>
    <row r="269" customFormat="false" ht="15" hidden="false" customHeight="true" outlineLevel="0" collapsed="false">
      <c r="A269" s="29" t="n">
        <v>266</v>
      </c>
      <c r="B269" s="26" t="str">
        <f aca="false">IFERROR(INDEX('Output Utente'!$A$2:$A$492,MATCH(266,'Output Utente'!$R$2:$R$492,0)),"")</f>
        <v/>
      </c>
      <c r="C269" s="26" t="str">
        <f aca="false">IFERROR(INDEX('Output Utente'!$B$2:$B$492,MATCH(266,'Output Utente'!$R$2:$R$492,0)),"")</f>
        <v/>
      </c>
      <c r="D269" s="26" t="str">
        <f aca="false">IFERROR(INDEX('Output Utente'!$C$2:$C$492,MATCH(266,'Output Utente'!$R$2:$R$492,0)),"")</f>
        <v/>
      </c>
      <c r="E269" s="26" t="str">
        <f aca="false">IFERROR(INDEX('Input Giocatori 2026_27'!$D$3:$D$493,MATCH($B269,'Input Giocatori 2026_27'!$A$3:$A$493,0)),"")</f>
        <v/>
      </c>
      <c r="F269" s="27" t="str">
        <f aca="false">IFERROR(INDEX('Output Utente'!$N$2:$N$492,MATCH(266,'Output Utente'!$R$2:$R$492,0)),"")</f>
        <v/>
      </c>
      <c r="G269" s="26" t="str">
        <f aca="false">IFERROR(INDEX('Output Utente'!$O$2:$O$492,MATCH(266,'Output Utente'!$R$2:$R$492,0)),"")</f>
        <v/>
      </c>
      <c r="H269" s="26" t="str">
        <f aca="false">IFERROR(INDEX('Output Utente'!$P$2:$P$492,MATCH(266,'Output Utente'!$R$2:$R$492,0)),"")</f>
        <v/>
      </c>
      <c r="I269" s="27" t="str">
        <f aca="false">IFERROR(INDEX('Output Utente'!$F$2:$F$492,MATCH(266,'Output Utente'!$R$2:$R$492,0)),"")</f>
        <v/>
      </c>
      <c r="J269" s="27" t="str">
        <f aca="false">IFERROR(INDEX('Output Utente'!$G$2:$G$492,MATCH(266,'Output Utente'!$R$2:$R$492,0)),"")</f>
        <v/>
      </c>
      <c r="K269" s="27" t="str">
        <f aca="false">IFERROR(INDEX('Output Utente'!$H$2:$H$492,MATCH(266,'Output Utente'!$R$2:$R$492,0)),"")</f>
        <v/>
      </c>
      <c r="L269" s="26" t="str">
        <f aca="false">IFERROR(INDEX('Output Utente'!$E$2:$E$492,MATCH(266,'Output Utente'!$R$2:$R$492,0)),"")</f>
        <v/>
      </c>
    </row>
    <row r="270" customFormat="false" ht="15" hidden="false" customHeight="true" outlineLevel="0" collapsed="false">
      <c r="A270" s="29" t="n">
        <v>267</v>
      </c>
      <c r="B270" s="26" t="str">
        <f aca="false">IFERROR(INDEX('Output Utente'!$A$2:$A$492,MATCH(267,'Output Utente'!$R$2:$R$492,0)),"")</f>
        <v/>
      </c>
      <c r="C270" s="26" t="str">
        <f aca="false">IFERROR(INDEX('Output Utente'!$B$2:$B$492,MATCH(267,'Output Utente'!$R$2:$R$492,0)),"")</f>
        <v/>
      </c>
      <c r="D270" s="26" t="str">
        <f aca="false">IFERROR(INDEX('Output Utente'!$C$2:$C$492,MATCH(267,'Output Utente'!$R$2:$R$492,0)),"")</f>
        <v/>
      </c>
      <c r="E270" s="26" t="str">
        <f aca="false">IFERROR(INDEX('Input Giocatori 2026_27'!$D$3:$D$493,MATCH($B270,'Input Giocatori 2026_27'!$A$3:$A$493,0)),"")</f>
        <v/>
      </c>
      <c r="F270" s="27" t="str">
        <f aca="false">IFERROR(INDEX('Output Utente'!$N$2:$N$492,MATCH(267,'Output Utente'!$R$2:$R$492,0)),"")</f>
        <v/>
      </c>
      <c r="G270" s="26" t="str">
        <f aca="false">IFERROR(INDEX('Output Utente'!$O$2:$O$492,MATCH(267,'Output Utente'!$R$2:$R$492,0)),"")</f>
        <v/>
      </c>
      <c r="H270" s="26" t="str">
        <f aca="false">IFERROR(INDEX('Output Utente'!$P$2:$P$492,MATCH(267,'Output Utente'!$R$2:$R$492,0)),"")</f>
        <v/>
      </c>
      <c r="I270" s="27" t="str">
        <f aca="false">IFERROR(INDEX('Output Utente'!$F$2:$F$492,MATCH(267,'Output Utente'!$R$2:$R$492,0)),"")</f>
        <v/>
      </c>
      <c r="J270" s="27" t="str">
        <f aca="false">IFERROR(INDEX('Output Utente'!$G$2:$G$492,MATCH(267,'Output Utente'!$R$2:$R$492,0)),"")</f>
        <v/>
      </c>
      <c r="K270" s="27" t="str">
        <f aca="false">IFERROR(INDEX('Output Utente'!$H$2:$H$492,MATCH(267,'Output Utente'!$R$2:$R$492,0)),"")</f>
        <v/>
      </c>
      <c r="L270" s="26" t="str">
        <f aca="false">IFERROR(INDEX('Output Utente'!$E$2:$E$492,MATCH(267,'Output Utente'!$R$2:$R$492,0)),"")</f>
        <v/>
      </c>
    </row>
    <row r="271" customFormat="false" ht="15" hidden="false" customHeight="true" outlineLevel="0" collapsed="false">
      <c r="A271" s="29" t="n">
        <v>268</v>
      </c>
      <c r="B271" s="26" t="str">
        <f aca="false">IFERROR(INDEX('Output Utente'!$A$2:$A$492,MATCH(268,'Output Utente'!$R$2:$R$492,0)),"")</f>
        <v/>
      </c>
      <c r="C271" s="26" t="str">
        <f aca="false">IFERROR(INDEX('Output Utente'!$B$2:$B$492,MATCH(268,'Output Utente'!$R$2:$R$492,0)),"")</f>
        <v/>
      </c>
      <c r="D271" s="26" t="str">
        <f aca="false">IFERROR(INDEX('Output Utente'!$C$2:$C$492,MATCH(268,'Output Utente'!$R$2:$R$492,0)),"")</f>
        <v/>
      </c>
      <c r="E271" s="26" t="str">
        <f aca="false">IFERROR(INDEX('Input Giocatori 2026_27'!$D$3:$D$493,MATCH($B271,'Input Giocatori 2026_27'!$A$3:$A$493,0)),"")</f>
        <v/>
      </c>
      <c r="F271" s="27" t="str">
        <f aca="false">IFERROR(INDEX('Output Utente'!$N$2:$N$492,MATCH(268,'Output Utente'!$R$2:$R$492,0)),"")</f>
        <v/>
      </c>
      <c r="G271" s="26" t="str">
        <f aca="false">IFERROR(INDEX('Output Utente'!$O$2:$O$492,MATCH(268,'Output Utente'!$R$2:$R$492,0)),"")</f>
        <v/>
      </c>
      <c r="H271" s="26" t="str">
        <f aca="false">IFERROR(INDEX('Output Utente'!$P$2:$P$492,MATCH(268,'Output Utente'!$R$2:$R$492,0)),"")</f>
        <v/>
      </c>
      <c r="I271" s="27" t="str">
        <f aca="false">IFERROR(INDEX('Output Utente'!$F$2:$F$492,MATCH(268,'Output Utente'!$R$2:$R$492,0)),"")</f>
        <v/>
      </c>
      <c r="J271" s="27" t="str">
        <f aca="false">IFERROR(INDEX('Output Utente'!$G$2:$G$492,MATCH(268,'Output Utente'!$R$2:$R$492,0)),"")</f>
        <v/>
      </c>
      <c r="K271" s="27" t="str">
        <f aca="false">IFERROR(INDEX('Output Utente'!$H$2:$H$492,MATCH(268,'Output Utente'!$R$2:$R$492,0)),"")</f>
        <v/>
      </c>
      <c r="L271" s="26" t="str">
        <f aca="false">IFERROR(INDEX('Output Utente'!$E$2:$E$492,MATCH(268,'Output Utente'!$R$2:$R$492,0)),"")</f>
        <v/>
      </c>
    </row>
    <row r="272" customFormat="false" ht="15" hidden="false" customHeight="true" outlineLevel="0" collapsed="false">
      <c r="A272" s="29" t="n">
        <v>269</v>
      </c>
      <c r="B272" s="26" t="str">
        <f aca="false">IFERROR(INDEX('Output Utente'!$A$2:$A$492,MATCH(269,'Output Utente'!$R$2:$R$492,0)),"")</f>
        <v/>
      </c>
      <c r="C272" s="26" t="str">
        <f aca="false">IFERROR(INDEX('Output Utente'!$B$2:$B$492,MATCH(269,'Output Utente'!$R$2:$R$492,0)),"")</f>
        <v/>
      </c>
      <c r="D272" s="26" t="str">
        <f aca="false">IFERROR(INDEX('Output Utente'!$C$2:$C$492,MATCH(269,'Output Utente'!$R$2:$R$492,0)),"")</f>
        <v/>
      </c>
      <c r="E272" s="26" t="str">
        <f aca="false">IFERROR(INDEX('Input Giocatori 2026_27'!$D$3:$D$493,MATCH($B272,'Input Giocatori 2026_27'!$A$3:$A$493,0)),"")</f>
        <v/>
      </c>
      <c r="F272" s="27" t="str">
        <f aca="false">IFERROR(INDEX('Output Utente'!$N$2:$N$492,MATCH(269,'Output Utente'!$R$2:$R$492,0)),"")</f>
        <v/>
      </c>
      <c r="G272" s="26" t="str">
        <f aca="false">IFERROR(INDEX('Output Utente'!$O$2:$O$492,MATCH(269,'Output Utente'!$R$2:$R$492,0)),"")</f>
        <v/>
      </c>
      <c r="H272" s="26" t="str">
        <f aca="false">IFERROR(INDEX('Output Utente'!$P$2:$P$492,MATCH(269,'Output Utente'!$R$2:$R$492,0)),"")</f>
        <v/>
      </c>
      <c r="I272" s="27" t="str">
        <f aca="false">IFERROR(INDEX('Output Utente'!$F$2:$F$492,MATCH(269,'Output Utente'!$R$2:$R$492,0)),"")</f>
        <v/>
      </c>
      <c r="J272" s="27" t="str">
        <f aca="false">IFERROR(INDEX('Output Utente'!$G$2:$G$492,MATCH(269,'Output Utente'!$R$2:$R$492,0)),"")</f>
        <v/>
      </c>
      <c r="K272" s="27" t="str">
        <f aca="false">IFERROR(INDEX('Output Utente'!$H$2:$H$492,MATCH(269,'Output Utente'!$R$2:$R$492,0)),"")</f>
        <v/>
      </c>
      <c r="L272" s="26" t="str">
        <f aca="false">IFERROR(INDEX('Output Utente'!$E$2:$E$492,MATCH(269,'Output Utente'!$R$2:$R$492,0)),"")</f>
        <v/>
      </c>
    </row>
    <row r="273" customFormat="false" ht="15" hidden="false" customHeight="true" outlineLevel="0" collapsed="false">
      <c r="A273" s="29" t="n">
        <v>270</v>
      </c>
      <c r="B273" s="26" t="str">
        <f aca="false">IFERROR(INDEX('Output Utente'!$A$2:$A$492,MATCH(270,'Output Utente'!$R$2:$R$492,0)),"")</f>
        <v/>
      </c>
      <c r="C273" s="26" t="str">
        <f aca="false">IFERROR(INDEX('Output Utente'!$B$2:$B$492,MATCH(270,'Output Utente'!$R$2:$R$492,0)),"")</f>
        <v/>
      </c>
      <c r="D273" s="26" t="str">
        <f aca="false">IFERROR(INDEX('Output Utente'!$C$2:$C$492,MATCH(270,'Output Utente'!$R$2:$R$492,0)),"")</f>
        <v/>
      </c>
      <c r="E273" s="26" t="str">
        <f aca="false">IFERROR(INDEX('Input Giocatori 2026_27'!$D$3:$D$493,MATCH($B273,'Input Giocatori 2026_27'!$A$3:$A$493,0)),"")</f>
        <v/>
      </c>
      <c r="F273" s="27" t="str">
        <f aca="false">IFERROR(INDEX('Output Utente'!$N$2:$N$492,MATCH(270,'Output Utente'!$R$2:$R$492,0)),"")</f>
        <v/>
      </c>
      <c r="G273" s="26" t="str">
        <f aca="false">IFERROR(INDEX('Output Utente'!$O$2:$O$492,MATCH(270,'Output Utente'!$R$2:$R$492,0)),"")</f>
        <v/>
      </c>
      <c r="H273" s="26" t="str">
        <f aca="false">IFERROR(INDEX('Output Utente'!$P$2:$P$492,MATCH(270,'Output Utente'!$R$2:$R$492,0)),"")</f>
        <v/>
      </c>
      <c r="I273" s="27" t="str">
        <f aca="false">IFERROR(INDEX('Output Utente'!$F$2:$F$492,MATCH(270,'Output Utente'!$R$2:$R$492,0)),"")</f>
        <v/>
      </c>
      <c r="J273" s="27" t="str">
        <f aca="false">IFERROR(INDEX('Output Utente'!$G$2:$G$492,MATCH(270,'Output Utente'!$R$2:$R$492,0)),"")</f>
        <v/>
      </c>
      <c r="K273" s="27" t="str">
        <f aca="false">IFERROR(INDEX('Output Utente'!$H$2:$H$492,MATCH(270,'Output Utente'!$R$2:$R$492,0)),"")</f>
        <v/>
      </c>
      <c r="L273" s="26" t="str">
        <f aca="false">IFERROR(INDEX('Output Utente'!$E$2:$E$492,MATCH(270,'Output Utente'!$R$2:$R$492,0)),"")</f>
        <v/>
      </c>
    </row>
    <row r="274" customFormat="false" ht="15" hidden="false" customHeight="true" outlineLevel="0" collapsed="false">
      <c r="A274" s="29" t="n">
        <v>271</v>
      </c>
      <c r="B274" s="26" t="str">
        <f aca="false">IFERROR(INDEX('Output Utente'!$A$2:$A$492,MATCH(271,'Output Utente'!$R$2:$R$492,0)),"")</f>
        <v/>
      </c>
      <c r="C274" s="26" t="str">
        <f aca="false">IFERROR(INDEX('Output Utente'!$B$2:$B$492,MATCH(271,'Output Utente'!$R$2:$R$492,0)),"")</f>
        <v/>
      </c>
      <c r="D274" s="26" t="str">
        <f aca="false">IFERROR(INDEX('Output Utente'!$C$2:$C$492,MATCH(271,'Output Utente'!$R$2:$R$492,0)),"")</f>
        <v/>
      </c>
      <c r="E274" s="26" t="str">
        <f aca="false">IFERROR(INDEX('Input Giocatori 2026_27'!$D$3:$D$493,MATCH($B274,'Input Giocatori 2026_27'!$A$3:$A$493,0)),"")</f>
        <v/>
      </c>
      <c r="F274" s="27" t="str">
        <f aca="false">IFERROR(INDEX('Output Utente'!$N$2:$N$492,MATCH(271,'Output Utente'!$R$2:$R$492,0)),"")</f>
        <v/>
      </c>
      <c r="G274" s="26" t="str">
        <f aca="false">IFERROR(INDEX('Output Utente'!$O$2:$O$492,MATCH(271,'Output Utente'!$R$2:$R$492,0)),"")</f>
        <v/>
      </c>
      <c r="H274" s="26" t="str">
        <f aca="false">IFERROR(INDEX('Output Utente'!$P$2:$P$492,MATCH(271,'Output Utente'!$R$2:$R$492,0)),"")</f>
        <v/>
      </c>
      <c r="I274" s="27" t="str">
        <f aca="false">IFERROR(INDEX('Output Utente'!$F$2:$F$492,MATCH(271,'Output Utente'!$R$2:$R$492,0)),"")</f>
        <v/>
      </c>
      <c r="J274" s="27" t="str">
        <f aca="false">IFERROR(INDEX('Output Utente'!$G$2:$G$492,MATCH(271,'Output Utente'!$R$2:$R$492,0)),"")</f>
        <v/>
      </c>
      <c r="K274" s="27" t="str">
        <f aca="false">IFERROR(INDEX('Output Utente'!$H$2:$H$492,MATCH(271,'Output Utente'!$R$2:$R$492,0)),"")</f>
        <v/>
      </c>
      <c r="L274" s="26" t="str">
        <f aca="false">IFERROR(INDEX('Output Utente'!$E$2:$E$492,MATCH(271,'Output Utente'!$R$2:$R$492,0)),"")</f>
        <v/>
      </c>
    </row>
    <row r="275" customFormat="false" ht="15" hidden="false" customHeight="true" outlineLevel="0" collapsed="false">
      <c r="A275" s="29" t="n">
        <v>272</v>
      </c>
      <c r="B275" s="26" t="str">
        <f aca="false">IFERROR(INDEX('Output Utente'!$A$2:$A$492,MATCH(272,'Output Utente'!$R$2:$R$492,0)),"")</f>
        <v/>
      </c>
      <c r="C275" s="26" t="str">
        <f aca="false">IFERROR(INDEX('Output Utente'!$B$2:$B$492,MATCH(272,'Output Utente'!$R$2:$R$492,0)),"")</f>
        <v/>
      </c>
      <c r="D275" s="26" t="str">
        <f aca="false">IFERROR(INDEX('Output Utente'!$C$2:$C$492,MATCH(272,'Output Utente'!$R$2:$R$492,0)),"")</f>
        <v/>
      </c>
      <c r="E275" s="26" t="str">
        <f aca="false">IFERROR(INDEX('Input Giocatori 2026_27'!$D$3:$D$493,MATCH($B275,'Input Giocatori 2026_27'!$A$3:$A$493,0)),"")</f>
        <v/>
      </c>
      <c r="F275" s="27" t="str">
        <f aca="false">IFERROR(INDEX('Output Utente'!$N$2:$N$492,MATCH(272,'Output Utente'!$R$2:$R$492,0)),"")</f>
        <v/>
      </c>
      <c r="G275" s="26" t="str">
        <f aca="false">IFERROR(INDEX('Output Utente'!$O$2:$O$492,MATCH(272,'Output Utente'!$R$2:$R$492,0)),"")</f>
        <v/>
      </c>
      <c r="H275" s="26" t="str">
        <f aca="false">IFERROR(INDEX('Output Utente'!$P$2:$P$492,MATCH(272,'Output Utente'!$R$2:$R$492,0)),"")</f>
        <v/>
      </c>
      <c r="I275" s="27" t="str">
        <f aca="false">IFERROR(INDEX('Output Utente'!$F$2:$F$492,MATCH(272,'Output Utente'!$R$2:$R$492,0)),"")</f>
        <v/>
      </c>
      <c r="J275" s="27" t="str">
        <f aca="false">IFERROR(INDEX('Output Utente'!$G$2:$G$492,MATCH(272,'Output Utente'!$R$2:$R$492,0)),"")</f>
        <v/>
      </c>
      <c r="K275" s="27" t="str">
        <f aca="false">IFERROR(INDEX('Output Utente'!$H$2:$H$492,MATCH(272,'Output Utente'!$R$2:$R$492,0)),"")</f>
        <v/>
      </c>
      <c r="L275" s="26" t="str">
        <f aca="false">IFERROR(INDEX('Output Utente'!$E$2:$E$492,MATCH(272,'Output Utente'!$R$2:$R$492,0)),"")</f>
        <v/>
      </c>
    </row>
    <row r="276" customFormat="false" ht="15" hidden="false" customHeight="true" outlineLevel="0" collapsed="false">
      <c r="A276" s="29" t="n">
        <v>273</v>
      </c>
      <c r="B276" s="26" t="str">
        <f aca="false">IFERROR(INDEX('Output Utente'!$A$2:$A$492,MATCH(273,'Output Utente'!$R$2:$R$492,0)),"")</f>
        <v/>
      </c>
      <c r="C276" s="26" t="str">
        <f aca="false">IFERROR(INDEX('Output Utente'!$B$2:$B$492,MATCH(273,'Output Utente'!$R$2:$R$492,0)),"")</f>
        <v/>
      </c>
      <c r="D276" s="26" t="str">
        <f aca="false">IFERROR(INDEX('Output Utente'!$C$2:$C$492,MATCH(273,'Output Utente'!$R$2:$R$492,0)),"")</f>
        <v/>
      </c>
      <c r="E276" s="26" t="str">
        <f aca="false">IFERROR(INDEX('Input Giocatori 2026_27'!$D$3:$D$493,MATCH($B276,'Input Giocatori 2026_27'!$A$3:$A$493,0)),"")</f>
        <v/>
      </c>
      <c r="F276" s="27" t="str">
        <f aca="false">IFERROR(INDEX('Output Utente'!$N$2:$N$492,MATCH(273,'Output Utente'!$R$2:$R$492,0)),"")</f>
        <v/>
      </c>
      <c r="G276" s="26" t="str">
        <f aca="false">IFERROR(INDEX('Output Utente'!$O$2:$O$492,MATCH(273,'Output Utente'!$R$2:$R$492,0)),"")</f>
        <v/>
      </c>
      <c r="H276" s="26" t="str">
        <f aca="false">IFERROR(INDEX('Output Utente'!$P$2:$P$492,MATCH(273,'Output Utente'!$R$2:$R$492,0)),"")</f>
        <v/>
      </c>
      <c r="I276" s="27" t="str">
        <f aca="false">IFERROR(INDEX('Output Utente'!$F$2:$F$492,MATCH(273,'Output Utente'!$R$2:$R$492,0)),"")</f>
        <v/>
      </c>
      <c r="J276" s="27" t="str">
        <f aca="false">IFERROR(INDEX('Output Utente'!$G$2:$G$492,MATCH(273,'Output Utente'!$R$2:$R$492,0)),"")</f>
        <v/>
      </c>
      <c r="K276" s="27" t="str">
        <f aca="false">IFERROR(INDEX('Output Utente'!$H$2:$H$492,MATCH(273,'Output Utente'!$R$2:$R$492,0)),"")</f>
        <v/>
      </c>
      <c r="L276" s="26" t="str">
        <f aca="false">IFERROR(INDEX('Output Utente'!$E$2:$E$492,MATCH(273,'Output Utente'!$R$2:$R$492,0)),"")</f>
        <v/>
      </c>
    </row>
    <row r="277" customFormat="false" ht="15" hidden="false" customHeight="true" outlineLevel="0" collapsed="false">
      <c r="A277" s="29" t="n">
        <v>274</v>
      </c>
      <c r="B277" s="26" t="str">
        <f aca="false">IFERROR(INDEX('Output Utente'!$A$2:$A$492,MATCH(274,'Output Utente'!$R$2:$R$492,0)),"")</f>
        <v/>
      </c>
      <c r="C277" s="26" t="str">
        <f aca="false">IFERROR(INDEX('Output Utente'!$B$2:$B$492,MATCH(274,'Output Utente'!$R$2:$R$492,0)),"")</f>
        <v/>
      </c>
      <c r="D277" s="26" t="str">
        <f aca="false">IFERROR(INDEX('Output Utente'!$C$2:$C$492,MATCH(274,'Output Utente'!$R$2:$R$492,0)),"")</f>
        <v/>
      </c>
      <c r="E277" s="26" t="str">
        <f aca="false">IFERROR(INDEX('Input Giocatori 2026_27'!$D$3:$D$493,MATCH($B277,'Input Giocatori 2026_27'!$A$3:$A$493,0)),"")</f>
        <v/>
      </c>
      <c r="F277" s="27" t="str">
        <f aca="false">IFERROR(INDEX('Output Utente'!$N$2:$N$492,MATCH(274,'Output Utente'!$R$2:$R$492,0)),"")</f>
        <v/>
      </c>
      <c r="G277" s="26" t="str">
        <f aca="false">IFERROR(INDEX('Output Utente'!$O$2:$O$492,MATCH(274,'Output Utente'!$R$2:$R$492,0)),"")</f>
        <v/>
      </c>
      <c r="H277" s="26" t="str">
        <f aca="false">IFERROR(INDEX('Output Utente'!$P$2:$P$492,MATCH(274,'Output Utente'!$R$2:$R$492,0)),"")</f>
        <v/>
      </c>
      <c r="I277" s="27" t="str">
        <f aca="false">IFERROR(INDEX('Output Utente'!$F$2:$F$492,MATCH(274,'Output Utente'!$R$2:$R$492,0)),"")</f>
        <v/>
      </c>
      <c r="J277" s="27" t="str">
        <f aca="false">IFERROR(INDEX('Output Utente'!$G$2:$G$492,MATCH(274,'Output Utente'!$R$2:$R$492,0)),"")</f>
        <v/>
      </c>
      <c r="K277" s="27" t="str">
        <f aca="false">IFERROR(INDEX('Output Utente'!$H$2:$H$492,MATCH(274,'Output Utente'!$R$2:$R$492,0)),"")</f>
        <v/>
      </c>
      <c r="L277" s="26" t="str">
        <f aca="false">IFERROR(INDEX('Output Utente'!$E$2:$E$492,MATCH(274,'Output Utente'!$R$2:$R$492,0)),"")</f>
        <v/>
      </c>
    </row>
    <row r="278" customFormat="false" ht="15" hidden="false" customHeight="true" outlineLevel="0" collapsed="false">
      <c r="A278" s="29" t="n">
        <v>275</v>
      </c>
      <c r="B278" s="26" t="str">
        <f aca="false">IFERROR(INDEX('Output Utente'!$A$2:$A$492,MATCH(275,'Output Utente'!$R$2:$R$492,0)),"")</f>
        <v/>
      </c>
      <c r="C278" s="26" t="str">
        <f aca="false">IFERROR(INDEX('Output Utente'!$B$2:$B$492,MATCH(275,'Output Utente'!$R$2:$R$492,0)),"")</f>
        <v/>
      </c>
      <c r="D278" s="26" t="str">
        <f aca="false">IFERROR(INDEX('Output Utente'!$C$2:$C$492,MATCH(275,'Output Utente'!$R$2:$R$492,0)),"")</f>
        <v/>
      </c>
      <c r="E278" s="26" t="str">
        <f aca="false">IFERROR(INDEX('Input Giocatori 2026_27'!$D$3:$D$493,MATCH($B278,'Input Giocatori 2026_27'!$A$3:$A$493,0)),"")</f>
        <v/>
      </c>
      <c r="F278" s="27" t="str">
        <f aca="false">IFERROR(INDEX('Output Utente'!$N$2:$N$492,MATCH(275,'Output Utente'!$R$2:$R$492,0)),"")</f>
        <v/>
      </c>
      <c r="G278" s="26" t="str">
        <f aca="false">IFERROR(INDEX('Output Utente'!$O$2:$O$492,MATCH(275,'Output Utente'!$R$2:$R$492,0)),"")</f>
        <v/>
      </c>
      <c r="H278" s="26" t="str">
        <f aca="false">IFERROR(INDEX('Output Utente'!$P$2:$P$492,MATCH(275,'Output Utente'!$R$2:$R$492,0)),"")</f>
        <v/>
      </c>
      <c r="I278" s="27" t="str">
        <f aca="false">IFERROR(INDEX('Output Utente'!$F$2:$F$492,MATCH(275,'Output Utente'!$R$2:$R$492,0)),"")</f>
        <v/>
      </c>
      <c r="J278" s="27" t="str">
        <f aca="false">IFERROR(INDEX('Output Utente'!$G$2:$G$492,MATCH(275,'Output Utente'!$R$2:$R$492,0)),"")</f>
        <v/>
      </c>
      <c r="K278" s="27" t="str">
        <f aca="false">IFERROR(INDEX('Output Utente'!$H$2:$H$492,MATCH(275,'Output Utente'!$R$2:$R$492,0)),"")</f>
        <v/>
      </c>
      <c r="L278" s="26" t="str">
        <f aca="false">IFERROR(INDEX('Output Utente'!$E$2:$E$492,MATCH(275,'Output Utente'!$R$2:$R$492,0)),"")</f>
        <v/>
      </c>
    </row>
    <row r="279" customFormat="false" ht="15" hidden="false" customHeight="true" outlineLevel="0" collapsed="false">
      <c r="A279" s="29" t="n">
        <v>276</v>
      </c>
      <c r="B279" s="26" t="str">
        <f aca="false">IFERROR(INDEX('Output Utente'!$A$2:$A$492,MATCH(276,'Output Utente'!$R$2:$R$492,0)),"")</f>
        <v/>
      </c>
      <c r="C279" s="26" t="str">
        <f aca="false">IFERROR(INDEX('Output Utente'!$B$2:$B$492,MATCH(276,'Output Utente'!$R$2:$R$492,0)),"")</f>
        <v/>
      </c>
      <c r="D279" s="26" t="str">
        <f aca="false">IFERROR(INDEX('Output Utente'!$C$2:$C$492,MATCH(276,'Output Utente'!$R$2:$R$492,0)),"")</f>
        <v/>
      </c>
      <c r="E279" s="26" t="str">
        <f aca="false">IFERROR(INDEX('Input Giocatori 2026_27'!$D$3:$D$493,MATCH($B279,'Input Giocatori 2026_27'!$A$3:$A$493,0)),"")</f>
        <v/>
      </c>
      <c r="F279" s="27" t="str">
        <f aca="false">IFERROR(INDEX('Output Utente'!$N$2:$N$492,MATCH(276,'Output Utente'!$R$2:$R$492,0)),"")</f>
        <v/>
      </c>
      <c r="G279" s="26" t="str">
        <f aca="false">IFERROR(INDEX('Output Utente'!$O$2:$O$492,MATCH(276,'Output Utente'!$R$2:$R$492,0)),"")</f>
        <v/>
      </c>
      <c r="H279" s="26" t="str">
        <f aca="false">IFERROR(INDEX('Output Utente'!$P$2:$P$492,MATCH(276,'Output Utente'!$R$2:$R$492,0)),"")</f>
        <v/>
      </c>
      <c r="I279" s="27" t="str">
        <f aca="false">IFERROR(INDEX('Output Utente'!$F$2:$F$492,MATCH(276,'Output Utente'!$R$2:$R$492,0)),"")</f>
        <v/>
      </c>
      <c r="J279" s="27" t="str">
        <f aca="false">IFERROR(INDEX('Output Utente'!$G$2:$G$492,MATCH(276,'Output Utente'!$R$2:$R$492,0)),"")</f>
        <v/>
      </c>
      <c r="K279" s="27" t="str">
        <f aca="false">IFERROR(INDEX('Output Utente'!$H$2:$H$492,MATCH(276,'Output Utente'!$R$2:$R$492,0)),"")</f>
        <v/>
      </c>
      <c r="L279" s="26" t="str">
        <f aca="false">IFERROR(INDEX('Output Utente'!$E$2:$E$492,MATCH(276,'Output Utente'!$R$2:$R$492,0)),"")</f>
        <v/>
      </c>
    </row>
    <row r="280" customFormat="false" ht="15" hidden="false" customHeight="true" outlineLevel="0" collapsed="false">
      <c r="A280" s="29" t="n">
        <v>277</v>
      </c>
      <c r="B280" s="26" t="str">
        <f aca="false">IFERROR(INDEX('Output Utente'!$A$2:$A$492,MATCH(277,'Output Utente'!$R$2:$R$492,0)),"")</f>
        <v/>
      </c>
      <c r="C280" s="26" t="str">
        <f aca="false">IFERROR(INDEX('Output Utente'!$B$2:$B$492,MATCH(277,'Output Utente'!$R$2:$R$492,0)),"")</f>
        <v/>
      </c>
      <c r="D280" s="26" t="str">
        <f aca="false">IFERROR(INDEX('Output Utente'!$C$2:$C$492,MATCH(277,'Output Utente'!$R$2:$R$492,0)),"")</f>
        <v/>
      </c>
      <c r="E280" s="26" t="str">
        <f aca="false">IFERROR(INDEX('Input Giocatori 2026_27'!$D$3:$D$493,MATCH($B280,'Input Giocatori 2026_27'!$A$3:$A$493,0)),"")</f>
        <v/>
      </c>
      <c r="F280" s="27" t="str">
        <f aca="false">IFERROR(INDEX('Output Utente'!$N$2:$N$492,MATCH(277,'Output Utente'!$R$2:$R$492,0)),"")</f>
        <v/>
      </c>
      <c r="G280" s="26" t="str">
        <f aca="false">IFERROR(INDEX('Output Utente'!$O$2:$O$492,MATCH(277,'Output Utente'!$R$2:$R$492,0)),"")</f>
        <v/>
      </c>
      <c r="H280" s="26" t="str">
        <f aca="false">IFERROR(INDEX('Output Utente'!$P$2:$P$492,MATCH(277,'Output Utente'!$R$2:$R$492,0)),"")</f>
        <v/>
      </c>
      <c r="I280" s="27" t="str">
        <f aca="false">IFERROR(INDEX('Output Utente'!$F$2:$F$492,MATCH(277,'Output Utente'!$R$2:$R$492,0)),"")</f>
        <v/>
      </c>
      <c r="J280" s="27" t="str">
        <f aca="false">IFERROR(INDEX('Output Utente'!$G$2:$G$492,MATCH(277,'Output Utente'!$R$2:$R$492,0)),"")</f>
        <v/>
      </c>
      <c r="K280" s="27" t="str">
        <f aca="false">IFERROR(INDEX('Output Utente'!$H$2:$H$492,MATCH(277,'Output Utente'!$R$2:$R$492,0)),"")</f>
        <v/>
      </c>
      <c r="L280" s="26" t="str">
        <f aca="false">IFERROR(INDEX('Output Utente'!$E$2:$E$492,MATCH(277,'Output Utente'!$R$2:$R$492,0)),"")</f>
        <v/>
      </c>
    </row>
    <row r="281" customFormat="false" ht="15" hidden="false" customHeight="true" outlineLevel="0" collapsed="false">
      <c r="A281" s="29" t="n">
        <v>278</v>
      </c>
      <c r="B281" s="26" t="str">
        <f aca="false">IFERROR(INDEX('Output Utente'!$A$2:$A$492,MATCH(278,'Output Utente'!$R$2:$R$492,0)),"")</f>
        <v/>
      </c>
      <c r="C281" s="26" t="str">
        <f aca="false">IFERROR(INDEX('Output Utente'!$B$2:$B$492,MATCH(278,'Output Utente'!$R$2:$R$492,0)),"")</f>
        <v/>
      </c>
      <c r="D281" s="26" t="str">
        <f aca="false">IFERROR(INDEX('Output Utente'!$C$2:$C$492,MATCH(278,'Output Utente'!$R$2:$R$492,0)),"")</f>
        <v/>
      </c>
      <c r="E281" s="26" t="str">
        <f aca="false">IFERROR(INDEX('Input Giocatori 2026_27'!$D$3:$D$493,MATCH($B281,'Input Giocatori 2026_27'!$A$3:$A$493,0)),"")</f>
        <v/>
      </c>
      <c r="F281" s="27" t="str">
        <f aca="false">IFERROR(INDEX('Output Utente'!$N$2:$N$492,MATCH(278,'Output Utente'!$R$2:$R$492,0)),"")</f>
        <v/>
      </c>
      <c r="G281" s="26" t="str">
        <f aca="false">IFERROR(INDEX('Output Utente'!$O$2:$O$492,MATCH(278,'Output Utente'!$R$2:$R$492,0)),"")</f>
        <v/>
      </c>
      <c r="H281" s="26" t="str">
        <f aca="false">IFERROR(INDEX('Output Utente'!$P$2:$P$492,MATCH(278,'Output Utente'!$R$2:$R$492,0)),"")</f>
        <v/>
      </c>
      <c r="I281" s="27" t="str">
        <f aca="false">IFERROR(INDEX('Output Utente'!$F$2:$F$492,MATCH(278,'Output Utente'!$R$2:$R$492,0)),"")</f>
        <v/>
      </c>
      <c r="J281" s="27" t="str">
        <f aca="false">IFERROR(INDEX('Output Utente'!$G$2:$G$492,MATCH(278,'Output Utente'!$R$2:$R$492,0)),"")</f>
        <v/>
      </c>
      <c r="K281" s="27" t="str">
        <f aca="false">IFERROR(INDEX('Output Utente'!$H$2:$H$492,MATCH(278,'Output Utente'!$R$2:$R$492,0)),"")</f>
        <v/>
      </c>
      <c r="L281" s="26" t="str">
        <f aca="false">IFERROR(INDEX('Output Utente'!$E$2:$E$492,MATCH(278,'Output Utente'!$R$2:$R$492,0)),"")</f>
        <v/>
      </c>
    </row>
    <row r="282" customFormat="false" ht="15" hidden="false" customHeight="true" outlineLevel="0" collapsed="false">
      <c r="A282" s="29" t="n">
        <v>279</v>
      </c>
      <c r="B282" s="26" t="str">
        <f aca="false">IFERROR(INDEX('Output Utente'!$A$2:$A$492,MATCH(279,'Output Utente'!$R$2:$R$492,0)),"")</f>
        <v/>
      </c>
      <c r="C282" s="26" t="str">
        <f aca="false">IFERROR(INDEX('Output Utente'!$B$2:$B$492,MATCH(279,'Output Utente'!$R$2:$R$492,0)),"")</f>
        <v/>
      </c>
      <c r="D282" s="26" t="str">
        <f aca="false">IFERROR(INDEX('Output Utente'!$C$2:$C$492,MATCH(279,'Output Utente'!$R$2:$R$492,0)),"")</f>
        <v/>
      </c>
      <c r="E282" s="26" t="str">
        <f aca="false">IFERROR(INDEX('Input Giocatori 2026_27'!$D$3:$D$493,MATCH($B282,'Input Giocatori 2026_27'!$A$3:$A$493,0)),"")</f>
        <v/>
      </c>
      <c r="F282" s="27" t="str">
        <f aca="false">IFERROR(INDEX('Output Utente'!$N$2:$N$492,MATCH(279,'Output Utente'!$R$2:$R$492,0)),"")</f>
        <v/>
      </c>
      <c r="G282" s="26" t="str">
        <f aca="false">IFERROR(INDEX('Output Utente'!$O$2:$O$492,MATCH(279,'Output Utente'!$R$2:$R$492,0)),"")</f>
        <v/>
      </c>
      <c r="H282" s="26" t="str">
        <f aca="false">IFERROR(INDEX('Output Utente'!$P$2:$P$492,MATCH(279,'Output Utente'!$R$2:$R$492,0)),"")</f>
        <v/>
      </c>
      <c r="I282" s="27" t="str">
        <f aca="false">IFERROR(INDEX('Output Utente'!$F$2:$F$492,MATCH(279,'Output Utente'!$R$2:$R$492,0)),"")</f>
        <v/>
      </c>
      <c r="J282" s="27" t="str">
        <f aca="false">IFERROR(INDEX('Output Utente'!$G$2:$G$492,MATCH(279,'Output Utente'!$R$2:$R$492,0)),"")</f>
        <v/>
      </c>
      <c r="K282" s="27" t="str">
        <f aca="false">IFERROR(INDEX('Output Utente'!$H$2:$H$492,MATCH(279,'Output Utente'!$R$2:$R$492,0)),"")</f>
        <v/>
      </c>
      <c r="L282" s="26" t="str">
        <f aca="false">IFERROR(INDEX('Output Utente'!$E$2:$E$492,MATCH(279,'Output Utente'!$R$2:$R$492,0)),"")</f>
        <v/>
      </c>
    </row>
    <row r="283" customFormat="false" ht="15" hidden="false" customHeight="true" outlineLevel="0" collapsed="false">
      <c r="A283" s="29" t="n">
        <v>280</v>
      </c>
      <c r="B283" s="26" t="str">
        <f aca="false">IFERROR(INDEX('Output Utente'!$A$2:$A$492,MATCH(280,'Output Utente'!$R$2:$R$492,0)),"")</f>
        <v/>
      </c>
      <c r="C283" s="26" t="str">
        <f aca="false">IFERROR(INDEX('Output Utente'!$B$2:$B$492,MATCH(280,'Output Utente'!$R$2:$R$492,0)),"")</f>
        <v/>
      </c>
      <c r="D283" s="26" t="str">
        <f aca="false">IFERROR(INDEX('Output Utente'!$C$2:$C$492,MATCH(280,'Output Utente'!$R$2:$R$492,0)),"")</f>
        <v/>
      </c>
      <c r="E283" s="26" t="str">
        <f aca="false">IFERROR(INDEX('Input Giocatori 2026_27'!$D$3:$D$493,MATCH($B283,'Input Giocatori 2026_27'!$A$3:$A$493,0)),"")</f>
        <v/>
      </c>
      <c r="F283" s="27" t="str">
        <f aca="false">IFERROR(INDEX('Output Utente'!$N$2:$N$492,MATCH(280,'Output Utente'!$R$2:$R$492,0)),"")</f>
        <v/>
      </c>
      <c r="G283" s="26" t="str">
        <f aca="false">IFERROR(INDEX('Output Utente'!$O$2:$O$492,MATCH(280,'Output Utente'!$R$2:$R$492,0)),"")</f>
        <v/>
      </c>
      <c r="H283" s="26" t="str">
        <f aca="false">IFERROR(INDEX('Output Utente'!$P$2:$P$492,MATCH(280,'Output Utente'!$R$2:$R$492,0)),"")</f>
        <v/>
      </c>
      <c r="I283" s="27" t="str">
        <f aca="false">IFERROR(INDEX('Output Utente'!$F$2:$F$492,MATCH(280,'Output Utente'!$R$2:$R$492,0)),"")</f>
        <v/>
      </c>
      <c r="J283" s="27" t="str">
        <f aca="false">IFERROR(INDEX('Output Utente'!$G$2:$G$492,MATCH(280,'Output Utente'!$R$2:$R$492,0)),"")</f>
        <v/>
      </c>
      <c r="K283" s="27" t="str">
        <f aca="false">IFERROR(INDEX('Output Utente'!$H$2:$H$492,MATCH(280,'Output Utente'!$R$2:$R$492,0)),"")</f>
        <v/>
      </c>
      <c r="L283" s="26" t="str">
        <f aca="false">IFERROR(INDEX('Output Utente'!$E$2:$E$492,MATCH(280,'Output Utente'!$R$2:$R$492,0)),"")</f>
        <v/>
      </c>
    </row>
    <row r="284" customFormat="false" ht="15" hidden="false" customHeight="true" outlineLevel="0" collapsed="false">
      <c r="A284" s="29" t="n">
        <v>281</v>
      </c>
      <c r="B284" s="26" t="str">
        <f aca="false">IFERROR(INDEX('Output Utente'!$A$2:$A$492,MATCH(281,'Output Utente'!$R$2:$R$492,0)),"")</f>
        <v/>
      </c>
      <c r="C284" s="26" t="str">
        <f aca="false">IFERROR(INDEX('Output Utente'!$B$2:$B$492,MATCH(281,'Output Utente'!$R$2:$R$492,0)),"")</f>
        <v/>
      </c>
      <c r="D284" s="26" t="str">
        <f aca="false">IFERROR(INDEX('Output Utente'!$C$2:$C$492,MATCH(281,'Output Utente'!$R$2:$R$492,0)),"")</f>
        <v/>
      </c>
      <c r="E284" s="26" t="str">
        <f aca="false">IFERROR(INDEX('Input Giocatori 2026_27'!$D$3:$D$493,MATCH($B284,'Input Giocatori 2026_27'!$A$3:$A$493,0)),"")</f>
        <v/>
      </c>
      <c r="F284" s="27" t="str">
        <f aca="false">IFERROR(INDEX('Output Utente'!$N$2:$N$492,MATCH(281,'Output Utente'!$R$2:$R$492,0)),"")</f>
        <v/>
      </c>
      <c r="G284" s="26" t="str">
        <f aca="false">IFERROR(INDEX('Output Utente'!$O$2:$O$492,MATCH(281,'Output Utente'!$R$2:$R$492,0)),"")</f>
        <v/>
      </c>
      <c r="H284" s="26" t="str">
        <f aca="false">IFERROR(INDEX('Output Utente'!$P$2:$P$492,MATCH(281,'Output Utente'!$R$2:$R$492,0)),"")</f>
        <v/>
      </c>
      <c r="I284" s="27" t="str">
        <f aca="false">IFERROR(INDEX('Output Utente'!$F$2:$F$492,MATCH(281,'Output Utente'!$R$2:$R$492,0)),"")</f>
        <v/>
      </c>
      <c r="J284" s="27" t="str">
        <f aca="false">IFERROR(INDEX('Output Utente'!$G$2:$G$492,MATCH(281,'Output Utente'!$R$2:$R$492,0)),"")</f>
        <v/>
      </c>
      <c r="K284" s="27" t="str">
        <f aca="false">IFERROR(INDEX('Output Utente'!$H$2:$H$492,MATCH(281,'Output Utente'!$R$2:$R$492,0)),"")</f>
        <v/>
      </c>
      <c r="L284" s="26" t="str">
        <f aca="false">IFERROR(INDEX('Output Utente'!$E$2:$E$492,MATCH(281,'Output Utente'!$R$2:$R$492,0)),"")</f>
        <v/>
      </c>
    </row>
    <row r="285" customFormat="false" ht="15" hidden="false" customHeight="true" outlineLevel="0" collapsed="false">
      <c r="A285" s="29" t="n">
        <v>282</v>
      </c>
      <c r="B285" s="26" t="str">
        <f aca="false">IFERROR(INDEX('Output Utente'!$A$2:$A$492,MATCH(282,'Output Utente'!$R$2:$R$492,0)),"")</f>
        <v/>
      </c>
      <c r="C285" s="26" t="str">
        <f aca="false">IFERROR(INDEX('Output Utente'!$B$2:$B$492,MATCH(282,'Output Utente'!$R$2:$R$492,0)),"")</f>
        <v/>
      </c>
      <c r="D285" s="26" t="str">
        <f aca="false">IFERROR(INDEX('Output Utente'!$C$2:$C$492,MATCH(282,'Output Utente'!$R$2:$R$492,0)),"")</f>
        <v/>
      </c>
      <c r="E285" s="26" t="str">
        <f aca="false">IFERROR(INDEX('Input Giocatori 2026_27'!$D$3:$D$493,MATCH($B285,'Input Giocatori 2026_27'!$A$3:$A$493,0)),"")</f>
        <v/>
      </c>
      <c r="F285" s="27" t="str">
        <f aca="false">IFERROR(INDEX('Output Utente'!$N$2:$N$492,MATCH(282,'Output Utente'!$R$2:$R$492,0)),"")</f>
        <v/>
      </c>
      <c r="G285" s="26" t="str">
        <f aca="false">IFERROR(INDEX('Output Utente'!$O$2:$O$492,MATCH(282,'Output Utente'!$R$2:$R$492,0)),"")</f>
        <v/>
      </c>
      <c r="H285" s="26" t="str">
        <f aca="false">IFERROR(INDEX('Output Utente'!$P$2:$P$492,MATCH(282,'Output Utente'!$R$2:$R$492,0)),"")</f>
        <v/>
      </c>
      <c r="I285" s="27" t="str">
        <f aca="false">IFERROR(INDEX('Output Utente'!$F$2:$F$492,MATCH(282,'Output Utente'!$R$2:$R$492,0)),"")</f>
        <v/>
      </c>
      <c r="J285" s="27" t="str">
        <f aca="false">IFERROR(INDEX('Output Utente'!$G$2:$G$492,MATCH(282,'Output Utente'!$R$2:$R$492,0)),"")</f>
        <v/>
      </c>
      <c r="K285" s="27" t="str">
        <f aca="false">IFERROR(INDEX('Output Utente'!$H$2:$H$492,MATCH(282,'Output Utente'!$R$2:$R$492,0)),"")</f>
        <v/>
      </c>
      <c r="L285" s="26" t="str">
        <f aca="false">IFERROR(INDEX('Output Utente'!$E$2:$E$492,MATCH(282,'Output Utente'!$R$2:$R$492,0)),"")</f>
        <v/>
      </c>
    </row>
    <row r="286" customFormat="false" ht="15" hidden="false" customHeight="true" outlineLevel="0" collapsed="false">
      <c r="A286" s="29" t="n">
        <v>283</v>
      </c>
      <c r="B286" s="26" t="str">
        <f aca="false">IFERROR(INDEX('Output Utente'!$A$2:$A$492,MATCH(283,'Output Utente'!$R$2:$R$492,0)),"")</f>
        <v/>
      </c>
      <c r="C286" s="26" t="str">
        <f aca="false">IFERROR(INDEX('Output Utente'!$B$2:$B$492,MATCH(283,'Output Utente'!$R$2:$R$492,0)),"")</f>
        <v/>
      </c>
      <c r="D286" s="26" t="str">
        <f aca="false">IFERROR(INDEX('Output Utente'!$C$2:$C$492,MATCH(283,'Output Utente'!$R$2:$R$492,0)),"")</f>
        <v/>
      </c>
      <c r="E286" s="26" t="str">
        <f aca="false">IFERROR(INDEX('Input Giocatori 2026_27'!$D$3:$D$493,MATCH($B286,'Input Giocatori 2026_27'!$A$3:$A$493,0)),"")</f>
        <v/>
      </c>
      <c r="F286" s="27" t="str">
        <f aca="false">IFERROR(INDEX('Output Utente'!$N$2:$N$492,MATCH(283,'Output Utente'!$R$2:$R$492,0)),"")</f>
        <v/>
      </c>
      <c r="G286" s="26" t="str">
        <f aca="false">IFERROR(INDEX('Output Utente'!$O$2:$O$492,MATCH(283,'Output Utente'!$R$2:$R$492,0)),"")</f>
        <v/>
      </c>
      <c r="H286" s="26" t="str">
        <f aca="false">IFERROR(INDEX('Output Utente'!$P$2:$P$492,MATCH(283,'Output Utente'!$R$2:$R$492,0)),"")</f>
        <v/>
      </c>
      <c r="I286" s="27" t="str">
        <f aca="false">IFERROR(INDEX('Output Utente'!$F$2:$F$492,MATCH(283,'Output Utente'!$R$2:$R$492,0)),"")</f>
        <v/>
      </c>
      <c r="J286" s="27" t="str">
        <f aca="false">IFERROR(INDEX('Output Utente'!$G$2:$G$492,MATCH(283,'Output Utente'!$R$2:$R$492,0)),"")</f>
        <v/>
      </c>
      <c r="K286" s="27" t="str">
        <f aca="false">IFERROR(INDEX('Output Utente'!$H$2:$H$492,MATCH(283,'Output Utente'!$R$2:$R$492,0)),"")</f>
        <v/>
      </c>
      <c r="L286" s="26" t="str">
        <f aca="false">IFERROR(INDEX('Output Utente'!$E$2:$E$492,MATCH(283,'Output Utente'!$R$2:$R$492,0)),"")</f>
        <v/>
      </c>
    </row>
    <row r="287" customFormat="false" ht="15" hidden="false" customHeight="true" outlineLevel="0" collapsed="false">
      <c r="A287" s="29" t="n">
        <v>284</v>
      </c>
      <c r="B287" s="26" t="str">
        <f aca="false">IFERROR(INDEX('Output Utente'!$A$2:$A$492,MATCH(284,'Output Utente'!$R$2:$R$492,0)),"")</f>
        <v/>
      </c>
      <c r="C287" s="26" t="str">
        <f aca="false">IFERROR(INDEX('Output Utente'!$B$2:$B$492,MATCH(284,'Output Utente'!$R$2:$R$492,0)),"")</f>
        <v/>
      </c>
      <c r="D287" s="26" t="str">
        <f aca="false">IFERROR(INDEX('Output Utente'!$C$2:$C$492,MATCH(284,'Output Utente'!$R$2:$R$492,0)),"")</f>
        <v/>
      </c>
      <c r="E287" s="26" t="str">
        <f aca="false">IFERROR(INDEX('Input Giocatori 2026_27'!$D$3:$D$493,MATCH($B287,'Input Giocatori 2026_27'!$A$3:$A$493,0)),"")</f>
        <v/>
      </c>
      <c r="F287" s="27" t="str">
        <f aca="false">IFERROR(INDEX('Output Utente'!$N$2:$N$492,MATCH(284,'Output Utente'!$R$2:$R$492,0)),"")</f>
        <v/>
      </c>
      <c r="G287" s="26" t="str">
        <f aca="false">IFERROR(INDEX('Output Utente'!$O$2:$O$492,MATCH(284,'Output Utente'!$R$2:$R$492,0)),"")</f>
        <v/>
      </c>
      <c r="H287" s="26" t="str">
        <f aca="false">IFERROR(INDEX('Output Utente'!$P$2:$P$492,MATCH(284,'Output Utente'!$R$2:$R$492,0)),"")</f>
        <v/>
      </c>
      <c r="I287" s="27" t="str">
        <f aca="false">IFERROR(INDEX('Output Utente'!$F$2:$F$492,MATCH(284,'Output Utente'!$R$2:$R$492,0)),"")</f>
        <v/>
      </c>
      <c r="J287" s="27" t="str">
        <f aca="false">IFERROR(INDEX('Output Utente'!$G$2:$G$492,MATCH(284,'Output Utente'!$R$2:$R$492,0)),"")</f>
        <v/>
      </c>
      <c r="K287" s="27" t="str">
        <f aca="false">IFERROR(INDEX('Output Utente'!$H$2:$H$492,MATCH(284,'Output Utente'!$R$2:$R$492,0)),"")</f>
        <v/>
      </c>
      <c r="L287" s="26" t="str">
        <f aca="false">IFERROR(INDEX('Output Utente'!$E$2:$E$492,MATCH(284,'Output Utente'!$R$2:$R$492,0)),"")</f>
        <v/>
      </c>
    </row>
    <row r="288" customFormat="false" ht="15" hidden="false" customHeight="true" outlineLevel="0" collapsed="false">
      <c r="A288" s="29" t="n">
        <v>285</v>
      </c>
      <c r="B288" s="26" t="str">
        <f aca="false">IFERROR(INDEX('Output Utente'!$A$2:$A$492,MATCH(285,'Output Utente'!$R$2:$R$492,0)),"")</f>
        <v/>
      </c>
      <c r="C288" s="26" t="str">
        <f aca="false">IFERROR(INDEX('Output Utente'!$B$2:$B$492,MATCH(285,'Output Utente'!$R$2:$R$492,0)),"")</f>
        <v/>
      </c>
      <c r="D288" s="26" t="str">
        <f aca="false">IFERROR(INDEX('Output Utente'!$C$2:$C$492,MATCH(285,'Output Utente'!$R$2:$R$492,0)),"")</f>
        <v/>
      </c>
      <c r="E288" s="26" t="str">
        <f aca="false">IFERROR(INDEX('Input Giocatori 2026_27'!$D$3:$D$493,MATCH($B288,'Input Giocatori 2026_27'!$A$3:$A$493,0)),"")</f>
        <v/>
      </c>
      <c r="F288" s="27" t="str">
        <f aca="false">IFERROR(INDEX('Output Utente'!$N$2:$N$492,MATCH(285,'Output Utente'!$R$2:$R$492,0)),"")</f>
        <v/>
      </c>
      <c r="G288" s="26" t="str">
        <f aca="false">IFERROR(INDEX('Output Utente'!$O$2:$O$492,MATCH(285,'Output Utente'!$R$2:$R$492,0)),"")</f>
        <v/>
      </c>
      <c r="H288" s="26" t="str">
        <f aca="false">IFERROR(INDEX('Output Utente'!$P$2:$P$492,MATCH(285,'Output Utente'!$R$2:$R$492,0)),"")</f>
        <v/>
      </c>
      <c r="I288" s="27" t="str">
        <f aca="false">IFERROR(INDEX('Output Utente'!$F$2:$F$492,MATCH(285,'Output Utente'!$R$2:$R$492,0)),"")</f>
        <v/>
      </c>
      <c r="J288" s="27" t="str">
        <f aca="false">IFERROR(INDEX('Output Utente'!$G$2:$G$492,MATCH(285,'Output Utente'!$R$2:$R$492,0)),"")</f>
        <v/>
      </c>
      <c r="K288" s="27" t="str">
        <f aca="false">IFERROR(INDEX('Output Utente'!$H$2:$H$492,MATCH(285,'Output Utente'!$R$2:$R$492,0)),"")</f>
        <v/>
      </c>
      <c r="L288" s="26" t="str">
        <f aca="false">IFERROR(INDEX('Output Utente'!$E$2:$E$492,MATCH(285,'Output Utente'!$R$2:$R$492,0)),"")</f>
        <v/>
      </c>
    </row>
    <row r="289" customFormat="false" ht="15" hidden="false" customHeight="true" outlineLevel="0" collapsed="false">
      <c r="A289" s="29" t="n">
        <v>286</v>
      </c>
      <c r="B289" s="26" t="str">
        <f aca="false">IFERROR(INDEX('Output Utente'!$A$2:$A$492,MATCH(286,'Output Utente'!$R$2:$R$492,0)),"")</f>
        <v/>
      </c>
      <c r="C289" s="26" t="str">
        <f aca="false">IFERROR(INDEX('Output Utente'!$B$2:$B$492,MATCH(286,'Output Utente'!$R$2:$R$492,0)),"")</f>
        <v/>
      </c>
      <c r="D289" s="26" t="str">
        <f aca="false">IFERROR(INDEX('Output Utente'!$C$2:$C$492,MATCH(286,'Output Utente'!$R$2:$R$492,0)),"")</f>
        <v/>
      </c>
      <c r="E289" s="26" t="str">
        <f aca="false">IFERROR(INDEX('Input Giocatori 2026_27'!$D$3:$D$493,MATCH($B289,'Input Giocatori 2026_27'!$A$3:$A$493,0)),"")</f>
        <v/>
      </c>
      <c r="F289" s="27" t="str">
        <f aca="false">IFERROR(INDEX('Output Utente'!$N$2:$N$492,MATCH(286,'Output Utente'!$R$2:$R$492,0)),"")</f>
        <v/>
      </c>
      <c r="G289" s="26" t="str">
        <f aca="false">IFERROR(INDEX('Output Utente'!$O$2:$O$492,MATCH(286,'Output Utente'!$R$2:$R$492,0)),"")</f>
        <v/>
      </c>
      <c r="H289" s="26" t="str">
        <f aca="false">IFERROR(INDEX('Output Utente'!$P$2:$P$492,MATCH(286,'Output Utente'!$R$2:$R$492,0)),"")</f>
        <v/>
      </c>
      <c r="I289" s="27" t="str">
        <f aca="false">IFERROR(INDEX('Output Utente'!$F$2:$F$492,MATCH(286,'Output Utente'!$R$2:$R$492,0)),"")</f>
        <v/>
      </c>
      <c r="J289" s="27" t="str">
        <f aca="false">IFERROR(INDEX('Output Utente'!$G$2:$G$492,MATCH(286,'Output Utente'!$R$2:$R$492,0)),"")</f>
        <v/>
      </c>
      <c r="K289" s="27" t="str">
        <f aca="false">IFERROR(INDEX('Output Utente'!$H$2:$H$492,MATCH(286,'Output Utente'!$R$2:$R$492,0)),"")</f>
        <v/>
      </c>
      <c r="L289" s="26" t="str">
        <f aca="false">IFERROR(INDEX('Output Utente'!$E$2:$E$492,MATCH(286,'Output Utente'!$R$2:$R$492,0)),"")</f>
        <v/>
      </c>
    </row>
    <row r="290" customFormat="false" ht="15" hidden="false" customHeight="true" outlineLevel="0" collapsed="false">
      <c r="A290" s="29" t="n">
        <v>287</v>
      </c>
      <c r="B290" s="26" t="str">
        <f aca="false">IFERROR(INDEX('Output Utente'!$A$2:$A$492,MATCH(287,'Output Utente'!$R$2:$R$492,0)),"")</f>
        <v/>
      </c>
      <c r="C290" s="26" t="str">
        <f aca="false">IFERROR(INDEX('Output Utente'!$B$2:$B$492,MATCH(287,'Output Utente'!$R$2:$R$492,0)),"")</f>
        <v/>
      </c>
      <c r="D290" s="26" t="str">
        <f aca="false">IFERROR(INDEX('Output Utente'!$C$2:$C$492,MATCH(287,'Output Utente'!$R$2:$R$492,0)),"")</f>
        <v/>
      </c>
      <c r="E290" s="26" t="str">
        <f aca="false">IFERROR(INDEX('Input Giocatori 2026_27'!$D$3:$D$493,MATCH($B290,'Input Giocatori 2026_27'!$A$3:$A$493,0)),"")</f>
        <v/>
      </c>
      <c r="F290" s="27" t="str">
        <f aca="false">IFERROR(INDEX('Output Utente'!$N$2:$N$492,MATCH(287,'Output Utente'!$R$2:$R$492,0)),"")</f>
        <v/>
      </c>
      <c r="G290" s="26" t="str">
        <f aca="false">IFERROR(INDEX('Output Utente'!$O$2:$O$492,MATCH(287,'Output Utente'!$R$2:$R$492,0)),"")</f>
        <v/>
      </c>
      <c r="H290" s="26" t="str">
        <f aca="false">IFERROR(INDEX('Output Utente'!$P$2:$P$492,MATCH(287,'Output Utente'!$R$2:$R$492,0)),"")</f>
        <v/>
      </c>
      <c r="I290" s="27" t="str">
        <f aca="false">IFERROR(INDEX('Output Utente'!$F$2:$F$492,MATCH(287,'Output Utente'!$R$2:$R$492,0)),"")</f>
        <v/>
      </c>
      <c r="J290" s="27" t="str">
        <f aca="false">IFERROR(INDEX('Output Utente'!$G$2:$G$492,MATCH(287,'Output Utente'!$R$2:$R$492,0)),"")</f>
        <v/>
      </c>
      <c r="K290" s="27" t="str">
        <f aca="false">IFERROR(INDEX('Output Utente'!$H$2:$H$492,MATCH(287,'Output Utente'!$R$2:$R$492,0)),"")</f>
        <v/>
      </c>
      <c r="L290" s="26" t="str">
        <f aca="false">IFERROR(INDEX('Output Utente'!$E$2:$E$492,MATCH(287,'Output Utente'!$R$2:$R$492,0)),"")</f>
        <v/>
      </c>
    </row>
    <row r="291" customFormat="false" ht="15" hidden="false" customHeight="true" outlineLevel="0" collapsed="false">
      <c r="A291" s="29" t="n">
        <v>288</v>
      </c>
      <c r="B291" s="26" t="str">
        <f aca="false">IFERROR(INDEX('Output Utente'!$A$2:$A$492,MATCH(288,'Output Utente'!$R$2:$R$492,0)),"")</f>
        <v/>
      </c>
      <c r="C291" s="26" t="str">
        <f aca="false">IFERROR(INDEX('Output Utente'!$B$2:$B$492,MATCH(288,'Output Utente'!$R$2:$R$492,0)),"")</f>
        <v/>
      </c>
      <c r="D291" s="26" t="str">
        <f aca="false">IFERROR(INDEX('Output Utente'!$C$2:$C$492,MATCH(288,'Output Utente'!$R$2:$R$492,0)),"")</f>
        <v/>
      </c>
      <c r="E291" s="26" t="str">
        <f aca="false">IFERROR(INDEX('Input Giocatori 2026_27'!$D$3:$D$493,MATCH($B291,'Input Giocatori 2026_27'!$A$3:$A$493,0)),"")</f>
        <v/>
      </c>
      <c r="F291" s="27" t="str">
        <f aca="false">IFERROR(INDEX('Output Utente'!$N$2:$N$492,MATCH(288,'Output Utente'!$R$2:$R$492,0)),"")</f>
        <v/>
      </c>
      <c r="G291" s="26" t="str">
        <f aca="false">IFERROR(INDEX('Output Utente'!$O$2:$O$492,MATCH(288,'Output Utente'!$R$2:$R$492,0)),"")</f>
        <v/>
      </c>
      <c r="H291" s="26" t="str">
        <f aca="false">IFERROR(INDEX('Output Utente'!$P$2:$P$492,MATCH(288,'Output Utente'!$R$2:$R$492,0)),"")</f>
        <v/>
      </c>
      <c r="I291" s="27" t="str">
        <f aca="false">IFERROR(INDEX('Output Utente'!$F$2:$F$492,MATCH(288,'Output Utente'!$R$2:$R$492,0)),"")</f>
        <v/>
      </c>
      <c r="J291" s="27" t="str">
        <f aca="false">IFERROR(INDEX('Output Utente'!$G$2:$G$492,MATCH(288,'Output Utente'!$R$2:$R$492,0)),"")</f>
        <v/>
      </c>
      <c r="K291" s="27" t="str">
        <f aca="false">IFERROR(INDEX('Output Utente'!$H$2:$H$492,MATCH(288,'Output Utente'!$R$2:$R$492,0)),"")</f>
        <v/>
      </c>
      <c r="L291" s="26" t="str">
        <f aca="false">IFERROR(INDEX('Output Utente'!$E$2:$E$492,MATCH(288,'Output Utente'!$R$2:$R$492,0)),"")</f>
        <v/>
      </c>
    </row>
    <row r="292" customFormat="false" ht="15" hidden="false" customHeight="true" outlineLevel="0" collapsed="false">
      <c r="A292" s="29" t="n">
        <v>289</v>
      </c>
      <c r="B292" s="26" t="str">
        <f aca="false">IFERROR(INDEX('Output Utente'!$A$2:$A$492,MATCH(289,'Output Utente'!$R$2:$R$492,0)),"")</f>
        <v/>
      </c>
      <c r="C292" s="26" t="str">
        <f aca="false">IFERROR(INDEX('Output Utente'!$B$2:$B$492,MATCH(289,'Output Utente'!$R$2:$R$492,0)),"")</f>
        <v/>
      </c>
      <c r="D292" s="26" t="str">
        <f aca="false">IFERROR(INDEX('Output Utente'!$C$2:$C$492,MATCH(289,'Output Utente'!$R$2:$R$492,0)),"")</f>
        <v/>
      </c>
      <c r="E292" s="26" t="str">
        <f aca="false">IFERROR(INDEX('Input Giocatori 2026_27'!$D$3:$D$493,MATCH($B292,'Input Giocatori 2026_27'!$A$3:$A$493,0)),"")</f>
        <v/>
      </c>
      <c r="F292" s="27" t="str">
        <f aca="false">IFERROR(INDEX('Output Utente'!$N$2:$N$492,MATCH(289,'Output Utente'!$R$2:$R$492,0)),"")</f>
        <v/>
      </c>
      <c r="G292" s="26" t="str">
        <f aca="false">IFERROR(INDEX('Output Utente'!$O$2:$O$492,MATCH(289,'Output Utente'!$R$2:$R$492,0)),"")</f>
        <v/>
      </c>
      <c r="H292" s="26" t="str">
        <f aca="false">IFERROR(INDEX('Output Utente'!$P$2:$P$492,MATCH(289,'Output Utente'!$R$2:$R$492,0)),"")</f>
        <v/>
      </c>
      <c r="I292" s="27" t="str">
        <f aca="false">IFERROR(INDEX('Output Utente'!$F$2:$F$492,MATCH(289,'Output Utente'!$R$2:$R$492,0)),"")</f>
        <v/>
      </c>
      <c r="J292" s="27" t="str">
        <f aca="false">IFERROR(INDEX('Output Utente'!$G$2:$G$492,MATCH(289,'Output Utente'!$R$2:$R$492,0)),"")</f>
        <v/>
      </c>
      <c r="K292" s="27" t="str">
        <f aca="false">IFERROR(INDEX('Output Utente'!$H$2:$H$492,MATCH(289,'Output Utente'!$R$2:$R$492,0)),"")</f>
        <v/>
      </c>
      <c r="L292" s="26" t="str">
        <f aca="false">IFERROR(INDEX('Output Utente'!$E$2:$E$492,MATCH(289,'Output Utente'!$R$2:$R$492,0)),"")</f>
        <v/>
      </c>
    </row>
    <row r="293" customFormat="false" ht="15" hidden="false" customHeight="true" outlineLevel="0" collapsed="false">
      <c r="A293" s="29" t="n">
        <v>290</v>
      </c>
      <c r="B293" s="26" t="str">
        <f aca="false">IFERROR(INDEX('Output Utente'!$A$2:$A$492,MATCH(290,'Output Utente'!$R$2:$R$492,0)),"")</f>
        <v/>
      </c>
      <c r="C293" s="26" t="str">
        <f aca="false">IFERROR(INDEX('Output Utente'!$B$2:$B$492,MATCH(290,'Output Utente'!$R$2:$R$492,0)),"")</f>
        <v/>
      </c>
      <c r="D293" s="26" t="str">
        <f aca="false">IFERROR(INDEX('Output Utente'!$C$2:$C$492,MATCH(290,'Output Utente'!$R$2:$R$492,0)),"")</f>
        <v/>
      </c>
      <c r="E293" s="26" t="str">
        <f aca="false">IFERROR(INDEX('Input Giocatori 2026_27'!$D$3:$D$493,MATCH($B293,'Input Giocatori 2026_27'!$A$3:$A$493,0)),"")</f>
        <v/>
      </c>
      <c r="F293" s="27" t="str">
        <f aca="false">IFERROR(INDEX('Output Utente'!$N$2:$N$492,MATCH(290,'Output Utente'!$R$2:$R$492,0)),"")</f>
        <v/>
      </c>
      <c r="G293" s="26" t="str">
        <f aca="false">IFERROR(INDEX('Output Utente'!$O$2:$O$492,MATCH(290,'Output Utente'!$R$2:$R$492,0)),"")</f>
        <v/>
      </c>
      <c r="H293" s="26" t="str">
        <f aca="false">IFERROR(INDEX('Output Utente'!$P$2:$P$492,MATCH(290,'Output Utente'!$R$2:$R$492,0)),"")</f>
        <v/>
      </c>
      <c r="I293" s="27" t="str">
        <f aca="false">IFERROR(INDEX('Output Utente'!$F$2:$F$492,MATCH(290,'Output Utente'!$R$2:$R$492,0)),"")</f>
        <v/>
      </c>
      <c r="J293" s="27" t="str">
        <f aca="false">IFERROR(INDEX('Output Utente'!$G$2:$G$492,MATCH(290,'Output Utente'!$R$2:$R$492,0)),"")</f>
        <v/>
      </c>
      <c r="K293" s="27" t="str">
        <f aca="false">IFERROR(INDEX('Output Utente'!$H$2:$H$492,MATCH(290,'Output Utente'!$R$2:$R$492,0)),"")</f>
        <v/>
      </c>
      <c r="L293" s="26" t="str">
        <f aca="false">IFERROR(INDEX('Output Utente'!$E$2:$E$492,MATCH(290,'Output Utente'!$R$2:$R$492,0)),"")</f>
        <v/>
      </c>
    </row>
    <row r="294" customFormat="false" ht="15" hidden="false" customHeight="true" outlineLevel="0" collapsed="false">
      <c r="A294" s="29" t="n">
        <v>291</v>
      </c>
      <c r="B294" s="26" t="str">
        <f aca="false">IFERROR(INDEX('Output Utente'!$A$2:$A$492,MATCH(291,'Output Utente'!$R$2:$R$492,0)),"")</f>
        <v/>
      </c>
      <c r="C294" s="26" t="str">
        <f aca="false">IFERROR(INDEX('Output Utente'!$B$2:$B$492,MATCH(291,'Output Utente'!$R$2:$R$492,0)),"")</f>
        <v/>
      </c>
      <c r="D294" s="26" t="str">
        <f aca="false">IFERROR(INDEX('Output Utente'!$C$2:$C$492,MATCH(291,'Output Utente'!$R$2:$R$492,0)),"")</f>
        <v/>
      </c>
      <c r="E294" s="26" t="str">
        <f aca="false">IFERROR(INDEX('Input Giocatori 2026_27'!$D$3:$D$493,MATCH($B294,'Input Giocatori 2026_27'!$A$3:$A$493,0)),"")</f>
        <v/>
      </c>
      <c r="F294" s="27" t="str">
        <f aca="false">IFERROR(INDEX('Output Utente'!$N$2:$N$492,MATCH(291,'Output Utente'!$R$2:$R$492,0)),"")</f>
        <v/>
      </c>
      <c r="G294" s="26" t="str">
        <f aca="false">IFERROR(INDEX('Output Utente'!$O$2:$O$492,MATCH(291,'Output Utente'!$R$2:$R$492,0)),"")</f>
        <v/>
      </c>
      <c r="H294" s="26" t="str">
        <f aca="false">IFERROR(INDEX('Output Utente'!$P$2:$P$492,MATCH(291,'Output Utente'!$R$2:$R$492,0)),"")</f>
        <v/>
      </c>
      <c r="I294" s="27" t="str">
        <f aca="false">IFERROR(INDEX('Output Utente'!$F$2:$F$492,MATCH(291,'Output Utente'!$R$2:$R$492,0)),"")</f>
        <v/>
      </c>
      <c r="J294" s="27" t="str">
        <f aca="false">IFERROR(INDEX('Output Utente'!$G$2:$G$492,MATCH(291,'Output Utente'!$R$2:$R$492,0)),"")</f>
        <v/>
      </c>
      <c r="K294" s="27" t="str">
        <f aca="false">IFERROR(INDEX('Output Utente'!$H$2:$H$492,MATCH(291,'Output Utente'!$R$2:$R$492,0)),"")</f>
        <v/>
      </c>
      <c r="L294" s="26" t="str">
        <f aca="false">IFERROR(INDEX('Output Utente'!$E$2:$E$492,MATCH(291,'Output Utente'!$R$2:$R$492,0)),"")</f>
        <v/>
      </c>
    </row>
    <row r="295" customFormat="false" ht="15" hidden="false" customHeight="true" outlineLevel="0" collapsed="false">
      <c r="A295" s="29" t="n">
        <v>292</v>
      </c>
      <c r="B295" s="26" t="str">
        <f aca="false">IFERROR(INDEX('Output Utente'!$A$2:$A$492,MATCH(292,'Output Utente'!$R$2:$R$492,0)),"")</f>
        <v/>
      </c>
      <c r="C295" s="26" t="str">
        <f aca="false">IFERROR(INDEX('Output Utente'!$B$2:$B$492,MATCH(292,'Output Utente'!$R$2:$R$492,0)),"")</f>
        <v/>
      </c>
      <c r="D295" s="26" t="str">
        <f aca="false">IFERROR(INDEX('Output Utente'!$C$2:$C$492,MATCH(292,'Output Utente'!$R$2:$R$492,0)),"")</f>
        <v/>
      </c>
      <c r="E295" s="26" t="str">
        <f aca="false">IFERROR(INDEX('Input Giocatori 2026_27'!$D$3:$D$493,MATCH($B295,'Input Giocatori 2026_27'!$A$3:$A$493,0)),"")</f>
        <v/>
      </c>
      <c r="F295" s="27" t="str">
        <f aca="false">IFERROR(INDEX('Output Utente'!$N$2:$N$492,MATCH(292,'Output Utente'!$R$2:$R$492,0)),"")</f>
        <v/>
      </c>
      <c r="G295" s="26" t="str">
        <f aca="false">IFERROR(INDEX('Output Utente'!$O$2:$O$492,MATCH(292,'Output Utente'!$R$2:$R$492,0)),"")</f>
        <v/>
      </c>
      <c r="H295" s="26" t="str">
        <f aca="false">IFERROR(INDEX('Output Utente'!$P$2:$P$492,MATCH(292,'Output Utente'!$R$2:$R$492,0)),"")</f>
        <v/>
      </c>
      <c r="I295" s="27" t="str">
        <f aca="false">IFERROR(INDEX('Output Utente'!$F$2:$F$492,MATCH(292,'Output Utente'!$R$2:$R$492,0)),"")</f>
        <v/>
      </c>
      <c r="J295" s="27" t="str">
        <f aca="false">IFERROR(INDEX('Output Utente'!$G$2:$G$492,MATCH(292,'Output Utente'!$R$2:$R$492,0)),"")</f>
        <v/>
      </c>
      <c r="K295" s="27" t="str">
        <f aca="false">IFERROR(INDEX('Output Utente'!$H$2:$H$492,MATCH(292,'Output Utente'!$R$2:$R$492,0)),"")</f>
        <v/>
      </c>
      <c r="L295" s="26" t="str">
        <f aca="false">IFERROR(INDEX('Output Utente'!$E$2:$E$492,MATCH(292,'Output Utente'!$R$2:$R$492,0)),"")</f>
        <v/>
      </c>
    </row>
    <row r="296" customFormat="false" ht="15" hidden="false" customHeight="true" outlineLevel="0" collapsed="false">
      <c r="A296" s="29" t="n">
        <v>293</v>
      </c>
      <c r="B296" s="26" t="str">
        <f aca="false">IFERROR(INDEX('Output Utente'!$A$2:$A$492,MATCH(293,'Output Utente'!$R$2:$R$492,0)),"")</f>
        <v/>
      </c>
      <c r="C296" s="26" t="str">
        <f aca="false">IFERROR(INDEX('Output Utente'!$B$2:$B$492,MATCH(293,'Output Utente'!$R$2:$R$492,0)),"")</f>
        <v/>
      </c>
      <c r="D296" s="26" t="str">
        <f aca="false">IFERROR(INDEX('Output Utente'!$C$2:$C$492,MATCH(293,'Output Utente'!$R$2:$R$492,0)),"")</f>
        <v/>
      </c>
      <c r="E296" s="26" t="str">
        <f aca="false">IFERROR(INDEX('Input Giocatori 2026_27'!$D$3:$D$493,MATCH($B296,'Input Giocatori 2026_27'!$A$3:$A$493,0)),"")</f>
        <v/>
      </c>
      <c r="F296" s="27" t="str">
        <f aca="false">IFERROR(INDEX('Output Utente'!$N$2:$N$492,MATCH(293,'Output Utente'!$R$2:$R$492,0)),"")</f>
        <v/>
      </c>
      <c r="G296" s="26" t="str">
        <f aca="false">IFERROR(INDEX('Output Utente'!$O$2:$O$492,MATCH(293,'Output Utente'!$R$2:$R$492,0)),"")</f>
        <v/>
      </c>
      <c r="H296" s="26" t="str">
        <f aca="false">IFERROR(INDEX('Output Utente'!$P$2:$P$492,MATCH(293,'Output Utente'!$R$2:$R$492,0)),"")</f>
        <v/>
      </c>
      <c r="I296" s="27" t="str">
        <f aca="false">IFERROR(INDEX('Output Utente'!$F$2:$F$492,MATCH(293,'Output Utente'!$R$2:$R$492,0)),"")</f>
        <v/>
      </c>
      <c r="J296" s="27" t="str">
        <f aca="false">IFERROR(INDEX('Output Utente'!$G$2:$G$492,MATCH(293,'Output Utente'!$R$2:$R$492,0)),"")</f>
        <v/>
      </c>
      <c r="K296" s="27" t="str">
        <f aca="false">IFERROR(INDEX('Output Utente'!$H$2:$H$492,MATCH(293,'Output Utente'!$R$2:$R$492,0)),"")</f>
        <v/>
      </c>
      <c r="L296" s="26" t="str">
        <f aca="false">IFERROR(INDEX('Output Utente'!$E$2:$E$492,MATCH(293,'Output Utente'!$R$2:$R$492,0)),"")</f>
        <v/>
      </c>
    </row>
    <row r="297" customFormat="false" ht="15" hidden="false" customHeight="true" outlineLevel="0" collapsed="false">
      <c r="A297" s="29" t="n">
        <v>294</v>
      </c>
      <c r="B297" s="26" t="str">
        <f aca="false">IFERROR(INDEX('Output Utente'!$A$2:$A$492,MATCH(294,'Output Utente'!$R$2:$R$492,0)),"")</f>
        <v/>
      </c>
      <c r="C297" s="26" t="str">
        <f aca="false">IFERROR(INDEX('Output Utente'!$B$2:$B$492,MATCH(294,'Output Utente'!$R$2:$R$492,0)),"")</f>
        <v/>
      </c>
      <c r="D297" s="26" t="str">
        <f aca="false">IFERROR(INDEX('Output Utente'!$C$2:$C$492,MATCH(294,'Output Utente'!$R$2:$R$492,0)),"")</f>
        <v/>
      </c>
      <c r="E297" s="26" t="str">
        <f aca="false">IFERROR(INDEX('Input Giocatori 2026_27'!$D$3:$D$493,MATCH($B297,'Input Giocatori 2026_27'!$A$3:$A$493,0)),"")</f>
        <v/>
      </c>
      <c r="F297" s="27" t="str">
        <f aca="false">IFERROR(INDEX('Output Utente'!$N$2:$N$492,MATCH(294,'Output Utente'!$R$2:$R$492,0)),"")</f>
        <v/>
      </c>
      <c r="G297" s="26" t="str">
        <f aca="false">IFERROR(INDEX('Output Utente'!$O$2:$O$492,MATCH(294,'Output Utente'!$R$2:$R$492,0)),"")</f>
        <v/>
      </c>
      <c r="H297" s="26" t="str">
        <f aca="false">IFERROR(INDEX('Output Utente'!$P$2:$P$492,MATCH(294,'Output Utente'!$R$2:$R$492,0)),"")</f>
        <v/>
      </c>
      <c r="I297" s="27" t="str">
        <f aca="false">IFERROR(INDEX('Output Utente'!$F$2:$F$492,MATCH(294,'Output Utente'!$R$2:$R$492,0)),"")</f>
        <v/>
      </c>
      <c r="J297" s="27" t="str">
        <f aca="false">IFERROR(INDEX('Output Utente'!$G$2:$G$492,MATCH(294,'Output Utente'!$R$2:$R$492,0)),"")</f>
        <v/>
      </c>
      <c r="K297" s="27" t="str">
        <f aca="false">IFERROR(INDEX('Output Utente'!$H$2:$H$492,MATCH(294,'Output Utente'!$R$2:$R$492,0)),"")</f>
        <v/>
      </c>
      <c r="L297" s="26" t="str">
        <f aca="false">IFERROR(INDEX('Output Utente'!$E$2:$E$492,MATCH(294,'Output Utente'!$R$2:$R$492,0)),"")</f>
        <v/>
      </c>
    </row>
    <row r="298" customFormat="false" ht="15" hidden="false" customHeight="true" outlineLevel="0" collapsed="false">
      <c r="A298" s="29" t="n">
        <v>295</v>
      </c>
      <c r="B298" s="26" t="str">
        <f aca="false">IFERROR(INDEX('Output Utente'!$A$2:$A$492,MATCH(295,'Output Utente'!$R$2:$R$492,0)),"")</f>
        <v/>
      </c>
      <c r="C298" s="26" t="str">
        <f aca="false">IFERROR(INDEX('Output Utente'!$B$2:$B$492,MATCH(295,'Output Utente'!$R$2:$R$492,0)),"")</f>
        <v/>
      </c>
      <c r="D298" s="26" t="str">
        <f aca="false">IFERROR(INDEX('Output Utente'!$C$2:$C$492,MATCH(295,'Output Utente'!$R$2:$R$492,0)),"")</f>
        <v/>
      </c>
      <c r="E298" s="26" t="str">
        <f aca="false">IFERROR(INDEX('Input Giocatori 2026_27'!$D$3:$D$493,MATCH($B298,'Input Giocatori 2026_27'!$A$3:$A$493,0)),"")</f>
        <v/>
      </c>
      <c r="F298" s="27" t="str">
        <f aca="false">IFERROR(INDEX('Output Utente'!$N$2:$N$492,MATCH(295,'Output Utente'!$R$2:$R$492,0)),"")</f>
        <v/>
      </c>
      <c r="G298" s="26" t="str">
        <f aca="false">IFERROR(INDEX('Output Utente'!$O$2:$O$492,MATCH(295,'Output Utente'!$R$2:$R$492,0)),"")</f>
        <v/>
      </c>
      <c r="H298" s="26" t="str">
        <f aca="false">IFERROR(INDEX('Output Utente'!$P$2:$P$492,MATCH(295,'Output Utente'!$R$2:$R$492,0)),"")</f>
        <v/>
      </c>
      <c r="I298" s="27" t="str">
        <f aca="false">IFERROR(INDEX('Output Utente'!$F$2:$F$492,MATCH(295,'Output Utente'!$R$2:$R$492,0)),"")</f>
        <v/>
      </c>
      <c r="J298" s="27" t="str">
        <f aca="false">IFERROR(INDEX('Output Utente'!$G$2:$G$492,MATCH(295,'Output Utente'!$R$2:$R$492,0)),"")</f>
        <v/>
      </c>
      <c r="K298" s="27" t="str">
        <f aca="false">IFERROR(INDEX('Output Utente'!$H$2:$H$492,MATCH(295,'Output Utente'!$R$2:$R$492,0)),"")</f>
        <v/>
      </c>
      <c r="L298" s="26" t="str">
        <f aca="false">IFERROR(INDEX('Output Utente'!$E$2:$E$492,MATCH(295,'Output Utente'!$R$2:$R$492,0)),"")</f>
        <v/>
      </c>
    </row>
    <row r="299" customFormat="false" ht="15" hidden="false" customHeight="true" outlineLevel="0" collapsed="false">
      <c r="A299" s="29" t="n">
        <v>296</v>
      </c>
      <c r="B299" s="26" t="str">
        <f aca="false">IFERROR(INDEX('Output Utente'!$A$2:$A$492,MATCH(296,'Output Utente'!$R$2:$R$492,0)),"")</f>
        <v/>
      </c>
      <c r="C299" s="26" t="str">
        <f aca="false">IFERROR(INDEX('Output Utente'!$B$2:$B$492,MATCH(296,'Output Utente'!$R$2:$R$492,0)),"")</f>
        <v/>
      </c>
      <c r="D299" s="26" t="str">
        <f aca="false">IFERROR(INDEX('Output Utente'!$C$2:$C$492,MATCH(296,'Output Utente'!$R$2:$R$492,0)),"")</f>
        <v/>
      </c>
      <c r="E299" s="26" t="str">
        <f aca="false">IFERROR(INDEX('Input Giocatori 2026_27'!$D$3:$D$493,MATCH($B299,'Input Giocatori 2026_27'!$A$3:$A$493,0)),"")</f>
        <v/>
      </c>
      <c r="F299" s="27" t="str">
        <f aca="false">IFERROR(INDEX('Output Utente'!$N$2:$N$492,MATCH(296,'Output Utente'!$R$2:$R$492,0)),"")</f>
        <v/>
      </c>
      <c r="G299" s="26" t="str">
        <f aca="false">IFERROR(INDEX('Output Utente'!$O$2:$O$492,MATCH(296,'Output Utente'!$R$2:$R$492,0)),"")</f>
        <v/>
      </c>
      <c r="H299" s="26" t="str">
        <f aca="false">IFERROR(INDEX('Output Utente'!$P$2:$P$492,MATCH(296,'Output Utente'!$R$2:$R$492,0)),"")</f>
        <v/>
      </c>
      <c r="I299" s="27" t="str">
        <f aca="false">IFERROR(INDEX('Output Utente'!$F$2:$F$492,MATCH(296,'Output Utente'!$R$2:$R$492,0)),"")</f>
        <v/>
      </c>
      <c r="J299" s="27" t="str">
        <f aca="false">IFERROR(INDEX('Output Utente'!$G$2:$G$492,MATCH(296,'Output Utente'!$R$2:$R$492,0)),"")</f>
        <v/>
      </c>
      <c r="K299" s="27" t="str">
        <f aca="false">IFERROR(INDEX('Output Utente'!$H$2:$H$492,MATCH(296,'Output Utente'!$R$2:$R$492,0)),"")</f>
        <v/>
      </c>
      <c r="L299" s="26" t="str">
        <f aca="false">IFERROR(INDEX('Output Utente'!$E$2:$E$492,MATCH(296,'Output Utente'!$R$2:$R$492,0)),"")</f>
        <v/>
      </c>
    </row>
    <row r="300" customFormat="false" ht="15" hidden="false" customHeight="true" outlineLevel="0" collapsed="false">
      <c r="A300" s="29" t="n">
        <v>297</v>
      </c>
      <c r="B300" s="26" t="str">
        <f aca="false">IFERROR(INDEX('Output Utente'!$A$2:$A$492,MATCH(297,'Output Utente'!$R$2:$R$492,0)),"")</f>
        <v/>
      </c>
      <c r="C300" s="26" t="str">
        <f aca="false">IFERROR(INDEX('Output Utente'!$B$2:$B$492,MATCH(297,'Output Utente'!$R$2:$R$492,0)),"")</f>
        <v/>
      </c>
      <c r="D300" s="26" t="str">
        <f aca="false">IFERROR(INDEX('Output Utente'!$C$2:$C$492,MATCH(297,'Output Utente'!$R$2:$R$492,0)),"")</f>
        <v/>
      </c>
      <c r="E300" s="26" t="str">
        <f aca="false">IFERROR(INDEX('Input Giocatori 2026_27'!$D$3:$D$493,MATCH($B300,'Input Giocatori 2026_27'!$A$3:$A$493,0)),"")</f>
        <v/>
      </c>
      <c r="F300" s="27" t="str">
        <f aca="false">IFERROR(INDEX('Output Utente'!$N$2:$N$492,MATCH(297,'Output Utente'!$R$2:$R$492,0)),"")</f>
        <v/>
      </c>
      <c r="G300" s="26" t="str">
        <f aca="false">IFERROR(INDEX('Output Utente'!$O$2:$O$492,MATCH(297,'Output Utente'!$R$2:$R$492,0)),"")</f>
        <v/>
      </c>
      <c r="H300" s="26" t="str">
        <f aca="false">IFERROR(INDEX('Output Utente'!$P$2:$P$492,MATCH(297,'Output Utente'!$R$2:$R$492,0)),"")</f>
        <v/>
      </c>
      <c r="I300" s="27" t="str">
        <f aca="false">IFERROR(INDEX('Output Utente'!$F$2:$F$492,MATCH(297,'Output Utente'!$R$2:$R$492,0)),"")</f>
        <v/>
      </c>
      <c r="J300" s="27" t="str">
        <f aca="false">IFERROR(INDEX('Output Utente'!$G$2:$G$492,MATCH(297,'Output Utente'!$R$2:$R$492,0)),"")</f>
        <v/>
      </c>
      <c r="K300" s="27" t="str">
        <f aca="false">IFERROR(INDEX('Output Utente'!$H$2:$H$492,MATCH(297,'Output Utente'!$R$2:$R$492,0)),"")</f>
        <v/>
      </c>
      <c r="L300" s="26" t="str">
        <f aca="false">IFERROR(INDEX('Output Utente'!$E$2:$E$492,MATCH(297,'Output Utente'!$R$2:$R$492,0)),"")</f>
        <v/>
      </c>
    </row>
    <row r="301" customFormat="false" ht="15" hidden="false" customHeight="true" outlineLevel="0" collapsed="false">
      <c r="A301" s="29" t="n">
        <v>298</v>
      </c>
      <c r="B301" s="26" t="str">
        <f aca="false">IFERROR(INDEX('Output Utente'!$A$2:$A$492,MATCH(298,'Output Utente'!$R$2:$R$492,0)),"")</f>
        <v/>
      </c>
      <c r="C301" s="26" t="str">
        <f aca="false">IFERROR(INDEX('Output Utente'!$B$2:$B$492,MATCH(298,'Output Utente'!$R$2:$R$492,0)),"")</f>
        <v/>
      </c>
      <c r="D301" s="26" t="str">
        <f aca="false">IFERROR(INDEX('Output Utente'!$C$2:$C$492,MATCH(298,'Output Utente'!$R$2:$R$492,0)),"")</f>
        <v/>
      </c>
      <c r="E301" s="26" t="str">
        <f aca="false">IFERROR(INDEX('Input Giocatori 2026_27'!$D$3:$D$493,MATCH($B301,'Input Giocatori 2026_27'!$A$3:$A$493,0)),"")</f>
        <v/>
      </c>
      <c r="F301" s="27" t="str">
        <f aca="false">IFERROR(INDEX('Output Utente'!$N$2:$N$492,MATCH(298,'Output Utente'!$R$2:$R$492,0)),"")</f>
        <v/>
      </c>
      <c r="G301" s="26" t="str">
        <f aca="false">IFERROR(INDEX('Output Utente'!$O$2:$O$492,MATCH(298,'Output Utente'!$R$2:$R$492,0)),"")</f>
        <v/>
      </c>
      <c r="H301" s="26" t="str">
        <f aca="false">IFERROR(INDEX('Output Utente'!$P$2:$P$492,MATCH(298,'Output Utente'!$R$2:$R$492,0)),"")</f>
        <v/>
      </c>
      <c r="I301" s="27" t="str">
        <f aca="false">IFERROR(INDEX('Output Utente'!$F$2:$F$492,MATCH(298,'Output Utente'!$R$2:$R$492,0)),"")</f>
        <v/>
      </c>
      <c r="J301" s="27" t="str">
        <f aca="false">IFERROR(INDEX('Output Utente'!$G$2:$G$492,MATCH(298,'Output Utente'!$R$2:$R$492,0)),"")</f>
        <v/>
      </c>
      <c r="K301" s="27" t="str">
        <f aca="false">IFERROR(INDEX('Output Utente'!$H$2:$H$492,MATCH(298,'Output Utente'!$R$2:$R$492,0)),"")</f>
        <v/>
      </c>
      <c r="L301" s="26" t="str">
        <f aca="false">IFERROR(INDEX('Output Utente'!$E$2:$E$492,MATCH(298,'Output Utente'!$R$2:$R$492,0)),"")</f>
        <v/>
      </c>
    </row>
    <row r="302" customFormat="false" ht="15" hidden="false" customHeight="true" outlineLevel="0" collapsed="false">
      <c r="A302" s="29" t="n">
        <v>299</v>
      </c>
      <c r="B302" s="26" t="str">
        <f aca="false">IFERROR(INDEX('Output Utente'!$A$2:$A$492,MATCH(299,'Output Utente'!$R$2:$R$492,0)),"")</f>
        <v/>
      </c>
      <c r="C302" s="26" t="str">
        <f aca="false">IFERROR(INDEX('Output Utente'!$B$2:$B$492,MATCH(299,'Output Utente'!$R$2:$R$492,0)),"")</f>
        <v/>
      </c>
      <c r="D302" s="26" t="str">
        <f aca="false">IFERROR(INDEX('Output Utente'!$C$2:$C$492,MATCH(299,'Output Utente'!$R$2:$R$492,0)),"")</f>
        <v/>
      </c>
      <c r="E302" s="26" t="str">
        <f aca="false">IFERROR(INDEX('Input Giocatori 2026_27'!$D$3:$D$493,MATCH($B302,'Input Giocatori 2026_27'!$A$3:$A$493,0)),"")</f>
        <v/>
      </c>
      <c r="F302" s="27" t="str">
        <f aca="false">IFERROR(INDEX('Output Utente'!$N$2:$N$492,MATCH(299,'Output Utente'!$R$2:$R$492,0)),"")</f>
        <v/>
      </c>
      <c r="G302" s="26" t="str">
        <f aca="false">IFERROR(INDEX('Output Utente'!$O$2:$O$492,MATCH(299,'Output Utente'!$R$2:$R$492,0)),"")</f>
        <v/>
      </c>
      <c r="H302" s="26" t="str">
        <f aca="false">IFERROR(INDEX('Output Utente'!$P$2:$P$492,MATCH(299,'Output Utente'!$R$2:$R$492,0)),"")</f>
        <v/>
      </c>
      <c r="I302" s="27" t="str">
        <f aca="false">IFERROR(INDEX('Output Utente'!$F$2:$F$492,MATCH(299,'Output Utente'!$R$2:$R$492,0)),"")</f>
        <v/>
      </c>
      <c r="J302" s="27" t="str">
        <f aca="false">IFERROR(INDEX('Output Utente'!$G$2:$G$492,MATCH(299,'Output Utente'!$R$2:$R$492,0)),"")</f>
        <v/>
      </c>
      <c r="K302" s="27" t="str">
        <f aca="false">IFERROR(INDEX('Output Utente'!$H$2:$H$492,MATCH(299,'Output Utente'!$R$2:$R$492,0)),"")</f>
        <v/>
      </c>
      <c r="L302" s="26" t="str">
        <f aca="false">IFERROR(INDEX('Output Utente'!$E$2:$E$492,MATCH(299,'Output Utente'!$R$2:$R$492,0)),"")</f>
        <v/>
      </c>
    </row>
    <row r="303" customFormat="false" ht="15" hidden="false" customHeight="true" outlineLevel="0" collapsed="false">
      <c r="A303" s="29" t="n">
        <v>300</v>
      </c>
      <c r="B303" s="26" t="str">
        <f aca="false">IFERROR(INDEX('Output Utente'!$A$2:$A$492,MATCH(300,'Output Utente'!$R$2:$R$492,0)),"")</f>
        <v/>
      </c>
      <c r="C303" s="26" t="str">
        <f aca="false">IFERROR(INDEX('Output Utente'!$B$2:$B$492,MATCH(300,'Output Utente'!$R$2:$R$492,0)),"")</f>
        <v/>
      </c>
      <c r="D303" s="26" t="str">
        <f aca="false">IFERROR(INDEX('Output Utente'!$C$2:$C$492,MATCH(300,'Output Utente'!$R$2:$R$492,0)),"")</f>
        <v/>
      </c>
      <c r="E303" s="26" t="str">
        <f aca="false">IFERROR(INDEX('Input Giocatori 2026_27'!$D$3:$D$493,MATCH($B303,'Input Giocatori 2026_27'!$A$3:$A$493,0)),"")</f>
        <v/>
      </c>
      <c r="F303" s="27" t="str">
        <f aca="false">IFERROR(INDEX('Output Utente'!$N$2:$N$492,MATCH(300,'Output Utente'!$R$2:$R$492,0)),"")</f>
        <v/>
      </c>
      <c r="G303" s="26" t="str">
        <f aca="false">IFERROR(INDEX('Output Utente'!$O$2:$O$492,MATCH(300,'Output Utente'!$R$2:$R$492,0)),"")</f>
        <v/>
      </c>
      <c r="H303" s="26" t="str">
        <f aca="false">IFERROR(INDEX('Output Utente'!$P$2:$P$492,MATCH(300,'Output Utente'!$R$2:$R$492,0)),"")</f>
        <v/>
      </c>
      <c r="I303" s="27" t="str">
        <f aca="false">IFERROR(INDEX('Output Utente'!$F$2:$F$492,MATCH(300,'Output Utente'!$R$2:$R$492,0)),"")</f>
        <v/>
      </c>
      <c r="J303" s="27" t="str">
        <f aca="false">IFERROR(INDEX('Output Utente'!$G$2:$G$492,MATCH(300,'Output Utente'!$R$2:$R$492,0)),"")</f>
        <v/>
      </c>
      <c r="K303" s="27" t="str">
        <f aca="false">IFERROR(INDEX('Output Utente'!$H$2:$H$492,MATCH(300,'Output Utente'!$R$2:$R$492,0)),"")</f>
        <v/>
      </c>
      <c r="L303" s="26" t="str">
        <f aca="false">IFERROR(INDEX('Output Utente'!$E$2:$E$492,MATCH(300,'Output Utente'!$R$2:$R$492,0)),"")</f>
        <v/>
      </c>
    </row>
    <row r="304" customFormat="false" ht="15" hidden="false" customHeight="true" outlineLevel="0" collapsed="false">
      <c r="A304" s="29" t="n">
        <v>301</v>
      </c>
      <c r="B304" s="26" t="str">
        <f aca="false">IFERROR(INDEX('Output Utente'!$A$2:$A$492,MATCH(301,'Output Utente'!$R$2:$R$492,0)),"")</f>
        <v/>
      </c>
      <c r="C304" s="26" t="str">
        <f aca="false">IFERROR(INDEX('Output Utente'!$B$2:$B$492,MATCH(301,'Output Utente'!$R$2:$R$492,0)),"")</f>
        <v/>
      </c>
      <c r="D304" s="26" t="str">
        <f aca="false">IFERROR(INDEX('Output Utente'!$C$2:$C$492,MATCH(301,'Output Utente'!$R$2:$R$492,0)),"")</f>
        <v/>
      </c>
      <c r="E304" s="26" t="str">
        <f aca="false">IFERROR(INDEX('Input Giocatori 2026_27'!$D$3:$D$493,MATCH($B304,'Input Giocatori 2026_27'!$A$3:$A$493,0)),"")</f>
        <v/>
      </c>
      <c r="F304" s="27" t="str">
        <f aca="false">IFERROR(INDEX('Output Utente'!$N$2:$N$492,MATCH(301,'Output Utente'!$R$2:$R$492,0)),"")</f>
        <v/>
      </c>
      <c r="G304" s="26" t="str">
        <f aca="false">IFERROR(INDEX('Output Utente'!$O$2:$O$492,MATCH(301,'Output Utente'!$R$2:$R$492,0)),"")</f>
        <v/>
      </c>
      <c r="H304" s="26" t="str">
        <f aca="false">IFERROR(INDEX('Output Utente'!$P$2:$P$492,MATCH(301,'Output Utente'!$R$2:$R$492,0)),"")</f>
        <v/>
      </c>
      <c r="I304" s="27" t="str">
        <f aca="false">IFERROR(INDEX('Output Utente'!$F$2:$F$492,MATCH(301,'Output Utente'!$R$2:$R$492,0)),"")</f>
        <v/>
      </c>
      <c r="J304" s="27" t="str">
        <f aca="false">IFERROR(INDEX('Output Utente'!$G$2:$G$492,MATCH(301,'Output Utente'!$R$2:$R$492,0)),"")</f>
        <v/>
      </c>
      <c r="K304" s="27" t="str">
        <f aca="false">IFERROR(INDEX('Output Utente'!$H$2:$H$492,MATCH(301,'Output Utente'!$R$2:$R$492,0)),"")</f>
        <v/>
      </c>
      <c r="L304" s="26" t="str">
        <f aca="false">IFERROR(INDEX('Output Utente'!$E$2:$E$492,MATCH(301,'Output Utente'!$R$2:$R$492,0)),"")</f>
        <v/>
      </c>
    </row>
    <row r="305" customFormat="false" ht="15" hidden="false" customHeight="true" outlineLevel="0" collapsed="false">
      <c r="A305" s="29" t="n">
        <v>302</v>
      </c>
      <c r="B305" s="26" t="str">
        <f aca="false">IFERROR(INDEX('Output Utente'!$A$2:$A$492,MATCH(302,'Output Utente'!$R$2:$R$492,0)),"")</f>
        <v/>
      </c>
      <c r="C305" s="26" t="str">
        <f aca="false">IFERROR(INDEX('Output Utente'!$B$2:$B$492,MATCH(302,'Output Utente'!$R$2:$R$492,0)),"")</f>
        <v/>
      </c>
      <c r="D305" s="26" t="str">
        <f aca="false">IFERROR(INDEX('Output Utente'!$C$2:$C$492,MATCH(302,'Output Utente'!$R$2:$R$492,0)),"")</f>
        <v/>
      </c>
      <c r="E305" s="26" t="str">
        <f aca="false">IFERROR(INDEX('Input Giocatori 2026_27'!$D$3:$D$493,MATCH($B305,'Input Giocatori 2026_27'!$A$3:$A$493,0)),"")</f>
        <v/>
      </c>
      <c r="F305" s="27" t="str">
        <f aca="false">IFERROR(INDEX('Output Utente'!$N$2:$N$492,MATCH(302,'Output Utente'!$R$2:$R$492,0)),"")</f>
        <v/>
      </c>
      <c r="G305" s="26" t="str">
        <f aca="false">IFERROR(INDEX('Output Utente'!$O$2:$O$492,MATCH(302,'Output Utente'!$R$2:$R$492,0)),"")</f>
        <v/>
      </c>
      <c r="H305" s="26" t="str">
        <f aca="false">IFERROR(INDEX('Output Utente'!$P$2:$P$492,MATCH(302,'Output Utente'!$R$2:$R$492,0)),"")</f>
        <v/>
      </c>
      <c r="I305" s="27" t="str">
        <f aca="false">IFERROR(INDEX('Output Utente'!$F$2:$F$492,MATCH(302,'Output Utente'!$R$2:$R$492,0)),"")</f>
        <v/>
      </c>
      <c r="J305" s="27" t="str">
        <f aca="false">IFERROR(INDEX('Output Utente'!$G$2:$G$492,MATCH(302,'Output Utente'!$R$2:$R$492,0)),"")</f>
        <v/>
      </c>
      <c r="K305" s="27" t="str">
        <f aca="false">IFERROR(INDEX('Output Utente'!$H$2:$H$492,MATCH(302,'Output Utente'!$R$2:$R$492,0)),"")</f>
        <v/>
      </c>
      <c r="L305" s="26" t="str">
        <f aca="false">IFERROR(INDEX('Output Utente'!$E$2:$E$492,MATCH(302,'Output Utente'!$R$2:$R$492,0)),"")</f>
        <v/>
      </c>
    </row>
    <row r="306" customFormat="false" ht="15" hidden="false" customHeight="true" outlineLevel="0" collapsed="false">
      <c r="A306" s="29" t="n">
        <v>303</v>
      </c>
      <c r="B306" s="26" t="str">
        <f aca="false">IFERROR(INDEX('Output Utente'!$A$2:$A$492,MATCH(303,'Output Utente'!$R$2:$R$492,0)),"")</f>
        <v/>
      </c>
      <c r="C306" s="26" t="str">
        <f aca="false">IFERROR(INDEX('Output Utente'!$B$2:$B$492,MATCH(303,'Output Utente'!$R$2:$R$492,0)),"")</f>
        <v/>
      </c>
      <c r="D306" s="26" t="str">
        <f aca="false">IFERROR(INDEX('Output Utente'!$C$2:$C$492,MATCH(303,'Output Utente'!$R$2:$R$492,0)),"")</f>
        <v/>
      </c>
      <c r="E306" s="26" t="str">
        <f aca="false">IFERROR(INDEX('Input Giocatori 2026_27'!$D$3:$D$493,MATCH($B306,'Input Giocatori 2026_27'!$A$3:$A$493,0)),"")</f>
        <v/>
      </c>
      <c r="F306" s="27" t="str">
        <f aca="false">IFERROR(INDEX('Output Utente'!$N$2:$N$492,MATCH(303,'Output Utente'!$R$2:$R$492,0)),"")</f>
        <v/>
      </c>
      <c r="G306" s="26" t="str">
        <f aca="false">IFERROR(INDEX('Output Utente'!$O$2:$O$492,MATCH(303,'Output Utente'!$R$2:$R$492,0)),"")</f>
        <v/>
      </c>
      <c r="H306" s="26" t="str">
        <f aca="false">IFERROR(INDEX('Output Utente'!$P$2:$P$492,MATCH(303,'Output Utente'!$R$2:$R$492,0)),"")</f>
        <v/>
      </c>
      <c r="I306" s="27" t="str">
        <f aca="false">IFERROR(INDEX('Output Utente'!$F$2:$F$492,MATCH(303,'Output Utente'!$R$2:$R$492,0)),"")</f>
        <v/>
      </c>
      <c r="J306" s="27" t="str">
        <f aca="false">IFERROR(INDEX('Output Utente'!$G$2:$G$492,MATCH(303,'Output Utente'!$R$2:$R$492,0)),"")</f>
        <v/>
      </c>
      <c r="K306" s="27" t="str">
        <f aca="false">IFERROR(INDEX('Output Utente'!$H$2:$H$492,MATCH(303,'Output Utente'!$R$2:$R$492,0)),"")</f>
        <v/>
      </c>
      <c r="L306" s="26" t="str">
        <f aca="false">IFERROR(INDEX('Output Utente'!$E$2:$E$492,MATCH(303,'Output Utente'!$R$2:$R$492,0)),"")</f>
        <v/>
      </c>
    </row>
    <row r="307" customFormat="false" ht="15" hidden="false" customHeight="true" outlineLevel="0" collapsed="false">
      <c r="A307" s="29" t="n">
        <v>304</v>
      </c>
      <c r="B307" s="26" t="str">
        <f aca="false">IFERROR(INDEX('Output Utente'!$A$2:$A$492,MATCH(304,'Output Utente'!$R$2:$R$492,0)),"")</f>
        <v/>
      </c>
      <c r="C307" s="26" t="str">
        <f aca="false">IFERROR(INDEX('Output Utente'!$B$2:$B$492,MATCH(304,'Output Utente'!$R$2:$R$492,0)),"")</f>
        <v/>
      </c>
      <c r="D307" s="26" t="str">
        <f aca="false">IFERROR(INDEX('Output Utente'!$C$2:$C$492,MATCH(304,'Output Utente'!$R$2:$R$492,0)),"")</f>
        <v/>
      </c>
      <c r="E307" s="26" t="str">
        <f aca="false">IFERROR(INDEX('Input Giocatori 2026_27'!$D$3:$D$493,MATCH($B307,'Input Giocatori 2026_27'!$A$3:$A$493,0)),"")</f>
        <v/>
      </c>
      <c r="F307" s="27" t="str">
        <f aca="false">IFERROR(INDEX('Output Utente'!$N$2:$N$492,MATCH(304,'Output Utente'!$R$2:$R$492,0)),"")</f>
        <v/>
      </c>
      <c r="G307" s="26" t="str">
        <f aca="false">IFERROR(INDEX('Output Utente'!$O$2:$O$492,MATCH(304,'Output Utente'!$R$2:$R$492,0)),"")</f>
        <v/>
      </c>
      <c r="H307" s="26" t="str">
        <f aca="false">IFERROR(INDEX('Output Utente'!$P$2:$P$492,MATCH(304,'Output Utente'!$R$2:$R$492,0)),"")</f>
        <v/>
      </c>
      <c r="I307" s="27" t="str">
        <f aca="false">IFERROR(INDEX('Output Utente'!$F$2:$F$492,MATCH(304,'Output Utente'!$R$2:$R$492,0)),"")</f>
        <v/>
      </c>
      <c r="J307" s="27" t="str">
        <f aca="false">IFERROR(INDEX('Output Utente'!$G$2:$G$492,MATCH(304,'Output Utente'!$R$2:$R$492,0)),"")</f>
        <v/>
      </c>
      <c r="K307" s="27" t="str">
        <f aca="false">IFERROR(INDEX('Output Utente'!$H$2:$H$492,MATCH(304,'Output Utente'!$R$2:$R$492,0)),"")</f>
        <v/>
      </c>
      <c r="L307" s="26" t="str">
        <f aca="false">IFERROR(INDEX('Output Utente'!$E$2:$E$492,MATCH(304,'Output Utente'!$R$2:$R$492,0)),"")</f>
        <v/>
      </c>
    </row>
    <row r="308" customFormat="false" ht="15" hidden="false" customHeight="true" outlineLevel="0" collapsed="false">
      <c r="A308" s="29" t="n">
        <v>305</v>
      </c>
      <c r="B308" s="26" t="str">
        <f aca="false">IFERROR(INDEX('Output Utente'!$A$2:$A$492,MATCH(305,'Output Utente'!$R$2:$R$492,0)),"")</f>
        <v/>
      </c>
      <c r="C308" s="26" t="str">
        <f aca="false">IFERROR(INDEX('Output Utente'!$B$2:$B$492,MATCH(305,'Output Utente'!$R$2:$R$492,0)),"")</f>
        <v/>
      </c>
      <c r="D308" s="26" t="str">
        <f aca="false">IFERROR(INDEX('Output Utente'!$C$2:$C$492,MATCH(305,'Output Utente'!$R$2:$R$492,0)),"")</f>
        <v/>
      </c>
      <c r="E308" s="26" t="str">
        <f aca="false">IFERROR(INDEX('Input Giocatori 2026_27'!$D$3:$D$493,MATCH($B308,'Input Giocatori 2026_27'!$A$3:$A$493,0)),"")</f>
        <v/>
      </c>
      <c r="F308" s="27" t="str">
        <f aca="false">IFERROR(INDEX('Output Utente'!$N$2:$N$492,MATCH(305,'Output Utente'!$R$2:$R$492,0)),"")</f>
        <v/>
      </c>
      <c r="G308" s="26" t="str">
        <f aca="false">IFERROR(INDEX('Output Utente'!$O$2:$O$492,MATCH(305,'Output Utente'!$R$2:$R$492,0)),"")</f>
        <v/>
      </c>
      <c r="H308" s="26" t="str">
        <f aca="false">IFERROR(INDEX('Output Utente'!$P$2:$P$492,MATCH(305,'Output Utente'!$R$2:$R$492,0)),"")</f>
        <v/>
      </c>
      <c r="I308" s="27" t="str">
        <f aca="false">IFERROR(INDEX('Output Utente'!$F$2:$F$492,MATCH(305,'Output Utente'!$R$2:$R$492,0)),"")</f>
        <v/>
      </c>
      <c r="J308" s="27" t="str">
        <f aca="false">IFERROR(INDEX('Output Utente'!$G$2:$G$492,MATCH(305,'Output Utente'!$R$2:$R$492,0)),"")</f>
        <v/>
      </c>
      <c r="K308" s="27" t="str">
        <f aca="false">IFERROR(INDEX('Output Utente'!$H$2:$H$492,MATCH(305,'Output Utente'!$R$2:$R$492,0)),"")</f>
        <v/>
      </c>
      <c r="L308" s="26" t="str">
        <f aca="false">IFERROR(INDEX('Output Utente'!$E$2:$E$492,MATCH(305,'Output Utente'!$R$2:$R$492,0)),"")</f>
        <v/>
      </c>
    </row>
    <row r="309" customFormat="false" ht="15" hidden="false" customHeight="true" outlineLevel="0" collapsed="false">
      <c r="A309" s="29" t="n">
        <v>306</v>
      </c>
      <c r="B309" s="26" t="str">
        <f aca="false">IFERROR(INDEX('Output Utente'!$A$2:$A$492,MATCH(306,'Output Utente'!$R$2:$R$492,0)),"")</f>
        <v/>
      </c>
      <c r="C309" s="26" t="str">
        <f aca="false">IFERROR(INDEX('Output Utente'!$B$2:$B$492,MATCH(306,'Output Utente'!$R$2:$R$492,0)),"")</f>
        <v/>
      </c>
      <c r="D309" s="26" t="str">
        <f aca="false">IFERROR(INDEX('Output Utente'!$C$2:$C$492,MATCH(306,'Output Utente'!$R$2:$R$492,0)),"")</f>
        <v/>
      </c>
      <c r="E309" s="26" t="str">
        <f aca="false">IFERROR(INDEX('Input Giocatori 2026_27'!$D$3:$D$493,MATCH($B309,'Input Giocatori 2026_27'!$A$3:$A$493,0)),"")</f>
        <v/>
      </c>
      <c r="F309" s="27" t="str">
        <f aca="false">IFERROR(INDEX('Output Utente'!$N$2:$N$492,MATCH(306,'Output Utente'!$R$2:$R$492,0)),"")</f>
        <v/>
      </c>
      <c r="G309" s="26" t="str">
        <f aca="false">IFERROR(INDEX('Output Utente'!$O$2:$O$492,MATCH(306,'Output Utente'!$R$2:$R$492,0)),"")</f>
        <v/>
      </c>
      <c r="H309" s="26" t="str">
        <f aca="false">IFERROR(INDEX('Output Utente'!$P$2:$P$492,MATCH(306,'Output Utente'!$R$2:$R$492,0)),"")</f>
        <v/>
      </c>
      <c r="I309" s="27" t="str">
        <f aca="false">IFERROR(INDEX('Output Utente'!$F$2:$F$492,MATCH(306,'Output Utente'!$R$2:$R$492,0)),"")</f>
        <v/>
      </c>
      <c r="J309" s="27" t="str">
        <f aca="false">IFERROR(INDEX('Output Utente'!$G$2:$G$492,MATCH(306,'Output Utente'!$R$2:$R$492,0)),"")</f>
        <v/>
      </c>
      <c r="K309" s="27" t="str">
        <f aca="false">IFERROR(INDEX('Output Utente'!$H$2:$H$492,MATCH(306,'Output Utente'!$R$2:$R$492,0)),"")</f>
        <v/>
      </c>
      <c r="L309" s="26" t="str">
        <f aca="false">IFERROR(INDEX('Output Utente'!$E$2:$E$492,MATCH(306,'Output Utente'!$R$2:$R$492,0)),"")</f>
        <v/>
      </c>
    </row>
    <row r="310" customFormat="false" ht="15" hidden="false" customHeight="true" outlineLevel="0" collapsed="false">
      <c r="A310" s="29" t="n">
        <v>307</v>
      </c>
      <c r="B310" s="26" t="str">
        <f aca="false">IFERROR(INDEX('Output Utente'!$A$2:$A$492,MATCH(307,'Output Utente'!$R$2:$R$492,0)),"")</f>
        <v/>
      </c>
      <c r="C310" s="26" t="str">
        <f aca="false">IFERROR(INDEX('Output Utente'!$B$2:$B$492,MATCH(307,'Output Utente'!$R$2:$R$492,0)),"")</f>
        <v/>
      </c>
      <c r="D310" s="26" t="str">
        <f aca="false">IFERROR(INDEX('Output Utente'!$C$2:$C$492,MATCH(307,'Output Utente'!$R$2:$R$492,0)),"")</f>
        <v/>
      </c>
      <c r="E310" s="26" t="str">
        <f aca="false">IFERROR(INDEX('Input Giocatori 2026_27'!$D$3:$D$493,MATCH($B310,'Input Giocatori 2026_27'!$A$3:$A$493,0)),"")</f>
        <v/>
      </c>
      <c r="F310" s="27" t="str">
        <f aca="false">IFERROR(INDEX('Output Utente'!$N$2:$N$492,MATCH(307,'Output Utente'!$R$2:$R$492,0)),"")</f>
        <v/>
      </c>
      <c r="G310" s="26" t="str">
        <f aca="false">IFERROR(INDEX('Output Utente'!$O$2:$O$492,MATCH(307,'Output Utente'!$R$2:$R$492,0)),"")</f>
        <v/>
      </c>
      <c r="H310" s="26" t="str">
        <f aca="false">IFERROR(INDEX('Output Utente'!$P$2:$P$492,MATCH(307,'Output Utente'!$R$2:$R$492,0)),"")</f>
        <v/>
      </c>
      <c r="I310" s="27" t="str">
        <f aca="false">IFERROR(INDEX('Output Utente'!$F$2:$F$492,MATCH(307,'Output Utente'!$R$2:$R$492,0)),"")</f>
        <v/>
      </c>
      <c r="J310" s="27" t="str">
        <f aca="false">IFERROR(INDEX('Output Utente'!$G$2:$G$492,MATCH(307,'Output Utente'!$R$2:$R$492,0)),"")</f>
        <v/>
      </c>
      <c r="K310" s="27" t="str">
        <f aca="false">IFERROR(INDEX('Output Utente'!$H$2:$H$492,MATCH(307,'Output Utente'!$R$2:$R$492,0)),"")</f>
        <v/>
      </c>
      <c r="L310" s="26" t="str">
        <f aca="false">IFERROR(INDEX('Output Utente'!$E$2:$E$492,MATCH(307,'Output Utente'!$R$2:$R$492,0)),"")</f>
        <v/>
      </c>
    </row>
    <row r="311" customFormat="false" ht="15" hidden="false" customHeight="true" outlineLevel="0" collapsed="false">
      <c r="A311" s="29" t="n">
        <v>308</v>
      </c>
      <c r="B311" s="26" t="str">
        <f aca="false">IFERROR(INDEX('Output Utente'!$A$2:$A$492,MATCH(308,'Output Utente'!$R$2:$R$492,0)),"")</f>
        <v/>
      </c>
      <c r="C311" s="26" t="str">
        <f aca="false">IFERROR(INDEX('Output Utente'!$B$2:$B$492,MATCH(308,'Output Utente'!$R$2:$R$492,0)),"")</f>
        <v/>
      </c>
      <c r="D311" s="26" t="str">
        <f aca="false">IFERROR(INDEX('Output Utente'!$C$2:$C$492,MATCH(308,'Output Utente'!$R$2:$R$492,0)),"")</f>
        <v/>
      </c>
      <c r="E311" s="26" t="str">
        <f aca="false">IFERROR(INDEX('Input Giocatori 2026_27'!$D$3:$D$493,MATCH($B311,'Input Giocatori 2026_27'!$A$3:$A$493,0)),"")</f>
        <v/>
      </c>
      <c r="F311" s="27" t="str">
        <f aca="false">IFERROR(INDEX('Output Utente'!$N$2:$N$492,MATCH(308,'Output Utente'!$R$2:$R$492,0)),"")</f>
        <v/>
      </c>
      <c r="G311" s="26" t="str">
        <f aca="false">IFERROR(INDEX('Output Utente'!$O$2:$O$492,MATCH(308,'Output Utente'!$R$2:$R$492,0)),"")</f>
        <v/>
      </c>
      <c r="H311" s="26" t="str">
        <f aca="false">IFERROR(INDEX('Output Utente'!$P$2:$P$492,MATCH(308,'Output Utente'!$R$2:$R$492,0)),"")</f>
        <v/>
      </c>
      <c r="I311" s="27" t="str">
        <f aca="false">IFERROR(INDEX('Output Utente'!$F$2:$F$492,MATCH(308,'Output Utente'!$R$2:$R$492,0)),"")</f>
        <v/>
      </c>
      <c r="J311" s="27" t="str">
        <f aca="false">IFERROR(INDEX('Output Utente'!$G$2:$G$492,MATCH(308,'Output Utente'!$R$2:$R$492,0)),"")</f>
        <v/>
      </c>
      <c r="K311" s="27" t="str">
        <f aca="false">IFERROR(INDEX('Output Utente'!$H$2:$H$492,MATCH(308,'Output Utente'!$R$2:$R$492,0)),"")</f>
        <v/>
      </c>
      <c r="L311" s="26" t="str">
        <f aca="false">IFERROR(INDEX('Output Utente'!$E$2:$E$492,MATCH(308,'Output Utente'!$R$2:$R$492,0)),"")</f>
        <v/>
      </c>
    </row>
    <row r="312" customFormat="false" ht="15" hidden="false" customHeight="true" outlineLevel="0" collapsed="false">
      <c r="A312" s="29" t="n">
        <v>309</v>
      </c>
      <c r="B312" s="26" t="str">
        <f aca="false">IFERROR(INDEX('Output Utente'!$A$2:$A$492,MATCH(309,'Output Utente'!$R$2:$R$492,0)),"")</f>
        <v/>
      </c>
      <c r="C312" s="26" t="str">
        <f aca="false">IFERROR(INDEX('Output Utente'!$B$2:$B$492,MATCH(309,'Output Utente'!$R$2:$R$492,0)),"")</f>
        <v/>
      </c>
      <c r="D312" s="26" t="str">
        <f aca="false">IFERROR(INDEX('Output Utente'!$C$2:$C$492,MATCH(309,'Output Utente'!$R$2:$R$492,0)),"")</f>
        <v/>
      </c>
      <c r="E312" s="26" t="str">
        <f aca="false">IFERROR(INDEX('Input Giocatori 2026_27'!$D$3:$D$493,MATCH($B312,'Input Giocatori 2026_27'!$A$3:$A$493,0)),"")</f>
        <v/>
      </c>
      <c r="F312" s="27" t="str">
        <f aca="false">IFERROR(INDEX('Output Utente'!$N$2:$N$492,MATCH(309,'Output Utente'!$R$2:$R$492,0)),"")</f>
        <v/>
      </c>
      <c r="G312" s="26" t="str">
        <f aca="false">IFERROR(INDEX('Output Utente'!$O$2:$O$492,MATCH(309,'Output Utente'!$R$2:$R$492,0)),"")</f>
        <v/>
      </c>
      <c r="H312" s="26" t="str">
        <f aca="false">IFERROR(INDEX('Output Utente'!$P$2:$P$492,MATCH(309,'Output Utente'!$R$2:$R$492,0)),"")</f>
        <v/>
      </c>
      <c r="I312" s="27" t="str">
        <f aca="false">IFERROR(INDEX('Output Utente'!$F$2:$F$492,MATCH(309,'Output Utente'!$R$2:$R$492,0)),"")</f>
        <v/>
      </c>
      <c r="J312" s="27" t="str">
        <f aca="false">IFERROR(INDEX('Output Utente'!$G$2:$G$492,MATCH(309,'Output Utente'!$R$2:$R$492,0)),"")</f>
        <v/>
      </c>
      <c r="K312" s="27" t="str">
        <f aca="false">IFERROR(INDEX('Output Utente'!$H$2:$H$492,MATCH(309,'Output Utente'!$R$2:$R$492,0)),"")</f>
        <v/>
      </c>
      <c r="L312" s="26" t="str">
        <f aca="false">IFERROR(INDEX('Output Utente'!$E$2:$E$492,MATCH(309,'Output Utente'!$R$2:$R$492,0)),"")</f>
        <v/>
      </c>
    </row>
    <row r="313" customFormat="false" ht="15" hidden="false" customHeight="true" outlineLevel="0" collapsed="false">
      <c r="A313" s="29" t="n">
        <v>310</v>
      </c>
      <c r="B313" s="26" t="str">
        <f aca="false">IFERROR(INDEX('Output Utente'!$A$2:$A$492,MATCH(310,'Output Utente'!$R$2:$R$492,0)),"")</f>
        <v/>
      </c>
      <c r="C313" s="26" t="str">
        <f aca="false">IFERROR(INDEX('Output Utente'!$B$2:$B$492,MATCH(310,'Output Utente'!$R$2:$R$492,0)),"")</f>
        <v/>
      </c>
      <c r="D313" s="26" t="str">
        <f aca="false">IFERROR(INDEX('Output Utente'!$C$2:$C$492,MATCH(310,'Output Utente'!$R$2:$R$492,0)),"")</f>
        <v/>
      </c>
      <c r="E313" s="26" t="str">
        <f aca="false">IFERROR(INDEX('Input Giocatori 2026_27'!$D$3:$D$493,MATCH($B313,'Input Giocatori 2026_27'!$A$3:$A$493,0)),"")</f>
        <v/>
      </c>
      <c r="F313" s="27" t="str">
        <f aca="false">IFERROR(INDEX('Output Utente'!$N$2:$N$492,MATCH(310,'Output Utente'!$R$2:$R$492,0)),"")</f>
        <v/>
      </c>
      <c r="G313" s="26" t="str">
        <f aca="false">IFERROR(INDEX('Output Utente'!$O$2:$O$492,MATCH(310,'Output Utente'!$R$2:$R$492,0)),"")</f>
        <v/>
      </c>
      <c r="H313" s="26" t="str">
        <f aca="false">IFERROR(INDEX('Output Utente'!$P$2:$P$492,MATCH(310,'Output Utente'!$R$2:$R$492,0)),"")</f>
        <v/>
      </c>
      <c r="I313" s="27" t="str">
        <f aca="false">IFERROR(INDEX('Output Utente'!$F$2:$F$492,MATCH(310,'Output Utente'!$R$2:$R$492,0)),"")</f>
        <v/>
      </c>
      <c r="J313" s="27" t="str">
        <f aca="false">IFERROR(INDEX('Output Utente'!$G$2:$G$492,MATCH(310,'Output Utente'!$R$2:$R$492,0)),"")</f>
        <v/>
      </c>
      <c r="K313" s="27" t="str">
        <f aca="false">IFERROR(INDEX('Output Utente'!$H$2:$H$492,MATCH(310,'Output Utente'!$R$2:$R$492,0)),"")</f>
        <v/>
      </c>
      <c r="L313" s="26" t="str">
        <f aca="false">IFERROR(INDEX('Output Utente'!$E$2:$E$492,MATCH(310,'Output Utente'!$R$2:$R$492,0)),"")</f>
        <v/>
      </c>
    </row>
    <row r="314" customFormat="false" ht="15" hidden="false" customHeight="true" outlineLevel="0" collapsed="false">
      <c r="A314" s="29" t="n">
        <v>311</v>
      </c>
      <c r="B314" s="26" t="str">
        <f aca="false">IFERROR(INDEX('Output Utente'!$A$2:$A$492,MATCH(311,'Output Utente'!$R$2:$R$492,0)),"")</f>
        <v/>
      </c>
      <c r="C314" s="26" t="str">
        <f aca="false">IFERROR(INDEX('Output Utente'!$B$2:$B$492,MATCH(311,'Output Utente'!$R$2:$R$492,0)),"")</f>
        <v/>
      </c>
      <c r="D314" s="26" t="str">
        <f aca="false">IFERROR(INDEX('Output Utente'!$C$2:$C$492,MATCH(311,'Output Utente'!$R$2:$R$492,0)),"")</f>
        <v/>
      </c>
      <c r="E314" s="26" t="str">
        <f aca="false">IFERROR(INDEX('Input Giocatori 2026_27'!$D$3:$D$493,MATCH($B314,'Input Giocatori 2026_27'!$A$3:$A$493,0)),"")</f>
        <v/>
      </c>
      <c r="F314" s="27" t="str">
        <f aca="false">IFERROR(INDEX('Output Utente'!$N$2:$N$492,MATCH(311,'Output Utente'!$R$2:$R$492,0)),"")</f>
        <v/>
      </c>
      <c r="G314" s="26" t="str">
        <f aca="false">IFERROR(INDEX('Output Utente'!$O$2:$O$492,MATCH(311,'Output Utente'!$R$2:$R$492,0)),"")</f>
        <v/>
      </c>
      <c r="H314" s="26" t="str">
        <f aca="false">IFERROR(INDEX('Output Utente'!$P$2:$P$492,MATCH(311,'Output Utente'!$R$2:$R$492,0)),"")</f>
        <v/>
      </c>
      <c r="I314" s="27" t="str">
        <f aca="false">IFERROR(INDEX('Output Utente'!$F$2:$F$492,MATCH(311,'Output Utente'!$R$2:$R$492,0)),"")</f>
        <v/>
      </c>
      <c r="J314" s="27" t="str">
        <f aca="false">IFERROR(INDEX('Output Utente'!$G$2:$G$492,MATCH(311,'Output Utente'!$R$2:$R$492,0)),"")</f>
        <v/>
      </c>
      <c r="K314" s="27" t="str">
        <f aca="false">IFERROR(INDEX('Output Utente'!$H$2:$H$492,MATCH(311,'Output Utente'!$R$2:$R$492,0)),"")</f>
        <v/>
      </c>
      <c r="L314" s="26" t="str">
        <f aca="false">IFERROR(INDEX('Output Utente'!$E$2:$E$492,MATCH(311,'Output Utente'!$R$2:$R$492,0)),"")</f>
        <v/>
      </c>
    </row>
    <row r="315" customFormat="false" ht="15" hidden="false" customHeight="true" outlineLevel="0" collapsed="false">
      <c r="A315" s="29" t="n">
        <v>312</v>
      </c>
      <c r="B315" s="26" t="str">
        <f aca="false">IFERROR(INDEX('Output Utente'!$A$2:$A$492,MATCH(312,'Output Utente'!$R$2:$R$492,0)),"")</f>
        <v/>
      </c>
      <c r="C315" s="26" t="str">
        <f aca="false">IFERROR(INDEX('Output Utente'!$B$2:$B$492,MATCH(312,'Output Utente'!$R$2:$R$492,0)),"")</f>
        <v/>
      </c>
      <c r="D315" s="26" t="str">
        <f aca="false">IFERROR(INDEX('Output Utente'!$C$2:$C$492,MATCH(312,'Output Utente'!$R$2:$R$492,0)),"")</f>
        <v/>
      </c>
      <c r="E315" s="26" t="str">
        <f aca="false">IFERROR(INDEX('Input Giocatori 2026_27'!$D$3:$D$493,MATCH($B315,'Input Giocatori 2026_27'!$A$3:$A$493,0)),"")</f>
        <v/>
      </c>
      <c r="F315" s="27" t="str">
        <f aca="false">IFERROR(INDEX('Output Utente'!$N$2:$N$492,MATCH(312,'Output Utente'!$R$2:$R$492,0)),"")</f>
        <v/>
      </c>
      <c r="G315" s="26" t="str">
        <f aca="false">IFERROR(INDEX('Output Utente'!$O$2:$O$492,MATCH(312,'Output Utente'!$R$2:$R$492,0)),"")</f>
        <v/>
      </c>
      <c r="H315" s="26" t="str">
        <f aca="false">IFERROR(INDEX('Output Utente'!$P$2:$P$492,MATCH(312,'Output Utente'!$R$2:$R$492,0)),"")</f>
        <v/>
      </c>
      <c r="I315" s="27" t="str">
        <f aca="false">IFERROR(INDEX('Output Utente'!$F$2:$F$492,MATCH(312,'Output Utente'!$R$2:$R$492,0)),"")</f>
        <v/>
      </c>
      <c r="J315" s="27" t="str">
        <f aca="false">IFERROR(INDEX('Output Utente'!$G$2:$G$492,MATCH(312,'Output Utente'!$R$2:$R$492,0)),"")</f>
        <v/>
      </c>
      <c r="K315" s="27" t="str">
        <f aca="false">IFERROR(INDEX('Output Utente'!$H$2:$H$492,MATCH(312,'Output Utente'!$R$2:$R$492,0)),"")</f>
        <v/>
      </c>
      <c r="L315" s="26" t="str">
        <f aca="false">IFERROR(INDEX('Output Utente'!$E$2:$E$492,MATCH(312,'Output Utente'!$R$2:$R$492,0)),"")</f>
        <v/>
      </c>
    </row>
    <row r="316" customFormat="false" ht="15" hidden="false" customHeight="true" outlineLevel="0" collapsed="false">
      <c r="A316" s="29" t="n">
        <v>313</v>
      </c>
      <c r="B316" s="26" t="str">
        <f aca="false">IFERROR(INDEX('Output Utente'!$A$2:$A$492,MATCH(313,'Output Utente'!$R$2:$R$492,0)),"")</f>
        <v/>
      </c>
      <c r="C316" s="26" t="str">
        <f aca="false">IFERROR(INDEX('Output Utente'!$B$2:$B$492,MATCH(313,'Output Utente'!$R$2:$R$492,0)),"")</f>
        <v/>
      </c>
      <c r="D316" s="26" t="str">
        <f aca="false">IFERROR(INDEX('Output Utente'!$C$2:$C$492,MATCH(313,'Output Utente'!$R$2:$R$492,0)),"")</f>
        <v/>
      </c>
      <c r="E316" s="26" t="str">
        <f aca="false">IFERROR(INDEX('Input Giocatori 2026_27'!$D$3:$D$493,MATCH($B316,'Input Giocatori 2026_27'!$A$3:$A$493,0)),"")</f>
        <v/>
      </c>
      <c r="F316" s="27" t="str">
        <f aca="false">IFERROR(INDEX('Output Utente'!$N$2:$N$492,MATCH(313,'Output Utente'!$R$2:$R$492,0)),"")</f>
        <v/>
      </c>
      <c r="G316" s="26" t="str">
        <f aca="false">IFERROR(INDEX('Output Utente'!$O$2:$O$492,MATCH(313,'Output Utente'!$R$2:$R$492,0)),"")</f>
        <v/>
      </c>
      <c r="H316" s="26" t="str">
        <f aca="false">IFERROR(INDEX('Output Utente'!$P$2:$P$492,MATCH(313,'Output Utente'!$R$2:$R$492,0)),"")</f>
        <v/>
      </c>
      <c r="I316" s="27" t="str">
        <f aca="false">IFERROR(INDEX('Output Utente'!$F$2:$F$492,MATCH(313,'Output Utente'!$R$2:$R$492,0)),"")</f>
        <v/>
      </c>
      <c r="J316" s="27" t="str">
        <f aca="false">IFERROR(INDEX('Output Utente'!$G$2:$G$492,MATCH(313,'Output Utente'!$R$2:$R$492,0)),"")</f>
        <v/>
      </c>
      <c r="K316" s="27" t="str">
        <f aca="false">IFERROR(INDEX('Output Utente'!$H$2:$H$492,MATCH(313,'Output Utente'!$R$2:$R$492,0)),"")</f>
        <v/>
      </c>
      <c r="L316" s="26" t="str">
        <f aca="false">IFERROR(INDEX('Output Utente'!$E$2:$E$492,MATCH(313,'Output Utente'!$R$2:$R$492,0)),"")</f>
        <v/>
      </c>
    </row>
    <row r="317" customFormat="false" ht="15" hidden="false" customHeight="true" outlineLevel="0" collapsed="false">
      <c r="A317" s="29" t="n">
        <v>314</v>
      </c>
      <c r="B317" s="26" t="str">
        <f aca="false">IFERROR(INDEX('Output Utente'!$A$2:$A$492,MATCH(314,'Output Utente'!$R$2:$R$492,0)),"")</f>
        <v/>
      </c>
      <c r="C317" s="26" t="str">
        <f aca="false">IFERROR(INDEX('Output Utente'!$B$2:$B$492,MATCH(314,'Output Utente'!$R$2:$R$492,0)),"")</f>
        <v/>
      </c>
      <c r="D317" s="26" t="str">
        <f aca="false">IFERROR(INDEX('Output Utente'!$C$2:$C$492,MATCH(314,'Output Utente'!$R$2:$R$492,0)),"")</f>
        <v/>
      </c>
      <c r="E317" s="26" t="str">
        <f aca="false">IFERROR(INDEX('Input Giocatori 2026_27'!$D$3:$D$493,MATCH($B317,'Input Giocatori 2026_27'!$A$3:$A$493,0)),"")</f>
        <v/>
      </c>
      <c r="F317" s="27" t="str">
        <f aca="false">IFERROR(INDEX('Output Utente'!$N$2:$N$492,MATCH(314,'Output Utente'!$R$2:$R$492,0)),"")</f>
        <v/>
      </c>
      <c r="G317" s="26" t="str">
        <f aca="false">IFERROR(INDEX('Output Utente'!$O$2:$O$492,MATCH(314,'Output Utente'!$R$2:$R$492,0)),"")</f>
        <v/>
      </c>
      <c r="H317" s="26" t="str">
        <f aca="false">IFERROR(INDEX('Output Utente'!$P$2:$P$492,MATCH(314,'Output Utente'!$R$2:$R$492,0)),"")</f>
        <v/>
      </c>
      <c r="I317" s="27" t="str">
        <f aca="false">IFERROR(INDEX('Output Utente'!$F$2:$F$492,MATCH(314,'Output Utente'!$R$2:$R$492,0)),"")</f>
        <v/>
      </c>
      <c r="J317" s="27" t="str">
        <f aca="false">IFERROR(INDEX('Output Utente'!$G$2:$G$492,MATCH(314,'Output Utente'!$R$2:$R$492,0)),"")</f>
        <v/>
      </c>
      <c r="K317" s="27" t="str">
        <f aca="false">IFERROR(INDEX('Output Utente'!$H$2:$H$492,MATCH(314,'Output Utente'!$R$2:$R$492,0)),"")</f>
        <v/>
      </c>
      <c r="L317" s="26" t="str">
        <f aca="false">IFERROR(INDEX('Output Utente'!$E$2:$E$492,MATCH(314,'Output Utente'!$R$2:$R$492,0)),"")</f>
        <v/>
      </c>
    </row>
    <row r="318" customFormat="false" ht="15" hidden="false" customHeight="true" outlineLevel="0" collapsed="false">
      <c r="A318" s="29" t="n">
        <v>315</v>
      </c>
      <c r="B318" s="26" t="str">
        <f aca="false">IFERROR(INDEX('Output Utente'!$A$2:$A$492,MATCH(315,'Output Utente'!$R$2:$R$492,0)),"")</f>
        <v/>
      </c>
      <c r="C318" s="26" t="str">
        <f aca="false">IFERROR(INDEX('Output Utente'!$B$2:$B$492,MATCH(315,'Output Utente'!$R$2:$R$492,0)),"")</f>
        <v/>
      </c>
      <c r="D318" s="26" t="str">
        <f aca="false">IFERROR(INDEX('Output Utente'!$C$2:$C$492,MATCH(315,'Output Utente'!$R$2:$R$492,0)),"")</f>
        <v/>
      </c>
      <c r="E318" s="26" t="str">
        <f aca="false">IFERROR(INDEX('Input Giocatori 2026_27'!$D$3:$D$493,MATCH($B318,'Input Giocatori 2026_27'!$A$3:$A$493,0)),"")</f>
        <v/>
      </c>
      <c r="F318" s="27" t="str">
        <f aca="false">IFERROR(INDEX('Output Utente'!$N$2:$N$492,MATCH(315,'Output Utente'!$R$2:$R$492,0)),"")</f>
        <v/>
      </c>
      <c r="G318" s="26" t="str">
        <f aca="false">IFERROR(INDEX('Output Utente'!$O$2:$O$492,MATCH(315,'Output Utente'!$R$2:$R$492,0)),"")</f>
        <v/>
      </c>
      <c r="H318" s="26" t="str">
        <f aca="false">IFERROR(INDEX('Output Utente'!$P$2:$P$492,MATCH(315,'Output Utente'!$R$2:$R$492,0)),"")</f>
        <v/>
      </c>
      <c r="I318" s="27" t="str">
        <f aca="false">IFERROR(INDEX('Output Utente'!$F$2:$F$492,MATCH(315,'Output Utente'!$R$2:$R$492,0)),"")</f>
        <v/>
      </c>
      <c r="J318" s="27" t="str">
        <f aca="false">IFERROR(INDEX('Output Utente'!$G$2:$G$492,MATCH(315,'Output Utente'!$R$2:$R$492,0)),"")</f>
        <v/>
      </c>
      <c r="K318" s="27" t="str">
        <f aca="false">IFERROR(INDEX('Output Utente'!$H$2:$H$492,MATCH(315,'Output Utente'!$R$2:$R$492,0)),"")</f>
        <v/>
      </c>
      <c r="L318" s="26" t="str">
        <f aca="false">IFERROR(INDEX('Output Utente'!$E$2:$E$492,MATCH(315,'Output Utente'!$R$2:$R$492,0)),"")</f>
        <v/>
      </c>
    </row>
    <row r="319" customFormat="false" ht="15" hidden="false" customHeight="true" outlineLevel="0" collapsed="false">
      <c r="A319" s="29" t="n">
        <v>316</v>
      </c>
      <c r="B319" s="26" t="str">
        <f aca="false">IFERROR(INDEX('Output Utente'!$A$2:$A$492,MATCH(316,'Output Utente'!$R$2:$R$492,0)),"")</f>
        <v/>
      </c>
      <c r="C319" s="26" t="str">
        <f aca="false">IFERROR(INDEX('Output Utente'!$B$2:$B$492,MATCH(316,'Output Utente'!$R$2:$R$492,0)),"")</f>
        <v/>
      </c>
      <c r="D319" s="26" t="str">
        <f aca="false">IFERROR(INDEX('Output Utente'!$C$2:$C$492,MATCH(316,'Output Utente'!$R$2:$R$492,0)),"")</f>
        <v/>
      </c>
      <c r="E319" s="26" t="str">
        <f aca="false">IFERROR(INDEX('Input Giocatori 2026_27'!$D$3:$D$493,MATCH($B319,'Input Giocatori 2026_27'!$A$3:$A$493,0)),"")</f>
        <v/>
      </c>
      <c r="F319" s="27" t="str">
        <f aca="false">IFERROR(INDEX('Output Utente'!$N$2:$N$492,MATCH(316,'Output Utente'!$R$2:$R$492,0)),"")</f>
        <v/>
      </c>
      <c r="G319" s="26" t="str">
        <f aca="false">IFERROR(INDEX('Output Utente'!$O$2:$O$492,MATCH(316,'Output Utente'!$R$2:$R$492,0)),"")</f>
        <v/>
      </c>
      <c r="H319" s="26" t="str">
        <f aca="false">IFERROR(INDEX('Output Utente'!$P$2:$P$492,MATCH(316,'Output Utente'!$R$2:$R$492,0)),"")</f>
        <v/>
      </c>
      <c r="I319" s="27" t="str">
        <f aca="false">IFERROR(INDEX('Output Utente'!$F$2:$F$492,MATCH(316,'Output Utente'!$R$2:$R$492,0)),"")</f>
        <v/>
      </c>
      <c r="J319" s="27" t="str">
        <f aca="false">IFERROR(INDEX('Output Utente'!$G$2:$G$492,MATCH(316,'Output Utente'!$R$2:$R$492,0)),"")</f>
        <v/>
      </c>
      <c r="K319" s="27" t="str">
        <f aca="false">IFERROR(INDEX('Output Utente'!$H$2:$H$492,MATCH(316,'Output Utente'!$R$2:$R$492,0)),"")</f>
        <v/>
      </c>
      <c r="L319" s="26" t="str">
        <f aca="false">IFERROR(INDEX('Output Utente'!$E$2:$E$492,MATCH(316,'Output Utente'!$R$2:$R$492,0)),"")</f>
        <v/>
      </c>
    </row>
    <row r="320" customFormat="false" ht="15" hidden="false" customHeight="true" outlineLevel="0" collapsed="false">
      <c r="A320" s="29" t="n">
        <v>317</v>
      </c>
      <c r="B320" s="26" t="str">
        <f aca="false">IFERROR(INDEX('Output Utente'!$A$2:$A$492,MATCH(317,'Output Utente'!$R$2:$R$492,0)),"")</f>
        <v/>
      </c>
      <c r="C320" s="26" t="str">
        <f aca="false">IFERROR(INDEX('Output Utente'!$B$2:$B$492,MATCH(317,'Output Utente'!$R$2:$R$492,0)),"")</f>
        <v/>
      </c>
      <c r="D320" s="26" t="str">
        <f aca="false">IFERROR(INDEX('Output Utente'!$C$2:$C$492,MATCH(317,'Output Utente'!$R$2:$R$492,0)),"")</f>
        <v/>
      </c>
      <c r="E320" s="26" t="str">
        <f aca="false">IFERROR(INDEX('Input Giocatori 2026_27'!$D$3:$D$493,MATCH($B320,'Input Giocatori 2026_27'!$A$3:$A$493,0)),"")</f>
        <v/>
      </c>
      <c r="F320" s="27" t="str">
        <f aca="false">IFERROR(INDEX('Output Utente'!$N$2:$N$492,MATCH(317,'Output Utente'!$R$2:$R$492,0)),"")</f>
        <v/>
      </c>
      <c r="G320" s="26" t="str">
        <f aca="false">IFERROR(INDEX('Output Utente'!$O$2:$O$492,MATCH(317,'Output Utente'!$R$2:$R$492,0)),"")</f>
        <v/>
      </c>
      <c r="H320" s="26" t="str">
        <f aca="false">IFERROR(INDEX('Output Utente'!$P$2:$P$492,MATCH(317,'Output Utente'!$R$2:$R$492,0)),"")</f>
        <v/>
      </c>
      <c r="I320" s="27" t="str">
        <f aca="false">IFERROR(INDEX('Output Utente'!$F$2:$F$492,MATCH(317,'Output Utente'!$R$2:$R$492,0)),"")</f>
        <v/>
      </c>
      <c r="J320" s="27" t="str">
        <f aca="false">IFERROR(INDEX('Output Utente'!$G$2:$G$492,MATCH(317,'Output Utente'!$R$2:$R$492,0)),"")</f>
        <v/>
      </c>
      <c r="K320" s="27" t="str">
        <f aca="false">IFERROR(INDEX('Output Utente'!$H$2:$H$492,MATCH(317,'Output Utente'!$R$2:$R$492,0)),"")</f>
        <v/>
      </c>
      <c r="L320" s="26" t="str">
        <f aca="false">IFERROR(INDEX('Output Utente'!$E$2:$E$492,MATCH(317,'Output Utente'!$R$2:$R$492,0)),"")</f>
        <v/>
      </c>
    </row>
    <row r="321" customFormat="false" ht="15" hidden="false" customHeight="true" outlineLevel="0" collapsed="false">
      <c r="A321" s="29" t="n">
        <v>318</v>
      </c>
      <c r="B321" s="26" t="str">
        <f aca="false">IFERROR(INDEX('Output Utente'!$A$2:$A$492,MATCH(318,'Output Utente'!$R$2:$R$492,0)),"")</f>
        <v/>
      </c>
      <c r="C321" s="26" t="str">
        <f aca="false">IFERROR(INDEX('Output Utente'!$B$2:$B$492,MATCH(318,'Output Utente'!$R$2:$R$492,0)),"")</f>
        <v/>
      </c>
      <c r="D321" s="26" t="str">
        <f aca="false">IFERROR(INDEX('Output Utente'!$C$2:$C$492,MATCH(318,'Output Utente'!$R$2:$R$492,0)),"")</f>
        <v/>
      </c>
      <c r="E321" s="26" t="str">
        <f aca="false">IFERROR(INDEX('Input Giocatori 2026_27'!$D$3:$D$493,MATCH($B321,'Input Giocatori 2026_27'!$A$3:$A$493,0)),"")</f>
        <v/>
      </c>
      <c r="F321" s="27" t="str">
        <f aca="false">IFERROR(INDEX('Output Utente'!$N$2:$N$492,MATCH(318,'Output Utente'!$R$2:$R$492,0)),"")</f>
        <v/>
      </c>
      <c r="G321" s="26" t="str">
        <f aca="false">IFERROR(INDEX('Output Utente'!$O$2:$O$492,MATCH(318,'Output Utente'!$R$2:$R$492,0)),"")</f>
        <v/>
      </c>
      <c r="H321" s="26" t="str">
        <f aca="false">IFERROR(INDEX('Output Utente'!$P$2:$P$492,MATCH(318,'Output Utente'!$R$2:$R$492,0)),"")</f>
        <v/>
      </c>
      <c r="I321" s="27" t="str">
        <f aca="false">IFERROR(INDEX('Output Utente'!$F$2:$F$492,MATCH(318,'Output Utente'!$R$2:$R$492,0)),"")</f>
        <v/>
      </c>
      <c r="J321" s="27" t="str">
        <f aca="false">IFERROR(INDEX('Output Utente'!$G$2:$G$492,MATCH(318,'Output Utente'!$R$2:$R$492,0)),"")</f>
        <v/>
      </c>
      <c r="K321" s="27" t="str">
        <f aca="false">IFERROR(INDEX('Output Utente'!$H$2:$H$492,MATCH(318,'Output Utente'!$R$2:$R$492,0)),"")</f>
        <v/>
      </c>
      <c r="L321" s="26" t="str">
        <f aca="false">IFERROR(INDEX('Output Utente'!$E$2:$E$492,MATCH(318,'Output Utente'!$R$2:$R$492,0)),"")</f>
        <v/>
      </c>
    </row>
    <row r="322" customFormat="false" ht="15" hidden="false" customHeight="true" outlineLevel="0" collapsed="false">
      <c r="A322" s="29" t="n">
        <v>319</v>
      </c>
      <c r="B322" s="26" t="str">
        <f aca="false">IFERROR(INDEX('Output Utente'!$A$2:$A$492,MATCH(319,'Output Utente'!$R$2:$R$492,0)),"")</f>
        <v/>
      </c>
      <c r="C322" s="26" t="str">
        <f aca="false">IFERROR(INDEX('Output Utente'!$B$2:$B$492,MATCH(319,'Output Utente'!$R$2:$R$492,0)),"")</f>
        <v/>
      </c>
      <c r="D322" s="26" t="str">
        <f aca="false">IFERROR(INDEX('Output Utente'!$C$2:$C$492,MATCH(319,'Output Utente'!$R$2:$R$492,0)),"")</f>
        <v/>
      </c>
      <c r="E322" s="26" t="str">
        <f aca="false">IFERROR(INDEX('Input Giocatori 2026_27'!$D$3:$D$493,MATCH($B322,'Input Giocatori 2026_27'!$A$3:$A$493,0)),"")</f>
        <v/>
      </c>
      <c r="F322" s="27" t="str">
        <f aca="false">IFERROR(INDEX('Output Utente'!$N$2:$N$492,MATCH(319,'Output Utente'!$R$2:$R$492,0)),"")</f>
        <v/>
      </c>
      <c r="G322" s="26" t="str">
        <f aca="false">IFERROR(INDEX('Output Utente'!$O$2:$O$492,MATCH(319,'Output Utente'!$R$2:$R$492,0)),"")</f>
        <v/>
      </c>
      <c r="H322" s="26" t="str">
        <f aca="false">IFERROR(INDEX('Output Utente'!$P$2:$P$492,MATCH(319,'Output Utente'!$R$2:$R$492,0)),"")</f>
        <v/>
      </c>
      <c r="I322" s="27" t="str">
        <f aca="false">IFERROR(INDEX('Output Utente'!$F$2:$F$492,MATCH(319,'Output Utente'!$R$2:$R$492,0)),"")</f>
        <v/>
      </c>
      <c r="J322" s="27" t="str">
        <f aca="false">IFERROR(INDEX('Output Utente'!$G$2:$G$492,MATCH(319,'Output Utente'!$R$2:$R$492,0)),"")</f>
        <v/>
      </c>
      <c r="K322" s="27" t="str">
        <f aca="false">IFERROR(INDEX('Output Utente'!$H$2:$H$492,MATCH(319,'Output Utente'!$R$2:$R$492,0)),"")</f>
        <v/>
      </c>
      <c r="L322" s="26" t="str">
        <f aca="false">IFERROR(INDEX('Output Utente'!$E$2:$E$492,MATCH(319,'Output Utente'!$R$2:$R$492,0)),"")</f>
        <v/>
      </c>
    </row>
    <row r="323" customFormat="false" ht="15" hidden="false" customHeight="true" outlineLevel="0" collapsed="false">
      <c r="A323" s="29" t="n">
        <v>320</v>
      </c>
      <c r="B323" s="26" t="str">
        <f aca="false">IFERROR(INDEX('Output Utente'!$A$2:$A$492,MATCH(320,'Output Utente'!$R$2:$R$492,0)),"")</f>
        <v/>
      </c>
      <c r="C323" s="26" t="str">
        <f aca="false">IFERROR(INDEX('Output Utente'!$B$2:$B$492,MATCH(320,'Output Utente'!$R$2:$R$492,0)),"")</f>
        <v/>
      </c>
      <c r="D323" s="26" t="str">
        <f aca="false">IFERROR(INDEX('Output Utente'!$C$2:$C$492,MATCH(320,'Output Utente'!$R$2:$R$492,0)),"")</f>
        <v/>
      </c>
      <c r="E323" s="26" t="str">
        <f aca="false">IFERROR(INDEX('Input Giocatori 2026_27'!$D$3:$D$493,MATCH($B323,'Input Giocatori 2026_27'!$A$3:$A$493,0)),"")</f>
        <v/>
      </c>
      <c r="F323" s="27" t="str">
        <f aca="false">IFERROR(INDEX('Output Utente'!$N$2:$N$492,MATCH(320,'Output Utente'!$R$2:$R$492,0)),"")</f>
        <v/>
      </c>
      <c r="G323" s="26" t="str">
        <f aca="false">IFERROR(INDEX('Output Utente'!$O$2:$O$492,MATCH(320,'Output Utente'!$R$2:$R$492,0)),"")</f>
        <v/>
      </c>
      <c r="H323" s="26" t="str">
        <f aca="false">IFERROR(INDEX('Output Utente'!$P$2:$P$492,MATCH(320,'Output Utente'!$R$2:$R$492,0)),"")</f>
        <v/>
      </c>
      <c r="I323" s="27" t="str">
        <f aca="false">IFERROR(INDEX('Output Utente'!$F$2:$F$492,MATCH(320,'Output Utente'!$R$2:$R$492,0)),"")</f>
        <v/>
      </c>
      <c r="J323" s="27" t="str">
        <f aca="false">IFERROR(INDEX('Output Utente'!$G$2:$G$492,MATCH(320,'Output Utente'!$R$2:$R$492,0)),"")</f>
        <v/>
      </c>
      <c r="K323" s="27" t="str">
        <f aca="false">IFERROR(INDEX('Output Utente'!$H$2:$H$492,MATCH(320,'Output Utente'!$R$2:$R$492,0)),"")</f>
        <v/>
      </c>
      <c r="L323" s="26" t="str">
        <f aca="false">IFERROR(INDEX('Output Utente'!$E$2:$E$492,MATCH(320,'Output Utente'!$R$2:$R$492,0)),"")</f>
        <v/>
      </c>
    </row>
    <row r="324" customFormat="false" ht="15" hidden="false" customHeight="true" outlineLevel="0" collapsed="false">
      <c r="A324" s="29" t="n">
        <v>321</v>
      </c>
      <c r="B324" s="26" t="str">
        <f aca="false">IFERROR(INDEX('Output Utente'!$A$2:$A$492,MATCH(321,'Output Utente'!$R$2:$R$492,0)),"")</f>
        <v/>
      </c>
      <c r="C324" s="26" t="str">
        <f aca="false">IFERROR(INDEX('Output Utente'!$B$2:$B$492,MATCH(321,'Output Utente'!$R$2:$R$492,0)),"")</f>
        <v/>
      </c>
      <c r="D324" s="26" t="str">
        <f aca="false">IFERROR(INDEX('Output Utente'!$C$2:$C$492,MATCH(321,'Output Utente'!$R$2:$R$492,0)),"")</f>
        <v/>
      </c>
      <c r="E324" s="26" t="str">
        <f aca="false">IFERROR(INDEX('Input Giocatori 2026_27'!$D$3:$D$493,MATCH($B324,'Input Giocatori 2026_27'!$A$3:$A$493,0)),"")</f>
        <v/>
      </c>
      <c r="F324" s="27" t="str">
        <f aca="false">IFERROR(INDEX('Output Utente'!$N$2:$N$492,MATCH(321,'Output Utente'!$R$2:$R$492,0)),"")</f>
        <v/>
      </c>
      <c r="G324" s="26" t="str">
        <f aca="false">IFERROR(INDEX('Output Utente'!$O$2:$O$492,MATCH(321,'Output Utente'!$R$2:$R$492,0)),"")</f>
        <v/>
      </c>
      <c r="H324" s="26" t="str">
        <f aca="false">IFERROR(INDEX('Output Utente'!$P$2:$P$492,MATCH(321,'Output Utente'!$R$2:$R$492,0)),"")</f>
        <v/>
      </c>
      <c r="I324" s="27" t="str">
        <f aca="false">IFERROR(INDEX('Output Utente'!$F$2:$F$492,MATCH(321,'Output Utente'!$R$2:$R$492,0)),"")</f>
        <v/>
      </c>
      <c r="J324" s="27" t="str">
        <f aca="false">IFERROR(INDEX('Output Utente'!$G$2:$G$492,MATCH(321,'Output Utente'!$R$2:$R$492,0)),"")</f>
        <v/>
      </c>
      <c r="K324" s="27" t="str">
        <f aca="false">IFERROR(INDEX('Output Utente'!$H$2:$H$492,MATCH(321,'Output Utente'!$R$2:$R$492,0)),"")</f>
        <v/>
      </c>
      <c r="L324" s="26" t="str">
        <f aca="false">IFERROR(INDEX('Output Utente'!$E$2:$E$492,MATCH(321,'Output Utente'!$R$2:$R$492,0)),"")</f>
        <v/>
      </c>
    </row>
    <row r="325" customFormat="false" ht="15" hidden="false" customHeight="true" outlineLevel="0" collapsed="false">
      <c r="A325" s="29" t="n">
        <v>322</v>
      </c>
      <c r="B325" s="26" t="str">
        <f aca="false">IFERROR(INDEX('Output Utente'!$A$2:$A$492,MATCH(322,'Output Utente'!$R$2:$R$492,0)),"")</f>
        <v/>
      </c>
      <c r="C325" s="26" t="str">
        <f aca="false">IFERROR(INDEX('Output Utente'!$B$2:$B$492,MATCH(322,'Output Utente'!$R$2:$R$492,0)),"")</f>
        <v/>
      </c>
      <c r="D325" s="26" t="str">
        <f aca="false">IFERROR(INDEX('Output Utente'!$C$2:$C$492,MATCH(322,'Output Utente'!$R$2:$R$492,0)),"")</f>
        <v/>
      </c>
      <c r="E325" s="26" t="str">
        <f aca="false">IFERROR(INDEX('Input Giocatori 2026_27'!$D$3:$D$493,MATCH($B325,'Input Giocatori 2026_27'!$A$3:$A$493,0)),"")</f>
        <v/>
      </c>
      <c r="F325" s="27" t="str">
        <f aca="false">IFERROR(INDEX('Output Utente'!$N$2:$N$492,MATCH(322,'Output Utente'!$R$2:$R$492,0)),"")</f>
        <v/>
      </c>
      <c r="G325" s="26" t="str">
        <f aca="false">IFERROR(INDEX('Output Utente'!$O$2:$O$492,MATCH(322,'Output Utente'!$R$2:$R$492,0)),"")</f>
        <v/>
      </c>
      <c r="H325" s="26" t="str">
        <f aca="false">IFERROR(INDEX('Output Utente'!$P$2:$P$492,MATCH(322,'Output Utente'!$R$2:$R$492,0)),"")</f>
        <v/>
      </c>
      <c r="I325" s="27" t="str">
        <f aca="false">IFERROR(INDEX('Output Utente'!$F$2:$F$492,MATCH(322,'Output Utente'!$R$2:$R$492,0)),"")</f>
        <v/>
      </c>
      <c r="J325" s="27" t="str">
        <f aca="false">IFERROR(INDEX('Output Utente'!$G$2:$G$492,MATCH(322,'Output Utente'!$R$2:$R$492,0)),"")</f>
        <v/>
      </c>
      <c r="K325" s="27" t="str">
        <f aca="false">IFERROR(INDEX('Output Utente'!$H$2:$H$492,MATCH(322,'Output Utente'!$R$2:$R$492,0)),"")</f>
        <v/>
      </c>
      <c r="L325" s="26" t="str">
        <f aca="false">IFERROR(INDEX('Output Utente'!$E$2:$E$492,MATCH(322,'Output Utente'!$R$2:$R$492,0)),"")</f>
        <v/>
      </c>
    </row>
    <row r="326" customFormat="false" ht="15" hidden="false" customHeight="true" outlineLevel="0" collapsed="false">
      <c r="A326" s="29" t="n">
        <v>323</v>
      </c>
      <c r="B326" s="26" t="str">
        <f aca="false">IFERROR(INDEX('Output Utente'!$A$2:$A$492,MATCH(323,'Output Utente'!$R$2:$R$492,0)),"")</f>
        <v/>
      </c>
      <c r="C326" s="26" t="str">
        <f aca="false">IFERROR(INDEX('Output Utente'!$B$2:$B$492,MATCH(323,'Output Utente'!$R$2:$R$492,0)),"")</f>
        <v/>
      </c>
      <c r="D326" s="26" t="str">
        <f aca="false">IFERROR(INDEX('Output Utente'!$C$2:$C$492,MATCH(323,'Output Utente'!$R$2:$R$492,0)),"")</f>
        <v/>
      </c>
      <c r="E326" s="26" t="str">
        <f aca="false">IFERROR(INDEX('Input Giocatori 2026_27'!$D$3:$D$493,MATCH($B326,'Input Giocatori 2026_27'!$A$3:$A$493,0)),"")</f>
        <v/>
      </c>
      <c r="F326" s="27" t="str">
        <f aca="false">IFERROR(INDEX('Output Utente'!$N$2:$N$492,MATCH(323,'Output Utente'!$R$2:$R$492,0)),"")</f>
        <v/>
      </c>
      <c r="G326" s="26" t="str">
        <f aca="false">IFERROR(INDEX('Output Utente'!$O$2:$O$492,MATCH(323,'Output Utente'!$R$2:$R$492,0)),"")</f>
        <v/>
      </c>
      <c r="H326" s="26" t="str">
        <f aca="false">IFERROR(INDEX('Output Utente'!$P$2:$P$492,MATCH(323,'Output Utente'!$R$2:$R$492,0)),"")</f>
        <v/>
      </c>
      <c r="I326" s="27" t="str">
        <f aca="false">IFERROR(INDEX('Output Utente'!$F$2:$F$492,MATCH(323,'Output Utente'!$R$2:$R$492,0)),"")</f>
        <v/>
      </c>
      <c r="J326" s="27" t="str">
        <f aca="false">IFERROR(INDEX('Output Utente'!$G$2:$G$492,MATCH(323,'Output Utente'!$R$2:$R$492,0)),"")</f>
        <v/>
      </c>
      <c r="K326" s="27" t="str">
        <f aca="false">IFERROR(INDEX('Output Utente'!$H$2:$H$492,MATCH(323,'Output Utente'!$R$2:$R$492,0)),"")</f>
        <v/>
      </c>
      <c r="L326" s="26" t="str">
        <f aca="false">IFERROR(INDEX('Output Utente'!$E$2:$E$492,MATCH(323,'Output Utente'!$R$2:$R$492,0)),"")</f>
        <v/>
      </c>
    </row>
    <row r="327" customFormat="false" ht="15" hidden="false" customHeight="true" outlineLevel="0" collapsed="false">
      <c r="A327" s="29" t="n">
        <v>324</v>
      </c>
      <c r="B327" s="26" t="str">
        <f aca="false">IFERROR(INDEX('Output Utente'!$A$2:$A$492,MATCH(324,'Output Utente'!$R$2:$R$492,0)),"")</f>
        <v/>
      </c>
      <c r="C327" s="26" t="str">
        <f aca="false">IFERROR(INDEX('Output Utente'!$B$2:$B$492,MATCH(324,'Output Utente'!$R$2:$R$492,0)),"")</f>
        <v/>
      </c>
      <c r="D327" s="26" t="str">
        <f aca="false">IFERROR(INDEX('Output Utente'!$C$2:$C$492,MATCH(324,'Output Utente'!$R$2:$R$492,0)),"")</f>
        <v/>
      </c>
      <c r="E327" s="26" t="str">
        <f aca="false">IFERROR(INDEX('Input Giocatori 2026_27'!$D$3:$D$493,MATCH($B327,'Input Giocatori 2026_27'!$A$3:$A$493,0)),"")</f>
        <v/>
      </c>
      <c r="F327" s="27" t="str">
        <f aca="false">IFERROR(INDEX('Output Utente'!$N$2:$N$492,MATCH(324,'Output Utente'!$R$2:$R$492,0)),"")</f>
        <v/>
      </c>
      <c r="G327" s="26" t="str">
        <f aca="false">IFERROR(INDEX('Output Utente'!$O$2:$O$492,MATCH(324,'Output Utente'!$R$2:$R$492,0)),"")</f>
        <v/>
      </c>
      <c r="H327" s="26" t="str">
        <f aca="false">IFERROR(INDEX('Output Utente'!$P$2:$P$492,MATCH(324,'Output Utente'!$R$2:$R$492,0)),"")</f>
        <v/>
      </c>
      <c r="I327" s="27" t="str">
        <f aca="false">IFERROR(INDEX('Output Utente'!$F$2:$F$492,MATCH(324,'Output Utente'!$R$2:$R$492,0)),"")</f>
        <v/>
      </c>
      <c r="J327" s="27" t="str">
        <f aca="false">IFERROR(INDEX('Output Utente'!$G$2:$G$492,MATCH(324,'Output Utente'!$R$2:$R$492,0)),"")</f>
        <v/>
      </c>
      <c r="K327" s="27" t="str">
        <f aca="false">IFERROR(INDEX('Output Utente'!$H$2:$H$492,MATCH(324,'Output Utente'!$R$2:$R$492,0)),"")</f>
        <v/>
      </c>
      <c r="L327" s="26" t="str">
        <f aca="false">IFERROR(INDEX('Output Utente'!$E$2:$E$492,MATCH(324,'Output Utente'!$R$2:$R$492,0)),"")</f>
        <v/>
      </c>
    </row>
    <row r="328" customFormat="false" ht="15" hidden="false" customHeight="true" outlineLevel="0" collapsed="false">
      <c r="A328" s="29" t="n">
        <v>325</v>
      </c>
      <c r="B328" s="26" t="str">
        <f aca="false">IFERROR(INDEX('Output Utente'!$A$2:$A$492,MATCH(325,'Output Utente'!$R$2:$R$492,0)),"")</f>
        <v/>
      </c>
      <c r="C328" s="26" t="str">
        <f aca="false">IFERROR(INDEX('Output Utente'!$B$2:$B$492,MATCH(325,'Output Utente'!$R$2:$R$492,0)),"")</f>
        <v/>
      </c>
      <c r="D328" s="26" t="str">
        <f aca="false">IFERROR(INDEX('Output Utente'!$C$2:$C$492,MATCH(325,'Output Utente'!$R$2:$R$492,0)),"")</f>
        <v/>
      </c>
      <c r="E328" s="26" t="str">
        <f aca="false">IFERROR(INDEX('Input Giocatori 2026_27'!$D$3:$D$493,MATCH($B328,'Input Giocatori 2026_27'!$A$3:$A$493,0)),"")</f>
        <v/>
      </c>
      <c r="F328" s="27" t="str">
        <f aca="false">IFERROR(INDEX('Output Utente'!$N$2:$N$492,MATCH(325,'Output Utente'!$R$2:$R$492,0)),"")</f>
        <v/>
      </c>
      <c r="G328" s="26" t="str">
        <f aca="false">IFERROR(INDEX('Output Utente'!$O$2:$O$492,MATCH(325,'Output Utente'!$R$2:$R$492,0)),"")</f>
        <v/>
      </c>
      <c r="H328" s="26" t="str">
        <f aca="false">IFERROR(INDEX('Output Utente'!$P$2:$P$492,MATCH(325,'Output Utente'!$R$2:$R$492,0)),"")</f>
        <v/>
      </c>
      <c r="I328" s="27" t="str">
        <f aca="false">IFERROR(INDEX('Output Utente'!$F$2:$F$492,MATCH(325,'Output Utente'!$R$2:$R$492,0)),"")</f>
        <v/>
      </c>
      <c r="J328" s="27" t="str">
        <f aca="false">IFERROR(INDEX('Output Utente'!$G$2:$G$492,MATCH(325,'Output Utente'!$R$2:$R$492,0)),"")</f>
        <v/>
      </c>
      <c r="K328" s="27" t="str">
        <f aca="false">IFERROR(INDEX('Output Utente'!$H$2:$H$492,MATCH(325,'Output Utente'!$R$2:$R$492,0)),"")</f>
        <v/>
      </c>
      <c r="L328" s="26" t="str">
        <f aca="false">IFERROR(INDEX('Output Utente'!$E$2:$E$492,MATCH(325,'Output Utente'!$R$2:$R$492,0)),"")</f>
        <v/>
      </c>
    </row>
    <row r="329" customFormat="false" ht="15" hidden="false" customHeight="true" outlineLevel="0" collapsed="false">
      <c r="A329" s="29" t="n">
        <v>326</v>
      </c>
      <c r="B329" s="26" t="str">
        <f aca="false">IFERROR(INDEX('Output Utente'!$A$2:$A$492,MATCH(326,'Output Utente'!$R$2:$R$492,0)),"")</f>
        <v/>
      </c>
      <c r="C329" s="26" t="str">
        <f aca="false">IFERROR(INDEX('Output Utente'!$B$2:$B$492,MATCH(326,'Output Utente'!$R$2:$R$492,0)),"")</f>
        <v/>
      </c>
      <c r="D329" s="26" t="str">
        <f aca="false">IFERROR(INDEX('Output Utente'!$C$2:$C$492,MATCH(326,'Output Utente'!$R$2:$R$492,0)),"")</f>
        <v/>
      </c>
      <c r="E329" s="26" t="str">
        <f aca="false">IFERROR(INDEX('Input Giocatori 2026_27'!$D$3:$D$493,MATCH($B329,'Input Giocatori 2026_27'!$A$3:$A$493,0)),"")</f>
        <v/>
      </c>
      <c r="F329" s="27" t="str">
        <f aca="false">IFERROR(INDEX('Output Utente'!$N$2:$N$492,MATCH(326,'Output Utente'!$R$2:$R$492,0)),"")</f>
        <v/>
      </c>
      <c r="G329" s="26" t="str">
        <f aca="false">IFERROR(INDEX('Output Utente'!$O$2:$O$492,MATCH(326,'Output Utente'!$R$2:$R$492,0)),"")</f>
        <v/>
      </c>
      <c r="H329" s="26" t="str">
        <f aca="false">IFERROR(INDEX('Output Utente'!$P$2:$P$492,MATCH(326,'Output Utente'!$R$2:$R$492,0)),"")</f>
        <v/>
      </c>
      <c r="I329" s="27" t="str">
        <f aca="false">IFERROR(INDEX('Output Utente'!$F$2:$F$492,MATCH(326,'Output Utente'!$R$2:$R$492,0)),"")</f>
        <v/>
      </c>
      <c r="J329" s="27" t="str">
        <f aca="false">IFERROR(INDEX('Output Utente'!$G$2:$G$492,MATCH(326,'Output Utente'!$R$2:$R$492,0)),"")</f>
        <v/>
      </c>
      <c r="K329" s="27" t="str">
        <f aca="false">IFERROR(INDEX('Output Utente'!$H$2:$H$492,MATCH(326,'Output Utente'!$R$2:$R$492,0)),"")</f>
        <v/>
      </c>
      <c r="L329" s="26" t="str">
        <f aca="false">IFERROR(INDEX('Output Utente'!$E$2:$E$492,MATCH(326,'Output Utente'!$R$2:$R$492,0)),"")</f>
        <v/>
      </c>
    </row>
    <row r="330" customFormat="false" ht="15" hidden="false" customHeight="true" outlineLevel="0" collapsed="false">
      <c r="A330" s="29" t="n">
        <v>327</v>
      </c>
      <c r="B330" s="26" t="str">
        <f aca="false">IFERROR(INDEX('Output Utente'!$A$2:$A$492,MATCH(327,'Output Utente'!$R$2:$R$492,0)),"")</f>
        <v/>
      </c>
      <c r="C330" s="26" t="str">
        <f aca="false">IFERROR(INDEX('Output Utente'!$B$2:$B$492,MATCH(327,'Output Utente'!$R$2:$R$492,0)),"")</f>
        <v/>
      </c>
      <c r="D330" s="26" t="str">
        <f aca="false">IFERROR(INDEX('Output Utente'!$C$2:$C$492,MATCH(327,'Output Utente'!$R$2:$R$492,0)),"")</f>
        <v/>
      </c>
      <c r="E330" s="26" t="str">
        <f aca="false">IFERROR(INDEX('Input Giocatori 2026_27'!$D$3:$D$493,MATCH($B330,'Input Giocatori 2026_27'!$A$3:$A$493,0)),"")</f>
        <v/>
      </c>
      <c r="F330" s="27" t="str">
        <f aca="false">IFERROR(INDEX('Output Utente'!$N$2:$N$492,MATCH(327,'Output Utente'!$R$2:$R$492,0)),"")</f>
        <v/>
      </c>
      <c r="G330" s="26" t="str">
        <f aca="false">IFERROR(INDEX('Output Utente'!$O$2:$O$492,MATCH(327,'Output Utente'!$R$2:$R$492,0)),"")</f>
        <v/>
      </c>
      <c r="H330" s="26" t="str">
        <f aca="false">IFERROR(INDEX('Output Utente'!$P$2:$P$492,MATCH(327,'Output Utente'!$R$2:$R$492,0)),"")</f>
        <v/>
      </c>
      <c r="I330" s="27" t="str">
        <f aca="false">IFERROR(INDEX('Output Utente'!$F$2:$F$492,MATCH(327,'Output Utente'!$R$2:$R$492,0)),"")</f>
        <v/>
      </c>
      <c r="J330" s="27" t="str">
        <f aca="false">IFERROR(INDEX('Output Utente'!$G$2:$G$492,MATCH(327,'Output Utente'!$R$2:$R$492,0)),"")</f>
        <v/>
      </c>
      <c r="K330" s="27" t="str">
        <f aca="false">IFERROR(INDEX('Output Utente'!$H$2:$H$492,MATCH(327,'Output Utente'!$R$2:$R$492,0)),"")</f>
        <v/>
      </c>
      <c r="L330" s="26" t="str">
        <f aca="false">IFERROR(INDEX('Output Utente'!$E$2:$E$492,MATCH(327,'Output Utente'!$R$2:$R$492,0)),"")</f>
        <v/>
      </c>
    </row>
    <row r="331" customFormat="false" ht="15" hidden="false" customHeight="true" outlineLevel="0" collapsed="false">
      <c r="A331" s="29" t="n">
        <v>328</v>
      </c>
      <c r="B331" s="26" t="str">
        <f aca="false">IFERROR(INDEX('Output Utente'!$A$2:$A$492,MATCH(328,'Output Utente'!$R$2:$R$492,0)),"")</f>
        <v/>
      </c>
      <c r="C331" s="26" t="str">
        <f aca="false">IFERROR(INDEX('Output Utente'!$B$2:$B$492,MATCH(328,'Output Utente'!$R$2:$R$492,0)),"")</f>
        <v/>
      </c>
      <c r="D331" s="26" t="str">
        <f aca="false">IFERROR(INDEX('Output Utente'!$C$2:$C$492,MATCH(328,'Output Utente'!$R$2:$R$492,0)),"")</f>
        <v/>
      </c>
      <c r="E331" s="26" t="str">
        <f aca="false">IFERROR(INDEX('Input Giocatori 2026_27'!$D$3:$D$493,MATCH($B331,'Input Giocatori 2026_27'!$A$3:$A$493,0)),"")</f>
        <v/>
      </c>
      <c r="F331" s="27" t="str">
        <f aca="false">IFERROR(INDEX('Output Utente'!$N$2:$N$492,MATCH(328,'Output Utente'!$R$2:$R$492,0)),"")</f>
        <v/>
      </c>
      <c r="G331" s="26" t="str">
        <f aca="false">IFERROR(INDEX('Output Utente'!$O$2:$O$492,MATCH(328,'Output Utente'!$R$2:$R$492,0)),"")</f>
        <v/>
      </c>
      <c r="H331" s="26" t="str">
        <f aca="false">IFERROR(INDEX('Output Utente'!$P$2:$P$492,MATCH(328,'Output Utente'!$R$2:$R$492,0)),"")</f>
        <v/>
      </c>
      <c r="I331" s="27" t="str">
        <f aca="false">IFERROR(INDEX('Output Utente'!$F$2:$F$492,MATCH(328,'Output Utente'!$R$2:$R$492,0)),"")</f>
        <v/>
      </c>
      <c r="J331" s="27" t="str">
        <f aca="false">IFERROR(INDEX('Output Utente'!$G$2:$G$492,MATCH(328,'Output Utente'!$R$2:$R$492,0)),"")</f>
        <v/>
      </c>
      <c r="K331" s="27" t="str">
        <f aca="false">IFERROR(INDEX('Output Utente'!$H$2:$H$492,MATCH(328,'Output Utente'!$R$2:$R$492,0)),"")</f>
        <v/>
      </c>
      <c r="L331" s="26" t="str">
        <f aca="false">IFERROR(INDEX('Output Utente'!$E$2:$E$492,MATCH(328,'Output Utente'!$R$2:$R$492,0)),"")</f>
        <v/>
      </c>
    </row>
    <row r="332" customFormat="false" ht="15" hidden="false" customHeight="true" outlineLevel="0" collapsed="false">
      <c r="A332" s="29" t="n">
        <v>329</v>
      </c>
      <c r="B332" s="26" t="str">
        <f aca="false">IFERROR(INDEX('Output Utente'!$A$2:$A$492,MATCH(329,'Output Utente'!$R$2:$R$492,0)),"")</f>
        <v/>
      </c>
      <c r="C332" s="26" t="str">
        <f aca="false">IFERROR(INDEX('Output Utente'!$B$2:$B$492,MATCH(329,'Output Utente'!$R$2:$R$492,0)),"")</f>
        <v/>
      </c>
      <c r="D332" s="26" t="str">
        <f aca="false">IFERROR(INDEX('Output Utente'!$C$2:$C$492,MATCH(329,'Output Utente'!$R$2:$R$492,0)),"")</f>
        <v/>
      </c>
      <c r="E332" s="26" t="str">
        <f aca="false">IFERROR(INDEX('Input Giocatori 2026_27'!$D$3:$D$493,MATCH($B332,'Input Giocatori 2026_27'!$A$3:$A$493,0)),"")</f>
        <v/>
      </c>
      <c r="F332" s="27" t="str">
        <f aca="false">IFERROR(INDEX('Output Utente'!$N$2:$N$492,MATCH(329,'Output Utente'!$R$2:$R$492,0)),"")</f>
        <v/>
      </c>
      <c r="G332" s="26" t="str">
        <f aca="false">IFERROR(INDEX('Output Utente'!$O$2:$O$492,MATCH(329,'Output Utente'!$R$2:$R$492,0)),"")</f>
        <v/>
      </c>
      <c r="H332" s="26" t="str">
        <f aca="false">IFERROR(INDEX('Output Utente'!$P$2:$P$492,MATCH(329,'Output Utente'!$R$2:$R$492,0)),"")</f>
        <v/>
      </c>
      <c r="I332" s="27" t="str">
        <f aca="false">IFERROR(INDEX('Output Utente'!$F$2:$F$492,MATCH(329,'Output Utente'!$R$2:$R$492,0)),"")</f>
        <v/>
      </c>
      <c r="J332" s="27" t="str">
        <f aca="false">IFERROR(INDEX('Output Utente'!$G$2:$G$492,MATCH(329,'Output Utente'!$R$2:$R$492,0)),"")</f>
        <v/>
      </c>
      <c r="K332" s="27" t="str">
        <f aca="false">IFERROR(INDEX('Output Utente'!$H$2:$H$492,MATCH(329,'Output Utente'!$R$2:$R$492,0)),"")</f>
        <v/>
      </c>
      <c r="L332" s="26" t="str">
        <f aca="false">IFERROR(INDEX('Output Utente'!$E$2:$E$492,MATCH(329,'Output Utente'!$R$2:$R$492,0)),"")</f>
        <v/>
      </c>
    </row>
    <row r="333" customFormat="false" ht="15" hidden="false" customHeight="true" outlineLevel="0" collapsed="false">
      <c r="A333" s="29" t="n">
        <v>330</v>
      </c>
      <c r="B333" s="26" t="str">
        <f aca="false">IFERROR(INDEX('Output Utente'!$A$2:$A$492,MATCH(330,'Output Utente'!$R$2:$R$492,0)),"")</f>
        <v/>
      </c>
      <c r="C333" s="26" t="str">
        <f aca="false">IFERROR(INDEX('Output Utente'!$B$2:$B$492,MATCH(330,'Output Utente'!$R$2:$R$492,0)),"")</f>
        <v/>
      </c>
      <c r="D333" s="26" t="str">
        <f aca="false">IFERROR(INDEX('Output Utente'!$C$2:$C$492,MATCH(330,'Output Utente'!$R$2:$R$492,0)),"")</f>
        <v/>
      </c>
      <c r="E333" s="26" t="str">
        <f aca="false">IFERROR(INDEX('Input Giocatori 2026_27'!$D$3:$D$493,MATCH($B333,'Input Giocatori 2026_27'!$A$3:$A$493,0)),"")</f>
        <v/>
      </c>
      <c r="F333" s="27" t="str">
        <f aca="false">IFERROR(INDEX('Output Utente'!$N$2:$N$492,MATCH(330,'Output Utente'!$R$2:$R$492,0)),"")</f>
        <v/>
      </c>
      <c r="G333" s="26" t="str">
        <f aca="false">IFERROR(INDEX('Output Utente'!$O$2:$O$492,MATCH(330,'Output Utente'!$R$2:$R$492,0)),"")</f>
        <v/>
      </c>
      <c r="H333" s="26" t="str">
        <f aca="false">IFERROR(INDEX('Output Utente'!$P$2:$P$492,MATCH(330,'Output Utente'!$R$2:$R$492,0)),"")</f>
        <v/>
      </c>
      <c r="I333" s="27" t="str">
        <f aca="false">IFERROR(INDEX('Output Utente'!$F$2:$F$492,MATCH(330,'Output Utente'!$R$2:$R$492,0)),"")</f>
        <v/>
      </c>
      <c r="J333" s="27" t="str">
        <f aca="false">IFERROR(INDEX('Output Utente'!$G$2:$G$492,MATCH(330,'Output Utente'!$R$2:$R$492,0)),"")</f>
        <v/>
      </c>
      <c r="K333" s="27" t="str">
        <f aca="false">IFERROR(INDEX('Output Utente'!$H$2:$H$492,MATCH(330,'Output Utente'!$R$2:$R$492,0)),"")</f>
        <v/>
      </c>
      <c r="L333" s="26" t="str">
        <f aca="false">IFERROR(INDEX('Output Utente'!$E$2:$E$492,MATCH(330,'Output Utente'!$R$2:$R$492,0)),"")</f>
        <v/>
      </c>
    </row>
    <row r="334" customFormat="false" ht="15" hidden="false" customHeight="true" outlineLevel="0" collapsed="false">
      <c r="A334" s="29" t="n">
        <v>331</v>
      </c>
      <c r="B334" s="26" t="str">
        <f aca="false">IFERROR(INDEX('Output Utente'!$A$2:$A$492,MATCH(331,'Output Utente'!$R$2:$R$492,0)),"")</f>
        <v/>
      </c>
      <c r="C334" s="26" t="str">
        <f aca="false">IFERROR(INDEX('Output Utente'!$B$2:$B$492,MATCH(331,'Output Utente'!$R$2:$R$492,0)),"")</f>
        <v/>
      </c>
      <c r="D334" s="26" t="str">
        <f aca="false">IFERROR(INDEX('Output Utente'!$C$2:$C$492,MATCH(331,'Output Utente'!$R$2:$R$492,0)),"")</f>
        <v/>
      </c>
      <c r="E334" s="26" t="str">
        <f aca="false">IFERROR(INDEX('Input Giocatori 2026_27'!$D$3:$D$493,MATCH($B334,'Input Giocatori 2026_27'!$A$3:$A$493,0)),"")</f>
        <v/>
      </c>
      <c r="F334" s="27" t="str">
        <f aca="false">IFERROR(INDEX('Output Utente'!$N$2:$N$492,MATCH(331,'Output Utente'!$R$2:$R$492,0)),"")</f>
        <v/>
      </c>
      <c r="G334" s="26" t="str">
        <f aca="false">IFERROR(INDEX('Output Utente'!$O$2:$O$492,MATCH(331,'Output Utente'!$R$2:$R$492,0)),"")</f>
        <v/>
      </c>
      <c r="H334" s="26" t="str">
        <f aca="false">IFERROR(INDEX('Output Utente'!$P$2:$P$492,MATCH(331,'Output Utente'!$R$2:$R$492,0)),"")</f>
        <v/>
      </c>
      <c r="I334" s="27" t="str">
        <f aca="false">IFERROR(INDEX('Output Utente'!$F$2:$F$492,MATCH(331,'Output Utente'!$R$2:$R$492,0)),"")</f>
        <v/>
      </c>
      <c r="J334" s="27" t="str">
        <f aca="false">IFERROR(INDEX('Output Utente'!$G$2:$G$492,MATCH(331,'Output Utente'!$R$2:$R$492,0)),"")</f>
        <v/>
      </c>
      <c r="K334" s="27" t="str">
        <f aca="false">IFERROR(INDEX('Output Utente'!$H$2:$H$492,MATCH(331,'Output Utente'!$R$2:$R$492,0)),"")</f>
        <v/>
      </c>
      <c r="L334" s="26" t="str">
        <f aca="false">IFERROR(INDEX('Output Utente'!$E$2:$E$492,MATCH(331,'Output Utente'!$R$2:$R$492,0)),"")</f>
        <v/>
      </c>
    </row>
    <row r="335" customFormat="false" ht="15" hidden="false" customHeight="true" outlineLevel="0" collapsed="false">
      <c r="A335" s="29" t="n">
        <v>332</v>
      </c>
      <c r="B335" s="26" t="str">
        <f aca="false">IFERROR(INDEX('Output Utente'!$A$2:$A$492,MATCH(332,'Output Utente'!$R$2:$R$492,0)),"")</f>
        <v/>
      </c>
      <c r="C335" s="26" t="str">
        <f aca="false">IFERROR(INDEX('Output Utente'!$B$2:$B$492,MATCH(332,'Output Utente'!$R$2:$R$492,0)),"")</f>
        <v/>
      </c>
      <c r="D335" s="26" t="str">
        <f aca="false">IFERROR(INDEX('Output Utente'!$C$2:$C$492,MATCH(332,'Output Utente'!$R$2:$R$492,0)),"")</f>
        <v/>
      </c>
      <c r="E335" s="26" t="str">
        <f aca="false">IFERROR(INDEX('Input Giocatori 2026_27'!$D$3:$D$493,MATCH($B335,'Input Giocatori 2026_27'!$A$3:$A$493,0)),"")</f>
        <v/>
      </c>
      <c r="F335" s="27" t="str">
        <f aca="false">IFERROR(INDEX('Output Utente'!$N$2:$N$492,MATCH(332,'Output Utente'!$R$2:$R$492,0)),"")</f>
        <v/>
      </c>
      <c r="G335" s="26" t="str">
        <f aca="false">IFERROR(INDEX('Output Utente'!$O$2:$O$492,MATCH(332,'Output Utente'!$R$2:$R$492,0)),"")</f>
        <v/>
      </c>
      <c r="H335" s="26" t="str">
        <f aca="false">IFERROR(INDEX('Output Utente'!$P$2:$P$492,MATCH(332,'Output Utente'!$R$2:$R$492,0)),"")</f>
        <v/>
      </c>
      <c r="I335" s="27" t="str">
        <f aca="false">IFERROR(INDEX('Output Utente'!$F$2:$F$492,MATCH(332,'Output Utente'!$R$2:$R$492,0)),"")</f>
        <v/>
      </c>
      <c r="J335" s="27" t="str">
        <f aca="false">IFERROR(INDEX('Output Utente'!$G$2:$G$492,MATCH(332,'Output Utente'!$R$2:$R$492,0)),"")</f>
        <v/>
      </c>
      <c r="K335" s="27" t="str">
        <f aca="false">IFERROR(INDEX('Output Utente'!$H$2:$H$492,MATCH(332,'Output Utente'!$R$2:$R$492,0)),"")</f>
        <v/>
      </c>
      <c r="L335" s="26" t="str">
        <f aca="false">IFERROR(INDEX('Output Utente'!$E$2:$E$492,MATCH(332,'Output Utente'!$R$2:$R$492,0)),"")</f>
        <v/>
      </c>
    </row>
    <row r="336" customFormat="false" ht="15" hidden="false" customHeight="true" outlineLevel="0" collapsed="false">
      <c r="A336" s="29" t="n">
        <v>333</v>
      </c>
      <c r="B336" s="26" t="str">
        <f aca="false">IFERROR(INDEX('Output Utente'!$A$2:$A$492,MATCH(333,'Output Utente'!$R$2:$R$492,0)),"")</f>
        <v/>
      </c>
      <c r="C336" s="26" t="str">
        <f aca="false">IFERROR(INDEX('Output Utente'!$B$2:$B$492,MATCH(333,'Output Utente'!$R$2:$R$492,0)),"")</f>
        <v/>
      </c>
      <c r="D336" s="26" t="str">
        <f aca="false">IFERROR(INDEX('Output Utente'!$C$2:$C$492,MATCH(333,'Output Utente'!$R$2:$R$492,0)),"")</f>
        <v/>
      </c>
      <c r="E336" s="26" t="str">
        <f aca="false">IFERROR(INDEX('Input Giocatori 2026_27'!$D$3:$D$493,MATCH($B336,'Input Giocatori 2026_27'!$A$3:$A$493,0)),"")</f>
        <v/>
      </c>
      <c r="F336" s="27" t="str">
        <f aca="false">IFERROR(INDEX('Output Utente'!$N$2:$N$492,MATCH(333,'Output Utente'!$R$2:$R$492,0)),"")</f>
        <v/>
      </c>
      <c r="G336" s="26" t="str">
        <f aca="false">IFERROR(INDEX('Output Utente'!$O$2:$O$492,MATCH(333,'Output Utente'!$R$2:$R$492,0)),"")</f>
        <v/>
      </c>
      <c r="H336" s="26" t="str">
        <f aca="false">IFERROR(INDEX('Output Utente'!$P$2:$P$492,MATCH(333,'Output Utente'!$R$2:$R$492,0)),"")</f>
        <v/>
      </c>
      <c r="I336" s="27" t="str">
        <f aca="false">IFERROR(INDEX('Output Utente'!$F$2:$F$492,MATCH(333,'Output Utente'!$R$2:$R$492,0)),"")</f>
        <v/>
      </c>
      <c r="J336" s="27" t="str">
        <f aca="false">IFERROR(INDEX('Output Utente'!$G$2:$G$492,MATCH(333,'Output Utente'!$R$2:$R$492,0)),"")</f>
        <v/>
      </c>
      <c r="K336" s="27" t="str">
        <f aca="false">IFERROR(INDEX('Output Utente'!$H$2:$H$492,MATCH(333,'Output Utente'!$R$2:$R$492,0)),"")</f>
        <v/>
      </c>
      <c r="L336" s="26" t="str">
        <f aca="false">IFERROR(INDEX('Output Utente'!$E$2:$E$492,MATCH(333,'Output Utente'!$R$2:$R$492,0)),"")</f>
        <v/>
      </c>
    </row>
    <row r="337" customFormat="false" ht="15" hidden="false" customHeight="true" outlineLevel="0" collapsed="false">
      <c r="A337" s="29" t="n">
        <v>334</v>
      </c>
      <c r="B337" s="26" t="str">
        <f aca="false">IFERROR(INDEX('Output Utente'!$A$2:$A$492,MATCH(334,'Output Utente'!$R$2:$R$492,0)),"")</f>
        <v/>
      </c>
      <c r="C337" s="26" t="str">
        <f aca="false">IFERROR(INDEX('Output Utente'!$B$2:$B$492,MATCH(334,'Output Utente'!$R$2:$R$492,0)),"")</f>
        <v/>
      </c>
      <c r="D337" s="26" t="str">
        <f aca="false">IFERROR(INDEX('Output Utente'!$C$2:$C$492,MATCH(334,'Output Utente'!$R$2:$R$492,0)),"")</f>
        <v/>
      </c>
      <c r="E337" s="26" t="str">
        <f aca="false">IFERROR(INDEX('Input Giocatori 2026_27'!$D$3:$D$493,MATCH($B337,'Input Giocatori 2026_27'!$A$3:$A$493,0)),"")</f>
        <v/>
      </c>
      <c r="F337" s="27" t="str">
        <f aca="false">IFERROR(INDEX('Output Utente'!$N$2:$N$492,MATCH(334,'Output Utente'!$R$2:$R$492,0)),"")</f>
        <v/>
      </c>
      <c r="G337" s="26" t="str">
        <f aca="false">IFERROR(INDEX('Output Utente'!$O$2:$O$492,MATCH(334,'Output Utente'!$R$2:$R$492,0)),"")</f>
        <v/>
      </c>
      <c r="H337" s="26" t="str">
        <f aca="false">IFERROR(INDEX('Output Utente'!$P$2:$P$492,MATCH(334,'Output Utente'!$R$2:$R$492,0)),"")</f>
        <v/>
      </c>
      <c r="I337" s="27" t="str">
        <f aca="false">IFERROR(INDEX('Output Utente'!$F$2:$F$492,MATCH(334,'Output Utente'!$R$2:$R$492,0)),"")</f>
        <v/>
      </c>
      <c r="J337" s="27" t="str">
        <f aca="false">IFERROR(INDEX('Output Utente'!$G$2:$G$492,MATCH(334,'Output Utente'!$R$2:$R$492,0)),"")</f>
        <v/>
      </c>
      <c r="K337" s="27" t="str">
        <f aca="false">IFERROR(INDEX('Output Utente'!$H$2:$H$492,MATCH(334,'Output Utente'!$R$2:$R$492,0)),"")</f>
        <v/>
      </c>
      <c r="L337" s="26" t="str">
        <f aca="false">IFERROR(INDEX('Output Utente'!$E$2:$E$492,MATCH(334,'Output Utente'!$R$2:$R$492,0)),"")</f>
        <v/>
      </c>
    </row>
    <row r="338" customFormat="false" ht="15" hidden="false" customHeight="true" outlineLevel="0" collapsed="false">
      <c r="A338" s="29" t="n">
        <v>335</v>
      </c>
      <c r="B338" s="26" t="str">
        <f aca="false">IFERROR(INDEX('Output Utente'!$A$2:$A$492,MATCH(335,'Output Utente'!$R$2:$R$492,0)),"")</f>
        <v/>
      </c>
      <c r="C338" s="26" t="str">
        <f aca="false">IFERROR(INDEX('Output Utente'!$B$2:$B$492,MATCH(335,'Output Utente'!$R$2:$R$492,0)),"")</f>
        <v/>
      </c>
      <c r="D338" s="26" t="str">
        <f aca="false">IFERROR(INDEX('Output Utente'!$C$2:$C$492,MATCH(335,'Output Utente'!$R$2:$R$492,0)),"")</f>
        <v/>
      </c>
      <c r="E338" s="26" t="str">
        <f aca="false">IFERROR(INDEX('Input Giocatori 2026_27'!$D$3:$D$493,MATCH($B338,'Input Giocatori 2026_27'!$A$3:$A$493,0)),"")</f>
        <v/>
      </c>
      <c r="F338" s="27" t="str">
        <f aca="false">IFERROR(INDEX('Output Utente'!$N$2:$N$492,MATCH(335,'Output Utente'!$R$2:$R$492,0)),"")</f>
        <v/>
      </c>
      <c r="G338" s="26" t="str">
        <f aca="false">IFERROR(INDEX('Output Utente'!$O$2:$O$492,MATCH(335,'Output Utente'!$R$2:$R$492,0)),"")</f>
        <v/>
      </c>
      <c r="H338" s="26" t="str">
        <f aca="false">IFERROR(INDEX('Output Utente'!$P$2:$P$492,MATCH(335,'Output Utente'!$R$2:$R$492,0)),"")</f>
        <v/>
      </c>
      <c r="I338" s="27" t="str">
        <f aca="false">IFERROR(INDEX('Output Utente'!$F$2:$F$492,MATCH(335,'Output Utente'!$R$2:$R$492,0)),"")</f>
        <v/>
      </c>
      <c r="J338" s="27" t="str">
        <f aca="false">IFERROR(INDEX('Output Utente'!$G$2:$G$492,MATCH(335,'Output Utente'!$R$2:$R$492,0)),"")</f>
        <v/>
      </c>
      <c r="K338" s="27" t="str">
        <f aca="false">IFERROR(INDEX('Output Utente'!$H$2:$H$492,MATCH(335,'Output Utente'!$R$2:$R$492,0)),"")</f>
        <v/>
      </c>
      <c r="L338" s="26" t="str">
        <f aca="false">IFERROR(INDEX('Output Utente'!$E$2:$E$492,MATCH(335,'Output Utente'!$R$2:$R$492,0)),"")</f>
        <v/>
      </c>
    </row>
    <row r="339" customFormat="false" ht="15" hidden="false" customHeight="true" outlineLevel="0" collapsed="false">
      <c r="A339" s="29" t="n">
        <v>336</v>
      </c>
      <c r="B339" s="26" t="str">
        <f aca="false">IFERROR(INDEX('Output Utente'!$A$2:$A$492,MATCH(336,'Output Utente'!$R$2:$R$492,0)),"")</f>
        <v/>
      </c>
      <c r="C339" s="26" t="str">
        <f aca="false">IFERROR(INDEX('Output Utente'!$B$2:$B$492,MATCH(336,'Output Utente'!$R$2:$R$492,0)),"")</f>
        <v/>
      </c>
      <c r="D339" s="26" t="str">
        <f aca="false">IFERROR(INDEX('Output Utente'!$C$2:$C$492,MATCH(336,'Output Utente'!$R$2:$R$492,0)),"")</f>
        <v/>
      </c>
      <c r="E339" s="26" t="str">
        <f aca="false">IFERROR(INDEX('Input Giocatori 2026_27'!$D$3:$D$493,MATCH($B339,'Input Giocatori 2026_27'!$A$3:$A$493,0)),"")</f>
        <v/>
      </c>
      <c r="F339" s="27" t="str">
        <f aca="false">IFERROR(INDEX('Output Utente'!$N$2:$N$492,MATCH(336,'Output Utente'!$R$2:$R$492,0)),"")</f>
        <v/>
      </c>
      <c r="G339" s="26" t="str">
        <f aca="false">IFERROR(INDEX('Output Utente'!$O$2:$O$492,MATCH(336,'Output Utente'!$R$2:$R$492,0)),"")</f>
        <v/>
      </c>
      <c r="H339" s="26" t="str">
        <f aca="false">IFERROR(INDEX('Output Utente'!$P$2:$P$492,MATCH(336,'Output Utente'!$R$2:$R$492,0)),"")</f>
        <v/>
      </c>
      <c r="I339" s="27" t="str">
        <f aca="false">IFERROR(INDEX('Output Utente'!$F$2:$F$492,MATCH(336,'Output Utente'!$R$2:$R$492,0)),"")</f>
        <v/>
      </c>
      <c r="J339" s="27" t="str">
        <f aca="false">IFERROR(INDEX('Output Utente'!$G$2:$G$492,MATCH(336,'Output Utente'!$R$2:$R$492,0)),"")</f>
        <v/>
      </c>
      <c r="K339" s="27" t="str">
        <f aca="false">IFERROR(INDEX('Output Utente'!$H$2:$H$492,MATCH(336,'Output Utente'!$R$2:$R$492,0)),"")</f>
        <v/>
      </c>
      <c r="L339" s="26" t="str">
        <f aca="false">IFERROR(INDEX('Output Utente'!$E$2:$E$492,MATCH(336,'Output Utente'!$R$2:$R$492,0)),"")</f>
        <v/>
      </c>
    </row>
    <row r="340" customFormat="false" ht="15" hidden="false" customHeight="true" outlineLevel="0" collapsed="false">
      <c r="A340" s="29" t="n">
        <v>337</v>
      </c>
      <c r="B340" s="26" t="str">
        <f aca="false">IFERROR(INDEX('Output Utente'!$A$2:$A$492,MATCH(337,'Output Utente'!$R$2:$R$492,0)),"")</f>
        <v/>
      </c>
      <c r="C340" s="26" t="str">
        <f aca="false">IFERROR(INDEX('Output Utente'!$B$2:$B$492,MATCH(337,'Output Utente'!$R$2:$R$492,0)),"")</f>
        <v/>
      </c>
      <c r="D340" s="26" t="str">
        <f aca="false">IFERROR(INDEX('Output Utente'!$C$2:$C$492,MATCH(337,'Output Utente'!$R$2:$R$492,0)),"")</f>
        <v/>
      </c>
      <c r="E340" s="26" t="str">
        <f aca="false">IFERROR(INDEX('Input Giocatori 2026_27'!$D$3:$D$493,MATCH($B340,'Input Giocatori 2026_27'!$A$3:$A$493,0)),"")</f>
        <v/>
      </c>
      <c r="F340" s="27" t="str">
        <f aca="false">IFERROR(INDEX('Output Utente'!$N$2:$N$492,MATCH(337,'Output Utente'!$R$2:$R$492,0)),"")</f>
        <v/>
      </c>
      <c r="G340" s="26" t="str">
        <f aca="false">IFERROR(INDEX('Output Utente'!$O$2:$O$492,MATCH(337,'Output Utente'!$R$2:$R$492,0)),"")</f>
        <v/>
      </c>
      <c r="H340" s="26" t="str">
        <f aca="false">IFERROR(INDEX('Output Utente'!$P$2:$P$492,MATCH(337,'Output Utente'!$R$2:$R$492,0)),"")</f>
        <v/>
      </c>
      <c r="I340" s="27" t="str">
        <f aca="false">IFERROR(INDEX('Output Utente'!$F$2:$F$492,MATCH(337,'Output Utente'!$R$2:$R$492,0)),"")</f>
        <v/>
      </c>
      <c r="J340" s="27" t="str">
        <f aca="false">IFERROR(INDEX('Output Utente'!$G$2:$G$492,MATCH(337,'Output Utente'!$R$2:$R$492,0)),"")</f>
        <v/>
      </c>
      <c r="K340" s="27" t="str">
        <f aca="false">IFERROR(INDEX('Output Utente'!$H$2:$H$492,MATCH(337,'Output Utente'!$R$2:$R$492,0)),"")</f>
        <v/>
      </c>
      <c r="L340" s="26" t="str">
        <f aca="false">IFERROR(INDEX('Output Utente'!$E$2:$E$492,MATCH(337,'Output Utente'!$R$2:$R$492,0)),"")</f>
        <v/>
      </c>
    </row>
    <row r="341" customFormat="false" ht="15" hidden="false" customHeight="true" outlineLevel="0" collapsed="false">
      <c r="A341" s="29" t="n">
        <v>338</v>
      </c>
      <c r="B341" s="26" t="str">
        <f aca="false">IFERROR(INDEX('Output Utente'!$A$2:$A$492,MATCH(338,'Output Utente'!$R$2:$R$492,0)),"")</f>
        <v/>
      </c>
      <c r="C341" s="26" t="str">
        <f aca="false">IFERROR(INDEX('Output Utente'!$B$2:$B$492,MATCH(338,'Output Utente'!$R$2:$R$492,0)),"")</f>
        <v/>
      </c>
      <c r="D341" s="26" t="str">
        <f aca="false">IFERROR(INDEX('Output Utente'!$C$2:$C$492,MATCH(338,'Output Utente'!$R$2:$R$492,0)),"")</f>
        <v/>
      </c>
      <c r="E341" s="26" t="str">
        <f aca="false">IFERROR(INDEX('Input Giocatori 2026_27'!$D$3:$D$493,MATCH($B341,'Input Giocatori 2026_27'!$A$3:$A$493,0)),"")</f>
        <v/>
      </c>
      <c r="F341" s="27" t="str">
        <f aca="false">IFERROR(INDEX('Output Utente'!$N$2:$N$492,MATCH(338,'Output Utente'!$R$2:$R$492,0)),"")</f>
        <v/>
      </c>
      <c r="G341" s="26" t="str">
        <f aca="false">IFERROR(INDEX('Output Utente'!$O$2:$O$492,MATCH(338,'Output Utente'!$R$2:$R$492,0)),"")</f>
        <v/>
      </c>
      <c r="H341" s="26" t="str">
        <f aca="false">IFERROR(INDEX('Output Utente'!$P$2:$P$492,MATCH(338,'Output Utente'!$R$2:$R$492,0)),"")</f>
        <v/>
      </c>
      <c r="I341" s="27" t="str">
        <f aca="false">IFERROR(INDEX('Output Utente'!$F$2:$F$492,MATCH(338,'Output Utente'!$R$2:$R$492,0)),"")</f>
        <v/>
      </c>
      <c r="J341" s="27" t="str">
        <f aca="false">IFERROR(INDEX('Output Utente'!$G$2:$G$492,MATCH(338,'Output Utente'!$R$2:$R$492,0)),"")</f>
        <v/>
      </c>
      <c r="K341" s="27" t="str">
        <f aca="false">IFERROR(INDEX('Output Utente'!$H$2:$H$492,MATCH(338,'Output Utente'!$R$2:$R$492,0)),"")</f>
        <v/>
      </c>
      <c r="L341" s="26" t="str">
        <f aca="false">IFERROR(INDEX('Output Utente'!$E$2:$E$492,MATCH(338,'Output Utente'!$R$2:$R$492,0)),"")</f>
        <v/>
      </c>
    </row>
    <row r="342" customFormat="false" ht="15" hidden="false" customHeight="true" outlineLevel="0" collapsed="false">
      <c r="A342" s="29" t="n">
        <v>339</v>
      </c>
      <c r="B342" s="26" t="str">
        <f aca="false">IFERROR(INDEX('Output Utente'!$A$2:$A$492,MATCH(339,'Output Utente'!$R$2:$R$492,0)),"")</f>
        <v/>
      </c>
      <c r="C342" s="26" t="str">
        <f aca="false">IFERROR(INDEX('Output Utente'!$B$2:$B$492,MATCH(339,'Output Utente'!$R$2:$R$492,0)),"")</f>
        <v/>
      </c>
      <c r="D342" s="26" t="str">
        <f aca="false">IFERROR(INDEX('Output Utente'!$C$2:$C$492,MATCH(339,'Output Utente'!$R$2:$R$492,0)),"")</f>
        <v/>
      </c>
      <c r="E342" s="26" t="str">
        <f aca="false">IFERROR(INDEX('Input Giocatori 2026_27'!$D$3:$D$493,MATCH($B342,'Input Giocatori 2026_27'!$A$3:$A$493,0)),"")</f>
        <v/>
      </c>
      <c r="F342" s="27" t="str">
        <f aca="false">IFERROR(INDEX('Output Utente'!$N$2:$N$492,MATCH(339,'Output Utente'!$R$2:$R$492,0)),"")</f>
        <v/>
      </c>
      <c r="G342" s="26" t="str">
        <f aca="false">IFERROR(INDEX('Output Utente'!$O$2:$O$492,MATCH(339,'Output Utente'!$R$2:$R$492,0)),"")</f>
        <v/>
      </c>
      <c r="H342" s="26" t="str">
        <f aca="false">IFERROR(INDEX('Output Utente'!$P$2:$P$492,MATCH(339,'Output Utente'!$R$2:$R$492,0)),"")</f>
        <v/>
      </c>
      <c r="I342" s="27" t="str">
        <f aca="false">IFERROR(INDEX('Output Utente'!$F$2:$F$492,MATCH(339,'Output Utente'!$R$2:$R$492,0)),"")</f>
        <v/>
      </c>
      <c r="J342" s="27" t="str">
        <f aca="false">IFERROR(INDEX('Output Utente'!$G$2:$G$492,MATCH(339,'Output Utente'!$R$2:$R$492,0)),"")</f>
        <v/>
      </c>
      <c r="K342" s="27" t="str">
        <f aca="false">IFERROR(INDEX('Output Utente'!$H$2:$H$492,MATCH(339,'Output Utente'!$R$2:$R$492,0)),"")</f>
        <v/>
      </c>
      <c r="L342" s="26" t="str">
        <f aca="false">IFERROR(INDEX('Output Utente'!$E$2:$E$492,MATCH(339,'Output Utente'!$R$2:$R$492,0)),"")</f>
        <v/>
      </c>
    </row>
    <row r="343" customFormat="false" ht="15" hidden="false" customHeight="true" outlineLevel="0" collapsed="false">
      <c r="A343" s="29" t="n">
        <v>340</v>
      </c>
      <c r="B343" s="26" t="str">
        <f aca="false">IFERROR(INDEX('Output Utente'!$A$2:$A$492,MATCH(340,'Output Utente'!$R$2:$R$492,0)),"")</f>
        <v/>
      </c>
      <c r="C343" s="26" t="str">
        <f aca="false">IFERROR(INDEX('Output Utente'!$B$2:$B$492,MATCH(340,'Output Utente'!$R$2:$R$492,0)),"")</f>
        <v/>
      </c>
      <c r="D343" s="26" t="str">
        <f aca="false">IFERROR(INDEX('Output Utente'!$C$2:$C$492,MATCH(340,'Output Utente'!$R$2:$R$492,0)),"")</f>
        <v/>
      </c>
      <c r="E343" s="26" t="str">
        <f aca="false">IFERROR(INDEX('Input Giocatori 2026_27'!$D$3:$D$493,MATCH($B343,'Input Giocatori 2026_27'!$A$3:$A$493,0)),"")</f>
        <v/>
      </c>
      <c r="F343" s="27" t="str">
        <f aca="false">IFERROR(INDEX('Output Utente'!$N$2:$N$492,MATCH(340,'Output Utente'!$R$2:$R$492,0)),"")</f>
        <v/>
      </c>
      <c r="G343" s="26" t="str">
        <f aca="false">IFERROR(INDEX('Output Utente'!$O$2:$O$492,MATCH(340,'Output Utente'!$R$2:$R$492,0)),"")</f>
        <v/>
      </c>
      <c r="H343" s="26" t="str">
        <f aca="false">IFERROR(INDEX('Output Utente'!$P$2:$P$492,MATCH(340,'Output Utente'!$R$2:$R$492,0)),"")</f>
        <v/>
      </c>
      <c r="I343" s="27" t="str">
        <f aca="false">IFERROR(INDEX('Output Utente'!$F$2:$F$492,MATCH(340,'Output Utente'!$R$2:$R$492,0)),"")</f>
        <v/>
      </c>
      <c r="J343" s="27" t="str">
        <f aca="false">IFERROR(INDEX('Output Utente'!$G$2:$G$492,MATCH(340,'Output Utente'!$R$2:$R$492,0)),"")</f>
        <v/>
      </c>
      <c r="K343" s="27" t="str">
        <f aca="false">IFERROR(INDEX('Output Utente'!$H$2:$H$492,MATCH(340,'Output Utente'!$R$2:$R$492,0)),"")</f>
        <v/>
      </c>
      <c r="L343" s="26" t="str">
        <f aca="false">IFERROR(INDEX('Output Utente'!$E$2:$E$492,MATCH(340,'Output Utente'!$R$2:$R$492,0)),"")</f>
        <v/>
      </c>
    </row>
    <row r="344" customFormat="false" ht="15" hidden="false" customHeight="true" outlineLevel="0" collapsed="false">
      <c r="A344" s="29" t="n">
        <v>341</v>
      </c>
      <c r="B344" s="26" t="str">
        <f aca="false">IFERROR(INDEX('Output Utente'!$A$2:$A$492,MATCH(341,'Output Utente'!$R$2:$R$492,0)),"")</f>
        <v/>
      </c>
      <c r="C344" s="26" t="str">
        <f aca="false">IFERROR(INDEX('Output Utente'!$B$2:$B$492,MATCH(341,'Output Utente'!$R$2:$R$492,0)),"")</f>
        <v/>
      </c>
      <c r="D344" s="26" t="str">
        <f aca="false">IFERROR(INDEX('Output Utente'!$C$2:$C$492,MATCH(341,'Output Utente'!$R$2:$R$492,0)),"")</f>
        <v/>
      </c>
      <c r="E344" s="26" t="str">
        <f aca="false">IFERROR(INDEX('Input Giocatori 2026_27'!$D$3:$D$493,MATCH($B344,'Input Giocatori 2026_27'!$A$3:$A$493,0)),"")</f>
        <v/>
      </c>
      <c r="F344" s="27" t="str">
        <f aca="false">IFERROR(INDEX('Output Utente'!$N$2:$N$492,MATCH(341,'Output Utente'!$R$2:$R$492,0)),"")</f>
        <v/>
      </c>
      <c r="G344" s="26" t="str">
        <f aca="false">IFERROR(INDEX('Output Utente'!$O$2:$O$492,MATCH(341,'Output Utente'!$R$2:$R$492,0)),"")</f>
        <v/>
      </c>
      <c r="H344" s="26" t="str">
        <f aca="false">IFERROR(INDEX('Output Utente'!$P$2:$P$492,MATCH(341,'Output Utente'!$R$2:$R$492,0)),"")</f>
        <v/>
      </c>
      <c r="I344" s="27" t="str">
        <f aca="false">IFERROR(INDEX('Output Utente'!$F$2:$F$492,MATCH(341,'Output Utente'!$R$2:$R$492,0)),"")</f>
        <v/>
      </c>
      <c r="J344" s="27" t="str">
        <f aca="false">IFERROR(INDEX('Output Utente'!$G$2:$G$492,MATCH(341,'Output Utente'!$R$2:$R$492,0)),"")</f>
        <v/>
      </c>
      <c r="K344" s="27" t="str">
        <f aca="false">IFERROR(INDEX('Output Utente'!$H$2:$H$492,MATCH(341,'Output Utente'!$R$2:$R$492,0)),"")</f>
        <v/>
      </c>
      <c r="L344" s="26" t="str">
        <f aca="false">IFERROR(INDEX('Output Utente'!$E$2:$E$492,MATCH(341,'Output Utente'!$R$2:$R$492,0)),"")</f>
        <v/>
      </c>
    </row>
    <row r="345" customFormat="false" ht="15" hidden="false" customHeight="true" outlineLevel="0" collapsed="false">
      <c r="A345" s="29" t="n">
        <v>342</v>
      </c>
      <c r="B345" s="26" t="str">
        <f aca="false">IFERROR(INDEX('Output Utente'!$A$2:$A$492,MATCH(342,'Output Utente'!$R$2:$R$492,0)),"")</f>
        <v/>
      </c>
      <c r="C345" s="26" t="str">
        <f aca="false">IFERROR(INDEX('Output Utente'!$B$2:$B$492,MATCH(342,'Output Utente'!$R$2:$R$492,0)),"")</f>
        <v/>
      </c>
      <c r="D345" s="26" t="str">
        <f aca="false">IFERROR(INDEX('Output Utente'!$C$2:$C$492,MATCH(342,'Output Utente'!$R$2:$R$492,0)),"")</f>
        <v/>
      </c>
      <c r="E345" s="26" t="str">
        <f aca="false">IFERROR(INDEX('Input Giocatori 2026_27'!$D$3:$D$493,MATCH($B345,'Input Giocatori 2026_27'!$A$3:$A$493,0)),"")</f>
        <v/>
      </c>
      <c r="F345" s="27" t="str">
        <f aca="false">IFERROR(INDEX('Output Utente'!$N$2:$N$492,MATCH(342,'Output Utente'!$R$2:$R$492,0)),"")</f>
        <v/>
      </c>
      <c r="G345" s="26" t="str">
        <f aca="false">IFERROR(INDEX('Output Utente'!$O$2:$O$492,MATCH(342,'Output Utente'!$R$2:$R$492,0)),"")</f>
        <v/>
      </c>
      <c r="H345" s="26" t="str">
        <f aca="false">IFERROR(INDEX('Output Utente'!$P$2:$P$492,MATCH(342,'Output Utente'!$R$2:$R$492,0)),"")</f>
        <v/>
      </c>
      <c r="I345" s="27" t="str">
        <f aca="false">IFERROR(INDEX('Output Utente'!$F$2:$F$492,MATCH(342,'Output Utente'!$R$2:$R$492,0)),"")</f>
        <v/>
      </c>
      <c r="J345" s="27" t="str">
        <f aca="false">IFERROR(INDEX('Output Utente'!$G$2:$G$492,MATCH(342,'Output Utente'!$R$2:$R$492,0)),"")</f>
        <v/>
      </c>
      <c r="K345" s="27" t="str">
        <f aca="false">IFERROR(INDEX('Output Utente'!$H$2:$H$492,MATCH(342,'Output Utente'!$R$2:$R$492,0)),"")</f>
        <v/>
      </c>
      <c r="L345" s="26" t="str">
        <f aca="false">IFERROR(INDEX('Output Utente'!$E$2:$E$492,MATCH(342,'Output Utente'!$R$2:$R$492,0)),"")</f>
        <v/>
      </c>
    </row>
    <row r="346" customFormat="false" ht="15" hidden="false" customHeight="true" outlineLevel="0" collapsed="false">
      <c r="A346" s="29" t="n">
        <v>343</v>
      </c>
      <c r="B346" s="26" t="str">
        <f aca="false">IFERROR(INDEX('Output Utente'!$A$2:$A$492,MATCH(343,'Output Utente'!$R$2:$R$492,0)),"")</f>
        <v/>
      </c>
      <c r="C346" s="26" t="str">
        <f aca="false">IFERROR(INDEX('Output Utente'!$B$2:$B$492,MATCH(343,'Output Utente'!$R$2:$R$492,0)),"")</f>
        <v/>
      </c>
      <c r="D346" s="26" t="str">
        <f aca="false">IFERROR(INDEX('Output Utente'!$C$2:$C$492,MATCH(343,'Output Utente'!$R$2:$R$492,0)),"")</f>
        <v/>
      </c>
      <c r="E346" s="26" t="str">
        <f aca="false">IFERROR(INDEX('Input Giocatori 2026_27'!$D$3:$D$493,MATCH($B346,'Input Giocatori 2026_27'!$A$3:$A$493,0)),"")</f>
        <v/>
      </c>
      <c r="F346" s="27" t="str">
        <f aca="false">IFERROR(INDEX('Output Utente'!$N$2:$N$492,MATCH(343,'Output Utente'!$R$2:$R$492,0)),"")</f>
        <v/>
      </c>
      <c r="G346" s="26" t="str">
        <f aca="false">IFERROR(INDEX('Output Utente'!$O$2:$O$492,MATCH(343,'Output Utente'!$R$2:$R$492,0)),"")</f>
        <v/>
      </c>
      <c r="H346" s="26" t="str">
        <f aca="false">IFERROR(INDEX('Output Utente'!$P$2:$P$492,MATCH(343,'Output Utente'!$R$2:$R$492,0)),"")</f>
        <v/>
      </c>
      <c r="I346" s="27" t="str">
        <f aca="false">IFERROR(INDEX('Output Utente'!$F$2:$F$492,MATCH(343,'Output Utente'!$R$2:$R$492,0)),"")</f>
        <v/>
      </c>
      <c r="J346" s="27" t="str">
        <f aca="false">IFERROR(INDEX('Output Utente'!$G$2:$G$492,MATCH(343,'Output Utente'!$R$2:$R$492,0)),"")</f>
        <v/>
      </c>
      <c r="K346" s="27" t="str">
        <f aca="false">IFERROR(INDEX('Output Utente'!$H$2:$H$492,MATCH(343,'Output Utente'!$R$2:$R$492,0)),"")</f>
        <v/>
      </c>
      <c r="L346" s="26" t="str">
        <f aca="false">IFERROR(INDEX('Output Utente'!$E$2:$E$492,MATCH(343,'Output Utente'!$R$2:$R$492,0)),"")</f>
        <v/>
      </c>
    </row>
    <row r="347" customFormat="false" ht="15" hidden="false" customHeight="true" outlineLevel="0" collapsed="false">
      <c r="A347" s="29" t="n">
        <v>344</v>
      </c>
      <c r="B347" s="26" t="str">
        <f aca="false">IFERROR(INDEX('Output Utente'!$A$2:$A$492,MATCH(344,'Output Utente'!$R$2:$R$492,0)),"")</f>
        <v/>
      </c>
      <c r="C347" s="26" t="str">
        <f aca="false">IFERROR(INDEX('Output Utente'!$B$2:$B$492,MATCH(344,'Output Utente'!$R$2:$R$492,0)),"")</f>
        <v/>
      </c>
      <c r="D347" s="26" t="str">
        <f aca="false">IFERROR(INDEX('Output Utente'!$C$2:$C$492,MATCH(344,'Output Utente'!$R$2:$R$492,0)),"")</f>
        <v/>
      </c>
      <c r="E347" s="26" t="str">
        <f aca="false">IFERROR(INDEX('Input Giocatori 2026_27'!$D$3:$D$493,MATCH($B347,'Input Giocatori 2026_27'!$A$3:$A$493,0)),"")</f>
        <v/>
      </c>
      <c r="F347" s="27" t="str">
        <f aca="false">IFERROR(INDEX('Output Utente'!$N$2:$N$492,MATCH(344,'Output Utente'!$R$2:$R$492,0)),"")</f>
        <v/>
      </c>
      <c r="G347" s="26" t="str">
        <f aca="false">IFERROR(INDEX('Output Utente'!$O$2:$O$492,MATCH(344,'Output Utente'!$R$2:$R$492,0)),"")</f>
        <v/>
      </c>
      <c r="H347" s="26" t="str">
        <f aca="false">IFERROR(INDEX('Output Utente'!$P$2:$P$492,MATCH(344,'Output Utente'!$R$2:$R$492,0)),"")</f>
        <v/>
      </c>
      <c r="I347" s="27" t="str">
        <f aca="false">IFERROR(INDEX('Output Utente'!$F$2:$F$492,MATCH(344,'Output Utente'!$R$2:$R$492,0)),"")</f>
        <v/>
      </c>
      <c r="J347" s="27" t="str">
        <f aca="false">IFERROR(INDEX('Output Utente'!$G$2:$G$492,MATCH(344,'Output Utente'!$R$2:$R$492,0)),"")</f>
        <v/>
      </c>
      <c r="K347" s="27" t="str">
        <f aca="false">IFERROR(INDEX('Output Utente'!$H$2:$H$492,MATCH(344,'Output Utente'!$R$2:$R$492,0)),"")</f>
        <v/>
      </c>
      <c r="L347" s="26" t="str">
        <f aca="false">IFERROR(INDEX('Output Utente'!$E$2:$E$492,MATCH(344,'Output Utente'!$R$2:$R$492,0)),"")</f>
        <v/>
      </c>
    </row>
    <row r="348" customFormat="false" ht="15" hidden="false" customHeight="true" outlineLevel="0" collapsed="false">
      <c r="A348" s="29" t="n">
        <v>345</v>
      </c>
      <c r="B348" s="26" t="str">
        <f aca="false">IFERROR(INDEX('Output Utente'!$A$2:$A$492,MATCH(345,'Output Utente'!$R$2:$R$492,0)),"")</f>
        <v/>
      </c>
      <c r="C348" s="26" t="str">
        <f aca="false">IFERROR(INDEX('Output Utente'!$B$2:$B$492,MATCH(345,'Output Utente'!$R$2:$R$492,0)),"")</f>
        <v/>
      </c>
      <c r="D348" s="26" t="str">
        <f aca="false">IFERROR(INDEX('Output Utente'!$C$2:$C$492,MATCH(345,'Output Utente'!$R$2:$R$492,0)),"")</f>
        <v/>
      </c>
      <c r="E348" s="26" t="str">
        <f aca="false">IFERROR(INDEX('Input Giocatori 2026_27'!$D$3:$D$493,MATCH($B348,'Input Giocatori 2026_27'!$A$3:$A$493,0)),"")</f>
        <v/>
      </c>
      <c r="F348" s="27" t="str">
        <f aca="false">IFERROR(INDEX('Output Utente'!$N$2:$N$492,MATCH(345,'Output Utente'!$R$2:$R$492,0)),"")</f>
        <v/>
      </c>
      <c r="G348" s="26" t="str">
        <f aca="false">IFERROR(INDEX('Output Utente'!$O$2:$O$492,MATCH(345,'Output Utente'!$R$2:$R$492,0)),"")</f>
        <v/>
      </c>
      <c r="H348" s="26" t="str">
        <f aca="false">IFERROR(INDEX('Output Utente'!$P$2:$P$492,MATCH(345,'Output Utente'!$R$2:$R$492,0)),"")</f>
        <v/>
      </c>
      <c r="I348" s="27" t="str">
        <f aca="false">IFERROR(INDEX('Output Utente'!$F$2:$F$492,MATCH(345,'Output Utente'!$R$2:$R$492,0)),"")</f>
        <v/>
      </c>
      <c r="J348" s="27" t="str">
        <f aca="false">IFERROR(INDEX('Output Utente'!$G$2:$G$492,MATCH(345,'Output Utente'!$R$2:$R$492,0)),"")</f>
        <v/>
      </c>
      <c r="K348" s="27" t="str">
        <f aca="false">IFERROR(INDEX('Output Utente'!$H$2:$H$492,MATCH(345,'Output Utente'!$R$2:$R$492,0)),"")</f>
        <v/>
      </c>
      <c r="L348" s="26" t="str">
        <f aca="false">IFERROR(INDEX('Output Utente'!$E$2:$E$492,MATCH(345,'Output Utente'!$R$2:$R$492,0)),"")</f>
        <v/>
      </c>
    </row>
    <row r="349" customFormat="false" ht="15" hidden="false" customHeight="true" outlineLevel="0" collapsed="false">
      <c r="A349" s="29" t="n">
        <v>346</v>
      </c>
      <c r="B349" s="26" t="str">
        <f aca="false">IFERROR(INDEX('Output Utente'!$A$2:$A$492,MATCH(346,'Output Utente'!$R$2:$R$492,0)),"")</f>
        <v/>
      </c>
      <c r="C349" s="26" t="str">
        <f aca="false">IFERROR(INDEX('Output Utente'!$B$2:$B$492,MATCH(346,'Output Utente'!$R$2:$R$492,0)),"")</f>
        <v/>
      </c>
      <c r="D349" s="26" t="str">
        <f aca="false">IFERROR(INDEX('Output Utente'!$C$2:$C$492,MATCH(346,'Output Utente'!$R$2:$R$492,0)),"")</f>
        <v/>
      </c>
      <c r="E349" s="26" t="str">
        <f aca="false">IFERROR(INDEX('Input Giocatori 2026_27'!$D$3:$D$493,MATCH($B349,'Input Giocatori 2026_27'!$A$3:$A$493,0)),"")</f>
        <v/>
      </c>
      <c r="F349" s="27" t="str">
        <f aca="false">IFERROR(INDEX('Output Utente'!$N$2:$N$492,MATCH(346,'Output Utente'!$R$2:$R$492,0)),"")</f>
        <v/>
      </c>
      <c r="G349" s="26" t="str">
        <f aca="false">IFERROR(INDEX('Output Utente'!$O$2:$O$492,MATCH(346,'Output Utente'!$R$2:$R$492,0)),"")</f>
        <v/>
      </c>
      <c r="H349" s="26" t="str">
        <f aca="false">IFERROR(INDEX('Output Utente'!$P$2:$P$492,MATCH(346,'Output Utente'!$R$2:$R$492,0)),"")</f>
        <v/>
      </c>
      <c r="I349" s="27" t="str">
        <f aca="false">IFERROR(INDEX('Output Utente'!$F$2:$F$492,MATCH(346,'Output Utente'!$R$2:$R$492,0)),"")</f>
        <v/>
      </c>
      <c r="J349" s="27" t="str">
        <f aca="false">IFERROR(INDEX('Output Utente'!$G$2:$G$492,MATCH(346,'Output Utente'!$R$2:$R$492,0)),"")</f>
        <v/>
      </c>
      <c r="K349" s="27" t="str">
        <f aca="false">IFERROR(INDEX('Output Utente'!$H$2:$H$492,MATCH(346,'Output Utente'!$R$2:$R$492,0)),"")</f>
        <v/>
      </c>
      <c r="L349" s="26" t="str">
        <f aca="false">IFERROR(INDEX('Output Utente'!$E$2:$E$492,MATCH(346,'Output Utente'!$R$2:$R$492,0)),"")</f>
        <v/>
      </c>
    </row>
    <row r="350" customFormat="false" ht="15" hidden="false" customHeight="true" outlineLevel="0" collapsed="false">
      <c r="A350" s="29" t="n">
        <v>347</v>
      </c>
      <c r="B350" s="26" t="str">
        <f aca="false">IFERROR(INDEX('Output Utente'!$A$2:$A$492,MATCH(347,'Output Utente'!$R$2:$R$492,0)),"")</f>
        <v/>
      </c>
      <c r="C350" s="26" t="str">
        <f aca="false">IFERROR(INDEX('Output Utente'!$B$2:$B$492,MATCH(347,'Output Utente'!$R$2:$R$492,0)),"")</f>
        <v/>
      </c>
      <c r="D350" s="26" t="str">
        <f aca="false">IFERROR(INDEX('Output Utente'!$C$2:$C$492,MATCH(347,'Output Utente'!$R$2:$R$492,0)),"")</f>
        <v/>
      </c>
      <c r="E350" s="26" t="str">
        <f aca="false">IFERROR(INDEX('Input Giocatori 2026_27'!$D$3:$D$493,MATCH($B350,'Input Giocatori 2026_27'!$A$3:$A$493,0)),"")</f>
        <v/>
      </c>
      <c r="F350" s="27" t="str">
        <f aca="false">IFERROR(INDEX('Output Utente'!$N$2:$N$492,MATCH(347,'Output Utente'!$R$2:$R$492,0)),"")</f>
        <v/>
      </c>
      <c r="G350" s="26" t="str">
        <f aca="false">IFERROR(INDEX('Output Utente'!$O$2:$O$492,MATCH(347,'Output Utente'!$R$2:$R$492,0)),"")</f>
        <v/>
      </c>
      <c r="H350" s="26" t="str">
        <f aca="false">IFERROR(INDEX('Output Utente'!$P$2:$P$492,MATCH(347,'Output Utente'!$R$2:$R$492,0)),"")</f>
        <v/>
      </c>
      <c r="I350" s="27" t="str">
        <f aca="false">IFERROR(INDEX('Output Utente'!$F$2:$F$492,MATCH(347,'Output Utente'!$R$2:$R$492,0)),"")</f>
        <v/>
      </c>
      <c r="J350" s="27" t="str">
        <f aca="false">IFERROR(INDEX('Output Utente'!$G$2:$G$492,MATCH(347,'Output Utente'!$R$2:$R$492,0)),"")</f>
        <v/>
      </c>
      <c r="K350" s="27" t="str">
        <f aca="false">IFERROR(INDEX('Output Utente'!$H$2:$H$492,MATCH(347,'Output Utente'!$R$2:$R$492,0)),"")</f>
        <v/>
      </c>
      <c r="L350" s="26" t="str">
        <f aca="false">IFERROR(INDEX('Output Utente'!$E$2:$E$492,MATCH(347,'Output Utente'!$R$2:$R$492,0)),"")</f>
        <v/>
      </c>
    </row>
    <row r="351" customFormat="false" ht="15" hidden="false" customHeight="true" outlineLevel="0" collapsed="false">
      <c r="A351" s="29" t="n">
        <v>348</v>
      </c>
      <c r="B351" s="26" t="str">
        <f aca="false">IFERROR(INDEX('Output Utente'!$A$2:$A$492,MATCH(348,'Output Utente'!$R$2:$R$492,0)),"")</f>
        <v/>
      </c>
      <c r="C351" s="26" t="str">
        <f aca="false">IFERROR(INDEX('Output Utente'!$B$2:$B$492,MATCH(348,'Output Utente'!$R$2:$R$492,0)),"")</f>
        <v/>
      </c>
      <c r="D351" s="26" t="str">
        <f aca="false">IFERROR(INDEX('Output Utente'!$C$2:$C$492,MATCH(348,'Output Utente'!$R$2:$R$492,0)),"")</f>
        <v/>
      </c>
      <c r="E351" s="26" t="str">
        <f aca="false">IFERROR(INDEX('Input Giocatori 2026_27'!$D$3:$D$493,MATCH($B351,'Input Giocatori 2026_27'!$A$3:$A$493,0)),"")</f>
        <v/>
      </c>
      <c r="F351" s="27" t="str">
        <f aca="false">IFERROR(INDEX('Output Utente'!$N$2:$N$492,MATCH(348,'Output Utente'!$R$2:$R$492,0)),"")</f>
        <v/>
      </c>
      <c r="G351" s="26" t="str">
        <f aca="false">IFERROR(INDEX('Output Utente'!$O$2:$O$492,MATCH(348,'Output Utente'!$R$2:$R$492,0)),"")</f>
        <v/>
      </c>
      <c r="H351" s="26" t="str">
        <f aca="false">IFERROR(INDEX('Output Utente'!$P$2:$P$492,MATCH(348,'Output Utente'!$R$2:$R$492,0)),"")</f>
        <v/>
      </c>
      <c r="I351" s="27" t="str">
        <f aca="false">IFERROR(INDEX('Output Utente'!$F$2:$F$492,MATCH(348,'Output Utente'!$R$2:$R$492,0)),"")</f>
        <v/>
      </c>
      <c r="J351" s="27" t="str">
        <f aca="false">IFERROR(INDEX('Output Utente'!$G$2:$G$492,MATCH(348,'Output Utente'!$R$2:$R$492,0)),"")</f>
        <v/>
      </c>
      <c r="K351" s="27" t="str">
        <f aca="false">IFERROR(INDEX('Output Utente'!$H$2:$H$492,MATCH(348,'Output Utente'!$R$2:$R$492,0)),"")</f>
        <v/>
      </c>
      <c r="L351" s="26" t="str">
        <f aca="false">IFERROR(INDEX('Output Utente'!$E$2:$E$492,MATCH(348,'Output Utente'!$R$2:$R$492,0)),"")</f>
        <v/>
      </c>
    </row>
    <row r="352" customFormat="false" ht="15" hidden="false" customHeight="true" outlineLevel="0" collapsed="false">
      <c r="A352" s="29" t="n">
        <v>349</v>
      </c>
      <c r="B352" s="26" t="str">
        <f aca="false">IFERROR(INDEX('Output Utente'!$A$2:$A$492,MATCH(349,'Output Utente'!$R$2:$R$492,0)),"")</f>
        <v/>
      </c>
      <c r="C352" s="26" t="str">
        <f aca="false">IFERROR(INDEX('Output Utente'!$B$2:$B$492,MATCH(349,'Output Utente'!$R$2:$R$492,0)),"")</f>
        <v/>
      </c>
      <c r="D352" s="26" t="str">
        <f aca="false">IFERROR(INDEX('Output Utente'!$C$2:$C$492,MATCH(349,'Output Utente'!$R$2:$R$492,0)),"")</f>
        <v/>
      </c>
      <c r="E352" s="26" t="str">
        <f aca="false">IFERROR(INDEX('Input Giocatori 2026_27'!$D$3:$D$493,MATCH($B352,'Input Giocatori 2026_27'!$A$3:$A$493,0)),"")</f>
        <v/>
      </c>
      <c r="F352" s="27" t="str">
        <f aca="false">IFERROR(INDEX('Output Utente'!$N$2:$N$492,MATCH(349,'Output Utente'!$R$2:$R$492,0)),"")</f>
        <v/>
      </c>
      <c r="G352" s="26" t="str">
        <f aca="false">IFERROR(INDEX('Output Utente'!$O$2:$O$492,MATCH(349,'Output Utente'!$R$2:$R$492,0)),"")</f>
        <v/>
      </c>
      <c r="H352" s="26" t="str">
        <f aca="false">IFERROR(INDEX('Output Utente'!$P$2:$P$492,MATCH(349,'Output Utente'!$R$2:$R$492,0)),"")</f>
        <v/>
      </c>
      <c r="I352" s="27" t="str">
        <f aca="false">IFERROR(INDEX('Output Utente'!$F$2:$F$492,MATCH(349,'Output Utente'!$R$2:$R$492,0)),"")</f>
        <v/>
      </c>
      <c r="J352" s="27" t="str">
        <f aca="false">IFERROR(INDEX('Output Utente'!$G$2:$G$492,MATCH(349,'Output Utente'!$R$2:$R$492,0)),"")</f>
        <v/>
      </c>
      <c r="K352" s="27" t="str">
        <f aca="false">IFERROR(INDEX('Output Utente'!$H$2:$H$492,MATCH(349,'Output Utente'!$R$2:$R$492,0)),"")</f>
        <v/>
      </c>
      <c r="L352" s="26" t="str">
        <f aca="false">IFERROR(INDEX('Output Utente'!$E$2:$E$492,MATCH(349,'Output Utente'!$R$2:$R$492,0)),"")</f>
        <v/>
      </c>
    </row>
    <row r="353" customFormat="false" ht="15" hidden="false" customHeight="true" outlineLevel="0" collapsed="false">
      <c r="A353" s="29" t="n">
        <v>350</v>
      </c>
      <c r="B353" s="26" t="str">
        <f aca="false">IFERROR(INDEX('Output Utente'!$A$2:$A$492,MATCH(350,'Output Utente'!$R$2:$R$492,0)),"")</f>
        <v/>
      </c>
      <c r="C353" s="26" t="str">
        <f aca="false">IFERROR(INDEX('Output Utente'!$B$2:$B$492,MATCH(350,'Output Utente'!$R$2:$R$492,0)),"")</f>
        <v/>
      </c>
      <c r="D353" s="26" t="str">
        <f aca="false">IFERROR(INDEX('Output Utente'!$C$2:$C$492,MATCH(350,'Output Utente'!$R$2:$R$492,0)),"")</f>
        <v/>
      </c>
      <c r="E353" s="26" t="str">
        <f aca="false">IFERROR(INDEX('Input Giocatori 2026_27'!$D$3:$D$493,MATCH($B353,'Input Giocatori 2026_27'!$A$3:$A$493,0)),"")</f>
        <v/>
      </c>
      <c r="F353" s="27" t="str">
        <f aca="false">IFERROR(INDEX('Output Utente'!$N$2:$N$492,MATCH(350,'Output Utente'!$R$2:$R$492,0)),"")</f>
        <v/>
      </c>
      <c r="G353" s="26" t="str">
        <f aca="false">IFERROR(INDEX('Output Utente'!$O$2:$O$492,MATCH(350,'Output Utente'!$R$2:$R$492,0)),"")</f>
        <v/>
      </c>
      <c r="H353" s="26" t="str">
        <f aca="false">IFERROR(INDEX('Output Utente'!$P$2:$P$492,MATCH(350,'Output Utente'!$R$2:$R$492,0)),"")</f>
        <v/>
      </c>
      <c r="I353" s="27" t="str">
        <f aca="false">IFERROR(INDEX('Output Utente'!$F$2:$F$492,MATCH(350,'Output Utente'!$R$2:$R$492,0)),"")</f>
        <v/>
      </c>
      <c r="J353" s="27" t="str">
        <f aca="false">IFERROR(INDEX('Output Utente'!$G$2:$G$492,MATCH(350,'Output Utente'!$R$2:$R$492,0)),"")</f>
        <v/>
      </c>
      <c r="K353" s="27" t="str">
        <f aca="false">IFERROR(INDEX('Output Utente'!$H$2:$H$492,MATCH(350,'Output Utente'!$R$2:$R$492,0)),"")</f>
        <v/>
      </c>
      <c r="L353" s="26" t="str">
        <f aca="false">IFERROR(INDEX('Output Utente'!$E$2:$E$492,MATCH(350,'Output Utente'!$R$2:$R$492,0)),"")</f>
        <v/>
      </c>
    </row>
    <row r="354" customFormat="false" ht="15" hidden="false" customHeight="true" outlineLevel="0" collapsed="false">
      <c r="A354" s="29" t="n">
        <v>351</v>
      </c>
      <c r="B354" s="26" t="str">
        <f aca="false">IFERROR(INDEX('Output Utente'!$A$2:$A$492,MATCH(351,'Output Utente'!$R$2:$R$492,0)),"")</f>
        <v/>
      </c>
      <c r="C354" s="26" t="str">
        <f aca="false">IFERROR(INDEX('Output Utente'!$B$2:$B$492,MATCH(351,'Output Utente'!$R$2:$R$492,0)),"")</f>
        <v/>
      </c>
      <c r="D354" s="26" t="str">
        <f aca="false">IFERROR(INDEX('Output Utente'!$C$2:$C$492,MATCH(351,'Output Utente'!$R$2:$R$492,0)),"")</f>
        <v/>
      </c>
      <c r="E354" s="26" t="str">
        <f aca="false">IFERROR(INDEX('Input Giocatori 2026_27'!$D$3:$D$493,MATCH($B354,'Input Giocatori 2026_27'!$A$3:$A$493,0)),"")</f>
        <v/>
      </c>
      <c r="F354" s="27" t="str">
        <f aca="false">IFERROR(INDEX('Output Utente'!$N$2:$N$492,MATCH(351,'Output Utente'!$R$2:$R$492,0)),"")</f>
        <v/>
      </c>
      <c r="G354" s="26" t="str">
        <f aca="false">IFERROR(INDEX('Output Utente'!$O$2:$O$492,MATCH(351,'Output Utente'!$R$2:$R$492,0)),"")</f>
        <v/>
      </c>
      <c r="H354" s="26" t="str">
        <f aca="false">IFERROR(INDEX('Output Utente'!$P$2:$P$492,MATCH(351,'Output Utente'!$R$2:$R$492,0)),"")</f>
        <v/>
      </c>
      <c r="I354" s="27" t="str">
        <f aca="false">IFERROR(INDEX('Output Utente'!$F$2:$F$492,MATCH(351,'Output Utente'!$R$2:$R$492,0)),"")</f>
        <v/>
      </c>
      <c r="J354" s="27" t="str">
        <f aca="false">IFERROR(INDEX('Output Utente'!$G$2:$G$492,MATCH(351,'Output Utente'!$R$2:$R$492,0)),"")</f>
        <v/>
      </c>
      <c r="K354" s="27" t="str">
        <f aca="false">IFERROR(INDEX('Output Utente'!$H$2:$H$492,MATCH(351,'Output Utente'!$R$2:$R$492,0)),"")</f>
        <v/>
      </c>
      <c r="L354" s="26" t="str">
        <f aca="false">IFERROR(INDEX('Output Utente'!$E$2:$E$492,MATCH(351,'Output Utente'!$R$2:$R$492,0)),"")</f>
        <v/>
      </c>
    </row>
    <row r="355" customFormat="false" ht="15" hidden="false" customHeight="true" outlineLevel="0" collapsed="false">
      <c r="A355" s="29" t="n">
        <v>352</v>
      </c>
      <c r="B355" s="26" t="str">
        <f aca="false">IFERROR(INDEX('Output Utente'!$A$2:$A$492,MATCH(352,'Output Utente'!$R$2:$R$492,0)),"")</f>
        <v/>
      </c>
      <c r="C355" s="26" t="str">
        <f aca="false">IFERROR(INDEX('Output Utente'!$B$2:$B$492,MATCH(352,'Output Utente'!$R$2:$R$492,0)),"")</f>
        <v/>
      </c>
      <c r="D355" s="26" t="str">
        <f aca="false">IFERROR(INDEX('Output Utente'!$C$2:$C$492,MATCH(352,'Output Utente'!$R$2:$R$492,0)),"")</f>
        <v/>
      </c>
      <c r="E355" s="26" t="str">
        <f aca="false">IFERROR(INDEX('Input Giocatori 2026_27'!$D$3:$D$493,MATCH($B355,'Input Giocatori 2026_27'!$A$3:$A$493,0)),"")</f>
        <v/>
      </c>
      <c r="F355" s="27" t="str">
        <f aca="false">IFERROR(INDEX('Output Utente'!$N$2:$N$492,MATCH(352,'Output Utente'!$R$2:$R$492,0)),"")</f>
        <v/>
      </c>
      <c r="G355" s="26" t="str">
        <f aca="false">IFERROR(INDEX('Output Utente'!$O$2:$O$492,MATCH(352,'Output Utente'!$R$2:$R$492,0)),"")</f>
        <v/>
      </c>
      <c r="H355" s="26" t="str">
        <f aca="false">IFERROR(INDEX('Output Utente'!$P$2:$P$492,MATCH(352,'Output Utente'!$R$2:$R$492,0)),"")</f>
        <v/>
      </c>
      <c r="I355" s="27" t="str">
        <f aca="false">IFERROR(INDEX('Output Utente'!$F$2:$F$492,MATCH(352,'Output Utente'!$R$2:$R$492,0)),"")</f>
        <v/>
      </c>
      <c r="J355" s="27" t="str">
        <f aca="false">IFERROR(INDEX('Output Utente'!$G$2:$G$492,MATCH(352,'Output Utente'!$R$2:$R$492,0)),"")</f>
        <v/>
      </c>
      <c r="K355" s="27" t="str">
        <f aca="false">IFERROR(INDEX('Output Utente'!$H$2:$H$492,MATCH(352,'Output Utente'!$R$2:$R$492,0)),"")</f>
        <v/>
      </c>
      <c r="L355" s="26" t="str">
        <f aca="false">IFERROR(INDEX('Output Utente'!$E$2:$E$492,MATCH(352,'Output Utente'!$R$2:$R$492,0)),"")</f>
        <v/>
      </c>
    </row>
    <row r="356" customFormat="false" ht="15" hidden="false" customHeight="true" outlineLevel="0" collapsed="false">
      <c r="A356" s="29" t="n">
        <v>353</v>
      </c>
      <c r="B356" s="26" t="str">
        <f aca="false">IFERROR(INDEX('Output Utente'!$A$2:$A$492,MATCH(353,'Output Utente'!$R$2:$R$492,0)),"")</f>
        <v/>
      </c>
      <c r="C356" s="26" t="str">
        <f aca="false">IFERROR(INDEX('Output Utente'!$B$2:$B$492,MATCH(353,'Output Utente'!$R$2:$R$492,0)),"")</f>
        <v/>
      </c>
      <c r="D356" s="26" t="str">
        <f aca="false">IFERROR(INDEX('Output Utente'!$C$2:$C$492,MATCH(353,'Output Utente'!$R$2:$R$492,0)),"")</f>
        <v/>
      </c>
      <c r="E356" s="26" t="str">
        <f aca="false">IFERROR(INDEX('Input Giocatori 2026_27'!$D$3:$D$493,MATCH($B356,'Input Giocatori 2026_27'!$A$3:$A$493,0)),"")</f>
        <v/>
      </c>
      <c r="F356" s="27" t="str">
        <f aca="false">IFERROR(INDEX('Output Utente'!$N$2:$N$492,MATCH(353,'Output Utente'!$R$2:$R$492,0)),"")</f>
        <v/>
      </c>
      <c r="G356" s="26" t="str">
        <f aca="false">IFERROR(INDEX('Output Utente'!$O$2:$O$492,MATCH(353,'Output Utente'!$R$2:$R$492,0)),"")</f>
        <v/>
      </c>
      <c r="H356" s="26" t="str">
        <f aca="false">IFERROR(INDEX('Output Utente'!$P$2:$P$492,MATCH(353,'Output Utente'!$R$2:$R$492,0)),"")</f>
        <v/>
      </c>
      <c r="I356" s="27" t="str">
        <f aca="false">IFERROR(INDEX('Output Utente'!$F$2:$F$492,MATCH(353,'Output Utente'!$R$2:$R$492,0)),"")</f>
        <v/>
      </c>
      <c r="J356" s="27" t="str">
        <f aca="false">IFERROR(INDEX('Output Utente'!$G$2:$G$492,MATCH(353,'Output Utente'!$R$2:$R$492,0)),"")</f>
        <v/>
      </c>
      <c r="K356" s="27" t="str">
        <f aca="false">IFERROR(INDEX('Output Utente'!$H$2:$H$492,MATCH(353,'Output Utente'!$R$2:$R$492,0)),"")</f>
        <v/>
      </c>
      <c r="L356" s="26" t="str">
        <f aca="false">IFERROR(INDEX('Output Utente'!$E$2:$E$492,MATCH(353,'Output Utente'!$R$2:$R$492,0)),"")</f>
        <v/>
      </c>
    </row>
    <row r="357" customFormat="false" ht="15" hidden="false" customHeight="true" outlineLevel="0" collapsed="false">
      <c r="A357" s="29" t="n">
        <v>354</v>
      </c>
      <c r="B357" s="26" t="str">
        <f aca="false">IFERROR(INDEX('Output Utente'!$A$2:$A$492,MATCH(354,'Output Utente'!$R$2:$R$492,0)),"")</f>
        <v/>
      </c>
      <c r="C357" s="26" t="str">
        <f aca="false">IFERROR(INDEX('Output Utente'!$B$2:$B$492,MATCH(354,'Output Utente'!$R$2:$R$492,0)),"")</f>
        <v/>
      </c>
      <c r="D357" s="26" t="str">
        <f aca="false">IFERROR(INDEX('Output Utente'!$C$2:$C$492,MATCH(354,'Output Utente'!$R$2:$R$492,0)),"")</f>
        <v/>
      </c>
      <c r="E357" s="26" t="str">
        <f aca="false">IFERROR(INDEX('Input Giocatori 2026_27'!$D$3:$D$493,MATCH($B357,'Input Giocatori 2026_27'!$A$3:$A$493,0)),"")</f>
        <v/>
      </c>
      <c r="F357" s="27" t="str">
        <f aca="false">IFERROR(INDEX('Output Utente'!$N$2:$N$492,MATCH(354,'Output Utente'!$R$2:$R$492,0)),"")</f>
        <v/>
      </c>
      <c r="G357" s="26" t="str">
        <f aca="false">IFERROR(INDEX('Output Utente'!$O$2:$O$492,MATCH(354,'Output Utente'!$R$2:$R$492,0)),"")</f>
        <v/>
      </c>
      <c r="H357" s="26" t="str">
        <f aca="false">IFERROR(INDEX('Output Utente'!$P$2:$P$492,MATCH(354,'Output Utente'!$R$2:$R$492,0)),"")</f>
        <v/>
      </c>
      <c r="I357" s="27" t="str">
        <f aca="false">IFERROR(INDEX('Output Utente'!$F$2:$F$492,MATCH(354,'Output Utente'!$R$2:$R$492,0)),"")</f>
        <v/>
      </c>
      <c r="J357" s="27" t="str">
        <f aca="false">IFERROR(INDEX('Output Utente'!$G$2:$G$492,MATCH(354,'Output Utente'!$R$2:$R$492,0)),"")</f>
        <v/>
      </c>
      <c r="K357" s="27" t="str">
        <f aca="false">IFERROR(INDEX('Output Utente'!$H$2:$H$492,MATCH(354,'Output Utente'!$R$2:$R$492,0)),"")</f>
        <v/>
      </c>
      <c r="L357" s="26" t="str">
        <f aca="false">IFERROR(INDEX('Output Utente'!$E$2:$E$492,MATCH(354,'Output Utente'!$R$2:$R$492,0)),"")</f>
        <v/>
      </c>
    </row>
    <row r="358" customFormat="false" ht="15" hidden="false" customHeight="true" outlineLevel="0" collapsed="false">
      <c r="A358" s="29" t="n">
        <v>355</v>
      </c>
      <c r="B358" s="26" t="str">
        <f aca="false">IFERROR(INDEX('Output Utente'!$A$2:$A$492,MATCH(355,'Output Utente'!$R$2:$R$492,0)),"")</f>
        <v/>
      </c>
      <c r="C358" s="26" t="str">
        <f aca="false">IFERROR(INDEX('Output Utente'!$B$2:$B$492,MATCH(355,'Output Utente'!$R$2:$R$492,0)),"")</f>
        <v/>
      </c>
      <c r="D358" s="26" t="str">
        <f aca="false">IFERROR(INDEX('Output Utente'!$C$2:$C$492,MATCH(355,'Output Utente'!$R$2:$R$492,0)),"")</f>
        <v/>
      </c>
      <c r="E358" s="26" t="str">
        <f aca="false">IFERROR(INDEX('Input Giocatori 2026_27'!$D$3:$D$493,MATCH($B358,'Input Giocatori 2026_27'!$A$3:$A$493,0)),"")</f>
        <v/>
      </c>
      <c r="F358" s="27" t="str">
        <f aca="false">IFERROR(INDEX('Output Utente'!$N$2:$N$492,MATCH(355,'Output Utente'!$R$2:$R$492,0)),"")</f>
        <v/>
      </c>
      <c r="G358" s="26" t="str">
        <f aca="false">IFERROR(INDEX('Output Utente'!$O$2:$O$492,MATCH(355,'Output Utente'!$R$2:$R$492,0)),"")</f>
        <v/>
      </c>
      <c r="H358" s="26" t="str">
        <f aca="false">IFERROR(INDEX('Output Utente'!$P$2:$P$492,MATCH(355,'Output Utente'!$R$2:$R$492,0)),"")</f>
        <v/>
      </c>
      <c r="I358" s="27" t="str">
        <f aca="false">IFERROR(INDEX('Output Utente'!$F$2:$F$492,MATCH(355,'Output Utente'!$R$2:$R$492,0)),"")</f>
        <v/>
      </c>
      <c r="J358" s="27" t="str">
        <f aca="false">IFERROR(INDEX('Output Utente'!$G$2:$G$492,MATCH(355,'Output Utente'!$R$2:$R$492,0)),"")</f>
        <v/>
      </c>
      <c r="K358" s="27" t="str">
        <f aca="false">IFERROR(INDEX('Output Utente'!$H$2:$H$492,MATCH(355,'Output Utente'!$R$2:$R$492,0)),"")</f>
        <v/>
      </c>
      <c r="L358" s="26" t="str">
        <f aca="false">IFERROR(INDEX('Output Utente'!$E$2:$E$492,MATCH(355,'Output Utente'!$R$2:$R$492,0)),"")</f>
        <v/>
      </c>
    </row>
    <row r="359" customFormat="false" ht="15" hidden="false" customHeight="true" outlineLevel="0" collapsed="false">
      <c r="A359" s="29" t="n">
        <v>356</v>
      </c>
      <c r="B359" s="26" t="str">
        <f aca="false">IFERROR(INDEX('Output Utente'!$A$2:$A$492,MATCH(356,'Output Utente'!$R$2:$R$492,0)),"")</f>
        <v/>
      </c>
      <c r="C359" s="26" t="str">
        <f aca="false">IFERROR(INDEX('Output Utente'!$B$2:$B$492,MATCH(356,'Output Utente'!$R$2:$R$492,0)),"")</f>
        <v/>
      </c>
      <c r="D359" s="26" t="str">
        <f aca="false">IFERROR(INDEX('Output Utente'!$C$2:$C$492,MATCH(356,'Output Utente'!$R$2:$R$492,0)),"")</f>
        <v/>
      </c>
      <c r="E359" s="26" t="str">
        <f aca="false">IFERROR(INDEX('Input Giocatori 2026_27'!$D$3:$D$493,MATCH($B359,'Input Giocatori 2026_27'!$A$3:$A$493,0)),"")</f>
        <v/>
      </c>
      <c r="F359" s="27" t="str">
        <f aca="false">IFERROR(INDEX('Output Utente'!$N$2:$N$492,MATCH(356,'Output Utente'!$R$2:$R$492,0)),"")</f>
        <v/>
      </c>
      <c r="G359" s="26" t="str">
        <f aca="false">IFERROR(INDEX('Output Utente'!$O$2:$O$492,MATCH(356,'Output Utente'!$R$2:$R$492,0)),"")</f>
        <v/>
      </c>
      <c r="H359" s="26" t="str">
        <f aca="false">IFERROR(INDEX('Output Utente'!$P$2:$P$492,MATCH(356,'Output Utente'!$R$2:$R$492,0)),"")</f>
        <v/>
      </c>
      <c r="I359" s="27" t="str">
        <f aca="false">IFERROR(INDEX('Output Utente'!$F$2:$F$492,MATCH(356,'Output Utente'!$R$2:$R$492,0)),"")</f>
        <v/>
      </c>
      <c r="J359" s="27" t="str">
        <f aca="false">IFERROR(INDEX('Output Utente'!$G$2:$G$492,MATCH(356,'Output Utente'!$R$2:$R$492,0)),"")</f>
        <v/>
      </c>
      <c r="K359" s="27" t="str">
        <f aca="false">IFERROR(INDEX('Output Utente'!$H$2:$H$492,MATCH(356,'Output Utente'!$R$2:$R$492,0)),"")</f>
        <v/>
      </c>
      <c r="L359" s="26" t="str">
        <f aca="false">IFERROR(INDEX('Output Utente'!$E$2:$E$492,MATCH(356,'Output Utente'!$R$2:$R$492,0)),"")</f>
        <v/>
      </c>
    </row>
    <row r="360" customFormat="false" ht="15" hidden="false" customHeight="true" outlineLevel="0" collapsed="false">
      <c r="A360" s="29" t="n">
        <v>357</v>
      </c>
      <c r="B360" s="26" t="str">
        <f aca="false">IFERROR(INDEX('Output Utente'!$A$2:$A$492,MATCH(357,'Output Utente'!$R$2:$R$492,0)),"")</f>
        <v/>
      </c>
      <c r="C360" s="26" t="str">
        <f aca="false">IFERROR(INDEX('Output Utente'!$B$2:$B$492,MATCH(357,'Output Utente'!$R$2:$R$492,0)),"")</f>
        <v/>
      </c>
      <c r="D360" s="26" t="str">
        <f aca="false">IFERROR(INDEX('Output Utente'!$C$2:$C$492,MATCH(357,'Output Utente'!$R$2:$R$492,0)),"")</f>
        <v/>
      </c>
      <c r="E360" s="26" t="str">
        <f aca="false">IFERROR(INDEX('Input Giocatori 2026_27'!$D$3:$D$493,MATCH($B360,'Input Giocatori 2026_27'!$A$3:$A$493,0)),"")</f>
        <v/>
      </c>
      <c r="F360" s="27" t="str">
        <f aca="false">IFERROR(INDEX('Output Utente'!$N$2:$N$492,MATCH(357,'Output Utente'!$R$2:$R$492,0)),"")</f>
        <v/>
      </c>
      <c r="G360" s="26" t="str">
        <f aca="false">IFERROR(INDEX('Output Utente'!$O$2:$O$492,MATCH(357,'Output Utente'!$R$2:$R$492,0)),"")</f>
        <v/>
      </c>
      <c r="H360" s="26" t="str">
        <f aca="false">IFERROR(INDEX('Output Utente'!$P$2:$P$492,MATCH(357,'Output Utente'!$R$2:$R$492,0)),"")</f>
        <v/>
      </c>
      <c r="I360" s="27" t="str">
        <f aca="false">IFERROR(INDEX('Output Utente'!$F$2:$F$492,MATCH(357,'Output Utente'!$R$2:$R$492,0)),"")</f>
        <v/>
      </c>
      <c r="J360" s="27" t="str">
        <f aca="false">IFERROR(INDEX('Output Utente'!$G$2:$G$492,MATCH(357,'Output Utente'!$R$2:$R$492,0)),"")</f>
        <v/>
      </c>
      <c r="K360" s="27" t="str">
        <f aca="false">IFERROR(INDEX('Output Utente'!$H$2:$H$492,MATCH(357,'Output Utente'!$R$2:$R$492,0)),"")</f>
        <v/>
      </c>
      <c r="L360" s="26" t="str">
        <f aca="false">IFERROR(INDEX('Output Utente'!$E$2:$E$492,MATCH(357,'Output Utente'!$R$2:$R$492,0)),"")</f>
        <v/>
      </c>
    </row>
    <row r="361" customFormat="false" ht="15" hidden="false" customHeight="true" outlineLevel="0" collapsed="false">
      <c r="A361" s="29" t="n">
        <v>358</v>
      </c>
      <c r="B361" s="26" t="str">
        <f aca="false">IFERROR(INDEX('Output Utente'!$A$2:$A$492,MATCH(358,'Output Utente'!$R$2:$R$492,0)),"")</f>
        <v/>
      </c>
      <c r="C361" s="26" t="str">
        <f aca="false">IFERROR(INDEX('Output Utente'!$B$2:$B$492,MATCH(358,'Output Utente'!$R$2:$R$492,0)),"")</f>
        <v/>
      </c>
      <c r="D361" s="26" t="str">
        <f aca="false">IFERROR(INDEX('Output Utente'!$C$2:$C$492,MATCH(358,'Output Utente'!$R$2:$R$492,0)),"")</f>
        <v/>
      </c>
      <c r="E361" s="26" t="str">
        <f aca="false">IFERROR(INDEX('Input Giocatori 2026_27'!$D$3:$D$493,MATCH($B361,'Input Giocatori 2026_27'!$A$3:$A$493,0)),"")</f>
        <v/>
      </c>
      <c r="F361" s="27" t="str">
        <f aca="false">IFERROR(INDEX('Output Utente'!$N$2:$N$492,MATCH(358,'Output Utente'!$R$2:$R$492,0)),"")</f>
        <v/>
      </c>
      <c r="G361" s="26" t="str">
        <f aca="false">IFERROR(INDEX('Output Utente'!$O$2:$O$492,MATCH(358,'Output Utente'!$R$2:$R$492,0)),"")</f>
        <v/>
      </c>
      <c r="H361" s="26" t="str">
        <f aca="false">IFERROR(INDEX('Output Utente'!$P$2:$P$492,MATCH(358,'Output Utente'!$R$2:$R$492,0)),"")</f>
        <v/>
      </c>
      <c r="I361" s="27" t="str">
        <f aca="false">IFERROR(INDEX('Output Utente'!$F$2:$F$492,MATCH(358,'Output Utente'!$R$2:$R$492,0)),"")</f>
        <v/>
      </c>
      <c r="J361" s="27" t="str">
        <f aca="false">IFERROR(INDEX('Output Utente'!$G$2:$G$492,MATCH(358,'Output Utente'!$R$2:$R$492,0)),"")</f>
        <v/>
      </c>
      <c r="K361" s="27" t="str">
        <f aca="false">IFERROR(INDEX('Output Utente'!$H$2:$H$492,MATCH(358,'Output Utente'!$R$2:$R$492,0)),"")</f>
        <v/>
      </c>
      <c r="L361" s="26" t="str">
        <f aca="false">IFERROR(INDEX('Output Utente'!$E$2:$E$492,MATCH(358,'Output Utente'!$R$2:$R$492,0)),"")</f>
        <v/>
      </c>
    </row>
    <row r="362" customFormat="false" ht="15" hidden="false" customHeight="true" outlineLevel="0" collapsed="false">
      <c r="A362" s="29" t="n">
        <v>359</v>
      </c>
      <c r="B362" s="26" t="str">
        <f aca="false">IFERROR(INDEX('Output Utente'!$A$2:$A$492,MATCH(359,'Output Utente'!$R$2:$R$492,0)),"")</f>
        <v/>
      </c>
      <c r="C362" s="26" t="str">
        <f aca="false">IFERROR(INDEX('Output Utente'!$B$2:$B$492,MATCH(359,'Output Utente'!$R$2:$R$492,0)),"")</f>
        <v/>
      </c>
      <c r="D362" s="26" t="str">
        <f aca="false">IFERROR(INDEX('Output Utente'!$C$2:$C$492,MATCH(359,'Output Utente'!$R$2:$R$492,0)),"")</f>
        <v/>
      </c>
      <c r="E362" s="26" t="str">
        <f aca="false">IFERROR(INDEX('Input Giocatori 2026_27'!$D$3:$D$493,MATCH($B362,'Input Giocatori 2026_27'!$A$3:$A$493,0)),"")</f>
        <v/>
      </c>
      <c r="F362" s="27" t="str">
        <f aca="false">IFERROR(INDEX('Output Utente'!$N$2:$N$492,MATCH(359,'Output Utente'!$R$2:$R$492,0)),"")</f>
        <v/>
      </c>
      <c r="G362" s="26" t="str">
        <f aca="false">IFERROR(INDEX('Output Utente'!$O$2:$O$492,MATCH(359,'Output Utente'!$R$2:$R$492,0)),"")</f>
        <v/>
      </c>
      <c r="H362" s="26" t="str">
        <f aca="false">IFERROR(INDEX('Output Utente'!$P$2:$P$492,MATCH(359,'Output Utente'!$R$2:$R$492,0)),"")</f>
        <v/>
      </c>
      <c r="I362" s="27" t="str">
        <f aca="false">IFERROR(INDEX('Output Utente'!$F$2:$F$492,MATCH(359,'Output Utente'!$R$2:$R$492,0)),"")</f>
        <v/>
      </c>
      <c r="J362" s="27" t="str">
        <f aca="false">IFERROR(INDEX('Output Utente'!$G$2:$G$492,MATCH(359,'Output Utente'!$R$2:$R$492,0)),"")</f>
        <v/>
      </c>
      <c r="K362" s="27" t="str">
        <f aca="false">IFERROR(INDEX('Output Utente'!$H$2:$H$492,MATCH(359,'Output Utente'!$R$2:$R$492,0)),"")</f>
        <v/>
      </c>
      <c r="L362" s="26" t="str">
        <f aca="false">IFERROR(INDEX('Output Utente'!$E$2:$E$492,MATCH(359,'Output Utente'!$R$2:$R$492,0)),"")</f>
        <v/>
      </c>
    </row>
    <row r="363" customFormat="false" ht="15" hidden="false" customHeight="true" outlineLevel="0" collapsed="false">
      <c r="A363" s="29" t="n">
        <v>360</v>
      </c>
      <c r="B363" s="26" t="str">
        <f aca="false">IFERROR(INDEX('Output Utente'!$A$2:$A$492,MATCH(360,'Output Utente'!$R$2:$R$492,0)),"")</f>
        <v/>
      </c>
      <c r="C363" s="26" t="str">
        <f aca="false">IFERROR(INDEX('Output Utente'!$B$2:$B$492,MATCH(360,'Output Utente'!$R$2:$R$492,0)),"")</f>
        <v/>
      </c>
      <c r="D363" s="26" t="str">
        <f aca="false">IFERROR(INDEX('Output Utente'!$C$2:$C$492,MATCH(360,'Output Utente'!$R$2:$R$492,0)),"")</f>
        <v/>
      </c>
      <c r="E363" s="26" t="str">
        <f aca="false">IFERROR(INDEX('Input Giocatori 2026_27'!$D$3:$D$493,MATCH($B363,'Input Giocatori 2026_27'!$A$3:$A$493,0)),"")</f>
        <v/>
      </c>
      <c r="F363" s="27" t="str">
        <f aca="false">IFERROR(INDEX('Output Utente'!$N$2:$N$492,MATCH(360,'Output Utente'!$R$2:$R$492,0)),"")</f>
        <v/>
      </c>
      <c r="G363" s="26" t="str">
        <f aca="false">IFERROR(INDEX('Output Utente'!$O$2:$O$492,MATCH(360,'Output Utente'!$R$2:$R$492,0)),"")</f>
        <v/>
      </c>
      <c r="H363" s="26" t="str">
        <f aca="false">IFERROR(INDEX('Output Utente'!$P$2:$P$492,MATCH(360,'Output Utente'!$R$2:$R$492,0)),"")</f>
        <v/>
      </c>
      <c r="I363" s="27" t="str">
        <f aca="false">IFERROR(INDEX('Output Utente'!$F$2:$F$492,MATCH(360,'Output Utente'!$R$2:$R$492,0)),"")</f>
        <v/>
      </c>
      <c r="J363" s="27" t="str">
        <f aca="false">IFERROR(INDEX('Output Utente'!$G$2:$G$492,MATCH(360,'Output Utente'!$R$2:$R$492,0)),"")</f>
        <v/>
      </c>
      <c r="K363" s="27" t="str">
        <f aca="false">IFERROR(INDEX('Output Utente'!$H$2:$H$492,MATCH(360,'Output Utente'!$R$2:$R$492,0)),"")</f>
        <v/>
      </c>
      <c r="L363" s="26" t="str">
        <f aca="false">IFERROR(INDEX('Output Utente'!$E$2:$E$492,MATCH(360,'Output Utente'!$R$2:$R$492,0)),"")</f>
        <v/>
      </c>
    </row>
    <row r="364" customFormat="false" ht="15" hidden="false" customHeight="true" outlineLevel="0" collapsed="false">
      <c r="A364" s="29" t="n">
        <v>361</v>
      </c>
      <c r="B364" s="26" t="str">
        <f aca="false">IFERROR(INDEX('Output Utente'!$A$2:$A$492,MATCH(361,'Output Utente'!$R$2:$R$492,0)),"")</f>
        <v/>
      </c>
      <c r="C364" s="26" t="str">
        <f aca="false">IFERROR(INDEX('Output Utente'!$B$2:$B$492,MATCH(361,'Output Utente'!$R$2:$R$492,0)),"")</f>
        <v/>
      </c>
      <c r="D364" s="26" t="str">
        <f aca="false">IFERROR(INDEX('Output Utente'!$C$2:$C$492,MATCH(361,'Output Utente'!$R$2:$R$492,0)),"")</f>
        <v/>
      </c>
      <c r="E364" s="26" t="str">
        <f aca="false">IFERROR(INDEX('Input Giocatori 2026_27'!$D$3:$D$493,MATCH($B364,'Input Giocatori 2026_27'!$A$3:$A$493,0)),"")</f>
        <v/>
      </c>
      <c r="F364" s="27" t="str">
        <f aca="false">IFERROR(INDEX('Output Utente'!$N$2:$N$492,MATCH(361,'Output Utente'!$R$2:$R$492,0)),"")</f>
        <v/>
      </c>
      <c r="G364" s="26" t="str">
        <f aca="false">IFERROR(INDEX('Output Utente'!$O$2:$O$492,MATCH(361,'Output Utente'!$R$2:$R$492,0)),"")</f>
        <v/>
      </c>
      <c r="H364" s="26" t="str">
        <f aca="false">IFERROR(INDEX('Output Utente'!$P$2:$P$492,MATCH(361,'Output Utente'!$R$2:$R$492,0)),"")</f>
        <v/>
      </c>
      <c r="I364" s="27" t="str">
        <f aca="false">IFERROR(INDEX('Output Utente'!$F$2:$F$492,MATCH(361,'Output Utente'!$R$2:$R$492,0)),"")</f>
        <v/>
      </c>
      <c r="J364" s="27" t="str">
        <f aca="false">IFERROR(INDEX('Output Utente'!$G$2:$G$492,MATCH(361,'Output Utente'!$R$2:$R$492,0)),"")</f>
        <v/>
      </c>
      <c r="K364" s="27" t="str">
        <f aca="false">IFERROR(INDEX('Output Utente'!$H$2:$H$492,MATCH(361,'Output Utente'!$R$2:$R$492,0)),"")</f>
        <v/>
      </c>
      <c r="L364" s="26" t="str">
        <f aca="false">IFERROR(INDEX('Output Utente'!$E$2:$E$492,MATCH(361,'Output Utente'!$R$2:$R$492,0)),"")</f>
        <v/>
      </c>
    </row>
    <row r="365" customFormat="false" ht="15" hidden="false" customHeight="true" outlineLevel="0" collapsed="false">
      <c r="A365" s="29" t="n">
        <v>362</v>
      </c>
      <c r="B365" s="26" t="str">
        <f aca="false">IFERROR(INDEX('Output Utente'!$A$2:$A$492,MATCH(362,'Output Utente'!$R$2:$R$492,0)),"")</f>
        <v/>
      </c>
      <c r="C365" s="26" t="str">
        <f aca="false">IFERROR(INDEX('Output Utente'!$B$2:$B$492,MATCH(362,'Output Utente'!$R$2:$R$492,0)),"")</f>
        <v/>
      </c>
      <c r="D365" s="26" t="str">
        <f aca="false">IFERROR(INDEX('Output Utente'!$C$2:$C$492,MATCH(362,'Output Utente'!$R$2:$R$492,0)),"")</f>
        <v/>
      </c>
      <c r="E365" s="26" t="str">
        <f aca="false">IFERROR(INDEX('Input Giocatori 2026_27'!$D$3:$D$493,MATCH($B365,'Input Giocatori 2026_27'!$A$3:$A$493,0)),"")</f>
        <v/>
      </c>
      <c r="F365" s="27" t="str">
        <f aca="false">IFERROR(INDEX('Output Utente'!$N$2:$N$492,MATCH(362,'Output Utente'!$R$2:$R$492,0)),"")</f>
        <v/>
      </c>
      <c r="G365" s="26" t="str">
        <f aca="false">IFERROR(INDEX('Output Utente'!$O$2:$O$492,MATCH(362,'Output Utente'!$R$2:$R$492,0)),"")</f>
        <v/>
      </c>
      <c r="H365" s="26" t="str">
        <f aca="false">IFERROR(INDEX('Output Utente'!$P$2:$P$492,MATCH(362,'Output Utente'!$R$2:$R$492,0)),"")</f>
        <v/>
      </c>
      <c r="I365" s="27" t="str">
        <f aca="false">IFERROR(INDEX('Output Utente'!$F$2:$F$492,MATCH(362,'Output Utente'!$R$2:$R$492,0)),"")</f>
        <v/>
      </c>
      <c r="J365" s="27" t="str">
        <f aca="false">IFERROR(INDEX('Output Utente'!$G$2:$G$492,MATCH(362,'Output Utente'!$R$2:$R$492,0)),"")</f>
        <v/>
      </c>
      <c r="K365" s="27" t="str">
        <f aca="false">IFERROR(INDEX('Output Utente'!$H$2:$H$492,MATCH(362,'Output Utente'!$R$2:$R$492,0)),"")</f>
        <v/>
      </c>
      <c r="L365" s="26" t="str">
        <f aca="false">IFERROR(INDEX('Output Utente'!$E$2:$E$492,MATCH(362,'Output Utente'!$R$2:$R$492,0)),"")</f>
        <v/>
      </c>
    </row>
    <row r="366" customFormat="false" ht="15" hidden="false" customHeight="true" outlineLevel="0" collapsed="false">
      <c r="A366" s="29" t="n">
        <v>363</v>
      </c>
      <c r="B366" s="26" t="str">
        <f aca="false">IFERROR(INDEX('Output Utente'!$A$2:$A$492,MATCH(363,'Output Utente'!$R$2:$R$492,0)),"")</f>
        <v/>
      </c>
      <c r="C366" s="26" t="str">
        <f aca="false">IFERROR(INDEX('Output Utente'!$B$2:$B$492,MATCH(363,'Output Utente'!$R$2:$R$492,0)),"")</f>
        <v/>
      </c>
      <c r="D366" s="26" t="str">
        <f aca="false">IFERROR(INDEX('Output Utente'!$C$2:$C$492,MATCH(363,'Output Utente'!$R$2:$R$492,0)),"")</f>
        <v/>
      </c>
      <c r="E366" s="26" t="str">
        <f aca="false">IFERROR(INDEX('Input Giocatori 2026_27'!$D$3:$D$493,MATCH($B366,'Input Giocatori 2026_27'!$A$3:$A$493,0)),"")</f>
        <v/>
      </c>
      <c r="F366" s="27" t="str">
        <f aca="false">IFERROR(INDEX('Output Utente'!$N$2:$N$492,MATCH(363,'Output Utente'!$R$2:$R$492,0)),"")</f>
        <v/>
      </c>
      <c r="G366" s="26" t="str">
        <f aca="false">IFERROR(INDEX('Output Utente'!$O$2:$O$492,MATCH(363,'Output Utente'!$R$2:$R$492,0)),"")</f>
        <v/>
      </c>
      <c r="H366" s="26" t="str">
        <f aca="false">IFERROR(INDEX('Output Utente'!$P$2:$P$492,MATCH(363,'Output Utente'!$R$2:$R$492,0)),"")</f>
        <v/>
      </c>
      <c r="I366" s="27" t="str">
        <f aca="false">IFERROR(INDEX('Output Utente'!$F$2:$F$492,MATCH(363,'Output Utente'!$R$2:$R$492,0)),"")</f>
        <v/>
      </c>
      <c r="J366" s="27" t="str">
        <f aca="false">IFERROR(INDEX('Output Utente'!$G$2:$G$492,MATCH(363,'Output Utente'!$R$2:$R$492,0)),"")</f>
        <v/>
      </c>
      <c r="K366" s="27" t="str">
        <f aca="false">IFERROR(INDEX('Output Utente'!$H$2:$H$492,MATCH(363,'Output Utente'!$R$2:$R$492,0)),"")</f>
        <v/>
      </c>
      <c r="L366" s="26" t="str">
        <f aca="false">IFERROR(INDEX('Output Utente'!$E$2:$E$492,MATCH(363,'Output Utente'!$R$2:$R$492,0)),"")</f>
        <v/>
      </c>
    </row>
    <row r="367" customFormat="false" ht="15" hidden="false" customHeight="true" outlineLevel="0" collapsed="false">
      <c r="A367" s="29" t="n">
        <v>364</v>
      </c>
      <c r="B367" s="26" t="str">
        <f aca="false">IFERROR(INDEX('Output Utente'!$A$2:$A$492,MATCH(364,'Output Utente'!$R$2:$R$492,0)),"")</f>
        <v/>
      </c>
      <c r="C367" s="26" t="str">
        <f aca="false">IFERROR(INDEX('Output Utente'!$B$2:$B$492,MATCH(364,'Output Utente'!$R$2:$R$492,0)),"")</f>
        <v/>
      </c>
      <c r="D367" s="26" t="str">
        <f aca="false">IFERROR(INDEX('Output Utente'!$C$2:$C$492,MATCH(364,'Output Utente'!$R$2:$R$492,0)),"")</f>
        <v/>
      </c>
      <c r="E367" s="26" t="str">
        <f aca="false">IFERROR(INDEX('Input Giocatori 2026_27'!$D$3:$D$493,MATCH($B367,'Input Giocatori 2026_27'!$A$3:$A$493,0)),"")</f>
        <v/>
      </c>
      <c r="F367" s="27" t="str">
        <f aca="false">IFERROR(INDEX('Output Utente'!$N$2:$N$492,MATCH(364,'Output Utente'!$R$2:$R$492,0)),"")</f>
        <v/>
      </c>
      <c r="G367" s="26" t="str">
        <f aca="false">IFERROR(INDEX('Output Utente'!$O$2:$O$492,MATCH(364,'Output Utente'!$R$2:$R$492,0)),"")</f>
        <v/>
      </c>
      <c r="H367" s="26" t="str">
        <f aca="false">IFERROR(INDEX('Output Utente'!$P$2:$P$492,MATCH(364,'Output Utente'!$R$2:$R$492,0)),"")</f>
        <v/>
      </c>
      <c r="I367" s="27" t="str">
        <f aca="false">IFERROR(INDEX('Output Utente'!$F$2:$F$492,MATCH(364,'Output Utente'!$R$2:$R$492,0)),"")</f>
        <v/>
      </c>
      <c r="J367" s="27" t="str">
        <f aca="false">IFERROR(INDEX('Output Utente'!$G$2:$G$492,MATCH(364,'Output Utente'!$R$2:$R$492,0)),"")</f>
        <v/>
      </c>
      <c r="K367" s="27" t="str">
        <f aca="false">IFERROR(INDEX('Output Utente'!$H$2:$H$492,MATCH(364,'Output Utente'!$R$2:$R$492,0)),"")</f>
        <v/>
      </c>
      <c r="L367" s="26" t="str">
        <f aca="false">IFERROR(INDEX('Output Utente'!$E$2:$E$492,MATCH(364,'Output Utente'!$R$2:$R$492,0)),"")</f>
        <v/>
      </c>
    </row>
    <row r="368" customFormat="false" ht="15" hidden="false" customHeight="true" outlineLevel="0" collapsed="false">
      <c r="A368" s="29" t="n">
        <v>365</v>
      </c>
      <c r="B368" s="26" t="str">
        <f aca="false">IFERROR(INDEX('Output Utente'!$A$2:$A$492,MATCH(365,'Output Utente'!$R$2:$R$492,0)),"")</f>
        <v/>
      </c>
      <c r="C368" s="26" t="str">
        <f aca="false">IFERROR(INDEX('Output Utente'!$B$2:$B$492,MATCH(365,'Output Utente'!$R$2:$R$492,0)),"")</f>
        <v/>
      </c>
      <c r="D368" s="26" t="str">
        <f aca="false">IFERROR(INDEX('Output Utente'!$C$2:$C$492,MATCH(365,'Output Utente'!$R$2:$R$492,0)),"")</f>
        <v/>
      </c>
      <c r="E368" s="26" t="str">
        <f aca="false">IFERROR(INDEX('Input Giocatori 2026_27'!$D$3:$D$493,MATCH($B368,'Input Giocatori 2026_27'!$A$3:$A$493,0)),"")</f>
        <v/>
      </c>
      <c r="F368" s="27" t="str">
        <f aca="false">IFERROR(INDEX('Output Utente'!$N$2:$N$492,MATCH(365,'Output Utente'!$R$2:$R$492,0)),"")</f>
        <v/>
      </c>
      <c r="G368" s="26" t="str">
        <f aca="false">IFERROR(INDEX('Output Utente'!$O$2:$O$492,MATCH(365,'Output Utente'!$R$2:$R$492,0)),"")</f>
        <v/>
      </c>
      <c r="H368" s="26" t="str">
        <f aca="false">IFERROR(INDEX('Output Utente'!$P$2:$P$492,MATCH(365,'Output Utente'!$R$2:$R$492,0)),"")</f>
        <v/>
      </c>
      <c r="I368" s="27" t="str">
        <f aca="false">IFERROR(INDEX('Output Utente'!$F$2:$F$492,MATCH(365,'Output Utente'!$R$2:$R$492,0)),"")</f>
        <v/>
      </c>
      <c r="J368" s="27" t="str">
        <f aca="false">IFERROR(INDEX('Output Utente'!$G$2:$G$492,MATCH(365,'Output Utente'!$R$2:$R$492,0)),"")</f>
        <v/>
      </c>
      <c r="K368" s="27" t="str">
        <f aca="false">IFERROR(INDEX('Output Utente'!$H$2:$H$492,MATCH(365,'Output Utente'!$R$2:$R$492,0)),"")</f>
        <v/>
      </c>
      <c r="L368" s="26" t="str">
        <f aca="false">IFERROR(INDEX('Output Utente'!$E$2:$E$492,MATCH(365,'Output Utente'!$R$2:$R$492,0)),"")</f>
        <v/>
      </c>
    </row>
    <row r="369" customFormat="false" ht="15" hidden="false" customHeight="true" outlineLevel="0" collapsed="false">
      <c r="A369" s="29" t="n">
        <v>366</v>
      </c>
      <c r="B369" s="26" t="str">
        <f aca="false">IFERROR(INDEX('Output Utente'!$A$2:$A$492,MATCH(366,'Output Utente'!$R$2:$R$492,0)),"")</f>
        <v/>
      </c>
      <c r="C369" s="26" t="str">
        <f aca="false">IFERROR(INDEX('Output Utente'!$B$2:$B$492,MATCH(366,'Output Utente'!$R$2:$R$492,0)),"")</f>
        <v/>
      </c>
      <c r="D369" s="26" t="str">
        <f aca="false">IFERROR(INDEX('Output Utente'!$C$2:$C$492,MATCH(366,'Output Utente'!$R$2:$R$492,0)),"")</f>
        <v/>
      </c>
      <c r="E369" s="26" t="str">
        <f aca="false">IFERROR(INDEX('Input Giocatori 2026_27'!$D$3:$D$493,MATCH($B369,'Input Giocatori 2026_27'!$A$3:$A$493,0)),"")</f>
        <v/>
      </c>
      <c r="F369" s="27" t="str">
        <f aca="false">IFERROR(INDEX('Output Utente'!$N$2:$N$492,MATCH(366,'Output Utente'!$R$2:$R$492,0)),"")</f>
        <v/>
      </c>
      <c r="G369" s="26" t="str">
        <f aca="false">IFERROR(INDEX('Output Utente'!$O$2:$O$492,MATCH(366,'Output Utente'!$R$2:$R$492,0)),"")</f>
        <v/>
      </c>
      <c r="H369" s="26" t="str">
        <f aca="false">IFERROR(INDEX('Output Utente'!$P$2:$P$492,MATCH(366,'Output Utente'!$R$2:$R$492,0)),"")</f>
        <v/>
      </c>
      <c r="I369" s="27" t="str">
        <f aca="false">IFERROR(INDEX('Output Utente'!$F$2:$F$492,MATCH(366,'Output Utente'!$R$2:$R$492,0)),"")</f>
        <v/>
      </c>
      <c r="J369" s="27" t="str">
        <f aca="false">IFERROR(INDEX('Output Utente'!$G$2:$G$492,MATCH(366,'Output Utente'!$R$2:$R$492,0)),"")</f>
        <v/>
      </c>
      <c r="K369" s="27" t="str">
        <f aca="false">IFERROR(INDEX('Output Utente'!$H$2:$H$492,MATCH(366,'Output Utente'!$R$2:$R$492,0)),"")</f>
        <v/>
      </c>
      <c r="L369" s="26" t="str">
        <f aca="false">IFERROR(INDEX('Output Utente'!$E$2:$E$492,MATCH(366,'Output Utente'!$R$2:$R$492,0)),"")</f>
        <v/>
      </c>
    </row>
    <row r="370" customFormat="false" ht="15" hidden="false" customHeight="true" outlineLevel="0" collapsed="false">
      <c r="A370" s="29" t="n">
        <v>367</v>
      </c>
      <c r="B370" s="26" t="str">
        <f aca="false">IFERROR(INDEX('Output Utente'!$A$2:$A$492,MATCH(367,'Output Utente'!$R$2:$R$492,0)),"")</f>
        <v/>
      </c>
      <c r="C370" s="26" t="str">
        <f aca="false">IFERROR(INDEX('Output Utente'!$B$2:$B$492,MATCH(367,'Output Utente'!$R$2:$R$492,0)),"")</f>
        <v/>
      </c>
      <c r="D370" s="26" t="str">
        <f aca="false">IFERROR(INDEX('Output Utente'!$C$2:$C$492,MATCH(367,'Output Utente'!$R$2:$R$492,0)),"")</f>
        <v/>
      </c>
      <c r="E370" s="26" t="str">
        <f aca="false">IFERROR(INDEX('Input Giocatori 2026_27'!$D$3:$D$493,MATCH($B370,'Input Giocatori 2026_27'!$A$3:$A$493,0)),"")</f>
        <v/>
      </c>
      <c r="F370" s="27" t="str">
        <f aca="false">IFERROR(INDEX('Output Utente'!$N$2:$N$492,MATCH(367,'Output Utente'!$R$2:$R$492,0)),"")</f>
        <v/>
      </c>
      <c r="G370" s="26" t="str">
        <f aca="false">IFERROR(INDEX('Output Utente'!$O$2:$O$492,MATCH(367,'Output Utente'!$R$2:$R$492,0)),"")</f>
        <v/>
      </c>
      <c r="H370" s="26" t="str">
        <f aca="false">IFERROR(INDEX('Output Utente'!$P$2:$P$492,MATCH(367,'Output Utente'!$R$2:$R$492,0)),"")</f>
        <v/>
      </c>
      <c r="I370" s="27" t="str">
        <f aca="false">IFERROR(INDEX('Output Utente'!$F$2:$F$492,MATCH(367,'Output Utente'!$R$2:$R$492,0)),"")</f>
        <v/>
      </c>
      <c r="J370" s="27" t="str">
        <f aca="false">IFERROR(INDEX('Output Utente'!$G$2:$G$492,MATCH(367,'Output Utente'!$R$2:$R$492,0)),"")</f>
        <v/>
      </c>
      <c r="K370" s="27" t="str">
        <f aca="false">IFERROR(INDEX('Output Utente'!$H$2:$H$492,MATCH(367,'Output Utente'!$R$2:$R$492,0)),"")</f>
        <v/>
      </c>
      <c r="L370" s="26" t="str">
        <f aca="false">IFERROR(INDEX('Output Utente'!$E$2:$E$492,MATCH(367,'Output Utente'!$R$2:$R$492,0)),"")</f>
        <v/>
      </c>
    </row>
    <row r="371" customFormat="false" ht="15" hidden="false" customHeight="true" outlineLevel="0" collapsed="false">
      <c r="A371" s="29" t="n">
        <v>368</v>
      </c>
      <c r="B371" s="26" t="str">
        <f aca="false">IFERROR(INDEX('Output Utente'!$A$2:$A$492,MATCH(368,'Output Utente'!$R$2:$R$492,0)),"")</f>
        <v/>
      </c>
      <c r="C371" s="26" t="str">
        <f aca="false">IFERROR(INDEX('Output Utente'!$B$2:$B$492,MATCH(368,'Output Utente'!$R$2:$R$492,0)),"")</f>
        <v/>
      </c>
      <c r="D371" s="26" t="str">
        <f aca="false">IFERROR(INDEX('Output Utente'!$C$2:$C$492,MATCH(368,'Output Utente'!$R$2:$R$492,0)),"")</f>
        <v/>
      </c>
      <c r="E371" s="26" t="str">
        <f aca="false">IFERROR(INDEX('Input Giocatori 2026_27'!$D$3:$D$493,MATCH($B371,'Input Giocatori 2026_27'!$A$3:$A$493,0)),"")</f>
        <v/>
      </c>
      <c r="F371" s="27" t="str">
        <f aca="false">IFERROR(INDEX('Output Utente'!$N$2:$N$492,MATCH(368,'Output Utente'!$R$2:$R$492,0)),"")</f>
        <v/>
      </c>
      <c r="G371" s="26" t="str">
        <f aca="false">IFERROR(INDEX('Output Utente'!$O$2:$O$492,MATCH(368,'Output Utente'!$R$2:$R$492,0)),"")</f>
        <v/>
      </c>
      <c r="H371" s="26" t="str">
        <f aca="false">IFERROR(INDEX('Output Utente'!$P$2:$P$492,MATCH(368,'Output Utente'!$R$2:$R$492,0)),"")</f>
        <v/>
      </c>
      <c r="I371" s="27" t="str">
        <f aca="false">IFERROR(INDEX('Output Utente'!$F$2:$F$492,MATCH(368,'Output Utente'!$R$2:$R$492,0)),"")</f>
        <v/>
      </c>
      <c r="J371" s="27" t="str">
        <f aca="false">IFERROR(INDEX('Output Utente'!$G$2:$G$492,MATCH(368,'Output Utente'!$R$2:$R$492,0)),"")</f>
        <v/>
      </c>
      <c r="K371" s="27" t="str">
        <f aca="false">IFERROR(INDEX('Output Utente'!$H$2:$H$492,MATCH(368,'Output Utente'!$R$2:$R$492,0)),"")</f>
        <v/>
      </c>
      <c r="L371" s="26" t="str">
        <f aca="false">IFERROR(INDEX('Output Utente'!$E$2:$E$492,MATCH(368,'Output Utente'!$R$2:$R$492,0)),"")</f>
        <v/>
      </c>
    </row>
    <row r="372" customFormat="false" ht="15" hidden="false" customHeight="true" outlineLevel="0" collapsed="false">
      <c r="A372" s="29" t="n">
        <v>369</v>
      </c>
      <c r="B372" s="26" t="str">
        <f aca="false">IFERROR(INDEX('Output Utente'!$A$2:$A$492,MATCH(369,'Output Utente'!$R$2:$R$492,0)),"")</f>
        <v/>
      </c>
      <c r="C372" s="26" t="str">
        <f aca="false">IFERROR(INDEX('Output Utente'!$B$2:$B$492,MATCH(369,'Output Utente'!$R$2:$R$492,0)),"")</f>
        <v/>
      </c>
      <c r="D372" s="26" t="str">
        <f aca="false">IFERROR(INDEX('Output Utente'!$C$2:$C$492,MATCH(369,'Output Utente'!$R$2:$R$492,0)),"")</f>
        <v/>
      </c>
      <c r="E372" s="26" t="str">
        <f aca="false">IFERROR(INDEX('Input Giocatori 2026_27'!$D$3:$D$493,MATCH($B372,'Input Giocatori 2026_27'!$A$3:$A$493,0)),"")</f>
        <v/>
      </c>
      <c r="F372" s="27" t="str">
        <f aca="false">IFERROR(INDEX('Output Utente'!$N$2:$N$492,MATCH(369,'Output Utente'!$R$2:$R$492,0)),"")</f>
        <v/>
      </c>
      <c r="G372" s="26" t="str">
        <f aca="false">IFERROR(INDEX('Output Utente'!$O$2:$O$492,MATCH(369,'Output Utente'!$R$2:$R$492,0)),"")</f>
        <v/>
      </c>
      <c r="H372" s="26" t="str">
        <f aca="false">IFERROR(INDEX('Output Utente'!$P$2:$P$492,MATCH(369,'Output Utente'!$R$2:$R$492,0)),"")</f>
        <v/>
      </c>
      <c r="I372" s="27" t="str">
        <f aca="false">IFERROR(INDEX('Output Utente'!$F$2:$F$492,MATCH(369,'Output Utente'!$R$2:$R$492,0)),"")</f>
        <v/>
      </c>
      <c r="J372" s="27" t="str">
        <f aca="false">IFERROR(INDEX('Output Utente'!$G$2:$G$492,MATCH(369,'Output Utente'!$R$2:$R$492,0)),"")</f>
        <v/>
      </c>
      <c r="K372" s="27" t="str">
        <f aca="false">IFERROR(INDEX('Output Utente'!$H$2:$H$492,MATCH(369,'Output Utente'!$R$2:$R$492,0)),"")</f>
        <v/>
      </c>
      <c r="L372" s="26" t="str">
        <f aca="false">IFERROR(INDEX('Output Utente'!$E$2:$E$492,MATCH(369,'Output Utente'!$R$2:$R$492,0)),"")</f>
        <v/>
      </c>
    </row>
    <row r="373" customFormat="false" ht="15" hidden="false" customHeight="true" outlineLevel="0" collapsed="false">
      <c r="A373" s="29" t="n">
        <v>370</v>
      </c>
      <c r="B373" s="26" t="str">
        <f aca="false">IFERROR(INDEX('Output Utente'!$A$2:$A$492,MATCH(370,'Output Utente'!$R$2:$R$492,0)),"")</f>
        <v/>
      </c>
      <c r="C373" s="26" t="str">
        <f aca="false">IFERROR(INDEX('Output Utente'!$B$2:$B$492,MATCH(370,'Output Utente'!$R$2:$R$492,0)),"")</f>
        <v/>
      </c>
      <c r="D373" s="26" t="str">
        <f aca="false">IFERROR(INDEX('Output Utente'!$C$2:$C$492,MATCH(370,'Output Utente'!$R$2:$R$492,0)),"")</f>
        <v/>
      </c>
      <c r="E373" s="26" t="str">
        <f aca="false">IFERROR(INDEX('Input Giocatori 2026_27'!$D$3:$D$493,MATCH($B373,'Input Giocatori 2026_27'!$A$3:$A$493,0)),"")</f>
        <v/>
      </c>
      <c r="F373" s="27" t="str">
        <f aca="false">IFERROR(INDEX('Output Utente'!$N$2:$N$492,MATCH(370,'Output Utente'!$R$2:$R$492,0)),"")</f>
        <v/>
      </c>
      <c r="G373" s="26" t="str">
        <f aca="false">IFERROR(INDEX('Output Utente'!$O$2:$O$492,MATCH(370,'Output Utente'!$R$2:$R$492,0)),"")</f>
        <v/>
      </c>
      <c r="H373" s="26" t="str">
        <f aca="false">IFERROR(INDEX('Output Utente'!$P$2:$P$492,MATCH(370,'Output Utente'!$R$2:$R$492,0)),"")</f>
        <v/>
      </c>
      <c r="I373" s="27" t="str">
        <f aca="false">IFERROR(INDEX('Output Utente'!$F$2:$F$492,MATCH(370,'Output Utente'!$R$2:$R$492,0)),"")</f>
        <v/>
      </c>
      <c r="J373" s="27" t="str">
        <f aca="false">IFERROR(INDEX('Output Utente'!$G$2:$G$492,MATCH(370,'Output Utente'!$R$2:$R$492,0)),"")</f>
        <v/>
      </c>
      <c r="K373" s="27" t="str">
        <f aca="false">IFERROR(INDEX('Output Utente'!$H$2:$H$492,MATCH(370,'Output Utente'!$R$2:$R$492,0)),"")</f>
        <v/>
      </c>
      <c r="L373" s="26" t="str">
        <f aca="false">IFERROR(INDEX('Output Utente'!$E$2:$E$492,MATCH(370,'Output Utente'!$R$2:$R$492,0)),"")</f>
        <v/>
      </c>
    </row>
    <row r="374" customFormat="false" ht="15" hidden="false" customHeight="true" outlineLevel="0" collapsed="false">
      <c r="A374" s="29" t="n">
        <v>371</v>
      </c>
      <c r="B374" s="26" t="str">
        <f aca="false">IFERROR(INDEX('Output Utente'!$A$2:$A$492,MATCH(371,'Output Utente'!$R$2:$R$492,0)),"")</f>
        <v/>
      </c>
      <c r="C374" s="26" t="str">
        <f aca="false">IFERROR(INDEX('Output Utente'!$B$2:$B$492,MATCH(371,'Output Utente'!$R$2:$R$492,0)),"")</f>
        <v/>
      </c>
      <c r="D374" s="26" t="str">
        <f aca="false">IFERROR(INDEX('Output Utente'!$C$2:$C$492,MATCH(371,'Output Utente'!$R$2:$R$492,0)),"")</f>
        <v/>
      </c>
      <c r="E374" s="26" t="str">
        <f aca="false">IFERROR(INDEX('Input Giocatori 2026_27'!$D$3:$D$493,MATCH($B374,'Input Giocatori 2026_27'!$A$3:$A$493,0)),"")</f>
        <v/>
      </c>
      <c r="F374" s="27" t="str">
        <f aca="false">IFERROR(INDEX('Output Utente'!$N$2:$N$492,MATCH(371,'Output Utente'!$R$2:$R$492,0)),"")</f>
        <v/>
      </c>
      <c r="G374" s="26" t="str">
        <f aca="false">IFERROR(INDEX('Output Utente'!$O$2:$O$492,MATCH(371,'Output Utente'!$R$2:$R$492,0)),"")</f>
        <v/>
      </c>
      <c r="H374" s="26" t="str">
        <f aca="false">IFERROR(INDEX('Output Utente'!$P$2:$P$492,MATCH(371,'Output Utente'!$R$2:$R$492,0)),"")</f>
        <v/>
      </c>
      <c r="I374" s="27" t="str">
        <f aca="false">IFERROR(INDEX('Output Utente'!$F$2:$F$492,MATCH(371,'Output Utente'!$R$2:$R$492,0)),"")</f>
        <v/>
      </c>
      <c r="J374" s="27" t="str">
        <f aca="false">IFERROR(INDEX('Output Utente'!$G$2:$G$492,MATCH(371,'Output Utente'!$R$2:$R$492,0)),"")</f>
        <v/>
      </c>
      <c r="K374" s="27" t="str">
        <f aca="false">IFERROR(INDEX('Output Utente'!$H$2:$H$492,MATCH(371,'Output Utente'!$R$2:$R$492,0)),"")</f>
        <v/>
      </c>
      <c r="L374" s="26" t="str">
        <f aca="false">IFERROR(INDEX('Output Utente'!$E$2:$E$492,MATCH(371,'Output Utente'!$R$2:$R$492,0)),"")</f>
        <v/>
      </c>
    </row>
    <row r="375" customFormat="false" ht="15" hidden="false" customHeight="true" outlineLevel="0" collapsed="false">
      <c r="A375" s="29" t="n">
        <v>372</v>
      </c>
      <c r="B375" s="26" t="str">
        <f aca="false">IFERROR(INDEX('Output Utente'!$A$2:$A$492,MATCH(372,'Output Utente'!$R$2:$R$492,0)),"")</f>
        <v/>
      </c>
      <c r="C375" s="26" t="str">
        <f aca="false">IFERROR(INDEX('Output Utente'!$B$2:$B$492,MATCH(372,'Output Utente'!$R$2:$R$492,0)),"")</f>
        <v/>
      </c>
      <c r="D375" s="26" t="str">
        <f aca="false">IFERROR(INDEX('Output Utente'!$C$2:$C$492,MATCH(372,'Output Utente'!$R$2:$R$492,0)),"")</f>
        <v/>
      </c>
      <c r="E375" s="26" t="str">
        <f aca="false">IFERROR(INDEX('Input Giocatori 2026_27'!$D$3:$D$493,MATCH($B375,'Input Giocatori 2026_27'!$A$3:$A$493,0)),"")</f>
        <v/>
      </c>
      <c r="F375" s="27" t="str">
        <f aca="false">IFERROR(INDEX('Output Utente'!$N$2:$N$492,MATCH(372,'Output Utente'!$R$2:$R$492,0)),"")</f>
        <v/>
      </c>
      <c r="G375" s="26" t="str">
        <f aca="false">IFERROR(INDEX('Output Utente'!$O$2:$O$492,MATCH(372,'Output Utente'!$R$2:$R$492,0)),"")</f>
        <v/>
      </c>
      <c r="H375" s="26" t="str">
        <f aca="false">IFERROR(INDEX('Output Utente'!$P$2:$P$492,MATCH(372,'Output Utente'!$R$2:$R$492,0)),"")</f>
        <v/>
      </c>
      <c r="I375" s="27" t="str">
        <f aca="false">IFERROR(INDEX('Output Utente'!$F$2:$F$492,MATCH(372,'Output Utente'!$R$2:$R$492,0)),"")</f>
        <v/>
      </c>
      <c r="J375" s="27" t="str">
        <f aca="false">IFERROR(INDEX('Output Utente'!$G$2:$G$492,MATCH(372,'Output Utente'!$R$2:$R$492,0)),"")</f>
        <v/>
      </c>
      <c r="K375" s="27" t="str">
        <f aca="false">IFERROR(INDEX('Output Utente'!$H$2:$H$492,MATCH(372,'Output Utente'!$R$2:$R$492,0)),"")</f>
        <v/>
      </c>
      <c r="L375" s="26" t="str">
        <f aca="false">IFERROR(INDEX('Output Utente'!$E$2:$E$492,MATCH(372,'Output Utente'!$R$2:$R$492,0)),"")</f>
        <v/>
      </c>
    </row>
    <row r="376" customFormat="false" ht="15" hidden="false" customHeight="true" outlineLevel="0" collapsed="false">
      <c r="A376" s="29" t="n">
        <v>373</v>
      </c>
      <c r="B376" s="26" t="str">
        <f aca="false">IFERROR(INDEX('Output Utente'!$A$2:$A$492,MATCH(373,'Output Utente'!$R$2:$R$492,0)),"")</f>
        <v/>
      </c>
      <c r="C376" s="26" t="str">
        <f aca="false">IFERROR(INDEX('Output Utente'!$B$2:$B$492,MATCH(373,'Output Utente'!$R$2:$R$492,0)),"")</f>
        <v/>
      </c>
      <c r="D376" s="26" t="str">
        <f aca="false">IFERROR(INDEX('Output Utente'!$C$2:$C$492,MATCH(373,'Output Utente'!$R$2:$R$492,0)),"")</f>
        <v/>
      </c>
      <c r="E376" s="26" t="str">
        <f aca="false">IFERROR(INDEX('Input Giocatori 2026_27'!$D$3:$D$493,MATCH($B376,'Input Giocatori 2026_27'!$A$3:$A$493,0)),"")</f>
        <v/>
      </c>
      <c r="F376" s="27" t="str">
        <f aca="false">IFERROR(INDEX('Output Utente'!$N$2:$N$492,MATCH(373,'Output Utente'!$R$2:$R$492,0)),"")</f>
        <v/>
      </c>
      <c r="G376" s="26" t="str">
        <f aca="false">IFERROR(INDEX('Output Utente'!$O$2:$O$492,MATCH(373,'Output Utente'!$R$2:$R$492,0)),"")</f>
        <v/>
      </c>
      <c r="H376" s="26" t="str">
        <f aca="false">IFERROR(INDEX('Output Utente'!$P$2:$P$492,MATCH(373,'Output Utente'!$R$2:$R$492,0)),"")</f>
        <v/>
      </c>
      <c r="I376" s="27" t="str">
        <f aca="false">IFERROR(INDEX('Output Utente'!$F$2:$F$492,MATCH(373,'Output Utente'!$R$2:$R$492,0)),"")</f>
        <v/>
      </c>
      <c r="J376" s="27" t="str">
        <f aca="false">IFERROR(INDEX('Output Utente'!$G$2:$G$492,MATCH(373,'Output Utente'!$R$2:$R$492,0)),"")</f>
        <v/>
      </c>
      <c r="K376" s="27" t="str">
        <f aca="false">IFERROR(INDEX('Output Utente'!$H$2:$H$492,MATCH(373,'Output Utente'!$R$2:$R$492,0)),"")</f>
        <v/>
      </c>
      <c r="L376" s="26" t="str">
        <f aca="false">IFERROR(INDEX('Output Utente'!$E$2:$E$492,MATCH(373,'Output Utente'!$R$2:$R$492,0)),"")</f>
        <v/>
      </c>
    </row>
    <row r="377" customFormat="false" ht="15" hidden="false" customHeight="true" outlineLevel="0" collapsed="false">
      <c r="A377" s="29" t="n">
        <v>374</v>
      </c>
      <c r="B377" s="26" t="str">
        <f aca="false">IFERROR(INDEX('Output Utente'!$A$2:$A$492,MATCH(374,'Output Utente'!$R$2:$R$492,0)),"")</f>
        <v/>
      </c>
      <c r="C377" s="26" t="str">
        <f aca="false">IFERROR(INDEX('Output Utente'!$B$2:$B$492,MATCH(374,'Output Utente'!$R$2:$R$492,0)),"")</f>
        <v/>
      </c>
      <c r="D377" s="26" t="str">
        <f aca="false">IFERROR(INDEX('Output Utente'!$C$2:$C$492,MATCH(374,'Output Utente'!$R$2:$R$492,0)),"")</f>
        <v/>
      </c>
      <c r="E377" s="26" t="str">
        <f aca="false">IFERROR(INDEX('Input Giocatori 2026_27'!$D$3:$D$493,MATCH($B377,'Input Giocatori 2026_27'!$A$3:$A$493,0)),"")</f>
        <v/>
      </c>
      <c r="F377" s="27" t="str">
        <f aca="false">IFERROR(INDEX('Output Utente'!$N$2:$N$492,MATCH(374,'Output Utente'!$R$2:$R$492,0)),"")</f>
        <v/>
      </c>
      <c r="G377" s="26" t="str">
        <f aca="false">IFERROR(INDEX('Output Utente'!$O$2:$O$492,MATCH(374,'Output Utente'!$R$2:$R$492,0)),"")</f>
        <v/>
      </c>
      <c r="H377" s="26" t="str">
        <f aca="false">IFERROR(INDEX('Output Utente'!$P$2:$P$492,MATCH(374,'Output Utente'!$R$2:$R$492,0)),"")</f>
        <v/>
      </c>
      <c r="I377" s="27" t="str">
        <f aca="false">IFERROR(INDEX('Output Utente'!$F$2:$F$492,MATCH(374,'Output Utente'!$R$2:$R$492,0)),"")</f>
        <v/>
      </c>
      <c r="J377" s="27" t="str">
        <f aca="false">IFERROR(INDEX('Output Utente'!$G$2:$G$492,MATCH(374,'Output Utente'!$R$2:$R$492,0)),"")</f>
        <v/>
      </c>
      <c r="K377" s="27" t="str">
        <f aca="false">IFERROR(INDEX('Output Utente'!$H$2:$H$492,MATCH(374,'Output Utente'!$R$2:$R$492,0)),"")</f>
        <v/>
      </c>
      <c r="L377" s="26" t="str">
        <f aca="false">IFERROR(INDEX('Output Utente'!$E$2:$E$492,MATCH(374,'Output Utente'!$R$2:$R$492,0)),"")</f>
        <v/>
      </c>
    </row>
    <row r="378" customFormat="false" ht="15" hidden="false" customHeight="true" outlineLevel="0" collapsed="false">
      <c r="A378" s="29" t="n">
        <v>375</v>
      </c>
      <c r="B378" s="26" t="str">
        <f aca="false">IFERROR(INDEX('Output Utente'!$A$2:$A$492,MATCH(375,'Output Utente'!$R$2:$R$492,0)),"")</f>
        <v/>
      </c>
      <c r="C378" s="26" t="str">
        <f aca="false">IFERROR(INDEX('Output Utente'!$B$2:$B$492,MATCH(375,'Output Utente'!$R$2:$R$492,0)),"")</f>
        <v/>
      </c>
      <c r="D378" s="26" t="str">
        <f aca="false">IFERROR(INDEX('Output Utente'!$C$2:$C$492,MATCH(375,'Output Utente'!$R$2:$R$492,0)),"")</f>
        <v/>
      </c>
      <c r="E378" s="26" t="str">
        <f aca="false">IFERROR(INDEX('Input Giocatori 2026_27'!$D$3:$D$493,MATCH($B378,'Input Giocatori 2026_27'!$A$3:$A$493,0)),"")</f>
        <v/>
      </c>
      <c r="F378" s="27" t="str">
        <f aca="false">IFERROR(INDEX('Output Utente'!$N$2:$N$492,MATCH(375,'Output Utente'!$R$2:$R$492,0)),"")</f>
        <v/>
      </c>
      <c r="G378" s="26" t="str">
        <f aca="false">IFERROR(INDEX('Output Utente'!$O$2:$O$492,MATCH(375,'Output Utente'!$R$2:$R$492,0)),"")</f>
        <v/>
      </c>
      <c r="H378" s="26" t="str">
        <f aca="false">IFERROR(INDEX('Output Utente'!$P$2:$P$492,MATCH(375,'Output Utente'!$R$2:$R$492,0)),"")</f>
        <v/>
      </c>
      <c r="I378" s="27" t="str">
        <f aca="false">IFERROR(INDEX('Output Utente'!$F$2:$F$492,MATCH(375,'Output Utente'!$R$2:$R$492,0)),"")</f>
        <v/>
      </c>
      <c r="J378" s="27" t="str">
        <f aca="false">IFERROR(INDEX('Output Utente'!$G$2:$G$492,MATCH(375,'Output Utente'!$R$2:$R$492,0)),"")</f>
        <v/>
      </c>
      <c r="K378" s="27" t="str">
        <f aca="false">IFERROR(INDEX('Output Utente'!$H$2:$H$492,MATCH(375,'Output Utente'!$R$2:$R$492,0)),"")</f>
        <v/>
      </c>
      <c r="L378" s="26" t="str">
        <f aca="false">IFERROR(INDEX('Output Utente'!$E$2:$E$492,MATCH(375,'Output Utente'!$R$2:$R$492,0)),"")</f>
        <v/>
      </c>
    </row>
    <row r="379" customFormat="false" ht="15" hidden="false" customHeight="true" outlineLevel="0" collapsed="false">
      <c r="A379" s="29" t="n">
        <v>376</v>
      </c>
      <c r="B379" s="26" t="str">
        <f aca="false">IFERROR(INDEX('Output Utente'!$A$2:$A$492,MATCH(376,'Output Utente'!$R$2:$R$492,0)),"")</f>
        <v/>
      </c>
      <c r="C379" s="26" t="str">
        <f aca="false">IFERROR(INDEX('Output Utente'!$B$2:$B$492,MATCH(376,'Output Utente'!$R$2:$R$492,0)),"")</f>
        <v/>
      </c>
      <c r="D379" s="26" t="str">
        <f aca="false">IFERROR(INDEX('Output Utente'!$C$2:$C$492,MATCH(376,'Output Utente'!$R$2:$R$492,0)),"")</f>
        <v/>
      </c>
      <c r="E379" s="26" t="str">
        <f aca="false">IFERROR(INDEX('Input Giocatori 2026_27'!$D$3:$D$493,MATCH($B379,'Input Giocatori 2026_27'!$A$3:$A$493,0)),"")</f>
        <v/>
      </c>
      <c r="F379" s="27" t="str">
        <f aca="false">IFERROR(INDEX('Output Utente'!$N$2:$N$492,MATCH(376,'Output Utente'!$R$2:$R$492,0)),"")</f>
        <v/>
      </c>
      <c r="G379" s="26" t="str">
        <f aca="false">IFERROR(INDEX('Output Utente'!$O$2:$O$492,MATCH(376,'Output Utente'!$R$2:$R$492,0)),"")</f>
        <v/>
      </c>
      <c r="H379" s="26" t="str">
        <f aca="false">IFERROR(INDEX('Output Utente'!$P$2:$P$492,MATCH(376,'Output Utente'!$R$2:$R$492,0)),"")</f>
        <v/>
      </c>
      <c r="I379" s="27" t="str">
        <f aca="false">IFERROR(INDEX('Output Utente'!$F$2:$F$492,MATCH(376,'Output Utente'!$R$2:$R$492,0)),"")</f>
        <v/>
      </c>
      <c r="J379" s="27" t="str">
        <f aca="false">IFERROR(INDEX('Output Utente'!$G$2:$G$492,MATCH(376,'Output Utente'!$R$2:$R$492,0)),"")</f>
        <v/>
      </c>
      <c r="K379" s="27" t="str">
        <f aca="false">IFERROR(INDEX('Output Utente'!$H$2:$H$492,MATCH(376,'Output Utente'!$R$2:$R$492,0)),"")</f>
        <v/>
      </c>
      <c r="L379" s="26" t="str">
        <f aca="false">IFERROR(INDEX('Output Utente'!$E$2:$E$492,MATCH(376,'Output Utente'!$R$2:$R$492,0)),"")</f>
        <v/>
      </c>
    </row>
    <row r="380" customFormat="false" ht="15" hidden="false" customHeight="true" outlineLevel="0" collapsed="false">
      <c r="A380" s="29" t="n">
        <v>377</v>
      </c>
      <c r="B380" s="26" t="str">
        <f aca="false">IFERROR(INDEX('Output Utente'!$A$2:$A$492,MATCH(377,'Output Utente'!$R$2:$R$492,0)),"")</f>
        <v/>
      </c>
      <c r="C380" s="26" t="str">
        <f aca="false">IFERROR(INDEX('Output Utente'!$B$2:$B$492,MATCH(377,'Output Utente'!$R$2:$R$492,0)),"")</f>
        <v/>
      </c>
      <c r="D380" s="26" t="str">
        <f aca="false">IFERROR(INDEX('Output Utente'!$C$2:$C$492,MATCH(377,'Output Utente'!$R$2:$R$492,0)),"")</f>
        <v/>
      </c>
      <c r="E380" s="26" t="str">
        <f aca="false">IFERROR(INDEX('Input Giocatori 2026_27'!$D$3:$D$493,MATCH($B380,'Input Giocatori 2026_27'!$A$3:$A$493,0)),"")</f>
        <v/>
      </c>
      <c r="F380" s="27" t="str">
        <f aca="false">IFERROR(INDEX('Output Utente'!$N$2:$N$492,MATCH(377,'Output Utente'!$R$2:$R$492,0)),"")</f>
        <v/>
      </c>
      <c r="G380" s="26" t="str">
        <f aca="false">IFERROR(INDEX('Output Utente'!$O$2:$O$492,MATCH(377,'Output Utente'!$R$2:$R$492,0)),"")</f>
        <v/>
      </c>
      <c r="H380" s="26" t="str">
        <f aca="false">IFERROR(INDEX('Output Utente'!$P$2:$P$492,MATCH(377,'Output Utente'!$R$2:$R$492,0)),"")</f>
        <v/>
      </c>
      <c r="I380" s="27" t="str">
        <f aca="false">IFERROR(INDEX('Output Utente'!$F$2:$F$492,MATCH(377,'Output Utente'!$R$2:$R$492,0)),"")</f>
        <v/>
      </c>
      <c r="J380" s="27" t="str">
        <f aca="false">IFERROR(INDEX('Output Utente'!$G$2:$G$492,MATCH(377,'Output Utente'!$R$2:$R$492,0)),"")</f>
        <v/>
      </c>
      <c r="K380" s="27" t="str">
        <f aca="false">IFERROR(INDEX('Output Utente'!$H$2:$H$492,MATCH(377,'Output Utente'!$R$2:$R$492,0)),"")</f>
        <v/>
      </c>
      <c r="L380" s="26" t="str">
        <f aca="false">IFERROR(INDEX('Output Utente'!$E$2:$E$492,MATCH(377,'Output Utente'!$R$2:$R$492,0)),"")</f>
        <v/>
      </c>
    </row>
    <row r="381" customFormat="false" ht="15" hidden="false" customHeight="true" outlineLevel="0" collapsed="false">
      <c r="A381" s="29" t="n">
        <v>378</v>
      </c>
      <c r="B381" s="26" t="str">
        <f aca="false">IFERROR(INDEX('Output Utente'!$A$2:$A$492,MATCH(378,'Output Utente'!$R$2:$R$492,0)),"")</f>
        <v/>
      </c>
      <c r="C381" s="26" t="str">
        <f aca="false">IFERROR(INDEX('Output Utente'!$B$2:$B$492,MATCH(378,'Output Utente'!$R$2:$R$492,0)),"")</f>
        <v/>
      </c>
      <c r="D381" s="26" t="str">
        <f aca="false">IFERROR(INDEX('Output Utente'!$C$2:$C$492,MATCH(378,'Output Utente'!$R$2:$R$492,0)),"")</f>
        <v/>
      </c>
      <c r="E381" s="26" t="str">
        <f aca="false">IFERROR(INDEX('Input Giocatori 2026_27'!$D$3:$D$493,MATCH($B381,'Input Giocatori 2026_27'!$A$3:$A$493,0)),"")</f>
        <v/>
      </c>
      <c r="F381" s="27" t="str">
        <f aca="false">IFERROR(INDEX('Output Utente'!$N$2:$N$492,MATCH(378,'Output Utente'!$R$2:$R$492,0)),"")</f>
        <v/>
      </c>
      <c r="G381" s="26" t="str">
        <f aca="false">IFERROR(INDEX('Output Utente'!$O$2:$O$492,MATCH(378,'Output Utente'!$R$2:$R$492,0)),"")</f>
        <v/>
      </c>
      <c r="H381" s="26" t="str">
        <f aca="false">IFERROR(INDEX('Output Utente'!$P$2:$P$492,MATCH(378,'Output Utente'!$R$2:$R$492,0)),"")</f>
        <v/>
      </c>
      <c r="I381" s="27" t="str">
        <f aca="false">IFERROR(INDEX('Output Utente'!$F$2:$F$492,MATCH(378,'Output Utente'!$R$2:$R$492,0)),"")</f>
        <v/>
      </c>
      <c r="J381" s="27" t="str">
        <f aca="false">IFERROR(INDEX('Output Utente'!$G$2:$G$492,MATCH(378,'Output Utente'!$R$2:$R$492,0)),"")</f>
        <v/>
      </c>
      <c r="K381" s="27" t="str">
        <f aca="false">IFERROR(INDEX('Output Utente'!$H$2:$H$492,MATCH(378,'Output Utente'!$R$2:$R$492,0)),"")</f>
        <v/>
      </c>
      <c r="L381" s="26" t="str">
        <f aca="false">IFERROR(INDEX('Output Utente'!$E$2:$E$492,MATCH(378,'Output Utente'!$R$2:$R$492,0)),"")</f>
        <v/>
      </c>
    </row>
    <row r="382" customFormat="false" ht="15" hidden="false" customHeight="true" outlineLevel="0" collapsed="false">
      <c r="A382" s="29" t="n">
        <v>379</v>
      </c>
      <c r="B382" s="26" t="str">
        <f aca="false">IFERROR(INDEX('Output Utente'!$A$2:$A$492,MATCH(379,'Output Utente'!$R$2:$R$492,0)),"")</f>
        <v/>
      </c>
      <c r="C382" s="26" t="str">
        <f aca="false">IFERROR(INDEX('Output Utente'!$B$2:$B$492,MATCH(379,'Output Utente'!$R$2:$R$492,0)),"")</f>
        <v/>
      </c>
      <c r="D382" s="26" t="str">
        <f aca="false">IFERROR(INDEX('Output Utente'!$C$2:$C$492,MATCH(379,'Output Utente'!$R$2:$R$492,0)),"")</f>
        <v/>
      </c>
      <c r="E382" s="26" t="str">
        <f aca="false">IFERROR(INDEX('Input Giocatori 2026_27'!$D$3:$D$493,MATCH($B382,'Input Giocatori 2026_27'!$A$3:$A$493,0)),"")</f>
        <v/>
      </c>
      <c r="F382" s="27" t="str">
        <f aca="false">IFERROR(INDEX('Output Utente'!$N$2:$N$492,MATCH(379,'Output Utente'!$R$2:$R$492,0)),"")</f>
        <v/>
      </c>
      <c r="G382" s="26" t="str">
        <f aca="false">IFERROR(INDEX('Output Utente'!$O$2:$O$492,MATCH(379,'Output Utente'!$R$2:$R$492,0)),"")</f>
        <v/>
      </c>
      <c r="H382" s="26" t="str">
        <f aca="false">IFERROR(INDEX('Output Utente'!$P$2:$P$492,MATCH(379,'Output Utente'!$R$2:$R$492,0)),"")</f>
        <v/>
      </c>
      <c r="I382" s="27" t="str">
        <f aca="false">IFERROR(INDEX('Output Utente'!$F$2:$F$492,MATCH(379,'Output Utente'!$R$2:$R$492,0)),"")</f>
        <v/>
      </c>
      <c r="J382" s="27" t="str">
        <f aca="false">IFERROR(INDEX('Output Utente'!$G$2:$G$492,MATCH(379,'Output Utente'!$R$2:$R$492,0)),"")</f>
        <v/>
      </c>
      <c r="K382" s="27" t="str">
        <f aca="false">IFERROR(INDEX('Output Utente'!$H$2:$H$492,MATCH(379,'Output Utente'!$R$2:$R$492,0)),"")</f>
        <v/>
      </c>
      <c r="L382" s="26" t="str">
        <f aca="false">IFERROR(INDEX('Output Utente'!$E$2:$E$492,MATCH(379,'Output Utente'!$R$2:$R$492,0)),"")</f>
        <v/>
      </c>
    </row>
    <row r="383" customFormat="false" ht="15" hidden="false" customHeight="true" outlineLevel="0" collapsed="false">
      <c r="A383" s="29" t="n">
        <v>380</v>
      </c>
      <c r="B383" s="26" t="str">
        <f aca="false">IFERROR(INDEX('Output Utente'!$A$2:$A$492,MATCH(380,'Output Utente'!$R$2:$R$492,0)),"")</f>
        <v/>
      </c>
      <c r="C383" s="26" t="str">
        <f aca="false">IFERROR(INDEX('Output Utente'!$B$2:$B$492,MATCH(380,'Output Utente'!$R$2:$R$492,0)),"")</f>
        <v/>
      </c>
      <c r="D383" s="26" t="str">
        <f aca="false">IFERROR(INDEX('Output Utente'!$C$2:$C$492,MATCH(380,'Output Utente'!$R$2:$R$492,0)),"")</f>
        <v/>
      </c>
      <c r="E383" s="26" t="str">
        <f aca="false">IFERROR(INDEX('Input Giocatori 2026_27'!$D$3:$D$493,MATCH($B383,'Input Giocatori 2026_27'!$A$3:$A$493,0)),"")</f>
        <v/>
      </c>
      <c r="F383" s="27" t="str">
        <f aca="false">IFERROR(INDEX('Output Utente'!$N$2:$N$492,MATCH(380,'Output Utente'!$R$2:$R$492,0)),"")</f>
        <v/>
      </c>
      <c r="G383" s="26" t="str">
        <f aca="false">IFERROR(INDEX('Output Utente'!$O$2:$O$492,MATCH(380,'Output Utente'!$R$2:$R$492,0)),"")</f>
        <v/>
      </c>
      <c r="H383" s="26" t="str">
        <f aca="false">IFERROR(INDEX('Output Utente'!$P$2:$P$492,MATCH(380,'Output Utente'!$R$2:$R$492,0)),"")</f>
        <v/>
      </c>
      <c r="I383" s="27" t="str">
        <f aca="false">IFERROR(INDEX('Output Utente'!$F$2:$F$492,MATCH(380,'Output Utente'!$R$2:$R$492,0)),"")</f>
        <v/>
      </c>
      <c r="J383" s="27" t="str">
        <f aca="false">IFERROR(INDEX('Output Utente'!$G$2:$G$492,MATCH(380,'Output Utente'!$R$2:$R$492,0)),"")</f>
        <v/>
      </c>
      <c r="K383" s="27" t="str">
        <f aca="false">IFERROR(INDEX('Output Utente'!$H$2:$H$492,MATCH(380,'Output Utente'!$R$2:$R$492,0)),"")</f>
        <v/>
      </c>
      <c r="L383" s="26" t="str">
        <f aca="false">IFERROR(INDEX('Output Utente'!$E$2:$E$492,MATCH(380,'Output Utente'!$R$2:$R$492,0)),"")</f>
        <v/>
      </c>
    </row>
    <row r="384" customFormat="false" ht="15" hidden="false" customHeight="true" outlineLevel="0" collapsed="false">
      <c r="A384" s="29" t="n">
        <v>381</v>
      </c>
      <c r="B384" s="26" t="str">
        <f aca="false">IFERROR(INDEX('Output Utente'!$A$2:$A$492,MATCH(381,'Output Utente'!$R$2:$R$492,0)),"")</f>
        <v/>
      </c>
      <c r="C384" s="26" t="str">
        <f aca="false">IFERROR(INDEX('Output Utente'!$B$2:$B$492,MATCH(381,'Output Utente'!$R$2:$R$492,0)),"")</f>
        <v/>
      </c>
      <c r="D384" s="26" t="str">
        <f aca="false">IFERROR(INDEX('Output Utente'!$C$2:$C$492,MATCH(381,'Output Utente'!$R$2:$R$492,0)),"")</f>
        <v/>
      </c>
      <c r="E384" s="26" t="str">
        <f aca="false">IFERROR(INDEX('Input Giocatori 2026_27'!$D$3:$D$493,MATCH($B384,'Input Giocatori 2026_27'!$A$3:$A$493,0)),"")</f>
        <v/>
      </c>
      <c r="F384" s="27" t="str">
        <f aca="false">IFERROR(INDEX('Output Utente'!$N$2:$N$492,MATCH(381,'Output Utente'!$R$2:$R$492,0)),"")</f>
        <v/>
      </c>
      <c r="G384" s="26" t="str">
        <f aca="false">IFERROR(INDEX('Output Utente'!$O$2:$O$492,MATCH(381,'Output Utente'!$R$2:$R$492,0)),"")</f>
        <v/>
      </c>
      <c r="H384" s="26" t="str">
        <f aca="false">IFERROR(INDEX('Output Utente'!$P$2:$P$492,MATCH(381,'Output Utente'!$R$2:$R$492,0)),"")</f>
        <v/>
      </c>
      <c r="I384" s="27" t="str">
        <f aca="false">IFERROR(INDEX('Output Utente'!$F$2:$F$492,MATCH(381,'Output Utente'!$R$2:$R$492,0)),"")</f>
        <v/>
      </c>
      <c r="J384" s="27" t="str">
        <f aca="false">IFERROR(INDEX('Output Utente'!$G$2:$G$492,MATCH(381,'Output Utente'!$R$2:$R$492,0)),"")</f>
        <v/>
      </c>
      <c r="K384" s="27" t="str">
        <f aca="false">IFERROR(INDEX('Output Utente'!$H$2:$H$492,MATCH(381,'Output Utente'!$R$2:$R$492,0)),"")</f>
        <v/>
      </c>
      <c r="L384" s="26" t="str">
        <f aca="false">IFERROR(INDEX('Output Utente'!$E$2:$E$492,MATCH(381,'Output Utente'!$R$2:$R$492,0)),"")</f>
        <v/>
      </c>
    </row>
    <row r="385" customFormat="false" ht="15" hidden="false" customHeight="true" outlineLevel="0" collapsed="false">
      <c r="A385" s="29" t="n">
        <v>382</v>
      </c>
      <c r="B385" s="26" t="str">
        <f aca="false">IFERROR(INDEX('Output Utente'!$A$2:$A$492,MATCH(382,'Output Utente'!$R$2:$R$492,0)),"")</f>
        <v/>
      </c>
      <c r="C385" s="26" t="str">
        <f aca="false">IFERROR(INDEX('Output Utente'!$B$2:$B$492,MATCH(382,'Output Utente'!$R$2:$R$492,0)),"")</f>
        <v/>
      </c>
      <c r="D385" s="26" t="str">
        <f aca="false">IFERROR(INDEX('Output Utente'!$C$2:$C$492,MATCH(382,'Output Utente'!$R$2:$R$492,0)),"")</f>
        <v/>
      </c>
      <c r="E385" s="26" t="str">
        <f aca="false">IFERROR(INDEX('Input Giocatori 2026_27'!$D$3:$D$493,MATCH($B385,'Input Giocatori 2026_27'!$A$3:$A$493,0)),"")</f>
        <v/>
      </c>
      <c r="F385" s="27" t="str">
        <f aca="false">IFERROR(INDEX('Output Utente'!$N$2:$N$492,MATCH(382,'Output Utente'!$R$2:$R$492,0)),"")</f>
        <v/>
      </c>
      <c r="G385" s="26" t="str">
        <f aca="false">IFERROR(INDEX('Output Utente'!$O$2:$O$492,MATCH(382,'Output Utente'!$R$2:$R$492,0)),"")</f>
        <v/>
      </c>
      <c r="H385" s="26" t="str">
        <f aca="false">IFERROR(INDEX('Output Utente'!$P$2:$P$492,MATCH(382,'Output Utente'!$R$2:$R$492,0)),"")</f>
        <v/>
      </c>
      <c r="I385" s="27" t="str">
        <f aca="false">IFERROR(INDEX('Output Utente'!$F$2:$F$492,MATCH(382,'Output Utente'!$R$2:$R$492,0)),"")</f>
        <v/>
      </c>
      <c r="J385" s="27" t="str">
        <f aca="false">IFERROR(INDEX('Output Utente'!$G$2:$G$492,MATCH(382,'Output Utente'!$R$2:$R$492,0)),"")</f>
        <v/>
      </c>
      <c r="K385" s="27" t="str">
        <f aca="false">IFERROR(INDEX('Output Utente'!$H$2:$H$492,MATCH(382,'Output Utente'!$R$2:$R$492,0)),"")</f>
        <v/>
      </c>
      <c r="L385" s="26" t="str">
        <f aca="false">IFERROR(INDEX('Output Utente'!$E$2:$E$492,MATCH(382,'Output Utente'!$R$2:$R$492,0)),"")</f>
        <v/>
      </c>
    </row>
    <row r="386" customFormat="false" ht="15" hidden="false" customHeight="true" outlineLevel="0" collapsed="false">
      <c r="A386" s="29" t="n">
        <v>383</v>
      </c>
      <c r="B386" s="26" t="str">
        <f aca="false">IFERROR(INDEX('Output Utente'!$A$2:$A$492,MATCH(383,'Output Utente'!$R$2:$R$492,0)),"")</f>
        <v/>
      </c>
      <c r="C386" s="26" t="str">
        <f aca="false">IFERROR(INDEX('Output Utente'!$B$2:$B$492,MATCH(383,'Output Utente'!$R$2:$R$492,0)),"")</f>
        <v/>
      </c>
      <c r="D386" s="26" t="str">
        <f aca="false">IFERROR(INDEX('Output Utente'!$C$2:$C$492,MATCH(383,'Output Utente'!$R$2:$R$492,0)),"")</f>
        <v/>
      </c>
      <c r="E386" s="26" t="str">
        <f aca="false">IFERROR(INDEX('Input Giocatori 2026_27'!$D$3:$D$493,MATCH($B386,'Input Giocatori 2026_27'!$A$3:$A$493,0)),"")</f>
        <v/>
      </c>
      <c r="F386" s="27" t="str">
        <f aca="false">IFERROR(INDEX('Output Utente'!$N$2:$N$492,MATCH(383,'Output Utente'!$R$2:$R$492,0)),"")</f>
        <v/>
      </c>
      <c r="G386" s="26" t="str">
        <f aca="false">IFERROR(INDEX('Output Utente'!$O$2:$O$492,MATCH(383,'Output Utente'!$R$2:$R$492,0)),"")</f>
        <v/>
      </c>
      <c r="H386" s="26" t="str">
        <f aca="false">IFERROR(INDEX('Output Utente'!$P$2:$P$492,MATCH(383,'Output Utente'!$R$2:$R$492,0)),"")</f>
        <v/>
      </c>
      <c r="I386" s="27" t="str">
        <f aca="false">IFERROR(INDEX('Output Utente'!$F$2:$F$492,MATCH(383,'Output Utente'!$R$2:$R$492,0)),"")</f>
        <v/>
      </c>
      <c r="J386" s="27" t="str">
        <f aca="false">IFERROR(INDEX('Output Utente'!$G$2:$G$492,MATCH(383,'Output Utente'!$R$2:$R$492,0)),"")</f>
        <v/>
      </c>
      <c r="K386" s="27" t="str">
        <f aca="false">IFERROR(INDEX('Output Utente'!$H$2:$H$492,MATCH(383,'Output Utente'!$R$2:$R$492,0)),"")</f>
        <v/>
      </c>
      <c r="L386" s="26" t="str">
        <f aca="false">IFERROR(INDEX('Output Utente'!$E$2:$E$492,MATCH(383,'Output Utente'!$R$2:$R$492,0)),"")</f>
        <v/>
      </c>
    </row>
    <row r="387" customFormat="false" ht="15" hidden="false" customHeight="true" outlineLevel="0" collapsed="false">
      <c r="A387" s="29" t="n">
        <v>384</v>
      </c>
      <c r="B387" s="26" t="str">
        <f aca="false">IFERROR(INDEX('Output Utente'!$A$2:$A$492,MATCH(384,'Output Utente'!$R$2:$R$492,0)),"")</f>
        <v/>
      </c>
      <c r="C387" s="26" t="str">
        <f aca="false">IFERROR(INDEX('Output Utente'!$B$2:$B$492,MATCH(384,'Output Utente'!$R$2:$R$492,0)),"")</f>
        <v/>
      </c>
      <c r="D387" s="26" t="str">
        <f aca="false">IFERROR(INDEX('Output Utente'!$C$2:$C$492,MATCH(384,'Output Utente'!$R$2:$R$492,0)),"")</f>
        <v/>
      </c>
      <c r="E387" s="26" t="str">
        <f aca="false">IFERROR(INDEX('Input Giocatori 2026_27'!$D$3:$D$493,MATCH($B387,'Input Giocatori 2026_27'!$A$3:$A$493,0)),"")</f>
        <v/>
      </c>
      <c r="F387" s="27" t="str">
        <f aca="false">IFERROR(INDEX('Output Utente'!$N$2:$N$492,MATCH(384,'Output Utente'!$R$2:$R$492,0)),"")</f>
        <v/>
      </c>
      <c r="G387" s="26" t="str">
        <f aca="false">IFERROR(INDEX('Output Utente'!$O$2:$O$492,MATCH(384,'Output Utente'!$R$2:$R$492,0)),"")</f>
        <v/>
      </c>
      <c r="H387" s="26" t="str">
        <f aca="false">IFERROR(INDEX('Output Utente'!$P$2:$P$492,MATCH(384,'Output Utente'!$R$2:$R$492,0)),"")</f>
        <v/>
      </c>
      <c r="I387" s="27" t="str">
        <f aca="false">IFERROR(INDEX('Output Utente'!$F$2:$F$492,MATCH(384,'Output Utente'!$R$2:$R$492,0)),"")</f>
        <v/>
      </c>
      <c r="J387" s="27" t="str">
        <f aca="false">IFERROR(INDEX('Output Utente'!$G$2:$G$492,MATCH(384,'Output Utente'!$R$2:$R$492,0)),"")</f>
        <v/>
      </c>
      <c r="K387" s="27" t="str">
        <f aca="false">IFERROR(INDEX('Output Utente'!$H$2:$H$492,MATCH(384,'Output Utente'!$R$2:$R$492,0)),"")</f>
        <v/>
      </c>
      <c r="L387" s="26" t="str">
        <f aca="false">IFERROR(INDEX('Output Utente'!$E$2:$E$492,MATCH(384,'Output Utente'!$R$2:$R$492,0)),"")</f>
        <v/>
      </c>
    </row>
    <row r="388" customFormat="false" ht="15" hidden="false" customHeight="true" outlineLevel="0" collapsed="false">
      <c r="A388" s="29" t="n">
        <v>385</v>
      </c>
      <c r="B388" s="26" t="str">
        <f aca="false">IFERROR(INDEX('Output Utente'!$A$2:$A$492,MATCH(385,'Output Utente'!$R$2:$R$492,0)),"")</f>
        <v/>
      </c>
      <c r="C388" s="26" t="str">
        <f aca="false">IFERROR(INDEX('Output Utente'!$B$2:$B$492,MATCH(385,'Output Utente'!$R$2:$R$492,0)),"")</f>
        <v/>
      </c>
      <c r="D388" s="26" t="str">
        <f aca="false">IFERROR(INDEX('Output Utente'!$C$2:$C$492,MATCH(385,'Output Utente'!$R$2:$R$492,0)),"")</f>
        <v/>
      </c>
      <c r="E388" s="26" t="str">
        <f aca="false">IFERROR(INDEX('Input Giocatori 2026_27'!$D$3:$D$493,MATCH($B388,'Input Giocatori 2026_27'!$A$3:$A$493,0)),"")</f>
        <v/>
      </c>
      <c r="F388" s="27" t="str">
        <f aca="false">IFERROR(INDEX('Output Utente'!$N$2:$N$492,MATCH(385,'Output Utente'!$R$2:$R$492,0)),"")</f>
        <v/>
      </c>
      <c r="G388" s="26" t="str">
        <f aca="false">IFERROR(INDEX('Output Utente'!$O$2:$O$492,MATCH(385,'Output Utente'!$R$2:$R$492,0)),"")</f>
        <v/>
      </c>
      <c r="H388" s="26" t="str">
        <f aca="false">IFERROR(INDEX('Output Utente'!$P$2:$P$492,MATCH(385,'Output Utente'!$R$2:$R$492,0)),"")</f>
        <v/>
      </c>
      <c r="I388" s="27" t="str">
        <f aca="false">IFERROR(INDEX('Output Utente'!$F$2:$F$492,MATCH(385,'Output Utente'!$R$2:$R$492,0)),"")</f>
        <v/>
      </c>
      <c r="J388" s="27" t="str">
        <f aca="false">IFERROR(INDEX('Output Utente'!$G$2:$G$492,MATCH(385,'Output Utente'!$R$2:$R$492,0)),"")</f>
        <v/>
      </c>
      <c r="K388" s="27" t="str">
        <f aca="false">IFERROR(INDEX('Output Utente'!$H$2:$H$492,MATCH(385,'Output Utente'!$R$2:$R$492,0)),"")</f>
        <v/>
      </c>
      <c r="L388" s="26" t="str">
        <f aca="false">IFERROR(INDEX('Output Utente'!$E$2:$E$492,MATCH(385,'Output Utente'!$R$2:$R$492,0)),"")</f>
        <v/>
      </c>
    </row>
    <row r="389" customFormat="false" ht="15" hidden="false" customHeight="true" outlineLevel="0" collapsed="false">
      <c r="A389" s="29" t="n">
        <v>386</v>
      </c>
      <c r="B389" s="26" t="str">
        <f aca="false">IFERROR(INDEX('Output Utente'!$A$2:$A$492,MATCH(386,'Output Utente'!$R$2:$R$492,0)),"")</f>
        <v/>
      </c>
      <c r="C389" s="26" t="str">
        <f aca="false">IFERROR(INDEX('Output Utente'!$B$2:$B$492,MATCH(386,'Output Utente'!$R$2:$R$492,0)),"")</f>
        <v/>
      </c>
      <c r="D389" s="26" t="str">
        <f aca="false">IFERROR(INDEX('Output Utente'!$C$2:$C$492,MATCH(386,'Output Utente'!$R$2:$R$492,0)),"")</f>
        <v/>
      </c>
      <c r="E389" s="26" t="str">
        <f aca="false">IFERROR(INDEX('Input Giocatori 2026_27'!$D$3:$D$493,MATCH($B389,'Input Giocatori 2026_27'!$A$3:$A$493,0)),"")</f>
        <v/>
      </c>
      <c r="F389" s="27" t="str">
        <f aca="false">IFERROR(INDEX('Output Utente'!$N$2:$N$492,MATCH(386,'Output Utente'!$R$2:$R$492,0)),"")</f>
        <v/>
      </c>
      <c r="G389" s="26" t="str">
        <f aca="false">IFERROR(INDEX('Output Utente'!$O$2:$O$492,MATCH(386,'Output Utente'!$R$2:$R$492,0)),"")</f>
        <v/>
      </c>
      <c r="H389" s="26" t="str">
        <f aca="false">IFERROR(INDEX('Output Utente'!$P$2:$P$492,MATCH(386,'Output Utente'!$R$2:$R$492,0)),"")</f>
        <v/>
      </c>
      <c r="I389" s="27" t="str">
        <f aca="false">IFERROR(INDEX('Output Utente'!$F$2:$F$492,MATCH(386,'Output Utente'!$R$2:$R$492,0)),"")</f>
        <v/>
      </c>
      <c r="J389" s="27" t="str">
        <f aca="false">IFERROR(INDEX('Output Utente'!$G$2:$G$492,MATCH(386,'Output Utente'!$R$2:$R$492,0)),"")</f>
        <v/>
      </c>
      <c r="K389" s="27" t="str">
        <f aca="false">IFERROR(INDEX('Output Utente'!$H$2:$H$492,MATCH(386,'Output Utente'!$R$2:$R$492,0)),"")</f>
        <v/>
      </c>
      <c r="L389" s="26" t="str">
        <f aca="false">IFERROR(INDEX('Output Utente'!$E$2:$E$492,MATCH(386,'Output Utente'!$R$2:$R$492,0)),"")</f>
        <v/>
      </c>
    </row>
    <row r="390" customFormat="false" ht="15" hidden="false" customHeight="true" outlineLevel="0" collapsed="false">
      <c r="A390" s="29" t="n">
        <v>387</v>
      </c>
      <c r="B390" s="26" t="str">
        <f aca="false">IFERROR(INDEX('Output Utente'!$A$2:$A$492,MATCH(387,'Output Utente'!$R$2:$R$492,0)),"")</f>
        <v/>
      </c>
      <c r="C390" s="26" t="str">
        <f aca="false">IFERROR(INDEX('Output Utente'!$B$2:$B$492,MATCH(387,'Output Utente'!$R$2:$R$492,0)),"")</f>
        <v/>
      </c>
      <c r="D390" s="26" t="str">
        <f aca="false">IFERROR(INDEX('Output Utente'!$C$2:$C$492,MATCH(387,'Output Utente'!$R$2:$R$492,0)),"")</f>
        <v/>
      </c>
      <c r="E390" s="26" t="str">
        <f aca="false">IFERROR(INDEX('Input Giocatori 2026_27'!$D$3:$D$493,MATCH($B390,'Input Giocatori 2026_27'!$A$3:$A$493,0)),"")</f>
        <v/>
      </c>
      <c r="F390" s="27" t="str">
        <f aca="false">IFERROR(INDEX('Output Utente'!$N$2:$N$492,MATCH(387,'Output Utente'!$R$2:$R$492,0)),"")</f>
        <v/>
      </c>
      <c r="G390" s="26" t="str">
        <f aca="false">IFERROR(INDEX('Output Utente'!$O$2:$O$492,MATCH(387,'Output Utente'!$R$2:$R$492,0)),"")</f>
        <v/>
      </c>
      <c r="H390" s="26" t="str">
        <f aca="false">IFERROR(INDEX('Output Utente'!$P$2:$P$492,MATCH(387,'Output Utente'!$R$2:$R$492,0)),"")</f>
        <v/>
      </c>
      <c r="I390" s="27" t="str">
        <f aca="false">IFERROR(INDEX('Output Utente'!$F$2:$F$492,MATCH(387,'Output Utente'!$R$2:$R$492,0)),"")</f>
        <v/>
      </c>
      <c r="J390" s="27" t="str">
        <f aca="false">IFERROR(INDEX('Output Utente'!$G$2:$G$492,MATCH(387,'Output Utente'!$R$2:$R$492,0)),"")</f>
        <v/>
      </c>
      <c r="K390" s="27" t="str">
        <f aca="false">IFERROR(INDEX('Output Utente'!$H$2:$H$492,MATCH(387,'Output Utente'!$R$2:$R$492,0)),"")</f>
        <v/>
      </c>
      <c r="L390" s="26" t="str">
        <f aca="false">IFERROR(INDEX('Output Utente'!$E$2:$E$492,MATCH(387,'Output Utente'!$R$2:$R$492,0)),"")</f>
        <v/>
      </c>
    </row>
    <row r="391" customFormat="false" ht="15" hidden="false" customHeight="true" outlineLevel="0" collapsed="false">
      <c r="A391" s="29" t="n">
        <v>388</v>
      </c>
      <c r="B391" s="26" t="str">
        <f aca="false">IFERROR(INDEX('Output Utente'!$A$2:$A$492,MATCH(388,'Output Utente'!$R$2:$R$492,0)),"")</f>
        <v/>
      </c>
      <c r="C391" s="26" t="str">
        <f aca="false">IFERROR(INDEX('Output Utente'!$B$2:$B$492,MATCH(388,'Output Utente'!$R$2:$R$492,0)),"")</f>
        <v/>
      </c>
      <c r="D391" s="26" t="str">
        <f aca="false">IFERROR(INDEX('Output Utente'!$C$2:$C$492,MATCH(388,'Output Utente'!$R$2:$R$492,0)),"")</f>
        <v/>
      </c>
      <c r="E391" s="26" t="str">
        <f aca="false">IFERROR(INDEX('Input Giocatori 2026_27'!$D$3:$D$493,MATCH($B391,'Input Giocatori 2026_27'!$A$3:$A$493,0)),"")</f>
        <v/>
      </c>
      <c r="F391" s="27" t="str">
        <f aca="false">IFERROR(INDEX('Output Utente'!$N$2:$N$492,MATCH(388,'Output Utente'!$R$2:$R$492,0)),"")</f>
        <v/>
      </c>
      <c r="G391" s="26" t="str">
        <f aca="false">IFERROR(INDEX('Output Utente'!$O$2:$O$492,MATCH(388,'Output Utente'!$R$2:$R$492,0)),"")</f>
        <v/>
      </c>
      <c r="H391" s="26" t="str">
        <f aca="false">IFERROR(INDEX('Output Utente'!$P$2:$P$492,MATCH(388,'Output Utente'!$R$2:$R$492,0)),"")</f>
        <v/>
      </c>
      <c r="I391" s="27" t="str">
        <f aca="false">IFERROR(INDEX('Output Utente'!$F$2:$F$492,MATCH(388,'Output Utente'!$R$2:$R$492,0)),"")</f>
        <v/>
      </c>
      <c r="J391" s="27" t="str">
        <f aca="false">IFERROR(INDEX('Output Utente'!$G$2:$G$492,MATCH(388,'Output Utente'!$R$2:$R$492,0)),"")</f>
        <v/>
      </c>
      <c r="K391" s="27" t="str">
        <f aca="false">IFERROR(INDEX('Output Utente'!$H$2:$H$492,MATCH(388,'Output Utente'!$R$2:$R$492,0)),"")</f>
        <v/>
      </c>
      <c r="L391" s="26" t="str">
        <f aca="false">IFERROR(INDEX('Output Utente'!$E$2:$E$492,MATCH(388,'Output Utente'!$R$2:$R$492,0)),"")</f>
        <v/>
      </c>
    </row>
    <row r="392" customFormat="false" ht="15" hidden="false" customHeight="true" outlineLevel="0" collapsed="false">
      <c r="A392" s="29" t="n">
        <v>389</v>
      </c>
      <c r="B392" s="26" t="str">
        <f aca="false">IFERROR(INDEX('Output Utente'!$A$2:$A$492,MATCH(389,'Output Utente'!$R$2:$R$492,0)),"")</f>
        <v/>
      </c>
      <c r="C392" s="26" t="str">
        <f aca="false">IFERROR(INDEX('Output Utente'!$B$2:$B$492,MATCH(389,'Output Utente'!$R$2:$R$492,0)),"")</f>
        <v/>
      </c>
      <c r="D392" s="26" t="str">
        <f aca="false">IFERROR(INDEX('Output Utente'!$C$2:$C$492,MATCH(389,'Output Utente'!$R$2:$R$492,0)),"")</f>
        <v/>
      </c>
      <c r="E392" s="26" t="str">
        <f aca="false">IFERROR(INDEX('Input Giocatori 2026_27'!$D$3:$D$493,MATCH($B392,'Input Giocatori 2026_27'!$A$3:$A$493,0)),"")</f>
        <v/>
      </c>
      <c r="F392" s="27" t="str">
        <f aca="false">IFERROR(INDEX('Output Utente'!$N$2:$N$492,MATCH(389,'Output Utente'!$R$2:$R$492,0)),"")</f>
        <v/>
      </c>
      <c r="G392" s="26" t="str">
        <f aca="false">IFERROR(INDEX('Output Utente'!$O$2:$O$492,MATCH(389,'Output Utente'!$R$2:$R$492,0)),"")</f>
        <v/>
      </c>
      <c r="H392" s="26" t="str">
        <f aca="false">IFERROR(INDEX('Output Utente'!$P$2:$P$492,MATCH(389,'Output Utente'!$R$2:$R$492,0)),"")</f>
        <v/>
      </c>
      <c r="I392" s="27" t="str">
        <f aca="false">IFERROR(INDEX('Output Utente'!$F$2:$F$492,MATCH(389,'Output Utente'!$R$2:$R$492,0)),"")</f>
        <v/>
      </c>
      <c r="J392" s="27" t="str">
        <f aca="false">IFERROR(INDEX('Output Utente'!$G$2:$G$492,MATCH(389,'Output Utente'!$R$2:$R$492,0)),"")</f>
        <v/>
      </c>
      <c r="K392" s="27" t="str">
        <f aca="false">IFERROR(INDEX('Output Utente'!$H$2:$H$492,MATCH(389,'Output Utente'!$R$2:$R$492,0)),"")</f>
        <v/>
      </c>
      <c r="L392" s="26" t="str">
        <f aca="false">IFERROR(INDEX('Output Utente'!$E$2:$E$492,MATCH(389,'Output Utente'!$R$2:$R$492,0)),"")</f>
        <v/>
      </c>
    </row>
    <row r="393" customFormat="false" ht="15" hidden="false" customHeight="true" outlineLevel="0" collapsed="false">
      <c r="A393" s="29" t="n">
        <v>390</v>
      </c>
      <c r="B393" s="26" t="str">
        <f aca="false">IFERROR(INDEX('Output Utente'!$A$2:$A$492,MATCH(390,'Output Utente'!$R$2:$R$492,0)),"")</f>
        <v/>
      </c>
      <c r="C393" s="26" t="str">
        <f aca="false">IFERROR(INDEX('Output Utente'!$B$2:$B$492,MATCH(390,'Output Utente'!$R$2:$R$492,0)),"")</f>
        <v/>
      </c>
      <c r="D393" s="26" t="str">
        <f aca="false">IFERROR(INDEX('Output Utente'!$C$2:$C$492,MATCH(390,'Output Utente'!$R$2:$R$492,0)),"")</f>
        <v/>
      </c>
      <c r="E393" s="26" t="str">
        <f aca="false">IFERROR(INDEX('Input Giocatori 2026_27'!$D$3:$D$493,MATCH($B393,'Input Giocatori 2026_27'!$A$3:$A$493,0)),"")</f>
        <v/>
      </c>
      <c r="F393" s="27" t="str">
        <f aca="false">IFERROR(INDEX('Output Utente'!$N$2:$N$492,MATCH(390,'Output Utente'!$R$2:$R$492,0)),"")</f>
        <v/>
      </c>
      <c r="G393" s="26" t="str">
        <f aca="false">IFERROR(INDEX('Output Utente'!$O$2:$O$492,MATCH(390,'Output Utente'!$R$2:$R$492,0)),"")</f>
        <v/>
      </c>
      <c r="H393" s="26" t="str">
        <f aca="false">IFERROR(INDEX('Output Utente'!$P$2:$P$492,MATCH(390,'Output Utente'!$R$2:$R$492,0)),"")</f>
        <v/>
      </c>
      <c r="I393" s="27" t="str">
        <f aca="false">IFERROR(INDEX('Output Utente'!$F$2:$F$492,MATCH(390,'Output Utente'!$R$2:$R$492,0)),"")</f>
        <v/>
      </c>
      <c r="J393" s="27" t="str">
        <f aca="false">IFERROR(INDEX('Output Utente'!$G$2:$G$492,MATCH(390,'Output Utente'!$R$2:$R$492,0)),"")</f>
        <v/>
      </c>
      <c r="K393" s="27" t="str">
        <f aca="false">IFERROR(INDEX('Output Utente'!$H$2:$H$492,MATCH(390,'Output Utente'!$R$2:$R$492,0)),"")</f>
        <v/>
      </c>
      <c r="L393" s="26" t="str">
        <f aca="false">IFERROR(INDEX('Output Utente'!$E$2:$E$492,MATCH(390,'Output Utente'!$R$2:$R$492,0)),"")</f>
        <v/>
      </c>
    </row>
    <row r="394" customFormat="false" ht="15" hidden="false" customHeight="true" outlineLevel="0" collapsed="false">
      <c r="A394" s="29" t="n">
        <v>391</v>
      </c>
      <c r="B394" s="26" t="str">
        <f aca="false">IFERROR(INDEX('Output Utente'!$A$2:$A$492,MATCH(391,'Output Utente'!$R$2:$R$492,0)),"")</f>
        <v/>
      </c>
      <c r="C394" s="26" t="str">
        <f aca="false">IFERROR(INDEX('Output Utente'!$B$2:$B$492,MATCH(391,'Output Utente'!$R$2:$R$492,0)),"")</f>
        <v/>
      </c>
      <c r="D394" s="26" t="str">
        <f aca="false">IFERROR(INDEX('Output Utente'!$C$2:$C$492,MATCH(391,'Output Utente'!$R$2:$R$492,0)),"")</f>
        <v/>
      </c>
      <c r="E394" s="26" t="str">
        <f aca="false">IFERROR(INDEX('Input Giocatori 2026_27'!$D$3:$D$493,MATCH($B394,'Input Giocatori 2026_27'!$A$3:$A$493,0)),"")</f>
        <v/>
      </c>
      <c r="F394" s="27" t="str">
        <f aca="false">IFERROR(INDEX('Output Utente'!$N$2:$N$492,MATCH(391,'Output Utente'!$R$2:$R$492,0)),"")</f>
        <v/>
      </c>
      <c r="G394" s="26" t="str">
        <f aca="false">IFERROR(INDEX('Output Utente'!$O$2:$O$492,MATCH(391,'Output Utente'!$R$2:$R$492,0)),"")</f>
        <v/>
      </c>
      <c r="H394" s="26" t="str">
        <f aca="false">IFERROR(INDEX('Output Utente'!$P$2:$P$492,MATCH(391,'Output Utente'!$R$2:$R$492,0)),"")</f>
        <v/>
      </c>
      <c r="I394" s="27" t="str">
        <f aca="false">IFERROR(INDEX('Output Utente'!$F$2:$F$492,MATCH(391,'Output Utente'!$R$2:$R$492,0)),"")</f>
        <v/>
      </c>
      <c r="J394" s="27" t="str">
        <f aca="false">IFERROR(INDEX('Output Utente'!$G$2:$G$492,MATCH(391,'Output Utente'!$R$2:$R$492,0)),"")</f>
        <v/>
      </c>
      <c r="K394" s="27" t="str">
        <f aca="false">IFERROR(INDEX('Output Utente'!$H$2:$H$492,MATCH(391,'Output Utente'!$R$2:$R$492,0)),"")</f>
        <v/>
      </c>
      <c r="L394" s="26" t="str">
        <f aca="false">IFERROR(INDEX('Output Utente'!$E$2:$E$492,MATCH(391,'Output Utente'!$R$2:$R$492,0)),"")</f>
        <v/>
      </c>
    </row>
    <row r="395" customFormat="false" ht="15" hidden="false" customHeight="true" outlineLevel="0" collapsed="false">
      <c r="A395" s="29" t="n">
        <v>392</v>
      </c>
      <c r="B395" s="26" t="str">
        <f aca="false">IFERROR(INDEX('Output Utente'!$A$2:$A$492,MATCH(392,'Output Utente'!$R$2:$R$492,0)),"")</f>
        <v/>
      </c>
      <c r="C395" s="26" t="str">
        <f aca="false">IFERROR(INDEX('Output Utente'!$B$2:$B$492,MATCH(392,'Output Utente'!$R$2:$R$492,0)),"")</f>
        <v/>
      </c>
      <c r="D395" s="26" t="str">
        <f aca="false">IFERROR(INDEX('Output Utente'!$C$2:$C$492,MATCH(392,'Output Utente'!$R$2:$R$492,0)),"")</f>
        <v/>
      </c>
      <c r="E395" s="26" t="str">
        <f aca="false">IFERROR(INDEX('Input Giocatori 2026_27'!$D$3:$D$493,MATCH($B395,'Input Giocatori 2026_27'!$A$3:$A$493,0)),"")</f>
        <v/>
      </c>
      <c r="F395" s="27" t="str">
        <f aca="false">IFERROR(INDEX('Output Utente'!$N$2:$N$492,MATCH(392,'Output Utente'!$R$2:$R$492,0)),"")</f>
        <v/>
      </c>
      <c r="G395" s="26" t="str">
        <f aca="false">IFERROR(INDEX('Output Utente'!$O$2:$O$492,MATCH(392,'Output Utente'!$R$2:$R$492,0)),"")</f>
        <v/>
      </c>
      <c r="H395" s="26" t="str">
        <f aca="false">IFERROR(INDEX('Output Utente'!$P$2:$P$492,MATCH(392,'Output Utente'!$R$2:$R$492,0)),"")</f>
        <v/>
      </c>
      <c r="I395" s="27" t="str">
        <f aca="false">IFERROR(INDEX('Output Utente'!$F$2:$F$492,MATCH(392,'Output Utente'!$R$2:$R$492,0)),"")</f>
        <v/>
      </c>
      <c r="J395" s="27" t="str">
        <f aca="false">IFERROR(INDEX('Output Utente'!$G$2:$G$492,MATCH(392,'Output Utente'!$R$2:$R$492,0)),"")</f>
        <v/>
      </c>
      <c r="K395" s="27" t="str">
        <f aca="false">IFERROR(INDEX('Output Utente'!$H$2:$H$492,MATCH(392,'Output Utente'!$R$2:$R$492,0)),"")</f>
        <v/>
      </c>
      <c r="L395" s="26" t="str">
        <f aca="false">IFERROR(INDEX('Output Utente'!$E$2:$E$492,MATCH(392,'Output Utente'!$R$2:$R$492,0)),"")</f>
        <v/>
      </c>
    </row>
    <row r="396" customFormat="false" ht="15" hidden="false" customHeight="true" outlineLevel="0" collapsed="false">
      <c r="A396" s="29" t="n">
        <v>393</v>
      </c>
      <c r="B396" s="26" t="str">
        <f aca="false">IFERROR(INDEX('Output Utente'!$A$2:$A$492,MATCH(393,'Output Utente'!$R$2:$R$492,0)),"")</f>
        <v/>
      </c>
      <c r="C396" s="26" t="str">
        <f aca="false">IFERROR(INDEX('Output Utente'!$B$2:$B$492,MATCH(393,'Output Utente'!$R$2:$R$492,0)),"")</f>
        <v/>
      </c>
      <c r="D396" s="26" t="str">
        <f aca="false">IFERROR(INDEX('Output Utente'!$C$2:$C$492,MATCH(393,'Output Utente'!$R$2:$R$492,0)),"")</f>
        <v/>
      </c>
      <c r="E396" s="26" t="str">
        <f aca="false">IFERROR(INDEX('Input Giocatori 2026_27'!$D$3:$D$493,MATCH($B396,'Input Giocatori 2026_27'!$A$3:$A$493,0)),"")</f>
        <v/>
      </c>
      <c r="F396" s="27" t="str">
        <f aca="false">IFERROR(INDEX('Output Utente'!$N$2:$N$492,MATCH(393,'Output Utente'!$R$2:$R$492,0)),"")</f>
        <v/>
      </c>
      <c r="G396" s="26" t="str">
        <f aca="false">IFERROR(INDEX('Output Utente'!$O$2:$O$492,MATCH(393,'Output Utente'!$R$2:$R$492,0)),"")</f>
        <v/>
      </c>
      <c r="H396" s="26" t="str">
        <f aca="false">IFERROR(INDEX('Output Utente'!$P$2:$P$492,MATCH(393,'Output Utente'!$R$2:$R$492,0)),"")</f>
        <v/>
      </c>
      <c r="I396" s="27" t="str">
        <f aca="false">IFERROR(INDEX('Output Utente'!$F$2:$F$492,MATCH(393,'Output Utente'!$R$2:$R$492,0)),"")</f>
        <v/>
      </c>
      <c r="J396" s="27" t="str">
        <f aca="false">IFERROR(INDEX('Output Utente'!$G$2:$G$492,MATCH(393,'Output Utente'!$R$2:$R$492,0)),"")</f>
        <v/>
      </c>
      <c r="K396" s="27" t="str">
        <f aca="false">IFERROR(INDEX('Output Utente'!$H$2:$H$492,MATCH(393,'Output Utente'!$R$2:$R$492,0)),"")</f>
        <v/>
      </c>
      <c r="L396" s="26" t="str">
        <f aca="false">IFERROR(INDEX('Output Utente'!$E$2:$E$492,MATCH(393,'Output Utente'!$R$2:$R$492,0)),"")</f>
        <v/>
      </c>
    </row>
    <row r="397" customFormat="false" ht="15" hidden="false" customHeight="true" outlineLevel="0" collapsed="false">
      <c r="A397" s="29" t="n">
        <v>394</v>
      </c>
      <c r="B397" s="26" t="str">
        <f aca="false">IFERROR(INDEX('Output Utente'!$A$2:$A$492,MATCH(394,'Output Utente'!$R$2:$R$492,0)),"")</f>
        <v/>
      </c>
      <c r="C397" s="26" t="str">
        <f aca="false">IFERROR(INDEX('Output Utente'!$B$2:$B$492,MATCH(394,'Output Utente'!$R$2:$R$492,0)),"")</f>
        <v/>
      </c>
      <c r="D397" s="26" t="str">
        <f aca="false">IFERROR(INDEX('Output Utente'!$C$2:$C$492,MATCH(394,'Output Utente'!$R$2:$R$492,0)),"")</f>
        <v/>
      </c>
      <c r="E397" s="26" t="str">
        <f aca="false">IFERROR(INDEX('Input Giocatori 2026_27'!$D$3:$D$493,MATCH($B397,'Input Giocatori 2026_27'!$A$3:$A$493,0)),"")</f>
        <v/>
      </c>
      <c r="F397" s="27" t="str">
        <f aca="false">IFERROR(INDEX('Output Utente'!$N$2:$N$492,MATCH(394,'Output Utente'!$R$2:$R$492,0)),"")</f>
        <v/>
      </c>
      <c r="G397" s="26" t="str">
        <f aca="false">IFERROR(INDEX('Output Utente'!$O$2:$O$492,MATCH(394,'Output Utente'!$R$2:$R$492,0)),"")</f>
        <v/>
      </c>
      <c r="H397" s="26" t="str">
        <f aca="false">IFERROR(INDEX('Output Utente'!$P$2:$P$492,MATCH(394,'Output Utente'!$R$2:$R$492,0)),"")</f>
        <v/>
      </c>
      <c r="I397" s="27" t="str">
        <f aca="false">IFERROR(INDEX('Output Utente'!$F$2:$F$492,MATCH(394,'Output Utente'!$R$2:$R$492,0)),"")</f>
        <v/>
      </c>
      <c r="J397" s="27" t="str">
        <f aca="false">IFERROR(INDEX('Output Utente'!$G$2:$G$492,MATCH(394,'Output Utente'!$R$2:$R$492,0)),"")</f>
        <v/>
      </c>
      <c r="K397" s="27" t="str">
        <f aca="false">IFERROR(INDEX('Output Utente'!$H$2:$H$492,MATCH(394,'Output Utente'!$R$2:$R$492,0)),"")</f>
        <v/>
      </c>
      <c r="L397" s="26" t="str">
        <f aca="false">IFERROR(INDEX('Output Utente'!$E$2:$E$492,MATCH(394,'Output Utente'!$R$2:$R$492,0)),"")</f>
        <v/>
      </c>
    </row>
    <row r="398" customFormat="false" ht="15" hidden="false" customHeight="true" outlineLevel="0" collapsed="false">
      <c r="A398" s="29" t="n">
        <v>395</v>
      </c>
      <c r="B398" s="26" t="str">
        <f aca="false">IFERROR(INDEX('Output Utente'!$A$2:$A$492,MATCH(395,'Output Utente'!$R$2:$R$492,0)),"")</f>
        <v/>
      </c>
      <c r="C398" s="26" t="str">
        <f aca="false">IFERROR(INDEX('Output Utente'!$B$2:$B$492,MATCH(395,'Output Utente'!$R$2:$R$492,0)),"")</f>
        <v/>
      </c>
      <c r="D398" s="26" t="str">
        <f aca="false">IFERROR(INDEX('Output Utente'!$C$2:$C$492,MATCH(395,'Output Utente'!$R$2:$R$492,0)),"")</f>
        <v/>
      </c>
      <c r="E398" s="26" t="str">
        <f aca="false">IFERROR(INDEX('Input Giocatori 2026_27'!$D$3:$D$493,MATCH($B398,'Input Giocatori 2026_27'!$A$3:$A$493,0)),"")</f>
        <v/>
      </c>
      <c r="F398" s="27" t="str">
        <f aca="false">IFERROR(INDEX('Output Utente'!$N$2:$N$492,MATCH(395,'Output Utente'!$R$2:$R$492,0)),"")</f>
        <v/>
      </c>
      <c r="G398" s="26" t="str">
        <f aca="false">IFERROR(INDEX('Output Utente'!$O$2:$O$492,MATCH(395,'Output Utente'!$R$2:$R$492,0)),"")</f>
        <v/>
      </c>
      <c r="H398" s="26" t="str">
        <f aca="false">IFERROR(INDEX('Output Utente'!$P$2:$P$492,MATCH(395,'Output Utente'!$R$2:$R$492,0)),"")</f>
        <v/>
      </c>
      <c r="I398" s="27" t="str">
        <f aca="false">IFERROR(INDEX('Output Utente'!$F$2:$F$492,MATCH(395,'Output Utente'!$R$2:$R$492,0)),"")</f>
        <v/>
      </c>
      <c r="J398" s="27" t="str">
        <f aca="false">IFERROR(INDEX('Output Utente'!$G$2:$G$492,MATCH(395,'Output Utente'!$R$2:$R$492,0)),"")</f>
        <v/>
      </c>
      <c r="K398" s="27" t="str">
        <f aca="false">IFERROR(INDEX('Output Utente'!$H$2:$H$492,MATCH(395,'Output Utente'!$R$2:$R$492,0)),"")</f>
        <v/>
      </c>
      <c r="L398" s="26" t="str">
        <f aca="false">IFERROR(INDEX('Output Utente'!$E$2:$E$492,MATCH(395,'Output Utente'!$R$2:$R$492,0)),"")</f>
        <v/>
      </c>
    </row>
    <row r="399" customFormat="false" ht="15" hidden="false" customHeight="true" outlineLevel="0" collapsed="false">
      <c r="A399" s="29" t="n">
        <v>396</v>
      </c>
      <c r="B399" s="26" t="str">
        <f aca="false">IFERROR(INDEX('Output Utente'!$A$2:$A$492,MATCH(396,'Output Utente'!$R$2:$R$492,0)),"")</f>
        <v/>
      </c>
      <c r="C399" s="26" t="str">
        <f aca="false">IFERROR(INDEX('Output Utente'!$B$2:$B$492,MATCH(396,'Output Utente'!$R$2:$R$492,0)),"")</f>
        <v/>
      </c>
      <c r="D399" s="26" t="str">
        <f aca="false">IFERROR(INDEX('Output Utente'!$C$2:$C$492,MATCH(396,'Output Utente'!$R$2:$R$492,0)),"")</f>
        <v/>
      </c>
      <c r="E399" s="26" t="str">
        <f aca="false">IFERROR(INDEX('Input Giocatori 2026_27'!$D$3:$D$493,MATCH($B399,'Input Giocatori 2026_27'!$A$3:$A$493,0)),"")</f>
        <v/>
      </c>
      <c r="F399" s="27" t="str">
        <f aca="false">IFERROR(INDEX('Output Utente'!$N$2:$N$492,MATCH(396,'Output Utente'!$R$2:$R$492,0)),"")</f>
        <v/>
      </c>
      <c r="G399" s="26" t="str">
        <f aca="false">IFERROR(INDEX('Output Utente'!$O$2:$O$492,MATCH(396,'Output Utente'!$R$2:$R$492,0)),"")</f>
        <v/>
      </c>
      <c r="H399" s="26" t="str">
        <f aca="false">IFERROR(INDEX('Output Utente'!$P$2:$P$492,MATCH(396,'Output Utente'!$R$2:$R$492,0)),"")</f>
        <v/>
      </c>
      <c r="I399" s="27" t="str">
        <f aca="false">IFERROR(INDEX('Output Utente'!$F$2:$F$492,MATCH(396,'Output Utente'!$R$2:$R$492,0)),"")</f>
        <v/>
      </c>
      <c r="J399" s="27" t="str">
        <f aca="false">IFERROR(INDEX('Output Utente'!$G$2:$G$492,MATCH(396,'Output Utente'!$R$2:$R$492,0)),"")</f>
        <v/>
      </c>
      <c r="K399" s="27" t="str">
        <f aca="false">IFERROR(INDEX('Output Utente'!$H$2:$H$492,MATCH(396,'Output Utente'!$R$2:$R$492,0)),"")</f>
        <v/>
      </c>
      <c r="L399" s="26" t="str">
        <f aca="false">IFERROR(INDEX('Output Utente'!$E$2:$E$492,MATCH(396,'Output Utente'!$R$2:$R$492,0)),"")</f>
        <v/>
      </c>
    </row>
    <row r="400" customFormat="false" ht="15" hidden="false" customHeight="true" outlineLevel="0" collapsed="false">
      <c r="A400" s="29" t="n">
        <v>397</v>
      </c>
      <c r="B400" s="26" t="str">
        <f aca="false">IFERROR(INDEX('Output Utente'!$A$2:$A$492,MATCH(397,'Output Utente'!$R$2:$R$492,0)),"")</f>
        <v/>
      </c>
      <c r="C400" s="26" t="str">
        <f aca="false">IFERROR(INDEX('Output Utente'!$B$2:$B$492,MATCH(397,'Output Utente'!$R$2:$R$492,0)),"")</f>
        <v/>
      </c>
      <c r="D400" s="26" t="str">
        <f aca="false">IFERROR(INDEX('Output Utente'!$C$2:$C$492,MATCH(397,'Output Utente'!$R$2:$R$492,0)),"")</f>
        <v/>
      </c>
      <c r="E400" s="26" t="str">
        <f aca="false">IFERROR(INDEX('Input Giocatori 2026_27'!$D$3:$D$493,MATCH($B400,'Input Giocatori 2026_27'!$A$3:$A$493,0)),"")</f>
        <v/>
      </c>
      <c r="F400" s="27" t="str">
        <f aca="false">IFERROR(INDEX('Output Utente'!$N$2:$N$492,MATCH(397,'Output Utente'!$R$2:$R$492,0)),"")</f>
        <v/>
      </c>
      <c r="G400" s="26" t="str">
        <f aca="false">IFERROR(INDEX('Output Utente'!$O$2:$O$492,MATCH(397,'Output Utente'!$R$2:$R$492,0)),"")</f>
        <v/>
      </c>
      <c r="H400" s="26" t="str">
        <f aca="false">IFERROR(INDEX('Output Utente'!$P$2:$P$492,MATCH(397,'Output Utente'!$R$2:$R$492,0)),"")</f>
        <v/>
      </c>
      <c r="I400" s="27" t="str">
        <f aca="false">IFERROR(INDEX('Output Utente'!$F$2:$F$492,MATCH(397,'Output Utente'!$R$2:$R$492,0)),"")</f>
        <v/>
      </c>
      <c r="J400" s="27" t="str">
        <f aca="false">IFERROR(INDEX('Output Utente'!$G$2:$G$492,MATCH(397,'Output Utente'!$R$2:$R$492,0)),"")</f>
        <v/>
      </c>
      <c r="K400" s="27" t="str">
        <f aca="false">IFERROR(INDEX('Output Utente'!$H$2:$H$492,MATCH(397,'Output Utente'!$R$2:$R$492,0)),"")</f>
        <v/>
      </c>
      <c r="L400" s="26" t="str">
        <f aca="false">IFERROR(INDEX('Output Utente'!$E$2:$E$492,MATCH(397,'Output Utente'!$R$2:$R$492,0)),"")</f>
        <v/>
      </c>
    </row>
    <row r="401" customFormat="false" ht="15" hidden="false" customHeight="true" outlineLevel="0" collapsed="false">
      <c r="A401" s="29" t="n">
        <v>398</v>
      </c>
      <c r="B401" s="26" t="str">
        <f aca="false">IFERROR(INDEX('Output Utente'!$A$2:$A$492,MATCH(398,'Output Utente'!$R$2:$R$492,0)),"")</f>
        <v/>
      </c>
      <c r="C401" s="26" t="str">
        <f aca="false">IFERROR(INDEX('Output Utente'!$B$2:$B$492,MATCH(398,'Output Utente'!$R$2:$R$492,0)),"")</f>
        <v/>
      </c>
      <c r="D401" s="26" t="str">
        <f aca="false">IFERROR(INDEX('Output Utente'!$C$2:$C$492,MATCH(398,'Output Utente'!$R$2:$R$492,0)),"")</f>
        <v/>
      </c>
      <c r="E401" s="26" t="str">
        <f aca="false">IFERROR(INDEX('Input Giocatori 2026_27'!$D$3:$D$493,MATCH($B401,'Input Giocatori 2026_27'!$A$3:$A$493,0)),"")</f>
        <v/>
      </c>
      <c r="F401" s="27" t="str">
        <f aca="false">IFERROR(INDEX('Output Utente'!$N$2:$N$492,MATCH(398,'Output Utente'!$R$2:$R$492,0)),"")</f>
        <v/>
      </c>
      <c r="G401" s="26" t="str">
        <f aca="false">IFERROR(INDEX('Output Utente'!$O$2:$O$492,MATCH(398,'Output Utente'!$R$2:$R$492,0)),"")</f>
        <v/>
      </c>
      <c r="H401" s="26" t="str">
        <f aca="false">IFERROR(INDEX('Output Utente'!$P$2:$P$492,MATCH(398,'Output Utente'!$R$2:$R$492,0)),"")</f>
        <v/>
      </c>
      <c r="I401" s="27" t="str">
        <f aca="false">IFERROR(INDEX('Output Utente'!$F$2:$F$492,MATCH(398,'Output Utente'!$R$2:$R$492,0)),"")</f>
        <v/>
      </c>
      <c r="J401" s="27" t="str">
        <f aca="false">IFERROR(INDEX('Output Utente'!$G$2:$G$492,MATCH(398,'Output Utente'!$R$2:$R$492,0)),"")</f>
        <v/>
      </c>
      <c r="K401" s="27" t="str">
        <f aca="false">IFERROR(INDEX('Output Utente'!$H$2:$H$492,MATCH(398,'Output Utente'!$R$2:$R$492,0)),"")</f>
        <v/>
      </c>
      <c r="L401" s="26" t="str">
        <f aca="false">IFERROR(INDEX('Output Utente'!$E$2:$E$492,MATCH(398,'Output Utente'!$R$2:$R$492,0)),"")</f>
        <v/>
      </c>
    </row>
    <row r="402" customFormat="false" ht="15" hidden="false" customHeight="true" outlineLevel="0" collapsed="false">
      <c r="A402" s="29" t="n">
        <v>399</v>
      </c>
      <c r="B402" s="26" t="str">
        <f aca="false">IFERROR(INDEX('Output Utente'!$A$2:$A$492,MATCH(399,'Output Utente'!$R$2:$R$492,0)),"")</f>
        <v/>
      </c>
      <c r="C402" s="26" t="str">
        <f aca="false">IFERROR(INDEX('Output Utente'!$B$2:$B$492,MATCH(399,'Output Utente'!$R$2:$R$492,0)),"")</f>
        <v/>
      </c>
      <c r="D402" s="26" t="str">
        <f aca="false">IFERROR(INDEX('Output Utente'!$C$2:$C$492,MATCH(399,'Output Utente'!$R$2:$R$492,0)),"")</f>
        <v/>
      </c>
      <c r="E402" s="26" t="str">
        <f aca="false">IFERROR(INDEX('Input Giocatori 2026_27'!$D$3:$D$493,MATCH($B402,'Input Giocatori 2026_27'!$A$3:$A$493,0)),"")</f>
        <v/>
      </c>
      <c r="F402" s="27" t="str">
        <f aca="false">IFERROR(INDEX('Output Utente'!$N$2:$N$492,MATCH(399,'Output Utente'!$R$2:$R$492,0)),"")</f>
        <v/>
      </c>
      <c r="G402" s="26" t="str">
        <f aca="false">IFERROR(INDEX('Output Utente'!$O$2:$O$492,MATCH(399,'Output Utente'!$R$2:$R$492,0)),"")</f>
        <v/>
      </c>
      <c r="H402" s="26" t="str">
        <f aca="false">IFERROR(INDEX('Output Utente'!$P$2:$P$492,MATCH(399,'Output Utente'!$R$2:$R$492,0)),"")</f>
        <v/>
      </c>
      <c r="I402" s="27" t="str">
        <f aca="false">IFERROR(INDEX('Output Utente'!$F$2:$F$492,MATCH(399,'Output Utente'!$R$2:$R$492,0)),"")</f>
        <v/>
      </c>
      <c r="J402" s="27" t="str">
        <f aca="false">IFERROR(INDEX('Output Utente'!$G$2:$G$492,MATCH(399,'Output Utente'!$R$2:$R$492,0)),"")</f>
        <v/>
      </c>
      <c r="K402" s="27" t="str">
        <f aca="false">IFERROR(INDEX('Output Utente'!$H$2:$H$492,MATCH(399,'Output Utente'!$R$2:$R$492,0)),"")</f>
        <v/>
      </c>
      <c r="L402" s="26" t="str">
        <f aca="false">IFERROR(INDEX('Output Utente'!$E$2:$E$492,MATCH(399,'Output Utente'!$R$2:$R$492,0)),"")</f>
        <v/>
      </c>
    </row>
    <row r="403" customFormat="false" ht="15" hidden="false" customHeight="true" outlineLevel="0" collapsed="false">
      <c r="A403" s="29" t="n">
        <v>400</v>
      </c>
      <c r="B403" s="26" t="str">
        <f aca="false">IFERROR(INDEX('Output Utente'!$A$2:$A$492,MATCH(400,'Output Utente'!$R$2:$R$492,0)),"")</f>
        <v/>
      </c>
      <c r="C403" s="26" t="str">
        <f aca="false">IFERROR(INDEX('Output Utente'!$B$2:$B$492,MATCH(400,'Output Utente'!$R$2:$R$492,0)),"")</f>
        <v/>
      </c>
      <c r="D403" s="26" t="str">
        <f aca="false">IFERROR(INDEX('Output Utente'!$C$2:$C$492,MATCH(400,'Output Utente'!$R$2:$R$492,0)),"")</f>
        <v/>
      </c>
      <c r="E403" s="26" t="str">
        <f aca="false">IFERROR(INDEX('Input Giocatori 2026_27'!$D$3:$D$493,MATCH($B403,'Input Giocatori 2026_27'!$A$3:$A$493,0)),"")</f>
        <v/>
      </c>
      <c r="F403" s="27" t="str">
        <f aca="false">IFERROR(INDEX('Output Utente'!$N$2:$N$492,MATCH(400,'Output Utente'!$R$2:$R$492,0)),"")</f>
        <v/>
      </c>
      <c r="G403" s="26" t="str">
        <f aca="false">IFERROR(INDEX('Output Utente'!$O$2:$O$492,MATCH(400,'Output Utente'!$R$2:$R$492,0)),"")</f>
        <v/>
      </c>
      <c r="H403" s="26" t="str">
        <f aca="false">IFERROR(INDEX('Output Utente'!$P$2:$P$492,MATCH(400,'Output Utente'!$R$2:$R$492,0)),"")</f>
        <v/>
      </c>
      <c r="I403" s="27" t="str">
        <f aca="false">IFERROR(INDEX('Output Utente'!$F$2:$F$492,MATCH(400,'Output Utente'!$R$2:$R$492,0)),"")</f>
        <v/>
      </c>
      <c r="J403" s="27" t="str">
        <f aca="false">IFERROR(INDEX('Output Utente'!$G$2:$G$492,MATCH(400,'Output Utente'!$R$2:$R$492,0)),"")</f>
        <v/>
      </c>
      <c r="K403" s="27" t="str">
        <f aca="false">IFERROR(INDEX('Output Utente'!$H$2:$H$492,MATCH(400,'Output Utente'!$R$2:$R$492,0)),"")</f>
        <v/>
      </c>
      <c r="L403" s="26" t="str">
        <f aca="false">IFERROR(INDEX('Output Utente'!$E$2:$E$492,MATCH(400,'Output Utente'!$R$2:$R$492,0)),"")</f>
        <v/>
      </c>
    </row>
    <row r="404" customFormat="false" ht="15" hidden="false" customHeight="true" outlineLevel="0" collapsed="false">
      <c r="A404" s="29" t="n">
        <v>401</v>
      </c>
      <c r="B404" s="26" t="str">
        <f aca="false">IFERROR(INDEX('Output Utente'!$A$2:$A$492,MATCH(401,'Output Utente'!$R$2:$R$492,0)),"")</f>
        <v/>
      </c>
      <c r="C404" s="26" t="str">
        <f aca="false">IFERROR(INDEX('Output Utente'!$B$2:$B$492,MATCH(401,'Output Utente'!$R$2:$R$492,0)),"")</f>
        <v/>
      </c>
      <c r="D404" s="26" t="str">
        <f aca="false">IFERROR(INDEX('Output Utente'!$C$2:$C$492,MATCH(401,'Output Utente'!$R$2:$R$492,0)),"")</f>
        <v/>
      </c>
      <c r="E404" s="26" t="str">
        <f aca="false">IFERROR(INDEX('Input Giocatori 2026_27'!$D$3:$D$493,MATCH($B404,'Input Giocatori 2026_27'!$A$3:$A$493,0)),"")</f>
        <v/>
      </c>
      <c r="F404" s="27" t="str">
        <f aca="false">IFERROR(INDEX('Output Utente'!$N$2:$N$492,MATCH(401,'Output Utente'!$R$2:$R$492,0)),"")</f>
        <v/>
      </c>
      <c r="G404" s="26" t="str">
        <f aca="false">IFERROR(INDEX('Output Utente'!$O$2:$O$492,MATCH(401,'Output Utente'!$R$2:$R$492,0)),"")</f>
        <v/>
      </c>
      <c r="H404" s="26" t="str">
        <f aca="false">IFERROR(INDEX('Output Utente'!$P$2:$P$492,MATCH(401,'Output Utente'!$R$2:$R$492,0)),"")</f>
        <v/>
      </c>
      <c r="I404" s="27" t="str">
        <f aca="false">IFERROR(INDEX('Output Utente'!$F$2:$F$492,MATCH(401,'Output Utente'!$R$2:$R$492,0)),"")</f>
        <v/>
      </c>
      <c r="J404" s="27" t="str">
        <f aca="false">IFERROR(INDEX('Output Utente'!$G$2:$G$492,MATCH(401,'Output Utente'!$R$2:$R$492,0)),"")</f>
        <v/>
      </c>
      <c r="K404" s="27" t="str">
        <f aca="false">IFERROR(INDEX('Output Utente'!$H$2:$H$492,MATCH(401,'Output Utente'!$R$2:$R$492,0)),"")</f>
        <v/>
      </c>
      <c r="L404" s="26" t="str">
        <f aca="false">IFERROR(INDEX('Output Utente'!$E$2:$E$492,MATCH(401,'Output Utente'!$R$2:$R$492,0)),"")</f>
        <v/>
      </c>
    </row>
    <row r="405" customFormat="false" ht="15" hidden="false" customHeight="true" outlineLevel="0" collapsed="false">
      <c r="A405" s="29" t="n">
        <v>402</v>
      </c>
      <c r="B405" s="26" t="str">
        <f aca="false">IFERROR(INDEX('Output Utente'!$A$2:$A$492,MATCH(402,'Output Utente'!$R$2:$R$492,0)),"")</f>
        <v/>
      </c>
      <c r="C405" s="26" t="str">
        <f aca="false">IFERROR(INDEX('Output Utente'!$B$2:$B$492,MATCH(402,'Output Utente'!$R$2:$R$492,0)),"")</f>
        <v/>
      </c>
      <c r="D405" s="26" t="str">
        <f aca="false">IFERROR(INDEX('Output Utente'!$C$2:$C$492,MATCH(402,'Output Utente'!$R$2:$R$492,0)),"")</f>
        <v/>
      </c>
      <c r="E405" s="26" t="str">
        <f aca="false">IFERROR(INDEX('Input Giocatori 2026_27'!$D$3:$D$493,MATCH($B405,'Input Giocatori 2026_27'!$A$3:$A$493,0)),"")</f>
        <v/>
      </c>
      <c r="F405" s="27" t="str">
        <f aca="false">IFERROR(INDEX('Output Utente'!$N$2:$N$492,MATCH(402,'Output Utente'!$R$2:$R$492,0)),"")</f>
        <v/>
      </c>
      <c r="G405" s="26" t="str">
        <f aca="false">IFERROR(INDEX('Output Utente'!$O$2:$O$492,MATCH(402,'Output Utente'!$R$2:$R$492,0)),"")</f>
        <v/>
      </c>
      <c r="H405" s="26" t="str">
        <f aca="false">IFERROR(INDEX('Output Utente'!$P$2:$P$492,MATCH(402,'Output Utente'!$R$2:$R$492,0)),"")</f>
        <v/>
      </c>
      <c r="I405" s="27" t="str">
        <f aca="false">IFERROR(INDEX('Output Utente'!$F$2:$F$492,MATCH(402,'Output Utente'!$R$2:$R$492,0)),"")</f>
        <v/>
      </c>
      <c r="J405" s="27" t="str">
        <f aca="false">IFERROR(INDEX('Output Utente'!$G$2:$G$492,MATCH(402,'Output Utente'!$R$2:$R$492,0)),"")</f>
        <v/>
      </c>
      <c r="K405" s="27" t="str">
        <f aca="false">IFERROR(INDEX('Output Utente'!$H$2:$H$492,MATCH(402,'Output Utente'!$R$2:$R$492,0)),"")</f>
        <v/>
      </c>
      <c r="L405" s="26" t="str">
        <f aca="false">IFERROR(INDEX('Output Utente'!$E$2:$E$492,MATCH(402,'Output Utente'!$R$2:$R$492,0)),"")</f>
        <v/>
      </c>
    </row>
    <row r="406" customFormat="false" ht="15" hidden="false" customHeight="true" outlineLevel="0" collapsed="false">
      <c r="A406" s="29" t="n">
        <v>403</v>
      </c>
      <c r="B406" s="26" t="str">
        <f aca="false">IFERROR(INDEX('Output Utente'!$A$2:$A$492,MATCH(403,'Output Utente'!$R$2:$R$492,0)),"")</f>
        <v/>
      </c>
      <c r="C406" s="26" t="str">
        <f aca="false">IFERROR(INDEX('Output Utente'!$B$2:$B$492,MATCH(403,'Output Utente'!$R$2:$R$492,0)),"")</f>
        <v/>
      </c>
      <c r="D406" s="26" t="str">
        <f aca="false">IFERROR(INDEX('Output Utente'!$C$2:$C$492,MATCH(403,'Output Utente'!$R$2:$R$492,0)),"")</f>
        <v/>
      </c>
      <c r="E406" s="26" t="str">
        <f aca="false">IFERROR(INDEX('Input Giocatori 2026_27'!$D$3:$D$493,MATCH($B406,'Input Giocatori 2026_27'!$A$3:$A$493,0)),"")</f>
        <v/>
      </c>
      <c r="F406" s="27" t="str">
        <f aca="false">IFERROR(INDEX('Output Utente'!$N$2:$N$492,MATCH(403,'Output Utente'!$R$2:$R$492,0)),"")</f>
        <v/>
      </c>
      <c r="G406" s="26" t="str">
        <f aca="false">IFERROR(INDEX('Output Utente'!$O$2:$O$492,MATCH(403,'Output Utente'!$R$2:$R$492,0)),"")</f>
        <v/>
      </c>
      <c r="H406" s="26" t="str">
        <f aca="false">IFERROR(INDEX('Output Utente'!$P$2:$P$492,MATCH(403,'Output Utente'!$R$2:$R$492,0)),"")</f>
        <v/>
      </c>
      <c r="I406" s="27" t="str">
        <f aca="false">IFERROR(INDEX('Output Utente'!$F$2:$F$492,MATCH(403,'Output Utente'!$R$2:$R$492,0)),"")</f>
        <v/>
      </c>
      <c r="J406" s="27" t="str">
        <f aca="false">IFERROR(INDEX('Output Utente'!$G$2:$G$492,MATCH(403,'Output Utente'!$R$2:$R$492,0)),"")</f>
        <v/>
      </c>
      <c r="K406" s="27" t="str">
        <f aca="false">IFERROR(INDEX('Output Utente'!$H$2:$H$492,MATCH(403,'Output Utente'!$R$2:$R$492,0)),"")</f>
        <v/>
      </c>
      <c r="L406" s="26" t="str">
        <f aca="false">IFERROR(INDEX('Output Utente'!$E$2:$E$492,MATCH(403,'Output Utente'!$R$2:$R$492,0)),"")</f>
        <v/>
      </c>
    </row>
    <row r="407" customFormat="false" ht="15" hidden="false" customHeight="true" outlineLevel="0" collapsed="false">
      <c r="A407" s="29" t="n">
        <v>404</v>
      </c>
      <c r="B407" s="26" t="str">
        <f aca="false">IFERROR(INDEX('Output Utente'!$A$2:$A$492,MATCH(404,'Output Utente'!$R$2:$R$492,0)),"")</f>
        <v/>
      </c>
      <c r="C407" s="26" t="str">
        <f aca="false">IFERROR(INDEX('Output Utente'!$B$2:$B$492,MATCH(404,'Output Utente'!$R$2:$R$492,0)),"")</f>
        <v/>
      </c>
      <c r="D407" s="26" t="str">
        <f aca="false">IFERROR(INDEX('Output Utente'!$C$2:$C$492,MATCH(404,'Output Utente'!$R$2:$R$492,0)),"")</f>
        <v/>
      </c>
      <c r="E407" s="26" t="str">
        <f aca="false">IFERROR(INDEX('Input Giocatori 2026_27'!$D$3:$D$493,MATCH($B407,'Input Giocatori 2026_27'!$A$3:$A$493,0)),"")</f>
        <v/>
      </c>
      <c r="F407" s="27" t="str">
        <f aca="false">IFERROR(INDEX('Output Utente'!$N$2:$N$492,MATCH(404,'Output Utente'!$R$2:$R$492,0)),"")</f>
        <v/>
      </c>
      <c r="G407" s="26" t="str">
        <f aca="false">IFERROR(INDEX('Output Utente'!$O$2:$O$492,MATCH(404,'Output Utente'!$R$2:$R$492,0)),"")</f>
        <v/>
      </c>
      <c r="H407" s="26" t="str">
        <f aca="false">IFERROR(INDEX('Output Utente'!$P$2:$P$492,MATCH(404,'Output Utente'!$R$2:$R$492,0)),"")</f>
        <v/>
      </c>
      <c r="I407" s="27" t="str">
        <f aca="false">IFERROR(INDEX('Output Utente'!$F$2:$F$492,MATCH(404,'Output Utente'!$R$2:$R$492,0)),"")</f>
        <v/>
      </c>
      <c r="J407" s="27" t="str">
        <f aca="false">IFERROR(INDEX('Output Utente'!$G$2:$G$492,MATCH(404,'Output Utente'!$R$2:$R$492,0)),"")</f>
        <v/>
      </c>
      <c r="K407" s="27" t="str">
        <f aca="false">IFERROR(INDEX('Output Utente'!$H$2:$H$492,MATCH(404,'Output Utente'!$R$2:$R$492,0)),"")</f>
        <v/>
      </c>
      <c r="L407" s="26" t="str">
        <f aca="false">IFERROR(INDEX('Output Utente'!$E$2:$E$492,MATCH(404,'Output Utente'!$R$2:$R$492,0)),"")</f>
        <v/>
      </c>
    </row>
    <row r="408" customFormat="false" ht="15" hidden="false" customHeight="true" outlineLevel="0" collapsed="false">
      <c r="A408" s="29" t="n">
        <v>405</v>
      </c>
      <c r="B408" s="26" t="str">
        <f aca="false">IFERROR(INDEX('Output Utente'!$A$2:$A$492,MATCH(405,'Output Utente'!$R$2:$R$492,0)),"")</f>
        <v/>
      </c>
      <c r="C408" s="26" t="str">
        <f aca="false">IFERROR(INDEX('Output Utente'!$B$2:$B$492,MATCH(405,'Output Utente'!$R$2:$R$492,0)),"")</f>
        <v/>
      </c>
      <c r="D408" s="26" t="str">
        <f aca="false">IFERROR(INDEX('Output Utente'!$C$2:$C$492,MATCH(405,'Output Utente'!$R$2:$R$492,0)),"")</f>
        <v/>
      </c>
      <c r="E408" s="26" t="str">
        <f aca="false">IFERROR(INDEX('Input Giocatori 2026_27'!$D$3:$D$493,MATCH($B408,'Input Giocatori 2026_27'!$A$3:$A$493,0)),"")</f>
        <v/>
      </c>
      <c r="F408" s="27" t="str">
        <f aca="false">IFERROR(INDEX('Output Utente'!$N$2:$N$492,MATCH(405,'Output Utente'!$R$2:$R$492,0)),"")</f>
        <v/>
      </c>
      <c r="G408" s="26" t="str">
        <f aca="false">IFERROR(INDEX('Output Utente'!$O$2:$O$492,MATCH(405,'Output Utente'!$R$2:$R$492,0)),"")</f>
        <v/>
      </c>
      <c r="H408" s="26" t="str">
        <f aca="false">IFERROR(INDEX('Output Utente'!$P$2:$P$492,MATCH(405,'Output Utente'!$R$2:$R$492,0)),"")</f>
        <v/>
      </c>
      <c r="I408" s="27" t="str">
        <f aca="false">IFERROR(INDEX('Output Utente'!$F$2:$F$492,MATCH(405,'Output Utente'!$R$2:$R$492,0)),"")</f>
        <v/>
      </c>
      <c r="J408" s="27" t="str">
        <f aca="false">IFERROR(INDEX('Output Utente'!$G$2:$G$492,MATCH(405,'Output Utente'!$R$2:$R$492,0)),"")</f>
        <v/>
      </c>
      <c r="K408" s="27" t="str">
        <f aca="false">IFERROR(INDEX('Output Utente'!$H$2:$H$492,MATCH(405,'Output Utente'!$R$2:$R$492,0)),"")</f>
        <v/>
      </c>
      <c r="L408" s="26" t="str">
        <f aca="false">IFERROR(INDEX('Output Utente'!$E$2:$E$492,MATCH(405,'Output Utente'!$R$2:$R$492,0)),"")</f>
        <v/>
      </c>
    </row>
    <row r="409" customFormat="false" ht="15" hidden="false" customHeight="true" outlineLevel="0" collapsed="false">
      <c r="A409" s="29" t="n">
        <v>406</v>
      </c>
      <c r="B409" s="26" t="str">
        <f aca="false">IFERROR(INDEX('Output Utente'!$A$2:$A$492,MATCH(406,'Output Utente'!$R$2:$R$492,0)),"")</f>
        <v/>
      </c>
      <c r="C409" s="26" t="str">
        <f aca="false">IFERROR(INDEX('Output Utente'!$B$2:$B$492,MATCH(406,'Output Utente'!$R$2:$R$492,0)),"")</f>
        <v/>
      </c>
      <c r="D409" s="26" t="str">
        <f aca="false">IFERROR(INDEX('Output Utente'!$C$2:$C$492,MATCH(406,'Output Utente'!$R$2:$R$492,0)),"")</f>
        <v/>
      </c>
      <c r="E409" s="26" t="str">
        <f aca="false">IFERROR(INDEX('Input Giocatori 2026_27'!$D$3:$D$493,MATCH($B409,'Input Giocatori 2026_27'!$A$3:$A$493,0)),"")</f>
        <v/>
      </c>
      <c r="F409" s="27" t="str">
        <f aca="false">IFERROR(INDEX('Output Utente'!$N$2:$N$492,MATCH(406,'Output Utente'!$R$2:$R$492,0)),"")</f>
        <v/>
      </c>
      <c r="G409" s="26" t="str">
        <f aca="false">IFERROR(INDEX('Output Utente'!$O$2:$O$492,MATCH(406,'Output Utente'!$R$2:$R$492,0)),"")</f>
        <v/>
      </c>
      <c r="H409" s="26" t="str">
        <f aca="false">IFERROR(INDEX('Output Utente'!$P$2:$P$492,MATCH(406,'Output Utente'!$R$2:$R$492,0)),"")</f>
        <v/>
      </c>
      <c r="I409" s="27" t="str">
        <f aca="false">IFERROR(INDEX('Output Utente'!$F$2:$F$492,MATCH(406,'Output Utente'!$R$2:$R$492,0)),"")</f>
        <v/>
      </c>
      <c r="J409" s="27" t="str">
        <f aca="false">IFERROR(INDEX('Output Utente'!$G$2:$G$492,MATCH(406,'Output Utente'!$R$2:$R$492,0)),"")</f>
        <v/>
      </c>
      <c r="K409" s="27" t="str">
        <f aca="false">IFERROR(INDEX('Output Utente'!$H$2:$H$492,MATCH(406,'Output Utente'!$R$2:$R$492,0)),"")</f>
        <v/>
      </c>
      <c r="L409" s="26" t="str">
        <f aca="false">IFERROR(INDEX('Output Utente'!$E$2:$E$492,MATCH(406,'Output Utente'!$R$2:$R$492,0)),"")</f>
        <v/>
      </c>
    </row>
    <row r="410" customFormat="false" ht="15" hidden="false" customHeight="true" outlineLevel="0" collapsed="false">
      <c r="A410" s="29" t="n">
        <v>407</v>
      </c>
      <c r="B410" s="26" t="str">
        <f aca="false">IFERROR(INDEX('Output Utente'!$A$2:$A$492,MATCH(407,'Output Utente'!$R$2:$R$492,0)),"")</f>
        <v/>
      </c>
      <c r="C410" s="26" t="str">
        <f aca="false">IFERROR(INDEX('Output Utente'!$B$2:$B$492,MATCH(407,'Output Utente'!$R$2:$R$492,0)),"")</f>
        <v/>
      </c>
      <c r="D410" s="26" t="str">
        <f aca="false">IFERROR(INDEX('Output Utente'!$C$2:$C$492,MATCH(407,'Output Utente'!$R$2:$R$492,0)),"")</f>
        <v/>
      </c>
      <c r="E410" s="26" t="str">
        <f aca="false">IFERROR(INDEX('Input Giocatori 2026_27'!$D$3:$D$493,MATCH($B410,'Input Giocatori 2026_27'!$A$3:$A$493,0)),"")</f>
        <v/>
      </c>
      <c r="F410" s="27" t="str">
        <f aca="false">IFERROR(INDEX('Output Utente'!$N$2:$N$492,MATCH(407,'Output Utente'!$R$2:$R$492,0)),"")</f>
        <v/>
      </c>
      <c r="G410" s="26" t="str">
        <f aca="false">IFERROR(INDEX('Output Utente'!$O$2:$O$492,MATCH(407,'Output Utente'!$R$2:$R$492,0)),"")</f>
        <v/>
      </c>
      <c r="H410" s="26" t="str">
        <f aca="false">IFERROR(INDEX('Output Utente'!$P$2:$P$492,MATCH(407,'Output Utente'!$R$2:$R$492,0)),"")</f>
        <v/>
      </c>
      <c r="I410" s="27" t="str">
        <f aca="false">IFERROR(INDEX('Output Utente'!$F$2:$F$492,MATCH(407,'Output Utente'!$R$2:$R$492,0)),"")</f>
        <v/>
      </c>
      <c r="J410" s="27" t="str">
        <f aca="false">IFERROR(INDEX('Output Utente'!$G$2:$G$492,MATCH(407,'Output Utente'!$R$2:$R$492,0)),"")</f>
        <v/>
      </c>
      <c r="K410" s="27" t="str">
        <f aca="false">IFERROR(INDEX('Output Utente'!$H$2:$H$492,MATCH(407,'Output Utente'!$R$2:$R$492,0)),"")</f>
        <v/>
      </c>
      <c r="L410" s="26" t="str">
        <f aca="false">IFERROR(INDEX('Output Utente'!$E$2:$E$492,MATCH(407,'Output Utente'!$R$2:$R$492,0)),"")</f>
        <v/>
      </c>
    </row>
    <row r="411" customFormat="false" ht="15" hidden="false" customHeight="true" outlineLevel="0" collapsed="false">
      <c r="A411" s="29" t="n">
        <v>408</v>
      </c>
      <c r="B411" s="26" t="str">
        <f aca="false">IFERROR(INDEX('Output Utente'!$A$2:$A$492,MATCH(408,'Output Utente'!$R$2:$R$492,0)),"")</f>
        <v/>
      </c>
      <c r="C411" s="26" t="str">
        <f aca="false">IFERROR(INDEX('Output Utente'!$B$2:$B$492,MATCH(408,'Output Utente'!$R$2:$R$492,0)),"")</f>
        <v/>
      </c>
      <c r="D411" s="26" t="str">
        <f aca="false">IFERROR(INDEX('Output Utente'!$C$2:$C$492,MATCH(408,'Output Utente'!$R$2:$R$492,0)),"")</f>
        <v/>
      </c>
      <c r="E411" s="26" t="str">
        <f aca="false">IFERROR(INDEX('Input Giocatori 2026_27'!$D$3:$D$493,MATCH($B411,'Input Giocatori 2026_27'!$A$3:$A$493,0)),"")</f>
        <v/>
      </c>
      <c r="F411" s="27" t="str">
        <f aca="false">IFERROR(INDEX('Output Utente'!$N$2:$N$492,MATCH(408,'Output Utente'!$R$2:$R$492,0)),"")</f>
        <v/>
      </c>
      <c r="G411" s="26" t="str">
        <f aca="false">IFERROR(INDEX('Output Utente'!$O$2:$O$492,MATCH(408,'Output Utente'!$R$2:$R$492,0)),"")</f>
        <v/>
      </c>
      <c r="H411" s="26" t="str">
        <f aca="false">IFERROR(INDEX('Output Utente'!$P$2:$P$492,MATCH(408,'Output Utente'!$R$2:$R$492,0)),"")</f>
        <v/>
      </c>
      <c r="I411" s="27" t="str">
        <f aca="false">IFERROR(INDEX('Output Utente'!$F$2:$F$492,MATCH(408,'Output Utente'!$R$2:$R$492,0)),"")</f>
        <v/>
      </c>
      <c r="J411" s="27" t="str">
        <f aca="false">IFERROR(INDEX('Output Utente'!$G$2:$G$492,MATCH(408,'Output Utente'!$R$2:$R$492,0)),"")</f>
        <v/>
      </c>
      <c r="K411" s="27" t="str">
        <f aca="false">IFERROR(INDEX('Output Utente'!$H$2:$H$492,MATCH(408,'Output Utente'!$R$2:$R$492,0)),"")</f>
        <v/>
      </c>
      <c r="L411" s="26" t="str">
        <f aca="false">IFERROR(INDEX('Output Utente'!$E$2:$E$492,MATCH(408,'Output Utente'!$R$2:$R$492,0)),"")</f>
        <v/>
      </c>
    </row>
    <row r="412" customFormat="false" ht="15" hidden="false" customHeight="true" outlineLevel="0" collapsed="false">
      <c r="A412" s="29" t="n">
        <v>409</v>
      </c>
      <c r="B412" s="26" t="str">
        <f aca="false">IFERROR(INDEX('Output Utente'!$A$2:$A$492,MATCH(409,'Output Utente'!$R$2:$R$492,0)),"")</f>
        <v/>
      </c>
      <c r="C412" s="26" t="str">
        <f aca="false">IFERROR(INDEX('Output Utente'!$B$2:$B$492,MATCH(409,'Output Utente'!$R$2:$R$492,0)),"")</f>
        <v/>
      </c>
      <c r="D412" s="26" t="str">
        <f aca="false">IFERROR(INDEX('Output Utente'!$C$2:$C$492,MATCH(409,'Output Utente'!$R$2:$R$492,0)),"")</f>
        <v/>
      </c>
      <c r="E412" s="26" t="str">
        <f aca="false">IFERROR(INDEX('Input Giocatori 2026_27'!$D$3:$D$493,MATCH($B412,'Input Giocatori 2026_27'!$A$3:$A$493,0)),"")</f>
        <v/>
      </c>
      <c r="F412" s="27" t="str">
        <f aca="false">IFERROR(INDEX('Output Utente'!$N$2:$N$492,MATCH(409,'Output Utente'!$R$2:$R$492,0)),"")</f>
        <v/>
      </c>
      <c r="G412" s="26" t="str">
        <f aca="false">IFERROR(INDEX('Output Utente'!$O$2:$O$492,MATCH(409,'Output Utente'!$R$2:$R$492,0)),"")</f>
        <v/>
      </c>
      <c r="H412" s="26" t="str">
        <f aca="false">IFERROR(INDEX('Output Utente'!$P$2:$P$492,MATCH(409,'Output Utente'!$R$2:$R$492,0)),"")</f>
        <v/>
      </c>
      <c r="I412" s="27" t="str">
        <f aca="false">IFERROR(INDEX('Output Utente'!$F$2:$F$492,MATCH(409,'Output Utente'!$R$2:$R$492,0)),"")</f>
        <v/>
      </c>
      <c r="J412" s="27" t="str">
        <f aca="false">IFERROR(INDEX('Output Utente'!$G$2:$G$492,MATCH(409,'Output Utente'!$R$2:$R$492,0)),"")</f>
        <v/>
      </c>
      <c r="K412" s="27" t="str">
        <f aca="false">IFERROR(INDEX('Output Utente'!$H$2:$H$492,MATCH(409,'Output Utente'!$R$2:$R$492,0)),"")</f>
        <v/>
      </c>
      <c r="L412" s="26" t="str">
        <f aca="false">IFERROR(INDEX('Output Utente'!$E$2:$E$492,MATCH(409,'Output Utente'!$R$2:$R$492,0)),"")</f>
        <v/>
      </c>
    </row>
    <row r="413" customFormat="false" ht="15" hidden="false" customHeight="true" outlineLevel="0" collapsed="false">
      <c r="A413" s="29" t="n">
        <v>410</v>
      </c>
      <c r="B413" s="26" t="str">
        <f aca="false">IFERROR(INDEX('Output Utente'!$A$2:$A$492,MATCH(410,'Output Utente'!$R$2:$R$492,0)),"")</f>
        <v/>
      </c>
      <c r="C413" s="26" t="str">
        <f aca="false">IFERROR(INDEX('Output Utente'!$B$2:$B$492,MATCH(410,'Output Utente'!$R$2:$R$492,0)),"")</f>
        <v/>
      </c>
      <c r="D413" s="26" t="str">
        <f aca="false">IFERROR(INDEX('Output Utente'!$C$2:$C$492,MATCH(410,'Output Utente'!$R$2:$R$492,0)),"")</f>
        <v/>
      </c>
      <c r="E413" s="26" t="str">
        <f aca="false">IFERROR(INDEX('Input Giocatori 2026_27'!$D$3:$D$493,MATCH($B413,'Input Giocatori 2026_27'!$A$3:$A$493,0)),"")</f>
        <v/>
      </c>
      <c r="F413" s="27" t="str">
        <f aca="false">IFERROR(INDEX('Output Utente'!$N$2:$N$492,MATCH(410,'Output Utente'!$R$2:$R$492,0)),"")</f>
        <v/>
      </c>
      <c r="G413" s="26" t="str">
        <f aca="false">IFERROR(INDEX('Output Utente'!$O$2:$O$492,MATCH(410,'Output Utente'!$R$2:$R$492,0)),"")</f>
        <v/>
      </c>
      <c r="H413" s="26" t="str">
        <f aca="false">IFERROR(INDEX('Output Utente'!$P$2:$P$492,MATCH(410,'Output Utente'!$R$2:$R$492,0)),"")</f>
        <v/>
      </c>
      <c r="I413" s="27" t="str">
        <f aca="false">IFERROR(INDEX('Output Utente'!$F$2:$F$492,MATCH(410,'Output Utente'!$R$2:$R$492,0)),"")</f>
        <v/>
      </c>
      <c r="J413" s="27" t="str">
        <f aca="false">IFERROR(INDEX('Output Utente'!$G$2:$G$492,MATCH(410,'Output Utente'!$R$2:$R$492,0)),"")</f>
        <v/>
      </c>
      <c r="K413" s="27" t="str">
        <f aca="false">IFERROR(INDEX('Output Utente'!$H$2:$H$492,MATCH(410,'Output Utente'!$R$2:$R$492,0)),"")</f>
        <v/>
      </c>
      <c r="L413" s="26" t="str">
        <f aca="false">IFERROR(INDEX('Output Utente'!$E$2:$E$492,MATCH(410,'Output Utente'!$R$2:$R$492,0)),"")</f>
        <v/>
      </c>
    </row>
    <row r="414" customFormat="false" ht="15" hidden="false" customHeight="true" outlineLevel="0" collapsed="false">
      <c r="A414" s="29" t="n">
        <v>411</v>
      </c>
      <c r="B414" s="26" t="str">
        <f aca="false">IFERROR(INDEX('Output Utente'!$A$2:$A$492,MATCH(411,'Output Utente'!$R$2:$R$492,0)),"")</f>
        <v/>
      </c>
      <c r="C414" s="26" t="str">
        <f aca="false">IFERROR(INDEX('Output Utente'!$B$2:$B$492,MATCH(411,'Output Utente'!$R$2:$R$492,0)),"")</f>
        <v/>
      </c>
      <c r="D414" s="26" t="str">
        <f aca="false">IFERROR(INDEX('Output Utente'!$C$2:$C$492,MATCH(411,'Output Utente'!$R$2:$R$492,0)),"")</f>
        <v/>
      </c>
      <c r="E414" s="26" t="str">
        <f aca="false">IFERROR(INDEX('Input Giocatori 2026_27'!$D$3:$D$493,MATCH($B414,'Input Giocatori 2026_27'!$A$3:$A$493,0)),"")</f>
        <v/>
      </c>
      <c r="F414" s="27" t="str">
        <f aca="false">IFERROR(INDEX('Output Utente'!$N$2:$N$492,MATCH(411,'Output Utente'!$R$2:$R$492,0)),"")</f>
        <v/>
      </c>
      <c r="G414" s="26" t="str">
        <f aca="false">IFERROR(INDEX('Output Utente'!$O$2:$O$492,MATCH(411,'Output Utente'!$R$2:$R$492,0)),"")</f>
        <v/>
      </c>
      <c r="H414" s="26" t="str">
        <f aca="false">IFERROR(INDEX('Output Utente'!$P$2:$P$492,MATCH(411,'Output Utente'!$R$2:$R$492,0)),"")</f>
        <v/>
      </c>
      <c r="I414" s="27" t="str">
        <f aca="false">IFERROR(INDEX('Output Utente'!$F$2:$F$492,MATCH(411,'Output Utente'!$R$2:$R$492,0)),"")</f>
        <v/>
      </c>
      <c r="J414" s="27" t="str">
        <f aca="false">IFERROR(INDEX('Output Utente'!$G$2:$G$492,MATCH(411,'Output Utente'!$R$2:$R$492,0)),"")</f>
        <v/>
      </c>
      <c r="K414" s="27" t="str">
        <f aca="false">IFERROR(INDEX('Output Utente'!$H$2:$H$492,MATCH(411,'Output Utente'!$R$2:$R$492,0)),"")</f>
        <v/>
      </c>
      <c r="L414" s="26" t="str">
        <f aca="false">IFERROR(INDEX('Output Utente'!$E$2:$E$492,MATCH(411,'Output Utente'!$R$2:$R$492,0)),"")</f>
        <v/>
      </c>
    </row>
    <row r="415" customFormat="false" ht="15" hidden="false" customHeight="true" outlineLevel="0" collapsed="false">
      <c r="A415" s="29" t="n">
        <v>412</v>
      </c>
      <c r="B415" s="26" t="str">
        <f aca="false">IFERROR(INDEX('Output Utente'!$A$2:$A$492,MATCH(412,'Output Utente'!$R$2:$R$492,0)),"")</f>
        <v/>
      </c>
      <c r="C415" s="26" t="str">
        <f aca="false">IFERROR(INDEX('Output Utente'!$B$2:$B$492,MATCH(412,'Output Utente'!$R$2:$R$492,0)),"")</f>
        <v/>
      </c>
      <c r="D415" s="26" t="str">
        <f aca="false">IFERROR(INDEX('Output Utente'!$C$2:$C$492,MATCH(412,'Output Utente'!$R$2:$R$492,0)),"")</f>
        <v/>
      </c>
      <c r="E415" s="26" t="str">
        <f aca="false">IFERROR(INDEX('Input Giocatori 2026_27'!$D$3:$D$493,MATCH($B415,'Input Giocatori 2026_27'!$A$3:$A$493,0)),"")</f>
        <v/>
      </c>
      <c r="F415" s="27" t="str">
        <f aca="false">IFERROR(INDEX('Output Utente'!$N$2:$N$492,MATCH(412,'Output Utente'!$R$2:$R$492,0)),"")</f>
        <v/>
      </c>
      <c r="G415" s="26" t="str">
        <f aca="false">IFERROR(INDEX('Output Utente'!$O$2:$O$492,MATCH(412,'Output Utente'!$R$2:$R$492,0)),"")</f>
        <v/>
      </c>
      <c r="H415" s="26" t="str">
        <f aca="false">IFERROR(INDEX('Output Utente'!$P$2:$P$492,MATCH(412,'Output Utente'!$R$2:$R$492,0)),"")</f>
        <v/>
      </c>
      <c r="I415" s="27" t="str">
        <f aca="false">IFERROR(INDEX('Output Utente'!$F$2:$F$492,MATCH(412,'Output Utente'!$R$2:$R$492,0)),"")</f>
        <v/>
      </c>
      <c r="J415" s="27" t="str">
        <f aca="false">IFERROR(INDEX('Output Utente'!$G$2:$G$492,MATCH(412,'Output Utente'!$R$2:$R$492,0)),"")</f>
        <v/>
      </c>
      <c r="K415" s="27" t="str">
        <f aca="false">IFERROR(INDEX('Output Utente'!$H$2:$H$492,MATCH(412,'Output Utente'!$R$2:$R$492,0)),"")</f>
        <v/>
      </c>
      <c r="L415" s="26" t="str">
        <f aca="false">IFERROR(INDEX('Output Utente'!$E$2:$E$492,MATCH(412,'Output Utente'!$R$2:$R$492,0)),"")</f>
        <v/>
      </c>
    </row>
    <row r="416" customFormat="false" ht="15" hidden="false" customHeight="true" outlineLevel="0" collapsed="false">
      <c r="A416" s="29" t="n">
        <v>413</v>
      </c>
      <c r="B416" s="26" t="str">
        <f aca="false">IFERROR(INDEX('Output Utente'!$A$2:$A$492,MATCH(413,'Output Utente'!$R$2:$R$492,0)),"")</f>
        <v/>
      </c>
      <c r="C416" s="26" t="str">
        <f aca="false">IFERROR(INDEX('Output Utente'!$B$2:$B$492,MATCH(413,'Output Utente'!$R$2:$R$492,0)),"")</f>
        <v/>
      </c>
      <c r="D416" s="26" t="str">
        <f aca="false">IFERROR(INDEX('Output Utente'!$C$2:$C$492,MATCH(413,'Output Utente'!$R$2:$R$492,0)),"")</f>
        <v/>
      </c>
      <c r="E416" s="26" t="str">
        <f aca="false">IFERROR(INDEX('Input Giocatori 2026_27'!$D$3:$D$493,MATCH($B416,'Input Giocatori 2026_27'!$A$3:$A$493,0)),"")</f>
        <v/>
      </c>
      <c r="F416" s="27" t="str">
        <f aca="false">IFERROR(INDEX('Output Utente'!$N$2:$N$492,MATCH(413,'Output Utente'!$R$2:$R$492,0)),"")</f>
        <v/>
      </c>
      <c r="G416" s="26" t="str">
        <f aca="false">IFERROR(INDEX('Output Utente'!$O$2:$O$492,MATCH(413,'Output Utente'!$R$2:$R$492,0)),"")</f>
        <v/>
      </c>
      <c r="H416" s="26" t="str">
        <f aca="false">IFERROR(INDEX('Output Utente'!$P$2:$P$492,MATCH(413,'Output Utente'!$R$2:$R$492,0)),"")</f>
        <v/>
      </c>
      <c r="I416" s="27" t="str">
        <f aca="false">IFERROR(INDEX('Output Utente'!$F$2:$F$492,MATCH(413,'Output Utente'!$R$2:$R$492,0)),"")</f>
        <v/>
      </c>
      <c r="J416" s="27" t="str">
        <f aca="false">IFERROR(INDEX('Output Utente'!$G$2:$G$492,MATCH(413,'Output Utente'!$R$2:$R$492,0)),"")</f>
        <v/>
      </c>
      <c r="K416" s="27" t="str">
        <f aca="false">IFERROR(INDEX('Output Utente'!$H$2:$H$492,MATCH(413,'Output Utente'!$R$2:$R$492,0)),"")</f>
        <v/>
      </c>
      <c r="L416" s="26" t="str">
        <f aca="false">IFERROR(INDEX('Output Utente'!$E$2:$E$492,MATCH(413,'Output Utente'!$R$2:$R$492,0)),"")</f>
        <v/>
      </c>
    </row>
    <row r="417" customFormat="false" ht="15" hidden="false" customHeight="true" outlineLevel="0" collapsed="false">
      <c r="A417" s="29" t="n">
        <v>414</v>
      </c>
      <c r="B417" s="26" t="str">
        <f aca="false">IFERROR(INDEX('Output Utente'!$A$2:$A$492,MATCH(414,'Output Utente'!$R$2:$R$492,0)),"")</f>
        <v/>
      </c>
      <c r="C417" s="26" t="str">
        <f aca="false">IFERROR(INDEX('Output Utente'!$B$2:$B$492,MATCH(414,'Output Utente'!$R$2:$R$492,0)),"")</f>
        <v/>
      </c>
      <c r="D417" s="26" t="str">
        <f aca="false">IFERROR(INDEX('Output Utente'!$C$2:$C$492,MATCH(414,'Output Utente'!$R$2:$R$492,0)),"")</f>
        <v/>
      </c>
      <c r="E417" s="26" t="str">
        <f aca="false">IFERROR(INDEX('Input Giocatori 2026_27'!$D$3:$D$493,MATCH($B417,'Input Giocatori 2026_27'!$A$3:$A$493,0)),"")</f>
        <v/>
      </c>
      <c r="F417" s="27" t="str">
        <f aca="false">IFERROR(INDEX('Output Utente'!$N$2:$N$492,MATCH(414,'Output Utente'!$R$2:$R$492,0)),"")</f>
        <v/>
      </c>
      <c r="G417" s="26" t="str">
        <f aca="false">IFERROR(INDEX('Output Utente'!$O$2:$O$492,MATCH(414,'Output Utente'!$R$2:$R$492,0)),"")</f>
        <v/>
      </c>
      <c r="H417" s="26" t="str">
        <f aca="false">IFERROR(INDEX('Output Utente'!$P$2:$P$492,MATCH(414,'Output Utente'!$R$2:$R$492,0)),"")</f>
        <v/>
      </c>
      <c r="I417" s="27" t="str">
        <f aca="false">IFERROR(INDEX('Output Utente'!$F$2:$F$492,MATCH(414,'Output Utente'!$R$2:$R$492,0)),"")</f>
        <v/>
      </c>
      <c r="J417" s="27" t="str">
        <f aca="false">IFERROR(INDEX('Output Utente'!$G$2:$G$492,MATCH(414,'Output Utente'!$R$2:$R$492,0)),"")</f>
        <v/>
      </c>
      <c r="K417" s="27" t="str">
        <f aca="false">IFERROR(INDEX('Output Utente'!$H$2:$H$492,MATCH(414,'Output Utente'!$R$2:$R$492,0)),"")</f>
        <v/>
      </c>
      <c r="L417" s="26" t="str">
        <f aca="false">IFERROR(INDEX('Output Utente'!$E$2:$E$492,MATCH(414,'Output Utente'!$R$2:$R$492,0)),"")</f>
        <v/>
      </c>
    </row>
    <row r="418" customFormat="false" ht="15" hidden="false" customHeight="true" outlineLevel="0" collapsed="false">
      <c r="A418" s="29" t="n">
        <v>415</v>
      </c>
      <c r="B418" s="26" t="str">
        <f aca="false">IFERROR(INDEX('Output Utente'!$A$2:$A$492,MATCH(415,'Output Utente'!$R$2:$R$492,0)),"")</f>
        <v/>
      </c>
      <c r="C418" s="26" t="str">
        <f aca="false">IFERROR(INDEX('Output Utente'!$B$2:$B$492,MATCH(415,'Output Utente'!$R$2:$R$492,0)),"")</f>
        <v/>
      </c>
      <c r="D418" s="26" t="str">
        <f aca="false">IFERROR(INDEX('Output Utente'!$C$2:$C$492,MATCH(415,'Output Utente'!$R$2:$R$492,0)),"")</f>
        <v/>
      </c>
      <c r="E418" s="26" t="str">
        <f aca="false">IFERROR(INDEX('Input Giocatori 2026_27'!$D$3:$D$493,MATCH($B418,'Input Giocatori 2026_27'!$A$3:$A$493,0)),"")</f>
        <v/>
      </c>
      <c r="F418" s="27" t="str">
        <f aca="false">IFERROR(INDEX('Output Utente'!$N$2:$N$492,MATCH(415,'Output Utente'!$R$2:$R$492,0)),"")</f>
        <v/>
      </c>
      <c r="G418" s="26" t="str">
        <f aca="false">IFERROR(INDEX('Output Utente'!$O$2:$O$492,MATCH(415,'Output Utente'!$R$2:$R$492,0)),"")</f>
        <v/>
      </c>
      <c r="H418" s="26" t="str">
        <f aca="false">IFERROR(INDEX('Output Utente'!$P$2:$P$492,MATCH(415,'Output Utente'!$R$2:$R$492,0)),"")</f>
        <v/>
      </c>
      <c r="I418" s="27" t="str">
        <f aca="false">IFERROR(INDEX('Output Utente'!$F$2:$F$492,MATCH(415,'Output Utente'!$R$2:$R$492,0)),"")</f>
        <v/>
      </c>
      <c r="J418" s="27" t="str">
        <f aca="false">IFERROR(INDEX('Output Utente'!$G$2:$G$492,MATCH(415,'Output Utente'!$R$2:$R$492,0)),"")</f>
        <v/>
      </c>
      <c r="K418" s="27" t="str">
        <f aca="false">IFERROR(INDEX('Output Utente'!$H$2:$H$492,MATCH(415,'Output Utente'!$R$2:$R$492,0)),"")</f>
        <v/>
      </c>
      <c r="L418" s="26" t="str">
        <f aca="false">IFERROR(INDEX('Output Utente'!$E$2:$E$492,MATCH(415,'Output Utente'!$R$2:$R$492,0)),"")</f>
        <v/>
      </c>
    </row>
    <row r="419" customFormat="false" ht="15" hidden="false" customHeight="true" outlineLevel="0" collapsed="false">
      <c r="A419" s="29" t="n">
        <v>416</v>
      </c>
      <c r="B419" s="26" t="str">
        <f aca="false">IFERROR(INDEX('Output Utente'!$A$2:$A$492,MATCH(416,'Output Utente'!$R$2:$R$492,0)),"")</f>
        <v/>
      </c>
      <c r="C419" s="26" t="str">
        <f aca="false">IFERROR(INDEX('Output Utente'!$B$2:$B$492,MATCH(416,'Output Utente'!$R$2:$R$492,0)),"")</f>
        <v/>
      </c>
      <c r="D419" s="26" t="str">
        <f aca="false">IFERROR(INDEX('Output Utente'!$C$2:$C$492,MATCH(416,'Output Utente'!$R$2:$R$492,0)),"")</f>
        <v/>
      </c>
      <c r="E419" s="26" t="str">
        <f aca="false">IFERROR(INDEX('Input Giocatori 2026_27'!$D$3:$D$493,MATCH($B419,'Input Giocatori 2026_27'!$A$3:$A$493,0)),"")</f>
        <v/>
      </c>
      <c r="F419" s="27" t="str">
        <f aca="false">IFERROR(INDEX('Output Utente'!$N$2:$N$492,MATCH(416,'Output Utente'!$R$2:$R$492,0)),"")</f>
        <v/>
      </c>
      <c r="G419" s="26" t="str">
        <f aca="false">IFERROR(INDEX('Output Utente'!$O$2:$O$492,MATCH(416,'Output Utente'!$R$2:$R$492,0)),"")</f>
        <v/>
      </c>
      <c r="H419" s="26" t="str">
        <f aca="false">IFERROR(INDEX('Output Utente'!$P$2:$P$492,MATCH(416,'Output Utente'!$R$2:$R$492,0)),"")</f>
        <v/>
      </c>
      <c r="I419" s="27" t="str">
        <f aca="false">IFERROR(INDEX('Output Utente'!$F$2:$F$492,MATCH(416,'Output Utente'!$R$2:$R$492,0)),"")</f>
        <v/>
      </c>
      <c r="J419" s="27" t="str">
        <f aca="false">IFERROR(INDEX('Output Utente'!$G$2:$G$492,MATCH(416,'Output Utente'!$R$2:$R$492,0)),"")</f>
        <v/>
      </c>
      <c r="K419" s="27" t="str">
        <f aca="false">IFERROR(INDEX('Output Utente'!$H$2:$H$492,MATCH(416,'Output Utente'!$R$2:$R$492,0)),"")</f>
        <v/>
      </c>
      <c r="L419" s="26" t="str">
        <f aca="false">IFERROR(INDEX('Output Utente'!$E$2:$E$492,MATCH(416,'Output Utente'!$R$2:$R$492,0)),"")</f>
        <v/>
      </c>
    </row>
    <row r="420" customFormat="false" ht="15" hidden="false" customHeight="true" outlineLevel="0" collapsed="false">
      <c r="A420" s="29" t="n">
        <v>417</v>
      </c>
      <c r="B420" s="26" t="str">
        <f aca="false">IFERROR(INDEX('Output Utente'!$A$2:$A$492,MATCH(417,'Output Utente'!$R$2:$R$492,0)),"")</f>
        <v/>
      </c>
      <c r="C420" s="26" t="str">
        <f aca="false">IFERROR(INDEX('Output Utente'!$B$2:$B$492,MATCH(417,'Output Utente'!$R$2:$R$492,0)),"")</f>
        <v/>
      </c>
      <c r="D420" s="26" t="str">
        <f aca="false">IFERROR(INDEX('Output Utente'!$C$2:$C$492,MATCH(417,'Output Utente'!$R$2:$R$492,0)),"")</f>
        <v/>
      </c>
      <c r="E420" s="26" t="str">
        <f aca="false">IFERROR(INDEX('Input Giocatori 2026_27'!$D$3:$D$493,MATCH($B420,'Input Giocatori 2026_27'!$A$3:$A$493,0)),"")</f>
        <v/>
      </c>
      <c r="F420" s="27" t="str">
        <f aca="false">IFERROR(INDEX('Output Utente'!$N$2:$N$492,MATCH(417,'Output Utente'!$R$2:$R$492,0)),"")</f>
        <v/>
      </c>
      <c r="G420" s="26" t="str">
        <f aca="false">IFERROR(INDEX('Output Utente'!$O$2:$O$492,MATCH(417,'Output Utente'!$R$2:$R$492,0)),"")</f>
        <v/>
      </c>
      <c r="H420" s="26" t="str">
        <f aca="false">IFERROR(INDEX('Output Utente'!$P$2:$P$492,MATCH(417,'Output Utente'!$R$2:$R$492,0)),"")</f>
        <v/>
      </c>
      <c r="I420" s="27" t="str">
        <f aca="false">IFERROR(INDEX('Output Utente'!$F$2:$F$492,MATCH(417,'Output Utente'!$R$2:$R$492,0)),"")</f>
        <v/>
      </c>
      <c r="J420" s="27" t="str">
        <f aca="false">IFERROR(INDEX('Output Utente'!$G$2:$G$492,MATCH(417,'Output Utente'!$R$2:$R$492,0)),"")</f>
        <v/>
      </c>
      <c r="K420" s="27" t="str">
        <f aca="false">IFERROR(INDEX('Output Utente'!$H$2:$H$492,MATCH(417,'Output Utente'!$R$2:$R$492,0)),"")</f>
        <v/>
      </c>
      <c r="L420" s="26" t="str">
        <f aca="false">IFERROR(INDEX('Output Utente'!$E$2:$E$492,MATCH(417,'Output Utente'!$R$2:$R$492,0)),"")</f>
        <v/>
      </c>
    </row>
    <row r="421" customFormat="false" ht="15" hidden="false" customHeight="true" outlineLevel="0" collapsed="false">
      <c r="A421" s="29" t="n">
        <v>418</v>
      </c>
      <c r="B421" s="26" t="str">
        <f aca="false">IFERROR(INDEX('Output Utente'!$A$2:$A$492,MATCH(418,'Output Utente'!$R$2:$R$492,0)),"")</f>
        <v/>
      </c>
      <c r="C421" s="26" t="str">
        <f aca="false">IFERROR(INDEX('Output Utente'!$B$2:$B$492,MATCH(418,'Output Utente'!$R$2:$R$492,0)),"")</f>
        <v/>
      </c>
      <c r="D421" s="26" t="str">
        <f aca="false">IFERROR(INDEX('Output Utente'!$C$2:$C$492,MATCH(418,'Output Utente'!$R$2:$R$492,0)),"")</f>
        <v/>
      </c>
      <c r="E421" s="26" t="str">
        <f aca="false">IFERROR(INDEX('Input Giocatori 2026_27'!$D$3:$D$493,MATCH($B421,'Input Giocatori 2026_27'!$A$3:$A$493,0)),"")</f>
        <v/>
      </c>
      <c r="F421" s="27" t="str">
        <f aca="false">IFERROR(INDEX('Output Utente'!$N$2:$N$492,MATCH(418,'Output Utente'!$R$2:$R$492,0)),"")</f>
        <v/>
      </c>
      <c r="G421" s="26" t="str">
        <f aca="false">IFERROR(INDEX('Output Utente'!$O$2:$O$492,MATCH(418,'Output Utente'!$R$2:$R$492,0)),"")</f>
        <v/>
      </c>
      <c r="H421" s="26" t="str">
        <f aca="false">IFERROR(INDEX('Output Utente'!$P$2:$P$492,MATCH(418,'Output Utente'!$R$2:$R$492,0)),"")</f>
        <v/>
      </c>
      <c r="I421" s="27" t="str">
        <f aca="false">IFERROR(INDEX('Output Utente'!$F$2:$F$492,MATCH(418,'Output Utente'!$R$2:$R$492,0)),"")</f>
        <v/>
      </c>
      <c r="J421" s="27" t="str">
        <f aca="false">IFERROR(INDEX('Output Utente'!$G$2:$G$492,MATCH(418,'Output Utente'!$R$2:$R$492,0)),"")</f>
        <v/>
      </c>
      <c r="K421" s="27" t="str">
        <f aca="false">IFERROR(INDEX('Output Utente'!$H$2:$H$492,MATCH(418,'Output Utente'!$R$2:$R$492,0)),"")</f>
        <v/>
      </c>
      <c r="L421" s="26" t="str">
        <f aca="false">IFERROR(INDEX('Output Utente'!$E$2:$E$492,MATCH(418,'Output Utente'!$R$2:$R$492,0)),"")</f>
        <v/>
      </c>
    </row>
    <row r="422" customFormat="false" ht="15" hidden="false" customHeight="true" outlineLevel="0" collapsed="false">
      <c r="A422" s="29" t="n">
        <v>419</v>
      </c>
      <c r="B422" s="26" t="str">
        <f aca="false">IFERROR(INDEX('Output Utente'!$A$2:$A$492,MATCH(419,'Output Utente'!$R$2:$R$492,0)),"")</f>
        <v/>
      </c>
      <c r="C422" s="26" t="str">
        <f aca="false">IFERROR(INDEX('Output Utente'!$B$2:$B$492,MATCH(419,'Output Utente'!$R$2:$R$492,0)),"")</f>
        <v/>
      </c>
      <c r="D422" s="26" t="str">
        <f aca="false">IFERROR(INDEX('Output Utente'!$C$2:$C$492,MATCH(419,'Output Utente'!$R$2:$R$492,0)),"")</f>
        <v/>
      </c>
      <c r="E422" s="26" t="str">
        <f aca="false">IFERROR(INDEX('Input Giocatori 2026_27'!$D$3:$D$493,MATCH($B422,'Input Giocatori 2026_27'!$A$3:$A$493,0)),"")</f>
        <v/>
      </c>
      <c r="F422" s="27" t="str">
        <f aca="false">IFERROR(INDEX('Output Utente'!$N$2:$N$492,MATCH(419,'Output Utente'!$R$2:$R$492,0)),"")</f>
        <v/>
      </c>
      <c r="G422" s="26" t="str">
        <f aca="false">IFERROR(INDEX('Output Utente'!$O$2:$O$492,MATCH(419,'Output Utente'!$R$2:$R$492,0)),"")</f>
        <v/>
      </c>
      <c r="H422" s="26" t="str">
        <f aca="false">IFERROR(INDEX('Output Utente'!$P$2:$P$492,MATCH(419,'Output Utente'!$R$2:$R$492,0)),"")</f>
        <v/>
      </c>
      <c r="I422" s="27" t="str">
        <f aca="false">IFERROR(INDEX('Output Utente'!$F$2:$F$492,MATCH(419,'Output Utente'!$R$2:$R$492,0)),"")</f>
        <v/>
      </c>
      <c r="J422" s="27" t="str">
        <f aca="false">IFERROR(INDEX('Output Utente'!$G$2:$G$492,MATCH(419,'Output Utente'!$R$2:$R$492,0)),"")</f>
        <v/>
      </c>
      <c r="K422" s="27" t="str">
        <f aca="false">IFERROR(INDEX('Output Utente'!$H$2:$H$492,MATCH(419,'Output Utente'!$R$2:$R$492,0)),"")</f>
        <v/>
      </c>
      <c r="L422" s="26" t="str">
        <f aca="false">IFERROR(INDEX('Output Utente'!$E$2:$E$492,MATCH(419,'Output Utente'!$R$2:$R$492,0)),"")</f>
        <v/>
      </c>
    </row>
    <row r="423" customFormat="false" ht="15" hidden="false" customHeight="true" outlineLevel="0" collapsed="false">
      <c r="A423" s="29" t="n">
        <v>420</v>
      </c>
      <c r="B423" s="26" t="str">
        <f aca="false">IFERROR(INDEX('Output Utente'!$A$2:$A$492,MATCH(420,'Output Utente'!$R$2:$R$492,0)),"")</f>
        <v/>
      </c>
      <c r="C423" s="26" t="str">
        <f aca="false">IFERROR(INDEX('Output Utente'!$B$2:$B$492,MATCH(420,'Output Utente'!$R$2:$R$492,0)),"")</f>
        <v/>
      </c>
      <c r="D423" s="26" t="str">
        <f aca="false">IFERROR(INDEX('Output Utente'!$C$2:$C$492,MATCH(420,'Output Utente'!$R$2:$R$492,0)),"")</f>
        <v/>
      </c>
      <c r="E423" s="26" t="str">
        <f aca="false">IFERROR(INDEX('Input Giocatori 2026_27'!$D$3:$D$493,MATCH($B423,'Input Giocatori 2026_27'!$A$3:$A$493,0)),"")</f>
        <v/>
      </c>
      <c r="F423" s="27" t="str">
        <f aca="false">IFERROR(INDEX('Output Utente'!$N$2:$N$492,MATCH(420,'Output Utente'!$R$2:$R$492,0)),"")</f>
        <v/>
      </c>
      <c r="G423" s="26" t="str">
        <f aca="false">IFERROR(INDEX('Output Utente'!$O$2:$O$492,MATCH(420,'Output Utente'!$R$2:$R$492,0)),"")</f>
        <v/>
      </c>
      <c r="H423" s="26" t="str">
        <f aca="false">IFERROR(INDEX('Output Utente'!$P$2:$P$492,MATCH(420,'Output Utente'!$R$2:$R$492,0)),"")</f>
        <v/>
      </c>
      <c r="I423" s="27" t="str">
        <f aca="false">IFERROR(INDEX('Output Utente'!$F$2:$F$492,MATCH(420,'Output Utente'!$R$2:$R$492,0)),"")</f>
        <v/>
      </c>
      <c r="J423" s="27" t="str">
        <f aca="false">IFERROR(INDEX('Output Utente'!$G$2:$G$492,MATCH(420,'Output Utente'!$R$2:$R$492,0)),"")</f>
        <v/>
      </c>
      <c r="K423" s="27" t="str">
        <f aca="false">IFERROR(INDEX('Output Utente'!$H$2:$H$492,MATCH(420,'Output Utente'!$R$2:$R$492,0)),"")</f>
        <v/>
      </c>
      <c r="L423" s="26" t="str">
        <f aca="false">IFERROR(INDEX('Output Utente'!$E$2:$E$492,MATCH(420,'Output Utente'!$R$2:$R$492,0)),"")</f>
        <v/>
      </c>
    </row>
    <row r="424" customFormat="false" ht="15" hidden="false" customHeight="true" outlineLevel="0" collapsed="false">
      <c r="A424" s="29" t="n">
        <v>421</v>
      </c>
      <c r="B424" s="26" t="str">
        <f aca="false">IFERROR(INDEX('Output Utente'!$A$2:$A$492,MATCH(421,'Output Utente'!$R$2:$R$492,0)),"")</f>
        <v/>
      </c>
      <c r="C424" s="26" t="str">
        <f aca="false">IFERROR(INDEX('Output Utente'!$B$2:$B$492,MATCH(421,'Output Utente'!$R$2:$R$492,0)),"")</f>
        <v/>
      </c>
      <c r="D424" s="26" t="str">
        <f aca="false">IFERROR(INDEX('Output Utente'!$C$2:$C$492,MATCH(421,'Output Utente'!$R$2:$R$492,0)),"")</f>
        <v/>
      </c>
      <c r="E424" s="26" t="str">
        <f aca="false">IFERROR(INDEX('Input Giocatori 2026_27'!$D$3:$D$493,MATCH($B424,'Input Giocatori 2026_27'!$A$3:$A$493,0)),"")</f>
        <v/>
      </c>
      <c r="F424" s="27" t="str">
        <f aca="false">IFERROR(INDEX('Output Utente'!$N$2:$N$492,MATCH(421,'Output Utente'!$R$2:$R$492,0)),"")</f>
        <v/>
      </c>
      <c r="G424" s="26" t="str">
        <f aca="false">IFERROR(INDEX('Output Utente'!$O$2:$O$492,MATCH(421,'Output Utente'!$R$2:$R$492,0)),"")</f>
        <v/>
      </c>
      <c r="H424" s="26" t="str">
        <f aca="false">IFERROR(INDEX('Output Utente'!$P$2:$P$492,MATCH(421,'Output Utente'!$R$2:$R$492,0)),"")</f>
        <v/>
      </c>
      <c r="I424" s="27" t="str">
        <f aca="false">IFERROR(INDEX('Output Utente'!$F$2:$F$492,MATCH(421,'Output Utente'!$R$2:$R$492,0)),"")</f>
        <v/>
      </c>
      <c r="J424" s="27" t="str">
        <f aca="false">IFERROR(INDEX('Output Utente'!$G$2:$G$492,MATCH(421,'Output Utente'!$R$2:$R$492,0)),"")</f>
        <v/>
      </c>
      <c r="K424" s="27" t="str">
        <f aca="false">IFERROR(INDEX('Output Utente'!$H$2:$H$492,MATCH(421,'Output Utente'!$R$2:$R$492,0)),"")</f>
        <v/>
      </c>
      <c r="L424" s="26" t="str">
        <f aca="false">IFERROR(INDEX('Output Utente'!$E$2:$E$492,MATCH(421,'Output Utente'!$R$2:$R$492,0)),"")</f>
        <v/>
      </c>
    </row>
    <row r="425" customFormat="false" ht="15" hidden="false" customHeight="true" outlineLevel="0" collapsed="false">
      <c r="A425" s="29" t="n">
        <v>422</v>
      </c>
      <c r="B425" s="26" t="str">
        <f aca="false">IFERROR(INDEX('Output Utente'!$A$2:$A$492,MATCH(422,'Output Utente'!$R$2:$R$492,0)),"")</f>
        <v/>
      </c>
      <c r="C425" s="26" t="str">
        <f aca="false">IFERROR(INDEX('Output Utente'!$B$2:$B$492,MATCH(422,'Output Utente'!$R$2:$R$492,0)),"")</f>
        <v/>
      </c>
      <c r="D425" s="26" t="str">
        <f aca="false">IFERROR(INDEX('Output Utente'!$C$2:$C$492,MATCH(422,'Output Utente'!$R$2:$R$492,0)),"")</f>
        <v/>
      </c>
      <c r="E425" s="26" t="str">
        <f aca="false">IFERROR(INDEX('Input Giocatori 2026_27'!$D$3:$D$493,MATCH($B425,'Input Giocatori 2026_27'!$A$3:$A$493,0)),"")</f>
        <v/>
      </c>
      <c r="F425" s="27" t="str">
        <f aca="false">IFERROR(INDEX('Output Utente'!$N$2:$N$492,MATCH(422,'Output Utente'!$R$2:$R$492,0)),"")</f>
        <v/>
      </c>
      <c r="G425" s="26" t="str">
        <f aca="false">IFERROR(INDEX('Output Utente'!$O$2:$O$492,MATCH(422,'Output Utente'!$R$2:$R$492,0)),"")</f>
        <v/>
      </c>
      <c r="H425" s="26" t="str">
        <f aca="false">IFERROR(INDEX('Output Utente'!$P$2:$P$492,MATCH(422,'Output Utente'!$R$2:$R$492,0)),"")</f>
        <v/>
      </c>
      <c r="I425" s="27" t="str">
        <f aca="false">IFERROR(INDEX('Output Utente'!$F$2:$F$492,MATCH(422,'Output Utente'!$R$2:$R$492,0)),"")</f>
        <v/>
      </c>
      <c r="J425" s="27" t="str">
        <f aca="false">IFERROR(INDEX('Output Utente'!$G$2:$G$492,MATCH(422,'Output Utente'!$R$2:$R$492,0)),"")</f>
        <v/>
      </c>
      <c r="K425" s="27" t="str">
        <f aca="false">IFERROR(INDEX('Output Utente'!$H$2:$H$492,MATCH(422,'Output Utente'!$R$2:$R$492,0)),"")</f>
        <v/>
      </c>
      <c r="L425" s="26" t="str">
        <f aca="false">IFERROR(INDEX('Output Utente'!$E$2:$E$492,MATCH(422,'Output Utente'!$R$2:$R$492,0)),"")</f>
        <v/>
      </c>
    </row>
    <row r="426" customFormat="false" ht="15" hidden="false" customHeight="true" outlineLevel="0" collapsed="false">
      <c r="A426" s="29" t="n">
        <v>423</v>
      </c>
      <c r="B426" s="26" t="str">
        <f aca="false">IFERROR(INDEX('Output Utente'!$A$2:$A$492,MATCH(423,'Output Utente'!$R$2:$R$492,0)),"")</f>
        <v/>
      </c>
      <c r="C426" s="26" t="str">
        <f aca="false">IFERROR(INDEX('Output Utente'!$B$2:$B$492,MATCH(423,'Output Utente'!$R$2:$R$492,0)),"")</f>
        <v/>
      </c>
      <c r="D426" s="26" t="str">
        <f aca="false">IFERROR(INDEX('Output Utente'!$C$2:$C$492,MATCH(423,'Output Utente'!$R$2:$R$492,0)),"")</f>
        <v/>
      </c>
      <c r="E426" s="26" t="str">
        <f aca="false">IFERROR(INDEX('Input Giocatori 2026_27'!$D$3:$D$493,MATCH($B426,'Input Giocatori 2026_27'!$A$3:$A$493,0)),"")</f>
        <v/>
      </c>
      <c r="F426" s="27" t="str">
        <f aca="false">IFERROR(INDEX('Output Utente'!$N$2:$N$492,MATCH(423,'Output Utente'!$R$2:$R$492,0)),"")</f>
        <v/>
      </c>
      <c r="G426" s="26" t="str">
        <f aca="false">IFERROR(INDEX('Output Utente'!$O$2:$O$492,MATCH(423,'Output Utente'!$R$2:$R$492,0)),"")</f>
        <v/>
      </c>
      <c r="H426" s="26" t="str">
        <f aca="false">IFERROR(INDEX('Output Utente'!$P$2:$P$492,MATCH(423,'Output Utente'!$R$2:$R$492,0)),"")</f>
        <v/>
      </c>
      <c r="I426" s="27" t="str">
        <f aca="false">IFERROR(INDEX('Output Utente'!$F$2:$F$492,MATCH(423,'Output Utente'!$R$2:$R$492,0)),"")</f>
        <v/>
      </c>
      <c r="J426" s="27" t="str">
        <f aca="false">IFERROR(INDEX('Output Utente'!$G$2:$G$492,MATCH(423,'Output Utente'!$R$2:$R$492,0)),"")</f>
        <v/>
      </c>
      <c r="K426" s="27" t="str">
        <f aca="false">IFERROR(INDEX('Output Utente'!$H$2:$H$492,MATCH(423,'Output Utente'!$R$2:$R$492,0)),"")</f>
        <v/>
      </c>
      <c r="L426" s="26" t="str">
        <f aca="false">IFERROR(INDEX('Output Utente'!$E$2:$E$492,MATCH(423,'Output Utente'!$R$2:$R$492,0)),"")</f>
        <v/>
      </c>
    </row>
    <row r="427" customFormat="false" ht="15" hidden="false" customHeight="true" outlineLevel="0" collapsed="false">
      <c r="A427" s="29" t="n">
        <v>424</v>
      </c>
      <c r="B427" s="26" t="str">
        <f aca="false">IFERROR(INDEX('Output Utente'!$A$2:$A$492,MATCH(424,'Output Utente'!$R$2:$R$492,0)),"")</f>
        <v/>
      </c>
      <c r="C427" s="26" t="str">
        <f aca="false">IFERROR(INDEX('Output Utente'!$B$2:$B$492,MATCH(424,'Output Utente'!$R$2:$R$492,0)),"")</f>
        <v/>
      </c>
      <c r="D427" s="26" t="str">
        <f aca="false">IFERROR(INDEX('Output Utente'!$C$2:$C$492,MATCH(424,'Output Utente'!$R$2:$R$492,0)),"")</f>
        <v/>
      </c>
      <c r="E427" s="26" t="str">
        <f aca="false">IFERROR(INDEX('Input Giocatori 2026_27'!$D$3:$D$493,MATCH($B427,'Input Giocatori 2026_27'!$A$3:$A$493,0)),"")</f>
        <v/>
      </c>
      <c r="F427" s="27" t="str">
        <f aca="false">IFERROR(INDEX('Output Utente'!$N$2:$N$492,MATCH(424,'Output Utente'!$R$2:$R$492,0)),"")</f>
        <v/>
      </c>
      <c r="G427" s="26" t="str">
        <f aca="false">IFERROR(INDEX('Output Utente'!$O$2:$O$492,MATCH(424,'Output Utente'!$R$2:$R$492,0)),"")</f>
        <v/>
      </c>
      <c r="H427" s="26" t="str">
        <f aca="false">IFERROR(INDEX('Output Utente'!$P$2:$P$492,MATCH(424,'Output Utente'!$R$2:$R$492,0)),"")</f>
        <v/>
      </c>
      <c r="I427" s="27" t="str">
        <f aca="false">IFERROR(INDEX('Output Utente'!$F$2:$F$492,MATCH(424,'Output Utente'!$R$2:$R$492,0)),"")</f>
        <v/>
      </c>
      <c r="J427" s="27" t="str">
        <f aca="false">IFERROR(INDEX('Output Utente'!$G$2:$G$492,MATCH(424,'Output Utente'!$R$2:$R$492,0)),"")</f>
        <v/>
      </c>
      <c r="K427" s="27" t="str">
        <f aca="false">IFERROR(INDEX('Output Utente'!$H$2:$H$492,MATCH(424,'Output Utente'!$R$2:$R$492,0)),"")</f>
        <v/>
      </c>
      <c r="L427" s="26" t="str">
        <f aca="false">IFERROR(INDEX('Output Utente'!$E$2:$E$492,MATCH(424,'Output Utente'!$R$2:$R$492,0)),"")</f>
        <v/>
      </c>
    </row>
    <row r="428" customFormat="false" ht="15" hidden="false" customHeight="true" outlineLevel="0" collapsed="false">
      <c r="A428" s="29" t="n">
        <v>425</v>
      </c>
      <c r="B428" s="26" t="str">
        <f aca="false">IFERROR(INDEX('Output Utente'!$A$2:$A$492,MATCH(425,'Output Utente'!$R$2:$R$492,0)),"")</f>
        <v/>
      </c>
      <c r="C428" s="26" t="str">
        <f aca="false">IFERROR(INDEX('Output Utente'!$B$2:$B$492,MATCH(425,'Output Utente'!$R$2:$R$492,0)),"")</f>
        <v/>
      </c>
      <c r="D428" s="26" t="str">
        <f aca="false">IFERROR(INDEX('Output Utente'!$C$2:$C$492,MATCH(425,'Output Utente'!$R$2:$R$492,0)),"")</f>
        <v/>
      </c>
      <c r="E428" s="26" t="str">
        <f aca="false">IFERROR(INDEX('Input Giocatori 2026_27'!$D$3:$D$493,MATCH($B428,'Input Giocatori 2026_27'!$A$3:$A$493,0)),"")</f>
        <v/>
      </c>
      <c r="F428" s="27" t="str">
        <f aca="false">IFERROR(INDEX('Output Utente'!$N$2:$N$492,MATCH(425,'Output Utente'!$R$2:$R$492,0)),"")</f>
        <v/>
      </c>
      <c r="G428" s="26" t="str">
        <f aca="false">IFERROR(INDEX('Output Utente'!$O$2:$O$492,MATCH(425,'Output Utente'!$R$2:$R$492,0)),"")</f>
        <v/>
      </c>
      <c r="H428" s="26" t="str">
        <f aca="false">IFERROR(INDEX('Output Utente'!$P$2:$P$492,MATCH(425,'Output Utente'!$R$2:$R$492,0)),"")</f>
        <v/>
      </c>
      <c r="I428" s="27" t="str">
        <f aca="false">IFERROR(INDEX('Output Utente'!$F$2:$F$492,MATCH(425,'Output Utente'!$R$2:$R$492,0)),"")</f>
        <v/>
      </c>
      <c r="J428" s="27" t="str">
        <f aca="false">IFERROR(INDEX('Output Utente'!$G$2:$G$492,MATCH(425,'Output Utente'!$R$2:$R$492,0)),"")</f>
        <v/>
      </c>
      <c r="K428" s="27" t="str">
        <f aca="false">IFERROR(INDEX('Output Utente'!$H$2:$H$492,MATCH(425,'Output Utente'!$R$2:$R$492,0)),"")</f>
        <v/>
      </c>
      <c r="L428" s="26" t="str">
        <f aca="false">IFERROR(INDEX('Output Utente'!$E$2:$E$492,MATCH(425,'Output Utente'!$R$2:$R$492,0)),"")</f>
        <v/>
      </c>
    </row>
    <row r="429" customFormat="false" ht="15" hidden="false" customHeight="true" outlineLevel="0" collapsed="false">
      <c r="A429" s="29" t="n">
        <v>426</v>
      </c>
      <c r="B429" s="26" t="str">
        <f aca="false">IFERROR(INDEX('Output Utente'!$A$2:$A$492,MATCH(426,'Output Utente'!$R$2:$R$492,0)),"")</f>
        <v/>
      </c>
      <c r="C429" s="26" t="str">
        <f aca="false">IFERROR(INDEX('Output Utente'!$B$2:$B$492,MATCH(426,'Output Utente'!$R$2:$R$492,0)),"")</f>
        <v/>
      </c>
      <c r="D429" s="26" t="str">
        <f aca="false">IFERROR(INDEX('Output Utente'!$C$2:$C$492,MATCH(426,'Output Utente'!$R$2:$R$492,0)),"")</f>
        <v/>
      </c>
      <c r="E429" s="26" t="str">
        <f aca="false">IFERROR(INDEX('Input Giocatori 2026_27'!$D$3:$D$493,MATCH($B429,'Input Giocatori 2026_27'!$A$3:$A$493,0)),"")</f>
        <v/>
      </c>
      <c r="F429" s="27" t="str">
        <f aca="false">IFERROR(INDEX('Output Utente'!$N$2:$N$492,MATCH(426,'Output Utente'!$R$2:$R$492,0)),"")</f>
        <v/>
      </c>
      <c r="G429" s="26" t="str">
        <f aca="false">IFERROR(INDEX('Output Utente'!$O$2:$O$492,MATCH(426,'Output Utente'!$R$2:$R$492,0)),"")</f>
        <v/>
      </c>
      <c r="H429" s="26" t="str">
        <f aca="false">IFERROR(INDEX('Output Utente'!$P$2:$P$492,MATCH(426,'Output Utente'!$R$2:$R$492,0)),"")</f>
        <v/>
      </c>
      <c r="I429" s="27" t="str">
        <f aca="false">IFERROR(INDEX('Output Utente'!$F$2:$F$492,MATCH(426,'Output Utente'!$R$2:$R$492,0)),"")</f>
        <v/>
      </c>
      <c r="J429" s="27" t="str">
        <f aca="false">IFERROR(INDEX('Output Utente'!$G$2:$G$492,MATCH(426,'Output Utente'!$R$2:$R$492,0)),"")</f>
        <v/>
      </c>
      <c r="K429" s="27" t="str">
        <f aca="false">IFERROR(INDEX('Output Utente'!$H$2:$H$492,MATCH(426,'Output Utente'!$R$2:$R$492,0)),"")</f>
        <v/>
      </c>
      <c r="L429" s="26" t="str">
        <f aca="false">IFERROR(INDEX('Output Utente'!$E$2:$E$492,MATCH(426,'Output Utente'!$R$2:$R$492,0)),"")</f>
        <v/>
      </c>
    </row>
    <row r="430" customFormat="false" ht="15" hidden="false" customHeight="true" outlineLevel="0" collapsed="false">
      <c r="A430" s="29" t="n">
        <v>427</v>
      </c>
      <c r="B430" s="26" t="str">
        <f aca="false">IFERROR(INDEX('Output Utente'!$A$2:$A$492,MATCH(427,'Output Utente'!$R$2:$R$492,0)),"")</f>
        <v/>
      </c>
      <c r="C430" s="26" t="str">
        <f aca="false">IFERROR(INDEX('Output Utente'!$B$2:$B$492,MATCH(427,'Output Utente'!$R$2:$R$492,0)),"")</f>
        <v/>
      </c>
      <c r="D430" s="26" t="str">
        <f aca="false">IFERROR(INDEX('Output Utente'!$C$2:$C$492,MATCH(427,'Output Utente'!$R$2:$R$492,0)),"")</f>
        <v/>
      </c>
      <c r="E430" s="26" t="str">
        <f aca="false">IFERROR(INDEX('Input Giocatori 2026_27'!$D$3:$D$493,MATCH($B430,'Input Giocatori 2026_27'!$A$3:$A$493,0)),"")</f>
        <v/>
      </c>
      <c r="F430" s="27" t="str">
        <f aca="false">IFERROR(INDEX('Output Utente'!$N$2:$N$492,MATCH(427,'Output Utente'!$R$2:$R$492,0)),"")</f>
        <v/>
      </c>
      <c r="G430" s="26" t="str">
        <f aca="false">IFERROR(INDEX('Output Utente'!$O$2:$O$492,MATCH(427,'Output Utente'!$R$2:$R$492,0)),"")</f>
        <v/>
      </c>
      <c r="H430" s="26" t="str">
        <f aca="false">IFERROR(INDEX('Output Utente'!$P$2:$P$492,MATCH(427,'Output Utente'!$R$2:$R$492,0)),"")</f>
        <v/>
      </c>
      <c r="I430" s="27" t="str">
        <f aca="false">IFERROR(INDEX('Output Utente'!$F$2:$F$492,MATCH(427,'Output Utente'!$R$2:$R$492,0)),"")</f>
        <v/>
      </c>
      <c r="J430" s="27" t="str">
        <f aca="false">IFERROR(INDEX('Output Utente'!$G$2:$G$492,MATCH(427,'Output Utente'!$R$2:$R$492,0)),"")</f>
        <v/>
      </c>
      <c r="K430" s="27" t="str">
        <f aca="false">IFERROR(INDEX('Output Utente'!$H$2:$H$492,MATCH(427,'Output Utente'!$R$2:$R$492,0)),"")</f>
        <v/>
      </c>
      <c r="L430" s="26" t="str">
        <f aca="false">IFERROR(INDEX('Output Utente'!$E$2:$E$492,MATCH(427,'Output Utente'!$R$2:$R$492,0)),"")</f>
        <v/>
      </c>
    </row>
    <row r="431" customFormat="false" ht="15" hidden="false" customHeight="true" outlineLevel="0" collapsed="false">
      <c r="A431" s="29" t="n">
        <v>428</v>
      </c>
      <c r="B431" s="26" t="str">
        <f aca="false">IFERROR(INDEX('Output Utente'!$A$2:$A$492,MATCH(428,'Output Utente'!$R$2:$R$492,0)),"")</f>
        <v/>
      </c>
      <c r="C431" s="26" t="str">
        <f aca="false">IFERROR(INDEX('Output Utente'!$B$2:$B$492,MATCH(428,'Output Utente'!$R$2:$R$492,0)),"")</f>
        <v/>
      </c>
      <c r="D431" s="26" t="str">
        <f aca="false">IFERROR(INDEX('Output Utente'!$C$2:$C$492,MATCH(428,'Output Utente'!$R$2:$R$492,0)),"")</f>
        <v/>
      </c>
      <c r="E431" s="26" t="str">
        <f aca="false">IFERROR(INDEX('Input Giocatori 2026_27'!$D$3:$D$493,MATCH($B431,'Input Giocatori 2026_27'!$A$3:$A$493,0)),"")</f>
        <v/>
      </c>
      <c r="F431" s="27" t="str">
        <f aca="false">IFERROR(INDEX('Output Utente'!$N$2:$N$492,MATCH(428,'Output Utente'!$R$2:$R$492,0)),"")</f>
        <v/>
      </c>
      <c r="G431" s="26" t="str">
        <f aca="false">IFERROR(INDEX('Output Utente'!$O$2:$O$492,MATCH(428,'Output Utente'!$R$2:$R$492,0)),"")</f>
        <v/>
      </c>
      <c r="H431" s="26" t="str">
        <f aca="false">IFERROR(INDEX('Output Utente'!$P$2:$P$492,MATCH(428,'Output Utente'!$R$2:$R$492,0)),"")</f>
        <v/>
      </c>
      <c r="I431" s="27" t="str">
        <f aca="false">IFERROR(INDEX('Output Utente'!$F$2:$F$492,MATCH(428,'Output Utente'!$R$2:$R$492,0)),"")</f>
        <v/>
      </c>
      <c r="J431" s="27" t="str">
        <f aca="false">IFERROR(INDEX('Output Utente'!$G$2:$G$492,MATCH(428,'Output Utente'!$R$2:$R$492,0)),"")</f>
        <v/>
      </c>
      <c r="K431" s="27" t="str">
        <f aca="false">IFERROR(INDEX('Output Utente'!$H$2:$H$492,MATCH(428,'Output Utente'!$R$2:$R$492,0)),"")</f>
        <v/>
      </c>
      <c r="L431" s="26" t="str">
        <f aca="false">IFERROR(INDEX('Output Utente'!$E$2:$E$492,MATCH(428,'Output Utente'!$R$2:$R$492,0)),"")</f>
        <v/>
      </c>
    </row>
    <row r="432" customFormat="false" ht="15" hidden="false" customHeight="true" outlineLevel="0" collapsed="false">
      <c r="A432" s="29" t="n">
        <v>429</v>
      </c>
      <c r="B432" s="26" t="str">
        <f aca="false">IFERROR(INDEX('Output Utente'!$A$2:$A$492,MATCH(429,'Output Utente'!$R$2:$R$492,0)),"")</f>
        <v/>
      </c>
      <c r="C432" s="26" t="str">
        <f aca="false">IFERROR(INDEX('Output Utente'!$B$2:$B$492,MATCH(429,'Output Utente'!$R$2:$R$492,0)),"")</f>
        <v/>
      </c>
      <c r="D432" s="26" t="str">
        <f aca="false">IFERROR(INDEX('Output Utente'!$C$2:$C$492,MATCH(429,'Output Utente'!$R$2:$R$492,0)),"")</f>
        <v/>
      </c>
      <c r="E432" s="26" t="str">
        <f aca="false">IFERROR(INDEX('Input Giocatori 2026_27'!$D$3:$D$493,MATCH($B432,'Input Giocatori 2026_27'!$A$3:$A$493,0)),"")</f>
        <v/>
      </c>
      <c r="F432" s="27" t="str">
        <f aca="false">IFERROR(INDEX('Output Utente'!$N$2:$N$492,MATCH(429,'Output Utente'!$R$2:$R$492,0)),"")</f>
        <v/>
      </c>
      <c r="G432" s="26" t="str">
        <f aca="false">IFERROR(INDEX('Output Utente'!$O$2:$O$492,MATCH(429,'Output Utente'!$R$2:$R$492,0)),"")</f>
        <v/>
      </c>
      <c r="H432" s="26" t="str">
        <f aca="false">IFERROR(INDEX('Output Utente'!$P$2:$P$492,MATCH(429,'Output Utente'!$R$2:$R$492,0)),"")</f>
        <v/>
      </c>
      <c r="I432" s="27" t="str">
        <f aca="false">IFERROR(INDEX('Output Utente'!$F$2:$F$492,MATCH(429,'Output Utente'!$R$2:$R$492,0)),"")</f>
        <v/>
      </c>
      <c r="J432" s="27" t="str">
        <f aca="false">IFERROR(INDEX('Output Utente'!$G$2:$G$492,MATCH(429,'Output Utente'!$R$2:$R$492,0)),"")</f>
        <v/>
      </c>
      <c r="K432" s="27" t="str">
        <f aca="false">IFERROR(INDEX('Output Utente'!$H$2:$H$492,MATCH(429,'Output Utente'!$R$2:$R$492,0)),"")</f>
        <v/>
      </c>
      <c r="L432" s="26" t="str">
        <f aca="false">IFERROR(INDEX('Output Utente'!$E$2:$E$492,MATCH(429,'Output Utente'!$R$2:$R$492,0)),"")</f>
        <v/>
      </c>
    </row>
    <row r="433" customFormat="false" ht="15" hidden="false" customHeight="true" outlineLevel="0" collapsed="false">
      <c r="A433" s="29" t="n">
        <v>430</v>
      </c>
      <c r="B433" s="26" t="str">
        <f aca="false">IFERROR(INDEX('Output Utente'!$A$2:$A$492,MATCH(430,'Output Utente'!$R$2:$R$492,0)),"")</f>
        <v/>
      </c>
      <c r="C433" s="26" t="str">
        <f aca="false">IFERROR(INDEX('Output Utente'!$B$2:$B$492,MATCH(430,'Output Utente'!$R$2:$R$492,0)),"")</f>
        <v/>
      </c>
      <c r="D433" s="26" t="str">
        <f aca="false">IFERROR(INDEX('Output Utente'!$C$2:$C$492,MATCH(430,'Output Utente'!$R$2:$R$492,0)),"")</f>
        <v/>
      </c>
      <c r="E433" s="26" t="str">
        <f aca="false">IFERROR(INDEX('Input Giocatori 2026_27'!$D$3:$D$493,MATCH($B433,'Input Giocatori 2026_27'!$A$3:$A$493,0)),"")</f>
        <v/>
      </c>
      <c r="F433" s="27" t="str">
        <f aca="false">IFERROR(INDEX('Output Utente'!$N$2:$N$492,MATCH(430,'Output Utente'!$R$2:$R$492,0)),"")</f>
        <v/>
      </c>
      <c r="G433" s="26" t="str">
        <f aca="false">IFERROR(INDEX('Output Utente'!$O$2:$O$492,MATCH(430,'Output Utente'!$R$2:$R$492,0)),"")</f>
        <v/>
      </c>
      <c r="H433" s="26" t="str">
        <f aca="false">IFERROR(INDEX('Output Utente'!$P$2:$P$492,MATCH(430,'Output Utente'!$R$2:$R$492,0)),"")</f>
        <v/>
      </c>
      <c r="I433" s="27" t="str">
        <f aca="false">IFERROR(INDEX('Output Utente'!$F$2:$F$492,MATCH(430,'Output Utente'!$R$2:$R$492,0)),"")</f>
        <v/>
      </c>
      <c r="J433" s="27" t="str">
        <f aca="false">IFERROR(INDEX('Output Utente'!$G$2:$G$492,MATCH(430,'Output Utente'!$R$2:$R$492,0)),"")</f>
        <v/>
      </c>
      <c r="K433" s="27" t="str">
        <f aca="false">IFERROR(INDEX('Output Utente'!$H$2:$H$492,MATCH(430,'Output Utente'!$R$2:$R$492,0)),"")</f>
        <v/>
      </c>
      <c r="L433" s="26" t="str">
        <f aca="false">IFERROR(INDEX('Output Utente'!$E$2:$E$492,MATCH(430,'Output Utente'!$R$2:$R$492,0)),"")</f>
        <v/>
      </c>
    </row>
    <row r="434" customFormat="false" ht="15" hidden="false" customHeight="true" outlineLevel="0" collapsed="false">
      <c r="A434" s="29" t="n">
        <v>431</v>
      </c>
      <c r="B434" s="26" t="str">
        <f aca="false">IFERROR(INDEX('Output Utente'!$A$2:$A$492,MATCH(431,'Output Utente'!$R$2:$R$492,0)),"")</f>
        <v/>
      </c>
      <c r="C434" s="26" t="str">
        <f aca="false">IFERROR(INDEX('Output Utente'!$B$2:$B$492,MATCH(431,'Output Utente'!$R$2:$R$492,0)),"")</f>
        <v/>
      </c>
      <c r="D434" s="26" t="str">
        <f aca="false">IFERROR(INDEX('Output Utente'!$C$2:$C$492,MATCH(431,'Output Utente'!$R$2:$R$492,0)),"")</f>
        <v/>
      </c>
      <c r="E434" s="26" t="str">
        <f aca="false">IFERROR(INDEX('Input Giocatori 2026_27'!$D$3:$D$493,MATCH($B434,'Input Giocatori 2026_27'!$A$3:$A$493,0)),"")</f>
        <v/>
      </c>
      <c r="F434" s="27" t="str">
        <f aca="false">IFERROR(INDEX('Output Utente'!$N$2:$N$492,MATCH(431,'Output Utente'!$R$2:$R$492,0)),"")</f>
        <v/>
      </c>
      <c r="G434" s="26" t="str">
        <f aca="false">IFERROR(INDEX('Output Utente'!$O$2:$O$492,MATCH(431,'Output Utente'!$R$2:$R$492,0)),"")</f>
        <v/>
      </c>
      <c r="H434" s="26" t="str">
        <f aca="false">IFERROR(INDEX('Output Utente'!$P$2:$P$492,MATCH(431,'Output Utente'!$R$2:$R$492,0)),"")</f>
        <v/>
      </c>
      <c r="I434" s="27" t="str">
        <f aca="false">IFERROR(INDEX('Output Utente'!$F$2:$F$492,MATCH(431,'Output Utente'!$R$2:$R$492,0)),"")</f>
        <v/>
      </c>
      <c r="J434" s="27" t="str">
        <f aca="false">IFERROR(INDEX('Output Utente'!$G$2:$G$492,MATCH(431,'Output Utente'!$R$2:$R$492,0)),"")</f>
        <v/>
      </c>
      <c r="K434" s="27" t="str">
        <f aca="false">IFERROR(INDEX('Output Utente'!$H$2:$H$492,MATCH(431,'Output Utente'!$R$2:$R$492,0)),"")</f>
        <v/>
      </c>
      <c r="L434" s="26" t="str">
        <f aca="false">IFERROR(INDEX('Output Utente'!$E$2:$E$492,MATCH(431,'Output Utente'!$R$2:$R$492,0)),"")</f>
        <v/>
      </c>
    </row>
    <row r="435" customFormat="false" ht="15" hidden="false" customHeight="true" outlineLevel="0" collapsed="false">
      <c r="A435" s="29" t="n">
        <v>432</v>
      </c>
      <c r="B435" s="26" t="str">
        <f aca="false">IFERROR(INDEX('Output Utente'!$A$2:$A$492,MATCH(432,'Output Utente'!$R$2:$R$492,0)),"")</f>
        <v/>
      </c>
      <c r="C435" s="26" t="str">
        <f aca="false">IFERROR(INDEX('Output Utente'!$B$2:$B$492,MATCH(432,'Output Utente'!$R$2:$R$492,0)),"")</f>
        <v/>
      </c>
      <c r="D435" s="26" t="str">
        <f aca="false">IFERROR(INDEX('Output Utente'!$C$2:$C$492,MATCH(432,'Output Utente'!$R$2:$R$492,0)),"")</f>
        <v/>
      </c>
      <c r="E435" s="26" t="str">
        <f aca="false">IFERROR(INDEX('Input Giocatori 2026_27'!$D$3:$D$493,MATCH($B435,'Input Giocatori 2026_27'!$A$3:$A$493,0)),"")</f>
        <v/>
      </c>
      <c r="F435" s="27" t="str">
        <f aca="false">IFERROR(INDEX('Output Utente'!$N$2:$N$492,MATCH(432,'Output Utente'!$R$2:$R$492,0)),"")</f>
        <v/>
      </c>
      <c r="G435" s="26" t="str">
        <f aca="false">IFERROR(INDEX('Output Utente'!$O$2:$O$492,MATCH(432,'Output Utente'!$R$2:$R$492,0)),"")</f>
        <v/>
      </c>
      <c r="H435" s="26" t="str">
        <f aca="false">IFERROR(INDEX('Output Utente'!$P$2:$P$492,MATCH(432,'Output Utente'!$R$2:$R$492,0)),"")</f>
        <v/>
      </c>
      <c r="I435" s="27" t="str">
        <f aca="false">IFERROR(INDEX('Output Utente'!$F$2:$F$492,MATCH(432,'Output Utente'!$R$2:$R$492,0)),"")</f>
        <v/>
      </c>
      <c r="J435" s="27" t="str">
        <f aca="false">IFERROR(INDEX('Output Utente'!$G$2:$G$492,MATCH(432,'Output Utente'!$R$2:$R$492,0)),"")</f>
        <v/>
      </c>
      <c r="K435" s="27" t="str">
        <f aca="false">IFERROR(INDEX('Output Utente'!$H$2:$H$492,MATCH(432,'Output Utente'!$R$2:$R$492,0)),"")</f>
        <v/>
      </c>
      <c r="L435" s="26" t="str">
        <f aca="false">IFERROR(INDEX('Output Utente'!$E$2:$E$492,MATCH(432,'Output Utente'!$R$2:$R$492,0)),"")</f>
        <v/>
      </c>
    </row>
    <row r="436" customFormat="false" ht="15" hidden="false" customHeight="true" outlineLevel="0" collapsed="false">
      <c r="A436" s="29" t="n">
        <v>433</v>
      </c>
      <c r="B436" s="26" t="str">
        <f aca="false">IFERROR(INDEX('Output Utente'!$A$2:$A$492,MATCH(433,'Output Utente'!$R$2:$R$492,0)),"")</f>
        <v/>
      </c>
      <c r="C436" s="26" t="str">
        <f aca="false">IFERROR(INDEX('Output Utente'!$B$2:$B$492,MATCH(433,'Output Utente'!$R$2:$R$492,0)),"")</f>
        <v/>
      </c>
      <c r="D436" s="26" t="str">
        <f aca="false">IFERROR(INDEX('Output Utente'!$C$2:$C$492,MATCH(433,'Output Utente'!$R$2:$R$492,0)),"")</f>
        <v/>
      </c>
      <c r="E436" s="26" t="str">
        <f aca="false">IFERROR(INDEX('Input Giocatori 2026_27'!$D$3:$D$493,MATCH($B436,'Input Giocatori 2026_27'!$A$3:$A$493,0)),"")</f>
        <v/>
      </c>
      <c r="F436" s="27" t="str">
        <f aca="false">IFERROR(INDEX('Output Utente'!$N$2:$N$492,MATCH(433,'Output Utente'!$R$2:$R$492,0)),"")</f>
        <v/>
      </c>
      <c r="G436" s="26" t="str">
        <f aca="false">IFERROR(INDEX('Output Utente'!$O$2:$O$492,MATCH(433,'Output Utente'!$R$2:$R$492,0)),"")</f>
        <v/>
      </c>
      <c r="H436" s="26" t="str">
        <f aca="false">IFERROR(INDEX('Output Utente'!$P$2:$P$492,MATCH(433,'Output Utente'!$R$2:$R$492,0)),"")</f>
        <v/>
      </c>
      <c r="I436" s="27" t="str">
        <f aca="false">IFERROR(INDEX('Output Utente'!$F$2:$F$492,MATCH(433,'Output Utente'!$R$2:$R$492,0)),"")</f>
        <v/>
      </c>
      <c r="J436" s="27" t="str">
        <f aca="false">IFERROR(INDEX('Output Utente'!$G$2:$G$492,MATCH(433,'Output Utente'!$R$2:$R$492,0)),"")</f>
        <v/>
      </c>
      <c r="K436" s="27" t="str">
        <f aca="false">IFERROR(INDEX('Output Utente'!$H$2:$H$492,MATCH(433,'Output Utente'!$R$2:$R$492,0)),"")</f>
        <v/>
      </c>
      <c r="L436" s="26" t="str">
        <f aca="false">IFERROR(INDEX('Output Utente'!$E$2:$E$492,MATCH(433,'Output Utente'!$R$2:$R$492,0)),"")</f>
        <v/>
      </c>
    </row>
    <row r="437" customFormat="false" ht="15" hidden="false" customHeight="true" outlineLevel="0" collapsed="false">
      <c r="A437" s="29" t="n">
        <v>434</v>
      </c>
      <c r="B437" s="26" t="str">
        <f aca="false">IFERROR(INDEX('Output Utente'!$A$2:$A$492,MATCH(434,'Output Utente'!$R$2:$R$492,0)),"")</f>
        <v/>
      </c>
      <c r="C437" s="26" t="str">
        <f aca="false">IFERROR(INDEX('Output Utente'!$B$2:$B$492,MATCH(434,'Output Utente'!$R$2:$R$492,0)),"")</f>
        <v/>
      </c>
      <c r="D437" s="26" t="str">
        <f aca="false">IFERROR(INDEX('Output Utente'!$C$2:$C$492,MATCH(434,'Output Utente'!$R$2:$R$492,0)),"")</f>
        <v/>
      </c>
      <c r="E437" s="26" t="str">
        <f aca="false">IFERROR(INDEX('Input Giocatori 2026_27'!$D$3:$D$493,MATCH($B437,'Input Giocatori 2026_27'!$A$3:$A$493,0)),"")</f>
        <v/>
      </c>
      <c r="F437" s="27" t="str">
        <f aca="false">IFERROR(INDEX('Output Utente'!$N$2:$N$492,MATCH(434,'Output Utente'!$R$2:$R$492,0)),"")</f>
        <v/>
      </c>
      <c r="G437" s="26" t="str">
        <f aca="false">IFERROR(INDEX('Output Utente'!$O$2:$O$492,MATCH(434,'Output Utente'!$R$2:$R$492,0)),"")</f>
        <v/>
      </c>
      <c r="H437" s="26" t="str">
        <f aca="false">IFERROR(INDEX('Output Utente'!$P$2:$P$492,MATCH(434,'Output Utente'!$R$2:$R$492,0)),"")</f>
        <v/>
      </c>
      <c r="I437" s="27" t="str">
        <f aca="false">IFERROR(INDEX('Output Utente'!$F$2:$F$492,MATCH(434,'Output Utente'!$R$2:$R$492,0)),"")</f>
        <v/>
      </c>
      <c r="J437" s="27" t="str">
        <f aca="false">IFERROR(INDEX('Output Utente'!$G$2:$G$492,MATCH(434,'Output Utente'!$R$2:$R$492,0)),"")</f>
        <v/>
      </c>
      <c r="K437" s="27" t="str">
        <f aca="false">IFERROR(INDEX('Output Utente'!$H$2:$H$492,MATCH(434,'Output Utente'!$R$2:$R$492,0)),"")</f>
        <v/>
      </c>
      <c r="L437" s="26" t="str">
        <f aca="false">IFERROR(INDEX('Output Utente'!$E$2:$E$492,MATCH(434,'Output Utente'!$R$2:$R$492,0)),"")</f>
        <v/>
      </c>
    </row>
    <row r="438" customFormat="false" ht="15" hidden="false" customHeight="true" outlineLevel="0" collapsed="false">
      <c r="A438" s="29" t="n">
        <v>435</v>
      </c>
      <c r="B438" s="26" t="str">
        <f aca="false">IFERROR(INDEX('Output Utente'!$A$2:$A$492,MATCH(435,'Output Utente'!$R$2:$R$492,0)),"")</f>
        <v/>
      </c>
      <c r="C438" s="26" t="str">
        <f aca="false">IFERROR(INDEX('Output Utente'!$B$2:$B$492,MATCH(435,'Output Utente'!$R$2:$R$492,0)),"")</f>
        <v/>
      </c>
      <c r="D438" s="26" t="str">
        <f aca="false">IFERROR(INDEX('Output Utente'!$C$2:$C$492,MATCH(435,'Output Utente'!$R$2:$R$492,0)),"")</f>
        <v/>
      </c>
      <c r="E438" s="26" t="str">
        <f aca="false">IFERROR(INDEX('Input Giocatori 2026_27'!$D$3:$D$493,MATCH($B438,'Input Giocatori 2026_27'!$A$3:$A$493,0)),"")</f>
        <v/>
      </c>
      <c r="F438" s="27" t="str">
        <f aca="false">IFERROR(INDEX('Output Utente'!$N$2:$N$492,MATCH(435,'Output Utente'!$R$2:$R$492,0)),"")</f>
        <v/>
      </c>
      <c r="G438" s="26" t="str">
        <f aca="false">IFERROR(INDEX('Output Utente'!$O$2:$O$492,MATCH(435,'Output Utente'!$R$2:$R$492,0)),"")</f>
        <v/>
      </c>
      <c r="H438" s="26" t="str">
        <f aca="false">IFERROR(INDEX('Output Utente'!$P$2:$P$492,MATCH(435,'Output Utente'!$R$2:$R$492,0)),"")</f>
        <v/>
      </c>
      <c r="I438" s="27" t="str">
        <f aca="false">IFERROR(INDEX('Output Utente'!$F$2:$F$492,MATCH(435,'Output Utente'!$R$2:$R$492,0)),"")</f>
        <v/>
      </c>
      <c r="J438" s="27" t="str">
        <f aca="false">IFERROR(INDEX('Output Utente'!$G$2:$G$492,MATCH(435,'Output Utente'!$R$2:$R$492,0)),"")</f>
        <v/>
      </c>
      <c r="K438" s="27" t="str">
        <f aca="false">IFERROR(INDEX('Output Utente'!$H$2:$H$492,MATCH(435,'Output Utente'!$R$2:$R$492,0)),"")</f>
        <v/>
      </c>
      <c r="L438" s="26" t="str">
        <f aca="false">IFERROR(INDEX('Output Utente'!$E$2:$E$492,MATCH(435,'Output Utente'!$R$2:$R$492,0)),"")</f>
        <v/>
      </c>
    </row>
    <row r="439" customFormat="false" ht="15" hidden="false" customHeight="true" outlineLevel="0" collapsed="false">
      <c r="A439" s="29" t="n">
        <v>436</v>
      </c>
      <c r="B439" s="26" t="str">
        <f aca="false">IFERROR(INDEX('Output Utente'!$A$2:$A$492,MATCH(436,'Output Utente'!$R$2:$R$492,0)),"")</f>
        <v/>
      </c>
      <c r="C439" s="26" t="str">
        <f aca="false">IFERROR(INDEX('Output Utente'!$B$2:$B$492,MATCH(436,'Output Utente'!$R$2:$R$492,0)),"")</f>
        <v/>
      </c>
      <c r="D439" s="26" t="str">
        <f aca="false">IFERROR(INDEX('Output Utente'!$C$2:$C$492,MATCH(436,'Output Utente'!$R$2:$R$492,0)),"")</f>
        <v/>
      </c>
      <c r="E439" s="26" t="str">
        <f aca="false">IFERROR(INDEX('Input Giocatori 2026_27'!$D$3:$D$493,MATCH($B439,'Input Giocatori 2026_27'!$A$3:$A$493,0)),"")</f>
        <v/>
      </c>
      <c r="F439" s="27" t="str">
        <f aca="false">IFERROR(INDEX('Output Utente'!$N$2:$N$492,MATCH(436,'Output Utente'!$R$2:$R$492,0)),"")</f>
        <v/>
      </c>
      <c r="G439" s="26" t="str">
        <f aca="false">IFERROR(INDEX('Output Utente'!$O$2:$O$492,MATCH(436,'Output Utente'!$R$2:$R$492,0)),"")</f>
        <v/>
      </c>
      <c r="H439" s="26" t="str">
        <f aca="false">IFERROR(INDEX('Output Utente'!$P$2:$P$492,MATCH(436,'Output Utente'!$R$2:$R$492,0)),"")</f>
        <v/>
      </c>
      <c r="I439" s="27" t="str">
        <f aca="false">IFERROR(INDEX('Output Utente'!$F$2:$F$492,MATCH(436,'Output Utente'!$R$2:$R$492,0)),"")</f>
        <v/>
      </c>
      <c r="J439" s="27" t="str">
        <f aca="false">IFERROR(INDEX('Output Utente'!$G$2:$G$492,MATCH(436,'Output Utente'!$R$2:$R$492,0)),"")</f>
        <v/>
      </c>
      <c r="K439" s="27" t="str">
        <f aca="false">IFERROR(INDEX('Output Utente'!$H$2:$H$492,MATCH(436,'Output Utente'!$R$2:$R$492,0)),"")</f>
        <v/>
      </c>
      <c r="L439" s="26" t="str">
        <f aca="false">IFERROR(INDEX('Output Utente'!$E$2:$E$492,MATCH(436,'Output Utente'!$R$2:$R$492,0)),"")</f>
        <v/>
      </c>
    </row>
    <row r="440" customFormat="false" ht="15" hidden="false" customHeight="true" outlineLevel="0" collapsed="false">
      <c r="A440" s="29" t="n">
        <v>437</v>
      </c>
      <c r="B440" s="26" t="str">
        <f aca="false">IFERROR(INDEX('Output Utente'!$A$2:$A$492,MATCH(437,'Output Utente'!$R$2:$R$492,0)),"")</f>
        <v/>
      </c>
      <c r="C440" s="26" t="str">
        <f aca="false">IFERROR(INDEX('Output Utente'!$B$2:$B$492,MATCH(437,'Output Utente'!$R$2:$R$492,0)),"")</f>
        <v/>
      </c>
      <c r="D440" s="26" t="str">
        <f aca="false">IFERROR(INDEX('Output Utente'!$C$2:$C$492,MATCH(437,'Output Utente'!$R$2:$R$492,0)),"")</f>
        <v/>
      </c>
      <c r="E440" s="26" t="str">
        <f aca="false">IFERROR(INDEX('Input Giocatori 2026_27'!$D$3:$D$493,MATCH($B440,'Input Giocatori 2026_27'!$A$3:$A$493,0)),"")</f>
        <v/>
      </c>
      <c r="F440" s="27" t="str">
        <f aca="false">IFERROR(INDEX('Output Utente'!$N$2:$N$492,MATCH(437,'Output Utente'!$R$2:$R$492,0)),"")</f>
        <v/>
      </c>
      <c r="G440" s="26" t="str">
        <f aca="false">IFERROR(INDEX('Output Utente'!$O$2:$O$492,MATCH(437,'Output Utente'!$R$2:$R$492,0)),"")</f>
        <v/>
      </c>
      <c r="H440" s="26" t="str">
        <f aca="false">IFERROR(INDEX('Output Utente'!$P$2:$P$492,MATCH(437,'Output Utente'!$R$2:$R$492,0)),"")</f>
        <v/>
      </c>
      <c r="I440" s="27" t="str">
        <f aca="false">IFERROR(INDEX('Output Utente'!$F$2:$F$492,MATCH(437,'Output Utente'!$R$2:$R$492,0)),"")</f>
        <v/>
      </c>
      <c r="J440" s="27" t="str">
        <f aca="false">IFERROR(INDEX('Output Utente'!$G$2:$G$492,MATCH(437,'Output Utente'!$R$2:$R$492,0)),"")</f>
        <v/>
      </c>
      <c r="K440" s="27" t="str">
        <f aca="false">IFERROR(INDEX('Output Utente'!$H$2:$H$492,MATCH(437,'Output Utente'!$R$2:$R$492,0)),"")</f>
        <v/>
      </c>
      <c r="L440" s="26" t="str">
        <f aca="false">IFERROR(INDEX('Output Utente'!$E$2:$E$492,MATCH(437,'Output Utente'!$R$2:$R$492,0)),"")</f>
        <v/>
      </c>
    </row>
    <row r="441" customFormat="false" ht="15" hidden="false" customHeight="true" outlineLevel="0" collapsed="false">
      <c r="A441" s="29" t="n">
        <v>438</v>
      </c>
      <c r="B441" s="26" t="str">
        <f aca="false">IFERROR(INDEX('Output Utente'!$A$2:$A$492,MATCH(438,'Output Utente'!$R$2:$R$492,0)),"")</f>
        <v/>
      </c>
      <c r="C441" s="26" t="str">
        <f aca="false">IFERROR(INDEX('Output Utente'!$B$2:$B$492,MATCH(438,'Output Utente'!$R$2:$R$492,0)),"")</f>
        <v/>
      </c>
      <c r="D441" s="26" t="str">
        <f aca="false">IFERROR(INDEX('Output Utente'!$C$2:$C$492,MATCH(438,'Output Utente'!$R$2:$R$492,0)),"")</f>
        <v/>
      </c>
      <c r="E441" s="26" t="str">
        <f aca="false">IFERROR(INDEX('Input Giocatori 2026_27'!$D$3:$D$493,MATCH($B441,'Input Giocatori 2026_27'!$A$3:$A$493,0)),"")</f>
        <v/>
      </c>
      <c r="F441" s="27" t="str">
        <f aca="false">IFERROR(INDEX('Output Utente'!$N$2:$N$492,MATCH(438,'Output Utente'!$R$2:$R$492,0)),"")</f>
        <v/>
      </c>
      <c r="G441" s="26" t="str">
        <f aca="false">IFERROR(INDEX('Output Utente'!$O$2:$O$492,MATCH(438,'Output Utente'!$R$2:$R$492,0)),"")</f>
        <v/>
      </c>
      <c r="H441" s="26" t="str">
        <f aca="false">IFERROR(INDEX('Output Utente'!$P$2:$P$492,MATCH(438,'Output Utente'!$R$2:$R$492,0)),"")</f>
        <v/>
      </c>
      <c r="I441" s="27" t="str">
        <f aca="false">IFERROR(INDEX('Output Utente'!$F$2:$F$492,MATCH(438,'Output Utente'!$R$2:$R$492,0)),"")</f>
        <v/>
      </c>
      <c r="J441" s="27" t="str">
        <f aca="false">IFERROR(INDEX('Output Utente'!$G$2:$G$492,MATCH(438,'Output Utente'!$R$2:$R$492,0)),"")</f>
        <v/>
      </c>
      <c r="K441" s="27" t="str">
        <f aca="false">IFERROR(INDEX('Output Utente'!$H$2:$H$492,MATCH(438,'Output Utente'!$R$2:$R$492,0)),"")</f>
        <v/>
      </c>
      <c r="L441" s="26" t="str">
        <f aca="false">IFERROR(INDEX('Output Utente'!$E$2:$E$492,MATCH(438,'Output Utente'!$R$2:$R$492,0)),"")</f>
        <v/>
      </c>
    </row>
    <row r="442" customFormat="false" ht="15" hidden="false" customHeight="true" outlineLevel="0" collapsed="false">
      <c r="A442" s="29" t="n">
        <v>439</v>
      </c>
      <c r="B442" s="26" t="str">
        <f aca="false">IFERROR(INDEX('Output Utente'!$A$2:$A$492,MATCH(439,'Output Utente'!$R$2:$R$492,0)),"")</f>
        <v/>
      </c>
      <c r="C442" s="26" t="str">
        <f aca="false">IFERROR(INDEX('Output Utente'!$B$2:$B$492,MATCH(439,'Output Utente'!$R$2:$R$492,0)),"")</f>
        <v/>
      </c>
      <c r="D442" s="26" t="str">
        <f aca="false">IFERROR(INDEX('Output Utente'!$C$2:$C$492,MATCH(439,'Output Utente'!$R$2:$R$492,0)),"")</f>
        <v/>
      </c>
      <c r="E442" s="26" t="str">
        <f aca="false">IFERROR(INDEX('Input Giocatori 2026_27'!$D$3:$D$493,MATCH($B442,'Input Giocatori 2026_27'!$A$3:$A$493,0)),"")</f>
        <v/>
      </c>
      <c r="F442" s="27" t="str">
        <f aca="false">IFERROR(INDEX('Output Utente'!$N$2:$N$492,MATCH(439,'Output Utente'!$R$2:$R$492,0)),"")</f>
        <v/>
      </c>
      <c r="G442" s="26" t="str">
        <f aca="false">IFERROR(INDEX('Output Utente'!$O$2:$O$492,MATCH(439,'Output Utente'!$R$2:$R$492,0)),"")</f>
        <v/>
      </c>
      <c r="H442" s="26" t="str">
        <f aca="false">IFERROR(INDEX('Output Utente'!$P$2:$P$492,MATCH(439,'Output Utente'!$R$2:$R$492,0)),"")</f>
        <v/>
      </c>
      <c r="I442" s="27" t="str">
        <f aca="false">IFERROR(INDEX('Output Utente'!$F$2:$F$492,MATCH(439,'Output Utente'!$R$2:$R$492,0)),"")</f>
        <v/>
      </c>
      <c r="J442" s="27" t="str">
        <f aca="false">IFERROR(INDEX('Output Utente'!$G$2:$G$492,MATCH(439,'Output Utente'!$R$2:$R$492,0)),"")</f>
        <v/>
      </c>
      <c r="K442" s="27" t="str">
        <f aca="false">IFERROR(INDEX('Output Utente'!$H$2:$H$492,MATCH(439,'Output Utente'!$R$2:$R$492,0)),"")</f>
        <v/>
      </c>
      <c r="L442" s="26" t="str">
        <f aca="false">IFERROR(INDEX('Output Utente'!$E$2:$E$492,MATCH(439,'Output Utente'!$R$2:$R$492,0)),"")</f>
        <v/>
      </c>
    </row>
    <row r="443" customFormat="false" ht="15" hidden="false" customHeight="true" outlineLevel="0" collapsed="false">
      <c r="A443" s="29" t="n">
        <v>440</v>
      </c>
      <c r="B443" s="26" t="str">
        <f aca="false">IFERROR(INDEX('Output Utente'!$A$2:$A$492,MATCH(440,'Output Utente'!$R$2:$R$492,0)),"")</f>
        <v/>
      </c>
      <c r="C443" s="26" t="str">
        <f aca="false">IFERROR(INDEX('Output Utente'!$B$2:$B$492,MATCH(440,'Output Utente'!$R$2:$R$492,0)),"")</f>
        <v/>
      </c>
      <c r="D443" s="26" t="str">
        <f aca="false">IFERROR(INDEX('Output Utente'!$C$2:$C$492,MATCH(440,'Output Utente'!$R$2:$R$492,0)),"")</f>
        <v/>
      </c>
      <c r="E443" s="26" t="str">
        <f aca="false">IFERROR(INDEX('Input Giocatori 2026_27'!$D$3:$D$493,MATCH($B443,'Input Giocatori 2026_27'!$A$3:$A$493,0)),"")</f>
        <v/>
      </c>
      <c r="F443" s="27" t="str">
        <f aca="false">IFERROR(INDEX('Output Utente'!$N$2:$N$492,MATCH(440,'Output Utente'!$R$2:$R$492,0)),"")</f>
        <v/>
      </c>
      <c r="G443" s="26" t="str">
        <f aca="false">IFERROR(INDEX('Output Utente'!$O$2:$O$492,MATCH(440,'Output Utente'!$R$2:$R$492,0)),"")</f>
        <v/>
      </c>
      <c r="H443" s="26" t="str">
        <f aca="false">IFERROR(INDEX('Output Utente'!$P$2:$P$492,MATCH(440,'Output Utente'!$R$2:$R$492,0)),"")</f>
        <v/>
      </c>
      <c r="I443" s="27" t="str">
        <f aca="false">IFERROR(INDEX('Output Utente'!$F$2:$F$492,MATCH(440,'Output Utente'!$R$2:$R$492,0)),"")</f>
        <v/>
      </c>
      <c r="J443" s="27" t="str">
        <f aca="false">IFERROR(INDEX('Output Utente'!$G$2:$G$492,MATCH(440,'Output Utente'!$R$2:$R$492,0)),"")</f>
        <v/>
      </c>
      <c r="K443" s="27" t="str">
        <f aca="false">IFERROR(INDEX('Output Utente'!$H$2:$H$492,MATCH(440,'Output Utente'!$R$2:$R$492,0)),"")</f>
        <v/>
      </c>
      <c r="L443" s="26" t="str">
        <f aca="false">IFERROR(INDEX('Output Utente'!$E$2:$E$492,MATCH(440,'Output Utente'!$R$2:$R$492,0)),"")</f>
        <v/>
      </c>
    </row>
    <row r="444" customFormat="false" ht="15" hidden="false" customHeight="true" outlineLevel="0" collapsed="false">
      <c r="A444" s="29" t="n">
        <v>441</v>
      </c>
      <c r="B444" s="26" t="str">
        <f aca="false">IFERROR(INDEX('Output Utente'!$A$2:$A$492,MATCH(441,'Output Utente'!$R$2:$R$492,0)),"")</f>
        <v/>
      </c>
      <c r="C444" s="26" t="str">
        <f aca="false">IFERROR(INDEX('Output Utente'!$B$2:$B$492,MATCH(441,'Output Utente'!$R$2:$R$492,0)),"")</f>
        <v/>
      </c>
      <c r="D444" s="26" t="str">
        <f aca="false">IFERROR(INDEX('Output Utente'!$C$2:$C$492,MATCH(441,'Output Utente'!$R$2:$R$492,0)),"")</f>
        <v/>
      </c>
      <c r="E444" s="26" t="str">
        <f aca="false">IFERROR(INDEX('Input Giocatori 2026_27'!$D$3:$D$493,MATCH($B444,'Input Giocatori 2026_27'!$A$3:$A$493,0)),"")</f>
        <v/>
      </c>
      <c r="F444" s="27" t="str">
        <f aca="false">IFERROR(INDEX('Output Utente'!$N$2:$N$492,MATCH(441,'Output Utente'!$R$2:$R$492,0)),"")</f>
        <v/>
      </c>
      <c r="G444" s="26" t="str">
        <f aca="false">IFERROR(INDEX('Output Utente'!$O$2:$O$492,MATCH(441,'Output Utente'!$R$2:$R$492,0)),"")</f>
        <v/>
      </c>
      <c r="H444" s="26" t="str">
        <f aca="false">IFERROR(INDEX('Output Utente'!$P$2:$P$492,MATCH(441,'Output Utente'!$R$2:$R$492,0)),"")</f>
        <v/>
      </c>
      <c r="I444" s="27" t="str">
        <f aca="false">IFERROR(INDEX('Output Utente'!$F$2:$F$492,MATCH(441,'Output Utente'!$R$2:$R$492,0)),"")</f>
        <v/>
      </c>
      <c r="J444" s="27" t="str">
        <f aca="false">IFERROR(INDEX('Output Utente'!$G$2:$G$492,MATCH(441,'Output Utente'!$R$2:$R$492,0)),"")</f>
        <v/>
      </c>
      <c r="K444" s="27" t="str">
        <f aca="false">IFERROR(INDEX('Output Utente'!$H$2:$H$492,MATCH(441,'Output Utente'!$R$2:$R$492,0)),"")</f>
        <v/>
      </c>
      <c r="L444" s="26" t="str">
        <f aca="false">IFERROR(INDEX('Output Utente'!$E$2:$E$492,MATCH(441,'Output Utente'!$R$2:$R$492,0)),"")</f>
        <v/>
      </c>
    </row>
    <row r="445" customFormat="false" ht="15" hidden="false" customHeight="true" outlineLevel="0" collapsed="false">
      <c r="A445" s="29" t="n">
        <v>442</v>
      </c>
      <c r="B445" s="26" t="str">
        <f aca="false">IFERROR(INDEX('Output Utente'!$A$2:$A$492,MATCH(442,'Output Utente'!$R$2:$R$492,0)),"")</f>
        <v/>
      </c>
      <c r="C445" s="26" t="str">
        <f aca="false">IFERROR(INDEX('Output Utente'!$B$2:$B$492,MATCH(442,'Output Utente'!$R$2:$R$492,0)),"")</f>
        <v/>
      </c>
      <c r="D445" s="26" t="str">
        <f aca="false">IFERROR(INDEX('Output Utente'!$C$2:$C$492,MATCH(442,'Output Utente'!$R$2:$R$492,0)),"")</f>
        <v/>
      </c>
      <c r="E445" s="26" t="str">
        <f aca="false">IFERROR(INDEX('Input Giocatori 2026_27'!$D$3:$D$493,MATCH($B445,'Input Giocatori 2026_27'!$A$3:$A$493,0)),"")</f>
        <v/>
      </c>
      <c r="F445" s="27" t="str">
        <f aca="false">IFERROR(INDEX('Output Utente'!$N$2:$N$492,MATCH(442,'Output Utente'!$R$2:$R$492,0)),"")</f>
        <v/>
      </c>
      <c r="G445" s="26" t="str">
        <f aca="false">IFERROR(INDEX('Output Utente'!$O$2:$O$492,MATCH(442,'Output Utente'!$R$2:$R$492,0)),"")</f>
        <v/>
      </c>
      <c r="H445" s="26" t="str">
        <f aca="false">IFERROR(INDEX('Output Utente'!$P$2:$P$492,MATCH(442,'Output Utente'!$R$2:$R$492,0)),"")</f>
        <v/>
      </c>
      <c r="I445" s="27" t="str">
        <f aca="false">IFERROR(INDEX('Output Utente'!$F$2:$F$492,MATCH(442,'Output Utente'!$R$2:$R$492,0)),"")</f>
        <v/>
      </c>
      <c r="J445" s="27" t="str">
        <f aca="false">IFERROR(INDEX('Output Utente'!$G$2:$G$492,MATCH(442,'Output Utente'!$R$2:$R$492,0)),"")</f>
        <v/>
      </c>
      <c r="K445" s="27" t="str">
        <f aca="false">IFERROR(INDEX('Output Utente'!$H$2:$H$492,MATCH(442,'Output Utente'!$R$2:$R$492,0)),"")</f>
        <v/>
      </c>
      <c r="L445" s="26" t="str">
        <f aca="false">IFERROR(INDEX('Output Utente'!$E$2:$E$492,MATCH(442,'Output Utente'!$R$2:$R$492,0)),"")</f>
        <v/>
      </c>
    </row>
    <row r="446" customFormat="false" ht="15" hidden="false" customHeight="true" outlineLevel="0" collapsed="false">
      <c r="A446" s="29" t="n">
        <v>443</v>
      </c>
      <c r="B446" s="26" t="str">
        <f aca="false">IFERROR(INDEX('Output Utente'!$A$2:$A$492,MATCH(443,'Output Utente'!$R$2:$R$492,0)),"")</f>
        <v/>
      </c>
      <c r="C446" s="26" t="str">
        <f aca="false">IFERROR(INDEX('Output Utente'!$B$2:$B$492,MATCH(443,'Output Utente'!$R$2:$R$492,0)),"")</f>
        <v/>
      </c>
      <c r="D446" s="26" t="str">
        <f aca="false">IFERROR(INDEX('Output Utente'!$C$2:$C$492,MATCH(443,'Output Utente'!$R$2:$R$492,0)),"")</f>
        <v/>
      </c>
      <c r="E446" s="26" t="str">
        <f aca="false">IFERROR(INDEX('Input Giocatori 2026_27'!$D$3:$D$493,MATCH($B446,'Input Giocatori 2026_27'!$A$3:$A$493,0)),"")</f>
        <v/>
      </c>
      <c r="F446" s="27" t="str">
        <f aca="false">IFERROR(INDEX('Output Utente'!$N$2:$N$492,MATCH(443,'Output Utente'!$R$2:$R$492,0)),"")</f>
        <v/>
      </c>
      <c r="G446" s="26" t="str">
        <f aca="false">IFERROR(INDEX('Output Utente'!$O$2:$O$492,MATCH(443,'Output Utente'!$R$2:$R$492,0)),"")</f>
        <v/>
      </c>
      <c r="H446" s="26" t="str">
        <f aca="false">IFERROR(INDEX('Output Utente'!$P$2:$P$492,MATCH(443,'Output Utente'!$R$2:$R$492,0)),"")</f>
        <v/>
      </c>
      <c r="I446" s="27" t="str">
        <f aca="false">IFERROR(INDEX('Output Utente'!$F$2:$F$492,MATCH(443,'Output Utente'!$R$2:$R$492,0)),"")</f>
        <v/>
      </c>
      <c r="J446" s="27" t="str">
        <f aca="false">IFERROR(INDEX('Output Utente'!$G$2:$G$492,MATCH(443,'Output Utente'!$R$2:$R$492,0)),"")</f>
        <v/>
      </c>
      <c r="K446" s="27" t="str">
        <f aca="false">IFERROR(INDEX('Output Utente'!$H$2:$H$492,MATCH(443,'Output Utente'!$R$2:$R$492,0)),"")</f>
        <v/>
      </c>
      <c r="L446" s="26" t="str">
        <f aca="false">IFERROR(INDEX('Output Utente'!$E$2:$E$492,MATCH(443,'Output Utente'!$R$2:$R$492,0)),"")</f>
        <v/>
      </c>
    </row>
    <row r="447" customFormat="false" ht="15" hidden="false" customHeight="true" outlineLevel="0" collapsed="false">
      <c r="A447" s="29" t="n">
        <v>444</v>
      </c>
      <c r="B447" s="26" t="str">
        <f aca="false">IFERROR(INDEX('Output Utente'!$A$2:$A$492,MATCH(444,'Output Utente'!$R$2:$R$492,0)),"")</f>
        <v/>
      </c>
      <c r="C447" s="26" t="str">
        <f aca="false">IFERROR(INDEX('Output Utente'!$B$2:$B$492,MATCH(444,'Output Utente'!$R$2:$R$492,0)),"")</f>
        <v/>
      </c>
      <c r="D447" s="26" t="str">
        <f aca="false">IFERROR(INDEX('Output Utente'!$C$2:$C$492,MATCH(444,'Output Utente'!$R$2:$R$492,0)),"")</f>
        <v/>
      </c>
      <c r="E447" s="26" t="str">
        <f aca="false">IFERROR(INDEX('Input Giocatori 2026_27'!$D$3:$D$493,MATCH($B447,'Input Giocatori 2026_27'!$A$3:$A$493,0)),"")</f>
        <v/>
      </c>
      <c r="F447" s="27" t="str">
        <f aca="false">IFERROR(INDEX('Output Utente'!$N$2:$N$492,MATCH(444,'Output Utente'!$R$2:$R$492,0)),"")</f>
        <v/>
      </c>
      <c r="G447" s="26" t="str">
        <f aca="false">IFERROR(INDEX('Output Utente'!$O$2:$O$492,MATCH(444,'Output Utente'!$R$2:$R$492,0)),"")</f>
        <v/>
      </c>
      <c r="H447" s="26" t="str">
        <f aca="false">IFERROR(INDEX('Output Utente'!$P$2:$P$492,MATCH(444,'Output Utente'!$R$2:$R$492,0)),"")</f>
        <v/>
      </c>
      <c r="I447" s="27" t="str">
        <f aca="false">IFERROR(INDEX('Output Utente'!$F$2:$F$492,MATCH(444,'Output Utente'!$R$2:$R$492,0)),"")</f>
        <v/>
      </c>
      <c r="J447" s="27" t="str">
        <f aca="false">IFERROR(INDEX('Output Utente'!$G$2:$G$492,MATCH(444,'Output Utente'!$R$2:$R$492,0)),"")</f>
        <v/>
      </c>
      <c r="K447" s="27" t="str">
        <f aca="false">IFERROR(INDEX('Output Utente'!$H$2:$H$492,MATCH(444,'Output Utente'!$R$2:$R$492,0)),"")</f>
        <v/>
      </c>
      <c r="L447" s="26" t="str">
        <f aca="false">IFERROR(INDEX('Output Utente'!$E$2:$E$492,MATCH(444,'Output Utente'!$R$2:$R$492,0)),"")</f>
        <v/>
      </c>
    </row>
    <row r="448" customFormat="false" ht="15" hidden="false" customHeight="true" outlineLevel="0" collapsed="false">
      <c r="A448" s="29" t="n">
        <v>445</v>
      </c>
      <c r="B448" s="26" t="str">
        <f aca="false">IFERROR(INDEX('Output Utente'!$A$2:$A$492,MATCH(445,'Output Utente'!$R$2:$R$492,0)),"")</f>
        <v/>
      </c>
      <c r="C448" s="26" t="str">
        <f aca="false">IFERROR(INDEX('Output Utente'!$B$2:$B$492,MATCH(445,'Output Utente'!$R$2:$R$492,0)),"")</f>
        <v/>
      </c>
      <c r="D448" s="26" t="str">
        <f aca="false">IFERROR(INDEX('Output Utente'!$C$2:$C$492,MATCH(445,'Output Utente'!$R$2:$R$492,0)),"")</f>
        <v/>
      </c>
      <c r="E448" s="26" t="str">
        <f aca="false">IFERROR(INDEX('Input Giocatori 2026_27'!$D$3:$D$493,MATCH($B448,'Input Giocatori 2026_27'!$A$3:$A$493,0)),"")</f>
        <v/>
      </c>
      <c r="F448" s="27" t="str">
        <f aca="false">IFERROR(INDEX('Output Utente'!$N$2:$N$492,MATCH(445,'Output Utente'!$R$2:$R$492,0)),"")</f>
        <v/>
      </c>
      <c r="G448" s="26" t="str">
        <f aca="false">IFERROR(INDEX('Output Utente'!$O$2:$O$492,MATCH(445,'Output Utente'!$R$2:$R$492,0)),"")</f>
        <v/>
      </c>
      <c r="H448" s="26" t="str">
        <f aca="false">IFERROR(INDEX('Output Utente'!$P$2:$P$492,MATCH(445,'Output Utente'!$R$2:$R$492,0)),"")</f>
        <v/>
      </c>
      <c r="I448" s="27" t="str">
        <f aca="false">IFERROR(INDEX('Output Utente'!$F$2:$F$492,MATCH(445,'Output Utente'!$R$2:$R$492,0)),"")</f>
        <v/>
      </c>
      <c r="J448" s="27" t="str">
        <f aca="false">IFERROR(INDEX('Output Utente'!$G$2:$G$492,MATCH(445,'Output Utente'!$R$2:$R$492,0)),"")</f>
        <v/>
      </c>
      <c r="K448" s="27" t="str">
        <f aca="false">IFERROR(INDEX('Output Utente'!$H$2:$H$492,MATCH(445,'Output Utente'!$R$2:$R$492,0)),"")</f>
        <v/>
      </c>
      <c r="L448" s="26" t="str">
        <f aca="false">IFERROR(INDEX('Output Utente'!$E$2:$E$492,MATCH(445,'Output Utente'!$R$2:$R$492,0)),"")</f>
        <v/>
      </c>
    </row>
    <row r="449" customFormat="false" ht="15" hidden="false" customHeight="true" outlineLevel="0" collapsed="false">
      <c r="A449" s="29" t="n">
        <v>446</v>
      </c>
      <c r="B449" s="26" t="str">
        <f aca="false">IFERROR(INDEX('Output Utente'!$A$2:$A$492,MATCH(446,'Output Utente'!$R$2:$R$492,0)),"")</f>
        <v/>
      </c>
      <c r="C449" s="26" t="str">
        <f aca="false">IFERROR(INDEX('Output Utente'!$B$2:$B$492,MATCH(446,'Output Utente'!$R$2:$R$492,0)),"")</f>
        <v/>
      </c>
      <c r="D449" s="26" t="str">
        <f aca="false">IFERROR(INDEX('Output Utente'!$C$2:$C$492,MATCH(446,'Output Utente'!$R$2:$R$492,0)),"")</f>
        <v/>
      </c>
      <c r="E449" s="26" t="str">
        <f aca="false">IFERROR(INDEX('Input Giocatori 2026_27'!$D$3:$D$493,MATCH($B449,'Input Giocatori 2026_27'!$A$3:$A$493,0)),"")</f>
        <v/>
      </c>
      <c r="F449" s="27" t="str">
        <f aca="false">IFERROR(INDEX('Output Utente'!$N$2:$N$492,MATCH(446,'Output Utente'!$R$2:$R$492,0)),"")</f>
        <v/>
      </c>
      <c r="G449" s="26" t="str">
        <f aca="false">IFERROR(INDEX('Output Utente'!$O$2:$O$492,MATCH(446,'Output Utente'!$R$2:$R$492,0)),"")</f>
        <v/>
      </c>
      <c r="H449" s="26" t="str">
        <f aca="false">IFERROR(INDEX('Output Utente'!$P$2:$P$492,MATCH(446,'Output Utente'!$R$2:$R$492,0)),"")</f>
        <v/>
      </c>
      <c r="I449" s="27" t="str">
        <f aca="false">IFERROR(INDEX('Output Utente'!$F$2:$F$492,MATCH(446,'Output Utente'!$R$2:$R$492,0)),"")</f>
        <v/>
      </c>
      <c r="J449" s="27" t="str">
        <f aca="false">IFERROR(INDEX('Output Utente'!$G$2:$G$492,MATCH(446,'Output Utente'!$R$2:$R$492,0)),"")</f>
        <v/>
      </c>
      <c r="K449" s="27" t="str">
        <f aca="false">IFERROR(INDEX('Output Utente'!$H$2:$H$492,MATCH(446,'Output Utente'!$R$2:$R$492,0)),"")</f>
        <v/>
      </c>
      <c r="L449" s="26" t="str">
        <f aca="false">IFERROR(INDEX('Output Utente'!$E$2:$E$492,MATCH(446,'Output Utente'!$R$2:$R$492,0)),"")</f>
        <v/>
      </c>
    </row>
    <row r="450" customFormat="false" ht="15" hidden="false" customHeight="true" outlineLevel="0" collapsed="false">
      <c r="A450" s="29" t="n">
        <v>447</v>
      </c>
      <c r="B450" s="26" t="str">
        <f aca="false">IFERROR(INDEX('Output Utente'!$A$2:$A$492,MATCH(447,'Output Utente'!$R$2:$R$492,0)),"")</f>
        <v/>
      </c>
      <c r="C450" s="26" t="str">
        <f aca="false">IFERROR(INDEX('Output Utente'!$B$2:$B$492,MATCH(447,'Output Utente'!$R$2:$R$492,0)),"")</f>
        <v/>
      </c>
      <c r="D450" s="26" t="str">
        <f aca="false">IFERROR(INDEX('Output Utente'!$C$2:$C$492,MATCH(447,'Output Utente'!$R$2:$R$492,0)),"")</f>
        <v/>
      </c>
      <c r="E450" s="26" t="str">
        <f aca="false">IFERROR(INDEX('Input Giocatori 2026_27'!$D$3:$D$493,MATCH($B450,'Input Giocatori 2026_27'!$A$3:$A$493,0)),"")</f>
        <v/>
      </c>
      <c r="F450" s="27" t="str">
        <f aca="false">IFERROR(INDEX('Output Utente'!$N$2:$N$492,MATCH(447,'Output Utente'!$R$2:$R$492,0)),"")</f>
        <v/>
      </c>
      <c r="G450" s="26" t="str">
        <f aca="false">IFERROR(INDEX('Output Utente'!$O$2:$O$492,MATCH(447,'Output Utente'!$R$2:$R$492,0)),"")</f>
        <v/>
      </c>
      <c r="H450" s="26" t="str">
        <f aca="false">IFERROR(INDEX('Output Utente'!$P$2:$P$492,MATCH(447,'Output Utente'!$R$2:$R$492,0)),"")</f>
        <v/>
      </c>
      <c r="I450" s="27" t="str">
        <f aca="false">IFERROR(INDEX('Output Utente'!$F$2:$F$492,MATCH(447,'Output Utente'!$R$2:$R$492,0)),"")</f>
        <v/>
      </c>
      <c r="J450" s="27" t="str">
        <f aca="false">IFERROR(INDEX('Output Utente'!$G$2:$G$492,MATCH(447,'Output Utente'!$R$2:$R$492,0)),"")</f>
        <v/>
      </c>
      <c r="K450" s="27" t="str">
        <f aca="false">IFERROR(INDEX('Output Utente'!$H$2:$H$492,MATCH(447,'Output Utente'!$R$2:$R$492,0)),"")</f>
        <v/>
      </c>
      <c r="L450" s="26" t="str">
        <f aca="false">IFERROR(INDEX('Output Utente'!$E$2:$E$492,MATCH(447,'Output Utente'!$R$2:$R$492,0)),"")</f>
        <v/>
      </c>
    </row>
    <row r="451" customFormat="false" ht="15" hidden="false" customHeight="true" outlineLevel="0" collapsed="false">
      <c r="A451" s="29" t="n">
        <v>448</v>
      </c>
      <c r="B451" s="26" t="str">
        <f aca="false">IFERROR(INDEX('Output Utente'!$A$2:$A$492,MATCH(448,'Output Utente'!$R$2:$R$492,0)),"")</f>
        <v/>
      </c>
      <c r="C451" s="26" t="str">
        <f aca="false">IFERROR(INDEX('Output Utente'!$B$2:$B$492,MATCH(448,'Output Utente'!$R$2:$R$492,0)),"")</f>
        <v/>
      </c>
      <c r="D451" s="26" t="str">
        <f aca="false">IFERROR(INDEX('Output Utente'!$C$2:$C$492,MATCH(448,'Output Utente'!$R$2:$R$492,0)),"")</f>
        <v/>
      </c>
      <c r="E451" s="26" t="str">
        <f aca="false">IFERROR(INDEX('Input Giocatori 2026_27'!$D$3:$D$493,MATCH($B451,'Input Giocatori 2026_27'!$A$3:$A$493,0)),"")</f>
        <v/>
      </c>
      <c r="F451" s="27" t="str">
        <f aca="false">IFERROR(INDEX('Output Utente'!$N$2:$N$492,MATCH(448,'Output Utente'!$R$2:$R$492,0)),"")</f>
        <v/>
      </c>
      <c r="G451" s="26" t="str">
        <f aca="false">IFERROR(INDEX('Output Utente'!$O$2:$O$492,MATCH(448,'Output Utente'!$R$2:$R$492,0)),"")</f>
        <v/>
      </c>
      <c r="H451" s="26" t="str">
        <f aca="false">IFERROR(INDEX('Output Utente'!$P$2:$P$492,MATCH(448,'Output Utente'!$R$2:$R$492,0)),"")</f>
        <v/>
      </c>
      <c r="I451" s="27" t="str">
        <f aca="false">IFERROR(INDEX('Output Utente'!$F$2:$F$492,MATCH(448,'Output Utente'!$R$2:$R$492,0)),"")</f>
        <v/>
      </c>
      <c r="J451" s="27" t="str">
        <f aca="false">IFERROR(INDEX('Output Utente'!$G$2:$G$492,MATCH(448,'Output Utente'!$R$2:$R$492,0)),"")</f>
        <v/>
      </c>
      <c r="K451" s="27" t="str">
        <f aca="false">IFERROR(INDEX('Output Utente'!$H$2:$H$492,MATCH(448,'Output Utente'!$R$2:$R$492,0)),"")</f>
        <v/>
      </c>
      <c r="L451" s="26" t="str">
        <f aca="false">IFERROR(INDEX('Output Utente'!$E$2:$E$492,MATCH(448,'Output Utente'!$R$2:$R$492,0)),"")</f>
        <v/>
      </c>
    </row>
    <row r="452" customFormat="false" ht="15" hidden="false" customHeight="true" outlineLevel="0" collapsed="false">
      <c r="A452" s="29" t="n">
        <v>449</v>
      </c>
      <c r="B452" s="26" t="str">
        <f aca="false">IFERROR(INDEX('Output Utente'!$A$2:$A$492,MATCH(449,'Output Utente'!$R$2:$R$492,0)),"")</f>
        <v/>
      </c>
      <c r="C452" s="26" t="str">
        <f aca="false">IFERROR(INDEX('Output Utente'!$B$2:$B$492,MATCH(449,'Output Utente'!$R$2:$R$492,0)),"")</f>
        <v/>
      </c>
      <c r="D452" s="26" t="str">
        <f aca="false">IFERROR(INDEX('Output Utente'!$C$2:$C$492,MATCH(449,'Output Utente'!$R$2:$R$492,0)),"")</f>
        <v/>
      </c>
      <c r="E452" s="26" t="str">
        <f aca="false">IFERROR(INDEX('Input Giocatori 2026_27'!$D$3:$D$493,MATCH($B452,'Input Giocatori 2026_27'!$A$3:$A$493,0)),"")</f>
        <v/>
      </c>
      <c r="F452" s="27" t="str">
        <f aca="false">IFERROR(INDEX('Output Utente'!$N$2:$N$492,MATCH(449,'Output Utente'!$R$2:$R$492,0)),"")</f>
        <v/>
      </c>
      <c r="G452" s="26" t="str">
        <f aca="false">IFERROR(INDEX('Output Utente'!$O$2:$O$492,MATCH(449,'Output Utente'!$R$2:$R$492,0)),"")</f>
        <v/>
      </c>
      <c r="H452" s="26" t="str">
        <f aca="false">IFERROR(INDEX('Output Utente'!$P$2:$P$492,MATCH(449,'Output Utente'!$R$2:$R$492,0)),"")</f>
        <v/>
      </c>
      <c r="I452" s="27" t="str">
        <f aca="false">IFERROR(INDEX('Output Utente'!$F$2:$F$492,MATCH(449,'Output Utente'!$R$2:$R$492,0)),"")</f>
        <v/>
      </c>
      <c r="J452" s="27" t="str">
        <f aca="false">IFERROR(INDEX('Output Utente'!$G$2:$G$492,MATCH(449,'Output Utente'!$R$2:$R$492,0)),"")</f>
        <v/>
      </c>
      <c r="K452" s="27" t="str">
        <f aca="false">IFERROR(INDEX('Output Utente'!$H$2:$H$492,MATCH(449,'Output Utente'!$R$2:$R$492,0)),"")</f>
        <v/>
      </c>
      <c r="L452" s="26" t="str">
        <f aca="false">IFERROR(INDEX('Output Utente'!$E$2:$E$492,MATCH(449,'Output Utente'!$R$2:$R$492,0)),"")</f>
        <v/>
      </c>
    </row>
    <row r="453" customFormat="false" ht="15" hidden="false" customHeight="true" outlineLevel="0" collapsed="false">
      <c r="A453" s="29" t="n">
        <v>450</v>
      </c>
      <c r="B453" s="26" t="str">
        <f aca="false">IFERROR(INDEX('Output Utente'!$A$2:$A$492,MATCH(450,'Output Utente'!$R$2:$R$492,0)),"")</f>
        <v/>
      </c>
      <c r="C453" s="26" t="str">
        <f aca="false">IFERROR(INDEX('Output Utente'!$B$2:$B$492,MATCH(450,'Output Utente'!$R$2:$R$492,0)),"")</f>
        <v/>
      </c>
      <c r="D453" s="26" t="str">
        <f aca="false">IFERROR(INDEX('Output Utente'!$C$2:$C$492,MATCH(450,'Output Utente'!$R$2:$R$492,0)),"")</f>
        <v/>
      </c>
      <c r="E453" s="26" t="str">
        <f aca="false">IFERROR(INDEX('Input Giocatori 2026_27'!$D$3:$D$493,MATCH($B453,'Input Giocatori 2026_27'!$A$3:$A$493,0)),"")</f>
        <v/>
      </c>
      <c r="F453" s="27" t="str">
        <f aca="false">IFERROR(INDEX('Output Utente'!$N$2:$N$492,MATCH(450,'Output Utente'!$R$2:$R$492,0)),"")</f>
        <v/>
      </c>
      <c r="G453" s="26" t="str">
        <f aca="false">IFERROR(INDEX('Output Utente'!$O$2:$O$492,MATCH(450,'Output Utente'!$R$2:$R$492,0)),"")</f>
        <v/>
      </c>
      <c r="H453" s="26" t="str">
        <f aca="false">IFERROR(INDEX('Output Utente'!$P$2:$P$492,MATCH(450,'Output Utente'!$R$2:$R$492,0)),"")</f>
        <v/>
      </c>
      <c r="I453" s="27" t="str">
        <f aca="false">IFERROR(INDEX('Output Utente'!$F$2:$F$492,MATCH(450,'Output Utente'!$R$2:$R$492,0)),"")</f>
        <v/>
      </c>
      <c r="J453" s="27" t="str">
        <f aca="false">IFERROR(INDEX('Output Utente'!$G$2:$G$492,MATCH(450,'Output Utente'!$R$2:$R$492,0)),"")</f>
        <v/>
      </c>
      <c r="K453" s="27" t="str">
        <f aca="false">IFERROR(INDEX('Output Utente'!$H$2:$H$492,MATCH(450,'Output Utente'!$R$2:$R$492,0)),"")</f>
        <v/>
      </c>
      <c r="L453" s="26" t="str">
        <f aca="false">IFERROR(INDEX('Output Utente'!$E$2:$E$492,MATCH(450,'Output Utente'!$R$2:$R$492,0)),"")</f>
        <v/>
      </c>
    </row>
    <row r="454" customFormat="false" ht="15" hidden="false" customHeight="true" outlineLevel="0" collapsed="false">
      <c r="A454" s="29" t="n">
        <v>451</v>
      </c>
      <c r="B454" s="26" t="str">
        <f aca="false">IFERROR(INDEX('Output Utente'!$A$2:$A$492,MATCH(451,'Output Utente'!$R$2:$R$492,0)),"")</f>
        <v/>
      </c>
      <c r="C454" s="26" t="str">
        <f aca="false">IFERROR(INDEX('Output Utente'!$B$2:$B$492,MATCH(451,'Output Utente'!$R$2:$R$492,0)),"")</f>
        <v/>
      </c>
      <c r="D454" s="26" t="str">
        <f aca="false">IFERROR(INDEX('Output Utente'!$C$2:$C$492,MATCH(451,'Output Utente'!$R$2:$R$492,0)),"")</f>
        <v/>
      </c>
      <c r="E454" s="26" t="str">
        <f aca="false">IFERROR(INDEX('Input Giocatori 2026_27'!$D$3:$D$493,MATCH($B454,'Input Giocatori 2026_27'!$A$3:$A$493,0)),"")</f>
        <v/>
      </c>
      <c r="F454" s="27" t="str">
        <f aca="false">IFERROR(INDEX('Output Utente'!$N$2:$N$492,MATCH(451,'Output Utente'!$R$2:$R$492,0)),"")</f>
        <v/>
      </c>
      <c r="G454" s="26" t="str">
        <f aca="false">IFERROR(INDEX('Output Utente'!$O$2:$O$492,MATCH(451,'Output Utente'!$R$2:$R$492,0)),"")</f>
        <v/>
      </c>
      <c r="H454" s="26" t="str">
        <f aca="false">IFERROR(INDEX('Output Utente'!$P$2:$P$492,MATCH(451,'Output Utente'!$R$2:$R$492,0)),"")</f>
        <v/>
      </c>
      <c r="I454" s="27" t="str">
        <f aca="false">IFERROR(INDEX('Output Utente'!$F$2:$F$492,MATCH(451,'Output Utente'!$R$2:$R$492,0)),"")</f>
        <v/>
      </c>
      <c r="J454" s="27" t="str">
        <f aca="false">IFERROR(INDEX('Output Utente'!$G$2:$G$492,MATCH(451,'Output Utente'!$R$2:$R$492,0)),"")</f>
        <v/>
      </c>
      <c r="K454" s="27" t="str">
        <f aca="false">IFERROR(INDEX('Output Utente'!$H$2:$H$492,MATCH(451,'Output Utente'!$R$2:$R$492,0)),"")</f>
        <v/>
      </c>
      <c r="L454" s="26" t="str">
        <f aca="false">IFERROR(INDEX('Output Utente'!$E$2:$E$492,MATCH(451,'Output Utente'!$R$2:$R$492,0)),"")</f>
        <v/>
      </c>
    </row>
    <row r="455" customFormat="false" ht="15" hidden="false" customHeight="true" outlineLevel="0" collapsed="false">
      <c r="A455" s="29" t="n">
        <v>452</v>
      </c>
      <c r="B455" s="26" t="str">
        <f aca="false">IFERROR(INDEX('Output Utente'!$A$2:$A$492,MATCH(452,'Output Utente'!$R$2:$R$492,0)),"")</f>
        <v/>
      </c>
      <c r="C455" s="26" t="str">
        <f aca="false">IFERROR(INDEX('Output Utente'!$B$2:$B$492,MATCH(452,'Output Utente'!$R$2:$R$492,0)),"")</f>
        <v/>
      </c>
      <c r="D455" s="26" t="str">
        <f aca="false">IFERROR(INDEX('Output Utente'!$C$2:$C$492,MATCH(452,'Output Utente'!$R$2:$R$492,0)),"")</f>
        <v/>
      </c>
      <c r="E455" s="26" t="str">
        <f aca="false">IFERROR(INDEX('Input Giocatori 2026_27'!$D$3:$D$493,MATCH($B455,'Input Giocatori 2026_27'!$A$3:$A$493,0)),"")</f>
        <v/>
      </c>
      <c r="F455" s="27" t="str">
        <f aca="false">IFERROR(INDEX('Output Utente'!$N$2:$N$492,MATCH(452,'Output Utente'!$R$2:$R$492,0)),"")</f>
        <v/>
      </c>
      <c r="G455" s="26" t="str">
        <f aca="false">IFERROR(INDEX('Output Utente'!$O$2:$O$492,MATCH(452,'Output Utente'!$R$2:$R$492,0)),"")</f>
        <v/>
      </c>
      <c r="H455" s="26" t="str">
        <f aca="false">IFERROR(INDEX('Output Utente'!$P$2:$P$492,MATCH(452,'Output Utente'!$R$2:$R$492,0)),"")</f>
        <v/>
      </c>
      <c r="I455" s="27" t="str">
        <f aca="false">IFERROR(INDEX('Output Utente'!$F$2:$F$492,MATCH(452,'Output Utente'!$R$2:$R$492,0)),"")</f>
        <v/>
      </c>
      <c r="J455" s="27" t="str">
        <f aca="false">IFERROR(INDEX('Output Utente'!$G$2:$G$492,MATCH(452,'Output Utente'!$R$2:$R$492,0)),"")</f>
        <v/>
      </c>
      <c r="K455" s="27" t="str">
        <f aca="false">IFERROR(INDEX('Output Utente'!$H$2:$H$492,MATCH(452,'Output Utente'!$R$2:$R$492,0)),"")</f>
        <v/>
      </c>
      <c r="L455" s="26" t="str">
        <f aca="false">IFERROR(INDEX('Output Utente'!$E$2:$E$492,MATCH(452,'Output Utente'!$R$2:$R$492,0)),"")</f>
        <v/>
      </c>
    </row>
    <row r="456" customFormat="false" ht="15" hidden="false" customHeight="true" outlineLevel="0" collapsed="false">
      <c r="A456" s="29" t="n">
        <v>453</v>
      </c>
      <c r="B456" s="26" t="str">
        <f aca="false">IFERROR(INDEX('Output Utente'!$A$2:$A$492,MATCH(453,'Output Utente'!$R$2:$R$492,0)),"")</f>
        <v/>
      </c>
      <c r="C456" s="26" t="str">
        <f aca="false">IFERROR(INDEX('Output Utente'!$B$2:$B$492,MATCH(453,'Output Utente'!$R$2:$R$492,0)),"")</f>
        <v/>
      </c>
      <c r="D456" s="26" t="str">
        <f aca="false">IFERROR(INDEX('Output Utente'!$C$2:$C$492,MATCH(453,'Output Utente'!$R$2:$R$492,0)),"")</f>
        <v/>
      </c>
      <c r="E456" s="26" t="str">
        <f aca="false">IFERROR(INDEX('Input Giocatori 2026_27'!$D$3:$D$493,MATCH($B456,'Input Giocatori 2026_27'!$A$3:$A$493,0)),"")</f>
        <v/>
      </c>
      <c r="F456" s="27" t="str">
        <f aca="false">IFERROR(INDEX('Output Utente'!$N$2:$N$492,MATCH(453,'Output Utente'!$R$2:$R$492,0)),"")</f>
        <v/>
      </c>
      <c r="G456" s="26" t="str">
        <f aca="false">IFERROR(INDEX('Output Utente'!$O$2:$O$492,MATCH(453,'Output Utente'!$R$2:$R$492,0)),"")</f>
        <v/>
      </c>
      <c r="H456" s="26" t="str">
        <f aca="false">IFERROR(INDEX('Output Utente'!$P$2:$P$492,MATCH(453,'Output Utente'!$R$2:$R$492,0)),"")</f>
        <v/>
      </c>
      <c r="I456" s="27" t="str">
        <f aca="false">IFERROR(INDEX('Output Utente'!$F$2:$F$492,MATCH(453,'Output Utente'!$R$2:$R$492,0)),"")</f>
        <v/>
      </c>
      <c r="J456" s="27" t="str">
        <f aca="false">IFERROR(INDEX('Output Utente'!$G$2:$G$492,MATCH(453,'Output Utente'!$R$2:$R$492,0)),"")</f>
        <v/>
      </c>
      <c r="K456" s="27" t="str">
        <f aca="false">IFERROR(INDEX('Output Utente'!$H$2:$H$492,MATCH(453,'Output Utente'!$R$2:$R$492,0)),"")</f>
        <v/>
      </c>
      <c r="L456" s="26" t="str">
        <f aca="false">IFERROR(INDEX('Output Utente'!$E$2:$E$492,MATCH(453,'Output Utente'!$R$2:$R$492,0)),"")</f>
        <v/>
      </c>
    </row>
    <row r="457" customFormat="false" ht="15" hidden="false" customHeight="true" outlineLevel="0" collapsed="false">
      <c r="A457" s="29" t="n">
        <v>454</v>
      </c>
      <c r="B457" s="26" t="str">
        <f aca="false">IFERROR(INDEX('Output Utente'!$A$2:$A$492,MATCH(454,'Output Utente'!$R$2:$R$492,0)),"")</f>
        <v/>
      </c>
      <c r="C457" s="26" t="str">
        <f aca="false">IFERROR(INDEX('Output Utente'!$B$2:$B$492,MATCH(454,'Output Utente'!$R$2:$R$492,0)),"")</f>
        <v/>
      </c>
      <c r="D457" s="26" t="str">
        <f aca="false">IFERROR(INDEX('Output Utente'!$C$2:$C$492,MATCH(454,'Output Utente'!$R$2:$R$492,0)),"")</f>
        <v/>
      </c>
      <c r="E457" s="26" t="str">
        <f aca="false">IFERROR(INDEX('Input Giocatori 2026_27'!$D$3:$D$493,MATCH($B457,'Input Giocatori 2026_27'!$A$3:$A$493,0)),"")</f>
        <v/>
      </c>
      <c r="F457" s="27" t="str">
        <f aca="false">IFERROR(INDEX('Output Utente'!$N$2:$N$492,MATCH(454,'Output Utente'!$R$2:$R$492,0)),"")</f>
        <v/>
      </c>
      <c r="G457" s="26" t="str">
        <f aca="false">IFERROR(INDEX('Output Utente'!$O$2:$O$492,MATCH(454,'Output Utente'!$R$2:$R$492,0)),"")</f>
        <v/>
      </c>
      <c r="H457" s="26" t="str">
        <f aca="false">IFERROR(INDEX('Output Utente'!$P$2:$P$492,MATCH(454,'Output Utente'!$R$2:$R$492,0)),"")</f>
        <v/>
      </c>
      <c r="I457" s="27" t="str">
        <f aca="false">IFERROR(INDEX('Output Utente'!$F$2:$F$492,MATCH(454,'Output Utente'!$R$2:$R$492,0)),"")</f>
        <v/>
      </c>
      <c r="J457" s="27" t="str">
        <f aca="false">IFERROR(INDEX('Output Utente'!$G$2:$G$492,MATCH(454,'Output Utente'!$R$2:$R$492,0)),"")</f>
        <v/>
      </c>
      <c r="K457" s="27" t="str">
        <f aca="false">IFERROR(INDEX('Output Utente'!$H$2:$H$492,MATCH(454,'Output Utente'!$R$2:$R$492,0)),"")</f>
        <v/>
      </c>
      <c r="L457" s="26" t="str">
        <f aca="false">IFERROR(INDEX('Output Utente'!$E$2:$E$492,MATCH(454,'Output Utente'!$R$2:$R$492,0)),"")</f>
        <v/>
      </c>
    </row>
    <row r="458" customFormat="false" ht="15" hidden="false" customHeight="true" outlineLevel="0" collapsed="false">
      <c r="A458" s="29" t="n">
        <v>455</v>
      </c>
      <c r="B458" s="26" t="str">
        <f aca="false">IFERROR(INDEX('Output Utente'!$A$2:$A$492,MATCH(455,'Output Utente'!$R$2:$R$492,0)),"")</f>
        <v/>
      </c>
      <c r="C458" s="26" t="str">
        <f aca="false">IFERROR(INDEX('Output Utente'!$B$2:$B$492,MATCH(455,'Output Utente'!$R$2:$R$492,0)),"")</f>
        <v/>
      </c>
      <c r="D458" s="26" t="str">
        <f aca="false">IFERROR(INDEX('Output Utente'!$C$2:$C$492,MATCH(455,'Output Utente'!$R$2:$R$492,0)),"")</f>
        <v/>
      </c>
      <c r="E458" s="26" t="str">
        <f aca="false">IFERROR(INDEX('Input Giocatori 2026_27'!$D$3:$D$493,MATCH($B458,'Input Giocatori 2026_27'!$A$3:$A$493,0)),"")</f>
        <v/>
      </c>
      <c r="F458" s="27" t="str">
        <f aca="false">IFERROR(INDEX('Output Utente'!$N$2:$N$492,MATCH(455,'Output Utente'!$R$2:$R$492,0)),"")</f>
        <v/>
      </c>
      <c r="G458" s="26" t="str">
        <f aca="false">IFERROR(INDEX('Output Utente'!$O$2:$O$492,MATCH(455,'Output Utente'!$R$2:$R$492,0)),"")</f>
        <v/>
      </c>
      <c r="H458" s="26" t="str">
        <f aca="false">IFERROR(INDEX('Output Utente'!$P$2:$P$492,MATCH(455,'Output Utente'!$R$2:$R$492,0)),"")</f>
        <v/>
      </c>
      <c r="I458" s="27" t="str">
        <f aca="false">IFERROR(INDEX('Output Utente'!$F$2:$F$492,MATCH(455,'Output Utente'!$R$2:$R$492,0)),"")</f>
        <v/>
      </c>
      <c r="J458" s="27" t="str">
        <f aca="false">IFERROR(INDEX('Output Utente'!$G$2:$G$492,MATCH(455,'Output Utente'!$R$2:$R$492,0)),"")</f>
        <v/>
      </c>
      <c r="K458" s="27" t="str">
        <f aca="false">IFERROR(INDEX('Output Utente'!$H$2:$H$492,MATCH(455,'Output Utente'!$R$2:$R$492,0)),"")</f>
        <v/>
      </c>
      <c r="L458" s="26" t="str">
        <f aca="false">IFERROR(INDEX('Output Utente'!$E$2:$E$492,MATCH(455,'Output Utente'!$R$2:$R$492,0)),"")</f>
        <v/>
      </c>
    </row>
    <row r="459" customFormat="false" ht="15" hidden="false" customHeight="true" outlineLevel="0" collapsed="false">
      <c r="A459" s="29" t="n">
        <v>456</v>
      </c>
      <c r="B459" s="26" t="str">
        <f aca="false">IFERROR(INDEX('Output Utente'!$A$2:$A$492,MATCH(456,'Output Utente'!$R$2:$R$492,0)),"")</f>
        <v/>
      </c>
      <c r="C459" s="26" t="str">
        <f aca="false">IFERROR(INDEX('Output Utente'!$B$2:$B$492,MATCH(456,'Output Utente'!$R$2:$R$492,0)),"")</f>
        <v/>
      </c>
      <c r="D459" s="26" t="str">
        <f aca="false">IFERROR(INDEX('Output Utente'!$C$2:$C$492,MATCH(456,'Output Utente'!$R$2:$R$492,0)),"")</f>
        <v/>
      </c>
      <c r="E459" s="26" t="str">
        <f aca="false">IFERROR(INDEX('Input Giocatori 2026_27'!$D$3:$D$493,MATCH($B459,'Input Giocatori 2026_27'!$A$3:$A$493,0)),"")</f>
        <v/>
      </c>
      <c r="F459" s="27" t="str">
        <f aca="false">IFERROR(INDEX('Output Utente'!$N$2:$N$492,MATCH(456,'Output Utente'!$R$2:$R$492,0)),"")</f>
        <v/>
      </c>
      <c r="G459" s="26" t="str">
        <f aca="false">IFERROR(INDEX('Output Utente'!$O$2:$O$492,MATCH(456,'Output Utente'!$R$2:$R$492,0)),"")</f>
        <v/>
      </c>
      <c r="H459" s="26" t="str">
        <f aca="false">IFERROR(INDEX('Output Utente'!$P$2:$P$492,MATCH(456,'Output Utente'!$R$2:$R$492,0)),"")</f>
        <v/>
      </c>
      <c r="I459" s="27" t="str">
        <f aca="false">IFERROR(INDEX('Output Utente'!$F$2:$F$492,MATCH(456,'Output Utente'!$R$2:$R$492,0)),"")</f>
        <v/>
      </c>
      <c r="J459" s="27" t="str">
        <f aca="false">IFERROR(INDEX('Output Utente'!$G$2:$G$492,MATCH(456,'Output Utente'!$R$2:$R$492,0)),"")</f>
        <v/>
      </c>
      <c r="K459" s="27" t="str">
        <f aca="false">IFERROR(INDEX('Output Utente'!$H$2:$H$492,MATCH(456,'Output Utente'!$R$2:$R$492,0)),"")</f>
        <v/>
      </c>
      <c r="L459" s="26" t="str">
        <f aca="false">IFERROR(INDEX('Output Utente'!$E$2:$E$492,MATCH(456,'Output Utente'!$R$2:$R$492,0)),"")</f>
        <v/>
      </c>
    </row>
    <row r="460" customFormat="false" ht="15" hidden="false" customHeight="true" outlineLevel="0" collapsed="false">
      <c r="A460" s="29" t="n">
        <v>457</v>
      </c>
      <c r="B460" s="26" t="str">
        <f aca="false">IFERROR(INDEX('Output Utente'!$A$2:$A$492,MATCH(457,'Output Utente'!$R$2:$R$492,0)),"")</f>
        <v/>
      </c>
      <c r="C460" s="26" t="str">
        <f aca="false">IFERROR(INDEX('Output Utente'!$B$2:$B$492,MATCH(457,'Output Utente'!$R$2:$R$492,0)),"")</f>
        <v/>
      </c>
      <c r="D460" s="26" t="str">
        <f aca="false">IFERROR(INDEX('Output Utente'!$C$2:$C$492,MATCH(457,'Output Utente'!$R$2:$R$492,0)),"")</f>
        <v/>
      </c>
      <c r="E460" s="26" t="str">
        <f aca="false">IFERROR(INDEX('Input Giocatori 2026_27'!$D$3:$D$493,MATCH($B460,'Input Giocatori 2026_27'!$A$3:$A$493,0)),"")</f>
        <v/>
      </c>
      <c r="F460" s="27" t="str">
        <f aca="false">IFERROR(INDEX('Output Utente'!$N$2:$N$492,MATCH(457,'Output Utente'!$R$2:$R$492,0)),"")</f>
        <v/>
      </c>
      <c r="G460" s="26" t="str">
        <f aca="false">IFERROR(INDEX('Output Utente'!$O$2:$O$492,MATCH(457,'Output Utente'!$R$2:$R$492,0)),"")</f>
        <v/>
      </c>
      <c r="H460" s="26" t="str">
        <f aca="false">IFERROR(INDEX('Output Utente'!$P$2:$P$492,MATCH(457,'Output Utente'!$R$2:$R$492,0)),"")</f>
        <v/>
      </c>
      <c r="I460" s="27" t="str">
        <f aca="false">IFERROR(INDEX('Output Utente'!$F$2:$F$492,MATCH(457,'Output Utente'!$R$2:$R$492,0)),"")</f>
        <v/>
      </c>
      <c r="J460" s="27" t="str">
        <f aca="false">IFERROR(INDEX('Output Utente'!$G$2:$G$492,MATCH(457,'Output Utente'!$R$2:$R$492,0)),"")</f>
        <v/>
      </c>
      <c r="K460" s="27" t="str">
        <f aca="false">IFERROR(INDEX('Output Utente'!$H$2:$H$492,MATCH(457,'Output Utente'!$R$2:$R$492,0)),"")</f>
        <v/>
      </c>
      <c r="L460" s="26" t="str">
        <f aca="false">IFERROR(INDEX('Output Utente'!$E$2:$E$492,MATCH(457,'Output Utente'!$R$2:$R$492,0)),"")</f>
        <v/>
      </c>
    </row>
    <row r="461" customFormat="false" ht="15" hidden="false" customHeight="true" outlineLevel="0" collapsed="false">
      <c r="A461" s="29" t="n">
        <v>458</v>
      </c>
      <c r="B461" s="26" t="str">
        <f aca="false">IFERROR(INDEX('Output Utente'!$A$2:$A$492,MATCH(458,'Output Utente'!$R$2:$R$492,0)),"")</f>
        <v/>
      </c>
      <c r="C461" s="26" t="str">
        <f aca="false">IFERROR(INDEX('Output Utente'!$B$2:$B$492,MATCH(458,'Output Utente'!$R$2:$R$492,0)),"")</f>
        <v/>
      </c>
      <c r="D461" s="26" t="str">
        <f aca="false">IFERROR(INDEX('Output Utente'!$C$2:$C$492,MATCH(458,'Output Utente'!$R$2:$R$492,0)),"")</f>
        <v/>
      </c>
      <c r="E461" s="26" t="str">
        <f aca="false">IFERROR(INDEX('Input Giocatori 2026_27'!$D$3:$D$493,MATCH($B461,'Input Giocatori 2026_27'!$A$3:$A$493,0)),"")</f>
        <v/>
      </c>
      <c r="F461" s="27" t="str">
        <f aca="false">IFERROR(INDEX('Output Utente'!$N$2:$N$492,MATCH(458,'Output Utente'!$R$2:$R$492,0)),"")</f>
        <v/>
      </c>
      <c r="G461" s="26" t="str">
        <f aca="false">IFERROR(INDEX('Output Utente'!$O$2:$O$492,MATCH(458,'Output Utente'!$R$2:$R$492,0)),"")</f>
        <v/>
      </c>
      <c r="H461" s="26" t="str">
        <f aca="false">IFERROR(INDEX('Output Utente'!$P$2:$P$492,MATCH(458,'Output Utente'!$R$2:$R$492,0)),"")</f>
        <v/>
      </c>
      <c r="I461" s="27" t="str">
        <f aca="false">IFERROR(INDEX('Output Utente'!$F$2:$F$492,MATCH(458,'Output Utente'!$R$2:$R$492,0)),"")</f>
        <v/>
      </c>
      <c r="J461" s="27" t="str">
        <f aca="false">IFERROR(INDEX('Output Utente'!$G$2:$G$492,MATCH(458,'Output Utente'!$R$2:$R$492,0)),"")</f>
        <v/>
      </c>
      <c r="K461" s="27" t="str">
        <f aca="false">IFERROR(INDEX('Output Utente'!$H$2:$H$492,MATCH(458,'Output Utente'!$R$2:$R$492,0)),"")</f>
        <v/>
      </c>
      <c r="L461" s="26" t="str">
        <f aca="false">IFERROR(INDEX('Output Utente'!$E$2:$E$492,MATCH(458,'Output Utente'!$R$2:$R$492,0)),"")</f>
        <v/>
      </c>
    </row>
    <row r="462" customFormat="false" ht="15" hidden="false" customHeight="true" outlineLevel="0" collapsed="false">
      <c r="A462" s="29" t="n">
        <v>459</v>
      </c>
      <c r="B462" s="26" t="str">
        <f aca="false">IFERROR(INDEX('Output Utente'!$A$2:$A$492,MATCH(459,'Output Utente'!$R$2:$R$492,0)),"")</f>
        <v/>
      </c>
      <c r="C462" s="26" t="str">
        <f aca="false">IFERROR(INDEX('Output Utente'!$B$2:$B$492,MATCH(459,'Output Utente'!$R$2:$R$492,0)),"")</f>
        <v/>
      </c>
      <c r="D462" s="26" t="str">
        <f aca="false">IFERROR(INDEX('Output Utente'!$C$2:$C$492,MATCH(459,'Output Utente'!$R$2:$R$492,0)),"")</f>
        <v/>
      </c>
      <c r="E462" s="26" t="str">
        <f aca="false">IFERROR(INDEX('Input Giocatori 2026_27'!$D$3:$D$493,MATCH($B462,'Input Giocatori 2026_27'!$A$3:$A$493,0)),"")</f>
        <v/>
      </c>
      <c r="F462" s="27" t="str">
        <f aca="false">IFERROR(INDEX('Output Utente'!$N$2:$N$492,MATCH(459,'Output Utente'!$R$2:$R$492,0)),"")</f>
        <v/>
      </c>
      <c r="G462" s="26" t="str">
        <f aca="false">IFERROR(INDEX('Output Utente'!$O$2:$O$492,MATCH(459,'Output Utente'!$R$2:$R$492,0)),"")</f>
        <v/>
      </c>
      <c r="H462" s="26" t="str">
        <f aca="false">IFERROR(INDEX('Output Utente'!$P$2:$P$492,MATCH(459,'Output Utente'!$R$2:$R$492,0)),"")</f>
        <v/>
      </c>
      <c r="I462" s="27" t="str">
        <f aca="false">IFERROR(INDEX('Output Utente'!$F$2:$F$492,MATCH(459,'Output Utente'!$R$2:$R$492,0)),"")</f>
        <v/>
      </c>
      <c r="J462" s="27" t="str">
        <f aca="false">IFERROR(INDEX('Output Utente'!$G$2:$G$492,MATCH(459,'Output Utente'!$R$2:$R$492,0)),"")</f>
        <v/>
      </c>
      <c r="K462" s="27" t="str">
        <f aca="false">IFERROR(INDEX('Output Utente'!$H$2:$H$492,MATCH(459,'Output Utente'!$R$2:$R$492,0)),"")</f>
        <v/>
      </c>
      <c r="L462" s="26" t="str">
        <f aca="false">IFERROR(INDEX('Output Utente'!$E$2:$E$492,MATCH(459,'Output Utente'!$R$2:$R$492,0)),"")</f>
        <v/>
      </c>
    </row>
    <row r="463" customFormat="false" ht="15" hidden="false" customHeight="true" outlineLevel="0" collapsed="false">
      <c r="A463" s="29" t="n">
        <v>460</v>
      </c>
      <c r="B463" s="26" t="str">
        <f aca="false">IFERROR(INDEX('Output Utente'!$A$2:$A$492,MATCH(460,'Output Utente'!$R$2:$R$492,0)),"")</f>
        <v/>
      </c>
      <c r="C463" s="26" t="str">
        <f aca="false">IFERROR(INDEX('Output Utente'!$B$2:$B$492,MATCH(460,'Output Utente'!$R$2:$R$492,0)),"")</f>
        <v/>
      </c>
      <c r="D463" s="26" t="str">
        <f aca="false">IFERROR(INDEX('Output Utente'!$C$2:$C$492,MATCH(460,'Output Utente'!$R$2:$R$492,0)),"")</f>
        <v/>
      </c>
      <c r="E463" s="26" t="str">
        <f aca="false">IFERROR(INDEX('Input Giocatori 2026_27'!$D$3:$D$493,MATCH($B463,'Input Giocatori 2026_27'!$A$3:$A$493,0)),"")</f>
        <v/>
      </c>
      <c r="F463" s="27" t="str">
        <f aca="false">IFERROR(INDEX('Output Utente'!$N$2:$N$492,MATCH(460,'Output Utente'!$R$2:$R$492,0)),"")</f>
        <v/>
      </c>
      <c r="G463" s="26" t="str">
        <f aca="false">IFERROR(INDEX('Output Utente'!$O$2:$O$492,MATCH(460,'Output Utente'!$R$2:$R$492,0)),"")</f>
        <v/>
      </c>
      <c r="H463" s="26" t="str">
        <f aca="false">IFERROR(INDEX('Output Utente'!$P$2:$P$492,MATCH(460,'Output Utente'!$R$2:$R$492,0)),"")</f>
        <v/>
      </c>
      <c r="I463" s="27" t="str">
        <f aca="false">IFERROR(INDEX('Output Utente'!$F$2:$F$492,MATCH(460,'Output Utente'!$R$2:$R$492,0)),"")</f>
        <v/>
      </c>
      <c r="J463" s="27" t="str">
        <f aca="false">IFERROR(INDEX('Output Utente'!$G$2:$G$492,MATCH(460,'Output Utente'!$R$2:$R$492,0)),"")</f>
        <v/>
      </c>
      <c r="K463" s="27" t="str">
        <f aca="false">IFERROR(INDEX('Output Utente'!$H$2:$H$492,MATCH(460,'Output Utente'!$R$2:$R$492,0)),"")</f>
        <v/>
      </c>
      <c r="L463" s="26" t="str">
        <f aca="false">IFERROR(INDEX('Output Utente'!$E$2:$E$492,MATCH(460,'Output Utente'!$R$2:$R$492,0)),"")</f>
        <v/>
      </c>
    </row>
    <row r="464" customFormat="false" ht="15" hidden="false" customHeight="true" outlineLevel="0" collapsed="false">
      <c r="A464" s="29" t="n">
        <v>461</v>
      </c>
      <c r="B464" s="26" t="str">
        <f aca="false">IFERROR(INDEX('Output Utente'!$A$2:$A$492,MATCH(461,'Output Utente'!$R$2:$R$492,0)),"")</f>
        <v/>
      </c>
      <c r="C464" s="26" t="str">
        <f aca="false">IFERROR(INDEX('Output Utente'!$B$2:$B$492,MATCH(461,'Output Utente'!$R$2:$R$492,0)),"")</f>
        <v/>
      </c>
      <c r="D464" s="26" t="str">
        <f aca="false">IFERROR(INDEX('Output Utente'!$C$2:$C$492,MATCH(461,'Output Utente'!$R$2:$R$492,0)),"")</f>
        <v/>
      </c>
      <c r="E464" s="26" t="str">
        <f aca="false">IFERROR(INDEX('Input Giocatori 2026_27'!$D$3:$D$493,MATCH($B464,'Input Giocatori 2026_27'!$A$3:$A$493,0)),"")</f>
        <v/>
      </c>
      <c r="F464" s="27" t="str">
        <f aca="false">IFERROR(INDEX('Output Utente'!$N$2:$N$492,MATCH(461,'Output Utente'!$R$2:$R$492,0)),"")</f>
        <v/>
      </c>
      <c r="G464" s="26" t="str">
        <f aca="false">IFERROR(INDEX('Output Utente'!$O$2:$O$492,MATCH(461,'Output Utente'!$R$2:$R$492,0)),"")</f>
        <v/>
      </c>
      <c r="H464" s="26" t="str">
        <f aca="false">IFERROR(INDEX('Output Utente'!$P$2:$P$492,MATCH(461,'Output Utente'!$R$2:$R$492,0)),"")</f>
        <v/>
      </c>
      <c r="I464" s="27" t="str">
        <f aca="false">IFERROR(INDEX('Output Utente'!$F$2:$F$492,MATCH(461,'Output Utente'!$R$2:$R$492,0)),"")</f>
        <v/>
      </c>
      <c r="J464" s="27" t="str">
        <f aca="false">IFERROR(INDEX('Output Utente'!$G$2:$G$492,MATCH(461,'Output Utente'!$R$2:$R$492,0)),"")</f>
        <v/>
      </c>
      <c r="K464" s="27" t="str">
        <f aca="false">IFERROR(INDEX('Output Utente'!$H$2:$H$492,MATCH(461,'Output Utente'!$R$2:$R$492,0)),"")</f>
        <v/>
      </c>
      <c r="L464" s="26" t="str">
        <f aca="false">IFERROR(INDEX('Output Utente'!$E$2:$E$492,MATCH(461,'Output Utente'!$R$2:$R$492,0)),"")</f>
        <v/>
      </c>
    </row>
    <row r="465" customFormat="false" ht="15" hidden="false" customHeight="true" outlineLevel="0" collapsed="false">
      <c r="A465" s="29" t="n">
        <v>462</v>
      </c>
      <c r="B465" s="26" t="str">
        <f aca="false">IFERROR(INDEX('Output Utente'!$A$2:$A$492,MATCH(462,'Output Utente'!$R$2:$R$492,0)),"")</f>
        <v/>
      </c>
      <c r="C465" s="26" t="str">
        <f aca="false">IFERROR(INDEX('Output Utente'!$B$2:$B$492,MATCH(462,'Output Utente'!$R$2:$R$492,0)),"")</f>
        <v/>
      </c>
      <c r="D465" s="26" t="str">
        <f aca="false">IFERROR(INDEX('Output Utente'!$C$2:$C$492,MATCH(462,'Output Utente'!$R$2:$R$492,0)),"")</f>
        <v/>
      </c>
      <c r="E465" s="26" t="str">
        <f aca="false">IFERROR(INDEX('Input Giocatori 2026_27'!$D$3:$D$493,MATCH($B465,'Input Giocatori 2026_27'!$A$3:$A$493,0)),"")</f>
        <v/>
      </c>
      <c r="F465" s="27" t="str">
        <f aca="false">IFERROR(INDEX('Output Utente'!$N$2:$N$492,MATCH(462,'Output Utente'!$R$2:$R$492,0)),"")</f>
        <v/>
      </c>
      <c r="G465" s="26" t="str">
        <f aca="false">IFERROR(INDEX('Output Utente'!$O$2:$O$492,MATCH(462,'Output Utente'!$R$2:$R$492,0)),"")</f>
        <v/>
      </c>
      <c r="H465" s="26" t="str">
        <f aca="false">IFERROR(INDEX('Output Utente'!$P$2:$P$492,MATCH(462,'Output Utente'!$R$2:$R$492,0)),"")</f>
        <v/>
      </c>
      <c r="I465" s="27" t="str">
        <f aca="false">IFERROR(INDEX('Output Utente'!$F$2:$F$492,MATCH(462,'Output Utente'!$R$2:$R$492,0)),"")</f>
        <v/>
      </c>
      <c r="J465" s="27" t="str">
        <f aca="false">IFERROR(INDEX('Output Utente'!$G$2:$G$492,MATCH(462,'Output Utente'!$R$2:$R$492,0)),"")</f>
        <v/>
      </c>
      <c r="K465" s="27" t="str">
        <f aca="false">IFERROR(INDEX('Output Utente'!$H$2:$H$492,MATCH(462,'Output Utente'!$R$2:$R$492,0)),"")</f>
        <v/>
      </c>
      <c r="L465" s="26" t="str">
        <f aca="false">IFERROR(INDEX('Output Utente'!$E$2:$E$492,MATCH(462,'Output Utente'!$R$2:$R$492,0)),"")</f>
        <v/>
      </c>
    </row>
    <row r="466" customFormat="false" ht="15" hidden="false" customHeight="true" outlineLevel="0" collapsed="false">
      <c r="A466" s="29" t="n">
        <v>463</v>
      </c>
      <c r="B466" s="26" t="str">
        <f aca="false">IFERROR(INDEX('Output Utente'!$A$2:$A$492,MATCH(463,'Output Utente'!$R$2:$R$492,0)),"")</f>
        <v/>
      </c>
      <c r="C466" s="26" t="str">
        <f aca="false">IFERROR(INDEX('Output Utente'!$B$2:$B$492,MATCH(463,'Output Utente'!$R$2:$R$492,0)),"")</f>
        <v/>
      </c>
      <c r="D466" s="26" t="str">
        <f aca="false">IFERROR(INDEX('Output Utente'!$C$2:$C$492,MATCH(463,'Output Utente'!$R$2:$R$492,0)),"")</f>
        <v/>
      </c>
      <c r="E466" s="26" t="str">
        <f aca="false">IFERROR(INDEX('Input Giocatori 2026_27'!$D$3:$D$493,MATCH($B466,'Input Giocatori 2026_27'!$A$3:$A$493,0)),"")</f>
        <v/>
      </c>
      <c r="F466" s="27" t="str">
        <f aca="false">IFERROR(INDEX('Output Utente'!$N$2:$N$492,MATCH(463,'Output Utente'!$R$2:$R$492,0)),"")</f>
        <v/>
      </c>
      <c r="G466" s="26" t="str">
        <f aca="false">IFERROR(INDEX('Output Utente'!$O$2:$O$492,MATCH(463,'Output Utente'!$R$2:$R$492,0)),"")</f>
        <v/>
      </c>
      <c r="H466" s="26" t="str">
        <f aca="false">IFERROR(INDEX('Output Utente'!$P$2:$P$492,MATCH(463,'Output Utente'!$R$2:$R$492,0)),"")</f>
        <v/>
      </c>
      <c r="I466" s="27" t="str">
        <f aca="false">IFERROR(INDEX('Output Utente'!$F$2:$F$492,MATCH(463,'Output Utente'!$R$2:$R$492,0)),"")</f>
        <v/>
      </c>
      <c r="J466" s="27" t="str">
        <f aca="false">IFERROR(INDEX('Output Utente'!$G$2:$G$492,MATCH(463,'Output Utente'!$R$2:$R$492,0)),"")</f>
        <v/>
      </c>
      <c r="K466" s="27" t="str">
        <f aca="false">IFERROR(INDEX('Output Utente'!$H$2:$H$492,MATCH(463,'Output Utente'!$R$2:$R$492,0)),"")</f>
        <v/>
      </c>
      <c r="L466" s="26" t="str">
        <f aca="false">IFERROR(INDEX('Output Utente'!$E$2:$E$492,MATCH(463,'Output Utente'!$R$2:$R$492,0)),"")</f>
        <v/>
      </c>
    </row>
    <row r="467" customFormat="false" ht="15" hidden="false" customHeight="true" outlineLevel="0" collapsed="false">
      <c r="A467" s="29" t="n">
        <v>464</v>
      </c>
      <c r="B467" s="26" t="str">
        <f aca="false">IFERROR(INDEX('Output Utente'!$A$2:$A$492,MATCH(464,'Output Utente'!$R$2:$R$492,0)),"")</f>
        <v/>
      </c>
      <c r="C467" s="26" t="str">
        <f aca="false">IFERROR(INDEX('Output Utente'!$B$2:$B$492,MATCH(464,'Output Utente'!$R$2:$R$492,0)),"")</f>
        <v/>
      </c>
      <c r="D467" s="26" t="str">
        <f aca="false">IFERROR(INDEX('Output Utente'!$C$2:$C$492,MATCH(464,'Output Utente'!$R$2:$R$492,0)),"")</f>
        <v/>
      </c>
      <c r="E467" s="26" t="str">
        <f aca="false">IFERROR(INDEX('Input Giocatori 2026_27'!$D$3:$D$493,MATCH($B467,'Input Giocatori 2026_27'!$A$3:$A$493,0)),"")</f>
        <v/>
      </c>
      <c r="F467" s="27" t="str">
        <f aca="false">IFERROR(INDEX('Output Utente'!$N$2:$N$492,MATCH(464,'Output Utente'!$R$2:$R$492,0)),"")</f>
        <v/>
      </c>
      <c r="G467" s="26" t="str">
        <f aca="false">IFERROR(INDEX('Output Utente'!$O$2:$O$492,MATCH(464,'Output Utente'!$R$2:$R$492,0)),"")</f>
        <v/>
      </c>
      <c r="H467" s="26" t="str">
        <f aca="false">IFERROR(INDEX('Output Utente'!$P$2:$P$492,MATCH(464,'Output Utente'!$R$2:$R$492,0)),"")</f>
        <v/>
      </c>
      <c r="I467" s="27" t="str">
        <f aca="false">IFERROR(INDEX('Output Utente'!$F$2:$F$492,MATCH(464,'Output Utente'!$R$2:$R$492,0)),"")</f>
        <v/>
      </c>
      <c r="J467" s="27" t="str">
        <f aca="false">IFERROR(INDEX('Output Utente'!$G$2:$G$492,MATCH(464,'Output Utente'!$R$2:$R$492,0)),"")</f>
        <v/>
      </c>
      <c r="K467" s="27" t="str">
        <f aca="false">IFERROR(INDEX('Output Utente'!$H$2:$H$492,MATCH(464,'Output Utente'!$R$2:$R$492,0)),"")</f>
        <v/>
      </c>
      <c r="L467" s="26" t="str">
        <f aca="false">IFERROR(INDEX('Output Utente'!$E$2:$E$492,MATCH(464,'Output Utente'!$R$2:$R$492,0)),"")</f>
        <v/>
      </c>
    </row>
    <row r="468" customFormat="false" ht="15" hidden="false" customHeight="true" outlineLevel="0" collapsed="false">
      <c r="A468" s="29" t="n">
        <v>465</v>
      </c>
      <c r="B468" s="26" t="str">
        <f aca="false">IFERROR(INDEX('Output Utente'!$A$2:$A$492,MATCH(465,'Output Utente'!$R$2:$R$492,0)),"")</f>
        <v/>
      </c>
      <c r="C468" s="26" t="str">
        <f aca="false">IFERROR(INDEX('Output Utente'!$B$2:$B$492,MATCH(465,'Output Utente'!$R$2:$R$492,0)),"")</f>
        <v/>
      </c>
      <c r="D468" s="26" t="str">
        <f aca="false">IFERROR(INDEX('Output Utente'!$C$2:$C$492,MATCH(465,'Output Utente'!$R$2:$R$492,0)),"")</f>
        <v/>
      </c>
      <c r="E468" s="26" t="str">
        <f aca="false">IFERROR(INDEX('Input Giocatori 2026_27'!$D$3:$D$493,MATCH($B468,'Input Giocatori 2026_27'!$A$3:$A$493,0)),"")</f>
        <v/>
      </c>
      <c r="F468" s="27" t="str">
        <f aca="false">IFERROR(INDEX('Output Utente'!$N$2:$N$492,MATCH(465,'Output Utente'!$R$2:$R$492,0)),"")</f>
        <v/>
      </c>
      <c r="G468" s="26" t="str">
        <f aca="false">IFERROR(INDEX('Output Utente'!$O$2:$O$492,MATCH(465,'Output Utente'!$R$2:$R$492,0)),"")</f>
        <v/>
      </c>
      <c r="H468" s="26" t="str">
        <f aca="false">IFERROR(INDEX('Output Utente'!$P$2:$P$492,MATCH(465,'Output Utente'!$R$2:$R$492,0)),"")</f>
        <v/>
      </c>
      <c r="I468" s="27" t="str">
        <f aca="false">IFERROR(INDEX('Output Utente'!$F$2:$F$492,MATCH(465,'Output Utente'!$R$2:$R$492,0)),"")</f>
        <v/>
      </c>
      <c r="J468" s="27" t="str">
        <f aca="false">IFERROR(INDEX('Output Utente'!$G$2:$G$492,MATCH(465,'Output Utente'!$R$2:$R$492,0)),"")</f>
        <v/>
      </c>
      <c r="K468" s="27" t="str">
        <f aca="false">IFERROR(INDEX('Output Utente'!$H$2:$H$492,MATCH(465,'Output Utente'!$R$2:$R$492,0)),"")</f>
        <v/>
      </c>
      <c r="L468" s="26" t="str">
        <f aca="false">IFERROR(INDEX('Output Utente'!$E$2:$E$492,MATCH(465,'Output Utente'!$R$2:$R$492,0)),"")</f>
        <v/>
      </c>
    </row>
    <row r="469" customFormat="false" ht="15" hidden="false" customHeight="true" outlineLevel="0" collapsed="false">
      <c r="A469" s="29" t="n">
        <v>466</v>
      </c>
      <c r="B469" s="26" t="str">
        <f aca="false">IFERROR(INDEX('Output Utente'!$A$2:$A$492,MATCH(466,'Output Utente'!$R$2:$R$492,0)),"")</f>
        <v/>
      </c>
      <c r="C469" s="26" t="str">
        <f aca="false">IFERROR(INDEX('Output Utente'!$B$2:$B$492,MATCH(466,'Output Utente'!$R$2:$R$492,0)),"")</f>
        <v/>
      </c>
      <c r="D469" s="26" t="str">
        <f aca="false">IFERROR(INDEX('Output Utente'!$C$2:$C$492,MATCH(466,'Output Utente'!$R$2:$R$492,0)),"")</f>
        <v/>
      </c>
      <c r="E469" s="26" t="str">
        <f aca="false">IFERROR(INDEX('Input Giocatori 2026_27'!$D$3:$D$493,MATCH($B469,'Input Giocatori 2026_27'!$A$3:$A$493,0)),"")</f>
        <v/>
      </c>
      <c r="F469" s="27" t="str">
        <f aca="false">IFERROR(INDEX('Output Utente'!$N$2:$N$492,MATCH(466,'Output Utente'!$R$2:$R$492,0)),"")</f>
        <v/>
      </c>
      <c r="G469" s="26" t="str">
        <f aca="false">IFERROR(INDEX('Output Utente'!$O$2:$O$492,MATCH(466,'Output Utente'!$R$2:$R$492,0)),"")</f>
        <v/>
      </c>
      <c r="H469" s="26" t="str">
        <f aca="false">IFERROR(INDEX('Output Utente'!$P$2:$P$492,MATCH(466,'Output Utente'!$R$2:$R$492,0)),"")</f>
        <v/>
      </c>
      <c r="I469" s="27" t="str">
        <f aca="false">IFERROR(INDEX('Output Utente'!$F$2:$F$492,MATCH(466,'Output Utente'!$R$2:$R$492,0)),"")</f>
        <v/>
      </c>
      <c r="J469" s="27" t="str">
        <f aca="false">IFERROR(INDEX('Output Utente'!$G$2:$G$492,MATCH(466,'Output Utente'!$R$2:$R$492,0)),"")</f>
        <v/>
      </c>
      <c r="K469" s="27" t="str">
        <f aca="false">IFERROR(INDEX('Output Utente'!$H$2:$H$492,MATCH(466,'Output Utente'!$R$2:$R$492,0)),"")</f>
        <v/>
      </c>
      <c r="L469" s="26" t="str">
        <f aca="false">IFERROR(INDEX('Output Utente'!$E$2:$E$492,MATCH(466,'Output Utente'!$R$2:$R$492,0)),"")</f>
        <v/>
      </c>
    </row>
    <row r="470" customFormat="false" ht="15" hidden="false" customHeight="true" outlineLevel="0" collapsed="false">
      <c r="A470" s="29" t="n">
        <v>467</v>
      </c>
      <c r="B470" s="26" t="str">
        <f aca="false">IFERROR(INDEX('Output Utente'!$A$2:$A$492,MATCH(467,'Output Utente'!$R$2:$R$492,0)),"")</f>
        <v/>
      </c>
      <c r="C470" s="26" t="str">
        <f aca="false">IFERROR(INDEX('Output Utente'!$B$2:$B$492,MATCH(467,'Output Utente'!$R$2:$R$492,0)),"")</f>
        <v/>
      </c>
      <c r="D470" s="26" t="str">
        <f aca="false">IFERROR(INDEX('Output Utente'!$C$2:$C$492,MATCH(467,'Output Utente'!$R$2:$R$492,0)),"")</f>
        <v/>
      </c>
      <c r="E470" s="26" t="str">
        <f aca="false">IFERROR(INDEX('Input Giocatori 2026_27'!$D$3:$D$493,MATCH($B470,'Input Giocatori 2026_27'!$A$3:$A$493,0)),"")</f>
        <v/>
      </c>
      <c r="F470" s="27" t="str">
        <f aca="false">IFERROR(INDEX('Output Utente'!$N$2:$N$492,MATCH(467,'Output Utente'!$R$2:$R$492,0)),"")</f>
        <v/>
      </c>
      <c r="G470" s="26" t="str">
        <f aca="false">IFERROR(INDEX('Output Utente'!$O$2:$O$492,MATCH(467,'Output Utente'!$R$2:$R$492,0)),"")</f>
        <v/>
      </c>
      <c r="H470" s="26" t="str">
        <f aca="false">IFERROR(INDEX('Output Utente'!$P$2:$P$492,MATCH(467,'Output Utente'!$R$2:$R$492,0)),"")</f>
        <v/>
      </c>
      <c r="I470" s="27" t="str">
        <f aca="false">IFERROR(INDEX('Output Utente'!$F$2:$F$492,MATCH(467,'Output Utente'!$R$2:$R$492,0)),"")</f>
        <v/>
      </c>
      <c r="J470" s="27" t="str">
        <f aca="false">IFERROR(INDEX('Output Utente'!$G$2:$G$492,MATCH(467,'Output Utente'!$R$2:$R$492,0)),"")</f>
        <v/>
      </c>
      <c r="K470" s="27" t="str">
        <f aca="false">IFERROR(INDEX('Output Utente'!$H$2:$H$492,MATCH(467,'Output Utente'!$R$2:$R$492,0)),"")</f>
        <v/>
      </c>
      <c r="L470" s="26" t="str">
        <f aca="false">IFERROR(INDEX('Output Utente'!$E$2:$E$492,MATCH(467,'Output Utente'!$R$2:$R$492,0)),"")</f>
        <v/>
      </c>
    </row>
    <row r="471" customFormat="false" ht="15" hidden="false" customHeight="true" outlineLevel="0" collapsed="false">
      <c r="A471" s="29" t="n">
        <v>468</v>
      </c>
      <c r="B471" s="26" t="str">
        <f aca="false">IFERROR(INDEX('Output Utente'!$A$2:$A$492,MATCH(468,'Output Utente'!$R$2:$R$492,0)),"")</f>
        <v/>
      </c>
      <c r="C471" s="26" t="str">
        <f aca="false">IFERROR(INDEX('Output Utente'!$B$2:$B$492,MATCH(468,'Output Utente'!$R$2:$R$492,0)),"")</f>
        <v/>
      </c>
      <c r="D471" s="26" t="str">
        <f aca="false">IFERROR(INDEX('Output Utente'!$C$2:$C$492,MATCH(468,'Output Utente'!$R$2:$R$492,0)),"")</f>
        <v/>
      </c>
      <c r="E471" s="26" t="str">
        <f aca="false">IFERROR(INDEX('Input Giocatori 2026_27'!$D$3:$D$493,MATCH($B471,'Input Giocatori 2026_27'!$A$3:$A$493,0)),"")</f>
        <v/>
      </c>
      <c r="F471" s="27" t="str">
        <f aca="false">IFERROR(INDEX('Output Utente'!$N$2:$N$492,MATCH(468,'Output Utente'!$R$2:$R$492,0)),"")</f>
        <v/>
      </c>
      <c r="G471" s="26" t="str">
        <f aca="false">IFERROR(INDEX('Output Utente'!$O$2:$O$492,MATCH(468,'Output Utente'!$R$2:$R$492,0)),"")</f>
        <v/>
      </c>
      <c r="H471" s="26" t="str">
        <f aca="false">IFERROR(INDEX('Output Utente'!$P$2:$P$492,MATCH(468,'Output Utente'!$R$2:$R$492,0)),"")</f>
        <v/>
      </c>
      <c r="I471" s="27" t="str">
        <f aca="false">IFERROR(INDEX('Output Utente'!$F$2:$F$492,MATCH(468,'Output Utente'!$R$2:$R$492,0)),"")</f>
        <v/>
      </c>
      <c r="J471" s="27" t="str">
        <f aca="false">IFERROR(INDEX('Output Utente'!$G$2:$G$492,MATCH(468,'Output Utente'!$R$2:$R$492,0)),"")</f>
        <v/>
      </c>
      <c r="K471" s="27" t="str">
        <f aca="false">IFERROR(INDEX('Output Utente'!$H$2:$H$492,MATCH(468,'Output Utente'!$R$2:$R$492,0)),"")</f>
        <v/>
      </c>
      <c r="L471" s="26" t="str">
        <f aca="false">IFERROR(INDEX('Output Utente'!$E$2:$E$492,MATCH(468,'Output Utente'!$R$2:$R$492,0)),"")</f>
        <v/>
      </c>
    </row>
    <row r="472" customFormat="false" ht="15" hidden="false" customHeight="true" outlineLevel="0" collapsed="false">
      <c r="A472" s="29" t="n">
        <v>469</v>
      </c>
      <c r="B472" s="26" t="str">
        <f aca="false">IFERROR(INDEX('Output Utente'!$A$2:$A$492,MATCH(469,'Output Utente'!$R$2:$R$492,0)),"")</f>
        <v/>
      </c>
      <c r="C472" s="26" t="str">
        <f aca="false">IFERROR(INDEX('Output Utente'!$B$2:$B$492,MATCH(469,'Output Utente'!$R$2:$R$492,0)),"")</f>
        <v/>
      </c>
      <c r="D472" s="26" t="str">
        <f aca="false">IFERROR(INDEX('Output Utente'!$C$2:$C$492,MATCH(469,'Output Utente'!$R$2:$R$492,0)),"")</f>
        <v/>
      </c>
      <c r="E472" s="26" t="str">
        <f aca="false">IFERROR(INDEX('Input Giocatori 2026_27'!$D$3:$D$493,MATCH($B472,'Input Giocatori 2026_27'!$A$3:$A$493,0)),"")</f>
        <v/>
      </c>
      <c r="F472" s="27" t="str">
        <f aca="false">IFERROR(INDEX('Output Utente'!$N$2:$N$492,MATCH(469,'Output Utente'!$R$2:$R$492,0)),"")</f>
        <v/>
      </c>
      <c r="G472" s="26" t="str">
        <f aca="false">IFERROR(INDEX('Output Utente'!$O$2:$O$492,MATCH(469,'Output Utente'!$R$2:$R$492,0)),"")</f>
        <v/>
      </c>
      <c r="H472" s="26" t="str">
        <f aca="false">IFERROR(INDEX('Output Utente'!$P$2:$P$492,MATCH(469,'Output Utente'!$R$2:$R$492,0)),"")</f>
        <v/>
      </c>
      <c r="I472" s="27" t="str">
        <f aca="false">IFERROR(INDEX('Output Utente'!$F$2:$F$492,MATCH(469,'Output Utente'!$R$2:$R$492,0)),"")</f>
        <v/>
      </c>
      <c r="J472" s="27" t="str">
        <f aca="false">IFERROR(INDEX('Output Utente'!$G$2:$G$492,MATCH(469,'Output Utente'!$R$2:$R$492,0)),"")</f>
        <v/>
      </c>
      <c r="K472" s="27" t="str">
        <f aca="false">IFERROR(INDEX('Output Utente'!$H$2:$H$492,MATCH(469,'Output Utente'!$R$2:$R$492,0)),"")</f>
        <v/>
      </c>
      <c r="L472" s="26" t="str">
        <f aca="false">IFERROR(INDEX('Output Utente'!$E$2:$E$492,MATCH(469,'Output Utente'!$R$2:$R$492,0)),"")</f>
        <v/>
      </c>
    </row>
    <row r="473" customFormat="false" ht="15" hidden="false" customHeight="true" outlineLevel="0" collapsed="false">
      <c r="A473" s="29" t="n">
        <v>470</v>
      </c>
      <c r="B473" s="26" t="str">
        <f aca="false">IFERROR(INDEX('Output Utente'!$A$2:$A$492,MATCH(470,'Output Utente'!$R$2:$R$492,0)),"")</f>
        <v/>
      </c>
      <c r="C473" s="26" t="str">
        <f aca="false">IFERROR(INDEX('Output Utente'!$B$2:$B$492,MATCH(470,'Output Utente'!$R$2:$R$492,0)),"")</f>
        <v/>
      </c>
      <c r="D473" s="26" t="str">
        <f aca="false">IFERROR(INDEX('Output Utente'!$C$2:$C$492,MATCH(470,'Output Utente'!$R$2:$R$492,0)),"")</f>
        <v/>
      </c>
      <c r="E473" s="26" t="str">
        <f aca="false">IFERROR(INDEX('Input Giocatori 2026_27'!$D$3:$D$493,MATCH($B473,'Input Giocatori 2026_27'!$A$3:$A$493,0)),"")</f>
        <v/>
      </c>
      <c r="F473" s="27" t="str">
        <f aca="false">IFERROR(INDEX('Output Utente'!$N$2:$N$492,MATCH(470,'Output Utente'!$R$2:$R$492,0)),"")</f>
        <v/>
      </c>
      <c r="G473" s="26" t="str">
        <f aca="false">IFERROR(INDEX('Output Utente'!$O$2:$O$492,MATCH(470,'Output Utente'!$R$2:$R$492,0)),"")</f>
        <v/>
      </c>
      <c r="H473" s="26" t="str">
        <f aca="false">IFERROR(INDEX('Output Utente'!$P$2:$P$492,MATCH(470,'Output Utente'!$R$2:$R$492,0)),"")</f>
        <v/>
      </c>
      <c r="I473" s="27" t="str">
        <f aca="false">IFERROR(INDEX('Output Utente'!$F$2:$F$492,MATCH(470,'Output Utente'!$R$2:$R$492,0)),"")</f>
        <v/>
      </c>
      <c r="J473" s="27" t="str">
        <f aca="false">IFERROR(INDEX('Output Utente'!$G$2:$G$492,MATCH(470,'Output Utente'!$R$2:$R$492,0)),"")</f>
        <v/>
      </c>
      <c r="K473" s="27" t="str">
        <f aca="false">IFERROR(INDEX('Output Utente'!$H$2:$H$492,MATCH(470,'Output Utente'!$R$2:$R$492,0)),"")</f>
        <v/>
      </c>
      <c r="L473" s="26" t="str">
        <f aca="false">IFERROR(INDEX('Output Utente'!$E$2:$E$492,MATCH(470,'Output Utente'!$R$2:$R$492,0)),"")</f>
        <v/>
      </c>
    </row>
    <row r="474" customFormat="false" ht="15" hidden="false" customHeight="true" outlineLevel="0" collapsed="false">
      <c r="A474" s="29" t="n">
        <v>471</v>
      </c>
      <c r="B474" s="26" t="str">
        <f aca="false">IFERROR(INDEX('Output Utente'!$A$2:$A$492,MATCH(471,'Output Utente'!$R$2:$R$492,0)),"")</f>
        <v/>
      </c>
      <c r="C474" s="26" t="str">
        <f aca="false">IFERROR(INDEX('Output Utente'!$B$2:$B$492,MATCH(471,'Output Utente'!$R$2:$R$492,0)),"")</f>
        <v/>
      </c>
      <c r="D474" s="26" t="str">
        <f aca="false">IFERROR(INDEX('Output Utente'!$C$2:$C$492,MATCH(471,'Output Utente'!$R$2:$R$492,0)),"")</f>
        <v/>
      </c>
      <c r="E474" s="26" t="str">
        <f aca="false">IFERROR(INDEX('Input Giocatori 2026_27'!$D$3:$D$493,MATCH($B474,'Input Giocatori 2026_27'!$A$3:$A$493,0)),"")</f>
        <v/>
      </c>
      <c r="F474" s="27" t="str">
        <f aca="false">IFERROR(INDEX('Output Utente'!$N$2:$N$492,MATCH(471,'Output Utente'!$R$2:$R$492,0)),"")</f>
        <v/>
      </c>
      <c r="G474" s="26" t="str">
        <f aca="false">IFERROR(INDEX('Output Utente'!$O$2:$O$492,MATCH(471,'Output Utente'!$R$2:$R$492,0)),"")</f>
        <v/>
      </c>
      <c r="H474" s="26" t="str">
        <f aca="false">IFERROR(INDEX('Output Utente'!$P$2:$P$492,MATCH(471,'Output Utente'!$R$2:$R$492,0)),"")</f>
        <v/>
      </c>
      <c r="I474" s="27" t="str">
        <f aca="false">IFERROR(INDEX('Output Utente'!$F$2:$F$492,MATCH(471,'Output Utente'!$R$2:$R$492,0)),"")</f>
        <v/>
      </c>
      <c r="J474" s="27" t="str">
        <f aca="false">IFERROR(INDEX('Output Utente'!$G$2:$G$492,MATCH(471,'Output Utente'!$R$2:$R$492,0)),"")</f>
        <v/>
      </c>
      <c r="K474" s="27" t="str">
        <f aca="false">IFERROR(INDEX('Output Utente'!$H$2:$H$492,MATCH(471,'Output Utente'!$R$2:$R$492,0)),"")</f>
        <v/>
      </c>
      <c r="L474" s="26" t="str">
        <f aca="false">IFERROR(INDEX('Output Utente'!$E$2:$E$492,MATCH(471,'Output Utente'!$R$2:$R$492,0)),"")</f>
        <v/>
      </c>
    </row>
    <row r="475" customFormat="false" ht="15" hidden="false" customHeight="true" outlineLevel="0" collapsed="false">
      <c r="A475" s="29" t="n">
        <v>472</v>
      </c>
      <c r="B475" s="26" t="str">
        <f aca="false">IFERROR(INDEX('Output Utente'!$A$2:$A$492,MATCH(472,'Output Utente'!$R$2:$R$492,0)),"")</f>
        <v/>
      </c>
      <c r="C475" s="26" t="str">
        <f aca="false">IFERROR(INDEX('Output Utente'!$B$2:$B$492,MATCH(472,'Output Utente'!$R$2:$R$492,0)),"")</f>
        <v/>
      </c>
      <c r="D475" s="26" t="str">
        <f aca="false">IFERROR(INDEX('Output Utente'!$C$2:$C$492,MATCH(472,'Output Utente'!$R$2:$R$492,0)),"")</f>
        <v/>
      </c>
      <c r="E475" s="26" t="str">
        <f aca="false">IFERROR(INDEX('Input Giocatori 2026_27'!$D$3:$D$493,MATCH($B475,'Input Giocatori 2026_27'!$A$3:$A$493,0)),"")</f>
        <v/>
      </c>
      <c r="F475" s="27" t="str">
        <f aca="false">IFERROR(INDEX('Output Utente'!$N$2:$N$492,MATCH(472,'Output Utente'!$R$2:$R$492,0)),"")</f>
        <v/>
      </c>
      <c r="G475" s="26" t="str">
        <f aca="false">IFERROR(INDEX('Output Utente'!$O$2:$O$492,MATCH(472,'Output Utente'!$R$2:$R$492,0)),"")</f>
        <v/>
      </c>
      <c r="H475" s="26" t="str">
        <f aca="false">IFERROR(INDEX('Output Utente'!$P$2:$P$492,MATCH(472,'Output Utente'!$R$2:$R$492,0)),"")</f>
        <v/>
      </c>
      <c r="I475" s="27" t="str">
        <f aca="false">IFERROR(INDEX('Output Utente'!$F$2:$F$492,MATCH(472,'Output Utente'!$R$2:$R$492,0)),"")</f>
        <v/>
      </c>
      <c r="J475" s="27" t="str">
        <f aca="false">IFERROR(INDEX('Output Utente'!$G$2:$G$492,MATCH(472,'Output Utente'!$R$2:$R$492,0)),"")</f>
        <v/>
      </c>
      <c r="K475" s="27" t="str">
        <f aca="false">IFERROR(INDEX('Output Utente'!$H$2:$H$492,MATCH(472,'Output Utente'!$R$2:$R$492,0)),"")</f>
        <v/>
      </c>
      <c r="L475" s="26" t="str">
        <f aca="false">IFERROR(INDEX('Output Utente'!$E$2:$E$492,MATCH(472,'Output Utente'!$R$2:$R$492,0)),"")</f>
        <v/>
      </c>
    </row>
    <row r="476" customFormat="false" ht="15" hidden="false" customHeight="true" outlineLevel="0" collapsed="false">
      <c r="A476" s="29" t="n">
        <v>473</v>
      </c>
      <c r="B476" s="26" t="str">
        <f aca="false">IFERROR(INDEX('Output Utente'!$A$2:$A$492,MATCH(473,'Output Utente'!$R$2:$R$492,0)),"")</f>
        <v/>
      </c>
      <c r="C476" s="26" t="str">
        <f aca="false">IFERROR(INDEX('Output Utente'!$B$2:$B$492,MATCH(473,'Output Utente'!$R$2:$R$492,0)),"")</f>
        <v/>
      </c>
      <c r="D476" s="26" t="str">
        <f aca="false">IFERROR(INDEX('Output Utente'!$C$2:$C$492,MATCH(473,'Output Utente'!$R$2:$R$492,0)),"")</f>
        <v/>
      </c>
      <c r="E476" s="26" t="str">
        <f aca="false">IFERROR(INDEX('Input Giocatori 2026_27'!$D$3:$D$493,MATCH($B476,'Input Giocatori 2026_27'!$A$3:$A$493,0)),"")</f>
        <v/>
      </c>
      <c r="F476" s="27" t="str">
        <f aca="false">IFERROR(INDEX('Output Utente'!$N$2:$N$492,MATCH(473,'Output Utente'!$R$2:$R$492,0)),"")</f>
        <v/>
      </c>
      <c r="G476" s="26" t="str">
        <f aca="false">IFERROR(INDEX('Output Utente'!$O$2:$O$492,MATCH(473,'Output Utente'!$R$2:$R$492,0)),"")</f>
        <v/>
      </c>
      <c r="H476" s="26" t="str">
        <f aca="false">IFERROR(INDEX('Output Utente'!$P$2:$P$492,MATCH(473,'Output Utente'!$R$2:$R$492,0)),"")</f>
        <v/>
      </c>
      <c r="I476" s="27" t="str">
        <f aca="false">IFERROR(INDEX('Output Utente'!$F$2:$F$492,MATCH(473,'Output Utente'!$R$2:$R$492,0)),"")</f>
        <v/>
      </c>
      <c r="J476" s="27" t="str">
        <f aca="false">IFERROR(INDEX('Output Utente'!$G$2:$G$492,MATCH(473,'Output Utente'!$R$2:$R$492,0)),"")</f>
        <v/>
      </c>
      <c r="K476" s="27" t="str">
        <f aca="false">IFERROR(INDEX('Output Utente'!$H$2:$H$492,MATCH(473,'Output Utente'!$R$2:$R$492,0)),"")</f>
        <v/>
      </c>
      <c r="L476" s="26" t="str">
        <f aca="false">IFERROR(INDEX('Output Utente'!$E$2:$E$492,MATCH(473,'Output Utente'!$R$2:$R$492,0)),"")</f>
        <v/>
      </c>
    </row>
    <row r="477" customFormat="false" ht="15" hidden="false" customHeight="true" outlineLevel="0" collapsed="false">
      <c r="A477" s="29" t="n">
        <v>474</v>
      </c>
      <c r="B477" s="26" t="str">
        <f aca="false">IFERROR(INDEX('Output Utente'!$A$2:$A$492,MATCH(474,'Output Utente'!$R$2:$R$492,0)),"")</f>
        <v/>
      </c>
      <c r="C477" s="26" t="str">
        <f aca="false">IFERROR(INDEX('Output Utente'!$B$2:$B$492,MATCH(474,'Output Utente'!$R$2:$R$492,0)),"")</f>
        <v/>
      </c>
      <c r="D477" s="26" t="str">
        <f aca="false">IFERROR(INDEX('Output Utente'!$C$2:$C$492,MATCH(474,'Output Utente'!$R$2:$R$492,0)),"")</f>
        <v/>
      </c>
      <c r="E477" s="26" t="str">
        <f aca="false">IFERROR(INDEX('Input Giocatori 2026_27'!$D$3:$D$493,MATCH($B477,'Input Giocatori 2026_27'!$A$3:$A$493,0)),"")</f>
        <v/>
      </c>
      <c r="F477" s="27" t="str">
        <f aca="false">IFERROR(INDEX('Output Utente'!$N$2:$N$492,MATCH(474,'Output Utente'!$R$2:$R$492,0)),"")</f>
        <v/>
      </c>
      <c r="G477" s="26" t="str">
        <f aca="false">IFERROR(INDEX('Output Utente'!$O$2:$O$492,MATCH(474,'Output Utente'!$R$2:$R$492,0)),"")</f>
        <v/>
      </c>
      <c r="H477" s="26" t="str">
        <f aca="false">IFERROR(INDEX('Output Utente'!$P$2:$P$492,MATCH(474,'Output Utente'!$R$2:$R$492,0)),"")</f>
        <v/>
      </c>
      <c r="I477" s="27" t="str">
        <f aca="false">IFERROR(INDEX('Output Utente'!$F$2:$F$492,MATCH(474,'Output Utente'!$R$2:$R$492,0)),"")</f>
        <v/>
      </c>
      <c r="J477" s="27" t="str">
        <f aca="false">IFERROR(INDEX('Output Utente'!$G$2:$G$492,MATCH(474,'Output Utente'!$R$2:$R$492,0)),"")</f>
        <v/>
      </c>
      <c r="K477" s="27" t="str">
        <f aca="false">IFERROR(INDEX('Output Utente'!$H$2:$H$492,MATCH(474,'Output Utente'!$R$2:$R$492,0)),"")</f>
        <v/>
      </c>
      <c r="L477" s="26" t="str">
        <f aca="false">IFERROR(INDEX('Output Utente'!$E$2:$E$492,MATCH(474,'Output Utente'!$R$2:$R$492,0)),"")</f>
        <v/>
      </c>
    </row>
    <row r="478" customFormat="false" ht="15" hidden="false" customHeight="true" outlineLevel="0" collapsed="false">
      <c r="A478" s="29" t="n">
        <v>475</v>
      </c>
      <c r="B478" s="26" t="str">
        <f aca="false">IFERROR(INDEX('Output Utente'!$A$2:$A$492,MATCH(475,'Output Utente'!$R$2:$R$492,0)),"")</f>
        <v/>
      </c>
      <c r="C478" s="26" t="str">
        <f aca="false">IFERROR(INDEX('Output Utente'!$B$2:$B$492,MATCH(475,'Output Utente'!$R$2:$R$492,0)),"")</f>
        <v/>
      </c>
      <c r="D478" s="26" t="str">
        <f aca="false">IFERROR(INDEX('Output Utente'!$C$2:$C$492,MATCH(475,'Output Utente'!$R$2:$R$492,0)),"")</f>
        <v/>
      </c>
      <c r="E478" s="26" t="str">
        <f aca="false">IFERROR(INDEX('Input Giocatori 2026_27'!$D$3:$D$493,MATCH($B478,'Input Giocatori 2026_27'!$A$3:$A$493,0)),"")</f>
        <v/>
      </c>
      <c r="F478" s="27" t="str">
        <f aca="false">IFERROR(INDEX('Output Utente'!$N$2:$N$492,MATCH(475,'Output Utente'!$R$2:$R$492,0)),"")</f>
        <v/>
      </c>
      <c r="G478" s="26" t="str">
        <f aca="false">IFERROR(INDEX('Output Utente'!$O$2:$O$492,MATCH(475,'Output Utente'!$R$2:$R$492,0)),"")</f>
        <v/>
      </c>
      <c r="H478" s="26" t="str">
        <f aca="false">IFERROR(INDEX('Output Utente'!$P$2:$P$492,MATCH(475,'Output Utente'!$R$2:$R$492,0)),"")</f>
        <v/>
      </c>
      <c r="I478" s="27" t="str">
        <f aca="false">IFERROR(INDEX('Output Utente'!$F$2:$F$492,MATCH(475,'Output Utente'!$R$2:$R$492,0)),"")</f>
        <v/>
      </c>
      <c r="J478" s="27" t="str">
        <f aca="false">IFERROR(INDEX('Output Utente'!$G$2:$G$492,MATCH(475,'Output Utente'!$R$2:$R$492,0)),"")</f>
        <v/>
      </c>
      <c r="K478" s="27" t="str">
        <f aca="false">IFERROR(INDEX('Output Utente'!$H$2:$H$492,MATCH(475,'Output Utente'!$R$2:$R$492,0)),"")</f>
        <v/>
      </c>
      <c r="L478" s="26" t="str">
        <f aca="false">IFERROR(INDEX('Output Utente'!$E$2:$E$492,MATCH(475,'Output Utente'!$R$2:$R$492,0)),"")</f>
        <v/>
      </c>
    </row>
    <row r="479" customFormat="false" ht="15" hidden="false" customHeight="true" outlineLevel="0" collapsed="false">
      <c r="A479" s="29" t="n">
        <v>476</v>
      </c>
      <c r="B479" s="26" t="str">
        <f aca="false">IFERROR(INDEX('Output Utente'!$A$2:$A$492,MATCH(476,'Output Utente'!$R$2:$R$492,0)),"")</f>
        <v/>
      </c>
      <c r="C479" s="26" t="str">
        <f aca="false">IFERROR(INDEX('Output Utente'!$B$2:$B$492,MATCH(476,'Output Utente'!$R$2:$R$492,0)),"")</f>
        <v/>
      </c>
      <c r="D479" s="26" t="str">
        <f aca="false">IFERROR(INDEX('Output Utente'!$C$2:$C$492,MATCH(476,'Output Utente'!$R$2:$R$492,0)),"")</f>
        <v/>
      </c>
      <c r="E479" s="26" t="str">
        <f aca="false">IFERROR(INDEX('Input Giocatori 2026_27'!$D$3:$D$493,MATCH($B479,'Input Giocatori 2026_27'!$A$3:$A$493,0)),"")</f>
        <v/>
      </c>
      <c r="F479" s="27" t="str">
        <f aca="false">IFERROR(INDEX('Output Utente'!$N$2:$N$492,MATCH(476,'Output Utente'!$R$2:$R$492,0)),"")</f>
        <v/>
      </c>
      <c r="G479" s="26" t="str">
        <f aca="false">IFERROR(INDEX('Output Utente'!$O$2:$O$492,MATCH(476,'Output Utente'!$R$2:$R$492,0)),"")</f>
        <v/>
      </c>
      <c r="H479" s="26" t="str">
        <f aca="false">IFERROR(INDEX('Output Utente'!$P$2:$P$492,MATCH(476,'Output Utente'!$R$2:$R$492,0)),"")</f>
        <v/>
      </c>
      <c r="I479" s="27" t="str">
        <f aca="false">IFERROR(INDEX('Output Utente'!$F$2:$F$492,MATCH(476,'Output Utente'!$R$2:$R$492,0)),"")</f>
        <v/>
      </c>
      <c r="J479" s="27" t="str">
        <f aca="false">IFERROR(INDEX('Output Utente'!$G$2:$G$492,MATCH(476,'Output Utente'!$R$2:$R$492,0)),"")</f>
        <v/>
      </c>
      <c r="K479" s="27" t="str">
        <f aca="false">IFERROR(INDEX('Output Utente'!$H$2:$H$492,MATCH(476,'Output Utente'!$R$2:$R$492,0)),"")</f>
        <v/>
      </c>
      <c r="L479" s="26" t="str">
        <f aca="false">IFERROR(INDEX('Output Utente'!$E$2:$E$492,MATCH(476,'Output Utente'!$R$2:$R$492,0)),"")</f>
        <v/>
      </c>
    </row>
    <row r="480" customFormat="false" ht="15" hidden="false" customHeight="true" outlineLevel="0" collapsed="false">
      <c r="A480" s="29" t="n">
        <v>477</v>
      </c>
      <c r="B480" s="26" t="str">
        <f aca="false">IFERROR(INDEX('Output Utente'!$A$2:$A$492,MATCH(477,'Output Utente'!$R$2:$R$492,0)),"")</f>
        <v/>
      </c>
      <c r="C480" s="26" t="str">
        <f aca="false">IFERROR(INDEX('Output Utente'!$B$2:$B$492,MATCH(477,'Output Utente'!$R$2:$R$492,0)),"")</f>
        <v/>
      </c>
      <c r="D480" s="26" t="str">
        <f aca="false">IFERROR(INDEX('Output Utente'!$C$2:$C$492,MATCH(477,'Output Utente'!$R$2:$R$492,0)),"")</f>
        <v/>
      </c>
      <c r="E480" s="26" t="str">
        <f aca="false">IFERROR(INDEX('Input Giocatori 2026_27'!$D$3:$D$493,MATCH($B480,'Input Giocatori 2026_27'!$A$3:$A$493,0)),"")</f>
        <v/>
      </c>
      <c r="F480" s="27" t="str">
        <f aca="false">IFERROR(INDEX('Output Utente'!$N$2:$N$492,MATCH(477,'Output Utente'!$R$2:$R$492,0)),"")</f>
        <v/>
      </c>
      <c r="G480" s="26" t="str">
        <f aca="false">IFERROR(INDEX('Output Utente'!$O$2:$O$492,MATCH(477,'Output Utente'!$R$2:$R$492,0)),"")</f>
        <v/>
      </c>
      <c r="H480" s="26" t="str">
        <f aca="false">IFERROR(INDEX('Output Utente'!$P$2:$P$492,MATCH(477,'Output Utente'!$R$2:$R$492,0)),"")</f>
        <v/>
      </c>
      <c r="I480" s="27" t="str">
        <f aca="false">IFERROR(INDEX('Output Utente'!$F$2:$F$492,MATCH(477,'Output Utente'!$R$2:$R$492,0)),"")</f>
        <v/>
      </c>
      <c r="J480" s="27" t="str">
        <f aca="false">IFERROR(INDEX('Output Utente'!$G$2:$G$492,MATCH(477,'Output Utente'!$R$2:$R$492,0)),"")</f>
        <v/>
      </c>
      <c r="K480" s="27" t="str">
        <f aca="false">IFERROR(INDEX('Output Utente'!$H$2:$H$492,MATCH(477,'Output Utente'!$R$2:$R$492,0)),"")</f>
        <v/>
      </c>
      <c r="L480" s="26" t="str">
        <f aca="false">IFERROR(INDEX('Output Utente'!$E$2:$E$492,MATCH(477,'Output Utente'!$R$2:$R$492,0)),"")</f>
        <v/>
      </c>
    </row>
    <row r="481" customFormat="false" ht="15" hidden="false" customHeight="true" outlineLevel="0" collapsed="false">
      <c r="A481" s="29" t="n">
        <v>478</v>
      </c>
      <c r="B481" s="26" t="str">
        <f aca="false">IFERROR(INDEX('Output Utente'!$A$2:$A$492,MATCH(478,'Output Utente'!$R$2:$R$492,0)),"")</f>
        <v/>
      </c>
      <c r="C481" s="26" t="str">
        <f aca="false">IFERROR(INDEX('Output Utente'!$B$2:$B$492,MATCH(478,'Output Utente'!$R$2:$R$492,0)),"")</f>
        <v/>
      </c>
      <c r="D481" s="26" t="str">
        <f aca="false">IFERROR(INDEX('Output Utente'!$C$2:$C$492,MATCH(478,'Output Utente'!$R$2:$R$492,0)),"")</f>
        <v/>
      </c>
      <c r="E481" s="26" t="str">
        <f aca="false">IFERROR(INDEX('Input Giocatori 2026_27'!$D$3:$D$493,MATCH($B481,'Input Giocatori 2026_27'!$A$3:$A$493,0)),"")</f>
        <v/>
      </c>
      <c r="F481" s="27" t="str">
        <f aca="false">IFERROR(INDEX('Output Utente'!$N$2:$N$492,MATCH(478,'Output Utente'!$R$2:$R$492,0)),"")</f>
        <v/>
      </c>
      <c r="G481" s="26" t="str">
        <f aca="false">IFERROR(INDEX('Output Utente'!$O$2:$O$492,MATCH(478,'Output Utente'!$R$2:$R$492,0)),"")</f>
        <v/>
      </c>
      <c r="H481" s="26" t="str">
        <f aca="false">IFERROR(INDEX('Output Utente'!$P$2:$P$492,MATCH(478,'Output Utente'!$R$2:$R$492,0)),"")</f>
        <v/>
      </c>
      <c r="I481" s="27" t="str">
        <f aca="false">IFERROR(INDEX('Output Utente'!$F$2:$F$492,MATCH(478,'Output Utente'!$R$2:$R$492,0)),"")</f>
        <v/>
      </c>
      <c r="J481" s="27" t="str">
        <f aca="false">IFERROR(INDEX('Output Utente'!$G$2:$G$492,MATCH(478,'Output Utente'!$R$2:$R$492,0)),"")</f>
        <v/>
      </c>
      <c r="K481" s="27" t="str">
        <f aca="false">IFERROR(INDEX('Output Utente'!$H$2:$H$492,MATCH(478,'Output Utente'!$R$2:$R$492,0)),"")</f>
        <v/>
      </c>
      <c r="L481" s="26" t="str">
        <f aca="false">IFERROR(INDEX('Output Utente'!$E$2:$E$492,MATCH(478,'Output Utente'!$R$2:$R$492,0)),"")</f>
        <v/>
      </c>
    </row>
    <row r="482" customFormat="false" ht="15" hidden="false" customHeight="true" outlineLevel="0" collapsed="false">
      <c r="A482" s="29" t="n">
        <v>479</v>
      </c>
      <c r="B482" s="26" t="str">
        <f aca="false">IFERROR(INDEX('Output Utente'!$A$2:$A$492,MATCH(479,'Output Utente'!$R$2:$R$492,0)),"")</f>
        <v/>
      </c>
      <c r="C482" s="26" t="str">
        <f aca="false">IFERROR(INDEX('Output Utente'!$B$2:$B$492,MATCH(479,'Output Utente'!$R$2:$R$492,0)),"")</f>
        <v/>
      </c>
      <c r="D482" s="26" t="str">
        <f aca="false">IFERROR(INDEX('Output Utente'!$C$2:$C$492,MATCH(479,'Output Utente'!$R$2:$R$492,0)),"")</f>
        <v/>
      </c>
      <c r="E482" s="26" t="str">
        <f aca="false">IFERROR(INDEX('Input Giocatori 2026_27'!$D$3:$D$493,MATCH($B482,'Input Giocatori 2026_27'!$A$3:$A$493,0)),"")</f>
        <v/>
      </c>
      <c r="F482" s="27" t="str">
        <f aca="false">IFERROR(INDEX('Output Utente'!$N$2:$N$492,MATCH(479,'Output Utente'!$R$2:$R$492,0)),"")</f>
        <v/>
      </c>
      <c r="G482" s="26" t="str">
        <f aca="false">IFERROR(INDEX('Output Utente'!$O$2:$O$492,MATCH(479,'Output Utente'!$R$2:$R$492,0)),"")</f>
        <v/>
      </c>
      <c r="H482" s="26" t="str">
        <f aca="false">IFERROR(INDEX('Output Utente'!$P$2:$P$492,MATCH(479,'Output Utente'!$R$2:$R$492,0)),"")</f>
        <v/>
      </c>
      <c r="I482" s="27" t="str">
        <f aca="false">IFERROR(INDEX('Output Utente'!$F$2:$F$492,MATCH(479,'Output Utente'!$R$2:$R$492,0)),"")</f>
        <v/>
      </c>
      <c r="J482" s="27" t="str">
        <f aca="false">IFERROR(INDEX('Output Utente'!$G$2:$G$492,MATCH(479,'Output Utente'!$R$2:$R$492,0)),"")</f>
        <v/>
      </c>
      <c r="K482" s="27" t="str">
        <f aca="false">IFERROR(INDEX('Output Utente'!$H$2:$H$492,MATCH(479,'Output Utente'!$R$2:$R$492,0)),"")</f>
        <v/>
      </c>
      <c r="L482" s="26" t="str">
        <f aca="false">IFERROR(INDEX('Output Utente'!$E$2:$E$492,MATCH(479,'Output Utente'!$R$2:$R$492,0)),"")</f>
        <v/>
      </c>
    </row>
    <row r="483" customFormat="false" ht="15" hidden="false" customHeight="true" outlineLevel="0" collapsed="false">
      <c r="A483" s="29" t="n">
        <v>480</v>
      </c>
      <c r="B483" s="26" t="str">
        <f aca="false">IFERROR(INDEX('Output Utente'!$A$2:$A$492,MATCH(480,'Output Utente'!$R$2:$R$492,0)),"")</f>
        <v/>
      </c>
      <c r="C483" s="26" t="str">
        <f aca="false">IFERROR(INDEX('Output Utente'!$B$2:$B$492,MATCH(480,'Output Utente'!$R$2:$R$492,0)),"")</f>
        <v/>
      </c>
      <c r="D483" s="26" t="str">
        <f aca="false">IFERROR(INDEX('Output Utente'!$C$2:$C$492,MATCH(480,'Output Utente'!$R$2:$R$492,0)),"")</f>
        <v/>
      </c>
      <c r="E483" s="26" t="str">
        <f aca="false">IFERROR(INDEX('Input Giocatori 2026_27'!$D$3:$D$493,MATCH($B483,'Input Giocatori 2026_27'!$A$3:$A$493,0)),"")</f>
        <v/>
      </c>
      <c r="F483" s="27" t="str">
        <f aca="false">IFERROR(INDEX('Output Utente'!$N$2:$N$492,MATCH(480,'Output Utente'!$R$2:$R$492,0)),"")</f>
        <v/>
      </c>
      <c r="G483" s="26" t="str">
        <f aca="false">IFERROR(INDEX('Output Utente'!$O$2:$O$492,MATCH(480,'Output Utente'!$R$2:$R$492,0)),"")</f>
        <v/>
      </c>
      <c r="H483" s="26" t="str">
        <f aca="false">IFERROR(INDEX('Output Utente'!$P$2:$P$492,MATCH(480,'Output Utente'!$R$2:$R$492,0)),"")</f>
        <v/>
      </c>
      <c r="I483" s="27" t="str">
        <f aca="false">IFERROR(INDEX('Output Utente'!$F$2:$F$492,MATCH(480,'Output Utente'!$R$2:$R$492,0)),"")</f>
        <v/>
      </c>
      <c r="J483" s="27" t="str">
        <f aca="false">IFERROR(INDEX('Output Utente'!$G$2:$G$492,MATCH(480,'Output Utente'!$R$2:$R$492,0)),"")</f>
        <v/>
      </c>
      <c r="K483" s="27" t="str">
        <f aca="false">IFERROR(INDEX('Output Utente'!$H$2:$H$492,MATCH(480,'Output Utente'!$R$2:$R$492,0)),"")</f>
        <v/>
      </c>
      <c r="L483" s="26" t="str">
        <f aca="false">IFERROR(INDEX('Output Utente'!$E$2:$E$492,MATCH(480,'Output Utente'!$R$2:$R$492,0)),"")</f>
        <v/>
      </c>
    </row>
    <row r="484" customFormat="false" ht="15" hidden="false" customHeight="true" outlineLevel="0" collapsed="false">
      <c r="A484" s="29" t="n">
        <v>481</v>
      </c>
      <c r="B484" s="26" t="str">
        <f aca="false">IFERROR(INDEX('Output Utente'!$A$2:$A$492,MATCH(481,'Output Utente'!$R$2:$R$492,0)),"")</f>
        <v/>
      </c>
      <c r="C484" s="26" t="str">
        <f aca="false">IFERROR(INDEX('Output Utente'!$B$2:$B$492,MATCH(481,'Output Utente'!$R$2:$R$492,0)),"")</f>
        <v/>
      </c>
      <c r="D484" s="26" t="str">
        <f aca="false">IFERROR(INDEX('Output Utente'!$C$2:$C$492,MATCH(481,'Output Utente'!$R$2:$R$492,0)),"")</f>
        <v/>
      </c>
      <c r="E484" s="26" t="str">
        <f aca="false">IFERROR(INDEX('Input Giocatori 2026_27'!$D$3:$D$493,MATCH($B484,'Input Giocatori 2026_27'!$A$3:$A$493,0)),"")</f>
        <v/>
      </c>
      <c r="F484" s="27" t="str">
        <f aca="false">IFERROR(INDEX('Output Utente'!$N$2:$N$492,MATCH(481,'Output Utente'!$R$2:$R$492,0)),"")</f>
        <v/>
      </c>
      <c r="G484" s="26" t="str">
        <f aca="false">IFERROR(INDEX('Output Utente'!$O$2:$O$492,MATCH(481,'Output Utente'!$R$2:$R$492,0)),"")</f>
        <v/>
      </c>
      <c r="H484" s="26" t="str">
        <f aca="false">IFERROR(INDEX('Output Utente'!$P$2:$P$492,MATCH(481,'Output Utente'!$R$2:$R$492,0)),"")</f>
        <v/>
      </c>
      <c r="I484" s="27" t="str">
        <f aca="false">IFERROR(INDEX('Output Utente'!$F$2:$F$492,MATCH(481,'Output Utente'!$R$2:$R$492,0)),"")</f>
        <v/>
      </c>
      <c r="J484" s="27" t="str">
        <f aca="false">IFERROR(INDEX('Output Utente'!$G$2:$G$492,MATCH(481,'Output Utente'!$R$2:$R$492,0)),"")</f>
        <v/>
      </c>
      <c r="K484" s="27" t="str">
        <f aca="false">IFERROR(INDEX('Output Utente'!$H$2:$H$492,MATCH(481,'Output Utente'!$R$2:$R$492,0)),"")</f>
        <v/>
      </c>
      <c r="L484" s="26" t="str">
        <f aca="false">IFERROR(INDEX('Output Utente'!$E$2:$E$492,MATCH(481,'Output Utente'!$R$2:$R$492,0)),"")</f>
        <v/>
      </c>
    </row>
    <row r="485" customFormat="false" ht="15" hidden="false" customHeight="true" outlineLevel="0" collapsed="false">
      <c r="A485" s="29" t="n">
        <v>482</v>
      </c>
      <c r="B485" s="26" t="str">
        <f aca="false">IFERROR(INDEX('Output Utente'!$A$2:$A$492,MATCH(482,'Output Utente'!$R$2:$R$492,0)),"")</f>
        <v/>
      </c>
      <c r="C485" s="26" t="str">
        <f aca="false">IFERROR(INDEX('Output Utente'!$B$2:$B$492,MATCH(482,'Output Utente'!$R$2:$R$492,0)),"")</f>
        <v/>
      </c>
      <c r="D485" s="26" t="str">
        <f aca="false">IFERROR(INDEX('Output Utente'!$C$2:$C$492,MATCH(482,'Output Utente'!$R$2:$R$492,0)),"")</f>
        <v/>
      </c>
      <c r="E485" s="26" t="str">
        <f aca="false">IFERROR(INDEX('Input Giocatori 2026_27'!$D$3:$D$493,MATCH($B485,'Input Giocatori 2026_27'!$A$3:$A$493,0)),"")</f>
        <v/>
      </c>
      <c r="F485" s="27" t="str">
        <f aca="false">IFERROR(INDEX('Output Utente'!$N$2:$N$492,MATCH(482,'Output Utente'!$R$2:$R$492,0)),"")</f>
        <v/>
      </c>
      <c r="G485" s="26" t="str">
        <f aca="false">IFERROR(INDEX('Output Utente'!$O$2:$O$492,MATCH(482,'Output Utente'!$R$2:$R$492,0)),"")</f>
        <v/>
      </c>
      <c r="H485" s="26" t="str">
        <f aca="false">IFERROR(INDEX('Output Utente'!$P$2:$P$492,MATCH(482,'Output Utente'!$R$2:$R$492,0)),"")</f>
        <v/>
      </c>
      <c r="I485" s="27" t="str">
        <f aca="false">IFERROR(INDEX('Output Utente'!$F$2:$F$492,MATCH(482,'Output Utente'!$R$2:$R$492,0)),"")</f>
        <v/>
      </c>
      <c r="J485" s="27" t="str">
        <f aca="false">IFERROR(INDEX('Output Utente'!$G$2:$G$492,MATCH(482,'Output Utente'!$R$2:$R$492,0)),"")</f>
        <v/>
      </c>
      <c r="K485" s="27" t="str">
        <f aca="false">IFERROR(INDEX('Output Utente'!$H$2:$H$492,MATCH(482,'Output Utente'!$R$2:$R$492,0)),"")</f>
        <v/>
      </c>
      <c r="L485" s="26" t="str">
        <f aca="false">IFERROR(INDEX('Output Utente'!$E$2:$E$492,MATCH(482,'Output Utente'!$R$2:$R$492,0)),"")</f>
        <v/>
      </c>
    </row>
    <row r="486" customFormat="false" ht="15" hidden="false" customHeight="true" outlineLevel="0" collapsed="false">
      <c r="A486" s="29" t="n">
        <v>483</v>
      </c>
      <c r="B486" s="26" t="str">
        <f aca="false">IFERROR(INDEX('Output Utente'!$A$2:$A$492,MATCH(483,'Output Utente'!$R$2:$R$492,0)),"")</f>
        <v/>
      </c>
      <c r="C486" s="26" t="str">
        <f aca="false">IFERROR(INDEX('Output Utente'!$B$2:$B$492,MATCH(483,'Output Utente'!$R$2:$R$492,0)),"")</f>
        <v/>
      </c>
      <c r="D486" s="26" t="str">
        <f aca="false">IFERROR(INDEX('Output Utente'!$C$2:$C$492,MATCH(483,'Output Utente'!$R$2:$R$492,0)),"")</f>
        <v/>
      </c>
      <c r="E486" s="26" t="str">
        <f aca="false">IFERROR(INDEX('Input Giocatori 2026_27'!$D$3:$D$493,MATCH($B486,'Input Giocatori 2026_27'!$A$3:$A$493,0)),"")</f>
        <v/>
      </c>
      <c r="F486" s="27" t="str">
        <f aca="false">IFERROR(INDEX('Output Utente'!$N$2:$N$492,MATCH(483,'Output Utente'!$R$2:$R$492,0)),"")</f>
        <v/>
      </c>
      <c r="G486" s="26" t="str">
        <f aca="false">IFERROR(INDEX('Output Utente'!$O$2:$O$492,MATCH(483,'Output Utente'!$R$2:$R$492,0)),"")</f>
        <v/>
      </c>
      <c r="H486" s="26" t="str">
        <f aca="false">IFERROR(INDEX('Output Utente'!$P$2:$P$492,MATCH(483,'Output Utente'!$R$2:$R$492,0)),"")</f>
        <v/>
      </c>
      <c r="I486" s="27" t="str">
        <f aca="false">IFERROR(INDEX('Output Utente'!$F$2:$F$492,MATCH(483,'Output Utente'!$R$2:$R$492,0)),"")</f>
        <v/>
      </c>
      <c r="J486" s="27" t="str">
        <f aca="false">IFERROR(INDEX('Output Utente'!$G$2:$G$492,MATCH(483,'Output Utente'!$R$2:$R$492,0)),"")</f>
        <v/>
      </c>
      <c r="K486" s="27" t="str">
        <f aca="false">IFERROR(INDEX('Output Utente'!$H$2:$H$492,MATCH(483,'Output Utente'!$R$2:$R$492,0)),"")</f>
        <v/>
      </c>
      <c r="L486" s="26" t="str">
        <f aca="false">IFERROR(INDEX('Output Utente'!$E$2:$E$492,MATCH(483,'Output Utente'!$R$2:$R$492,0)),"")</f>
        <v/>
      </c>
    </row>
    <row r="487" customFormat="false" ht="15" hidden="false" customHeight="true" outlineLevel="0" collapsed="false">
      <c r="A487" s="29" t="n">
        <v>484</v>
      </c>
      <c r="B487" s="26" t="str">
        <f aca="false">IFERROR(INDEX('Output Utente'!$A$2:$A$492,MATCH(484,'Output Utente'!$R$2:$R$492,0)),"")</f>
        <v/>
      </c>
      <c r="C487" s="26" t="str">
        <f aca="false">IFERROR(INDEX('Output Utente'!$B$2:$B$492,MATCH(484,'Output Utente'!$R$2:$R$492,0)),"")</f>
        <v/>
      </c>
      <c r="D487" s="26" t="str">
        <f aca="false">IFERROR(INDEX('Output Utente'!$C$2:$C$492,MATCH(484,'Output Utente'!$R$2:$R$492,0)),"")</f>
        <v/>
      </c>
      <c r="E487" s="26" t="str">
        <f aca="false">IFERROR(INDEX('Input Giocatori 2026_27'!$D$3:$D$493,MATCH($B487,'Input Giocatori 2026_27'!$A$3:$A$493,0)),"")</f>
        <v/>
      </c>
      <c r="F487" s="27" t="str">
        <f aca="false">IFERROR(INDEX('Output Utente'!$N$2:$N$492,MATCH(484,'Output Utente'!$R$2:$R$492,0)),"")</f>
        <v/>
      </c>
      <c r="G487" s="26" t="str">
        <f aca="false">IFERROR(INDEX('Output Utente'!$O$2:$O$492,MATCH(484,'Output Utente'!$R$2:$R$492,0)),"")</f>
        <v/>
      </c>
      <c r="H487" s="26" t="str">
        <f aca="false">IFERROR(INDEX('Output Utente'!$P$2:$P$492,MATCH(484,'Output Utente'!$R$2:$R$492,0)),"")</f>
        <v/>
      </c>
      <c r="I487" s="27" t="str">
        <f aca="false">IFERROR(INDEX('Output Utente'!$F$2:$F$492,MATCH(484,'Output Utente'!$R$2:$R$492,0)),"")</f>
        <v/>
      </c>
      <c r="J487" s="27" t="str">
        <f aca="false">IFERROR(INDEX('Output Utente'!$G$2:$G$492,MATCH(484,'Output Utente'!$R$2:$R$492,0)),"")</f>
        <v/>
      </c>
      <c r="K487" s="27" t="str">
        <f aca="false">IFERROR(INDEX('Output Utente'!$H$2:$H$492,MATCH(484,'Output Utente'!$R$2:$R$492,0)),"")</f>
        <v/>
      </c>
      <c r="L487" s="26" t="str">
        <f aca="false">IFERROR(INDEX('Output Utente'!$E$2:$E$492,MATCH(484,'Output Utente'!$R$2:$R$492,0)),"")</f>
        <v/>
      </c>
    </row>
    <row r="488" customFormat="false" ht="15" hidden="false" customHeight="true" outlineLevel="0" collapsed="false">
      <c r="A488" s="29" t="n">
        <v>485</v>
      </c>
      <c r="B488" s="26" t="str">
        <f aca="false">IFERROR(INDEX('Output Utente'!$A$2:$A$492,MATCH(485,'Output Utente'!$R$2:$R$492,0)),"")</f>
        <v/>
      </c>
      <c r="C488" s="26" t="str">
        <f aca="false">IFERROR(INDEX('Output Utente'!$B$2:$B$492,MATCH(485,'Output Utente'!$R$2:$R$492,0)),"")</f>
        <v/>
      </c>
      <c r="D488" s="26" t="str">
        <f aca="false">IFERROR(INDEX('Output Utente'!$C$2:$C$492,MATCH(485,'Output Utente'!$R$2:$R$492,0)),"")</f>
        <v/>
      </c>
      <c r="E488" s="26" t="str">
        <f aca="false">IFERROR(INDEX('Input Giocatori 2026_27'!$D$3:$D$493,MATCH($B488,'Input Giocatori 2026_27'!$A$3:$A$493,0)),"")</f>
        <v/>
      </c>
      <c r="F488" s="27" t="str">
        <f aca="false">IFERROR(INDEX('Output Utente'!$N$2:$N$492,MATCH(485,'Output Utente'!$R$2:$R$492,0)),"")</f>
        <v/>
      </c>
      <c r="G488" s="26" t="str">
        <f aca="false">IFERROR(INDEX('Output Utente'!$O$2:$O$492,MATCH(485,'Output Utente'!$R$2:$R$492,0)),"")</f>
        <v/>
      </c>
      <c r="H488" s="26" t="str">
        <f aca="false">IFERROR(INDEX('Output Utente'!$P$2:$P$492,MATCH(485,'Output Utente'!$R$2:$R$492,0)),"")</f>
        <v/>
      </c>
      <c r="I488" s="27" t="str">
        <f aca="false">IFERROR(INDEX('Output Utente'!$F$2:$F$492,MATCH(485,'Output Utente'!$R$2:$R$492,0)),"")</f>
        <v/>
      </c>
      <c r="J488" s="27" t="str">
        <f aca="false">IFERROR(INDEX('Output Utente'!$G$2:$G$492,MATCH(485,'Output Utente'!$R$2:$R$492,0)),"")</f>
        <v/>
      </c>
      <c r="K488" s="27" t="str">
        <f aca="false">IFERROR(INDEX('Output Utente'!$H$2:$H$492,MATCH(485,'Output Utente'!$R$2:$R$492,0)),"")</f>
        <v/>
      </c>
      <c r="L488" s="26" t="str">
        <f aca="false">IFERROR(INDEX('Output Utente'!$E$2:$E$492,MATCH(485,'Output Utente'!$R$2:$R$492,0)),"")</f>
        <v/>
      </c>
    </row>
    <row r="489" customFormat="false" ht="15" hidden="false" customHeight="true" outlineLevel="0" collapsed="false">
      <c r="A489" s="29" t="n">
        <v>486</v>
      </c>
      <c r="B489" s="26" t="str">
        <f aca="false">IFERROR(INDEX('Output Utente'!$A$2:$A$492,MATCH(486,'Output Utente'!$R$2:$R$492,0)),"")</f>
        <v/>
      </c>
      <c r="C489" s="26" t="str">
        <f aca="false">IFERROR(INDEX('Output Utente'!$B$2:$B$492,MATCH(486,'Output Utente'!$R$2:$R$492,0)),"")</f>
        <v/>
      </c>
      <c r="D489" s="26" t="str">
        <f aca="false">IFERROR(INDEX('Output Utente'!$C$2:$C$492,MATCH(486,'Output Utente'!$R$2:$R$492,0)),"")</f>
        <v/>
      </c>
      <c r="E489" s="26" t="str">
        <f aca="false">IFERROR(INDEX('Input Giocatori 2026_27'!$D$3:$D$493,MATCH($B489,'Input Giocatori 2026_27'!$A$3:$A$493,0)),"")</f>
        <v/>
      </c>
      <c r="F489" s="27" t="str">
        <f aca="false">IFERROR(INDEX('Output Utente'!$N$2:$N$492,MATCH(486,'Output Utente'!$R$2:$R$492,0)),"")</f>
        <v/>
      </c>
      <c r="G489" s="26" t="str">
        <f aca="false">IFERROR(INDEX('Output Utente'!$O$2:$O$492,MATCH(486,'Output Utente'!$R$2:$R$492,0)),"")</f>
        <v/>
      </c>
      <c r="H489" s="26" t="str">
        <f aca="false">IFERROR(INDEX('Output Utente'!$P$2:$P$492,MATCH(486,'Output Utente'!$R$2:$R$492,0)),"")</f>
        <v/>
      </c>
      <c r="I489" s="27" t="str">
        <f aca="false">IFERROR(INDEX('Output Utente'!$F$2:$F$492,MATCH(486,'Output Utente'!$R$2:$R$492,0)),"")</f>
        <v/>
      </c>
      <c r="J489" s="27" t="str">
        <f aca="false">IFERROR(INDEX('Output Utente'!$G$2:$G$492,MATCH(486,'Output Utente'!$R$2:$R$492,0)),"")</f>
        <v/>
      </c>
      <c r="K489" s="27" t="str">
        <f aca="false">IFERROR(INDEX('Output Utente'!$H$2:$H$492,MATCH(486,'Output Utente'!$R$2:$R$492,0)),"")</f>
        <v/>
      </c>
      <c r="L489" s="26" t="str">
        <f aca="false">IFERROR(INDEX('Output Utente'!$E$2:$E$492,MATCH(486,'Output Utente'!$R$2:$R$492,0)),"")</f>
        <v/>
      </c>
    </row>
    <row r="490" customFormat="false" ht="15" hidden="false" customHeight="true" outlineLevel="0" collapsed="false">
      <c r="A490" s="29" t="n">
        <v>487</v>
      </c>
      <c r="B490" s="26" t="str">
        <f aca="false">IFERROR(INDEX('Output Utente'!$A$2:$A$492,MATCH(487,'Output Utente'!$R$2:$R$492,0)),"")</f>
        <v/>
      </c>
      <c r="C490" s="26" t="str">
        <f aca="false">IFERROR(INDEX('Output Utente'!$B$2:$B$492,MATCH(487,'Output Utente'!$R$2:$R$492,0)),"")</f>
        <v/>
      </c>
      <c r="D490" s="26" t="str">
        <f aca="false">IFERROR(INDEX('Output Utente'!$C$2:$C$492,MATCH(487,'Output Utente'!$R$2:$R$492,0)),"")</f>
        <v/>
      </c>
      <c r="E490" s="26" t="str">
        <f aca="false">IFERROR(INDEX('Input Giocatori 2026_27'!$D$3:$D$493,MATCH($B490,'Input Giocatori 2026_27'!$A$3:$A$493,0)),"")</f>
        <v/>
      </c>
      <c r="F490" s="27" t="str">
        <f aca="false">IFERROR(INDEX('Output Utente'!$N$2:$N$492,MATCH(487,'Output Utente'!$R$2:$R$492,0)),"")</f>
        <v/>
      </c>
      <c r="G490" s="26" t="str">
        <f aca="false">IFERROR(INDEX('Output Utente'!$O$2:$O$492,MATCH(487,'Output Utente'!$R$2:$R$492,0)),"")</f>
        <v/>
      </c>
      <c r="H490" s="26" t="str">
        <f aca="false">IFERROR(INDEX('Output Utente'!$P$2:$P$492,MATCH(487,'Output Utente'!$R$2:$R$492,0)),"")</f>
        <v/>
      </c>
      <c r="I490" s="27" t="str">
        <f aca="false">IFERROR(INDEX('Output Utente'!$F$2:$F$492,MATCH(487,'Output Utente'!$R$2:$R$492,0)),"")</f>
        <v/>
      </c>
      <c r="J490" s="27" t="str">
        <f aca="false">IFERROR(INDEX('Output Utente'!$G$2:$G$492,MATCH(487,'Output Utente'!$R$2:$R$492,0)),"")</f>
        <v/>
      </c>
      <c r="K490" s="27" t="str">
        <f aca="false">IFERROR(INDEX('Output Utente'!$H$2:$H$492,MATCH(487,'Output Utente'!$R$2:$R$492,0)),"")</f>
        <v/>
      </c>
      <c r="L490" s="26" t="str">
        <f aca="false">IFERROR(INDEX('Output Utente'!$E$2:$E$492,MATCH(487,'Output Utente'!$R$2:$R$492,0)),"")</f>
        <v/>
      </c>
    </row>
    <row r="491" customFormat="false" ht="15" hidden="false" customHeight="true" outlineLevel="0" collapsed="false">
      <c r="A491" s="29" t="n">
        <v>488</v>
      </c>
      <c r="B491" s="26" t="str">
        <f aca="false">IFERROR(INDEX('Output Utente'!$A$2:$A$492,MATCH(488,'Output Utente'!$R$2:$R$492,0)),"")</f>
        <v/>
      </c>
      <c r="C491" s="26" t="str">
        <f aca="false">IFERROR(INDEX('Output Utente'!$B$2:$B$492,MATCH(488,'Output Utente'!$R$2:$R$492,0)),"")</f>
        <v/>
      </c>
      <c r="D491" s="26" t="str">
        <f aca="false">IFERROR(INDEX('Output Utente'!$C$2:$C$492,MATCH(488,'Output Utente'!$R$2:$R$492,0)),"")</f>
        <v/>
      </c>
      <c r="E491" s="26" t="str">
        <f aca="false">IFERROR(INDEX('Input Giocatori 2026_27'!$D$3:$D$493,MATCH($B491,'Input Giocatori 2026_27'!$A$3:$A$493,0)),"")</f>
        <v/>
      </c>
      <c r="F491" s="27" t="str">
        <f aca="false">IFERROR(INDEX('Output Utente'!$N$2:$N$492,MATCH(488,'Output Utente'!$R$2:$R$492,0)),"")</f>
        <v/>
      </c>
      <c r="G491" s="26" t="str">
        <f aca="false">IFERROR(INDEX('Output Utente'!$O$2:$O$492,MATCH(488,'Output Utente'!$R$2:$R$492,0)),"")</f>
        <v/>
      </c>
      <c r="H491" s="26" t="str">
        <f aca="false">IFERROR(INDEX('Output Utente'!$P$2:$P$492,MATCH(488,'Output Utente'!$R$2:$R$492,0)),"")</f>
        <v/>
      </c>
      <c r="I491" s="27" t="str">
        <f aca="false">IFERROR(INDEX('Output Utente'!$F$2:$F$492,MATCH(488,'Output Utente'!$R$2:$R$492,0)),"")</f>
        <v/>
      </c>
      <c r="J491" s="27" t="str">
        <f aca="false">IFERROR(INDEX('Output Utente'!$G$2:$G$492,MATCH(488,'Output Utente'!$R$2:$R$492,0)),"")</f>
        <v/>
      </c>
      <c r="K491" s="27" t="str">
        <f aca="false">IFERROR(INDEX('Output Utente'!$H$2:$H$492,MATCH(488,'Output Utente'!$R$2:$R$492,0)),"")</f>
        <v/>
      </c>
      <c r="L491" s="26" t="str">
        <f aca="false">IFERROR(INDEX('Output Utente'!$E$2:$E$492,MATCH(488,'Output Utente'!$R$2:$R$492,0)),"")</f>
        <v/>
      </c>
    </row>
    <row r="492" customFormat="false" ht="15" hidden="false" customHeight="true" outlineLevel="0" collapsed="false">
      <c r="A492" s="29" t="n">
        <v>489</v>
      </c>
      <c r="B492" s="26" t="str">
        <f aca="false">IFERROR(INDEX('Output Utente'!$A$2:$A$492,MATCH(489,'Output Utente'!$R$2:$R$492,0)),"")</f>
        <v/>
      </c>
      <c r="C492" s="26" t="str">
        <f aca="false">IFERROR(INDEX('Output Utente'!$B$2:$B$492,MATCH(489,'Output Utente'!$R$2:$R$492,0)),"")</f>
        <v/>
      </c>
      <c r="D492" s="26" t="str">
        <f aca="false">IFERROR(INDEX('Output Utente'!$C$2:$C$492,MATCH(489,'Output Utente'!$R$2:$R$492,0)),"")</f>
        <v/>
      </c>
      <c r="E492" s="26" t="str">
        <f aca="false">IFERROR(INDEX('Input Giocatori 2026_27'!$D$3:$D$493,MATCH($B492,'Input Giocatori 2026_27'!$A$3:$A$493,0)),"")</f>
        <v/>
      </c>
      <c r="F492" s="27" t="str">
        <f aca="false">IFERROR(INDEX('Output Utente'!$N$2:$N$492,MATCH(489,'Output Utente'!$R$2:$R$492,0)),"")</f>
        <v/>
      </c>
      <c r="G492" s="26" t="str">
        <f aca="false">IFERROR(INDEX('Output Utente'!$O$2:$O$492,MATCH(489,'Output Utente'!$R$2:$R$492,0)),"")</f>
        <v/>
      </c>
      <c r="H492" s="26" t="str">
        <f aca="false">IFERROR(INDEX('Output Utente'!$P$2:$P$492,MATCH(489,'Output Utente'!$R$2:$R$492,0)),"")</f>
        <v/>
      </c>
      <c r="I492" s="27" t="str">
        <f aca="false">IFERROR(INDEX('Output Utente'!$F$2:$F$492,MATCH(489,'Output Utente'!$R$2:$R$492,0)),"")</f>
        <v/>
      </c>
      <c r="J492" s="27" t="str">
        <f aca="false">IFERROR(INDEX('Output Utente'!$G$2:$G$492,MATCH(489,'Output Utente'!$R$2:$R$492,0)),"")</f>
        <v/>
      </c>
      <c r="K492" s="27" t="str">
        <f aca="false">IFERROR(INDEX('Output Utente'!$H$2:$H$492,MATCH(489,'Output Utente'!$R$2:$R$492,0)),"")</f>
        <v/>
      </c>
      <c r="L492" s="26" t="str">
        <f aca="false">IFERROR(INDEX('Output Utente'!$E$2:$E$492,MATCH(489,'Output Utente'!$R$2:$R$492,0)),"")</f>
        <v/>
      </c>
    </row>
    <row r="493" customFormat="false" ht="15" hidden="false" customHeight="true" outlineLevel="0" collapsed="false">
      <c r="A493" s="29" t="n">
        <v>490</v>
      </c>
      <c r="B493" s="26" t="str">
        <f aca="false">IFERROR(INDEX('Output Utente'!$A$2:$A$492,MATCH(490,'Output Utente'!$R$2:$R$492,0)),"")</f>
        <v/>
      </c>
      <c r="C493" s="26" t="str">
        <f aca="false">IFERROR(INDEX('Output Utente'!$B$2:$B$492,MATCH(490,'Output Utente'!$R$2:$R$492,0)),"")</f>
        <v/>
      </c>
      <c r="D493" s="26" t="str">
        <f aca="false">IFERROR(INDEX('Output Utente'!$C$2:$C$492,MATCH(490,'Output Utente'!$R$2:$R$492,0)),"")</f>
        <v/>
      </c>
      <c r="E493" s="26" t="str">
        <f aca="false">IFERROR(INDEX('Input Giocatori 2026_27'!$D$3:$D$493,MATCH($B493,'Input Giocatori 2026_27'!$A$3:$A$493,0)),"")</f>
        <v/>
      </c>
      <c r="F493" s="27" t="str">
        <f aca="false">IFERROR(INDEX('Output Utente'!$N$2:$N$492,MATCH(490,'Output Utente'!$R$2:$R$492,0)),"")</f>
        <v/>
      </c>
      <c r="G493" s="26" t="str">
        <f aca="false">IFERROR(INDEX('Output Utente'!$O$2:$O$492,MATCH(490,'Output Utente'!$R$2:$R$492,0)),"")</f>
        <v/>
      </c>
      <c r="H493" s="26" t="str">
        <f aca="false">IFERROR(INDEX('Output Utente'!$P$2:$P$492,MATCH(490,'Output Utente'!$R$2:$R$492,0)),"")</f>
        <v/>
      </c>
      <c r="I493" s="27" t="str">
        <f aca="false">IFERROR(INDEX('Output Utente'!$F$2:$F$492,MATCH(490,'Output Utente'!$R$2:$R$492,0)),"")</f>
        <v/>
      </c>
      <c r="J493" s="27" t="str">
        <f aca="false">IFERROR(INDEX('Output Utente'!$G$2:$G$492,MATCH(490,'Output Utente'!$R$2:$R$492,0)),"")</f>
        <v/>
      </c>
      <c r="K493" s="27" t="str">
        <f aca="false">IFERROR(INDEX('Output Utente'!$H$2:$H$492,MATCH(490,'Output Utente'!$R$2:$R$492,0)),"")</f>
        <v/>
      </c>
      <c r="L493" s="26" t="str">
        <f aca="false">IFERROR(INDEX('Output Utente'!$E$2:$E$492,MATCH(490,'Output Utente'!$R$2:$R$492,0)),"")</f>
        <v/>
      </c>
    </row>
    <row r="494" customFormat="false" ht="15" hidden="false" customHeight="true" outlineLevel="0" collapsed="false">
      <c r="A494" s="29" t="n">
        <v>491</v>
      </c>
      <c r="B494" s="26" t="str">
        <f aca="false">IFERROR(INDEX('Output Utente'!$A$2:$A$492,MATCH(491,'Output Utente'!$R$2:$R$492,0)),"")</f>
        <v/>
      </c>
      <c r="C494" s="26" t="str">
        <f aca="false">IFERROR(INDEX('Output Utente'!$B$2:$B$492,MATCH(491,'Output Utente'!$R$2:$R$492,0)),"")</f>
        <v/>
      </c>
      <c r="D494" s="26" t="str">
        <f aca="false">IFERROR(INDEX('Output Utente'!$C$2:$C$492,MATCH(491,'Output Utente'!$R$2:$R$492,0)),"")</f>
        <v/>
      </c>
      <c r="E494" s="26" t="str">
        <f aca="false">IFERROR(INDEX('Input Giocatori 2026_27'!$D$3:$D$493,MATCH($B494,'Input Giocatori 2026_27'!$A$3:$A$493,0)),"")</f>
        <v/>
      </c>
      <c r="F494" s="27" t="str">
        <f aca="false">IFERROR(INDEX('Output Utente'!$N$2:$N$492,MATCH(491,'Output Utente'!$R$2:$R$492,0)),"")</f>
        <v/>
      </c>
      <c r="G494" s="26" t="str">
        <f aca="false">IFERROR(INDEX('Output Utente'!$O$2:$O$492,MATCH(491,'Output Utente'!$R$2:$R$492,0)),"")</f>
        <v/>
      </c>
      <c r="H494" s="26" t="str">
        <f aca="false">IFERROR(INDEX('Output Utente'!$P$2:$P$492,MATCH(491,'Output Utente'!$R$2:$R$492,0)),"")</f>
        <v/>
      </c>
      <c r="I494" s="27" t="str">
        <f aca="false">IFERROR(INDEX('Output Utente'!$F$2:$F$492,MATCH(491,'Output Utente'!$R$2:$R$492,0)),"")</f>
        <v/>
      </c>
      <c r="J494" s="27" t="str">
        <f aca="false">IFERROR(INDEX('Output Utente'!$G$2:$G$492,MATCH(491,'Output Utente'!$R$2:$R$492,0)),"")</f>
        <v/>
      </c>
      <c r="K494" s="27" t="str">
        <f aca="false">IFERROR(INDEX('Output Utente'!$H$2:$H$492,MATCH(491,'Output Utente'!$R$2:$R$492,0)),"")</f>
        <v/>
      </c>
      <c r="L494" s="26" t="str">
        <f aca="false">IFERROR(INDEX('Output Utente'!$E$2:$E$492,MATCH(491,'Output Utente'!$R$2:$R$492,0)),"")</f>
        <v/>
      </c>
    </row>
  </sheetData>
  <autoFilter ref="A3:L494"/>
  <mergeCells count="3">
    <mergeCell ref="A1:K1"/>
    <mergeCell ref="N1:P1"/>
    <mergeCell ref="R6:U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1" width="7"/>
    <col collapsed="false" customWidth="true" hidden="false" outlineLevel="0" max="2" min="2" style="1" width="4"/>
    <col collapsed="false" customWidth="true" hidden="false" outlineLevel="0" max="3" min="3" style="1" width="5"/>
    <col collapsed="false" customWidth="true" hidden="false" outlineLevel="0" max="4" min="4" style="1" width="20"/>
    <col collapsed="false" customWidth="true" hidden="false" outlineLevel="0" max="5" min="5" style="1" width="14"/>
    <col collapsed="false" customWidth="true" hidden="false" outlineLevel="0" max="6" min="6" style="1" width="5"/>
    <col collapsed="false" customWidth="true" hidden="false" outlineLevel="0" max="8" min="7" style="1" width="6"/>
    <col collapsed="false" customWidth="true" hidden="false" outlineLevel="0" max="15" min="9" style="1" width="5"/>
    <col collapsed="false" customWidth="true" hidden="false" outlineLevel="0" max="16" min="16" style="1" width="6"/>
    <col collapsed="false" customWidth="true" hidden="false" outlineLevel="0" max="18" min="17" style="1" width="5"/>
  </cols>
  <sheetData>
    <row r="1" customFormat="false" ht="15.75" hidden="false" customHeight="true" outlineLevel="0" collapsed="false">
      <c r="A1" s="52" t="s">
        <v>732</v>
      </c>
      <c r="B1" s="52"/>
      <c r="C1" s="52"/>
      <c r="D1" s="52"/>
      <c r="E1" s="52"/>
      <c r="F1" s="52"/>
      <c r="G1" s="52"/>
      <c r="H1" s="52"/>
      <c r="I1" s="52"/>
      <c r="J1" s="52"/>
      <c r="K1" s="52"/>
      <c r="L1" s="52"/>
      <c r="M1" s="52"/>
      <c r="N1" s="52"/>
      <c r="O1" s="52"/>
      <c r="P1" s="52"/>
      <c r="Q1" s="52"/>
      <c r="R1" s="52"/>
    </row>
    <row r="2" customFormat="false" ht="15" hidden="false" customHeight="true" outlineLevel="0" collapsed="false">
      <c r="A2" s="12" t="s">
        <v>105</v>
      </c>
      <c r="B2" s="12" t="s">
        <v>106</v>
      </c>
      <c r="C2" s="12" t="s">
        <v>733</v>
      </c>
      <c r="D2" s="12" t="s">
        <v>107</v>
      </c>
      <c r="E2" s="12" t="s">
        <v>108</v>
      </c>
      <c r="F2" s="12" t="s">
        <v>734</v>
      </c>
      <c r="G2" s="12" t="s">
        <v>735</v>
      </c>
      <c r="H2" s="12" t="s">
        <v>736</v>
      </c>
      <c r="I2" s="12" t="s">
        <v>737</v>
      </c>
      <c r="J2" s="12" t="s">
        <v>738</v>
      </c>
      <c r="K2" s="12" t="s">
        <v>739</v>
      </c>
      <c r="L2" s="12" t="s">
        <v>740</v>
      </c>
      <c r="M2" s="12" t="s">
        <v>741</v>
      </c>
      <c r="N2" s="12" t="s">
        <v>742</v>
      </c>
      <c r="O2" s="12" t="s">
        <v>743</v>
      </c>
      <c r="P2" s="12" t="s">
        <v>744</v>
      </c>
      <c r="Q2" s="12" t="s">
        <v>745</v>
      </c>
      <c r="R2" s="12" t="s">
        <v>746</v>
      </c>
    </row>
    <row r="3" customFormat="false" ht="15" hidden="false" customHeight="true" outlineLevel="0" collapsed="false">
      <c r="A3" s="7" t="n">
        <v>4431</v>
      </c>
      <c r="B3" s="7" t="s">
        <v>43</v>
      </c>
      <c r="C3" s="7" t="s">
        <v>747</v>
      </c>
      <c r="D3" s="7" t="s">
        <v>116</v>
      </c>
      <c r="E3" s="7" t="s">
        <v>117</v>
      </c>
      <c r="F3" s="7" t="n">
        <v>37</v>
      </c>
      <c r="G3" s="7" t="n">
        <v>6.36</v>
      </c>
      <c r="H3" s="7" t="n">
        <v>5.58</v>
      </c>
      <c r="I3" s="7" t="n">
        <v>0</v>
      </c>
      <c r="J3" s="7" t="n">
        <v>35</v>
      </c>
      <c r="K3" s="7" t="n">
        <v>2</v>
      </c>
      <c r="L3" s="7" t="n">
        <v>0</v>
      </c>
      <c r="M3" s="7" t="n">
        <v>0</v>
      </c>
      <c r="N3" s="7" t="n">
        <v>0</v>
      </c>
      <c r="O3" s="7" t="n">
        <v>0</v>
      </c>
      <c r="P3" s="7" t="n">
        <v>0</v>
      </c>
      <c r="Q3" s="7" t="n">
        <v>0</v>
      </c>
      <c r="R3" s="7" t="n">
        <v>0</v>
      </c>
    </row>
    <row r="4" customFormat="false" ht="15" hidden="false" customHeight="true" outlineLevel="0" collapsed="false">
      <c r="A4" s="7" t="n">
        <v>2170</v>
      </c>
      <c r="B4" s="7" t="s">
        <v>43</v>
      </c>
      <c r="C4" s="7" t="s">
        <v>747</v>
      </c>
      <c r="D4" s="7" t="s">
        <v>150</v>
      </c>
      <c r="E4" s="7" t="s">
        <v>125</v>
      </c>
      <c r="F4" s="7" t="n">
        <v>27</v>
      </c>
      <c r="G4" s="7" t="n">
        <v>6.2</v>
      </c>
      <c r="H4" s="7" t="n">
        <v>5.65</v>
      </c>
      <c r="I4" s="7" t="n">
        <v>0</v>
      </c>
      <c r="J4" s="7" t="n">
        <v>24</v>
      </c>
      <c r="K4" s="7" t="n">
        <v>3</v>
      </c>
      <c r="L4" s="7" t="n">
        <v>0</v>
      </c>
      <c r="M4" s="7" t="n">
        <v>0</v>
      </c>
      <c r="N4" s="7" t="n">
        <v>0</v>
      </c>
      <c r="O4" s="7" t="n">
        <v>0</v>
      </c>
      <c r="P4" s="7" t="n">
        <v>0</v>
      </c>
      <c r="Q4" s="7" t="n">
        <v>0</v>
      </c>
      <c r="R4" s="7" t="n">
        <v>0</v>
      </c>
    </row>
    <row r="5" customFormat="false" ht="15" hidden="false" customHeight="true" outlineLevel="0" collapsed="false">
      <c r="A5" s="7" t="n">
        <v>5841</v>
      </c>
      <c r="B5" s="7" t="s">
        <v>43</v>
      </c>
      <c r="C5" s="7" t="s">
        <v>747</v>
      </c>
      <c r="D5" s="7" t="s">
        <v>112</v>
      </c>
      <c r="E5" s="7" t="s">
        <v>113</v>
      </c>
      <c r="F5" s="7" t="n">
        <v>38</v>
      </c>
      <c r="G5" s="7" t="n">
        <v>6.26</v>
      </c>
      <c r="H5" s="7" t="n">
        <v>5.45</v>
      </c>
      <c r="I5" s="7" t="n">
        <v>0</v>
      </c>
      <c r="J5" s="7" t="n">
        <v>31</v>
      </c>
      <c r="K5" s="7" t="n">
        <v>0</v>
      </c>
      <c r="L5" s="7" t="n">
        <v>0</v>
      </c>
      <c r="M5" s="7" t="n">
        <v>0</v>
      </c>
      <c r="N5" s="7" t="n">
        <v>0</v>
      </c>
      <c r="O5" s="7" t="n">
        <v>0</v>
      </c>
      <c r="P5" s="7" t="n">
        <v>0</v>
      </c>
      <c r="Q5" s="7" t="n">
        <v>0</v>
      </c>
      <c r="R5" s="7" t="n">
        <v>0</v>
      </c>
    </row>
    <row r="6" customFormat="false" ht="15" hidden="false" customHeight="true" outlineLevel="0" collapsed="false">
      <c r="A6" s="7" t="n">
        <v>6966</v>
      </c>
      <c r="B6" s="7" t="s">
        <v>43</v>
      </c>
      <c r="C6" s="7" t="s">
        <v>747</v>
      </c>
      <c r="D6" s="7" t="s">
        <v>118</v>
      </c>
      <c r="E6" s="7" t="s">
        <v>119</v>
      </c>
      <c r="F6" s="7" t="n">
        <v>38</v>
      </c>
      <c r="G6" s="7" t="n">
        <v>6.07</v>
      </c>
      <c r="H6" s="7" t="n">
        <v>5.37</v>
      </c>
      <c r="I6" s="7" t="n">
        <v>0</v>
      </c>
      <c r="J6" s="7" t="n">
        <v>29</v>
      </c>
      <c r="K6" s="7" t="n">
        <v>1</v>
      </c>
      <c r="L6" s="7" t="n">
        <v>0</v>
      </c>
      <c r="M6" s="7" t="n">
        <v>0</v>
      </c>
      <c r="N6" s="7" t="n">
        <v>0</v>
      </c>
      <c r="O6" s="7" t="n">
        <v>1</v>
      </c>
      <c r="P6" s="7" t="n">
        <v>3</v>
      </c>
      <c r="Q6" s="7" t="n">
        <v>0</v>
      </c>
      <c r="R6" s="7" t="n">
        <v>0</v>
      </c>
    </row>
    <row r="7" customFormat="false" ht="15" hidden="false" customHeight="true" outlineLevel="0" collapsed="false">
      <c r="A7" s="7" t="n">
        <v>4312</v>
      </c>
      <c r="B7" s="7" t="s">
        <v>43</v>
      </c>
      <c r="C7" s="7" t="s">
        <v>747</v>
      </c>
      <c r="D7" s="7" t="s">
        <v>120</v>
      </c>
      <c r="E7" s="7" t="s">
        <v>121</v>
      </c>
      <c r="F7" s="7" t="n">
        <v>37</v>
      </c>
      <c r="G7" s="7" t="n">
        <v>6.26</v>
      </c>
      <c r="H7" s="7" t="n">
        <v>5.42</v>
      </c>
      <c r="I7" s="7" t="n">
        <v>0</v>
      </c>
      <c r="J7" s="7" t="n">
        <v>35</v>
      </c>
      <c r="K7" s="7" t="n">
        <v>2</v>
      </c>
      <c r="L7" s="7" t="n">
        <v>0</v>
      </c>
      <c r="M7" s="7" t="n">
        <v>0</v>
      </c>
      <c r="N7" s="7" t="n">
        <v>0</v>
      </c>
      <c r="O7" s="7" t="n">
        <v>0</v>
      </c>
      <c r="P7" s="7" t="n">
        <v>4</v>
      </c>
      <c r="Q7" s="7" t="n">
        <v>0</v>
      </c>
      <c r="R7" s="7" t="n">
        <v>0</v>
      </c>
    </row>
    <row r="8" customFormat="false" ht="15" hidden="false" customHeight="true" outlineLevel="0" collapsed="false">
      <c r="A8" s="7" t="n">
        <v>5876</v>
      </c>
      <c r="B8" s="7" t="s">
        <v>43</v>
      </c>
      <c r="C8" s="7" t="s">
        <v>747</v>
      </c>
      <c r="D8" s="7" t="s">
        <v>130</v>
      </c>
      <c r="E8" s="7" t="s">
        <v>131</v>
      </c>
      <c r="F8" s="7" t="n">
        <v>30</v>
      </c>
      <c r="G8" s="7" t="n">
        <v>6.08</v>
      </c>
      <c r="H8" s="7" t="n">
        <v>5.33</v>
      </c>
      <c r="I8" s="7" t="n">
        <v>0</v>
      </c>
      <c r="J8" s="7" t="n">
        <v>25</v>
      </c>
      <c r="K8" s="7" t="n">
        <v>1</v>
      </c>
      <c r="L8" s="7" t="n">
        <v>0</v>
      </c>
      <c r="M8" s="7" t="n">
        <v>0</v>
      </c>
      <c r="N8" s="7" t="n">
        <v>0</v>
      </c>
      <c r="O8" s="7" t="n">
        <v>0</v>
      </c>
      <c r="P8" s="7" t="n">
        <v>1</v>
      </c>
      <c r="Q8" s="7" t="n">
        <v>0</v>
      </c>
      <c r="R8" s="7" t="n">
        <v>0</v>
      </c>
    </row>
    <row r="9" customFormat="false" ht="15" hidden="false" customHeight="true" outlineLevel="0" collapsed="false">
      <c r="A9" s="7" t="n">
        <v>2134</v>
      </c>
      <c r="B9" s="7" t="s">
        <v>43</v>
      </c>
      <c r="C9" s="7" t="s">
        <v>747</v>
      </c>
      <c r="D9" s="7" t="s">
        <v>138</v>
      </c>
      <c r="E9" s="7" t="s">
        <v>139</v>
      </c>
      <c r="F9" s="7" t="n">
        <v>38</v>
      </c>
      <c r="G9" s="7" t="n">
        <v>6.41</v>
      </c>
      <c r="H9" s="7" t="n">
        <v>5.22</v>
      </c>
      <c r="I9" s="7" t="n">
        <v>0</v>
      </c>
      <c r="J9" s="7" t="n">
        <v>50</v>
      </c>
      <c r="K9" s="7" t="n">
        <v>2</v>
      </c>
      <c r="L9" s="7" t="n">
        <v>0</v>
      </c>
      <c r="M9" s="7" t="n">
        <v>0</v>
      </c>
      <c r="N9" s="7" t="n">
        <v>0</v>
      </c>
      <c r="O9" s="7" t="n">
        <v>0</v>
      </c>
      <c r="P9" s="7" t="n">
        <v>2</v>
      </c>
      <c r="Q9" s="7" t="n">
        <v>0</v>
      </c>
      <c r="R9" s="7" t="n">
        <v>0</v>
      </c>
    </row>
    <row r="10" customFormat="false" ht="15" hidden="false" customHeight="true" outlineLevel="0" collapsed="false">
      <c r="A10" s="7" t="n">
        <v>6462</v>
      </c>
      <c r="B10" s="7" t="s">
        <v>43</v>
      </c>
      <c r="C10" s="7" t="s">
        <v>747</v>
      </c>
      <c r="D10" s="7" t="s">
        <v>134</v>
      </c>
      <c r="E10" s="7" t="s">
        <v>135</v>
      </c>
      <c r="F10" s="7" t="n">
        <v>30</v>
      </c>
      <c r="G10" s="7" t="n">
        <v>6.07</v>
      </c>
      <c r="H10" s="7" t="n">
        <v>5.08</v>
      </c>
      <c r="I10" s="7" t="n">
        <v>0</v>
      </c>
      <c r="J10" s="7" t="n">
        <v>32</v>
      </c>
      <c r="K10" s="7" t="n">
        <v>1</v>
      </c>
      <c r="L10" s="7" t="n">
        <v>0</v>
      </c>
      <c r="M10" s="7" t="n">
        <v>0</v>
      </c>
      <c r="N10" s="7" t="n">
        <v>0</v>
      </c>
      <c r="O10" s="7" t="n">
        <v>1</v>
      </c>
      <c r="P10" s="7" t="n">
        <v>1</v>
      </c>
      <c r="Q10" s="7" t="n">
        <v>1</v>
      </c>
      <c r="R10" s="7" t="n">
        <v>0</v>
      </c>
    </row>
    <row r="11" customFormat="false" ht="15" hidden="false" customHeight="true" outlineLevel="0" collapsed="false">
      <c r="A11" s="7" t="n">
        <v>2428</v>
      </c>
      <c r="B11" s="7" t="s">
        <v>43</v>
      </c>
      <c r="C11" s="7" t="s">
        <v>747</v>
      </c>
      <c r="D11" s="7" t="s">
        <v>748</v>
      </c>
      <c r="E11" s="7" t="s">
        <v>115</v>
      </c>
      <c r="F11" s="7" t="n">
        <v>33</v>
      </c>
      <c r="G11" s="7" t="n">
        <v>5.92</v>
      </c>
      <c r="H11" s="7" t="n">
        <v>5.02</v>
      </c>
      <c r="I11" s="7" t="n">
        <v>0</v>
      </c>
      <c r="J11" s="7" t="n">
        <v>30</v>
      </c>
      <c r="K11" s="7" t="n">
        <v>0</v>
      </c>
      <c r="L11" s="7" t="n">
        <v>0</v>
      </c>
      <c r="M11" s="7" t="n">
        <v>0</v>
      </c>
      <c r="N11" s="7" t="n">
        <v>0</v>
      </c>
      <c r="O11" s="7" t="n">
        <v>0</v>
      </c>
      <c r="P11" s="7" t="n">
        <v>0</v>
      </c>
      <c r="Q11" s="7" t="n">
        <v>0</v>
      </c>
      <c r="R11" s="7" t="n">
        <v>0</v>
      </c>
    </row>
    <row r="12" customFormat="false" ht="15" hidden="false" customHeight="true" outlineLevel="0" collapsed="false">
      <c r="A12" s="7" t="n">
        <v>4360</v>
      </c>
      <c r="B12" s="7" t="s">
        <v>43</v>
      </c>
      <c r="C12" s="7" t="s">
        <v>747</v>
      </c>
      <c r="D12" s="7" t="s">
        <v>128</v>
      </c>
      <c r="E12" s="7" t="s">
        <v>129</v>
      </c>
      <c r="F12" s="7" t="n">
        <v>38</v>
      </c>
      <c r="G12" s="7" t="n">
        <v>6.29</v>
      </c>
      <c r="H12" s="7" t="n">
        <v>4.87</v>
      </c>
      <c r="I12" s="7" t="n">
        <v>0</v>
      </c>
      <c r="J12" s="7" t="n">
        <v>53</v>
      </c>
      <c r="K12" s="7" t="n">
        <v>0</v>
      </c>
      <c r="L12" s="7" t="n">
        <v>0</v>
      </c>
      <c r="M12" s="7" t="n">
        <v>0</v>
      </c>
      <c r="N12" s="7" t="n">
        <v>0</v>
      </c>
      <c r="O12" s="7" t="n">
        <v>0</v>
      </c>
      <c r="P12" s="7" t="n">
        <v>2</v>
      </c>
      <c r="Q12" s="7" t="n">
        <v>0</v>
      </c>
      <c r="R12" s="7" t="n">
        <v>0</v>
      </c>
    </row>
    <row r="13" customFormat="false" ht="15" hidden="false" customHeight="true" outlineLevel="0" collapsed="false">
      <c r="A13" s="7" t="n">
        <v>761</v>
      </c>
      <c r="B13" s="7" t="s">
        <v>43</v>
      </c>
      <c r="C13" s="7" t="s">
        <v>747</v>
      </c>
      <c r="D13" s="7" t="s">
        <v>749</v>
      </c>
      <c r="E13" s="7" t="s">
        <v>750</v>
      </c>
      <c r="F13" s="7" t="n">
        <v>34</v>
      </c>
      <c r="G13" s="7" t="n">
        <v>6.21</v>
      </c>
      <c r="H13" s="7" t="n">
        <v>4.91</v>
      </c>
      <c r="I13" s="7" t="n">
        <v>0</v>
      </c>
      <c r="J13" s="7" t="n">
        <v>50</v>
      </c>
      <c r="K13" s="7" t="n">
        <v>2</v>
      </c>
      <c r="L13" s="7" t="n">
        <v>0</v>
      </c>
      <c r="M13" s="7" t="n">
        <v>0</v>
      </c>
      <c r="N13" s="7" t="n">
        <v>0</v>
      </c>
      <c r="O13" s="7" t="n">
        <v>0</v>
      </c>
      <c r="P13" s="7" t="n">
        <v>0</v>
      </c>
      <c r="Q13" s="7" t="n">
        <v>0</v>
      </c>
      <c r="R13" s="7" t="n">
        <v>0</v>
      </c>
    </row>
    <row r="14" customFormat="false" ht="15" hidden="false" customHeight="true" outlineLevel="0" collapsed="false">
      <c r="A14" s="7" t="n">
        <v>2521</v>
      </c>
      <c r="B14" s="7" t="s">
        <v>43</v>
      </c>
      <c r="C14" s="7" t="s">
        <v>747</v>
      </c>
      <c r="D14" s="7" t="s">
        <v>122</v>
      </c>
      <c r="E14" s="7" t="s">
        <v>123</v>
      </c>
      <c r="F14" s="7" t="n">
        <v>37</v>
      </c>
      <c r="G14" s="7" t="n">
        <v>6.24</v>
      </c>
      <c r="H14" s="7" t="n">
        <v>5</v>
      </c>
      <c r="I14" s="7" t="n">
        <v>0</v>
      </c>
      <c r="J14" s="7" t="n">
        <v>49</v>
      </c>
      <c r="K14" s="7" t="n">
        <v>1</v>
      </c>
      <c r="L14" s="7" t="n">
        <v>0</v>
      </c>
      <c r="M14" s="7" t="n">
        <v>0</v>
      </c>
      <c r="N14" s="7" t="n">
        <v>0</v>
      </c>
      <c r="O14" s="7" t="n">
        <v>0</v>
      </c>
      <c r="P14" s="7" t="n">
        <v>0</v>
      </c>
      <c r="Q14" s="7" t="n">
        <v>0</v>
      </c>
      <c r="R14" s="7" t="n">
        <v>0</v>
      </c>
    </row>
    <row r="15" customFormat="false" ht="15" hidden="false" customHeight="true" outlineLevel="0" collapsed="false">
      <c r="A15" s="7" t="n">
        <v>4957</v>
      </c>
      <c r="B15" s="7" t="s">
        <v>43</v>
      </c>
      <c r="C15" s="7" t="s">
        <v>747</v>
      </c>
      <c r="D15" s="7" t="s">
        <v>751</v>
      </c>
      <c r="E15" s="7" t="s">
        <v>752</v>
      </c>
      <c r="F15" s="7" t="n">
        <v>35</v>
      </c>
      <c r="G15" s="7" t="n">
        <v>6.2</v>
      </c>
      <c r="H15" s="7" t="n">
        <v>4.94</v>
      </c>
      <c r="I15" s="7" t="n">
        <v>0</v>
      </c>
      <c r="J15" s="7" t="n">
        <v>54</v>
      </c>
      <c r="K15" s="7" t="n">
        <v>3</v>
      </c>
      <c r="L15" s="7" t="n">
        <v>0</v>
      </c>
      <c r="M15" s="7" t="n">
        <v>0</v>
      </c>
      <c r="N15" s="7" t="n">
        <v>0</v>
      </c>
      <c r="O15" s="7" t="n">
        <v>1</v>
      </c>
      <c r="P15" s="7" t="n">
        <v>0</v>
      </c>
      <c r="Q15" s="7" t="n">
        <v>0</v>
      </c>
      <c r="R15" s="7" t="n">
        <v>0</v>
      </c>
    </row>
    <row r="16" customFormat="false" ht="15" hidden="false" customHeight="true" outlineLevel="0" collapsed="false">
      <c r="A16" s="7" t="n">
        <v>133</v>
      </c>
      <c r="B16" s="7" t="s">
        <v>43</v>
      </c>
      <c r="C16" s="7" t="s">
        <v>747</v>
      </c>
      <c r="D16" s="7" t="s">
        <v>126</v>
      </c>
      <c r="E16" s="7" t="s">
        <v>127</v>
      </c>
      <c r="F16" s="7" t="n">
        <v>18</v>
      </c>
      <c r="G16" s="7" t="n">
        <v>6.19</v>
      </c>
      <c r="H16" s="7" t="n">
        <v>5.28</v>
      </c>
      <c r="I16" s="7" t="n">
        <v>0</v>
      </c>
      <c r="J16" s="7" t="n">
        <v>15</v>
      </c>
      <c r="K16" s="7" t="n">
        <v>0</v>
      </c>
      <c r="L16" s="7" t="n">
        <v>0</v>
      </c>
      <c r="M16" s="7" t="n">
        <v>0</v>
      </c>
      <c r="N16" s="7" t="n">
        <v>0</v>
      </c>
      <c r="O16" s="7" t="n">
        <v>0</v>
      </c>
      <c r="P16" s="7" t="n">
        <v>1</v>
      </c>
      <c r="Q16" s="7" t="n">
        <v>1</v>
      </c>
      <c r="R16" s="7" t="n">
        <v>0</v>
      </c>
    </row>
    <row r="17" customFormat="false" ht="15" hidden="false" customHeight="true" outlineLevel="0" collapsed="false">
      <c r="A17" s="7" t="n">
        <v>2814</v>
      </c>
      <c r="B17" s="7" t="s">
        <v>43</v>
      </c>
      <c r="C17" s="7" t="s">
        <v>747</v>
      </c>
      <c r="D17" s="7" t="s">
        <v>154</v>
      </c>
      <c r="E17" s="7" t="s">
        <v>133</v>
      </c>
      <c r="F17" s="7" t="n">
        <v>27</v>
      </c>
      <c r="G17" s="7" t="n">
        <v>6.26</v>
      </c>
      <c r="H17" s="7" t="n">
        <v>5.35</v>
      </c>
      <c r="I17" s="7" t="n">
        <v>0</v>
      </c>
      <c r="J17" s="7" t="n">
        <v>27</v>
      </c>
      <c r="K17" s="7" t="n">
        <v>1</v>
      </c>
      <c r="L17" s="7" t="n">
        <v>0</v>
      </c>
      <c r="M17" s="7" t="n">
        <v>0</v>
      </c>
      <c r="N17" s="7" t="n">
        <v>0</v>
      </c>
      <c r="O17" s="7" t="n">
        <v>0</v>
      </c>
      <c r="P17" s="7" t="n">
        <v>1</v>
      </c>
      <c r="Q17" s="7" t="n">
        <v>0</v>
      </c>
      <c r="R17" s="7" t="n">
        <v>0</v>
      </c>
    </row>
    <row r="18" customFormat="false" ht="15" hidden="false" customHeight="true" outlineLevel="0" collapsed="false">
      <c r="A18" s="7" t="n">
        <v>6641</v>
      </c>
      <c r="B18" s="7" t="s">
        <v>43</v>
      </c>
      <c r="C18" s="7" t="s">
        <v>747</v>
      </c>
      <c r="D18" s="7" t="s">
        <v>142</v>
      </c>
      <c r="E18" s="7" t="s">
        <v>141</v>
      </c>
      <c r="F18" s="7" t="n">
        <v>20</v>
      </c>
      <c r="G18" s="7" t="n">
        <v>6.02</v>
      </c>
      <c r="H18" s="7" t="n">
        <v>4.75</v>
      </c>
      <c r="I18" s="7" t="n">
        <v>0</v>
      </c>
      <c r="J18" s="7" t="n">
        <v>28</v>
      </c>
      <c r="K18" s="7" t="n">
        <v>1</v>
      </c>
      <c r="L18" s="7" t="n">
        <v>0</v>
      </c>
      <c r="M18" s="7" t="n">
        <v>0</v>
      </c>
      <c r="N18" s="7" t="n">
        <v>0</v>
      </c>
      <c r="O18" s="7" t="n">
        <v>0</v>
      </c>
      <c r="P18" s="7" t="n">
        <v>1</v>
      </c>
      <c r="Q18" s="7" t="n">
        <v>0</v>
      </c>
      <c r="R18" s="7" t="n">
        <v>0</v>
      </c>
    </row>
    <row r="19" customFormat="false" ht="15" hidden="false" customHeight="true" outlineLevel="0" collapsed="false">
      <c r="A19" s="7" t="n">
        <v>4236</v>
      </c>
      <c r="B19" s="7" t="s">
        <v>43</v>
      </c>
      <c r="C19" s="7" t="s">
        <v>747</v>
      </c>
      <c r="D19" s="7" t="s">
        <v>143</v>
      </c>
      <c r="E19" s="7" t="s">
        <v>144</v>
      </c>
      <c r="F19" s="7" t="n">
        <v>32</v>
      </c>
      <c r="G19" s="7" t="n">
        <v>6.08</v>
      </c>
      <c r="H19" s="7" t="n">
        <v>4.77</v>
      </c>
      <c r="I19" s="7" t="n">
        <v>0</v>
      </c>
      <c r="J19" s="7" t="n">
        <v>43</v>
      </c>
      <c r="K19" s="7" t="n">
        <v>1</v>
      </c>
      <c r="L19" s="7" t="n">
        <v>0</v>
      </c>
      <c r="M19" s="7" t="n">
        <v>0</v>
      </c>
      <c r="N19" s="7" t="n">
        <v>0</v>
      </c>
      <c r="O19" s="7" t="n">
        <v>0</v>
      </c>
      <c r="P19" s="7" t="n">
        <v>4</v>
      </c>
      <c r="Q19" s="7" t="n">
        <v>0</v>
      </c>
      <c r="R19" s="7" t="n">
        <v>0</v>
      </c>
    </row>
    <row r="20" customFormat="false" ht="15" hidden="false" customHeight="true" outlineLevel="0" collapsed="false">
      <c r="A20" s="7" t="n">
        <v>7332</v>
      </c>
      <c r="B20" s="7" t="s">
        <v>43</v>
      </c>
      <c r="C20" s="7" t="s">
        <v>747</v>
      </c>
      <c r="D20" s="7" t="s">
        <v>136</v>
      </c>
      <c r="E20" s="7" t="s">
        <v>137</v>
      </c>
      <c r="F20" s="7" t="n">
        <v>16</v>
      </c>
      <c r="G20" s="7" t="n">
        <v>6.06</v>
      </c>
      <c r="H20" s="7" t="n">
        <v>4.78</v>
      </c>
      <c r="I20" s="7" t="n">
        <v>0</v>
      </c>
      <c r="J20" s="7" t="n">
        <v>20</v>
      </c>
      <c r="K20" s="7" t="n">
        <v>0</v>
      </c>
      <c r="L20" s="7" t="n">
        <v>0</v>
      </c>
      <c r="M20" s="7" t="n">
        <v>0</v>
      </c>
      <c r="N20" s="7" t="n">
        <v>0</v>
      </c>
      <c r="O20" s="7" t="n">
        <v>0</v>
      </c>
      <c r="P20" s="7" t="n">
        <v>1</v>
      </c>
      <c r="Q20" s="7" t="n">
        <v>0</v>
      </c>
      <c r="R20" s="7" t="n">
        <v>0</v>
      </c>
    </row>
    <row r="21" customFormat="false" ht="15" hidden="false" customHeight="true" outlineLevel="0" collapsed="false">
      <c r="A21" s="7" t="n">
        <v>188</v>
      </c>
      <c r="B21" s="7" t="s">
        <v>43</v>
      </c>
      <c r="C21" s="7" t="s">
        <v>747</v>
      </c>
      <c r="D21" s="7" t="s">
        <v>753</v>
      </c>
      <c r="E21" s="7" t="s">
        <v>137</v>
      </c>
      <c r="F21" s="7" t="n">
        <v>22</v>
      </c>
      <c r="G21" s="7" t="n">
        <v>6.16</v>
      </c>
      <c r="H21" s="7" t="n">
        <v>4.84</v>
      </c>
      <c r="I21" s="7" t="n">
        <v>0</v>
      </c>
      <c r="J21" s="7" t="n">
        <v>27</v>
      </c>
      <c r="K21" s="7" t="n">
        <v>0</v>
      </c>
      <c r="L21" s="7" t="n">
        <v>0</v>
      </c>
      <c r="M21" s="7" t="n">
        <v>0</v>
      </c>
      <c r="N21" s="7" t="n">
        <v>0</v>
      </c>
      <c r="O21" s="7" t="n">
        <v>0</v>
      </c>
      <c r="P21" s="7" t="n">
        <v>2</v>
      </c>
      <c r="Q21" s="7" t="n">
        <v>1</v>
      </c>
      <c r="R21" s="7" t="n">
        <v>0</v>
      </c>
    </row>
    <row r="22" customFormat="false" ht="15" hidden="false" customHeight="true" outlineLevel="0" collapsed="false">
      <c r="A22" s="7" t="n">
        <v>6662</v>
      </c>
      <c r="B22" s="7" t="s">
        <v>43</v>
      </c>
      <c r="C22" s="7" t="s">
        <v>747</v>
      </c>
      <c r="D22" s="7" t="s">
        <v>178</v>
      </c>
      <c r="E22" s="7" t="s">
        <v>141</v>
      </c>
      <c r="F22" s="7" t="n">
        <v>17</v>
      </c>
      <c r="G22" s="7" t="n">
        <v>6.18</v>
      </c>
      <c r="H22" s="7" t="n">
        <v>5.09</v>
      </c>
      <c r="I22" s="7" t="n">
        <v>0</v>
      </c>
      <c r="J22" s="7" t="n">
        <v>18</v>
      </c>
      <c r="K22" s="7" t="n">
        <v>0</v>
      </c>
      <c r="L22" s="7" t="n">
        <v>0</v>
      </c>
      <c r="M22" s="7" t="n">
        <v>0</v>
      </c>
      <c r="N22" s="7" t="n">
        <v>0</v>
      </c>
      <c r="O22" s="7" t="n">
        <v>0</v>
      </c>
      <c r="P22" s="7" t="n">
        <v>1</v>
      </c>
      <c r="Q22" s="7" t="n">
        <v>0</v>
      </c>
      <c r="R22" s="7" t="n">
        <v>0</v>
      </c>
    </row>
    <row r="23" customFormat="false" ht="15" hidden="false" customHeight="true" outlineLevel="0" collapsed="false">
      <c r="A23" s="7" t="n">
        <v>5320</v>
      </c>
      <c r="B23" s="7" t="s">
        <v>43</v>
      </c>
      <c r="C23" s="7" t="s">
        <v>747</v>
      </c>
      <c r="D23" s="7" t="s">
        <v>185</v>
      </c>
      <c r="E23" s="7" t="s">
        <v>184</v>
      </c>
      <c r="F23" s="7" t="n">
        <v>29</v>
      </c>
      <c r="G23" s="7" t="n">
        <v>6.09</v>
      </c>
      <c r="H23" s="7" t="n">
        <v>4.52</v>
      </c>
      <c r="I23" s="7" t="n">
        <v>0</v>
      </c>
      <c r="J23" s="7" t="n">
        <v>45</v>
      </c>
      <c r="K23" s="7" t="n">
        <v>0</v>
      </c>
      <c r="L23" s="7" t="n">
        <v>0</v>
      </c>
      <c r="M23" s="7" t="n">
        <v>0</v>
      </c>
      <c r="N23" s="7" t="n">
        <v>0</v>
      </c>
      <c r="O23" s="7" t="n">
        <v>0</v>
      </c>
      <c r="P23" s="7" t="n">
        <v>1</v>
      </c>
      <c r="Q23" s="7" t="n">
        <v>0</v>
      </c>
      <c r="R23" s="7" t="n">
        <v>0</v>
      </c>
    </row>
    <row r="24" customFormat="false" ht="15" hidden="false" customHeight="true" outlineLevel="0" collapsed="false">
      <c r="A24" s="7" t="n">
        <v>218</v>
      </c>
      <c r="B24" s="7" t="s">
        <v>43</v>
      </c>
      <c r="C24" s="7" t="s">
        <v>747</v>
      </c>
      <c r="D24" s="7" t="s">
        <v>145</v>
      </c>
      <c r="E24" s="7" t="s">
        <v>131</v>
      </c>
      <c r="F24" s="7" t="n">
        <v>9</v>
      </c>
      <c r="G24" s="7" t="n">
        <v>6.11</v>
      </c>
      <c r="H24" s="7" t="n">
        <v>5.11</v>
      </c>
      <c r="I24" s="7" t="n">
        <v>0</v>
      </c>
      <c r="J24" s="7" t="n">
        <v>9</v>
      </c>
      <c r="K24" s="7" t="n">
        <v>0</v>
      </c>
      <c r="L24" s="7" t="n">
        <v>0</v>
      </c>
      <c r="M24" s="7" t="n">
        <v>0</v>
      </c>
      <c r="N24" s="7" t="n">
        <v>0</v>
      </c>
      <c r="O24" s="7" t="n">
        <v>0</v>
      </c>
      <c r="P24" s="7" t="n">
        <v>0</v>
      </c>
      <c r="Q24" s="7" t="n">
        <v>0</v>
      </c>
      <c r="R24" s="7" t="n">
        <v>0</v>
      </c>
    </row>
    <row r="25" customFormat="false" ht="15" hidden="false" customHeight="true" outlineLevel="0" collapsed="false">
      <c r="A25" s="7" t="n">
        <v>572</v>
      </c>
      <c r="B25" s="7" t="s">
        <v>43</v>
      </c>
      <c r="C25" s="7" t="s">
        <v>747</v>
      </c>
      <c r="D25" s="7" t="s">
        <v>124</v>
      </c>
      <c r="E25" s="7" t="s">
        <v>125</v>
      </c>
      <c r="F25" s="7" t="n">
        <v>11</v>
      </c>
      <c r="G25" s="7" t="n">
        <v>6.23</v>
      </c>
      <c r="H25" s="7" t="n">
        <v>5.18</v>
      </c>
      <c r="I25" s="7" t="n">
        <v>0</v>
      </c>
      <c r="J25" s="7" t="n">
        <v>12</v>
      </c>
      <c r="K25" s="7" t="n">
        <v>0</v>
      </c>
      <c r="L25" s="7" t="n">
        <v>0</v>
      </c>
      <c r="M25" s="7" t="n">
        <v>0</v>
      </c>
      <c r="N25" s="7" t="n">
        <v>0</v>
      </c>
      <c r="O25" s="7" t="n">
        <v>1</v>
      </c>
      <c r="P25" s="7" t="n">
        <v>1</v>
      </c>
      <c r="Q25" s="7" t="n">
        <v>0</v>
      </c>
      <c r="R25" s="7" t="n">
        <v>0</v>
      </c>
    </row>
    <row r="26" customFormat="false" ht="15" hidden="false" customHeight="true" outlineLevel="0" collapsed="false">
      <c r="A26" s="7" t="n">
        <v>4867</v>
      </c>
      <c r="B26" s="7" t="s">
        <v>43</v>
      </c>
      <c r="C26" s="7" t="s">
        <v>747</v>
      </c>
      <c r="D26" s="7" t="s">
        <v>182</v>
      </c>
      <c r="E26" s="7" t="s">
        <v>144</v>
      </c>
      <c r="F26" s="7" t="n">
        <v>6</v>
      </c>
      <c r="G26" s="7" t="n">
        <v>6.17</v>
      </c>
      <c r="H26" s="7" t="n">
        <v>5</v>
      </c>
      <c r="I26" s="7" t="n">
        <v>0</v>
      </c>
      <c r="J26" s="7" t="n">
        <v>7</v>
      </c>
      <c r="K26" s="7" t="n">
        <v>0</v>
      </c>
      <c r="L26" s="7" t="n">
        <v>0</v>
      </c>
      <c r="M26" s="7" t="n">
        <v>0</v>
      </c>
      <c r="N26" s="7" t="n">
        <v>0</v>
      </c>
      <c r="O26" s="7" t="n">
        <v>0</v>
      </c>
      <c r="P26" s="7" t="n">
        <v>0</v>
      </c>
      <c r="Q26" s="7" t="n">
        <v>0</v>
      </c>
      <c r="R26" s="7" t="n">
        <v>0</v>
      </c>
    </row>
    <row r="27" customFormat="false" ht="15" hidden="false" customHeight="true" outlineLevel="0" collapsed="false">
      <c r="A27" s="7" t="n">
        <v>2861</v>
      </c>
      <c r="B27" s="7" t="s">
        <v>43</v>
      </c>
      <c r="C27" s="7" t="s">
        <v>747</v>
      </c>
      <c r="D27" s="7" t="s">
        <v>754</v>
      </c>
      <c r="E27" s="7" t="s">
        <v>755</v>
      </c>
      <c r="F27" s="7" t="n">
        <v>25</v>
      </c>
      <c r="G27" s="7" t="n">
        <v>6.06</v>
      </c>
      <c r="H27" s="7" t="n">
        <v>4.38</v>
      </c>
      <c r="I27" s="7" t="n">
        <v>0</v>
      </c>
      <c r="J27" s="7" t="n">
        <v>42</v>
      </c>
      <c r="K27" s="7" t="n">
        <v>0</v>
      </c>
      <c r="L27" s="7" t="n">
        <v>0</v>
      </c>
      <c r="M27" s="7" t="n">
        <v>0</v>
      </c>
      <c r="N27" s="7" t="n">
        <v>0</v>
      </c>
      <c r="O27" s="7" t="n">
        <v>0</v>
      </c>
      <c r="P27" s="7" t="n">
        <v>0</v>
      </c>
      <c r="Q27" s="7" t="n">
        <v>0</v>
      </c>
      <c r="R27" s="7" t="n">
        <v>0</v>
      </c>
    </row>
    <row r="28" customFormat="false" ht="15" hidden="false" customHeight="true" outlineLevel="0" collapsed="false">
      <c r="A28" s="7" t="n">
        <v>7172</v>
      </c>
      <c r="B28" s="7" t="s">
        <v>43</v>
      </c>
      <c r="C28" s="7" t="s">
        <v>747</v>
      </c>
      <c r="D28" s="7" t="s">
        <v>158</v>
      </c>
      <c r="E28" s="7" t="s">
        <v>127</v>
      </c>
      <c r="F28" s="7" t="n">
        <v>4</v>
      </c>
      <c r="G28" s="7" t="n">
        <v>6.12</v>
      </c>
      <c r="H28" s="7" t="n">
        <v>5.62</v>
      </c>
      <c r="I28" s="7" t="n">
        <v>0</v>
      </c>
      <c r="J28" s="7" t="n">
        <v>2</v>
      </c>
      <c r="K28" s="7" t="n">
        <v>0</v>
      </c>
      <c r="L28" s="7" t="n">
        <v>0</v>
      </c>
      <c r="M28" s="7" t="n">
        <v>0</v>
      </c>
      <c r="N28" s="7" t="n">
        <v>0</v>
      </c>
      <c r="O28" s="7" t="n">
        <v>0</v>
      </c>
      <c r="P28" s="7" t="n">
        <v>0</v>
      </c>
      <c r="Q28" s="7" t="n">
        <v>0</v>
      </c>
      <c r="R28" s="7" t="n">
        <v>0</v>
      </c>
    </row>
    <row r="29" customFormat="false" ht="15" hidden="false" customHeight="true" outlineLevel="0" collapsed="false">
      <c r="A29" s="7" t="n">
        <v>5116</v>
      </c>
      <c r="B29" s="7" t="s">
        <v>43</v>
      </c>
      <c r="C29" s="7" t="s">
        <v>747</v>
      </c>
      <c r="D29" s="7" t="s">
        <v>114</v>
      </c>
      <c r="E29" s="7" t="s">
        <v>115</v>
      </c>
      <c r="F29" s="7" t="n">
        <v>5</v>
      </c>
      <c r="G29" s="7" t="n">
        <v>6</v>
      </c>
      <c r="H29" s="7" t="n">
        <v>5.2</v>
      </c>
      <c r="I29" s="7" t="n">
        <v>0</v>
      </c>
      <c r="J29" s="7" t="n">
        <v>4</v>
      </c>
      <c r="K29" s="7" t="n">
        <v>0</v>
      </c>
      <c r="L29" s="7" t="n">
        <v>0</v>
      </c>
      <c r="M29" s="7" t="n">
        <v>0</v>
      </c>
      <c r="N29" s="7" t="n">
        <v>0</v>
      </c>
      <c r="O29" s="7" t="n">
        <v>0</v>
      </c>
      <c r="P29" s="7" t="n">
        <v>0</v>
      </c>
      <c r="Q29" s="7" t="n">
        <v>0</v>
      </c>
      <c r="R29" s="7" t="n">
        <v>0</v>
      </c>
    </row>
    <row r="30" customFormat="false" ht="15" hidden="false" customHeight="true" outlineLevel="0" collapsed="false">
      <c r="A30" s="7" t="n">
        <v>7337</v>
      </c>
      <c r="B30" s="7" t="s">
        <v>43</v>
      </c>
      <c r="C30" s="7" t="s">
        <v>747</v>
      </c>
      <c r="D30" s="7" t="s">
        <v>170</v>
      </c>
      <c r="E30" s="7" t="s">
        <v>133</v>
      </c>
      <c r="F30" s="7" t="n">
        <v>9</v>
      </c>
      <c r="G30" s="7" t="n">
        <v>6</v>
      </c>
      <c r="H30" s="7" t="n">
        <v>5.17</v>
      </c>
      <c r="I30" s="7" t="n">
        <v>0</v>
      </c>
      <c r="J30" s="7" t="n">
        <v>10</v>
      </c>
      <c r="K30" s="7" t="n">
        <v>1</v>
      </c>
      <c r="L30" s="7" t="n">
        <v>0</v>
      </c>
      <c r="M30" s="7" t="n">
        <v>0</v>
      </c>
      <c r="N30" s="7" t="n">
        <v>0</v>
      </c>
      <c r="O30" s="7" t="n">
        <v>0</v>
      </c>
      <c r="P30" s="7" t="n">
        <v>1</v>
      </c>
      <c r="Q30" s="7" t="n">
        <v>0</v>
      </c>
      <c r="R30" s="7" t="n">
        <v>0</v>
      </c>
    </row>
    <row r="31" customFormat="false" ht="15" hidden="false" customHeight="true" outlineLevel="0" collapsed="false">
      <c r="A31" s="7" t="n">
        <v>2722</v>
      </c>
      <c r="B31" s="7" t="s">
        <v>43</v>
      </c>
      <c r="C31" s="7" t="s">
        <v>747</v>
      </c>
      <c r="D31" s="7" t="s">
        <v>756</v>
      </c>
      <c r="E31" s="7" t="s">
        <v>127</v>
      </c>
      <c r="F31" s="7" t="n">
        <v>17</v>
      </c>
      <c r="G31" s="7" t="n">
        <v>6.21</v>
      </c>
      <c r="H31" s="7" t="n">
        <v>4.38</v>
      </c>
      <c r="I31" s="7" t="n">
        <v>0</v>
      </c>
      <c r="J31" s="7" t="n">
        <v>29</v>
      </c>
      <c r="K31" s="7" t="n">
        <v>0</v>
      </c>
      <c r="L31" s="7" t="n">
        <v>0</v>
      </c>
      <c r="M31" s="7" t="n">
        <v>0</v>
      </c>
      <c r="N31" s="7" t="n">
        <v>0</v>
      </c>
      <c r="O31" s="7" t="n">
        <v>0</v>
      </c>
      <c r="P31" s="7" t="n">
        <v>4</v>
      </c>
      <c r="Q31" s="7" t="n">
        <v>0</v>
      </c>
      <c r="R31" s="7" t="n">
        <v>0</v>
      </c>
    </row>
    <row r="32" customFormat="false" ht="15" hidden="false" customHeight="true" outlineLevel="0" collapsed="false">
      <c r="A32" s="7" t="n">
        <v>6417</v>
      </c>
      <c r="B32" s="7" t="s">
        <v>43</v>
      </c>
      <c r="C32" s="7" t="s">
        <v>747</v>
      </c>
      <c r="D32" s="7" t="s">
        <v>757</v>
      </c>
      <c r="E32" s="7" t="s">
        <v>133</v>
      </c>
      <c r="F32" s="7" t="n">
        <v>2</v>
      </c>
      <c r="G32" s="7" t="n">
        <v>6.5</v>
      </c>
      <c r="H32" s="7" t="n">
        <v>5</v>
      </c>
      <c r="I32" s="7" t="n">
        <v>0</v>
      </c>
      <c r="J32" s="7" t="n">
        <v>3</v>
      </c>
      <c r="K32" s="7" t="n">
        <v>0</v>
      </c>
      <c r="L32" s="7" t="n">
        <v>0</v>
      </c>
      <c r="M32" s="7" t="n">
        <v>0</v>
      </c>
      <c r="N32" s="7" t="n">
        <v>0</v>
      </c>
      <c r="O32" s="7" t="n">
        <v>0</v>
      </c>
      <c r="P32" s="7" t="n">
        <v>0</v>
      </c>
      <c r="Q32" s="7" t="n">
        <v>0</v>
      </c>
      <c r="R32" s="7" t="n">
        <v>0</v>
      </c>
    </row>
    <row r="33" customFormat="false" ht="15" hidden="false" customHeight="true" outlineLevel="0" collapsed="false">
      <c r="A33" s="7" t="n">
        <v>5135</v>
      </c>
      <c r="B33" s="7" t="s">
        <v>43</v>
      </c>
      <c r="C33" s="7" t="s">
        <v>747</v>
      </c>
      <c r="D33" s="7" t="s">
        <v>758</v>
      </c>
      <c r="E33" s="7" t="s">
        <v>141</v>
      </c>
      <c r="F33" s="7" t="n">
        <v>0</v>
      </c>
      <c r="G33" s="7" t="n">
        <v>0</v>
      </c>
      <c r="H33" s="7" t="n">
        <v>0</v>
      </c>
      <c r="I33" s="7" t="n">
        <v>0</v>
      </c>
      <c r="J33" s="7" t="n">
        <v>0</v>
      </c>
      <c r="K33" s="7" t="n">
        <v>0</v>
      </c>
      <c r="L33" s="7" t="n">
        <v>0</v>
      </c>
      <c r="M33" s="7" t="n">
        <v>0</v>
      </c>
      <c r="N33" s="7" t="n">
        <v>0</v>
      </c>
      <c r="O33" s="7" t="n">
        <v>0</v>
      </c>
      <c r="P33" s="7" t="n">
        <v>0</v>
      </c>
      <c r="Q33" s="7" t="n">
        <v>0</v>
      </c>
      <c r="R33" s="7" t="n">
        <v>0</v>
      </c>
    </row>
    <row r="34" customFormat="false" ht="15" hidden="false" customHeight="true" outlineLevel="0" collapsed="false">
      <c r="A34" s="7" t="n">
        <v>6403</v>
      </c>
      <c r="B34" s="7" t="s">
        <v>43</v>
      </c>
      <c r="C34" s="7" t="s">
        <v>747</v>
      </c>
      <c r="D34" s="7" t="s">
        <v>163</v>
      </c>
      <c r="E34" s="7" t="s">
        <v>123</v>
      </c>
      <c r="F34" s="7" t="n">
        <v>1</v>
      </c>
      <c r="G34" s="7" t="n">
        <v>7.5</v>
      </c>
      <c r="H34" s="7" t="n">
        <v>6.5</v>
      </c>
      <c r="I34" s="7" t="n">
        <v>0</v>
      </c>
      <c r="J34" s="7" t="n">
        <v>1</v>
      </c>
      <c r="K34" s="7" t="n">
        <v>0</v>
      </c>
      <c r="L34" s="7" t="n">
        <v>0</v>
      </c>
      <c r="M34" s="7" t="n">
        <v>0</v>
      </c>
      <c r="N34" s="7" t="n">
        <v>0</v>
      </c>
      <c r="O34" s="7" t="n">
        <v>0</v>
      </c>
      <c r="P34" s="7" t="n">
        <v>0</v>
      </c>
      <c r="Q34" s="7" t="n">
        <v>0</v>
      </c>
      <c r="R34" s="7" t="n">
        <v>0</v>
      </c>
    </row>
    <row r="35" customFormat="false" ht="15" hidden="false" customHeight="true" outlineLevel="0" collapsed="false">
      <c r="A35" s="7" t="n">
        <v>2297</v>
      </c>
      <c r="B35" s="7" t="s">
        <v>43</v>
      </c>
      <c r="C35" s="7" t="s">
        <v>747</v>
      </c>
      <c r="D35" s="7" t="s">
        <v>155</v>
      </c>
      <c r="E35" s="7" t="s">
        <v>117</v>
      </c>
      <c r="F35" s="7" t="n">
        <v>0</v>
      </c>
      <c r="G35" s="7" t="n">
        <v>0</v>
      </c>
      <c r="H35" s="7" t="n">
        <v>0</v>
      </c>
      <c r="I35" s="7" t="n">
        <v>0</v>
      </c>
      <c r="J35" s="7" t="n">
        <v>0</v>
      </c>
      <c r="K35" s="7" t="n">
        <v>0</v>
      </c>
      <c r="L35" s="7" t="n">
        <v>0</v>
      </c>
      <c r="M35" s="7" t="n">
        <v>0</v>
      </c>
      <c r="N35" s="7" t="n">
        <v>0</v>
      </c>
      <c r="O35" s="7" t="n">
        <v>0</v>
      </c>
      <c r="P35" s="7" t="n">
        <v>0</v>
      </c>
      <c r="Q35" s="7" t="n">
        <v>0</v>
      </c>
      <c r="R35" s="7" t="n">
        <v>0</v>
      </c>
    </row>
    <row r="36" customFormat="false" ht="15" hidden="false" customHeight="true" outlineLevel="0" collapsed="false">
      <c r="A36" s="7" t="n">
        <v>4</v>
      </c>
      <c r="B36" s="7" t="s">
        <v>43</v>
      </c>
      <c r="C36" s="7" t="s">
        <v>747</v>
      </c>
      <c r="D36" s="7" t="s">
        <v>156</v>
      </c>
      <c r="E36" s="7" t="s">
        <v>117</v>
      </c>
      <c r="F36" s="7" t="n">
        <v>1</v>
      </c>
      <c r="G36" s="7" t="n">
        <v>5.5</v>
      </c>
      <c r="H36" s="7" t="n">
        <v>4.5</v>
      </c>
      <c r="I36" s="7" t="n">
        <v>0</v>
      </c>
      <c r="J36" s="7" t="n">
        <v>1</v>
      </c>
      <c r="K36" s="7" t="n">
        <v>0</v>
      </c>
      <c r="L36" s="7" t="n">
        <v>0</v>
      </c>
      <c r="M36" s="7" t="n">
        <v>0</v>
      </c>
      <c r="N36" s="7" t="n">
        <v>0</v>
      </c>
      <c r="O36" s="7" t="n">
        <v>0</v>
      </c>
      <c r="P36" s="7" t="n">
        <v>0</v>
      </c>
      <c r="Q36" s="7" t="n">
        <v>0</v>
      </c>
      <c r="R36" s="7" t="n">
        <v>0</v>
      </c>
    </row>
    <row r="37" customFormat="false" ht="15" hidden="false" customHeight="true" outlineLevel="0" collapsed="false">
      <c r="A37" s="7" t="n">
        <v>4929</v>
      </c>
      <c r="B37" s="7" t="s">
        <v>43</v>
      </c>
      <c r="C37" s="7" t="s">
        <v>747</v>
      </c>
      <c r="D37" s="7" t="s">
        <v>159</v>
      </c>
      <c r="E37" s="7" t="s">
        <v>129</v>
      </c>
      <c r="F37" s="7" t="n">
        <v>0</v>
      </c>
      <c r="G37" s="7" t="n">
        <v>0</v>
      </c>
      <c r="H37" s="7" t="n">
        <v>0</v>
      </c>
      <c r="I37" s="7" t="n">
        <v>0</v>
      </c>
      <c r="J37" s="7" t="n">
        <v>0</v>
      </c>
      <c r="K37" s="7" t="n">
        <v>0</v>
      </c>
      <c r="L37" s="7" t="n">
        <v>0</v>
      </c>
      <c r="M37" s="7" t="n">
        <v>0</v>
      </c>
      <c r="N37" s="7" t="n">
        <v>0</v>
      </c>
      <c r="O37" s="7" t="n">
        <v>0</v>
      </c>
      <c r="P37" s="7" t="n">
        <v>0</v>
      </c>
      <c r="Q37" s="7" t="n">
        <v>0</v>
      </c>
      <c r="R37" s="7" t="n">
        <v>0</v>
      </c>
    </row>
    <row r="38" customFormat="false" ht="15" hidden="false" customHeight="true" outlineLevel="0" collapsed="false">
      <c r="A38" s="7" t="n">
        <v>3</v>
      </c>
      <c r="B38" s="7" t="s">
        <v>43</v>
      </c>
      <c r="C38" s="7" t="s">
        <v>747</v>
      </c>
      <c r="D38" s="7" t="s">
        <v>759</v>
      </c>
      <c r="E38" s="7" t="s">
        <v>129</v>
      </c>
      <c r="F38" s="7" t="n">
        <v>0</v>
      </c>
      <c r="G38" s="7" t="n">
        <v>0</v>
      </c>
      <c r="H38" s="7" t="n">
        <v>0</v>
      </c>
      <c r="I38" s="7" t="n">
        <v>0</v>
      </c>
      <c r="J38" s="7" t="n">
        <v>0</v>
      </c>
      <c r="K38" s="7" t="n">
        <v>0</v>
      </c>
      <c r="L38" s="7" t="n">
        <v>0</v>
      </c>
      <c r="M38" s="7" t="n">
        <v>0</v>
      </c>
      <c r="N38" s="7" t="n">
        <v>0</v>
      </c>
      <c r="O38" s="7" t="n">
        <v>0</v>
      </c>
      <c r="P38" s="7" t="n">
        <v>0</v>
      </c>
      <c r="Q38" s="7" t="n">
        <v>0</v>
      </c>
      <c r="R38" s="7" t="n">
        <v>0</v>
      </c>
    </row>
    <row r="39" customFormat="false" ht="15" hidden="false" customHeight="true" outlineLevel="0" collapsed="false">
      <c r="A39" s="7" t="n">
        <v>2809</v>
      </c>
      <c r="B39" s="7" t="s">
        <v>43</v>
      </c>
      <c r="C39" s="7" t="s">
        <v>747</v>
      </c>
      <c r="D39" s="7" t="s">
        <v>162</v>
      </c>
      <c r="E39" s="7" t="s">
        <v>119</v>
      </c>
      <c r="F39" s="7" t="n">
        <v>0</v>
      </c>
      <c r="G39" s="7" t="n">
        <v>0</v>
      </c>
      <c r="H39" s="7" t="n">
        <v>0</v>
      </c>
      <c r="I39" s="7" t="n">
        <v>0</v>
      </c>
      <c r="J39" s="7" t="n">
        <v>0</v>
      </c>
      <c r="K39" s="7" t="n">
        <v>0</v>
      </c>
      <c r="L39" s="7" t="n">
        <v>0</v>
      </c>
      <c r="M39" s="7" t="n">
        <v>0</v>
      </c>
      <c r="N39" s="7" t="n">
        <v>0</v>
      </c>
      <c r="O39" s="7" t="n">
        <v>0</v>
      </c>
      <c r="P39" s="7" t="n">
        <v>0</v>
      </c>
      <c r="Q39" s="7" t="n">
        <v>0</v>
      </c>
      <c r="R39" s="7" t="n">
        <v>0</v>
      </c>
    </row>
    <row r="40" customFormat="false" ht="15" hidden="false" customHeight="true" outlineLevel="0" collapsed="false">
      <c r="A40" s="7" t="n">
        <v>6505</v>
      </c>
      <c r="B40" s="7" t="s">
        <v>43</v>
      </c>
      <c r="C40" s="7" t="s">
        <v>747</v>
      </c>
      <c r="D40" s="7" t="s">
        <v>760</v>
      </c>
      <c r="E40" s="7" t="s">
        <v>750</v>
      </c>
      <c r="F40" s="7" t="n">
        <v>0</v>
      </c>
      <c r="G40" s="7" t="n">
        <v>0</v>
      </c>
      <c r="H40" s="7" t="n">
        <v>0</v>
      </c>
      <c r="I40" s="7" t="n">
        <v>0</v>
      </c>
      <c r="J40" s="7" t="n">
        <v>0</v>
      </c>
      <c r="K40" s="7" t="n">
        <v>0</v>
      </c>
      <c r="L40" s="7" t="n">
        <v>0</v>
      </c>
      <c r="M40" s="7" t="n">
        <v>0</v>
      </c>
      <c r="N40" s="7" t="n">
        <v>0</v>
      </c>
      <c r="O40" s="7" t="n">
        <v>0</v>
      </c>
      <c r="P40" s="7" t="n">
        <v>0</v>
      </c>
      <c r="Q40" s="7" t="n">
        <v>0</v>
      </c>
      <c r="R40" s="7" t="n">
        <v>0</v>
      </c>
    </row>
    <row r="41" customFormat="false" ht="15" hidden="false" customHeight="true" outlineLevel="0" collapsed="false">
      <c r="A41" s="7" t="n">
        <v>6184</v>
      </c>
      <c r="B41" s="7" t="s">
        <v>43</v>
      </c>
      <c r="C41" s="7" t="s">
        <v>747</v>
      </c>
      <c r="D41" s="7" t="s">
        <v>761</v>
      </c>
      <c r="E41" s="7" t="s">
        <v>123</v>
      </c>
      <c r="F41" s="7" t="n">
        <v>0</v>
      </c>
      <c r="G41" s="7" t="n">
        <v>0</v>
      </c>
      <c r="H41" s="7" t="n">
        <v>0</v>
      </c>
      <c r="I41" s="7" t="n">
        <v>0</v>
      </c>
      <c r="J41" s="7" t="n">
        <v>0</v>
      </c>
      <c r="K41" s="7" t="n">
        <v>0</v>
      </c>
      <c r="L41" s="7" t="n">
        <v>0</v>
      </c>
      <c r="M41" s="7" t="n">
        <v>0</v>
      </c>
      <c r="N41" s="7" t="n">
        <v>0</v>
      </c>
      <c r="O41" s="7" t="n">
        <v>0</v>
      </c>
      <c r="P41" s="7" t="n">
        <v>0</v>
      </c>
      <c r="Q41" s="7" t="n">
        <v>0</v>
      </c>
      <c r="R41" s="7" t="n">
        <v>0</v>
      </c>
    </row>
    <row r="42" customFormat="false" ht="15" hidden="false" customHeight="true" outlineLevel="0" collapsed="false">
      <c r="A42" s="7" t="n">
        <v>6991</v>
      </c>
      <c r="B42" s="7" t="s">
        <v>43</v>
      </c>
      <c r="C42" s="7" t="s">
        <v>747</v>
      </c>
      <c r="D42" s="7" t="s">
        <v>762</v>
      </c>
      <c r="E42" s="7" t="s">
        <v>137</v>
      </c>
      <c r="F42" s="7" t="n">
        <v>0</v>
      </c>
      <c r="G42" s="7" t="n">
        <v>0</v>
      </c>
      <c r="H42" s="7" t="n">
        <v>0</v>
      </c>
      <c r="I42" s="7" t="n">
        <v>0</v>
      </c>
      <c r="J42" s="7" t="n">
        <v>0</v>
      </c>
      <c r="K42" s="7" t="n">
        <v>0</v>
      </c>
      <c r="L42" s="7" t="n">
        <v>0</v>
      </c>
      <c r="M42" s="7" t="n">
        <v>0</v>
      </c>
      <c r="N42" s="7" t="n">
        <v>0</v>
      </c>
      <c r="O42" s="7" t="n">
        <v>0</v>
      </c>
      <c r="P42" s="7" t="n">
        <v>0</v>
      </c>
      <c r="Q42" s="7" t="n">
        <v>0</v>
      </c>
      <c r="R42" s="7" t="n">
        <v>0</v>
      </c>
    </row>
    <row r="43" customFormat="false" ht="15" hidden="false" customHeight="true" outlineLevel="0" collapsed="false">
      <c r="A43" s="7" t="n">
        <v>219</v>
      </c>
      <c r="B43" s="7" t="s">
        <v>43</v>
      </c>
      <c r="C43" s="7" t="s">
        <v>747</v>
      </c>
      <c r="D43" s="7" t="s">
        <v>166</v>
      </c>
      <c r="E43" s="7" t="s">
        <v>137</v>
      </c>
      <c r="F43" s="7" t="n">
        <v>2</v>
      </c>
      <c r="G43" s="7" t="n">
        <v>5.75</v>
      </c>
      <c r="H43" s="7" t="n">
        <v>3.75</v>
      </c>
      <c r="I43" s="7" t="n">
        <v>0</v>
      </c>
      <c r="J43" s="7" t="n">
        <v>4</v>
      </c>
      <c r="K43" s="7" t="n">
        <v>0</v>
      </c>
      <c r="L43" s="7" t="n">
        <v>0</v>
      </c>
      <c r="M43" s="7" t="n">
        <v>0</v>
      </c>
      <c r="N43" s="7" t="n">
        <v>0</v>
      </c>
      <c r="O43" s="7" t="n">
        <v>0</v>
      </c>
      <c r="P43" s="7" t="n">
        <v>0</v>
      </c>
      <c r="Q43" s="7" t="n">
        <v>0</v>
      </c>
      <c r="R43" s="7" t="n">
        <v>0</v>
      </c>
    </row>
    <row r="44" customFormat="false" ht="15" hidden="false" customHeight="true" outlineLevel="0" collapsed="false">
      <c r="A44" s="7" t="n">
        <v>1926</v>
      </c>
      <c r="B44" s="7" t="s">
        <v>43</v>
      </c>
      <c r="C44" s="7" t="s">
        <v>747</v>
      </c>
      <c r="D44" s="7" t="s">
        <v>168</v>
      </c>
      <c r="E44" s="7" t="s">
        <v>115</v>
      </c>
      <c r="F44" s="7" t="n">
        <v>1</v>
      </c>
      <c r="G44" s="7" t="n">
        <v>6</v>
      </c>
      <c r="H44" s="7" t="n">
        <v>5</v>
      </c>
      <c r="I44" s="7" t="n">
        <v>0</v>
      </c>
      <c r="J44" s="7" t="n">
        <v>1</v>
      </c>
      <c r="K44" s="7" t="n">
        <v>0</v>
      </c>
      <c r="L44" s="7" t="n">
        <v>0</v>
      </c>
      <c r="M44" s="7" t="n">
        <v>0</v>
      </c>
      <c r="N44" s="7" t="n">
        <v>0</v>
      </c>
      <c r="O44" s="7" t="n">
        <v>0</v>
      </c>
      <c r="P44" s="7" t="n">
        <v>0</v>
      </c>
      <c r="Q44" s="7" t="n">
        <v>0</v>
      </c>
      <c r="R44" s="7" t="n">
        <v>0</v>
      </c>
    </row>
    <row r="45" customFormat="false" ht="15" hidden="false" customHeight="true" outlineLevel="0" collapsed="false">
      <c r="A45" s="7" t="n">
        <v>1930</v>
      </c>
      <c r="B45" s="7" t="s">
        <v>43</v>
      </c>
      <c r="C45" s="7" t="s">
        <v>747</v>
      </c>
      <c r="D45" s="7" t="s">
        <v>169</v>
      </c>
      <c r="E45" s="7" t="s">
        <v>131</v>
      </c>
      <c r="F45" s="7" t="n">
        <v>0</v>
      </c>
      <c r="G45" s="7" t="n">
        <v>0</v>
      </c>
      <c r="H45" s="7" t="n">
        <v>0</v>
      </c>
      <c r="I45" s="7" t="n">
        <v>0</v>
      </c>
      <c r="J45" s="7" t="n">
        <v>0</v>
      </c>
      <c r="K45" s="7" t="n">
        <v>0</v>
      </c>
      <c r="L45" s="7" t="n">
        <v>0</v>
      </c>
      <c r="M45" s="7" t="n">
        <v>0</v>
      </c>
      <c r="N45" s="7" t="n">
        <v>0</v>
      </c>
      <c r="O45" s="7" t="n">
        <v>0</v>
      </c>
      <c r="P45" s="7" t="n">
        <v>0</v>
      </c>
      <c r="Q45" s="7" t="n">
        <v>0</v>
      </c>
      <c r="R45" s="7" t="n">
        <v>0</v>
      </c>
    </row>
    <row r="46" customFormat="false" ht="15" hidden="false" customHeight="true" outlineLevel="0" collapsed="false">
      <c r="A46" s="7" t="n">
        <v>6482</v>
      </c>
      <c r="B46" s="7" t="s">
        <v>43</v>
      </c>
      <c r="C46" s="7" t="s">
        <v>747</v>
      </c>
      <c r="D46" s="7" t="s">
        <v>132</v>
      </c>
      <c r="E46" s="7" t="s">
        <v>133</v>
      </c>
      <c r="F46" s="7" t="n">
        <v>0</v>
      </c>
      <c r="G46" s="7" t="n">
        <v>0</v>
      </c>
      <c r="H46" s="7" t="n">
        <v>0</v>
      </c>
      <c r="I46" s="7" t="n">
        <v>0</v>
      </c>
      <c r="J46" s="7" t="n">
        <v>0</v>
      </c>
      <c r="K46" s="7" t="n">
        <v>0</v>
      </c>
      <c r="L46" s="7" t="n">
        <v>0</v>
      </c>
      <c r="M46" s="7" t="n">
        <v>0</v>
      </c>
      <c r="N46" s="7" t="n">
        <v>0</v>
      </c>
      <c r="O46" s="7" t="n">
        <v>0</v>
      </c>
      <c r="P46" s="7" t="n">
        <v>0</v>
      </c>
      <c r="Q46" s="7" t="n">
        <v>0</v>
      </c>
      <c r="R46" s="7" t="n">
        <v>0</v>
      </c>
    </row>
    <row r="47" customFormat="false" ht="15" hidden="false" customHeight="true" outlineLevel="0" collapsed="false">
      <c r="A47" s="7" t="n">
        <v>2401</v>
      </c>
      <c r="B47" s="7" t="s">
        <v>43</v>
      </c>
      <c r="C47" s="7" t="s">
        <v>747</v>
      </c>
      <c r="D47" s="7" t="s">
        <v>763</v>
      </c>
      <c r="E47" s="7" t="s">
        <v>139</v>
      </c>
      <c r="F47" s="7" t="n">
        <v>0</v>
      </c>
      <c r="G47" s="7" t="n">
        <v>0</v>
      </c>
      <c r="H47" s="7" t="n">
        <v>0</v>
      </c>
      <c r="I47" s="7" t="n">
        <v>0</v>
      </c>
      <c r="J47" s="7" t="n">
        <v>0</v>
      </c>
      <c r="K47" s="7" t="n">
        <v>0</v>
      </c>
      <c r="L47" s="7" t="n">
        <v>0</v>
      </c>
      <c r="M47" s="7" t="n">
        <v>0</v>
      </c>
      <c r="N47" s="7" t="n">
        <v>0</v>
      </c>
      <c r="O47" s="7" t="n">
        <v>0</v>
      </c>
      <c r="P47" s="7" t="n">
        <v>0</v>
      </c>
      <c r="Q47" s="7" t="n">
        <v>0</v>
      </c>
      <c r="R47" s="7" t="n">
        <v>0</v>
      </c>
    </row>
    <row r="48" customFormat="false" ht="15" hidden="false" customHeight="true" outlineLevel="0" collapsed="false">
      <c r="A48" s="7" t="n">
        <v>6523</v>
      </c>
      <c r="B48" s="7" t="s">
        <v>43</v>
      </c>
      <c r="C48" s="7" t="s">
        <v>747</v>
      </c>
      <c r="D48" s="7" t="s">
        <v>172</v>
      </c>
      <c r="E48" s="7" t="s">
        <v>139</v>
      </c>
      <c r="F48" s="7" t="n">
        <v>0</v>
      </c>
      <c r="G48" s="7" t="n">
        <v>0</v>
      </c>
      <c r="H48" s="7" t="n">
        <v>0</v>
      </c>
      <c r="I48" s="7" t="n">
        <v>0</v>
      </c>
      <c r="J48" s="7" t="n">
        <v>0</v>
      </c>
      <c r="K48" s="7" t="n">
        <v>0</v>
      </c>
      <c r="L48" s="7" t="n">
        <v>0</v>
      </c>
      <c r="M48" s="7" t="n">
        <v>0</v>
      </c>
      <c r="N48" s="7" t="n">
        <v>0</v>
      </c>
      <c r="O48" s="7" t="n">
        <v>0</v>
      </c>
      <c r="P48" s="7" t="n">
        <v>0</v>
      </c>
      <c r="Q48" s="7" t="n">
        <v>0</v>
      </c>
      <c r="R48" s="7" t="n">
        <v>0</v>
      </c>
    </row>
    <row r="49" customFormat="false" ht="15" hidden="false" customHeight="true" outlineLevel="0" collapsed="false">
      <c r="A49" s="7" t="n">
        <v>2815</v>
      </c>
      <c r="B49" s="7" t="s">
        <v>43</v>
      </c>
      <c r="C49" s="7" t="s">
        <v>747</v>
      </c>
      <c r="D49" s="7" t="s">
        <v>173</v>
      </c>
      <c r="E49" s="7" t="s">
        <v>121</v>
      </c>
      <c r="F49" s="7" t="n">
        <v>2</v>
      </c>
      <c r="G49" s="7" t="n">
        <v>6</v>
      </c>
      <c r="H49" s="7" t="n">
        <v>6</v>
      </c>
      <c r="I49" s="7" t="n">
        <v>0</v>
      </c>
      <c r="J49" s="7" t="n">
        <v>0</v>
      </c>
      <c r="K49" s="7" t="n">
        <v>0</v>
      </c>
      <c r="L49" s="7" t="n">
        <v>0</v>
      </c>
      <c r="M49" s="7" t="n">
        <v>0</v>
      </c>
      <c r="N49" s="7" t="n">
        <v>0</v>
      </c>
      <c r="O49" s="7" t="n">
        <v>0</v>
      </c>
      <c r="P49" s="7" t="n">
        <v>0</v>
      </c>
      <c r="Q49" s="7" t="n">
        <v>0</v>
      </c>
      <c r="R49" s="7" t="n">
        <v>0</v>
      </c>
    </row>
    <row r="50" customFormat="false" ht="15" hidden="false" customHeight="true" outlineLevel="0" collapsed="false">
      <c r="A50" s="7" t="n">
        <v>6813</v>
      </c>
      <c r="B50" s="7" t="s">
        <v>43</v>
      </c>
      <c r="C50" s="7" t="s">
        <v>747</v>
      </c>
      <c r="D50" s="7" t="s">
        <v>174</v>
      </c>
      <c r="E50" s="7" t="s">
        <v>121</v>
      </c>
      <c r="F50" s="7" t="n">
        <v>0</v>
      </c>
      <c r="G50" s="7" t="n">
        <v>0</v>
      </c>
      <c r="H50" s="7" t="n">
        <v>0</v>
      </c>
      <c r="I50" s="7" t="n">
        <v>0</v>
      </c>
      <c r="J50" s="7" t="n">
        <v>0</v>
      </c>
      <c r="K50" s="7" t="n">
        <v>0</v>
      </c>
      <c r="L50" s="7" t="n">
        <v>0</v>
      </c>
      <c r="M50" s="7" t="n">
        <v>0</v>
      </c>
      <c r="N50" s="7" t="n">
        <v>0</v>
      </c>
      <c r="O50" s="7" t="n">
        <v>0</v>
      </c>
      <c r="P50" s="7" t="n">
        <v>0</v>
      </c>
      <c r="Q50" s="7" t="n">
        <v>0</v>
      </c>
      <c r="R50" s="7" t="n">
        <v>0</v>
      </c>
    </row>
    <row r="51" customFormat="false" ht="15" hidden="false" customHeight="true" outlineLevel="0" collapsed="false">
      <c r="A51" s="7" t="n">
        <v>2845</v>
      </c>
      <c r="B51" s="7" t="s">
        <v>43</v>
      </c>
      <c r="C51" s="7" t="s">
        <v>747</v>
      </c>
      <c r="D51" s="7" t="s">
        <v>177</v>
      </c>
      <c r="E51" s="7" t="s">
        <v>125</v>
      </c>
      <c r="F51" s="7" t="n">
        <v>0</v>
      </c>
      <c r="G51" s="7" t="n">
        <v>0</v>
      </c>
      <c r="H51" s="7" t="n">
        <v>0</v>
      </c>
      <c r="I51" s="7" t="n">
        <v>0</v>
      </c>
      <c r="J51" s="7" t="n">
        <v>0</v>
      </c>
      <c r="K51" s="7" t="n">
        <v>0</v>
      </c>
      <c r="L51" s="7" t="n">
        <v>0</v>
      </c>
      <c r="M51" s="7" t="n">
        <v>0</v>
      </c>
      <c r="N51" s="7" t="n">
        <v>0</v>
      </c>
      <c r="O51" s="7" t="n">
        <v>0</v>
      </c>
      <c r="P51" s="7" t="n">
        <v>0</v>
      </c>
      <c r="Q51" s="7" t="n">
        <v>0</v>
      </c>
      <c r="R51" s="7" t="n">
        <v>0</v>
      </c>
    </row>
    <row r="52" customFormat="false" ht="15" hidden="false" customHeight="true" outlineLevel="0" collapsed="false">
      <c r="A52" s="7" t="n">
        <v>5338</v>
      </c>
      <c r="B52" s="7" t="s">
        <v>43</v>
      </c>
      <c r="C52" s="7" t="s">
        <v>747</v>
      </c>
      <c r="D52" s="7" t="s">
        <v>764</v>
      </c>
      <c r="E52" s="7" t="s">
        <v>141</v>
      </c>
      <c r="F52" s="7" t="n">
        <v>1</v>
      </c>
      <c r="G52" s="7" t="n">
        <v>7</v>
      </c>
      <c r="H52" s="7" t="n">
        <v>6.5</v>
      </c>
      <c r="I52" s="7" t="n">
        <v>0</v>
      </c>
      <c r="J52" s="7" t="n">
        <v>0</v>
      </c>
      <c r="K52" s="7" t="n">
        <v>0</v>
      </c>
      <c r="L52" s="7" t="n">
        <v>0</v>
      </c>
      <c r="M52" s="7" t="n">
        <v>0</v>
      </c>
      <c r="N52" s="7" t="n">
        <v>0</v>
      </c>
      <c r="O52" s="7" t="n">
        <v>0</v>
      </c>
      <c r="P52" s="7" t="n">
        <v>1</v>
      </c>
      <c r="Q52" s="7" t="n">
        <v>0</v>
      </c>
      <c r="R52" s="7" t="n">
        <v>0</v>
      </c>
    </row>
    <row r="53" customFormat="false" ht="15" hidden="false" customHeight="true" outlineLevel="0" collapsed="false">
      <c r="A53" s="7" t="n">
        <v>2271</v>
      </c>
      <c r="B53" s="7" t="s">
        <v>43</v>
      </c>
      <c r="C53" s="7" t="s">
        <v>747</v>
      </c>
      <c r="D53" s="7" t="s">
        <v>765</v>
      </c>
      <c r="E53" s="7" t="s">
        <v>755</v>
      </c>
      <c r="F53" s="7" t="n">
        <v>6</v>
      </c>
      <c r="G53" s="7" t="n">
        <v>5.92</v>
      </c>
      <c r="H53" s="7" t="n">
        <v>3.58</v>
      </c>
      <c r="I53" s="7" t="n">
        <v>0</v>
      </c>
      <c r="J53" s="7" t="n">
        <v>14</v>
      </c>
      <c r="K53" s="7" t="n">
        <v>0</v>
      </c>
      <c r="L53" s="7" t="n">
        <v>0</v>
      </c>
      <c r="M53" s="7" t="n">
        <v>0</v>
      </c>
      <c r="N53" s="7" t="n">
        <v>0</v>
      </c>
      <c r="O53" s="7" t="n">
        <v>0</v>
      </c>
      <c r="P53" s="7" t="n">
        <v>0</v>
      </c>
      <c r="Q53" s="7" t="n">
        <v>0</v>
      </c>
      <c r="R53" s="7" t="n">
        <v>0</v>
      </c>
    </row>
    <row r="54" customFormat="false" ht="15" hidden="false" customHeight="true" outlineLevel="0" collapsed="false">
      <c r="A54" s="7" t="n">
        <v>574</v>
      </c>
      <c r="B54" s="7" t="s">
        <v>43</v>
      </c>
      <c r="C54" s="7" t="s">
        <v>747</v>
      </c>
      <c r="D54" s="7" t="s">
        <v>766</v>
      </c>
      <c r="E54" s="7" t="s">
        <v>755</v>
      </c>
      <c r="F54" s="7" t="n">
        <v>7</v>
      </c>
      <c r="G54" s="7" t="n">
        <v>6.21</v>
      </c>
      <c r="H54" s="7" t="n">
        <v>4.07</v>
      </c>
      <c r="I54" s="7" t="n">
        <v>0</v>
      </c>
      <c r="J54" s="7" t="n">
        <v>15</v>
      </c>
      <c r="K54" s="7" t="n">
        <v>0</v>
      </c>
      <c r="L54" s="7" t="n">
        <v>0</v>
      </c>
      <c r="M54" s="7" t="n">
        <v>0</v>
      </c>
      <c r="N54" s="7" t="n">
        <v>0</v>
      </c>
      <c r="O54" s="7" t="n">
        <v>0</v>
      </c>
      <c r="P54" s="7" t="n">
        <v>0</v>
      </c>
      <c r="Q54" s="7" t="n">
        <v>0</v>
      </c>
      <c r="R54" s="7" t="n">
        <v>0</v>
      </c>
    </row>
    <row r="55" customFormat="false" ht="15" hidden="false" customHeight="true" outlineLevel="0" collapsed="false">
      <c r="A55" s="7" t="n">
        <v>7169</v>
      </c>
      <c r="B55" s="7" t="s">
        <v>43</v>
      </c>
      <c r="C55" s="7" t="s">
        <v>747</v>
      </c>
      <c r="D55" s="7" t="s">
        <v>767</v>
      </c>
      <c r="E55" s="7" t="s">
        <v>113</v>
      </c>
      <c r="F55" s="7" t="n">
        <v>0</v>
      </c>
      <c r="G55" s="7" t="n">
        <v>0</v>
      </c>
      <c r="H55" s="7" t="n">
        <v>0</v>
      </c>
      <c r="I55" s="7" t="n">
        <v>0</v>
      </c>
      <c r="J55" s="7" t="n">
        <v>0</v>
      </c>
      <c r="K55" s="7" t="n">
        <v>0</v>
      </c>
      <c r="L55" s="7" t="n">
        <v>0</v>
      </c>
      <c r="M55" s="7" t="n">
        <v>0</v>
      </c>
      <c r="N55" s="7" t="n">
        <v>0</v>
      </c>
      <c r="O55" s="7" t="n">
        <v>0</v>
      </c>
      <c r="P55" s="7" t="n">
        <v>0</v>
      </c>
      <c r="Q55" s="7" t="n">
        <v>0</v>
      </c>
      <c r="R55" s="7" t="n">
        <v>0</v>
      </c>
    </row>
    <row r="56" customFormat="false" ht="15" hidden="false" customHeight="true" outlineLevel="0" collapsed="false">
      <c r="A56" s="7" t="n">
        <v>610</v>
      </c>
      <c r="B56" s="7" t="s">
        <v>43</v>
      </c>
      <c r="C56" s="7" t="s">
        <v>747</v>
      </c>
      <c r="D56" s="7" t="s">
        <v>180</v>
      </c>
      <c r="E56" s="7" t="s">
        <v>113</v>
      </c>
      <c r="F56" s="7" t="n">
        <v>0</v>
      </c>
      <c r="G56" s="7" t="n">
        <v>0</v>
      </c>
      <c r="H56" s="7" t="n">
        <v>0</v>
      </c>
      <c r="I56" s="7" t="n">
        <v>0</v>
      </c>
      <c r="J56" s="7" t="n">
        <v>0</v>
      </c>
      <c r="K56" s="7" t="n">
        <v>0</v>
      </c>
      <c r="L56" s="7" t="n">
        <v>0</v>
      </c>
      <c r="M56" s="7" t="n">
        <v>0</v>
      </c>
      <c r="N56" s="7" t="n">
        <v>0</v>
      </c>
      <c r="O56" s="7" t="n">
        <v>0</v>
      </c>
      <c r="P56" s="7" t="n">
        <v>0</v>
      </c>
      <c r="Q56" s="7" t="n">
        <v>0</v>
      </c>
      <c r="R56" s="7" t="n">
        <v>0</v>
      </c>
    </row>
    <row r="57" customFormat="false" ht="15" hidden="false" customHeight="true" outlineLevel="0" collapsed="false">
      <c r="A57" s="7" t="n">
        <v>4518</v>
      </c>
      <c r="B57" s="7" t="s">
        <v>43</v>
      </c>
      <c r="C57" s="7" t="s">
        <v>747</v>
      </c>
      <c r="D57" s="7" t="s">
        <v>181</v>
      </c>
      <c r="E57" s="7" t="s">
        <v>144</v>
      </c>
      <c r="F57" s="7" t="n">
        <v>0</v>
      </c>
      <c r="G57" s="7" t="n">
        <v>0</v>
      </c>
      <c r="H57" s="7" t="n">
        <v>0</v>
      </c>
      <c r="I57" s="7" t="n">
        <v>0</v>
      </c>
      <c r="J57" s="7" t="n">
        <v>0</v>
      </c>
      <c r="K57" s="7" t="n">
        <v>0</v>
      </c>
      <c r="L57" s="7" t="n">
        <v>0</v>
      </c>
      <c r="M57" s="7" t="n">
        <v>0</v>
      </c>
      <c r="N57" s="7" t="n">
        <v>0</v>
      </c>
      <c r="O57" s="7" t="n">
        <v>0</v>
      </c>
      <c r="P57" s="7" t="n">
        <v>0</v>
      </c>
      <c r="Q57" s="7" t="n">
        <v>0</v>
      </c>
      <c r="R57" s="7" t="n">
        <v>0</v>
      </c>
    </row>
    <row r="58" customFormat="false" ht="15" hidden="false" customHeight="true" outlineLevel="0" collapsed="false">
      <c r="A58" s="7" t="n">
        <v>2127</v>
      </c>
      <c r="B58" s="7" t="s">
        <v>43</v>
      </c>
      <c r="C58" s="7" t="s">
        <v>747</v>
      </c>
      <c r="D58" s="7" t="s">
        <v>768</v>
      </c>
      <c r="E58" s="7" t="s">
        <v>144</v>
      </c>
      <c r="F58" s="7" t="n">
        <v>0</v>
      </c>
      <c r="G58" s="7" t="n">
        <v>0</v>
      </c>
      <c r="H58" s="7" t="n">
        <v>0</v>
      </c>
      <c r="I58" s="7" t="n">
        <v>0</v>
      </c>
      <c r="J58" s="7" t="n">
        <v>0</v>
      </c>
      <c r="K58" s="7" t="n">
        <v>0</v>
      </c>
      <c r="L58" s="7" t="n">
        <v>0</v>
      </c>
      <c r="M58" s="7" t="n">
        <v>0</v>
      </c>
      <c r="N58" s="7" t="n">
        <v>0</v>
      </c>
      <c r="O58" s="7" t="n">
        <v>0</v>
      </c>
      <c r="P58" s="7" t="n">
        <v>0</v>
      </c>
      <c r="Q58" s="7" t="n">
        <v>0</v>
      </c>
      <c r="R58" s="7" t="n">
        <v>0</v>
      </c>
    </row>
    <row r="59" customFormat="false" ht="15" hidden="false" customHeight="true" outlineLevel="0" collapsed="false">
      <c r="A59" s="7" t="n">
        <v>216</v>
      </c>
      <c r="B59" s="7" t="s">
        <v>43</v>
      </c>
      <c r="C59" s="7" t="s">
        <v>747</v>
      </c>
      <c r="D59" s="7" t="s">
        <v>769</v>
      </c>
      <c r="E59" s="7" t="s">
        <v>184</v>
      </c>
      <c r="F59" s="7" t="n">
        <v>0</v>
      </c>
      <c r="G59" s="7" t="n">
        <v>0</v>
      </c>
      <c r="H59" s="7" t="n">
        <v>0</v>
      </c>
      <c r="I59" s="7" t="n">
        <v>0</v>
      </c>
      <c r="J59" s="7" t="n">
        <v>0</v>
      </c>
      <c r="K59" s="7" t="n">
        <v>0</v>
      </c>
      <c r="L59" s="7" t="n">
        <v>0</v>
      </c>
      <c r="M59" s="7" t="n">
        <v>0</v>
      </c>
      <c r="N59" s="7" t="n">
        <v>0</v>
      </c>
      <c r="O59" s="7" t="n">
        <v>0</v>
      </c>
      <c r="P59" s="7" t="n">
        <v>0</v>
      </c>
      <c r="Q59" s="7" t="n">
        <v>0</v>
      </c>
      <c r="R59" s="7" t="n">
        <v>0</v>
      </c>
    </row>
    <row r="60" customFormat="false" ht="15" hidden="false" customHeight="true" outlineLevel="0" collapsed="false">
      <c r="A60" s="7" t="n">
        <v>7179</v>
      </c>
      <c r="B60" s="7" t="s">
        <v>43</v>
      </c>
      <c r="C60" s="7" t="s">
        <v>747</v>
      </c>
      <c r="D60" s="7" t="s">
        <v>770</v>
      </c>
      <c r="E60" s="7" t="s">
        <v>184</v>
      </c>
      <c r="F60" s="7" t="n">
        <v>9</v>
      </c>
      <c r="G60" s="7" t="n">
        <v>5.89</v>
      </c>
      <c r="H60" s="7" t="n">
        <v>3.83</v>
      </c>
      <c r="I60" s="7" t="n">
        <v>0</v>
      </c>
      <c r="J60" s="7" t="n">
        <v>18</v>
      </c>
      <c r="K60" s="7" t="n">
        <v>0</v>
      </c>
      <c r="L60" s="7" t="n">
        <v>0</v>
      </c>
      <c r="M60" s="7" t="n">
        <v>0</v>
      </c>
      <c r="N60" s="7" t="n">
        <v>0</v>
      </c>
      <c r="O60" s="7" t="n">
        <v>0</v>
      </c>
      <c r="P60" s="7" t="n">
        <v>1</v>
      </c>
      <c r="Q60" s="7" t="n">
        <v>0</v>
      </c>
      <c r="R60" s="7" t="n">
        <v>0</v>
      </c>
    </row>
    <row r="61" customFormat="false" ht="15" hidden="false" customHeight="true" outlineLevel="0" collapsed="false">
      <c r="A61" s="7" t="n">
        <v>6210</v>
      </c>
      <c r="B61" s="7" t="s">
        <v>43</v>
      </c>
      <c r="C61" s="7" t="s">
        <v>747</v>
      </c>
      <c r="D61" s="7" t="s">
        <v>771</v>
      </c>
      <c r="E61" s="7" t="s">
        <v>184</v>
      </c>
      <c r="F61" s="7" t="n">
        <v>0</v>
      </c>
      <c r="G61" s="7" t="n">
        <v>0</v>
      </c>
      <c r="H61" s="7" t="n">
        <v>0</v>
      </c>
      <c r="I61" s="7" t="n">
        <v>0</v>
      </c>
      <c r="J61" s="7" t="n">
        <v>0</v>
      </c>
      <c r="K61" s="7" t="n">
        <v>0</v>
      </c>
      <c r="L61" s="7" t="n">
        <v>0</v>
      </c>
      <c r="M61" s="7" t="n">
        <v>0</v>
      </c>
      <c r="N61" s="7" t="n">
        <v>0</v>
      </c>
      <c r="O61" s="7" t="n">
        <v>0</v>
      </c>
      <c r="P61" s="7" t="n">
        <v>0</v>
      </c>
      <c r="Q61" s="7" t="n">
        <v>0</v>
      </c>
      <c r="R61" s="7" t="n">
        <v>0</v>
      </c>
    </row>
    <row r="62" customFormat="false" ht="15" hidden="false" customHeight="true" outlineLevel="0" collapsed="false">
      <c r="A62" s="7" t="n">
        <v>543</v>
      </c>
      <c r="B62" s="7" t="s">
        <v>43</v>
      </c>
      <c r="C62" s="7" t="s">
        <v>747</v>
      </c>
      <c r="D62" s="7" t="s">
        <v>187</v>
      </c>
      <c r="E62" s="7" t="s">
        <v>135</v>
      </c>
      <c r="F62" s="7" t="n">
        <v>2</v>
      </c>
      <c r="G62" s="7" t="n">
        <v>6.25</v>
      </c>
      <c r="H62" s="7" t="n">
        <v>5.25</v>
      </c>
      <c r="I62" s="7" t="n">
        <v>0</v>
      </c>
      <c r="J62" s="7" t="n">
        <v>2</v>
      </c>
      <c r="K62" s="7" t="n">
        <v>0</v>
      </c>
      <c r="L62" s="7" t="n">
        <v>0</v>
      </c>
      <c r="M62" s="7" t="n">
        <v>0</v>
      </c>
      <c r="N62" s="7" t="n">
        <v>0</v>
      </c>
      <c r="O62" s="7" t="n">
        <v>0</v>
      </c>
      <c r="P62" s="7" t="n">
        <v>0</v>
      </c>
      <c r="Q62" s="7" t="n">
        <v>0</v>
      </c>
      <c r="R62" s="7" t="n">
        <v>0</v>
      </c>
    </row>
    <row r="63" customFormat="false" ht="15" hidden="false" customHeight="true" outlineLevel="0" collapsed="false">
      <c r="A63" s="7" t="n">
        <v>6842</v>
      </c>
      <c r="B63" s="7" t="s">
        <v>43</v>
      </c>
      <c r="C63" s="7" t="s">
        <v>747</v>
      </c>
      <c r="D63" s="7" t="s">
        <v>772</v>
      </c>
      <c r="E63" s="7" t="s">
        <v>135</v>
      </c>
      <c r="F63" s="7" t="n">
        <v>7</v>
      </c>
      <c r="G63" s="7" t="n">
        <v>5.57</v>
      </c>
      <c r="H63" s="7" t="n">
        <v>3.5</v>
      </c>
      <c r="I63" s="7" t="n">
        <v>0</v>
      </c>
      <c r="J63" s="7" t="n">
        <v>14</v>
      </c>
      <c r="K63" s="7" t="n">
        <v>0</v>
      </c>
      <c r="L63" s="7" t="n">
        <v>0</v>
      </c>
      <c r="M63" s="7" t="n">
        <v>0</v>
      </c>
      <c r="N63" s="7" t="n">
        <v>0</v>
      </c>
      <c r="O63" s="7" t="n">
        <v>0</v>
      </c>
      <c r="P63" s="7" t="n">
        <v>1</v>
      </c>
      <c r="Q63" s="7" t="n">
        <v>0</v>
      </c>
      <c r="R63" s="7" t="n">
        <v>0</v>
      </c>
    </row>
    <row r="64" customFormat="false" ht="15" hidden="false" customHeight="true" outlineLevel="0" collapsed="false">
      <c r="A64" s="7" t="n">
        <v>511</v>
      </c>
      <c r="B64" s="7" t="s">
        <v>43</v>
      </c>
      <c r="C64" s="7" t="s">
        <v>747</v>
      </c>
      <c r="D64" s="7" t="s">
        <v>773</v>
      </c>
      <c r="E64" s="7" t="s">
        <v>752</v>
      </c>
      <c r="F64" s="7" t="n">
        <v>3</v>
      </c>
      <c r="G64" s="7" t="n">
        <v>6.17</v>
      </c>
      <c r="H64" s="7" t="n">
        <v>3.83</v>
      </c>
      <c r="I64" s="7" t="n">
        <v>0</v>
      </c>
      <c r="J64" s="7" t="n">
        <v>7</v>
      </c>
      <c r="K64" s="7" t="n">
        <v>0</v>
      </c>
      <c r="L64" s="7" t="n">
        <v>0</v>
      </c>
      <c r="M64" s="7" t="n">
        <v>0</v>
      </c>
      <c r="N64" s="7" t="n">
        <v>0</v>
      </c>
      <c r="O64" s="7" t="n">
        <v>0</v>
      </c>
      <c r="P64" s="7" t="n">
        <v>0</v>
      </c>
      <c r="Q64" s="7" t="n">
        <v>0</v>
      </c>
      <c r="R64" s="7" t="n">
        <v>0</v>
      </c>
    </row>
    <row r="65" customFormat="false" ht="15" hidden="false" customHeight="true" outlineLevel="0" collapsed="false">
      <c r="A65" s="7" t="n">
        <v>6125</v>
      </c>
      <c r="B65" s="7" t="s">
        <v>43</v>
      </c>
      <c r="C65" s="7" t="s">
        <v>747</v>
      </c>
      <c r="D65" s="7" t="s">
        <v>774</v>
      </c>
      <c r="E65" s="7" t="s">
        <v>113</v>
      </c>
      <c r="F65" s="7" t="n">
        <v>0</v>
      </c>
      <c r="G65" s="7" t="n">
        <v>0</v>
      </c>
      <c r="H65" s="7" t="n">
        <v>0</v>
      </c>
      <c r="I65" s="7" t="n">
        <v>0</v>
      </c>
      <c r="J65" s="7" t="n">
        <v>0</v>
      </c>
      <c r="K65" s="7" t="n">
        <v>0</v>
      </c>
      <c r="L65" s="7" t="n">
        <v>0</v>
      </c>
      <c r="M65" s="7" t="n">
        <v>0</v>
      </c>
      <c r="N65" s="7" t="n">
        <v>0</v>
      </c>
      <c r="O65" s="7" t="n">
        <v>0</v>
      </c>
      <c r="P65" s="7" t="n">
        <v>0</v>
      </c>
      <c r="Q65" s="7" t="n">
        <v>0</v>
      </c>
      <c r="R65" s="7" t="n">
        <v>0</v>
      </c>
    </row>
    <row r="66" customFormat="false" ht="15" hidden="false" customHeight="true" outlineLevel="0" collapsed="false">
      <c r="A66" s="7" t="n">
        <v>7185</v>
      </c>
      <c r="B66" s="7" t="s">
        <v>43</v>
      </c>
      <c r="C66" s="7" t="s">
        <v>747</v>
      </c>
      <c r="D66" s="7" t="s">
        <v>775</v>
      </c>
      <c r="E66" s="7" t="s">
        <v>135</v>
      </c>
      <c r="F66" s="7" t="n">
        <v>0</v>
      </c>
      <c r="G66" s="7" t="n">
        <v>0</v>
      </c>
      <c r="H66" s="7" t="n">
        <v>0</v>
      </c>
      <c r="I66" s="7" t="n">
        <v>0</v>
      </c>
      <c r="J66" s="7" t="n">
        <v>0</v>
      </c>
      <c r="K66" s="7" t="n">
        <v>0</v>
      </c>
      <c r="L66" s="7" t="n">
        <v>0</v>
      </c>
      <c r="M66" s="7" t="n">
        <v>0</v>
      </c>
      <c r="N66" s="7" t="n">
        <v>0</v>
      </c>
      <c r="O66" s="7" t="n">
        <v>0</v>
      </c>
      <c r="P66" s="7" t="n">
        <v>0</v>
      </c>
      <c r="Q66" s="7" t="n">
        <v>0</v>
      </c>
      <c r="R66" s="7" t="n">
        <v>0</v>
      </c>
    </row>
    <row r="67" customFormat="false" ht="15" hidden="false" customHeight="true" outlineLevel="0" collapsed="false">
      <c r="A67" s="7" t="n">
        <v>158</v>
      </c>
      <c r="B67" s="7" t="s">
        <v>43</v>
      </c>
      <c r="C67" s="7" t="s">
        <v>747</v>
      </c>
      <c r="D67" s="7" t="s">
        <v>164</v>
      </c>
      <c r="E67" s="7" t="s">
        <v>123</v>
      </c>
      <c r="F67" s="7" t="n">
        <v>0</v>
      </c>
      <c r="G67" s="7" t="n">
        <v>0</v>
      </c>
      <c r="H67" s="7" t="n">
        <v>0</v>
      </c>
      <c r="I67" s="7" t="n">
        <v>0</v>
      </c>
      <c r="J67" s="7" t="n">
        <v>0</v>
      </c>
      <c r="K67" s="7" t="n">
        <v>0</v>
      </c>
      <c r="L67" s="7" t="n">
        <v>0</v>
      </c>
      <c r="M67" s="7" t="n">
        <v>0</v>
      </c>
      <c r="N67" s="7" t="n">
        <v>0</v>
      </c>
      <c r="O67" s="7" t="n">
        <v>0</v>
      </c>
      <c r="P67" s="7" t="n">
        <v>0</v>
      </c>
      <c r="Q67" s="7" t="n">
        <v>0</v>
      </c>
      <c r="R67" s="7" t="n">
        <v>0</v>
      </c>
    </row>
    <row r="68" customFormat="false" ht="15" hidden="false" customHeight="true" outlineLevel="0" collapsed="false">
      <c r="A68" s="7" t="n">
        <v>2211</v>
      </c>
      <c r="B68" s="7" t="s">
        <v>43</v>
      </c>
      <c r="C68" s="7" t="s">
        <v>747</v>
      </c>
      <c r="D68" s="7" t="s">
        <v>776</v>
      </c>
      <c r="E68" s="7" t="s">
        <v>750</v>
      </c>
      <c r="F68" s="7" t="n">
        <v>4</v>
      </c>
      <c r="G68" s="7" t="n">
        <v>6.38</v>
      </c>
      <c r="H68" s="7" t="n">
        <v>4.62</v>
      </c>
      <c r="I68" s="7" t="n">
        <v>0</v>
      </c>
      <c r="J68" s="7" t="n">
        <v>7</v>
      </c>
      <c r="K68" s="7" t="n">
        <v>0</v>
      </c>
      <c r="L68" s="7" t="n">
        <v>0</v>
      </c>
      <c r="M68" s="7" t="n">
        <v>0</v>
      </c>
      <c r="N68" s="7" t="n">
        <v>0</v>
      </c>
      <c r="O68" s="7" t="n">
        <v>0</v>
      </c>
      <c r="P68" s="7" t="n">
        <v>0</v>
      </c>
      <c r="Q68" s="7" t="n">
        <v>0</v>
      </c>
      <c r="R68" s="7" t="n">
        <v>0</v>
      </c>
    </row>
    <row r="69" customFormat="false" ht="15" hidden="false" customHeight="true" outlineLevel="0" collapsed="false">
      <c r="A69" s="7" t="n">
        <v>7236</v>
      </c>
      <c r="B69" s="7" t="s">
        <v>43</v>
      </c>
      <c r="C69" s="7" t="s">
        <v>747</v>
      </c>
      <c r="D69" s="7" t="s">
        <v>777</v>
      </c>
      <c r="E69" s="7" t="s">
        <v>752</v>
      </c>
      <c r="F69" s="7" t="n">
        <v>0</v>
      </c>
      <c r="G69" s="7" t="n">
        <v>0</v>
      </c>
      <c r="H69" s="7" t="n">
        <v>0</v>
      </c>
      <c r="I69" s="7" t="n">
        <v>0</v>
      </c>
      <c r="J69" s="7" t="n">
        <v>0</v>
      </c>
      <c r="K69" s="7" t="n">
        <v>0</v>
      </c>
      <c r="L69" s="7" t="n">
        <v>0</v>
      </c>
      <c r="M69" s="7" t="n">
        <v>0</v>
      </c>
      <c r="N69" s="7" t="n">
        <v>0</v>
      </c>
      <c r="O69" s="7" t="n">
        <v>0</v>
      </c>
      <c r="P69" s="7" t="n">
        <v>0</v>
      </c>
      <c r="Q69" s="7" t="n">
        <v>0</v>
      </c>
      <c r="R69" s="7" t="n">
        <v>0</v>
      </c>
    </row>
    <row r="70" customFormat="false" ht="15" hidden="false" customHeight="true" outlineLevel="0" collapsed="false">
      <c r="A70" s="7" t="n">
        <v>7261</v>
      </c>
      <c r="B70" s="7" t="s">
        <v>43</v>
      </c>
      <c r="C70" s="7" t="s">
        <v>747</v>
      </c>
      <c r="D70" s="7" t="s">
        <v>778</v>
      </c>
      <c r="E70" s="7" t="s">
        <v>119</v>
      </c>
      <c r="F70" s="7" t="n">
        <v>0</v>
      </c>
      <c r="G70" s="7" t="n">
        <v>0</v>
      </c>
      <c r="H70" s="7" t="n">
        <v>0</v>
      </c>
      <c r="I70" s="7" t="n">
        <v>0</v>
      </c>
      <c r="J70" s="7" t="n">
        <v>0</v>
      </c>
      <c r="K70" s="7" t="n">
        <v>0</v>
      </c>
      <c r="L70" s="7" t="n">
        <v>0</v>
      </c>
      <c r="M70" s="7" t="n">
        <v>0</v>
      </c>
      <c r="N70" s="7" t="n">
        <v>0</v>
      </c>
      <c r="O70" s="7" t="n">
        <v>0</v>
      </c>
      <c r="P70" s="7" t="n">
        <v>0</v>
      </c>
      <c r="Q70" s="7" t="n">
        <v>0</v>
      </c>
      <c r="R70" s="7" t="n">
        <v>0</v>
      </c>
    </row>
    <row r="71" customFormat="false" ht="15" hidden="false" customHeight="true" outlineLevel="0" collapsed="false">
      <c r="A71" s="7" t="n">
        <v>7285</v>
      </c>
      <c r="B71" s="7" t="s">
        <v>43</v>
      </c>
      <c r="C71" s="7" t="s">
        <v>747</v>
      </c>
      <c r="D71" s="7" t="s">
        <v>779</v>
      </c>
      <c r="E71" s="7" t="s">
        <v>125</v>
      </c>
      <c r="F71" s="7" t="n">
        <v>0</v>
      </c>
      <c r="G71" s="7" t="n">
        <v>0</v>
      </c>
      <c r="H71" s="7" t="n">
        <v>0</v>
      </c>
      <c r="I71" s="7" t="n">
        <v>0</v>
      </c>
      <c r="J71" s="7" t="n">
        <v>0</v>
      </c>
      <c r="K71" s="7" t="n">
        <v>0</v>
      </c>
      <c r="L71" s="7" t="n">
        <v>0</v>
      </c>
      <c r="M71" s="7" t="n">
        <v>0</v>
      </c>
      <c r="N71" s="7" t="n">
        <v>0</v>
      </c>
      <c r="O71" s="7" t="n">
        <v>0</v>
      </c>
      <c r="P71" s="7" t="n">
        <v>0</v>
      </c>
      <c r="Q71" s="7" t="n">
        <v>0</v>
      </c>
      <c r="R71" s="7" t="n">
        <v>0</v>
      </c>
    </row>
    <row r="72" customFormat="false" ht="15" hidden="false" customHeight="true" outlineLevel="0" collapsed="false">
      <c r="A72" s="7" t="n">
        <v>7042</v>
      </c>
      <c r="B72" s="7" t="s">
        <v>43</v>
      </c>
      <c r="C72" s="7" t="s">
        <v>747</v>
      </c>
      <c r="D72" s="7" t="s">
        <v>780</v>
      </c>
      <c r="E72" s="7" t="s">
        <v>115</v>
      </c>
      <c r="F72" s="7" t="n">
        <v>0</v>
      </c>
      <c r="G72" s="7" t="n">
        <v>0</v>
      </c>
      <c r="H72" s="7" t="n">
        <v>0</v>
      </c>
      <c r="I72" s="7" t="n">
        <v>0</v>
      </c>
      <c r="J72" s="7" t="n">
        <v>0</v>
      </c>
      <c r="K72" s="7" t="n">
        <v>0</v>
      </c>
      <c r="L72" s="7" t="n">
        <v>0</v>
      </c>
      <c r="M72" s="7" t="n">
        <v>0</v>
      </c>
      <c r="N72" s="7" t="n">
        <v>0</v>
      </c>
      <c r="O72" s="7" t="n">
        <v>0</v>
      </c>
      <c r="P72" s="7" t="n">
        <v>0</v>
      </c>
      <c r="Q72" s="7" t="n">
        <v>0</v>
      </c>
      <c r="R72" s="7" t="n">
        <v>0</v>
      </c>
    </row>
    <row r="73" customFormat="false" ht="15" hidden="false" customHeight="true" outlineLevel="0" collapsed="false">
      <c r="A73" s="7" t="n">
        <v>7301</v>
      </c>
      <c r="B73" s="7" t="s">
        <v>43</v>
      </c>
      <c r="C73" s="7" t="s">
        <v>747</v>
      </c>
      <c r="D73" s="7" t="s">
        <v>161</v>
      </c>
      <c r="E73" s="7" t="s">
        <v>119</v>
      </c>
      <c r="F73" s="7" t="n">
        <v>0</v>
      </c>
      <c r="G73" s="7" t="n">
        <v>0</v>
      </c>
      <c r="H73" s="7" t="n">
        <v>0</v>
      </c>
      <c r="I73" s="7" t="n">
        <v>0</v>
      </c>
      <c r="J73" s="7" t="n">
        <v>0</v>
      </c>
      <c r="K73" s="7" t="n">
        <v>0</v>
      </c>
      <c r="L73" s="7" t="n">
        <v>0</v>
      </c>
      <c r="M73" s="7" t="n">
        <v>0</v>
      </c>
      <c r="N73" s="7" t="n">
        <v>0</v>
      </c>
      <c r="O73" s="7" t="n">
        <v>0</v>
      </c>
      <c r="P73" s="7" t="n">
        <v>0</v>
      </c>
      <c r="Q73" s="7" t="n">
        <v>0</v>
      </c>
      <c r="R73" s="7" t="n">
        <v>0</v>
      </c>
    </row>
    <row r="74" customFormat="false" ht="15" hidden="false" customHeight="true" outlineLevel="0" collapsed="false">
      <c r="A74" s="7" t="n">
        <v>6650</v>
      </c>
      <c r="B74" s="7" t="s">
        <v>43</v>
      </c>
      <c r="C74" s="7" t="s">
        <v>747</v>
      </c>
      <c r="D74" s="7" t="s">
        <v>160</v>
      </c>
      <c r="E74" s="7" t="s">
        <v>129</v>
      </c>
      <c r="F74" s="7" t="n">
        <v>0</v>
      </c>
      <c r="G74" s="7" t="n">
        <v>0</v>
      </c>
      <c r="H74" s="7" t="n">
        <v>0</v>
      </c>
      <c r="I74" s="7" t="n">
        <v>0</v>
      </c>
      <c r="J74" s="7" t="n">
        <v>0</v>
      </c>
      <c r="K74" s="7" t="n">
        <v>0</v>
      </c>
      <c r="L74" s="7" t="n">
        <v>0</v>
      </c>
      <c r="M74" s="7" t="n">
        <v>0</v>
      </c>
      <c r="N74" s="7" t="n">
        <v>0</v>
      </c>
      <c r="O74" s="7" t="n">
        <v>0</v>
      </c>
      <c r="P74" s="7" t="n">
        <v>0</v>
      </c>
      <c r="Q74" s="7" t="n">
        <v>0</v>
      </c>
      <c r="R74" s="7" t="n">
        <v>0</v>
      </c>
    </row>
    <row r="75" customFormat="false" ht="15" hidden="false" customHeight="true" outlineLevel="0" collapsed="false">
      <c r="A75" s="7" t="n">
        <v>7363</v>
      </c>
      <c r="B75" s="7" t="s">
        <v>43</v>
      </c>
      <c r="C75" s="7" t="s">
        <v>747</v>
      </c>
      <c r="D75" s="7" t="s">
        <v>186</v>
      </c>
      <c r="E75" s="7" t="s">
        <v>184</v>
      </c>
      <c r="F75" s="7" t="n">
        <v>0</v>
      </c>
      <c r="G75" s="7" t="n">
        <v>0</v>
      </c>
      <c r="H75" s="7" t="n">
        <v>0</v>
      </c>
      <c r="I75" s="7" t="n">
        <v>0</v>
      </c>
      <c r="J75" s="7" t="n">
        <v>0</v>
      </c>
      <c r="K75" s="7" t="n">
        <v>0</v>
      </c>
      <c r="L75" s="7" t="n">
        <v>0</v>
      </c>
      <c r="M75" s="7" t="n">
        <v>0</v>
      </c>
      <c r="N75" s="7" t="n">
        <v>0</v>
      </c>
      <c r="O75" s="7" t="n">
        <v>0</v>
      </c>
      <c r="P75" s="7" t="n">
        <v>0</v>
      </c>
      <c r="Q75" s="7" t="n">
        <v>0</v>
      </c>
      <c r="R75" s="7" t="n">
        <v>0</v>
      </c>
    </row>
    <row r="76" customFormat="false" ht="15" hidden="false" customHeight="true" outlineLevel="0" collapsed="false">
      <c r="A76" s="7" t="n">
        <v>7382</v>
      </c>
      <c r="B76" s="7" t="s">
        <v>43</v>
      </c>
      <c r="C76" s="7" t="s">
        <v>747</v>
      </c>
      <c r="D76" s="7" t="s">
        <v>781</v>
      </c>
      <c r="E76" s="7" t="s">
        <v>133</v>
      </c>
      <c r="F76" s="7" t="n">
        <v>0</v>
      </c>
      <c r="G76" s="7" t="n">
        <v>0</v>
      </c>
      <c r="H76" s="7" t="n">
        <v>0</v>
      </c>
      <c r="I76" s="7" t="n">
        <v>0</v>
      </c>
      <c r="J76" s="7" t="n">
        <v>0</v>
      </c>
      <c r="K76" s="7" t="n">
        <v>0</v>
      </c>
      <c r="L76" s="7" t="n">
        <v>0</v>
      </c>
      <c r="M76" s="7" t="n">
        <v>0</v>
      </c>
      <c r="N76" s="7" t="n">
        <v>0</v>
      </c>
      <c r="O76" s="7" t="n">
        <v>0</v>
      </c>
      <c r="P76" s="7" t="n">
        <v>0</v>
      </c>
      <c r="Q76" s="7" t="n">
        <v>0</v>
      </c>
      <c r="R76" s="7" t="n">
        <v>0</v>
      </c>
    </row>
    <row r="77" customFormat="false" ht="15" hidden="false" customHeight="true" outlineLevel="0" collapsed="false">
      <c r="A77" s="7" t="n">
        <v>7383</v>
      </c>
      <c r="B77" s="7" t="s">
        <v>43</v>
      </c>
      <c r="C77" s="7" t="s">
        <v>747</v>
      </c>
      <c r="D77" s="7" t="s">
        <v>782</v>
      </c>
      <c r="E77" s="7" t="s">
        <v>133</v>
      </c>
      <c r="F77" s="7" t="n">
        <v>0</v>
      </c>
      <c r="G77" s="7" t="n">
        <v>0</v>
      </c>
      <c r="H77" s="7" t="n">
        <v>0</v>
      </c>
      <c r="I77" s="7" t="n">
        <v>0</v>
      </c>
      <c r="J77" s="7" t="n">
        <v>0</v>
      </c>
      <c r="K77" s="7" t="n">
        <v>0</v>
      </c>
      <c r="L77" s="7" t="n">
        <v>0</v>
      </c>
      <c r="M77" s="7" t="n">
        <v>0</v>
      </c>
      <c r="N77" s="7" t="n">
        <v>0</v>
      </c>
      <c r="O77" s="7" t="n">
        <v>0</v>
      </c>
      <c r="P77" s="7" t="n">
        <v>0</v>
      </c>
      <c r="Q77" s="7" t="n">
        <v>0</v>
      </c>
      <c r="R77" s="7" t="n">
        <v>0</v>
      </c>
    </row>
    <row r="78" customFormat="false" ht="15" hidden="false" customHeight="true" outlineLevel="0" collapsed="false">
      <c r="A78" s="7" t="n">
        <v>254</v>
      </c>
      <c r="B78" s="7" t="s">
        <v>44</v>
      </c>
      <c r="C78" s="7" t="s">
        <v>783</v>
      </c>
      <c r="D78" s="7" t="s">
        <v>191</v>
      </c>
      <c r="E78" s="7" t="s">
        <v>115</v>
      </c>
      <c r="F78" s="7" t="n">
        <v>35</v>
      </c>
      <c r="G78" s="7" t="n">
        <v>6.6</v>
      </c>
      <c r="H78" s="7" t="n">
        <v>7.64</v>
      </c>
      <c r="I78" s="7" t="n">
        <v>7</v>
      </c>
      <c r="J78" s="7" t="n">
        <v>0</v>
      </c>
      <c r="K78" s="7" t="n">
        <v>0</v>
      </c>
      <c r="L78" s="7" t="n">
        <v>0</v>
      </c>
      <c r="M78" s="7" t="n">
        <v>0</v>
      </c>
      <c r="N78" s="7" t="n">
        <v>0</v>
      </c>
      <c r="O78" s="7" t="n">
        <v>17</v>
      </c>
      <c r="P78" s="7" t="n">
        <v>3</v>
      </c>
      <c r="Q78" s="7" t="n">
        <v>0</v>
      </c>
      <c r="R78" s="7" t="n">
        <v>0</v>
      </c>
    </row>
    <row r="79" customFormat="false" ht="15" hidden="false" customHeight="true" outlineLevel="0" collapsed="false">
      <c r="A79" s="7" t="n">
        <v>2788</v>
      </c>
      <c r="B79" s="7" t="s">
        <v>44</v>
      </c>
      <c r="C79" s="7" t="s">
        <v>784</v>
      </c>
      <c r="D79" s="7" t="s">
        <v>194</v>
      </c>
      <c r="E79" s="7" t="s">
        <v>131</v>
      </c>
      <c r="F79" s="7" t="n">
        <v>26</v>
      </c>
      <c r="G79" s="7" t="n">
        <v>6.33</v>
      </c>
      <c r="H79" s="7" t="n">
        <v>6.81</v>
      </c>
      <c r="I79" s="7" t="n">
        <v>4</v>
      </c>
      <c r="J79" s="7" t="n">
        <v>0</v>
      </c>
      <c r="K79" s="7" t="n">
        <v>0</v>
      </c>
      <c r="L79" s="7" t="n">
        <v>0</v>
      </c>
      <c r="M79" s="7" t="n">
        <v>0</v>
      </c>
      <c r="N79" s="7" t="n">
        <v>0</v>
      </c>
      <c r="O79" s="7" t="n">
        <v>3</v>
      </c>
      <c r="P79" s="7" t="n">
        <v>5</v>
      </c>
      <c r="Q79" s="7" t="n">
        <v>0</v>
      </c>
      <c r="R79" s="7" t="n">
        <v>0</v>
      </c>
    </row>
    <row r="80" customFormat="false" ht="15" hidden="false" customHeight="true" outlineLevel="0" collapsed="false">
      <c r="A80" s="7" t="n">
        <v>5022</v>
      </c>
      <c r="B80" s="7" t="s">
        <v>44</v>
      </c>
      <c r="C80" s="7" t="s">
        <v>784</v>
      </c>
      <c r="D80" s="7" t="s">
        <v>197</v>
      </c>
      <c r="E80" s="7" t="s">
        <v>121</v>
      </c>
      <c r="F80" s="7" t="n">
        <v>34</v>
      </c>
      <c r="G80" s="7" t="n">
        <v>6.24</v>
      </c>
      <c r="H80" s="7" t="n">
        <v>6.62</v>
      </c>
      <c r="I80" s="7" t="n">
        <v>5</v>
      </c>
      <c r="J80" s="7" t="n">
        <v>0</v>
      </c>
      <c r="K80" s="7" t="n">
        <v>0</v>
      </c>
      <c r="L80" s="7" t="n">
        <v>0</v>
      </c>
      <c r="M80" s="7" t="n">
        <v>0</v>
      </c>
      <c r="N80" s="7" t="n">
        <v>0</v>
      </c>
      <c r="O80" s="7" t="n">
        <v>0</v>
      </c>
      <c r="P80" s="7" t="n">
        <v>4</v>
      </c>
      <c r="Q80" s="7" t="n">
        <v>0</v>
      </c>
      <c r="R80" s="7" t="n">
        <v>0</v>
      </c>
    </row>
    <row r="81" customFormat="false" ht="15" hidden="false" customHeight="true" outlineLevel="0" collapsed="false">
      <c r="A81" s="7" t="n">
        <v>6832</v>
      </c>
      <c r="B81" s="7" t="s">
        <v>44</v>
      </c>
      <c r="C81" s="7" t="s">
        <v>783</v>
      </c>
      <c r="D81" s="7" t="s">
        <v>785</v>
      </c>
      <c r="E81" s="7" t="s">
        <v>129</v>
      </c>
      <c r="F81" s="7" t="n">
        <v>37</v>
      </c>
      <c r="G81" s="7" t="n">
        <v>6.27</v>
      </c>
      <c r="H81" s="7" t="n">
        <v>6.42</v>
      </c>
      <c r="I81" s="7" t="n">
        <v>1</v>
      </c>
      <c r="J81" s="7" t="n">
        <v>0</v>
      </c>
      <c r="K81" s="7" t="n">
        <v>0</v>
      </c>
      <c r="L81" s="7" t="n">
        <v>0</v>
      </c>
      <c r="M81" s="7" t="n">
        <v>0</v>
      </c>
      <c r="N81" s="7" t="n">
        <v>0</v>
      </c>
      <c r="O81" s="7" t="n">
        <v>4</v>
      </c>
      <c r="P81" s="7" t="n">
        <v>3</v>
      </c>
      <c r="Q81" s="7" t="n">
        <v>0</v>
      </c>
      <c r="R81" s="7" t="n">
        <v>0</v>
      </c>
    </row>
    <row r="82" customFormat="false" ht="15" hidden="false" customHeight="true" outlineLevel="0" collapsed="false">
      <c r="A82" s="7" t="n">
        <v>6893</v>
      </c>
      <c r="B82" s="7" t="s">
        <v>44</v>
      </c>
      <c r="C82" s="7" t="s">
        <v>784</v>
      </c>
      <c r="D82" s="7" t="s">
        <v>267</v>
      </c>
      <c r="E82" s="7" t="s">
        <v>119</v>
      </c>
      <c r="F82" s="7" t="n">
        <v>29</v>
      </c>
      <c r="G82" s="7" t="n">
        <v>6.12</v>
      </c>
      <c r="H82" s="7" t="n">
        <v>6.52</v>
      </c>
      <c r="I82" s="7" t="n">
        <v>4</v>
      </c>
      <c r="J82" s="7" t="n">
        <v>0</v>
      </c>
      <c r="K82" s="7" t="n">
        <v>0</v>
      </c>
      <c r="L82" s="7" t="n">
        <v>0</v>
      </c>
      <c r="M82" s="7" t="n">
        <v>0</v>
      </c>
      <c r="N82" s="7" t="n">
        <v>0</v>
      </c>
      <c r="O82" s="7" t="n">
        <v>1</v>
      </c>
      <c r="P82" s="7" t="n">
        <v>3</v>
      </c>
      <c r="Q82" s="7" t="n">
        <v>0</v>
      </c>
      <c r="R82" s="7" t="n">
        <v>0</v>
      </c>
    </row>
    <row r="83" customFormat="false" ht="15" hidden="false" customHeight="true" outlineLevel="0" collapsed="false">
      <c r="A83" s="7" t="n">
        <v>1852</v>
      </c>
      <c r="B83" s="7" t="s">
        <v>44</v>
      </c>
      <c r="C83" s="7" t="s">
        <v>786</v>
      </c>
      <c r="D83" s="7" t="s">
        <v>223</v>
      </c>
      <c r="E83" s="7" t="s">
        <v>125</v>
      </c>
      <c r="F83" s="7" t="n">
        <v>30</v>
      </c>
      <c r="G83" s="7" t="n">
        <v>6.17</v>
      </c>
      <c r="H83" s="7" t="n">
        <v>6.55</v>
      </c>
      <c r="I83" s="7" t="n">
        <v>3</v>
      </c>
      <c r="J83" s="7" t="n">
        <v>0</v>
      </c>
      <c r="K83" s="7" t="n">
        <v>0</v>
      </c>
      <c r="L83" s="7" t="n">
        <v>0</v>
      </c>
      <c r="M83" s="7" t="n">
        <v>0</v>
      </c>
      <c r="N83" s="7" t="n">
        <v>0</v>
      </c>
      <c r="O83" s="7" t="n">
        <v>3</v>
      </c>
      <c r="P83" s="7" t="n">
        <v>1</v>
      </c>
      <c r="Q83" s="7" t="n">
        <v>0</v>
      </c>
      <c r="R83" s="7" t="n">
        <v>0</v>
      </c>
    </row>
    <row r="84" customFormat="false" ht="15" hidden="false" customHeight="true" outlineLevel="0" collapsed="false">
      <c r="A84" s="7" t="n">
        <v>5526</v>
      </c>
      <c r="B84" s="7" t="s">
        <v>44</v>
      </c>
      <c r="C84" s="7" t="s">
        <v>784</v>
      </c>
      <c r="D84" s="7" t="s">
        <v>207</v>
      </c>
      <c r="E84" s="7" t="s">
        <v>117</v>
      </c>
      <c r="F84" s="7" t="n">
        <v>24</v>
      </c>
      <c r="G84" s="7" t="n">
        <v>6.06</v>
      </c>
      <c r="H84" s="7" t="n">
        <v>6.44</v>
      </c>
      <c r="I84" s="7" t="n">
        <v>3</v>
      </c>
      <c r="J84" s="7" t="n">
        <v>0</v>
      </c>
      <c r="K84" s="7" t="n">
        <v>0</v>
      </c>
      <c r="L84" s="7" t="n">
        <v>0</v>
      </c>
      <c r="M84" s="7" t="n">
        <v>0</v>
      </c>
      <c r="N84" s="7" t="n">
        <v>0</v>
      </c>
      <c r="O84" s="7" t="n">
        <v>1</v>
      </c>
      <c r="P84" s="7" t="n">
        <v>2</v>
      </c>
      <c r="Q84" s="7" t="n">
        <v>0</v>
      </c>
      <c r="R84" s="7" t="n">
        <v>0</v>
      </c>
    </row>
    <row r="85" customFormat="false" ht="15" hidden="false" customHeight="true" outlineLevel="0" collapsed="false">
      <c r="A85" s="7" t="n">
        <v>6217</v>
      </c>
      <c r="B85" s="7" t="s">
        <v>44</v>
      </c>
      <c r="C85" s="7" t="s">
        <v>784</v>
      </c>
      <c r="D85" s="7" t="s">
        <v>206</v>
      </c>
      <c r="E85" s="7" t="s">
        <v>115</v>
      </c>
      <c r="F85" s="7" t="n">
        <v>23</v>
      </c>
      <c r="G85" s="7" t="n">
        <v>6.22</v>
      </c>
      <c r="H85" s="7" t="n">
        <v>6.65</v>
      </c>
      <c r="I85" s="7" t="n">
        <v>3</v>
      </c>
      <c r="J85" s="7" t="n">
        <v>0</v>
      </c>
      <c r="K85" s="7" t="n">
        <v>0</v>
      </c>
      <c r="L85" s="7" t="n">
        <v>0</v>
      </c>
      <c r="M85" s="7" t="n">
        <v>0</v>
      </c>
      <c r="N85" s="7" t="n">
        <v>0</v>
      </c>
      <c r="O85" s="7" t="n">
        <v>2</v>
      </c>
      <c r="P85" s="7" t="n">
        <v>2</v>
      </c>
      <c r="Q85" s="7" t="n">
        <v>0</v>
      </c>
      <c r="R85" s="7" t="n">
        <v>0</v>
      </c>
    </row>
    <row r="86" customFormat="false" ht="15" hidden="false" customHeight="true" outlineLevel="0" collapsed="false">
      <c r="A86" s="7" t="n">
        <v>2296</v>
      </c>
      <c r="B86" s="7" t="s">
        <v>44</v>
      </c>
      <c r="C86" s="7" t="s">
        <v>784</v>
      </c>
      <c r="D86" s="7" t="s">
        <v>195</v>
      </c>
      <c r="E86" s="7" t="s">
        <v>113</v>
      </c>
      <c r="F86" s="7" t="n">
        <v>36</v>
      </c>
      <c r="G86" s="7" t="n">
        <v>6.25</v>
      </c>
      <c r="H86" s="7" t="n">
        <v>6.51</v>
      </c>
      <c r="I86" s="7" t="n">
        <v>4</v>
      </c>
      <c r="J86" s="7" t="n">
        <v>0</v>
      </c>
      <c r="K86" s="7" t="n">
        <v>0</v>
      </c>
      <c r="L86" s="7" t="n">
        <v>0</v>
      </c>
      <c r="M86" s="7" t="n">
        <v>0</v>
      </c>
      <c r="N86" s="7" t="n">
        <v>0</v>
      </c>
      <c r="O86" s="7" t="n">
        <v>2</v>
      </c>
      <c r="P86" s="7" t="n">
        <v>9</v>
      </c>
      <c r="Q86" s="7" t="n">
        <v>0</v>
      </c>
      <c r="R86" s="7" t="n">
        <v>0</v>
      </c>
    </row>
    <row r="87" customFormat="false" ht="15" hidden="false" customHeight="true" outlineLevel="0" collapsed="false">
      <c r="A87" s="7" t="n">
        <v>5750</v>
      </c>
      <c r="B87" s="7" t="s">
        <v>44</v>
      </c>
      <c r="C87" s="7" t="s">
        <v>784</v>
      </c>
      <c r="D87" s="7" t="s">
        <v>205</v>
      </c>
      <c r="E87" s="7" t="s">
        <v>137</v>
      </c>
      <c r="F87" s="7" t="n">
        <v>30</v>
      </c>
      <c r="G87" s="7" t="n">
        <v>6.13</v>
      </c>
      <c r="H87" s="7" t="n">
        <v>6.52</v>
      </c>
      <c r="I87" s="7" t="n">
        <v>5</v>
      </c>
      <c r="J87" s="7" t="n">
        <v>0</v>
      </c>
      <c r="K87" s="7" t="n">
        <v>0</v>
      </c>
      <c r="L87" s="7" t="n">
        <v>0</v>
      </c>
      <c r="M87" s="7" t="n">
        <v>0</v>
      </c>
      <c r="N87" s="7" t="n">
        <v>0</v>
      </c>
      <c r="O87" s="7" t="n">
        <v>0</v>
      </c>
      <c r="P87" s="7" t="n">
        <v>7</v>
      </c>
      <c r="Q87" s="7" t="n">
        <v>0</v>
      </c>
      <c r="R87" s="7" t="n">
        <v>0</v>
      </c>
    </row>
    <row r="88" customFormat="false" ht="15" hidden="false" customHeight="true" outlineLevel="0" collapsed="false">
      <c r="A88" s="7" t="n">
        <v>4976</v>
      </c>
      <c r="B88" s="7" t="s">
        <v>44</v>
      </c>
      <c r="C88" s="7" t="s">
        <v>787</v>
      </c>
      <c r="D88" s="7" t="s">
        <v>199</v>
      </c>
      <c r="E88" s="7" t="s">
        <v>131</v>
      </c>
      <c r="F88" s="7" t="n">
        <v>37</v>
      </c>
      <c r="G88" s="7" t="n">
        <v>6.14</v>
      </c>
      <c r="H88" s="7" t="n">
        <v>6.35</v>
      </c>
      <c r="I88" s="7" t="n">
        <v>2</v>
      </c>
      <c r="J88" s="7" t="n">
        <v>0</v>
      </c>
      <c r="K88" s="7" t="n">
        <v>0</v>
      </c>
      <c r="L88" s="7" t="n">
        <v>0</v>
      </c>
      <c r="M88" s="7" t="n">
        <v>0</v>
      </c>
      <c r="N88" s="7" t="n">
        <v>0</v>
      </c>
      <c r="O88" s="7" t="n">
        <v>4</v>
      </c>
      <c r="P88" s="7" t="n">
        <v>2</v>
      </c>
      <c r="Q88" s="7" t="n">
        <v>1</v>
      </c>
      <c r="R88" s="7" t="n">
        <v>0</v>
      </c>
    </row>
    <row r="89" customFormat="false" ht="15" hidden="false" customHeight="true" outlineLevel="0" collapsed="false">
      <c r="A89" s="7" t="n">
        <v>4657</v>
      </c>
      <c r="B89" s="7" t="s">
        <v>44</v>
      </c>
      <c r="C89" s="7" t="s">
        <v>788</v>
      </c>
      <c r="D89" s="7" t="s">
        <v>221</v>
      </c>
      <c r="E89" s="7" t="s">
        <v>113</v>
      </c>
      <c r="F89" s="7" t="n">
        <v>32</v>
      </c>
      <c r="G89" s="7" t="n">
        <v>6.17</v>
      </c>
      <c r="H89" s="7" t="n">
        <v>6.27</v>
      </c>
      <c r="I89" s="7" t="n">
        <v>1</v>
      </c>
      <c r="J89" s="7" t="n">
        <v>0</v>
      </c>
      <c r="K89" s="7" t="n">
        <v>0</v>
      </c>
      <c r="L89" s="7" t="n">
        <v>0</v>
      </c>
      <c r="M89" s="7" t="n">
        <v>0</v>
      </c>
      <c r="N89" s="7" t="n">
        <v>0</v>
      </c>
      <c r="O89" s="7" t="n">
        <v>2</v>
      </c>
      <c r="P89" s="7" t="n">
        <v>2</v>
      </c>
      <c r="Q89" s="7" t="n">
        <v>1</v>
      </c>
      <c r="R89" s="7" t="n">
        <v>0</v>
      </c>
    </row>
    <row r="90" customFormat="false" ht="15" hidden="false" customHeight="true" outlineLevel="0" collapsed="false">
      <c r="A90" s="7" t="n">
        <v>7181</v>
      </c>
      <c r="B90" s="7" t="s">
        <v>44</v>
      </c>
      <c r="C90" s="7" t="s">
        <v>783</v>
      </c>
      <c r="D90" s="7" t="s">
        <v>192</v>
      </c>
      <c r="E90" s="7" t="s">
        <v>113</v>
      </c>
      <c r="F90" s="7" t="n">
        <v>30</v>
      </c>
      <c r="G90" s="7" t="n">
        <v>6.12</v>
      </c>
      <c r="H90" s="7" t="n">
        <v>6.47</v>
      </c>
      <c r="I90" s="7" t="n">
        <v>5</v>
      </c>
      <c r="J90" s="7" t="n">
        <v>0</v>
      </c>
      <c r="K90" s="7" t="n">
        <v>0</v>
      </c>
      <c r="L90" s="7" t="n">
        <v>0</v>
      </c>
      <c r="M90" s="7" t="n">
        <v>0</v>
      </c>
      <c r="N90" s="7" t="n">
        <v>0</v>
      </c>
      <c r="O90" s="7" t="n">
        <v>0</v>
      </c>
      <c r="P90" s="7" t="n">
        <v>5</v>
      </c>
      <c r="Q90" s="7" t="n">
        <v>2</v>
      </c>
      <c r="R90" s="7" t="n">
        <v>0</v>
      </c>
    </row>
    <row r="91" customFormat="false" ht="15" hidden="false" customHeight="true" outlineLevel="0" collapsed="false">
      <c r="A91" s="7" t="n">
        <v>6956</v>
      </c>
      <c r="B91" s="7" t="s">
        <v>44</v>
      </c>
      <c r="C91" s="7" t="s">
        <v>784</v>
      </c>
      <c r="D91" s="7" t="s">
        <v>201</v>
      </c>
      <c r="E91" s="7" t="s">
        <v>135</v>
      </c>
      <c r="F91" s="7" t="n">
        <v>34</v>
      </c>
      <c r="G91" s="7" t="n">
        <v>6.18</v>
      </c>
      <c r="H91" s="7" t="n">
        <v>6.4</v>
      </c>
      <c r="I91" s="7" t="n">
        <v>3</v>
      </c>
      <c r="J91" s="7" t="n">
        <v>0</v>
      </c>
      <c r="K91" s="7" t="n">
        <v>0</v>
      </c>
      <c r="L91" s="7" t="n">
        <v>1</v>
      </c>
      <c r="M91" s="7" t="n">
        <v>1</v>
      </c>
      <c r="N91" s="7" t="n">
        <v>0</v>
      </c>
      <c r="O91" s="7" t="n">
        <v>1</v>
      </c>
      <c r="P91" s="7" t="n">
        <v>1</v>
      </c>
      <c r="Q91" s="7" t="n">
        <v>0</v>
      </c>
      <c r="R91" s="7" t="n">
        <v>1</v>
      </c>
    </row>
    <row r="92" customFormat="false" ht="15" hidden="false" customHeight="true" outlineLevel="0" collapsed="false">
      <c r="A92" s="7" t="n">
        <v>2120</v>
      </c>
      <c r="B92" s="7" t="s">
        <v>44</v>
      </c>
      <c r="C92" s="7" t="s">
        <v>784</v>
      </c>
      <c r="D92" s="7" t="s">
        <v>196</v>
      </c>
      <c r="E92" s="7" t="s">
        <v>115</v>
      </c>
      <c r="F92" s="7" t="n">
        <v>28</v>
      </c>
      <c r="G92" s="7" t="n">
        <v>6.2</v>
      </c>
      <c r="H92" s="7" t="n">
        <v>6.34</v>
      </c>
      <c r="I92" s="7" t="n">
        <v>1</v>
      </c>
      <c r="J92" s="7" t="n">
        <v>0</v>
      </c>
      <c r="K92" s="7" t="n">
        <v>0</v>
      </c>
      <c r="L92" s="7" t="n">
        <v>0</v>
      </c>
      <c r="M92" s="7" t="n">
        <v>0</v>
      </c>
      <c r="N92" s="7" t="n">
        <v>0</v>
      </c>
      <c r="O92" s="7" t="n">
        <v>4</v>
      </c>
      <c r="P92" s="7" t="n">
        <v>6</v>
      </c>
      <c r="Q92" s="7" t="n">
        <v>0</v>
      </c>
      <c r="R92" s="7" t="n">
        <v>0</v>
      </c>
    </row>
    <row r="93" customFormat="false" ht="15" hidden="false" customHeight="true" outlineLevel="0" collapsed="false">
      <c r="A93" s="7" t="n">
        <v>4807</v>
      </c>
      <c r="B93" s="7" t="s">
        <v>44</v>
      </c>
      <c r="C93" s="7" t="s">
        <v>784</v>
      </c>
      <c r="D93" s="7" t="s">
        <v>210</v>
      </c>
      <c r="E93" s="7" t="s">
        <v>113</v>
      </c>
      <c r="F93" s="7" t="n">
        <v>27</v>
      </c>
      <c r="G93" s="7" t="n">
        <v>6.17</v>
      </c>
      <c r="H93" s="7" t="n">
        <v>6.41</v>
      </c>
      <c r="I93" s="7" t="n">
        <v>3</v>
      </c>
      <c r="J93" s="7" t="n">
        <v>0</v>
      </c>
      <c r="K93" s="7" t="n">
        <v>0</v>
      </c>
      <c r="L93" s="7" t="n">
        <v>0</v>
      </c>
      <c r="M93" s="7" t="n">
        <v>0</v>
      </c>
      <c r="N93" s="7" t="n">
        <v>0</v>
      </c>
      <c r="O93" s="7" t="n">
        <v>2</v>
      </c>
      <c r="P93" s="7" t="n">
        <v>9</v>
      </c>
      <c r="Q93" s="7" t="n">
        <v>0</v>
      </c>
      <c r="R93" s="7" t="n">
        <v>0</v>
      </c>
    </row>
    <row r="94" customFormat="false" ht="15" hidden="false" customHeight="true" outlineLevel="0" collapsed="false">
      <c r="A94" s="7" t="n">
        <v>6986</v>
      </c>
      <c r="B94" s="7" t="s">
        <v>44</v>
      </c>
      <c r="C94" s="7" t="s">
        <v>788</v>
      </c>
      <c r="D94" s="7" t="s">
        <v>277</v>
      </c>
      <c r="E94" s="7" t="s">
        <v>113</v>
      </c>
      <c r="F94" s="7" t="n">
        <v>19</v>
      </c>
      <c r="G94" s="7" t="n">
        <v>6.16</v>
      </c>
      <c r="H94" s="7" t="n">
        <v>6.5</v>
      </c>
      <c r="I94" s="7" t="n">
        <v>1</v>
      </c>
      <c r="J94" s="7" t="n">
        <v>0</v>
      </c>
      <c r="K94" s="7" t="n">
        <v>0</v>
      </c>
      <c r="L94" s="7" t="n">
        <v>0</v>
      </c>
      <c r="M94" s="7" t="n">
        <v>0</v>
      </c>
      <c r="N94" s="7" t="n">
        <v>0</v>
      </c>
      <c r="O94" s="7" t="n">
        <v>4</v>
      </c>
      <c r="P94" s="7" t="n">
        <v>1</v>
      </c>
      <c r="Q94" s="7" t="n">
        <v>0</v>
      </c>
      <c r="R94" s="7" t="n">
        <v>0</v>
      </c>
    </row>
    <row r="95" customFormat="false" ht="15" hidden="false" customHeight="true" outlineLevel="0" collapsed="false">
      <c r="A95" s="7" t="n">
        <v>4159</v>
      </c>
      <c r="B95" s="7" t="s">
        <v>44</v>
      </c>
      <c r="C95" s="7" t="s">
        <v>784</v>
      </c>
      <c r="D95" s="7" t="s">
        <v>193</v>
      </c>
      <c r="E95" s="7" t="s">
        <v>115</v>
      </c>
      <c r="F95" s="7" t="n">
        <v>32</v>
      </c>
      <c r="G95" s="7" t="n">
        <v>6.28</v>
      </c>
      <c r="H95" s="7" t="n">
        <v>6.41</v>
      </c>
      <c r="I95" s="7" t="n">
        <v>2</v>
      </c>
      <c r="J95" s="7" t="n">
        <v>0</v>
      </c>
      <c r="K95" s="7" t="n">
        <v>0</v>
      </c>
      <c r="L95" s="7" t="n">
        <v>0</v>
      </c>
      <c r="M95" s="7" t="n">
        <v>0</v>
      </c>
      <c r="N95" s="7" t="n">
        <v>0</v>
      </c>
      <c r="O95" s="7" t="n">
        <v>0</v>
      </c>
      <c r="P95" s="7" t="n">
        <v>4</v>
      </c>
      <c r="Q95" s="7" t="n">
        <v>0</v>
      </c>
      <c r="R95" s="7" t="n">
        <v>0</v>
      </c>
    </row>
    <row r="96" customFormat="false" ht="15" hidden="false" customHeight="true" outlineLevel="0" collapsed="false">
      <c r="A96" s="7" t="n">
        <v>554</v>
      </c>
      <c r="B96" s="7" t="s">
        <v>44</v>
      </c>
      <c r="C96" s="7" t="s">
        <v>783</v>
      </c>
      <c r="D96" s="7" t="s">
        <v>214</v>
      </c>
      <c r="E96" s="7" t="s">
        <v>117</v>
      </c>
      <c r="F96" s="7" t="n">
        <v>35</v>
      </c>
      <c r="G96" s="7" t="n">
        <v>6.06</v>
      </c>
      <c r="H96" s="7" t="n">
        <v>6.3</v>
      </c>
      <c r="I96" s="7" t="n">
        <v>3</v>
      </c>
      <c r="J96" s="7" t="n">
        <v>0</v>
      </c>
      <c r="K96" s="7" t="n">
        <v>0</v>
      </c>
      <c r="L96" s="7" t="n">
        <v>0</v>
      </c>
      <c r="M96" s="7" t="n">
        <v>0</v>
      </c>
      <c r="N96" s="7" t="n">
        <v>0</v>
      </c>
      <c r="O96" s="7" t="n">
        <v>1</v>
      </c>
      <c r="P96" s="7" t="n">
        <v>3</v>
      </c>
      <c r="Q96" s="7" t="n">
        <v>0</v>
      </c>
      <c r="R96" s="7" t="n">
        <v>0</v>
      </c>
    </row>
    <row r="97" customFormat="false" ht="15" hidden="false" customHeight="true" outlineLevel="0" collapsed="false">
      <c r="A97" s="7" t="n">
        <v>5513</v>
      </c>
      <c r="B97" s="7" t="s">
        <v>44</v>
      </c>
      <c r="C97" s="7" t="s">
        <v>783</v>
      </c>
      <c r="D97" s="7" t="s">
        <v>789</v>
      </c>
      <c r="E97" s="7" t="s">
        <v>115</v>
      </c>
      <c r="F97" s="7" t="n">
        <v>19</v>
      </c>
      <c r="G97" s="7" t="n">
        <v>6.11</v>
      </c>
      <c r="H97" s="7" t="n">
        <v>6.58</v>
      </c>
      <c r="I97" s="7" t="n">
        <v>3</v>
      </c>
      <c r="J97" s="7" t="n">
        <v>0</v>
      </c>
      <c r="K97" s="7" t="n">
        <v>0</v>
      </c>
      <c r="L97" s="7" t="n">
        <v>0</v>
      </c>
      <c r="M97" s="7" t="n">
        <v>0</v>
      </c>
      <c r="N97" s="7" t="n">
        <v>0</v>
      </c>
      <c r="O97" s="7" t="n">
        <v>1</v>
      </c>
      <c r="P97" s="7" t="n">
        <v>2</v>
      </c>
      <c r="Q97" s="7" t="n">
        <v>0</v>
      </c>
      <c r="R97" s="7" t="n">
        <v>0</v>
      </c>
    </row>
    <row r="98" customFormat="false" ht="15" hidden="false" customHeight="true" outlineLevel="0" collapsed="false">
      <c r="A98" s="7" t="n">
        <v>4317</v>
      </c>
      <c r="B98" s="7" t="s">
        <v>44</v>
      </c>
      <c r="C98" s="7" t="s">
        <v>784</v>
      </c>
      <c r="D98" s="7" t="s">
        <v>200</v>
      </c>
      <c r="E98" s="7" t="s">
        <v>113</v>
      </c>
      <c r="F98" s="7" t="n">
        <v>31</v>
      </c>
      <c r="G98" s="7" t="n">
        <v>6.08</v>
      </c>
      <c r="H98" s="7" t="n">
        <v>6.32</v>
      </c>
      <c r="I98" s="7" t="n">
        <v>3</v>
      </c>
      <c r="J98" s="7" t="n">
        <v>0</v>
      </c>
      <c r="K98" s="7" t="n">
        <v>0</v>
      </c>
      <c r="L98" s="7" t="n">
        <v>0</v>
      </c>
      <c r="M98" s="7" t="n">
        <v>0</v>
      </c>
      <c r="N98" s="7" t="n">
        <v>0</v>
      </c>
      <c r="O98" s="7" t="n">
        <v>1</v>
      </c>
      <c r="P98" s="7" t="n">
        <v>5</v>
      </c>
      <c r="Q98" s="7" t="n">
        <v>0</v>
      </c>
      <c r="R98" s="7" t="n">
        <v>0</v>
      </c>
    </row>
    <row r="99" customFormat="false" ht="15" hidden="false" customHeight="true" outlineLevel="0" collapsed="false">
      <c r="A99" s="7" t="n">
        <v>2160</v>
      </c>
      <c r="B99" s="7" t="s">
        <v>44</v>
      </c>
      <c r="C99" s="7" t="s">
        <v>783</v>
      </c>
      <c r="D99" s="7" t="s">
        <v>790</v>
      </c>
      <c r="E99" s="7" t="s">
        <v>123</v>
      </c>
      <c r="F99" s="7" t="n">
        <v>25</v>
      </c>
      <c r="G99" s="7" t="n">
        <v>5.92</v>
      </c>
      <c r="H99" s="7" t="n">
        <v>6.28</v>
      </c>
      <c r="I99" s="7" t="n">
        <v>3</v>
      </c>
      <c r="J99" s="7" t="n">
        <v>0</v>
      </c>
      <c r="K99" s="7" t="n">
        <v>0</v>
      </c>
      <c r="L99" s="7" t="n">
        <v>0</v>
      </c>
      <c r="M99" s="7" t="n">
        <v>0</v>
      </c>
      <c r="N99" s="7" t="n">
        <v>0</v>
      </c>
      <c r="O99" s="7" t="n">
        <v>1</v>
      </c>
      <c r="P99" s="7" t="n">
        <v>2</v>
      </c>
      <c r="Q99" s="7" t="n">
        <v>0</v>
      </c>
      <c r="R99" s="7" t="n">
        <v>0</v>
      </c>
    </row>
    <row r="100" customFormat="false" ht="15" hidden="false" customHeight="true" outlineLevel="0" collapsed="false">
      <c r="A100" s="7" t="n">
        <v>5514</v>
      </c>
      <c r="B100" s="7" t="s">
        <v>44</v>
      </c>
      <c r="C100" s="7" t="s">
        <v>791</v>
      </c>
      <c r="D100" s="7" t="s">
        <v>211</v>
      </c>
      <c r="E100" s="7" t="s">
        <v>137</v>
      </c>
      <c r="F100" s="7" t="n">
        <v>36</v>
      </c>
      <c r="G100" s="7" t="n">
        <v>6.08</v>
      </c>
      <c r="H100" s="7" t="n">
        <v>6.14</v>
      </c>
      <c r="I100" s="7" t="n">
        <v>1</v>
      </c>
      <c r="J100" s="7" t="n">
        <v>0</v>
      </c>
      <c r="K100" s="7" t="n">
        <v>0</v>
      </c>
      <c r="L100" s="7" t="n">
        <v>0</v>
      </c>
      <c r="M100" s="7" t="n">
        <v>0</v>
      </c>
      <c r="N100" s="7" t="n">
        <v>0</v>
      </c>
      <c r="O100" s="7" t="n">
        <v>0</v>
      </c>
      <c r="P100" s="7" t="n">
        <v>2</v>
      </c>
      <c r="Q100" s="7" t="n">
        <v>0</v>
      </c>
      <c r="R100" s="7" t="n">
        <v>0</v>
      </c>
    </row>
    <row r="101" customFormat="false" ht="15" hidden="false" customHeight="true" outlineLevel="0" collapsed="false">
      <c r="A101" s="7" t="n">
        <v>6766</v>
      </c>
      <c r="B101" s="7" t="s">
        <v>44</v>
      </c>
      <c r="C101" s="7" t="s">
        <v>791</v>
      </c>
      <c r="D101" s="7" t="s">
        <v>272</v>
      </c>
      <c r="E101" s="7" t="s">
        <v>131</v>
      </c>
      <c r="F101" s="7" t="n">
        <v>35</v>
      </c>
      <c r="G101" s="7" t="n">
        <v>6.01</v>
      </c>
      <c r="H101" s="7" t="n">
        <v>6.07</v>
      </c>
      <c r="I101" s="7" t="n">
        <v>1</v>
      </c>
      <c r="J101" s="7" t="n">
        <v>0</v>
      </c>
      <c r="K101" s="7" t="n">
        <v>0</v>
      </c>
      <c r="L101" s="7" t="n">
        <v>0</v>
      </c>
      <c r="M101" s="7" t="n">
        <v>0</v>
      </c>
      <c r="N101" s="7" t="n">
        <v>0</v>
      </c>
      <c r="O101" s="7" t="n">
        <v>1</v>
      </c>
      <c r="P101" s="7" t="n">
        <v>4</v>
      </c>
      <c r="Q101" s="7" t="n">
        <v>0</v>
      </c>
      <c r="R101" s="7" t="n">
        <v>0</v>
      </c>
    </row>
    <row r="102" customFormat="false" ht="15" hidden="false" customHeight="true" outlineLevel="0" collapsed="false">
      <c r="A102" s="7" t="n">
        <v>4409</v>
      </c>
      <c r="B102" s="7" t="s">
        <v>44</v>
      </c>
      <c r="C102" s="7" t="s">
        <v>784</v>
      </c>
      <c r="D102" s="7" t="s">
        <v>198</v>
      </c>
      <c r="E102" s="7" t="s">
        <v>125</v>
      </c>
      <c r="F102" s="7" t="n">
        <v>21</v>
      </c>
      <c r="G102" s="7" t="n">
        <v>6.24</v>
      </c>
      <c r="H102" s="7" t="n">
        <v>6.45</v>
      </c>
      <c r="I102" s="7" t="n">
        <v>2</v>
      </c>
      <c r="J102" s="7" t="n">
        <v>0</v>
      </c>
      <c r="K102" s="7" t="n">
        <v>0</v>
      </c>
      <c r="L102" s="7" t="n">
        <v>0</v>
      </c>
      <c r="M102" s="7" t="n">
        <v>0</v>
      </c>
      <c r="N102" s="7" t="n">
        <v>0</v>
      </c>
      <c r="O102" s="7" t="n">
        <v>0</v>
      </c>
      <c r="P102" s="7" t="n">
        <v>3</v>
      </c>
      <c r="Q102" s="7" t="n">
        <v>0</v>
      </c>
      <c r="R102" s="7" t="n">
        <v>0</v>
      </c>
    </row>
    <row r="103" customFormat="false" ht="15" hidden="false" customHeight="true" outlineLevel="0" collapsed="false">
      <c r="A103" s="7" t="n">
        <v>5862</v>
      </c>
      <c r="B103" s="7" t="s">
        <v>44</v>
      </c>
      <c r="C103" s="7" t="s">
        <v>786</v>
      </c>
      <c r="D103" s="7" t="s">
        <v>225</v>
      </c>
      <c r="E103" s="7" t="s">
        <v>141</v>
      </c>
      <c r="F103" s="7" t="n">
        <v>34</v>
      </c>
      <c r="G103" s="7" t="n">
        <v>6.06</v>
      </c>
      <c r="H103" s="7" t="n">
        <v>6.09</v>
      </c>
      <c r="I103" s="7" t="n">
        <v>0</v>
      </c>
      <c r="J103" s="7" t="n">
        <v>0</v>
      </c>
      <c r="K103" s="7" t="n">
        <v>0</v>
      </c>
      <c r="L103" s="7" t="n">
        <v>0</v>
      </c>
      <c r="M103" s="7" t="n">
        <v>0</v>
      </c>
      <c r="N103" s="7" t="n">
        <v>0</v>
      </c>
      <c r="O103" s="7" t="n">
        <v>2</v>
      </c>
      <c r="P103" s="7" t="n">
        <v>2</v>
      </c>
      <c r="Q103" s="7" t="n">
        <v>0</v>
      </c>
      <c r="R103" s="7" t="n">
        <v>0</v>
      </c>
    </row>
    <row r="104" customFormat="false" ht="15" hidden="false" customHeight="true" outlineLevel="0" collapsed="false">
      <c r="A104" s="7" t="n">
        <v>6485</v>
      </c>
      <c r="B104" s="7" t="s">
        <v>44</v>
      </c>
      <c r="C104" s="7" t="s">
        <v>787</v>
      </c>
      <c r="D104" s="7" t="s">
        <v>241</v>
      </c>
      <c r="E104" s="7" t="s">
        <v>135</v>
      </c>
      <c r="F104" s="7" t="n">
        <v>28</v>
      </c>
      <c r="G104" s="7" t="n">
        <v>5.98</v>
      </c>
      <c r="H104" s="7" t="n">
        <v>6.23</v>
      </c>
      <c r="I104" s="7" t="n">
        <v>3</v>
      </c>
      <c r="J104" s="7" t="n">
        <v>0</v>
      </c>
      <c r="K104" s="7" t="n">
        <v>0</v>
      </c>
      <c r="L104" s="7" t="n">
        <v>0</v>
      </c>
      <c r="M104" s="7" t="n">
        <v>0</v>
      </c>
      <c r="N104" s="7" t="n">
        <v>0</v>
      </c>
      <c r="O104" s="7" t="n">
        <v>0</v>
      </c>
      <c r="P104" s="7" t="n">
        <v>4</v>
      </c>
      <c r="Q104" s="7" t="n">
        <v>0</v>
      </c>
      <c r="R104" s="7" t="n">
        <v>0</v>
      </c>
    </row>
    <row r="105" customFormat="false" ht="15" hidden="false" customHeight="true" outlineLevel="0" collapsed="false">
      <c r="A105" s="7" t="n">
        <v>7211</v>
      </c>
      <c r="B105" s="7" t="s">
        <v>44</v>
      </c>
      <c r="C105" s="7" t="s">
        <v>792</v>
      </c>
      <c r="D105" s="7" t="s">
        <v>313</v>
      </c>
      <c r="E105" s="7" t="s">
        <v>121</v>
      </c>
      <c r="F105" s="7" t="n">
        <v>17</v>
      </c>
      <c r="G105" s="7" t="n">
        <v>5.94</v>
      </c>
      <c r="H105" s="7" t="n">
        <v>6.32</v>
      </c>
      <c r="I105" s="7" t="n">
        <v>2</v>
      </c>
      <c r="J105" s="7" t="n">
        <v>0</v>
      </c>
      <c r="K105" s="7" t="n">
        <v>0</v>
      </c>
      <c r="L105" s="7" t="n">
        <v>0</v>
      </c>
      <c r="M105" s="7" t="n">
        <v>0</v>
      </c>
      <c r="N105" s="7" t="n">
        <v>0</v>
      </c>
      <c r="O105" s="7" t="n">
        <v>2</v>
      </c>
      <c r="P105" s="7" t="n">
        <v>3</v>
      </c>
      <c r="Q105" s="7" t="n">
        <v>0</v>
      </c>
      <c r="R105" s="7" t="n">
        <v>0</v>
      </c>
    </row>
    <row r="106" customFormat="false" ht="15" hidden="false" customHeight="true" outlineLevel="0" collapsed="false">
      <c r="A106" s="7" t="n">
        <v>5678</v>
      </c>
      <c r="B106" s="7" t="s">
        <v>44</v>
      </c>
      <c r="C106" s="7" t="s">
        <v>792</v>
      </c>
      <c r="D106" s="7" t="s">
        <v>264</v>
      </c>
      <c r="E106" s="7" t="s">
        <v>131</v>
      </c>
      <c r="F106" s="7" t="n">
        <v>16</v>
      </c>
      <c r="G106" s="7" t="n">
        <v>6.09</v>
      </c>
      <c r="H106" s="7" t="n">
        <v>6.44</v>
      </c>
      <c r="I106" s="7" t="n">
        <v>1</v>
      </c>
      <c r="J106" s="7" t="n">
        <v>0</v>
      </c>
      <c r="K106" s="7" t="n">
        <v>0</v>
      </c>
      <c r="L106" s="7" t="n">
        <v>0</v>
      </c>
      <c r="M106" s="7" t="n">
        <v>0</v>
      </c>
      <c r="N106" s="7" t="n">
        <v>0</v>
      </c>
      <c r="O106" s="7" t="n">
        <v>4</v>
      </c>
      <c r="P106" s="7" t="n">
        <v>1</v>
      </c>
      <c r="Q106" s="7" t="n">
        <v>1</v>
      </c>
      <c r="R106" s="7" t="n">
        <v>0</v>
      </c>
    </row>
    <row r="107" customFormat="false" ht="15" hidden="false" customHeight="true" outlineLevel="0" collapsed="false">
      <c r="A107" s="7" t="n">
        <v>4734</v>
      </c>
      <c r="B107" s="7" t="s">
        <v>44</v>
      </c>
      <c r="C107" s="7" t="s">
        <v>786</v>
      </c>
      <c r="D107" s="7" t="s">
        <v>216</v>
      </c>
      <c r="E107" s="7" t="s">
        <v>127</v>
      </c>
      <c r="F107" s="7" t="n">
        <v>31</v>
      </c>
      <c r="G107" s="7" t="n">
        <v>6</v>
      </c>
      <c r="H107" s="7" t="n">
        <v>6.1</v>
      </c>
      <c r="I107" s="7" t="n">
        <v>1</v>
      </c>
      <c r="J107" s="7" t="n">
        <v>0</v>
      </c>
      <c r="K107" s="7" t="n">
        <v>0</v>
      </c>
      <c r="L107" s="7" t="n">
        <v>0</v>
      </c>
      <c r="M107" s="7" t="n">
        <v>0</v>
      </c>
      <c r="N107" s="7" t="n">
        <v>0</v>
      </c>
      <c r="O107" s="7" t="n">
        <v>3</v>
      </c>
      <c r="P107" s="7" t="n">
        <v>6</v>
      </c>
      <c r="Q107" s="7" t="n">
        <v>0</v>
      </c>
      <c r="R107" s="7" t="n">
        <v>0</v>
      </c>
    </row>
    <row r="108" customFormat="false" ht="15" hidden="false" customHeight="true" outlineLevel="0" collapsed="false">
      <c r="A108" s="7" t="n">
        <v>4994</v>
      </c>
      <c r="B108" s="7" t="s">
        <v>44</v>
      </c>
      <c r="C108" s="7" t="s">
        <v>792</v>
      </c>
      <c r="D108" s="7" t="s">
        <v>227</v>
      </c>
      <c r="E108" s="7" t="s">
        <v>119</v>
      </c>
      <c r="F108" s="7" t="n">
        <v>27</v>
      </c>
      <c r="G108" s="7" t="n">
        <v>6.02</v>
      </c>
      <c r="H108" s="7" t="n">
        <v>6.24</v>
      </c>
      <c r="I108" s="7" t="n">
        <v>2</v>
      </c>
      <c r="J108" s="7" t="n">
        <v>0</v>
      </c>
      <c r="K108" s="7" t="n">
        <v>0</v>
      </c>
      <c r="L108" s="7" t="n">
        <v>0</v>
      </c>
      <c r="M108" s="7" t="n">
        <v>0</v>
      </c>
      <c r="N108" s="7" t="n">
        <v>0</v>
      </c>
      <c r="O108" s="7" t="n">
        <v>1</v>
      </c>
      <c r="P108" s="7" t="n">
        <v>2</v>
      </c>
      <c r="Q108" s="7" t="n">
        <v>0</v>
      </c>
      <c r="R108" s="7" t="n">
        <v>0</v>
      </c>
    </row>
    <row r="109" customFormat="false" ht="15" hidden="false" customHeight="true" outlineLevel="0" collapsed="false">
      <c r="A109" s="7" t="n">
        <v>6867</v>
      </c>
      <c r="B109" s="7" t="s">
        <v>44</v>
      </c>
      <c r="C109" s="7" t="s">
        <v>786</v>
      </c>
      <c r="D109" s="7" t="s">
        <v>247</v>
      </c>
      <c r="E109" s="7" t="s">
        <v>119</v>
      </c>
      <c r="F109" s="7" t="n">
        <v>26</v>
      </c>
      <c r="G109" s="7" t="n">
        <v>6.06</v>
      </c>
      <c r="H109" s="7" t="n">
        <v>6.23</v>
      </c>
      <c r="I109" s="7" t="n">
        <v>1</v>
      </c>
      <c r="J109" s="7" t="n">
        <v>0</v>
      </c>
      <c r="K109" s="7" t="n">
        <v>0</v>
      </c>
      <c r="L109" s="7" t="n">
        <v>0</v>
      </c>
      <c r="M109" s="7" t="n">
        <v>0</v>
      </c>
      <c r="N109" s="7" t="n">
        <v>0</v>
      </c>
      <c r="O109" s="7" t="n">
        <v>3</v>
      </c>
      <c r="P109" s="7" t="n">
        <v>3</v>
      </c>
      <c r="Q109" s="7" t="n">
        <v>0</v>
      </c>
      <c r="R109" s="7" t="n">
        <v>0</v>
      </c>
    </row>
    <row r="110" customFormat="false" ht="15" hidden="false" customHeight="true" outlineLevel="0" collapsed="false">
      <c r="A110" s="7" t="n">
        <v>5885</v>
      </c>
      <c r="B110" s="7" t="s">
        <v>44</v>
      </c>
      <c r="C110" s="7" t="s">
        <v>783</v>
      </c>
      <c r="D110" s="7" t="s">
        <v>209</v>
      </c>
      <c r="E110" s="7" t="s">
        <v>123</v>
      </c>
      <c r="F110" s="7" t="n">
        <v>36</v>
      </c>
      <c r="G110" s="7" t="n">
        <v>5.99</v>
      </c>
      <c r="H110" s="7" t="n">
        <v>6.03</v>
      </c>
      <c r="I110" s="7" t="n">
        <v>1</v>
      </c>
      <c r="J110" s="7" t="n">
        <v>0</v>
      </c>
      <c r="K110" s="7" t="n">
        <v>0</v>
      </c>
      <c r="L110" s="7" t="n">
        <v>0</v>
      </c>
      <c r="M110" s="7" t="n">
        <v>0</v>
      </c>
      <c r="N110" s="7" t="n">
        <v>0</v>
      </c>
      <c r="O110" s="7" t="n">
        <v>2</v>
      </c>
      <c r="P110" s="7" t="n">
        <v>7</v>
      </c>
      <c r="Q110" s="7" t="n">
        <v>0</v>
      </c>
      <c r="R110" s="7" t="n">
        <v>0</v>
      </c>
    </row>
    <row r="111" customFormat="false" ht="15" hidden="false" customHeight="true" outlineLevel="0" collapsed="false">
      <c r="A111" s="7" t="n">
        <v>2593</v>
      </c>
      <c r="B111" s="7" t="s">
        <v>44</v>
      </c>
      <c r="C111" s="7" t="s">
        <v>786</v>
      </c>
      <c r="D111" s="7" t="s">
        <v>271</v>
      </c>
      <c r="E111" s="7" t="s">
        <v>137</v>
      </c>
      <c r="F111" s="7" t="n">
        <v>29</v>
      </c>
      <c r="G111" s="7" t="n">
        <v>5.97</v>
      </c>
      <c r="H111" s="7" t="n">
        <v>6.1</v>
      </c>
      <c r="I111" s="7" t="n">
        <v>1</v>
      </c>
      <c r="J111" s="7" t="n">
        <v>0</v>
      </c>
      <c r="K111" s="7" t="n">
        <v>0</v>
      </c>
      <c r="L111" s="7" t="n">
        <v>1</v>
      </c>
      <c r="M111" s="7" t="n">
        <v>0</v>
      </c>
      <c r="N111" s="7" t="n">
        <v>1</v>
      </c>
      <c r="O111" s="7" t="n">
        <v>5</v>
      </c>
      <c r="P111" s="7" t="n">
        <v>2</v>
      </c>
      <c r="Q111" s="7" t="n">
        <v>0</v>
      </c>
      <c r="R111" s="7" t="n">
        <v>0</v>
      </c>
    </row>
    <row r="112" customFormat="false" ht="15" hidden="false" customHeight="true" outlineLevel="0" collapsed="false">
      <c r="A112" s="7" t="n">
        <v>5877</v>
      </c>
      <c r="B112" s="7" t="s">
        <v>44</v>
      </c>
      <c r="C112" s="7" t="s">
        <v>793</v>
      </c>
      <c r="D112" s="7" t="s">
        <v>231</v>
      </c>
      <c r="E112" s="7" t="s">
        <v>115</v>
      </c>
      <c r="F112" s="7" t="n">
        <v>28</v>
      </c>
      <c r="G112" s="7" t="n">
        <v>6.12</v>
      </c>
      <c r="H112" s="7" t="n">
        <v>6.16</v>
      </c>
      <c r="I112" s="7" t="n">
        <v>1</v>
      </c>
      <c r="J112" s="7" t="n">
        <v>0</v>
      </c>
      <c r="K112" s="7" t="n">
        <v>0</v>
      </c>
      <c r="L112" s="7" t="n">
        <v>0</v>
      </c>
      <c r="M112" s="7" t="n">
        <v>0</v>
      </c>
      <c r="N112" s="7" t="n">
        <v>0</v>
      </c>
      <c r="O112" s="7" t="n">
        <v>1</v>
      </c>
      <c r="P112" s="7" t="n">
        <v>6</v>
      </c>
      <c r="Q112" s="7" t="n">
        <v>0</v>
      </c>
      <c r="R112" s="7" t="n">
        <v>0</v>
      </c>
    </row>
    <row r="113" customFormat="false" ht="15" hidden="false" customHeight="true" outlineLevel="0" collapsed="false">
      <c r="A113" s="7" t="n">
        <v>6989</v>
      </c>
      <c r="B113" s="7" t="s">
        <v>44</v>
      </c>
      <c r="C113" s="7" t="s">
        <v>784</v>
      </c>
      <c r="D113" s="7" t="s">
        <v>234</v>
      </c>
      <c r="E113" s="7" t="s">
        <v>139</v>
      </c>
      <c r="F113" s="7" t="n">
        <v>36</v>
      </c>
      <c r="G113" s="7" t="n">
        <v>6</v>
      </c>
      <c r="H113" s="7" t="n">
        <v>6.01</v>
      </c>
      <c r="I113" s="7" t="n">
        <v>2</v>
      </c>
      <c r="J113" s="7" t="n">
        <v>0</v>
      </c>
      <c r="K113" s="7" t="n">
        <v>0</v>
      </c>
      <c r="L113" s="7" t="n">
        <v>0</v>
      </c>
      <c r="M113" s="7" t="n">
        <v>0</v>
      </c>
      <c r="N113" s="7" t="n">
        <v>0</v>
      </c>
      <c r="O113" s="7" t="n">
        <v>0</v>
      </c>
      <c r="P113" s="7" t="n">
        <v>7</v>
      </c>
      <c r="Q113" s="7" t="n">
        <v>0</v>
      </c>
      <c r="R113" s="7" t="n">
        <v>1</v>
      </c>
    </row>
    <row r="114" customFormat="false" ht="15" hidden="false" customHeight="true" outlineLevel="0" collapsed="false">
      <c r="A114" s="7" t="n">
        <v>4502</v>
      </c>
      <c r="B114" s="7" t="s">
        <v>44</v>
      </c>
      <c r="C114" s="7" t="s">
        <v>786</v>
      </c>
      <c r="D114" s="7" t="s">
        <v>255</v>
      </c>
      <c r="E114" s="7" t="s">
        <v>139</v>
      </c>
      <c r="F114" s="7" t="n">
        <v>37</v>
      </c>
      <c r="G114" s="7" t="n">
        <v>5.95</v>
      </c>
      <c r="H114" s="7" t="n">
        <v>5.99</v>
      </c>
      <c r="I114" s="7" t="n">
        <v>0</v>
      </c>
      <c r="J114" s="7" t="n">
        <v>0</v>
      </c>
      <c r="K114" s="7" t="n">
        <v>0</v>
      </c>
      <c r="L114" s="7" t="n">
        <v>0</v>
      </c>
      <c r="M114" s="7" t="n">
        <v>0</v>
      </c>
      <c r="N114" s="7" t="n">
        <v>0</v>
      </c>
      <c r="O114" s="7" t="n">
        <v>3</v>
      </c>
      <c r="P114" s="7" t="n">
        <v>3</v>
      </c>
      <c r="Q114" s="7" t="n">
        <v>0</v>
      </c>
      <c r="R114" s="7" t="n">
        <v>0</v>
      </c>
    </row>
    <row r="115" customFormat="false" ht="15" hidden="false" customHeight="true" outlineLevel="0" collapsed="false">
      <c r="A115" s="7" t="n">
        <v>6496</v>
      </c>
      <c r="B115" s="7" t="s">
        <v>44</v>
      </c>
      <c r="C115" s="7" t="s">
        <v>786</v>
      </c>
      <c r="D115" s="7" t="s">
        <v>222</v>
      </c>
      <c r="E115" s="7" t="s">
        <v>121</v>
      </c>
      <c r="F115" s="7" t="n">
        <v>31</v>
      </c>
      <c r="G115" s="7" t="n">
        <v>5.97</v>
      </c>
      <c r="H115" s="7" t="n">
        <v>6.05</v>
      </c>
      <c r="I115" s="7" t="n">
        <v>2</v>
      </c>
      <c r="J115" s="7" t="n">
        <v>0</v>
      </c>
      <c r="K115" s="7" t="n">
        <v>0</v>
      </c>
      <c r="L115" s="7" t="n">
        <v>0</v>
      </c>
      <c r="M115" s="7" t="n">
        <v>0</v>
      </c>
      <c r="N115" s="7" t="n">
        <v>0</v>
      </c>
      <c r="O115" s="7" t="n">
        <v>0</v>
      </c>
      <c r="P115" s="7" t="n">
        <v>3</v>
      </c>
      <c r="Q115" s="7" t="n">
        <v>0</v>
      </c>
      <c r="R115" s="7" t="n">
        <v>1</v>
      </c>
    </row>
    <row r="116" customFormat="false" ht="15" hidden="false" customHeight="true" outlineLevel="0" collapsed="false">
      <c r="A116" s="7" t="n">
        <v>6202</v>
      </c>
      <c r="B116" s="7" t="s">
        <v>44</v>
      </c>
      <c r="C116" s="7" t="s">
        <v>784</v>
      </c>
      <c r="D116" s="7" t="s">
        <v>257</v>
      </c>
      <c r="E116" s="7" t="s">
        <v>125</v>
      </c>
      <c r="F116" s="7" t="n">
        <v>22</v>
      </c>
      <c r="G116" s="7" t="n">
        <v>5.93</v>
      </c>
      <c r="H116" s="7" t="n">
        <v>6.16</v>
      </c>
      <c r="I116" s="7" t="n">
        <v>2</v>
      </c>
      <c r="J116" s="7" t="n">
        <v>0</v>
      </c>
      <c r="K116" s="7" t="n">
        <v>0</v>
      </c>
      <c r="L116" s="7" t="n">
        <v>0</v>
      </c>
      <c r="M116" s="7" t="n">
        <v>0</v>
      </c>
      <c r="N116" s="7" t="n">
        <v>0</v>
      </c>
      <c r="O116" s="7" t="n">
        <v>0</v>
      </c>
      <c r="P116" s="7" t="n">
        <v>2</v>
      </c>
      <c r="Q116" s="7" t="n">
        <v>0</v>
      </c>
      <c r="R116" s="7" t="n">
        <v>0</v>
      </c>
    </row>
    <row r="117" customFormat="false" ht="15" hidden="false" customHeight="true" outlineLevel="0" collapsed="false">
      <c r="A117" s="7" t="n">
        <v>2816</v>
      </c>
      <c r="B117" s="7" t="s">
        <v>44</v>
      </c>
      <c r="C117" s="7" t="s">
        <v>792</v>
      </c>
      <c r="D117" s="7" t="s">
        <v>204</v>
      </c>
      <c r="E117" s="7" t="s">
        <v>125</v>
      </c>
      <c r="F117" s="7" t="n">
        <v>26</v>
      </c>
      <c r="G117" s="7" t="n">
        <v>6.08</v>
      </c>
      <c r="H117" s="7" t="n">
        <v>6.33</v>
      </c>
      <c r="I117" s="7" t="n">
        <v>2</v>
      </c>
      <c r="J117" s="7" t="n">
        <v>0</v>
      </c>
      <c r="K117" s="7" t="n">
        <v>0</v>
      </c>
      <c r="L117" s="7" t="n">
        <v>0</v>
      </c>
      <c r="M117" s="7" t="n">
        <v>0</v>
      </c>
      <c r="N117" s="7" t="n">
        <v>0</v>
      </c>
      <c r="O117" s="7" t="n">
        <v>1</v>
      </c>
      <c r="P117" s="7" t="n">
        <v>1</v>
      </c>
      <c r="Q117" s="7" t="n">
        <v>0</v>
      </c>
      <c r="R117" s="7" t="n">
        <v>0</v>
      </c>
    </row>
    <row r="118" customFormat="false" ht="15" hidden="false" customHeight="true" outlineLevel="0" collapsed="false">
      <c r="A118" s="7" t="n">
        <v>6664</v>
      </c>
      <c r="B118" s="7" t="s">
        <v>44</v>
      </c>
      <c r="C118" s="7" t="s">
        <v>788</v>
      </c>
      <c r="D118" s="7" t="s">
        <v>224</v>
      </c>
      <c r="E118" s="7" t="s">
        <v>141</v>
      </c>
      <c r="F118" s="7" t="n">
        <v>35</v>
      </c>
      <c r="G118" s="7" t="n">
        <v>5.91</v>
      </c>
      <c r="H118" s="7" t="n">
        <v>6.01</v>
      </c>
      <c r="I118" s="7" t="n">
        <v>2</v>
      </c>
      <c r="J118" s="7" t="n">
        <v>0</v>
      </c>
      <c r="K118" s="7" t="n">
        <v>0</v>
      </c>
      <c r="L118" s="7" t="n">
        <v>0</v>
      </c>
      <c r="M118" s="7" t="n">
        <v>0</v>
      </c>
      <c r="N118" s="7" t="n">
        <v>0</v>
      </c>
      <c r="O118" s="7" t="n">
        <v>0</v>
      </c>
      <c r="P118" s="7" t="n">
        <v>5</v>
      </c>
      <c r="Q118" s="7" t="n">
        <v>0</v>
      </c>
      <c r="R118" s="7" t="n">
        <v>0</v>
      </c>
    </row>
    <row r="119" customFormat="false" ht="15" hidden="false" customHeight="true" outlineLevel="0" collapsed="false">
      <c r="A119" s="7" t="n">
        <v>4263</v>
      </c>
      <c r="B119" s="7" t="s">
        <v>44</v>
      </c>
      <c r="C119" s="7" t="s">
        <v>784</v>
      </c>
      <c r="D119" s="7" t="s">
        <v>296</v>
      </c>
      <c r="E119" s="7" t="s">
        <v>135</v>
      </c>
      <c r="F119" s="7" t="n">
        <v>28</v>
      </c>
      <c r="G119" s="7" t="n">
        <v>5.98</v>
      </c>
      <c r="H119" s="7" t="n">
        <v>6.18</v>
      </c>
      <c r="I119" s="7" t="n">
        <v>3</v>
      </c>
      <c r="J119" s="7" t="n">
        <v>0</v>
      </c>
      <c r="K119" s="7" t="n">
        <v>0</v>
      </c>
      <c r="L119" s="7" t="n">
        <v>0</v>
      </c>
      <c r="M119" s="7" t="n">
        <v>0</v>
      </c>
      <c r="N119" s="7" t="n">
        <v>0</v>
      </c>
      <c r="O119" s="7" t="n">
        <v>0</v>
      </c>
      <c r="P119" s="7" t="n">
        <v>5</v>
      </c>
      <c r="Q119" s="7" t="n">
        <v>1</v>
      </c>
      <c r="R119" s="7" t="n">
        <v>0</v>
      </c>
    </row>
    <row r="120" customFormat="false" ht="15" hidden="false" customHeight="true" outlineLevel="0" collapsed="false">
      <c r="A120" s="7" t="n">
        <v>6869</v>
      </c>
      <c r="B120" s="7" t="s">
        <v>44</v>
      </c>
      <c r="C120" s="7" t="s">
        <v>784</v>
      </c>
      <c r="D120" s="7" t="s">
        <v>208</v>
      </c>
      <c r="E120" s="7" t="s">
        <v>119</v>
      </c>
      <c r="F120" s="7" t="n">
        <v>32</v>
      </c>
      <c r="G120" s="7" t="n">
        <v>6.16</v>
      </c>
      <c r="H120" s="7" t="n">
        <v>6.14</v>
      </c>
      <c r="I120" s="7" t="n">
        <v>2</v>
      </c>
      <c r="J120" s="7" t="n">
        <v>0</v>
      </c>
      <c r="K120" s="7" t="n">
        <v>0</v>
      </c>
      <c r="L120" s="7" t="n">
        <v>0</v>
      </c>
      <c r="M120" s="7" t="n">
        <v>0</v>
      </c>
      <c r="N120" s="7" t="n">
        <v>0</v>
      </c>
      <c r="O120" s="7" t="n">
        <v>0</v>
      </c>
      <c r="P120" s="7" t="n">
        <v>11</v>
      </c>
      <c r="Q120" s="7" t="n">
        <v>1</v>
      </c>
      <c r="R120" s="7" t="n">
        <v>0</v>
      </c>
    </row>
    <row r="121" customFormat="false" ht="15" hidden="false" customHeight="true" outlineLevel="0" collapsed="false">
      <c r="A121" s="7" t="n">
        <v>7220</v>
      </c>
      <c r="B121" s="7" t="s">
        <v>44</v>
      </c>
      <c r="C121" s="7" t="s">
        <v>792</v>
      </c>
      <c r="D121" s="7" t="s">
        <v>794</v>
      </c>
      <c r="E121" s="7" t="s">
        <v>752</v>
      </c>
      <c r="F121" s="7" t="n">
        <v>26</v>
      </c>
      <c r="G121" s="7" t="n">
        <v>6.1</v>
      </c>
      <c r="H121" s="7" t="n">
        <v>6.21</v>
      </c>
      <c r="I121" s="7" t="n">
        <v>2</v>
      </c>
      <c r="J121" s="7" t="n">
        <v>0</v>
      </c>
      <c r="K121" s="7" t="n">
        <v>0</v>
      </c>
      <c r="L121" s="7" t="n">
        <v>0</v>
      </c>
      <c r="M121" s="7" t="n">
        <v>0</v>
      </c>
      <c r="N121" s="7" t="n">
        <v>0</v>
      </c>
      <c r="O121" s="7" t="n">
        <v>0</v>
      </c>
      <c r="P121" s="7" t="n">
        <v>6</v>
      </c>
      <c r="Q121" s="7" t="n">
        <v>0</v>
      </c>
      <c r="R121" s="7" t="n">
        <v>0</v>
      </c>
    </row>
    <row r="122" customFormat="false" ht="15" hidden="false" customHeight="true" outlineLevel="0" collapsed="false">
      <c r="A122" s="7" t="n">
        <v>5427</v>
      </c>
      <c r="B122" s="7" t="s">
        <v>44</v>
      </c>
      <c r="C122" s="7" t="s">
        <v>786</v>
      </c>
      <c r="D122" s="7" t="s">
        <v>795</v>
      </c>
      <c r="E122" s="7" t="s">
        <v>125</v>
      </c>
      <c r="F122" s="7" t="n">
        <v>21</v>
      </c>
      <c r="G122" s="7" t="n">
        <v>5.98</v>
      </c>
      <c r="H122" s="7" t="n">
        <v>6.17</v>
      </c>
      <c r="I122" s="7" t="n">
        <v>1</v>
      </c>
      <c r="J122" s="7" t="n">
        <v>0</v>
      </c>
      <c r="K122" s="7" t="n">
        <v>0</v>
      </c>
      <c r="L122" s="7" t="n">
        <v>0</v>
      </c>
      <c r="M122" s="7" t="n">
        <v>0</v>
      </c>
      <c r="N122" s="7" t="n">
        <v>0</v>
      </c>
      <c r="O122" s="7" t="n">
        <v>1</v>
      </c>
      <c r="P122" s="7" t="n">
        <v>0</v>
      </c>
      <c r="Q122" s="7" t="n">
        <v>0</v>
      </c>
      <c r="R122" s="7" t="n">
        <v>0</v>
      </c>
    </row>
    <row r="123" customFormat="false" ht="15" hidden="false" customHeight="true" outlineLevel="0" collapsed="false">
      <c r="A123" s="7" t="n">
        <v>7329</v>
      </c>
      <c r="B123" s="7" t="s">
        <v>44</v>
      </c>
      <c r="C123" s="7" t="s">
        <v>786</v>
      </c>
      <c r="D123" s="7" t="s">
        <v>796</v>
      </c>
      <c r="E123" s="7" t="s">
        <v>184</v>
      </c>
      <c r="F123" s="7" t="n">
        <v>16</v>
      </c>
      <c r="G123" s="7" t="n">
        <v>6.06</v>
      </c>
      <c r="H123" s="7" t="n">
        <v>6.41</v>
      </c>
      <c r="I123" s="7" t="n">
        <v>1</v>
      </c>
      <c r="J123" s="7" t="n">
        <v>0</v>
      </c>
      <c r="K123" s="7" t="n">
        <v>0</v>
      </c>
      <c r="L123" s="7" t="n">
        <v>0</v>
      </c>
      <c r="M123" s="7" t="n">
        <v>0</v>
      </c>
      <c r="N123" s="7" t="n">
        <v>0</v>
      </c>
      <c r="O123" s="7" t="n">
        <v>3</v>
      </c>
      <c r="P123" s="7" t="n">
        <v>1</v>
      </c>
      <c r="Q123" s="7" t="n">
        <v>0</v>
      </c>
      <c r="R123" s="7" t="n">
        <v>0</v>
      </c>
    </row>
    <row r="124" customFormat="false" ht="15" hidden="false" customHeight="true" outlineLevel="0" collapsed="false">
      <c r="A124" s="7" t="n">
        <v>6066</v>
      </c>
      <c r="B124" s="7" t="s">
        <v>44</v>
      </c>
      <c r="C124" s="7" t="s">
        <v>787</v>
      </c>
      <c r="D124" s="7" t="s">
        <v>797</v>
      </c>
      <c r="E124" s="7" t="s">
        <v>119</v>
      </c>
      <c r="F124" s="7" t="n">
        <v>8</v>
      </c>
      <c r="G124" s="7" t="n">
        <v>6.06</v>
      </c>
      <c r="H124" s="7" t="n">
        <v>6.38</v>
      </c>
      <c r="I124" s="7" t="n">
        <v>1</v>
      </c>
      <c r="J124" s="7" t="n">
        <v>0</v>
      </c>
      <c r="K124" s="7" t="n">
        <v>0</v>
      </c>
      <c r="L124" s="7" t="n">
        <v>0</v>
      </c>
      <c r="M124" s="7" t="n">
        <v>0</v>
      </c>
      <c r="N124" s="7" t="n">
        <v>0</v>
      </c>
      <c r="O124" s="7" t="n">
        <v>0</v>
      </c>
      <c r="P124" s="7" t="n">
        <v>1</v>
      </c>
      <c r="Q124" s="7" t="n">
        <v>0</v>
      </c>
      <c r="R124" s="7" t="n">
        <v>0</v>
      </c>
    </row>
    <row r="125" customFormat="false" ht="15" hidden="false" customHeight="true" outlineLevel="0" collapsed="false">
      <c r="A125" s="7" t="n">
        <v>4210</v>
      </c>
      <c r="B125" s="7" t="s">
        <v>44</v>
      </c>
      <c r="C125" s="7" t="s">
        <v>784</v>
      </c>
      <c r="D125" s="7" t="s">
        <v>217</v>
      </c>
      <c r="E125" s="7" t="s">
        <v>129</v>
      </c>
      <c r="F125" s="7" t="n">
        <v>26</v>
      </c>
      <c r="G125" s="7" t="n">
        <v>6</v>
      </c>
      <c r="H125" s="7" t="n">
        <v>6.17</v>
      </c>
      <c r="I125" s="7" t="n">
        <v>2</v>
      </c>
      <c r="J125" s="7" t="n">
        <v>0</v>
      </c>
      <c r="K125" s="7" t="n">
        <v>0</v>
      </c>
      <c r="L125" s="7" t="n">
        <v>0</v>
      </c>
      <c r="M125" s="7" t="n">
        <v>0</v>
      </c>
      <c r="N125" s="7" t="n">
        <v>0</v>
      </c>
      <c r="O125" s="7" t="n">
        <v>1</v>
      </c>
      <c r="P125" s="7" t="n">
        <v>3</v>
      </c>
      <c r="Q125" s="7" t="n">
        <v>1</v>
      </c>
      <c r="R125" s="7" t="n">
        <v>0</v>
      </c>
    </row>
    <row r="126" customFormat="false" ht="15" hidden="false" customHeight="true" outlineLevel="0" collapsed="false">
      <c r="A126" s="7" t="n">
        <v>5435</v>
      </c>
      <c r="B126" s="7" t="s">
        <v>44</v>
      </c>
      <c r="C126" s="7" t="s">
        <v>786</v>
      </c>
      <c r="D126" s="7" t="s">
        <v>798</v>
      </c>
      <c r="E126" s="7" t="s">
        <v>119</v>
      </c>
      <c r="F126" s="7" t="n">
        <v>16</v>
      </c>
      <c r="G126" s="7" t="n">
        <v>6.06</v>
      </c>
      <c r="H126" s="7" t="n">
        <v>6.38</v>
      </c>
      <c r="I126" s="7" t="n">
        <v>2</v>
      </c>
      <c r="J126" s="7" t="n">
        <v>0</v>
      </c>
      <c r="K126" s="7" t="n">
        <v>0</v>
      </c>
      <c r="L126" s="7" t="n">
        <v>0</v>
      </c>
      <c r="M126" s="7" t="n">
        <v>0</v>
      </c>
      <c r="N126" s="7" t="n">
        <v>0</v>
      </c>
      <c r="O126" s="7" t="n">
        <v>1</v>
      </c>
      <c r="P126" s="7" t="n">
        <v>4</v>
      </c>
      <c r="Q126" s="7" t="n">
        <v>0</v>
      </c>
      <c r="R126" s="7" t="n">
        <v>0</v>
      </c>
    </row>
    <row r="127" customFormat="false" ht="15" hidden="false" customHeight="true" outlineLevel="0" collapsed="false">
      <c r="A127" s="7" t="n">
        <v>5520</v>
      </c>
      <c r="B127" s="7" t="s">
        <v>44</v>
      </c>
      <c r="C127" s="7" t="s">
        <v>783</v>
      </c>
      <c r="D127" s="7" t="s">
        <v>212</v>
      </c>
      <c r="E127" s="7" t="s">
        <v>131</v>
      </c>
      <c r="F127" s="7" t="n">
        <v>36</v>
      </c>
      <c r="G127" s="7" t="n">
        <v>5.81</v>
      </c>
      <c r="H127" s="7" t="n">
        <v>5.99</v>
      </c>
      <c r="I127" s="7" t="n">
        <v>3</v>
      </c>
      <c r="J127" s="7" t="n">
        <v>0</v>
      </c>
      <c r="K127" s="7" t="n">
        <v>0</v>
      </c>
      <c r="L127" s="7" t="n">
        <v>0</v>
      </c>
      <c r="M127" s="7" t="n">
        <v>0</v>
      </c>
      <c r="N127" s="7" t="n">
        <v>0</v>
      </c>
      <c r="O127" s="7" t="n">
        <v>4</v>
      </c>
      <c r="P127" s="7" t="n">
        <v>3</v>
      </c>
      <c r="Q127" s="7" t="n">
        <v>1</v>
      </c>
      <c r="R127" s="7" t="n">
        <v>2</v>
      </c>
    </row>
    <row r="128" customFormat="false" ht="15" hidden="false" customHeight="true" outlineLevel="0" collapsed="false">
      <c r="A128" s="7" t="n">
        <v>5835</v>
      </c>
      <c r="B128" s="7" t="s">
        <v>44</v>
      </c>
      <c r="C128" s="7" t="s">
        <v>784</v>
      </c>
      <c r="D128" s="7" t="s">
        <v>799</v>
      </c>
      <c r="E128" s="7" t="s">
        <v>750</v>
      </c>
      <c r="F128" s="7" t="n">
        <v>29</v>
      </c>
      <c r="G128" s="7" t="n">
        <v>5.95</v>
      </c>
      <c r="H128" s="7" t="n">
        <v>6.12</v>
      </c>
      <c r="I128" s="7" t="n">
        <v>2</v>
      </c>
      <c r="J128" s="7" t="n">
        <v>0</v>
      </c>
      <c r="K128" s="7" t="n">
        <v>0</v>
      </c>
      <c r="L128" s="7" t="n">
        <v>0</v>
      </c>
      <c r="M128" s="7" t="n">
        <v>0</v>
      </c>
      <c r="N128" s="7" t="n">
        <v>0</v>
      </c>
      <c r="O128" s="7" t="n">
        <v>0</v>
      </c>
      <c r="P128" s="7" t="n">
        <v>2</v>
      </c>
      <c r="Q128" s="7" t="n">
        <v>0</v>
      </c>
      <c r="R128" s="7" t="n">
        <v>0</v>
      </c>
    </row>
    <row r="129" customFormat="false" ht="15" hidden="false" customHeight="true" outlineLevel="0" collapsed="false">
      <c r="A129" s="7" t="n">
        <v>7143</v>
      </c>
      <c r="B129" s="7" t="s">
        <v>44</v>
      </c>
      <c r="C129" s="7" t="s">
        <v>786</v>
      </c>
      <c r="D129" s="7" t="s">
        <v>800</v>
      </c>
      <c r="E129" s="7" t="s">
        <v>755</v>
      </c>
      <c r="F129" s="7" t="n">
        <v>35</v>
      </c>
      <c r="G129" s="7" t="n">
        <v>5.91</v>
      </c>
      <c r="H129" s="7" t="n">
        <v>5.94</v>
      </c>
      <c r="I129" s="7" t="n">
        <v>0</v>
      </c>
      <c r="J129" s="7" t="n">
        <v>0</v>
      </c>
      <c r="K129" s="7" t="n">
        <v>0</v>
      </c>
      <c r="L129" s="7" t="n">
        <v>0</v>
      </c>
      <c r="M129" s="7" t="n">
        <v>0</v>
      </c>
      <c r="N129" s="7" t="n">
        <v>0</v>
      </c>
      <c r="O129" s="7" t="n">
        <v>2</v>
      </c>
      <c r="P129" s="7" t="n">
        <v>2</v>
      </c>
      <c r="Q129" s="7" t="n">
        <v>0</v>
      </c>
      <c r="R129" s="7" t="n">
        <v>0</v>
      </c>
    </row>
    <row r="130" customFormat="false" ht="15" hidden="false" customHeight="true" outlineLevel="0" collapsed="false">
      <c r="A130" s="7" t="n">
        <v>6642</v>
      </c>
      <c r="B130" s="7" t="s">
        <v>44</v>
      </c>
      <c r="C130" s="7" t="s">
        <v>784</v>
      </c>
      <c r="D130" s="7" t="s">
        <v>239</v>
      </c>
      <c r="E130" s="7" t="s">
        <v>184</v>
      </c>
      <c r="F130" s="7" t="n">
        <v>35</v>
      </c>
      <c r="G130" s="7" t="n">
        <v>5.84</v>
      </c>
      <c r="H130" s="7" t="n">
        <v>5.91</v>
      </c>
      <c r="I130" s="7" t="n">
        <v>1</v>
      </c>
      <c r="J130" s="7" t="n">
        <v>0</v>
      </c>
      <c r="K130" s="7" t="n">
        <v>0</v>
      </c>
      <c r="L130" s="7" t="n">
        <v>0</v>
      </c>
      <c r="M130" s="7" t="n">
        <v>0</v>
      </c>
      <c r="N130" s="7" t="n">
        <v>0</v>
      </c>
      <c r="O130" s="7" t="n">
        <v>1</v>
      </c>
      <c r="P130" s="7" t="n">
        <v>3</v>
      </c>
      <c r="Q130" s="7" t="n">
        <v>0</v>
      </c>
      <c r="R130" s="7" t="n">
        <v>0</v>
      </c>
    </row>
    <row r="131" customFormat="false" ht="15" hidden="false" customHeight="true" outlineLevel="0" collapsed="false">
      <c r="A131" s="7" t="n">
        <v>7219</v>
      </c>
      <c r="B131" s="7" t="s">
        <v>44</v>
      </c>
      <c r="C131" s="7" t="s">
        <v>783</v>
      </c>
      <c r="D131" s="7" t="s">
        <v>244</v>
      </c>
      <c r="E131" s="7" t="s">
        <v>117</v>
      </c>
      <c r="F131" s="7" t="n">
        <v>22</v>
      </c>
      <c r="G131" s="7" t="n">
        <v>6.09</v>
      </c>
      <c r="H131" s="7" t="n">
        <v>6.16</v>
      </c>
      <c r="I131" s="7" t="n">
        <v>0</v>
      </c>
      <c r="J131" s="7" t="n">
        <v>0</v>
      </c>
      <c r="K131" s="7" t="n">
        <v>0</v>
      </c>
      <c r="L131" s="7" t="n">
        <v>0</v>
      </c>
      <c r="M131" s="7" t="n">
        <v>0</v>
      </c>
      <c r="N131" s="7" t="n">
        <v>0</v>
      </c>
      <c r="O131" s="7" t="n">
        <v>3</v>
      </c>
      <c r="P131" s="7" t="n">
        <v>3</v>
      </c>
      <c r="Q131" s="7" t="n">
        <v>0</v>
      </c>
      <c r="R131" s="7" t="n">
        <v>0</v>
      </c>
    </row>
    <row r="132" customFormat="false" ht="15" hidden="false" customHeight="true" outlineLevel="0" collapsed="false">
      <c r="A132" s="7" t="n">
        <v>393</v>
      </c>
      <c r="B132" s="7" t="s">
        <v>44</v>
      </c>
      <c r="C132" s="7" t="s">
        <v>784</v>
      </c>
      <c r="D132" s="7" t="s">
        <v>801</v>
      </c>
      <c r="E132" s="7" t="s">
        <v>750</v>
      </c>
      <c r="F132" s="7" t="n">
        <v>34</v>
      </c>
      <c r="G132" s="7" t="n">
        <v>5.84</v>
      </c>
      <c r="H132" s="7" t="n">
        <v>5.9</v>
      </c>
      <c r="I132" s="7" t="n">
        <v>1</v>
      </c>
      <c r="J132" s="7" t="n">
        <v>0</v>
      </c>
      <c r="K132" s="7" t="n">
        <v>0</v>
      </c>
      <c r="L132" s="7" t="n">
        <v>0</v>
      </c>
      <c r="M132" s="7" t="n">
        <v>0</v>
      </c>
      <c r="N132" s="7" t="n">
        <v>0</v>
      </c>
      <c r="O132" s="7" t="n">
        <v>1</v>
      </c>
      <c r="P132" s="7" t="n">
        <v>4</v>
      </c>
      <c r="Q132" s="7" t="n">
        <v>0</v>
      </c>
      <c r="R132" s="7" t="n">
        <v>0</v>
      </c>
    </row>
    <row r="133" customFormat="false" ht="15" hidden="false" customHeight="true" outlineLevel="0" collapsed="false">
      <c r="A133" s="7" t="n">
        <v>4433</v>
      </c>
      <c r="B133" s="7" t="s">
        <v>44</v>
      </c>
      <c r="C133" s="7" t="s">
        <v>783</v>
      </c>
      <c r="D133" s="7" t="s">
        <v>246</v>
      </c>
      <c r="E133" s="7" t="s">
        <v>127</v>
      </c>
      <c r="F133" s="7" t="n">
        <v>28</v>
      </c>
      <c r="G133" s="7" t="n">
        <v>5.86</v>
      </c>
      <c r="H133" s="7" t="n">
        <v>5.89</v>
      </c>
      <c r="I133" s="7" t="n">
        <v>0</v>
      </c>
      <c r="J133" s="7" t="n">
        <v>0</v>
      </c>
      <c r="K133" s="7" t="n">
        <v>0</v>
      </c>
      <c r="L133" s="7" t="n">
        <v>0</v>
      </c>
      <c r="M133" s="7" t="n">
        <v>0</v>
      </c>
      <c r="N133" s="7" t="n">
        <v>0</v>
      </c>
      <c r="O133" s="7" t="n">
        <v>2</v>
      </c>
      <c r="P133" s="7" t="n">
        <v>2</v>
      </c>
      <c r="Q133" s="7" t="n">
        <v>0</v>
      </c>
      <c r="R133" s="7" t="n">
        <v>0</v>
      </c>
    </row>
    <row r="134" customFormat="false" ht="15" hidden="false" customHeight="true" outlineLevel="0" collapsed="false">
      <c r="A134" s="7" t="n">
        <v>4177</v>
      </c>
      <c r="B134" s="7" t="s">
        <v>44</v>
      </c>
      <c r="C134" s="7" t="s">
        <v>787</v>
      </c>
      <c r="D134" s="7" t="s">
        <v>252</v>
      </c>
      <c r="E134" s="7" t="s">
        <v>115</v>
      </c>
      <c r="F134" s="7" t="n">
        <v>1</v>
      </c>
      <c r="G134" s="7" t="n">
        <v>6.5</v>
      </c>
      <c r="H134" s="7" t="n">
        <v>6.5</v>
      </c>
      <c r="I134" s="7" t="n">
        <v>0</v>
      </c>
      <c r="J134" s="7" t="n">
        <v>0</v>
      </c>
      <c r="K134" s="7" t="n">
        <v>0</v>
      </c>
      <c r="L134" s="7" t="n">
        <v>0</v>
      </c>
      <c r="M134" s="7" t="n">
        <v>0</v>
      </c>
      <c r="N134" s="7" t="n">
        <v>0</v>
      </c>
      <c r="O134" s="7" t="n">
        <v>0</v>
      </c>
      <c r="P134" s="7" t="n">
        <v>0</v>
      </c>
      <c r="Q134" s="7" t="n">
        <v>0</v>
      </c>
      <c r="R134" s="7" t="n">
        <v>0</v>
      </c>
    </row>
    <row r="135" customFormat="false" ht="15" hidden="false" customHeight="true" outlineLevel="0" collapsed="false">
      <c r="A135" s="7" t="n">
        <v>5833</v>
      </c>
      <c r="B135" s="7" t="s">
        <v>44</v>
      </c>
      <c r="C135" s="7" t="s">
        <v>784</v>
      </c>
      <c r="D135" s="7" t="s">
        <v>203</v>
      </c>
      <c r="E135" s="7" t="s">
        <v>133</v>
      </c>
      <c r="F135" s="7" t="n">
        <v>31</v>
      </c>
      <c r="G135" s="7" t="n">
        <v>6.03</v>
      </c>
      <c r="H135" s="7" t="n">
        <v>5.95</v>
      </c>
      <c r="I135" s="7" t="n">
        <v>0</v>
      </c>
      <c r="J135" s="7" t="n">
        <v>0</v>
      </c>
      <c r="K135" s="7" t="n">
        <v>0</v>
      </c>
      <c r="L135" s="7" t="n">
        <v>0</v>
      </c>
      <c r="M135" s="7" t="n">
        <v>0</v>
      </c>
      <c r="N135" s="7" t="n">
        <v>0</v>
      </c>
      <c r="O135" s="7" t="n">
        <v>0</v>
      </c>
      <c r="P135" s="7" t="n">
        <v>3</v>
      </c>
      <c r="Q135" s="7" t="n">
        <v>1</v>
      </c>
      <c r="R135" s="7" t="n">
        <v>0</v>
      </c>
    </row>
    <row r="136" customFormat="false" ht="15" hidden="false" customHeight="true" outlineLevel="0" collapsed="false">
      <c r="A136" s="7" t="n">
        <v>460</v>
      </c>
      <c r="B136" s="7" t="s">
        <v>44</v>
      </c>
      <c r="C136" s="7" t="s">
        <v>784</v>
      </c>
      <c r="D136" s="7" t="s">
        <v>233</v>
      </c>
      <c r="E136" s="7" t="s">
        <v>133</v>
      </c>
      <c r="F136" s="7" t="n">
        <v>32</v>
      </c>
      <c r="G136" s="7" t="n">
        <v>6.03</v>
      </c>
      <c r="H136" s="7" t="n">
        <v>5.92</v>
      </c>
      <c r="I136" s="7" t="n">
        <v>0</v>
      </c>
      <c r="J136" s="7" t="n">
        <v>0</v>
      </c>
      <c r="K136" s="7" t="n">
        <v>0</v>
      </c>
      <c r="L136" s="7" t="n">
        <v>0</v>
      </c>
      <c r="M136" s="7" t="n">
        <v>0</v>
      </c>
      <c r="N136" s="7" t="n">
        <v>0</v>
      </c>
      <c r="O136" s="7" t="n">
        <v>0</v>
      </c>
      <c r="P136" s="7" t="n">
        <v>5</v>
      </c>
      <c r="Q136" s="7" t="n">
        <v>1</v>
      </c>
      <c r="R136" s="7" t="n">
        <v>0</v>
      </c>
    </row>
    <row r="137" customFormat="false" ht="15" hidden="false" customHeight="true" outlineLevel="0" collapsed="false">
      <c r="A137" s="7" t="n">
        <v>2188</v>
      </c>
      <c r="B137" s="7" t="s">
        <v>44</v>
      </c>
      <c r="C137" s="7" t="s">
        <v>802</v>
      </c>
      <c r="D137" s="7" t="s">
        <v>254</v>
      </c>
      <c r="E137" s="7" t="s">
        <v>133</v>
      </c>
      <c r="F137" s="7" t="n">
        <v>33</v>
      </c>
      <c r="G137" s="7" t="n">
        <v>5.86</v>
      </c>
      <c r="H137" s="7" t="n">
        <v>5.97</v>
      </c>
      <c r="I137" s="7" t="n">
        <v>1</v>
      </c>
      <c r="J137" s="7" t="n">
        <v>0</v>
      </c>
      <c r="K137" s="7" t="n">
        <v>0</v>
      </c>
      <c r="L137" s="7" t="n">
        <v>0</v>
      </c>
      <c r="M137" s="7" t="n">
        <v>0</v>
      </c>
      <c r="N137" s="7" t="n">
        <v>0</v>
      </c>
      <c r="O137" s="7" t="n">
        <v>2</v>
      </c>
      <c r="P137" s="7" t="n">
        <v>1</v>
      </c>
      <c r="Q137" s="7" t="n">
        <v>1</v>
      </c>
      <c r="R137" s="7" t="n">
        <v>0</v>
      </c>
    </row>
    <row r="138" customFormat="false" ht="15" hidden="false" customHeight="true" outlineLevel="0" collapsed="false">
      <c r="A138" s="7" t="n">
        <v>4751</v>
      </c>
      <c r="B138" s="7" t="s">
        <v>44</v>
      </c>
      <c r="C138" s="7" t="s">
        <v>784</v>
      </c>
      <c r="D138" s="7" t="s">
        <v>236</v>
      </c>
      <c r="E138" s="7" t="s">
        <v>121</v>
      </c>
      <c r="F138" s="7" t="n">
        <v>32</v>
      </c>
      <c r="G138" s="7" t="n">
        <v>5.97</v>
      </c>
      <c r="H138" s="7" t="n">
        <v>5.88</v>
      </c>
      <c r="I138" s="7" t="n">
        <v>0</v>
      </c>
      <c r="J138" s="7" t="n">
        <v>0</v>
      </c>
      <c r="K138" s="7" t="n">
        <v>0</v>
      </c>
      <c r="L138" s="7" t="n">
        <v>0</v>
      </c>
      <c r="M138" s="7" t="n">
        <v>0</v>
      </c>
      <c r="N138" s="7" t="n">
        <v>0</v>
      </c>
      <c r="O138" s="7" t="n">
        <v>1</v>
      </c>
      <c r="P138" s="7" t="n">
        <v>6</v>
      </c>
      <c r="Q138" s="7" t="n">
        <v>1</v>
      </c>
      <c r="R138" s="7" t="n">
        <v>0</v>
      </c>
    </row>
    <row r="139" customFormat="false" ht="15" hidden="false" customHeight="true" outlineLevel="0" collapsed="false">
      <c r="A139" s="7" t="n">
        <v>2724</v>
      </c>
      <c r="B139" s="7" t="s">
        <v>44</v>
      </c>
      <c r="C139" s="7" t="s">
        <v>784</v>
      </c>
      <c r="D139" s="7" t="s">
        <v>237</v>
      </c>
      <c r="E139" s="7" t="s">
        <v>125</v>
      </c>
      <c r="F139" s="7" t="n">
        <v>32</v>
      </c>
      <c r="G139" s="7" t="n">
        <v>5.89</v>
      </c>
      <c r="H139" s="7" t="n">
        <v>5.88</v>
      </c>
      <c r="I139" s="7" t="n">
        <v>0</v>
      </c>
      <c r="J139" s="7" t="n">
        <v>0</v>
      </c>
      <c r="K139" s="7" t="n">
        <v>0</v>
      </c>
      <c r="L139" s="7" t="n">
        <v>0</v>
      </c>
      <c r="M139" s="7" t="n">
        <v>0</v>
      </c>
      <c r="N139" s="7" t="n">
        <v>0</v>
      </c>
      <c r="O139" s="7" t="n">
        <v>1</v>
      </c>
      <c r="P139" s="7" t="n">
        <v>3</v>
      </c>
      <c r="Q139" s="7" t="n">
        <v>0</v>
      </c>
      <c r="R139" s="7" t="n">
        <v>0</v>
      </c>
    </row>
    <row r="140" customFormat="false" ht="15" hidden="false" customHeight="true" outlineLevel="0" collapsed="false">
      <c r="A140" s="7" t="n">
        <v>6663</v>
      </c>
      <c r="B140" s="7" t="s">
        <v>44</v>
      </c>
      <c r="C140" s="7" t="s">
        <v>784</v>
      </c>
      <c r="D140" s="7" t="s">
        <v>258</v>
      </c>
      <c r="E140" s="7" t="s">
        <v>141</v>
      </c>
      <c r="F140" s="7" t="n">
        <v>31</v>
      </c>
      <c r="G140" s="7" t="n">
        <v>5.92</v>
      </c>
      <c r="H140" s="7" t="n">
        <v>5.92</v>
      </c>
      <c r="I140" s="7" t="n">
        <v>1</v>
      </c>
      <c r="J140" s="7" t="n">
        <v>0</v>
      </c>
      <c r="K140" s="7" t="n">
        <v>0</v>
      </c>
      <c r="L140" s="7" t="n">
        <v>0</v>
      </c>
      <c r="M140" s="7" t="n">
        <v>0</v>
      </c>
      <c r="N140" s="7" t="n">
        <v>0</v>
      </c>
      <c r="O140" s="7" t="n">
        <v>0</v>
      </c>
      <c r="P140" s="7" t="n">
        <v>6</v>
      </c>
      <c r="Q140" s="7" t="n">
        <v>0</v>
      </c>
      <c r="R140" s="7" t="n">
        <v>0</v>
      </c>
    </row>
    <row r="141" customFormat="false" ht="15" hidden="false" customHeight="true" outlineLevel="0" collapsed="false">
      <c r="A141" s="7" t="n">
        <v>7155</v>
      </c>
      <c r="B141" s="7" t="s">
        <v>44</v>
      </c>
      <c r="C141" s="7" t="s">
        <v>784</v>
      </c>
      <c r="D141" s="7" t="s">
        <v>803</v>
      </c>
      <c r="E141" s="7" t="s">
        <v>144</v>
      </c>
      <c r="F141" s="7" t="n">
        <v>32</v>
      </c>
      <c r="G141" s="7" t="n">
        <v>5.91</v>
      </c>
      <c r="H141" s="7" t="n">
        <v>5.89</v>
      </c>
      <c r="I141" s="7" t="n">
        <v>2</v>
      </c>
      <c r="J141" s="7" t="n">
        <v>0</v>
      </c>
      <c r="K141" s="7" t="n">
        <v>0</v>
      </c>
      <c r="L141" s="7" t="n">
        <v>0</v>
      </c>
      <c r="M141" s="7" t="n">
        <v>0</v>
      </c>
      <c r="N141" s="7" t="n">
        <v>0</v>
      </c>
      <c r="O141" s="7" t="n">
        <v>1</v>
      </c>
      <c r="P141" s="7" t="n">
        <v>7</v>
      </c>
      <c r="Q141" s="7" t="n">
        <v>0</v>
      </c>
      <c r="R141" s="7" t="n">
        <v>2</v>
      </c>
    </row>
    <row r="142" customFormat="false" ht="15" hidden="false" customHeight="true" outlineLevel="0" collapsed="false">
      <c r="A142" s="7" t="n">
        <v>4665</v>
      </c>
      <c r="B142" s="7" t="s">
        <v>44</v>
      </c>
      <c r="C142" s="7" t="s">
        <v>784</v>
      </c>
      <c r="D142" s="7" t="s">
        <v>804</v>
      </c>
      <c r="E142" s="7" t="s">
        <v>184</v>
      </c>
      <c r="F142" s="7" t="n">
        <v>26</v>
      </c>
      <c r="G142" s="7" t="n">
        <v>5.94</v>
      </c>
      <c r="H142" s="7" t="n">
        <v>6.1</v>
      </c>
      <c r="I142" s="7" t="n">
        <v>2</v>
      </c>
      <c r="J142" s="7" t="n">
        <v>0</v>
      </c>
      <c r="K142" s="7" t="n">
        <v>0</v>
      </c>
      <c r="L142" s="7" t="n">
        <v>0</v>
      </c>
      <c r="M142" s="7" t="n">
        <v>0</v>
      </c>
      <c r="N142" s="7" t="n">
        <v>0</v>
      </c>
      <c r="O142" s="7" t="n">
        <v>0</v>
      </c>
      <c r="P142" s="7" t="n">
        <v>4</v>
      </c>
      <c r="Q142" s="7" t="n">
        <v>0</v>
      </c>
      <c r="R142" s="7" t="n">
        <v>0</v>
      </c>
    </row>
    <row r="143" customFormat="false" ht="15" hidden="false" customHeight="true" outlineLevel="0" collapsed="false">
      <c r="A143" s="7" t="n">
        <v>6631</v>
      </c>
      <c r="B143" s="7" t="s">
        <v>44</v>
      </c>
      <c r="C143" s="7" t="s">
        <v>784</v>
      </c>
      <c r="D143" s="7" t="s">
        <v>292</v>
      </c>
      <c r="E143" s="7" t="s">
        <v>113</v>
      </c>
      <c r="F143" s="7" t="n">
        <v>21</v>
      </c>
      <c r="G143" s="7" t="n">
        <v>5.98</v>
      </c>
      <c r="H143" s="7" t="n">
        <v>5.95</v>
      </c>
      <c r="I143" s="7" t="n">
        <v>0</v>
      </c>
      <c r="J143" s="7" t="n">
        <v>0</v>
      </c>
      <c r="K143" s="7" t="n">
        <v>0</v>
      </c>
      <c r="L143" s="7" t="n">
        <v>0</v>
      </c>
      <c r="M143" s="7" t="n">
        <v>0</v>
      </c>
      <c r="N143" s="7" t="n">
        <v>0</v>
      </c>
      <c r="O143" s="7" t="n">
        <v>0</v>
      </c>
      <c r="P143" s="7" t="n">
        <v>1</v>
      </c>
      <c r="Q143" s="7" t="n">
        <v>0</v>
      </c>
      <c r="R143" s="7" t="n">
        <v>0</v>
      </c>
    </row>
    <row r="144" customFormat="false" ht="15" hidden="false" customHeight="true" outlineLevel="0" collapsed="false">
      <c r="A144" s="7" t="n">
        <v>6480</v>
      </c>
      <c r="B144" s="7" t="s">
        <v>44</v>
      </c>
      <c r="C144" s="7" t="s">
        <v>792</v>
      </c>
      <c r="D144" s="7" t="s">
        <v>805</v>
      </c>
      <c r="E144" s="7" t="s">
        <v>752</v>
      </c>
      <c r="F144" s="7" t="n">
        <v>0</v>
      </c>
      <c r="G144" s="7" t="n">
        <v>0</v>
      </c>
      <c r="H144" s="7" t="n">
        <v>0</v>
      </c>
      <c r="I144" s="7" t="n">
        <v>0</v>
      </c>
      <c r="J144" s="7" t="n">
        <v>0</v>
      </c>
      <c r="K144" s="7" t="n">
        <v>0</v>
      </c>
      <c r="L144" s="7" t="n">
        <v>0</v>
      </c>
      <c r="M144" s="7" t="n">
        <v>0</v>
      </c>
      <c r="N144" s="7" t="n">
        <v>0</v>
      </c>
      <c r="O144" s="7" t="n">
        <v>0</v>
      </c>
      <c r="P144" s="7" t="n">
        <v>0</v>
      </c>
      <c r="Q144" s="7" t="n">
        <v>0</v>
      </c>
      <c r="R144" s="7" t="n">
        <v>0</v>
      </c>
    </row>
    <row r="145" customFormat="false" ht="15" hidden="false" customHeight="true" outlineLevel="0" collapsed="false">
      <c r="A145" s="7" t="n">
        <v>6672</v>
      </c>
      <c r="B145" s="7" t="s">
        <v>44</v>
      </c>
      <c r="C145" s="7" t="s">
        <v>784</v>
      </c>
      <c r="D145" s="7" t="s">
        <v>238</v>
      </c>
      <c r="E145" s="7" t="s">
        <v>144</v>
      </c>
      <c r="F145" s="7" t="n">
        <v>35</v>
      </c>
      <c r="G145" s="7" t="n">
        <v>5.94</v>
      </c>
      <c r="H145" s="7" t="n">
        <v>5.9</v>
      </c>
      <c r="I145" s="7" t="n">
        <v>0</v>
      </c>
      <c r="J145" s="7" t="n">
        <v>0</v>
      </c>
      <c r="K145" s="7" t="n">
        <v>0</v>
      </c>
      <c r="L145" s="7" t="n">
        <v>0</v>
      </c>
      <c r="M145" s="7" t="n">
        <v>0</v>
      </c>
      <c r="N145" s="7" t="n">
        <v>0</v>
      </c>
      <c r="O145" s="7" t="n">
        <v>0</v>
      </c>
      <c r="P145" s="7" t="n">
        <v>3</v>
      </c>
      <c r="Q145" s="7" t="n">
        <v>0</v>
      </c>
      <c r="R145" s="7" t="n">
        <v>0</v>
      </c>
    </row>
    <row r="146" customFormat="false" ht="15" hidden="false" customHeight="true" outlineLevel="0" collapsed="false">
      <c r="A146" s="7" t="n">
        <v>4137</v>
      </c>
      <c r="B146" s="7" t="s">
        <v>44</v>
      </c>
      <c r="C146" s="7" t="s">
        <v>784</v>
      </c>
      <c r="D146" s="7" t="s">
        <v>806</v>
      </c>
      <c r="E146" s="7" t="s">
        <v>119</v>
      </c>
      <c r="F146" s="7" t="n">
        <v>25</v>
      </c>
      <c r="G146" s="7" t="n">
        <v>6.14</v>
      </c>
      <c r="H146" s="7" t="n">
        <v>6.1</v>
      </c>
      <c r="I146" s="7" t="n">
        <v>1</v>
      </c>
      <c r="J146" s="7" t="n">
        <v>0</v>
      </c>
      <c r="K146" s="7" t="n">
        <v>0</v>
      </c>
      <c r="L146" s="7" t="n">
        <v>0</v>
      </c>
      <c r="M146" s="7" t="n">
        <v>0</v>
      </c>
      <c r="N146" s="7" t="n">
        <v>0</v>
      </c>
      <c r="O146" s="7" t="n">
        <v>0</v>
      </c>
      <c r="P146" s="7" t="n">
        <v>8</v>
      </c>
      <c r="Q146" s="7" t="n">
        <v>0</v>
      </c>
      <c r="R146" s="7" t="n">
        <v>0</v>
      </c>
    </row>
    <row r="147" customFormat="false" ht="15" hidden="false" customHeight="true" outlineLevel="0" collapsed="false">
      <c r="A147" s="7" t="n">
        <v>6550</v>
      </c>
      <c r="B147" s="7" t="s">
        <v>44</v>
      </c>
      <c r="C147" s="7" t="s">
        <v>793</v>
      </c>
      <c r="D147" s="7" t="s">
        <v>807</v>
      </c>
      <c r="E147" s="7" t="s">
        <v>144</v>
      </c>
      <c r="F147" s="7" t="n">
        <v>12</v>
      </c>
      <c r="G147" s="7" t="n">
        <v>6.17</v>
      </c>
      <c r="H147" s="7" t="n">
        <v>6.46</v>
      </c>
      <c r="I147" s="7" t="n">
        <v>1</v>
      </c>
      <c r="J147" s="7" t="n">
        <v>0</v>
      </c>
      <c r="K147" s="7" t="n">
        <v>0</v>
      </c>
      <c r="L147" s="7" t="n">
        <v>0</v>
      </c>
      <c r="M147" s="7" t="n">
        <v>0</v>
      </c>
      <c r="N147" s="7" t="n">
        <v>0</v>
      </c>
      <c r="O147" s="7" t="n">
        <v>2</v>
      </c>
      <c r="P147" s="7" t="n">
        <v>3</v>
      </c>
      <c r="Q147" s="7" t="n">
        <v>0</v>
      </c>
      <c r="R147" s="7" t="n">
        <v>0</v>
      </c>
    </row>
    <row r="148" customFormat="false" ht="15" hidden="false" customHeight="true" outlineLevel="0" collapsed="false">
      <c r="A148" s="7" t="n">
        <v>787</v>
      </c>
      <c r="B148" s="7" t="s">
        <v>44</v>
      </c>
      <c r="C148" s="7" t="s">
        <v>784</v>
      </c>
      <c r="D148" s="7" t="s">
        <v>228</v>
      </c>
      <c r="E148" s="7" t="s">
        <v>117</v>
      </c>
      <c r="F148" s="7" t="n">
        <v>33</v>
      </c>
      <c r="G148" s="7" t="n">
        <v>5.86</v>
      </c>
      <c r="H148" s="7" t="n">
        <v>5.8</v>
      </c>
      <c r="I148" s="7" t="n">
        <v>0</v>
      </c>
      <c r="J148" s="7" t="n">
        <v>0</v>
      </c>
      <c r="K148" s="7" t="n">
        <v>0</v>
      </c>
      <c r="L148" s="7" t="n">
        <v>0</v>
      </c>
      <c r="M148" s="7" t="n">
        <v>0</v>
      </c>
      <c r="N148" s="7" t="n">
        <v>0</v>
      </c>
      <c r="O148" s="7" t="n">
        <v>0</v>
      </c>
      <c r="P148" s="7" t="n">
        <v>4</v>
      </c>
      <c r="Q148" s="7" t="n">
        <v>0</v>
      </c>
      <c r="R148" s="7" t="n">
        <v>0</v>
      </c>
    </row>
    <row r="149" customFormat="false" ht="15" hidden="false" customHeight="true" outlineLevel="0" collapsed="false">
      <c r="A149" s="7" t="n">
        <v>2640</v>
      </c>
      <c r="B149" s="7" t="s">
        <v>44</v>
      </c>
      <c r="C149" s="7" t="s">
        <v>793</v>
      </c>
      <c r="D149" s="7" t="s">
        <v>262</v>
      </c>
      <c r="E149" s="7" t="s">
        <v>117</v>
      </c>
      <c r="F149" s="7" t="n">
        <v>17</v>
      </c>
      <c r="G149" s="7" t="n">
        <v>6.03</v>
      </c>
      <c r="H149" s="7" t="n">
        <v>5.94</v>
      </c>
      <c r="I149" s="7" t="n">
        <v>0</v>
      </c>
      <c r="J149" s="7" t="n">
        <v>0</v>
      </c>
      <c r="K149" s="7" t="n">
        <v>0</v>
      </c>
      <c r="L149" s="7" t="n">
        <v>0</v>
      </c>
      <c r="M149" s="7" t="n">
        <v>0</v>
      </c>
      <c r="N149" s="7" t="n">
        <v>0</v>
      </c>
      <c r="O149" s="7" t="n">
        <v>0</v>
      </c>
      <c r="P149" s="7" t="n">
        <v>3</v>
      </c>
      <c r="Q149" s="7" t="n">
        <v>0</v>
      </c>
      <c r="R149" s="7" t="n">
        <v>0</v>
      </c>
    </row>
    <row r="150" customFormat="false" ht="15" hidden="false" customHeight="true" outlineLevel="0" collapsed="false">
      <c r="A150" s="7" t="n">
        <v>6042</v>
      </c>
      <c r="B150" s="7" t="s">
        <v>44</v>
      </c>
      <c r="C150" s="7" t="s">
        <v>784</v>
      </c>
      <c r="D150" s="7" t="s">
        <v>215</v>
      </c>
      <c r="E150" s="7" t="s">
        <v>127</v>
      </c>
      <c r="F150" s="7" t="n">
        <v>28</v>
      </c>
      <c r="G150" s="7" t="n">
        <v>5.88</v>
      </c>
      <c r="H150" s="7" t="n">
        <v>5.89</v>
      </c>
      <c r="I150" s="7" t="n">
        <v>1</v>
      </c>
      <c r="J150" s="7" t="n">
        <v>0</v>
      </c>
      <c r="K150" s="7" t="n">
        <v>0</v>
      </c>
      <c r="L150" s="7" t="n">
        <v>0</v>
      </c>
      <c r="M150" s="7" t="n">
        <v>0</v>
      </c>
      <c r="N150" s="7" t="n">
        <v>0</v>
      </c>
      <c r="O150" s="7" t="n">
        <v>0</v>
      </c>
      <c r="P150" s="7" t="n">
        <v>5</v>
      </c>
      <c r="Q150" s="7" t="n">
        <v>0</v>
      </c>
      <c r="R150" s="7" t="n">
        <v>0</v>
      </c>
    </row>
    <row r="151" customFormat="false" ht="15" hidden="false" customHeight="true" outlineLevel="0" collapsed="false">
      <c r="A151" s="7" t="n">
        <v>5701</v>
      </c>
      <c r="B151" s="7" t="s">
        <v>44</v>
      </c>
      <c r="C151" s="7" t="s">
        <v>791</v>
      </c>
      <c r="D151" s="7" t="s">
        <v>229</v>
      </c>
      <c r="E151" s="7" t="s">
        <v>129</v>
      </c>
      <c r="F151" s="7" t="n">
        <v>34</v>
      </c>
      <c r="G151" s="7" t="n">
        <v>5.88</v>
      </c>
      <c r="H151" s="7" t="n">
        <v>5.82</v>
      </c>
      <c r="I151" s="7" t="n">
        <v>0</v>
      </c>
      <c r="J151" s="7" t="n">
        <v>0</v>
      </c>
      <c r="K151" s="7" t="n">
        <v>0</v>
      </c>
      <c r="L151" s="7" t="n">
        <v>0</v>
      </c>
      <c r="M151" s="7" t="n">
        <v>0</v>
      </c>
      <c r="N151" s="7" t="n">
        <v>0</v>
      </c>
      <c r="O151" s="7" t="n">
        <v>3</v>
      </c>
      <c r="P151" s="7" t="n">
        <v>8</v>
      </c>
      <c r="Q151" s="7" t="n">
        <v>1</v>
      </c>
      <c r="R151" s="7" t="n">
        <v>0</v>
      </c>
    </row>
    <row r="152" customFormat="false" ht="15" hidden="false" customHeight="true" outlineLevel="0" collapsed="false">
      <c r="A152" s="7" t="n">
        <v>6660</v>
      </c>
      <c r="B152" s="7" t="s">
        <v>44</v>
      </c>
      <c r="C152" s="7" t="s">
        <v>784</v>
      </c>
      <c r="D152" s="7" t="s">
        <v>251</v>
      </c>
      <c r="E152" s="7" t="s">
        <v>137</v>
      </c>
      <c r="F152" s="7" t="n">
        <v>31</v>
      </c>
      <c r="G152" s="7" t="n">
        <v>5.87</v>
      </c>
      <c r="H152" s="7" t="n">
        <v>5.84</v>
      </c>
      <c r="I152" s="7" t="n">
        <v>0</v>
      </c>
      <c r="J152" s="7" t="n">
        <v>0</v>
      </c>
      <c r="K152" s="7" t="n">
        <v>0</v>
      </c>
      <c r="L152" s="7" t="n">
        <v>0</v>
      </c>
      <c r="M152" s="7" t="n">
        <v>0</v>
      </c>
      <c r="N152" s="7" t="n">
        <v>0</v>
      </c>
      <c r="O152" s="7" t="n">
        <v>1</v>
      </c>
      <c r="P152" s="7" t="n">
        <v>4</v>
      </c>
      <c r="Q152" s="7" t="n">
        <v>0</v>
      </c>
      <c r="R152" s="7" t="n">
        <v>0</v>
      </c>
    </row>
    <row r="153" customFormat="false" ht="15" hidden="false" customHeight="true" outlineLevel="0" collapsed="false">
      <c r="A153" s="7" t="n">
        <v>6814</v>
      </c>
      <c r="B153" s="7" t="s">
        <v>44</v>
      </c>
      <c r="C153" s="7" t="s">
        <v>792</v>
      </c>
      <c r="D153" s="7" t="s">
        <v>220</v>
      </c>
      <c r="E153" s="7" t="s">
        <v>137</v>
      </c>
      <c r="F153" s="7" t="n">
        <v>27</v>
      </c>
      <c r="G153" s="7" t="n">
        <v>5.93</v>
      </c>
      <c r="H153" s="7" t="n">
        <v>6.09</v>
      </c>
      <c r="I153" s="7" t="n">
        <v>2</v>
      </c>
      <c r="J153" s="7" t="n">
        <v>0</v>
      </c>
      <c r="K153" s="7" t="n">
        <v>0</v>
      </c>
      <c r="L153" s="7" t="n">
        <v>0</v>
      </c>
      <c r="M153" s="7" t="n">
        <v>0</v>
      </c>
      <c r="N153" s="7" t="n">
        <v>0</v>
      </c>
      <c r="O153" s="7" t="n">
        <v>1</v>
      </c>
      <c r="P153" s="7" t="n">
        <v>3</v>
      </c>
      <c r="Q153" s="7" t="n">
        <v>1</v>
      </c>
      <c r="R153" s="7" t="n">
        <v>0</v>
      </c>
    </row>
    <row r="154" customFormat="false" ht="15" hidden="false" customHeight="true" outlineLevel="0" collapsed="false">
      <c r="A154" s="7" t="n">
        <v>7012</v>
      </c>
      <c r="B154" s="7" t="s">
        <v>44</v>
      </c>
      <c r="C154" s="7" t="s">
        <v>784</v>
      </c>
      <c r="D154" s="7" t="s">
        <v>310</v>
      </c>
      <c r="E154" s="7" t="s">
        <v>133</v>
      </c>
      <c r="F154" s="7" t="n">
        <v>23</v>
      </c>
      <c r="G154" s="7" t="n">
        <v>5.91</v>
      </c>
      <c r="H154" s="7" t="n">
        <v>5.85</v>
      </c>
      <c r="I154" s="7" t="n">
        <v>0</v>
      </c>
      <c r="J154" s="7" t="n">
        <v>0</v>
      </c>
      <c r="K154" s="7" t="n">
        <v>0</v>
      </c>
      <c r="L154" s="7" t="n">
        <v>0</v>
      </c>
      <c r="M154" s="7" t="n">
        <v>0</v>
      </c>
      <c r="N154" s="7" t="n">
        <v>0</v>
      </c>
      <c r="O154" s="7" t="n">
        <v>0</v>
      </c>
      <c r="P154" s="7" t="n">
        <v>3</v>
      </c>
      <c r="Q154" s="7" t="n">
        <v>0</v>
      </c>
      <c r="R154" s="7" t="n">
        <v>0</v>
      </c>
    </row>
    <row r="155" customFormat="false" ht="15" hidden="false" customHeight="true" outlineLevel="0" collapsed="false">
      <c r="A155" s="7" t="n">
        <v>5812</v>
      </c>
      <c r="B155" s="7" t="s">
        <v>44</v>
      </c>
      <c r="C155" s="7" t="s">
        <v>802</v>
      </c>
      <c r="D155" s="7" t="s">
        <v>808</v>
      </c>
      <c r="E155" s="7" t="s">
        <v>750</v>
      </c>
      <c r="F155" s="7" t="n">
        <v>35</v>
      </c>
      <c r="G155" s="7" t="n">
        <v>5.86</v>
      </c>
      <c r="H155" s="7" t="n">
        <v>5.83</v>
      </c>
      <c r="I155" s="7" t="n">
        <v>2</v>
      </c>
      <c r="J155" s="7" t="n">
        <v>0</v>
      </c>
      <c r="K155" s="7" t="n">
        <v>0</v>
      </c>
      <c r="L155" s="7" t="n">
        <v>0</v>
      </c>
      <c r="M155" s="7" t="n">
        <v>0</v>
      </c>
      <c r="N155" s="7" t="n">
        <v>0</v>
      </c>
      <c r="O155" s="7" t="n">
        <v>0</v>
      </c>
      <c r="P155" s="7" t="n">
        <v>6</v>
      </c>
      <c r="Q155" s="7" t="n">
        <v>0</v>
      </c>
      <c r="R155" s="7" t="n">
        <v>2</v>
      </c>
    </row>
    <row r="156" customFormat="false" ht="15" hidden="false" customHeight="true" outlineLevel="0" collapsed="false">
      <c r="A156" s="7" t="n">
        <v>6887</v>
      </c>
      <c r="B156" s="7" t="s">
        <v>44</v>
      </c>
      <c r="C156" s="7" t="s">
        <v>784</v>
      </c>
      <c r="D156" s="7" t="s">
        <v>809</v>
      </c>
      <c r="E156" s="7" t="s">
        <v>141</v>
      </c>
      <c r="F156" s="7" t="n">
        <v>0</v>
      </c>
      <c r="G156" s="7" t="n">
        <v>0</v>
      </c>
      <c r="H156" s="7" t="n">
        <v>0</v>
      </c>
      <c r="I156" s="7" t="n">
        <v>0</v>
      </c>
      <c r="J156" s="7" t="n">
        <v>0</v>
      </c>
      <c r="K156" s="7" t="n">
        <v>0</v>
      </c>
      <c r="L156" s="7" t="n">
        <v>0</v>
      </c>
      <c r="M156" s="7" t="n">
        <v>0</v>
      </c>
      <c r="N156" s="7" t="n">
        <v>0</v>
      </c>
      <c r="O156" s="7" t="n">
        <v>0</v>
      </c>
      <c r="P156" s="7" t="n">
        <v>0</v>
      </c>
      <c r="Q156" s="7" t="n">
        <v>0</v>
      </c>
      <c r="R156" s="7" t="n">
        <v>0</v>
      </c>
    </row>
    <row r="157" customFormat="false" ht="15" hidden="false" customHeight="true" outlineLevel="0" collapsed="false">
      <c r="A157" s="7" t="n">
        <v>4772</v>
      </c>
      <c r="B157" s="7" t="s">
        <v>44</v>
      </c>
      <c r="C157" s="7" t="s">
        <v>783</v>
      </c>
      <c r="D157" s="7" t="s">
        <v>810</v>
      </c>
      <c r="E157" s="7" t="s">
        <v>113</v>
      </c>
      <c r="F157" s="7" t="n">
        <v>6</v>
      </c>
      <c r="G157" s="7" t="n">
        <v>5.83</v>
      </c>
      <c r="H157" s="7" t="n">
        <v>5.67</v>
      </c>
      <c r="I157" s="7" t="n">
        <v>0</v>
      </c>
      <c r="J157" s="7" t="n">
        <v>0</v>
      </c>
      <c r="K157" s="7" t="n">
        <v>0</v>
      </c>
      <c r="L157" s="7" t="n">
        <v>0</v>
      </c>
      <c r="M157" s="7" t="n">
        <v>0</v>
      </c>
      <c r="N157" s="7" t="n">
        <v>0</v>
      </c>
      <c r="O157" s="7" t="n">
        <v>0</v>
      </c>
      <c r="P157" s="7" t="n">
        <v>2</v>
      </c>
      <c r="Q157" s="7" t="n">
        <v>0</v>
      </c>
      <c r="R157" s="7" t="n">
        <v>0</v>
      </c>
    </row>
    <row r="158" customFormat="false" ht="15" hidden="false" customHeight="true" outlineLevel="0" collapsed="false">
      <c r="A158" s="7" t="n">
        <v>6426</v>
      </c>
      <c r="B158" s="7" t="s">
        <v>44</v>
      </c>
      <c r="C158" s="7" t="s">
        <v>792</v>
      </c>
      <c r="D158" s="7" t="s">
        <v>278</v>
      </c>
      <c r="E158" s="7" t="s">
        <v>184</v>
      </c>
      <c r="F158" s="7" t="n">
        <v>28</v>
      </c>
      <c r="G158" s="7" t="n">
        <v>5.84</v>
      </c>
      <c r="H158" s="7" t="n">
        <v>5.96</v>
      </c>
      <c r="I158" s="7" t="n">
        <v>1</v>
      </c>
      <c r="J158" s="7" t="n">
        <v>0</v>
      </c>
      <c r="K158" s="7" t="n">
        <v>0</v>
      </c>
      <c r="L158" s="7" t="n">
        <v>0</v>
      </c>
      <c r="M158" s="7" t="n">
        <v>0</v>
      </c>
      <c r="N158" s="7" t="n">
        <v>0</v>
      </c>
      <c r="O158" s="7" t="n">
        <v>2</v>
      </c>
      <c r="P158" s="7" t="n">
        <v>3</v>
      </c>
      <c r="Q158" s="7" t="n">
        <v>0</v>
      </c>
      <c r="R158" s="7" t="n">
        <v>0</v>
      </c>
    </row>
    <row r="159" customFormat="false" ht="15" hidden="false" customHeight="true" outlineLevel="0" collapsed="false">
      <c r="A159" s="7" t="n">
        <v>6047</v>
      </c>
      <c r="B159" s="7" t="s">
        <v>44</v>
      </c>
      <c r="C159" s="7" t="s">
        <v>792</v>
      </c>
      <c r="D159" s="7" t="s">
        <v>811</v>
      </c>
      <c r="E159" s="7" t="s">
        <v>135</v>
      </c>
      <c r="F159" s="7" t="n">
        <v>26</v>
      </c>
      <c r="G159" s="7" t="n">
        <v>5.83</v>
      </c>
      <c r="H159" s="7" t="n">
        <v>5.96</v>
      </c>
      <c r="I159" s="7" t="n">
        <v>2</v>
      </c>
      <c r="J159" s="7" t="n">
        <v>0</v>
      </c>
      <c r="K159" s="7" t="n">
        <v>0</v>
      </c>
      <c r="L159" s="7" t="n">
        <v>0</v>
      </c>
      <c r="M159" s="7" t="n">
        <v>0</v>
      </c>
      <c r="N159" s="7" t="n">
        <v>0</v>
      </c>
      <c r="O159" s="7" t="n">
        <v>0</v>
      </c>
      <c r="P159" s="7" t="n">
        <v>5</v>
      </c>
      <c r="Q159" s="7" t="n">
        <v>0</v>
      </c>
      <c r="R159" s="7" t="n">
        <v>0</v>
      </c>
    </row>
    <row r="160" customFormat="false" ht="15" hidden="false" customHeight="true" outlineLevel="0" collapsed="false">
      <c r="A160" s="7" t="n">
        <v>6639</v>
      </c>
      <c r="B160" s="7" t="s">
        <v>44</v>
      </c>
      <c r="C160" s="7" t="s">
        <v>786</v>
      </c>
      <c r="D160" s="7" t="s">
        <v>812</v>
      </c>
      <c r="E160" s="7" t="s">
        <v>752</v>
      </c>
      <c r="F160" s="7" t="n">
        <v>31</v>
      </c>
      <c r="G160" s="7" t="n">
        <v>5.84</v>
      </c>
      <c r="H160" s="7" t="n">
        <v>5.84</v>
      </c>
      <c r="I160" s="7" t="n">
        <v>2</v>
      </c>
      <c r="J160" s="7" t="n">
        <v>0</v>
      </c>
      <c r="K160" s="7" t="n">
        <v>0</v>
      </c>
      <c r="L160" s="7" t="n">
        <v>0</v>
      </c>
      <c r="M160" s="7" t="n">
        <v>0</v>
      </c>
      <c r="N160" s="7" t="n">
        <v>0</v>
      </c>
      <c r="O160" s="7" t="n">
        <v>0</v>
      </c>
      <c r="P160" s="7" t="n">
        <v>8</v>
      </c>
      <c r="Q160" s="7" t="n">
        <v>0</v>
      </c>
      <c r="R160" s="7" t="n">
        <v>1</v>
      </c>
    </row>
    <row r="161" customFormat="false" ht="15" hidden="false" customHeight="true" outlineLevel="0" collapsed="false">
      <c r="A161" s="7" t="n">
        <v>6046</v>
      </c>
      <c r="B161" s="7" t="s">
        <v>44</v>
      </c>
      <c r="C161" s="7" t="s">
        <v>784</v>
      </c>
      <c r="D161" s="7" t="s">
        <v>213</v>
      </c>
      <c r="E161" s="7" t="s">
        <v>117</v>
      </c>
      <c r="F161" s="7" t="n">
        <v>28</v>
      </c>
      <c r="G161" s="7" t="n">
        <v>5.91</v>
      </c>
      <c r="H161" s="7" t="n">
        <v>5.86</v>
      </c>
      <c r="I161" s="7" t="n">
        <v>1</v>
      </c>
      <c r="J161" s="7" t="n">
        <v>0</v>
      </c>
      <c r="K161" s="7" t="n">
        <v>0</v>
      </c>
      <c r="L161" s="7" t="n">
        <v>0</v>
      </c>
      <c r="M161" s="7" t="n">
        <v>0</v>
      </c>
      <c r="N161" s="7" t="n">
        <v>0</v>
      </c>
      <c r="O161" s="7" t="n">
        <v>0</v>
      </c>
      <c r="P161" s="7" t="n">
        <v>5</v>
      </c>
      <c r="Q161" s="7" t="n">
        <v>0</v>
      </c>
      <c r="R161" s="7" t="n">
        <v>1</v>
      </c>
    </row>
    <row r="162" customFormat="false" ht="15" hidden="false" customHeight="true" outlineLevel="0" collapsed="false">
      <c r="A162" s="7" t="n">
        <v>5578</v>
      </c>
      <c r="B162" s="7" t="s">
        <v>44</v>
      </c>
      <c r="C162" s="7" t="s">
        <v>787</v>
      </c>
      <c r="D162" s="7" t="s">
        <v>302</v>
      </c>
      <c r="E162" s="7" t="s">
        <v>117</v>
      </c>
      <c r="F162" s="7" t="n">
        <v>16</v>
      </c>
      <c r="G162" s="7" t="n">
        <v>5.94</v>
      </c>
      <c r="H162" s="7" t="n">
        <v>6.09</v>
      </c>
      <c r="I162" s="7" t="n">
        <v>1</v>
      </c>
      <c r="J162" s="7" t="n">
        <v>0</v>
      </c>
      <c r="K162" s="7" t="n">
        <v>0</v>
      </c>
      <c r="L162" s="7" t="n">
        <v>0</v>
      </c>
      <c r="M162" s="7" t="n">
        <v>0</v>
      </c>
      <c r="N162" s="7" t="n">
        <v>0</v>
      </c>
      <c r="O162" s="7" t="n">
        <v>0</v>
      </c>
      <c r="P162" s="7" t="n">
        <v>1</v>
      </c>
      <c r="Q162" s="7" t="n">
        <v>0</v>
      </c>
      <c r="R162" s="7" t="n">
        <v>0</v>
      </c>
    </row>
    <row r="163" customFormat="false" ht="15" hidden="false" customHeight="true" outlineLevel="0" collapsed="false">
      <c r="A163" s="7" t="n">
        <v>4887</v>
      </c>
      <c r="B163" s="7" t="s">
        <v>44</v>
      </c>
      <c r="C163" s="7" t="s">
        <v>783</v>
      </c>
      <c r="D163" s="7" t="s">
        <v>243</v>
      </c>
      <c r="E163" s="7" t="s">
        <v>117</v>
      </c>
      <c r="F163" s="7" t="n">
        <v>22</v>
      </c>
      <c r="G163" s="7" t="n">
        <v>5.82</v>
      </c>
      <c r="H163" s="7" t="n">
        <v>5.82</v>
      </c>
      <c r="I163" s="7" t="n">
        <v>0</v>
      </c>
      <c r="J163" s="7" t="n">
        <v>0</v>
      </c>
      <c r="K163" s="7" t="n">
        <v>0</v>
      </c>
      <c r="L163" s="7" t="n">
        <v>0</v>
      </c>
      <c r="M163" s="7" t="n">
        <v>0</v>
      </c>
      <c r="N163" s="7" t="n">
        <v>0</v>
      </c>
      <c r="O163" s="7" t="n">
        <v>1</v>
      </c>
      <c r="P163" s="7" t="n">
        <v>2</v>
      </c>
      <c r="Q163" s="7" t="n">
        <v>0</v>
      </c>
      <c r="R163" s="7" t="n">
        <v>0</v>
      </c>
    </row>
    <row r="164" customFormat="false" ht="15" hidden="false" customHeight="true" outlineLevel="0" collapsed="false">
      <c r="A164" s="7" t="n">
        <v>4461</v>
      </c>
      <c r="B164" s="7" t="s">
        <v>44</v>
      </c>
      <c r="C164" s="7" t="s">
        <v>788</v>
      </c>
      <c r="D164" s="7" t="s">
        <v>281</v>
      </c>
      <c r="E164" s="7" t="s">
        <v>129</v>
      </c>
      <c r="F164" s="7" t="n">
        <v>25</v>
      </c>
      <c r="G164" s="7" t="n">
        <v>5.9</v>
      </c>
      <c r="H164" s="7" t="n">
        <v>5.98</v>
      </c>
      <c r="I164" s="7" t="n">
        <v>0</v>
      </c>
      <c r="J164" s="7" t="n">
        <v>0</v>
      </c>
      <c r="K164" s="7" t="n">
        <v>0</v>
      </c>
      <c r="L164" s="7" t="n">
        <v>0</v>
      </c>
      <c r="M164" s="7" t="n">
        <v>0</v>
      </c>
      <c r="N164" s="7" t="n">
        <v>0</v>
      </c>
      <c r="O164" s="7" t="n">
        <v>3</v>
      </c>
      <c r="P164" s="7" t="n">
        <v>2</v>
      </c>
      <c r="Q164" s="7" t="n">
        <v>0</v>
      </c>
      <c r="R164" s="7" t="n">
        <v>0</v>
      </c>
    </row>
    <row r="165" customFormat="false" ht="15" hidden="false" customHeight="true" outlineLevel="0" collapsed="false">
      <c r="A165" s="7" t="n">
        <v>7014</v>
      </c>
      <c r="B165" s="7" t="s">
        <v>44</v>
      </c>
      <c r="C165" s="7" t="s">
        <v>787</v>
      </c>
      <c r="D165" s="7" t="s">
        <v>282</v>
      </c>
      <c r="E165" s="7" t="s">
        <v>119</v>
      </c>
      <c r="F165" s="7" t="n">
        <v>25</v>
      </c>
      <c r="G165" s="7" t="n">
        <v>5.96</v>
      </c>
      <c r="H165" s="7" t="n">
        <v>5.84</v>
      </c>
      <c r="I165" s="7" t="n">
        <v>0</v>
      </c>
      <c r="J165" s="7" t="n">
        <v>0</v>
      </c>
      <c r="K165" s="7" t="n">
        <v>0</v>
      </c>
      <c r="L165" s="7" t="n">
        <v>0</v>
      </c>
      <c r="M165" s="7" t="n">
        <v>0</v>
      </c>
      <c r="N165" s="7" t="n">
        <v>0</v>
      </c>
      <c r="O165" s="7" t="n">
        <v>1</v>
      </c>
      <c r="P165" s="7" t="n">
        <v>8</v>
      </c>
      <c r="Q165" s="7" t="n">
        <v>0</v>
      </c>
      <c r="R165" s="7" t="n">
        <v>0</v>
      </c>
    </row>
    <row r="166" customFormat="false" ht="15" hidden="false" customHeight="true" outlineLevel="0" collapsed="false">
      <c r="A166" s="7" t="n">
        <v>6013</v>
      </c>
      <c r="B166" s="7" t="s">
        <v>44</v>
      </c>
      <c r="C166" s="7" t="s">
        <v>802</v>
      </c>
      <c r="D166" s="7" t="s">
        <v>813</v>
      </c>
      <c r="E166" s="7" t="s">
        <v>750</v>
      </c>
      <c r="F166" s="7" t="n">
        <v>26</v>
      </c>
      <c r="G166" s="7" t="n">
        <v>5.98</v>
      </c>
      <c r="H166" s="7" t="n">
        <v>5.87</v>
      </c>
      <c r="I166" s="7" t="n">
        <v>0</v>
      </c>
      <c r="J166" s="7" t="n">
        <v>0</v>
      </c>
      <c r="K166" s="7" t="n">
        <v>0</v>
      </c>
      <c r="L166" s="7" t="n">
        <v>0</v>
      </c>
      <c r="M166" s="7" t="n">
        <v>0</v>
      </c>
      <c r="N166" s="7" t="n">
        <v>0</v>
      </c>
      <c r="O166" s="7" t="n">
        <v>1</v>
      </c>
      <c r="P166" s="7" t="n">
        <v>8</v>
      </c>
      <c r="Q166" s="7" t="n">
        <v>0</v>
      </c>
      <c r="R166" s="7" t="n">
        <v>0</v>
      </c>
    </row>
    <row r="167" customFormat="false" ht="15" hidden="false" customHeight="true" outlineLevel="0" collapsed="false">
      <c r="A167" s="7" t="n">
        <v>4378</v>
      </c>
      <c r="B167" s="7" t="s">
        <v>44</v>
      </c>
      <c r="C167" s="7" t="s">
        <v>791</v>
      </c>
      <c r="D167" s="7" t="s">
        <v>306</v>
      </c>
      <c r="E167" s="7" t="s">
        <v>123</v>
      </c>
      <c r="F167" s="7" t="n">
        <v>31</v>
      </c>
      <c r="G167" s="7" t="n">
        <v>5.85</v>
      </c>
      <c r="H167" s="7" t="n">
        <v>5.79</v>
      </c>
      <c r="I167" s="7" t="n">
        <v>1</v>
      </c>
      <c r="J167" s="7" t="n">
        <v>0</v>
      </c>
      <c r="K167" s="7" t="n">
        <v>0</v>
      </c>
      <c r="L167" s="7" t="n">
        <v>0</v>
      </c>
      <c r="M167" s="7" t="n">
        <v>0</v>
      </c>
      <c r="N167" s="7" t="n">
        <v>0</v>
      </c>
      <c r="O167" s="7" t="n">
        <v>0</v>
      </c>
      <c r="P167" s="7" t="n">
        <v>8</v>
      </c>
      <c r="Q167" s="7" t="n">
        <v>1</v>
      </c>
      <c r="R167" s="7" t="n">
        <v>0</v>
      </c>
    </row>
    <row r="168" customFormat="false" ht="15" hidden="false" customHeight="true" outlineLevel="0" collapsed="false">
      <c r="A168" s="7" t="n">
        <v>5449</v>
      </c>
      <c r="B168" s="7" t="s">
        <v>44</v>
      </c>
      <c r="C168" s="7" t="s">
        <v>783</v>
      </c>
      <c r="D168" s="7" t="s">
        <v>268</v>
      </c>
      <c r="E168" s="7" t="s">
        <v>123</v>
      </c>
      <c r="F168" s="7" t="n">
        <v>23</v>
      </c>
      <c r="G168" s="7" t="n">
        <v>6.02</v>
      </c>
      <c r="H168" s="7" t="n">
        <v>5.98</v>
      </c>
      <c r="I168" s="7" t="n">
        <v>1</v>
      </c>
      <c r="J168" s="7" t="n">
        <v>0</v>
      </c>
      <c r="K168" s="7" t="n">
        <v>0</v>
      </c>
      <c r="L168" s="7" t="n">
        <v>0</v>
      </c>
      <c r="M168" s="7" t="n">
        <v>0</v>
      </c>
      <c r="N168" s="7" t="n">
        <v>0</v>
      </c>
      <c r="O168" s="7" t="n">
        <v>1</v>
      </c>
      <c r="P168" s="7" t="n">
        <v>6</v>
      </c>
      <c r="Q168" s="7" t="n">
        <v>0</v>
      </c>
      <c r="R168" s="7" t="n">
        <v>1</v>
      </c>
    </row>
    <row r="169" customFormat="false" ht="15" hidden="false" customHeight="true" outlineLevel="0" collapsed="false">
      <c r="A169" s="7" t="n">
        <v>5739</v>
      </c>
      <c r="B169" s="7" t="s">
        <v>44</v>
      </c>
      <c r="C169" s="7" t="s">
        <v>787</v>
      </c>
      <c r="D169" s="7" t="s">
        <v>312</v>
      </c>
      <c r="E169" s="7" t="s">
        <v>121</v>
      </c>
      <c r="F169" s="7" t="n">
        <v>24</v>
      </c>
      <c r="G169" s="7" t="n">
        <v>5.75</v>
      </c>
      <c r="H169" s="7" t="n">
        <v>5.9</v>
      </c>
      <c r="I169" s="7" t="n">
        <v>1</v>
      </c>
      <c r="J169" s="7" t="n">
        <v>0</v>
      </c>
      <c r="K169" s="7" t="n">
        <v>0</v>
      </c>
      <c r="L169" s="7" t="n">
        <v>0</v>
      </c>
      <c r="M169" s="7" t="n">
        <v>0</v>
      </c>
      <c r="N169" s="7" t="n">
        <v>0</v>
      </c>
      <c r="O169" s="7" t="n">
        <v>1</v>
      </c>
      <c r="P169" s="7" t="n">
        <v>1</v>
      </c>
      <c r="Q169" s="7" t="n">
        <v>0</v>
      </c>
      <c r="R169" s="7" t="n">
        <v>0</v>
      </c>
    </row>
    <row r="170" customFormat="false" ht="15" hidden="false" customHeight="true" outlineLevel="0" collapsed="false">
      <c r="A170" s="7" t="n">
        <v>6039</v>
      </c>
      <c r="B170" s="7" t="s">
        <v>44</v>
      </c>
      <c r="C170" s="7" t="s">
        <v>793</v>
      </c>
      <c r="D170" s="7" t="s">
        <v>350</v>
      </c>
      <c r="E170" s="7" t="s">
        <v>131</v>
      </c>
      <c r="F170" s="7" t="n">
        <v>9</v>
      </c>
      <c r="G170" s="7" t="n">
        <v>5.94</v>
      </c>
      <c r="H170" s="7" t="n">
        <v>6.56</v>
      </c>
      <c r="I170" s="7" t="n">
        <v>2</v>
      </c>
      <c r="J170" s="7" t="n">
        <v>0</v>
      </c>
      <c r="K170" s="7" t="n">
        <v>0</v>
      </c>
      <c r="L170" s="7" t="n">
        <v>0</v>
      </c>
      <c r="M170" s="7" t="n">
        <v>0</v>
      </c>
      <c r="N170" s="7" t="n">
        <v>0</v>
      </c>
      <c r="O170" s="7" t="n">
        <v>0</v>
      </c>
      <c r="P170" s="7" t="n">
        <v>1</v>
      </c>
      <c r="Q170" s="7" t="n">
        <v>0</v>
      </c>
      <c r="R170" s="7" t="n">
        <v>0</v>
      </c>
    </row>
    <row r="171" customFormat="false" ht="15" hidden="false" customHeight="true" outlineLevel="0" collapsed="false">
      <c r="A171" s="7" t="n">
        <v>7175</v>
      </c>
      <c r="B171" s="7" t="s">
        <v>44</v>
      </c>
      <c r="C171" s="7" t="s">
        <v>783</v>
      </c>
      <c r="D171" s="7" t="s">
        <v>307</v>
      </c>
      <c r="E171" s="7" t="s">
        <v>127</v>
      </c>
      <c r="F171" s="7" t="n">
        <v>14</v>
      </c>
      <c r="G171" s="7" t="n">
        <v>5.79</v>
      </c>
      <c r="H171" s="7" t="n">
        <v>6</v>
      </c>
      <c r="I171" s="7" t="n">
        <v>1</v>
      </c>
      <c r="J171" s="7" t="n">
        <v>0</v>
      </c>
      <c r="K171" s="7" t="n">
        <v>0</v>
      </c>
      <c r="L171" s="7" t="n">
        <v>0</v>
      </c>
      <c r="M171" s="7" t="n">
        <v>0</v>
      </c>
      <c r="N171" s="7" t="n">
        <v>0</v>
      </c>
      <c r="O171" s="7" t="n">
        <v>1</v>
      </c>
      <c r="P171" s="7" t="n">
        <v>2</v>
      </c>
      <c r="Q171" s="7" t="n">
        <v>0</v>
      </c>
      <c r="R171" s="7" t="n">
        <v>0</v>
      </c>
    </row>
    <row r="172" customFormat="false" ht="15" hidden="false" customHeight="true" outlineLevel="0" collapsed="false">
      <c r="A172" s="7" t="n">
        <v>5620</v>
      </c>
      <c r="B172" s="7" t="s">
        <v>44</v>
      </c>
      <c r="C172" s="7" t="s">
        <v>786</v>
      </c>
      <c r="D172" s="7" t="s">
        <v>253</v>
      </c>
      <c r="E172" s="7" t="s">
        <v>133</v>
      </c>
      <c r="F172" s="7" t="n">
        <v>22</v>
      </c>
      <c r="G172" s="7" t="n">
        <v>5.91</v>
      </c>
      <c r="H172" s="7" t="n">
        <v>5.8</v>
      </c>
      <c r="I172" s="7" t="n">
        <v>0</v>
      </c>
      <c r="J172" s="7" t="n">
        <v>0</v>
      </c>
      <c r="K172" s="7" t="n">
        <v>0</v>
      </c>
      <c r="L172" s="7" t="n">
        <v>0</v>
      </c>
      <c r="M172" s="7" t="n">
        <v>0</v>
      </c>
      <c r="N172" s="7" t="n">
        <v>0</v>
      </c>
      <c r="O172" s="7" t="n">
        <v>0</v>
      </c>
      <c r="P172" s="7" t="n">
        <v>5</v>
      </c>
      <c r="Q172" s="7" t="n">
        <v>0</v>
      </c>
      <c r="R172" s="7" t="n">
        <v>0</v>
      </c>
    </row>
    <row r="173" customFormat="false" ht="15" hidden="false" customHeight="true" outlineLevel="0" collapsed="false">
      <c r="A173" s="7" t="n">
        <v>5527</v>
      </c>
      <c r="B173" s="7" t="s">
        <v>44</v>
      </c>
      <c r="C173" s="7" t="s">
        <v>792</v>
      </c>
      <c r="D173" s="7" t="s">
        <v>298</v>
      </c>
      <c r="E173" s="7" t="s">
        <v>135</v>
      </c>
      <c r="F173" s="7" t="n">
        <v>19</v>
      </c>
      <c r="G173" s="7" t="n">
        <v>6.05</v>
      </c>
      <c r="H173" s="7" t="n">
        <v>6.29</v>
      </c>
      <c r="I173" s="7" t="n">
        <v>1</v>
      </c>
      <c r="J173" s="7" t="n">
        <v>0</v>
      </c>
      <c r="K173" s="7" t="n">
        <v>0</v>
      </c>
      <c r="L173" s="7" t="n">
        <v>0</v>
      </c>
      <c r="M173" s="7" t="n">
        <v>0</v>
      </c>
      <c r="N173" s="7" t="n">
        <v>0</v>
      </c>
      <c r="O173" s="7" t="n">
        <v>2</v>
      </c>
      <c r="P173" s="7" t="n">
        <v>1</v>
      </c>
      <c r="Q173" s="7" t="n">
        <v>0</v>
      </c>
      <c r="R173" s="7" t="n">
        <v>0</v>
      </c>
    </row>
    <row r="174" customFormat="false" ht="15" hidden="false" customHeight="true" outlineLevel="0" collapsed="false">
      <c r="A174" s="7" t="n">
        <v>2273</v>
      </c>
      <c r="B174" s="7" t="s">
        <v>44</v>
      </c>
      <c r="C174" s="7" t="s">
        <v>784</v>
      </c>
      <c r="D174" s="7" t="s">
        <v>814</v>
      </c>
      <c r="E174" s="7" t="s">
        <v>755</v>
      </c>
      <c r="F174" s="7" t="n">
        <v>35</v>
      </c>
      <c r="G174" s="7" t="n">
        <v>5.8</v>
      </c>
      <c r="H174" s="7" t="n">
        <v>5.77</v>
      </c>
      <c r="I174" s="7" t="n">
        <v>2</v>
      </c>
      <c r="J174" s="7" t="n">
        <v>0</v>
      </c>
      <c r="K174" s="7" t="n">
        <v>0</v>
      </c>
      <c r="L174" s="7" t="n">
        <v>0</v>
      </c>
      <c r="M174" s="7" t="n">
        <v>0</v>
      </c>
      <c r="N174" s="7" t="n">
        <v>0</v>
      </c>
      <c r="O174" s="7" t="n">
        <v>0</v>
      </c>
      <c r="P174" s="7" t="n">
        <v>10</v>
      </c>
      <c r="Q174" s="7" t="n">
        <v>0</v>
      </c>
      <c r="R174" s="7" t="n">
        <v>1</v>
      </c>
    </row>
    <row r="175" customFormat="false" ht="15" hidden="false" customHeight="true" outlineLevel="0" collapsed="false">
      <c r="A175" s="7" t="n">
        <v>5010</v>
      </c>
      <c r="B175" s="7" t="s">
        <v>44</v>
      </c>
      <c r="C175" s="7" t="s">
        <v>784</v>
      </c>
      <c r="D175" s="7" t="s">
        <v>240</v>
      </c>
      <c r="E175" s="7" t="s">
        <v>184</v>
      </c>
      <c r="F175" s="7" t="n">
        <v>24</v>
      </c>
      <c r="G175" s="7" t="n">
        <v>5.92</v>
      </c>
      <c r="H175" s="7" t="n">
        <v>5.9</v>
      </c>
      <c r="I175" s="7" t="n">
        <v>0</v>
      </c>
      <c r="J175" s="7" t="n">
        <v>0</v>
      </c>
      <c r="K175" s="7" t="n">
        <v>0</v>
      </c>
      <c r="L175" s="7" t="n">
        <v>0</v>
      </c>
      <c r="M175" s="7" t="n">
        <v>0</v>
      </c>
      <c r="N175" s="7" t="n">
        <v>0</v>
      </c>
      <c r="O175" s="7" t="n">
        <v>2</v>
      </c>
      <c r="P175" s="7" t="n">
        <v>5</v>
      </c>
      <c r="Q175" s="7" t="n">
        <v>0</v>
      </c>
      <c r="R175" s="7" t="n">
        <v>0</v>
      </c>
    </row>
    <row r="176" customFormat="false" ht="15" hidden="false" customHeight="true" outlineLevel="0" collapsed="false">
      <c r="A176" s="7" t="n">
        <v>5555</v>
      </c>
      <c r="B176" s="7" t="s">
        <v>44</v>
      </c>
      <c r="C176" s="7" t="s">
        <v>786</v>
      </c>
      <c r="D176" s="7" t="s">
        <v>260</v>
      </c>
      <c r="E176" s="7" t="s">
        <v>135</v>
      </c>
      <c r="F176" s="7" t="n">
        <v>26</v>
      </c>
      <c r="G176" s="7" t="n">
        <v>5.88</v>
      </c>
      <c r="H176" s="7" t="n">
        <v>5.87</v>
      </c>
      <c r="I176" s="7" t="n">
        <v>0</v>
      </c>
      <c r="J176" s="7" t="n">
        <v>0</v>
      </c>
      <c r="K176" s="7" t="n">
        <v>0</v>
      </c>
      <c r="L176" s="7" t="n">
        <v>0</v>
      </c>
      <c r="M176" s="7" t="n">
        <v>0</v>
      </c>
      <c r="N176" s="7" t="n">
        <v>0</v>
      </c>
      <c r="O176" s="7" t="n">
        <v>2</v>
      </c>
      <c r="P176" s="7" t="n">
        <v>5</v>
      </c>
      <c r="Q176" s="7" t="n">
        <v>0</v>
      </c>
      <c r="R176" s="7" t="n">
        <v>0</v>
      </c>
    </row>
    <row r="177" customFormat="false" ht="15" hidden="false" customHeight="true" outlineLevel="0" collapsed="false">
      <c r="A177" s="7" t="n">
        <v>5532</v>
      </c>
      <c r="B177" s="7" t="s">
        <v>44</v>
      </c>
      <c r="C177" s="7" t="s">
        <v>786</v>
      </c>
      <c r="D177" s="7" t="s">
        <v>815</v>
      </c>
      <c r="E177" s="7" t="s">
        <v>752</v>
      </c>
      <c r="F177" s="7" t="n">
        <v>29</v>
      </c>
      <c r="G177" s="7" t="n">
        <v>5.81</v>
      </c>
      <c r="H177" s="7" t="n">
        <v>5.84</v>
      </c>
      <c r="I177" s="7" t="n">
        <v>0</v>
      </c>
      <c r="J177" s="7" t="n">
        <v>0</v>
      </c>
      <c r="K177" s="7" t="n">
        <v>0</v>
      </c>
      <c r="L177" s="7" t="n">
        <v>0</v>
      </c>
      <c r="M177" s="7" t="n">
        <v>0</v>
      </c>
      <c r="N177" s="7" t="n">
        <v>0</v>
      </c>
      <c r="O177" s="7" t="n">
        <v>2</v>
      </c>
      <c r="P177" s="7" t="n">
        <v>2</v>
      </c>
      <c r="Q177" s="7" t="n">
        <v>0</v>
      </c>
      <c r="R177" s="7" t="n">
        <v>0</v>
      </c>
    </row>
    <row r="178" customFormat="false" ht="15" hidden="false" customHeight="true" outlineLevel="0" collapsed="false">
      <c r="A178" s="7" t="n">
        <v>7240</v>
      </c>
      <c r="B178" s="7" t="s">
        <v>44</v>
      </c>
      <c r="C178" s="7" t="s">
        <v>784</v>
      </c>
      <c r="D178" s="7" t="s">
        <v>287</v>
      </c>
      <c r="E178" s="7" t="s">
        <v>139</v>
      </c>
      <c r="F178" s="7" t="n">
        <v>19</v>
      </c>
      <c r="G178" s="7" t="n">
        <v>5.68</v>
      </c>
      <c r="H178" s="7" t="n">
        <v>5.76</v>
      </c>
      <c r="I178" s="7" t="n">
        <v>1</v>
      </c>
      <c r="J178" s="7" t="n">
        <v>0</v>
      </c>
      <c r="K178" s="7" t="n">
        <v>0</v>
      </c>
      <c r="L178" s="7" t="n">
        <v>0</v>
      </c>
      <c r="M178" s="7" t="n">
        <v>0</v>
      </c>
      <c r="N178" s="7" t="n">
        <v>0</v>
      </c>
      <c r="O178" s="7" t="n">
        <v>0</v>
      </c>
      <c r="P178" s="7" t="n">
        <v>3</v>
      </c>
      <c r="Q178" s="7" t="n">
        <v>0</v>
      </c>
      <c r="R178" s="7" t="n">
        <v>0</v>
      </c>
    </row>
    <row r="179" customFormat="false" ht="15" hidden="false" customHeight="true" outlineLevel="0" collapsed="false">
      <c r="A179" s="7" t="n">
        <v>7352</v>
      </c>
      <c r="B179" s="7" t="s">
        <v>44</v>
      </c>
      <c r="C179" s="7" t="s">
        <v>784</v>
      </c>
      <c r="D179" s="7" t="s">
        <v>816</v>
      </c>
      <c r="E179" s="7" t="s">
        <v>752</v>
      </c>
      <c r="F179" s="7" t="n">
        <v>15</v>
      </c>
      <c r="G179" s="7" t="n">
        <v>5.97</v>
      </c>
      <c r="H179" s="7" t="n">
        <v>5.73</v>
      </c>
      <c r="I179" s="7" t="n">
        <v>0</v>
      </c>
      <c r="J179" s="7" t="n">
        <v>0</v>
      </c>
      <c r="K179" s="7" t="n">
        <v>0</v>
      </c>
      <c r="L179" s="7" t="n">
        <v>0</v>
      </c>
      <c r="M179" s="7" t="n">
        <v>0</v>
      </c>
      <c r="N179" s="7" t="n">
        <v>0</v>
      </c>
      <c r="O179" s="7" t="n">
        <v>0</v>
      </c>
      <c r="P179" s="7" t="n">
        <v>3</v>
      </c>
      <c r="Q179" s="7" t="n">
        <v>0</v>
      </c>
      <c r="R179" s="7" t="n">
        <v>1</v>
      </c>
    </row>
    <row r="180" customFormat="false" ht="15" hidden="false" customHeight="true" outlineLevel="0" collapsed="false">
      <c r="A180" s="7" t="n">
        <v>7125</v>
      </c>
      <c r="B180" s="7" t="s">
        <v>44</v>
      </c>
      <c r="C180" s="7" t="s">
        <v>786</v>
      </c>
      <c r="D180" s="7" t="s">
        <v>305</v>
      </c>
      <c r="E180" s="7" t="s">
        <v>129</v>
      </c>
      <c r="F180" s="7" t="n">
        <v>17</v>
      </c>
      <c r="G180" s="7" t="n">
        <v>5.82</v>
      </c>
      <c r="H180" s="7" t="n">
        <v>6.09</v>
      </c>
      <c r="I180" s="7" t="n">
        <v>2</v>
      </c>
      <c r="J180" s="7" t="n">
        <v>0</v>
      </c>
      <c r="K180" s="7" t="n">
        <v>0</v>
      </c>
      <c r="L180" s="7" t="n">
        <v>0</v>
      </c>
      <c r="M180" s="7" t="n">
        <v>0</v>
      </c>
      <c r="N180" s="7" t="n">
        <v>0</v>
      </c>
      <c r="O180" s="7" t="n">
        <v>0</v>
      </c>
      <c r="P180" s="7" t="n">
        <v>3</v>
      </c>
      <c r="Q180" s="7" t="n">
        <v>0</v>
      </c>
      <c r="R180" s="7" t="n">
        <v>0</v>
      </c>
    </row>
    <row r="181" customFormat="false" ht="15" hidden="false" customHeight="true" outlineLevel="0" collapsed="false">
      <c r="A181" s="7" t="n">
        <v>6230</v>
      </c>
      <c r="B181" s="7" t="s">
        <v>44</v>
      </c>
      <c r="C181" s="7" t="s">
        <v>784</v>
      </c>
      <c r="D181" s="7" t="s">
        <v>817</v>
      </c>
      <c r="E181" s="7" t="s">
        <v>129</v>
      </c>
      <c r="F181" s="7" t="n">
        <v>11</v>
      </c>
      <c r="G181" s="7" t="n">
        <v>5.82</v>
      </c>
      <c r="H181" s="7" t="n">
        <v>5.68</v>
      </c>
      <c r="I181" s="7" t="n">
        <v>0</v>
      </c>
      <c r="J181" s="7" t="n">
        <v>0</v>
      </c>
      <c r="K181" s="7" t="n">
        <v>0</v>
      </c>
      <c r="L181" s="7" t="n">
        <v>0</v>
      </c>
      <c r="M181" s="7" t="n">
        <v>0</v>
      </c>
      <c r="N181" s="7" t="n">
        <v>0</v>
      </c>
      <c r="O181" s="7" t="n">
        <v>1</v>
      </c>
      <c r="P181" s="7" t="n">
        <v>5</v>
      </c>
      <c r="Q181" s="7" t="n">
        <v>0</v>
      </c>
      <c r="R181" s="7" t="n">
        <v>0</v>
      </c>
    </row>
    <row r="182" customFormat="false" ht="15" hidden="false" customHeight="true" outlineLevel="0" collapsed="false">
      <c r="A182" s="7" t="n">
        <v>6896</v>
      </c>
      <c r="B182" s="7" t="s">
        <v>44</v>
      </c>
      <c r="C182" s="7" t="s">
        <v>792</v>
      </c>
      <c r="D182" s="7" t="s">
        <v>325</v>
      </c>
      <c r="E182" s="7" t="s">
        <v>119</v>
      </c>
      <c r="F182" s="7" t="n">
        <v>14</v>
      </c>
      <c r="G182" s="7" t="n">
        <v>5.96</v>
      </c>
      <c r="H182" s="7" t="n">
        <v>5.96</v>
      </c>
      <c r="I182" s="7" t="n">
        <v>0</v>
      </c>
      <c r="J182" s="7" t="n">
        <v>0</v>
      </c>
      <c r="K182" s="7" t="n">
        <v>0</v>
      </c>
      <c r="L182" s="7" t="n">
        <v>0</v>
      </c>
      <c r="M182" s="7" t="n">
        <v>0</v>
      </c>
      <c r="N182" s="7" t="n">
        <v>0</v>
      </c>
      <c r="O182" s="7" t="n">
        <v>1</v>
      </c>
      <c r="P182" s="7" t="n">
        <v>2</v>
      </c>
      <c r="Q182" s="7" t="n">
        <v>0</v>
      </c>
      <c r="R182" s="7" t="n">
        <v>0</v>
      </c>
    </row>
    <row r="183" customFormat="false" ht="15" hidden="false" customHeight="true" outlineLevel="0" collapsed="false">
      <c r="A183" s="7" t="n">
        <v>7131</v>
      </c>
      <c r="B183" s="7" t="s">
        <v>44</v>
      </c>
      <c r="C183" s="7" t="s">
        <v>792</v>
      </c>
      <c r="D183" s="7" t="s">
        <v>311</v>
      </c>
      <c r="E183" s="7" t="s">
        <v>750</v>
      </c>
      <c r="F183" s="7" t="n">
        <v>23</v>
      </c>
      <c r="G183" s="7" t="n">
        <v>5.72</v>
      </c>
      <c r="H183" s="7" t="n">
        <v>5.72</v>
      </c>
      <c r="I183" s="7" t="n">
        <v>0</v>
      </c>
      <c r="J183" s="7" t="n">
        <v>0</v>
      </c>
      <c r="K183" s="7" t="n">
        <v>0</v>
      </c>
      <c r="L183" s="7" t="n">
        <v>0</v>
      </c>
      <c r="M183" s="7" t="n">
        <v>0</v>
      </c>
      <c r="N183" s="7" t="n">
        <v>0</v>
      </c>
      <c r="O183" s="7" t="n">
        <v>1</v>
      </c>
      <c r="P183" s="7" t="n">
        <v>2</v>
      </c>
      <c r="Q183" s="7" t="n">
        <v>0</v>
      </c>
      <c r="R183" s="7" t="n">
        <v>0</v>
      </c>
    </row>
    <row r="184" customFormat="false" ht="15" hidden="false" customHeight="true" outlineLevel="0" collapsed="false">
      <c r="A184" s="7" t="n">
        <v>5603</v>
      </c>
      <c r="B184" s="7" t="s">
        <v>44</v>
      </c>
      <c r="C184" s="7" t="s">
        <v>784</v>
      </c>
      <c r="D184" s="7" t="s">
        <v>283</v>
      </c>
      <c r="E184" s="7" t="s">
        <v>123</v>
      </c>
      <c r="F184" s="7" t="n">
        <v>35</v>
      </c>
      <c r="G184" s="7" t="n">
        <v>5.84</v>
      </c>
      <c r="H184" s="7" t="n">
        <v>5.67</v>
      </c>
      <c r="I184" s="7" t="n">
        <v>0</v>
      </c>
      <c r="J184" s="7" t="n">
        <v>0</v>
      </c>
      <c r="K184" s="7" t="n">
        <v>0</v>
      </c>
      <c r="L184" s="7" t="n">
        <v>0</v>
      </c>
      <c r="M184" s="7" t="n">
        <v>0</v>
      </c>
      <c r="N184" s="7" t="n">
        <v>0</v>
      </c>
      <c r="O184" s="7" t="n">
        <v>0</v>
      </c>
      <c r="P184" s="7" t="n">
        <v>12</v>
      </c>
      <c r="Q184" s="7" t="n">
        <v>0</v>
      </c>
      <c r="R184" s="7" t="n">
        <v>0</v>
      </c>
    </row>
    <row r="185" customFormat="false" ht="15" hidden="false" customHeight="true" outlineLevel="0" collapsed="false">
      <c r="A185" s="7" t="n">
        <v>513</v>
      </c>
      <c r="B185" s="7" t="s">
        <v>44</v>
      </c>
      <c r="C185" s="7" t="s">
        <v>784</v>
      </c>
      <c r="D185" s="7" t="s">
        <v>818</v>
      </c>
      <c r="E185" s="7" t="s">
        <v>115</v>
      </c>
      <c r="F185" s="7" t="n">
        <v>16</v>
      </c>
      <c r="G185" s="7" t="n">
        <v>6.03</v>
      </c>
      <c r="H185" s="7" t="n">
        <v>5.94</v>
      </c>
      <c r="I185" s="7" t="n">
        <v>0</v>
      </c>
      <c r="J185" s="7" t="n">
        <v>0</v>
      </c>
      <c r="K185" s="7" t="n">
        <v>0</v>
      </c>
      <c r="L185" s="7" t="n">
        <v>0</v>
      </c>
      <c r="M185" s="7" t="n">
        <v>0</v>
      </c>
      <c r="N185" s="7" t="n">
        <v>0</v>
      </c>
      <c r="O185" s="7" t="n">
        <v>0</v>
      </c>
      <c r="P185" s="7" t="n">
        <v>3</v>
      </c>
      <c r="Q185" s="7" t="n">
        <v>0</v>
      </c>
      <c r="R185" s="7" t="n">
        <v>0</v>
      </c>
    </row>
    <row r="186" customFormat="false" ht="15" hidden="false" customHeight="true" outlineLevel="0" collapsed="false">
      <c r="A186" s="7" t="n">
        <v>5831</v>
      </c>
      <c r="B186" s="7" t="s">
        <v>44</v>
      </c>
      <c r="C186" s="7" t="s">
        <v>784</v>
      </c>
      <c r="D186" s="7" t="s">
        <v>286</v>
      </c>
      <c r="E186" s="7" t="s">
        <v>131</v>
      </c>
      <c r="F186" s="7" t="n">
        <v>16</v>
      </c>
      <c r="G186" s="7" t="n">
        <v>5.94</v>
      </c>
      <c r="H186" s="7" t="n">
        <v>6.22</v>
      </c>
      <c r="I186" s="7" t="n">
        <v>2</v>
      </c>
      <c r="J186" s="7" t="n">
        <v>0</v>
      </c>
      <c r="K186" s="7" t="n">
        <v>0</v>
      </c>
      <c r="L186" s="7" t="n">
        <v>0</v>
      </c>
      <c r="M186" s="7" t="n">
        <v>0</v>
      </c>
      <c r="N186" s="7" t="n">
        <v>0</v>
      </c>
      <c r="O186" s="7" t="n">
        <v>0</v>
      </c>
      <c r="P186" s="7" t="n">
        <v>3</v>
      </c>
      <c r="Q186" s="7" t="n">
        <v>0</v>
      </c>
      <c r="R186" s="7" t="n">
        <v>0</v>
      </c>
    </row>
    <row r="187" customFormat="false" ht="15" hidden="false" customHeight="true" outlineLevel="0" collapsed="false">
      <c r="A187" s="7" t="n">
        <v>2728</v>
      </c>
      <c r="B187" s="7" t="s">
        <v>44</v>
      </c>
      <c r="C187" s="7" t="s">
        <v>786</v>
      </c>
      <c r="D187" s="7" t="s">
        <v>330</v>
      </c>
      <c r="E187" s="7" t="s">
        <v>133</v>
      </c>
      <c r="F187" s="7" t="n">
        <v>24</v>
      </c>
      <c r="G187" s="7" t="n">
        <v>5.85</v>
      </c>
      <c r="H187" s="7" t="n">
        <v>5.81</v>
      </c>
      <c r="I187" s="7" t="n">
        <v>1</v>
      </c>
      <c r="J187" s="7" t="n">
        <v>0</v>
      </c>
      <c r="K187" s="7" t="n">
        <v>0</v>
      </c>
      <c r="L187" s="7" t="n">
        <v>0</v>
      </c>
      <c r="M187" s="7" t="n">
        <v>0</v>
      </c>
      <c r="N187" s="7" t="n">
        <v>0</v>
      </c>
      <c r="O187" s="7" t="n">
        <v>0</v>
      </c>
      <c r="P187" s="7" t="n">
        <v>8</v>
      </c>
      <c r="Q187" s="7" t="n">
        <v>0</v>
      </c>
      <c r="R187" s="7" t="n">
        <v>0</v>
      </c>
    </row>
    <row r="188" customFormat="false" ht="15" hidden="false" customHeight="true" outlineLevel="0" collapsed="false">
      <c r="A188" s="7" t="n">
        <v>6990</v>
      </c>
      <c r="B188" s="7" t="s">
        <v>44</v>
      </c>
      <c r="C188" s="7" t="s">
        <v>792</v>
      </c>
      <c r="D188" s="7" t="s">
        <v>275</v>
      </c>
      <c r="E188" s="7" t="s">
        <v>139</v>
      </c>
      <c r="F188" s="7" t="n">
        <v>36</v>
      </c>
      <c r="G188" s="7" t="n">
        <v>5.82</v>
      </c>
      <c r="H188" s="7" t="n">
        <v>5.69</v>
      </c>
      <c r="I188" s="7" t="n">
        <v>0</v>
      </c>
      <c r="J188" s="7" t="n">
        <v>0</v>
      </c>
      <c r="K188" s="7" t="n">
        <v>0</v>
      </c>
      <c r="L188" s="7" t="n">
        <v>0</v>
      </c>
      <c r="M188" s="7" t="n">
        <v>0</v>
      </c>
      <c r="N188" s="7" t="n">
        <v>0</v>
      </c>
      <c r="O188" s="7" t="n">
        <v>0</v>
      </c>
      <c r="P188" s="7" t="n">
        <v>9</v>
      </c>
      <c r="Q188" s="7" t="n">
        <v>0</v>
      </c>
      <c r="R188" s="7" t="n">
        <v>0</v>
      </c>
    </row>
    <row r="189" customFormat="false" ht="15" hidden="false" customHeight="true" outlineLevel="0" collapsed="false">
      <c r="A189" s="7" t="n">
        <v>4401</v>
      </c>
      <c r="B189" s="7" t="s">
        <v>44</v>
      </c>
      <c r="C189" s="7" t="s">
        <v>784</v>
      </c>
      <c r="D189" s="7" t="s">
        <v>235</v>
      </c>
      <c r="E189" s="7" t="s">
        <v>121</v>
      </c>
      <c r="F189" s="7" t="n">
        <v>29</v>
      </c>
      <c r="G189" s="7" t="n">
        <v>5.91</v>
      </c>
      <c r="H189" s="7" t="n">
        <v>5.84</v>
      </c>
      <c r="I189" s="7" t="n">
        <v>0</v>
      </c>
      <c r="J189" s="7" t="n">
        <v>0</v>
      </c>
      <c r="K189" s="7" t="n">
        <v>0</v>
      </c>
      <c r="L189" s="7" t="n">
        <v>0</v>
      </c>
      <c r="M189" s="7" t="n">
        <v>0</v>
      </c>
      <c r="N189" s="7" t="n">
        <v>0</v>
      </c>
      <c r="O189" s="7" t="n">
        <v>0</v>
      </c>
      <c r="P189" s="7" t="n">
        <v>4</v>
      </c>
      <c r="Q189" s="7" t="n">
        <v>0</v>
      </c>
      <c r="R189" s="7" t="n">
        <v>0</v>
      </c>
    </row>
    <row r="190" customFormat="false" ht="15" hidden="false" customHeight="true" outlineLevel="0" collapsed="false">
      <c r="A190" s="7" t="n">
        <v>6531</v>
      </c>
      <c r="B190" s="7" t="s">
        <v>44</v>
      </c>
      <c r="C190" s="7" t="s">
        <v>802</v>
      </c>
      <c r="D190" s="7" t="s">
        <v>219</v>
      </c>
      <c r="E190" s="7" t="s">
        <v>121</v>
      </c>
      <c r="F190" s="7" t="n">
        <v>1</v>
      </c>
      <c r="G190" s="7" t="n">
        <v>5.5</v>
      </c>
      <c r="H190" s="7" t="n">
        <v>5</v>
      </c>
      <c r="I190" s="7" t="n">
        <v>0</v>
      </c>
      <c r="J190" s="7" t="n">
        <v>0</v>
      </c>
      <c r="K190" s="7" t="n">
        <v>0</v>
      </c>
      <c r="L190" s="7" t="n">
        <v>0</v>
      </c>
      <c r="M190" s="7" t="n">
        <v>0</v>
      </c>
      <c r="N190" s="7" t="n">
        <v>0</v>
      </c>
      <c r="O190" s="7" t="n">
        <v>0</v>
      </c>
      <c r="P190" s="7" t="n">
        <v>1</v>
      </c>
      <c r="Q190" s="7" t="n">
        <v>0</v>
      </c>
      <c r="R190" s="7" t="n">
        <v>0</v>
      </c>
    </row>
    <row r="191" customFormat="false" ht="15" hidden="false" customHeight="true" outlineLevel="0" collapsed="false">
      <c r="A191" s="7" t="n">
        <v>5840</v>
      </c>
      <c r="B191" s="7" t="s">
        <v>44</v>
      </c>
      <c r="C191" s="7" t="s">
        <v>786</v>
      </c>
      <c r="D191" s="7" t="s">
        <v>276</v>
      </c>
      <c r="E191" s="7" t="s">
        <v>125</v>
      </c>
      <c r="F191" s="7" t="n">
        <v>22</v>
      </c>
      <c r="G191" s="7" t="n">
        <v>5.75</v>
      </c>
      <c r="H191" s="7" t="n">
        <v>5.68</v>
      </c>
      <c r="I191" s="7" t="n">
        <v>0</v>
      </c>
      <c r="J191" s="7" t="n">
        <v>0</v>
      </c>
      <c r="K191" s="7" t="n">
        <v>0</v>
      </c>
      <c r="L191" s="7" t="n">
        <v>0</v>
      </c>
      <c r="M191" s="7" t="n">
        <v>0</v>
      </c>
      <c r="N191" s="7" t="n">
        <v>0</v>
      </c>
      <c r="O191" s="7" t="n">
        <v>0</v>
      </c>
      <c r="P191" s="7" t="n">
        <v>3</v>
      </c>
      <c r="Q191" s="7" t="n">
        <v>0</v>
      </c>
      <c r="R191" s="7" t="n">
        <v>0</v>
      </c>
    </row>
    <row r="192" customFormat="false" ht="15" hidden="false" customHeight="true" outlineLevel="0" collapsed="false">
      <c r="A192" s="7" t="n">
        <v>5307</v>
      </c>
      <c r="B192" s="7" t="s">
        <v>44</v>
      </c>
      <c r="C192" s="7" t="s">
        <v>784</v>
      </c>
      <c r="D192" s="7" t="s">
        <v>291</v>
      </c>
      <c r="E192" s="7" t="s">
        <v>141</v>
      </c>
      <c r="F192" s="7" t="n">
        <v>27</v>
      </c>
      <c r="G192" s="7" t="n">
        <v>5.96</v>
      </c>
      <c r="H192" s="7" t="n">
        <v>5.83</v>
      </c>
      <c r="I192" s="7" t="n">
        <v>0</v>
      </c>
      <c r="J192" s="7" t="n">
        <v>0</v>
      </c>
      <c r="K192" s="7" t="n">
        <v>0</v>
      </c>
      <c r="L192" s="7" t="n">
        <v>0</v>
      </c>
      <c r="M192" s="7" t="n">
        <v>0</v>
      </c>
      <c r="N192" s="7" t="n">
        <v>0</v>
      </c>
      <c r="O192" s="7" t="n">
        <v>0</v>
      </c>
      <c r="P192" s="7" t="n">
        <v>7</v>
      </c>
      <c r="Q192" s="7" t="n">
        <v>0</v>
      </c>
      <c r="R192" s="7" t="n">
        <v>0</v>
      </c>
    </row>
    <row r="193" customFormat="false" ht="15" hidden="false" customHeight="true" outlineLevel="0" collapsed="false">
      <c r="A193" s="7" t="n">
        <v>7139</v>
      </c>
      <c r="B193" s="7" t="s">
        <v>44</v>
      </c>
      <c r="C193" s="7" t="s">
        <v>784</v>
      </c>
      <c r="D193" s="7" t="s">
        <v>819</v>
      </c>
      <c r="E193" s="7" t="s">
        <v>755</v>
      </c>
      <c r="F193" s="7" t="n">
        <v>37</v>
      </c>
      <c r="G193" s="7" t="n">
        <v>5.69</v>
      </c>
      <c r="H193" s="7" t="n">
        <v>5.72</v>
      </c>
      <c r="I193" s="7" t="n">
        <v>1</v>
      </c>
      <c r="J193" s="7" t="n">
        <v>0</v>
      </c>
      <c r="K193" s="7" t="n">
        <v>0</v>
      </c>
      <c r="L193" s="7" t="n">
        <v>0</v>
      </c>
      <c r="M193" s="7" t="n">
        <v>0</v>
      </c>
      <c r="N193" s="7" t="n">
        <v>0</v>
      </c>
      <c r="O193" s="7" t="n">
        <v>0</v>
      </c>
      <c r="P193" s="7" t="n">
        <v>4</v>
      </c>
      <c r="Q193" s="7" t="n">
        <v>0</v>
      </c>
      <c r="R193" s="7" t="n">
        <v>0</v>
      </c>
    </row>
    <row r="194" customFormat="false" ht="15" hidden="false" customHeight="true" outlineLevel="0" collapsed="false">
      <c r="A194" s="7" t="n">
        <v>4374</v>
      </c>
      <c r="B194" s="7" t="s">
        <v>44</v>
      </c>
      <c r="C194" s="7" t="s">
        <v>787</v>
      </c>
      <c r="D194" s="7" t="s">
        <v>293</v>
      </c>
      <c r="E194" s="7" t="s">
        <v>144</v>
      </c>
      <c r="F194" s="7" t="n">
        <v>34</v>
      </c>
      <c r="G194" s="7" t="n">
        <v>5.81</v>
      </c>
      <c r="H194" s="7" t="n">
        <v>5.74</v>
      </c>
      <c r="I194" s="7" t="n">
        <v>0</v>
      </c>
      <c r="J194" s="7" t="n">
        <v>0</v>
      </c>
      <c r="K194" s="7" t="n">
        <v>0</v>
      </c>
      <c r="L194" s="7" t="n">
        <v>0</v>
      </c>
      <c r="M194" s="7" t="n">
        <v>0</v>
      </c>
      <c r="N194" s="7" t="n">
        <v>0</v>
      </c>
      <c r="O194" s="7" t="n">
        <v>1</v>
      </c>
      <c r="P194" s="7" t="n">
        <v>7</v>
      </c>
      <c r="Q194" s="7" t="n">
        <v>0</v>
      </c>
      <c r="R194" s="7" t="n">
        <v>0</v>
      </c>
    </row>
    <row r="195" customFormat="false" ht="15" hidden="false" customHeight="true" outlineLevel="0" collapsed="false">
      <c r="A195" s="7" t="n">
        <v>5820</v>
      </c>
      <c r="B195" s="7" t="s">
        <v>44</v>
      </c>
      <c r="C195" s="7" t="s">
        <v>784</v>
      </c>
      <c r="D195" s="7" t="s">
        <v>297</v>
      </c>
      <c r="E195" s="7" t="s">
        <v>135</v>
      </c>
      <c r="F195" s="7" t="n">
        <v>25</v>
      </c>
      <c r="G195" s="7" t="n">
        <v>5.86</v>
      </c>
      <c r="H195" s="7" t="n">
        <v>5.84</v>
      </c>
      <c r="I195" s="7" t="n">
        <v>0</v>
      </c>
      <c r="J195" s="7" t="n">
        <v>0</v>
      </c>
      <c r="K195" s="7" t="n">
        <v>0</v>
      </c>
      <c r="L195" s="7" t="n">
        <v>0</v>
      </c>
      <c r="M195" s="7" t="n">
        <v>0</v>
      </c>
      <c r="N195" s="7" t="n">
        <v>0</v>
      </c>
      <c r="O195" s="7" t="n">
        <v>1</v>
      </c>
      <c r="P195" s="7" t="n">
        <v>3</v>
      </c>
      <c r="Q195" s="7" t="n">
        <v>0</v>
      </c>
      <c r="R195" s="7" t="n">
        <v>0</v>
      </c>
    </row>
    <row r="196" customFormat="false" ht="15" hidden="false" customHeight="true" outlineLevel="0" collapsed="false">
      <c r="A196" s="7" t="n">
        <v>5994</v>
      </c>
      <c r="B196" s="7" t="s">
        <v>44</v>
      </c>
      <c r="C196" s="7" t="s">
        <v>791</v>
      </c>
      <c r="D196" s="7" t="s">
        <v>336</v>
      </c>
      <c r="E196" s="7" t="s">
        <v>184</v>
      </c>
      <c r="F196" s="7" t="n">
        <v>16</v>
      </c>
      <c r="G196" s="7" t="n">
        <v>5.75</v>
      </c>
      <c r="H196" s="7" t="n">
        <v>5.72</v>
      </c>
      <c r="I196" s="7" t="n">
        <v>0</v>
      </c>
      <c r="J196" s="7" t="n">
        <v>0</v>
      </c>
      <c r="K196" s="7" t="n">
        <v>0</v>
      </c>
      <c r="L196" s="7" t="n">
        <v>0</v>
      </c>
      <c r="M196" s="7" t="n">
        <v>0</v>
      </c>
      <c r="N196" s="7" t="n">
        <v>0</v>
      </c>
      <c r="O196" s="7" t="n">
        <v>1</v>
      </c>
      <c r="P196" s="7" t="n">
        <v>4</v>
      </c>
      <c r="Q196" s="7" t="n">
        <v>0</v>
      </c>
      <c r="R196" s="7" t="n">
        <v>0</v>
      </c>
    </row>
    <row r="197" customFormat="false" ht="15" hidden="false" customHeight="true" outlineLevel="0" collapsed="false">
      <c r="A197" s="7" t="n">
        <v>697</v>
      </c>
      <c r="B197" s="7" t="s">
        <v>44</v>
      </c>
      <c r="C197" s="7" t="s">
        <v>783</v>
      </c>
      <c r="D197" s="7" t="s">
        <v>820</v>
      </c>
      <c r="E197" s="7" t="s">
        <v>755</v>
      </c>
      <c r="F197" s="7" t="n">
        <v>15</v>
      </c>
      <c r="G197" s="7" t="n">
        <v>6.03</v>
      </c>
      <c r="H197" s="7" t="n">
        <v>6.13</v>
      </c>
      <c r="I197" s="7" t="n">
        <v>1</v>
      </c>
      <c r="J197" s="7" t="n">
        <v>0</v>
      </c>
      <c r="K197" s="7" t="n">
        <v>0</v>
      </c>
      <c r="L197" s="7" t="n">
        <v>1</v>
      </c>
      <c r="M197" s="7" t="n">
        <v>1</v>
      </c>
      <c r="N197" s="7" t="n">
        <v>0</v>
      </c>
      <c r="O197" s="7" t="n">
        <v>0</v>
      </c>
      <c r="P197" s="7" t="n">
        <v>3</v>
      </c>
      <c r="Q197" s="7" t="n">
        <v>0</v>
      </c>
      <c r="R197" s="7" t="n">
        <v>0</v>
      </c>
    </row>
    <row r="198" customFormat="false" ht="15" hidden="false" customHeight="true" outlineLevel="0" collapsed="false">
      <c r="A198" s="7" t="n">
        <v>7018</v>
      </c>
      <c r="B198" s="7" t="s">
        <v>44</v>
      </c>
      <c r="C198" s="7" t="s">
        <v>784</v>
      </c>
      <c r="D198" s="7" t="s">
        <v>821</v>
      </c>
      <c r="E198" s="7" t="s">
        <v>752</v>
      </c>
      <c r="F198" s="7" t="n">
        <v>37</v>
      </c>
      <c r="G198" s="7" t="n">
        <v>5.68</v>
      </c>
      <c r="H198" s="7" t="n">
        <v>5.57</v>
      </c>
      <c r="I198" s="7" t="n">
        <v>0</v>
      </c>
      <c r="J198" s="7" t="n">
        <v>0</v>
      </c>
      <c r="K198" s="7" t="n">
        <v>0</v>
      </c>
      <c r="L198" s="7" t="n">
        <v>0</v>
      </c>
      <c r="M198" s="7" t="n">
        <v>0</v>
      </c>
      <c r="N198" s="7" t="n">
        <v>0</v>
      </c>
      <c r="O198" s="7" t="n">
        <v>0</v>
      </c>
      <c r="P198" s="7" t="n">
        <v>4</v>
      </c>
      <c r="Q198" s="7" t="n">
        <v>0</v>
      </c>
      <c r="R198" s="7" t="n">
        <v>1</v>
      </c>
    </row>
    <row r="199" customFormat="false" ht="15" hidden="false" customHeight="true" outlineLevel="0" collapsed="false">
      <c r="A199" s="7" t="n">
        <v>7235</v>
      </c>
      <c r="B199" s="7" t="s">
        <v>44</v>
      </c>
      <c r="C199" s="7" t="s">
        <v>784</v>
      </c>
      <c r="D199" s="7" t="s">
        <v>317</v>
      </c>
      <c r="E199" s="7" t="s">
        <v>141</v>
      </c>
      <c r="F199" s="7" t="n">
        <v>21</v>
      </c>
      <c r="G199" s="7" t="n">
        <v>5.79</v>
      </c>
      <c r="H199" s="7" t="n">
        <v>5.71</v>
      </c>
      <c r="I199" s="7" t="n">
        <v>1</v>
      </c>
      <c r="J199" s="7" t="n">
        <v>0</v>
      </c>
      <c r="K199" s="7" t="n">
        <v>0</v>
      </c>
      <c r="L199" s="7" t="n">
        <v>0</v>
      </c>
      <c r="M199" s="7" t="n">
        <v>0</v>
      </c>
      <c r="N199" s="7" t="n">
        <v>0</v>
      </c>
      <c r="O199" s="7" t="n">
        <v>0</v>
      </c>
      <c r="P199" s="7" t="n">
        <v>5</v>
      </c>
      <c r="Q199" s="7" t="n">
        <v>2</v>
      </c>
      <c r="R199" s="7" t="n">
        <v>0</v>
      </c>
    </row>
    <row r="200" customFormat="false" ht="15" hidden="false" customHeight="true" outlineLevel="0" collapsed="false">
      <c r="A200" s="7" t="n">
        <v>7274</v>
      </c>
      <c r="B200" s="7" t="s">
        <v>44</v>
      </c>
      <c r="C200" s="7" t="s">
        <v>784</v>
      </c>
      <c r="D200" s="7" t="s">
        <v>266</v>
      </c>
      <c r="E200" s="7" t="s">
        <v>129</v>
      </c>
      <c r="F200" s="7" t="n">
        <v>22</v>
      </c>
      <c r="G200" s="7" t="n">
        <v>5.77</v>
      </c>
      <c r="H200" s="7" t="n">
        <v>5.68</v>
      </c>
      <c r="I200" s="7" t="n">
        <v>0</v>
      </c>
      <c r="J200" s="7" t="n">
        <v>0</v>
      </c>
      <c r="K200" s="7" t="n">
        <v>0</v>
      </c>
      <c r="L200" s="7" t="n">
        <v>0</v>
      </c>
      <c r="M200" s="7" t="n">
        <v>0</v>
      </c>
      <c r="N200" s="7" t="n">
        <v>0</v>
      </c>
      <c r="O200" s="7" t="n">
        <v>1</v>
      </c>
      <c r="P200" s="7" t="n">
        <v>6</v>
      </c>
      <c r="Q200" s="7" t="n">
        <v>0</v>
      </c>
      <c r="R200" s="7" t="n">
        <v>0</v>
      </c>
    </row>
    <row r="201" customFormat="false" ht="15" hidden="false" customHeight="true" outlineLevel="0" collapsed="false">
      <c r="A201" s="7" t="n">
        <v>6916</v>
      </c>
      <c r="B201" s="7" t="s">
        <v>44</v>
      </c>
      <c r="C201" s="7" t="s">
        <v>793</v>
      </c>
      <c r="D201" s="7" t="s">
        <v>242</v>
      </c>
      <c r="E201" s="7" t="s">
        <v>117</v>
      </c>
      <c r="F201" s="7" t="n">
        <v>21</v>
      </c>
      <c r="G201" s="7" t="n">
        <v>5.79</v>
      </c>
      <c r="H201" s="7" t="n">
        <v>5.69</v>
      </c>
      <c r="I201" s="7" t="n">
        <v>0</v>
      </c>
      <c r="J201" s="7" t="n">
        <v>0</v>
      </c>
      <c r="K201" s="7" t="n">
        <v>0</v>
      </c>
      <c r="L201" s="7" t="n">
        <v>0</v>
      </c>
      <c r="M201" s="7" t="n">
        <v>0</v>
      </c>
      <c r="N201" s="7" t="n">
        <v>0</v>
      </c>
      <c r="O201" s="7" t="n">
        <v>0</v>
      </c>
      <c r="P201" s="7" t="n">
        <v>2</v>
      </c>
      <c r="Q201" s="7" t="n">
        <v>1</v>
      </c>
      <c r="R201" s="7" t="n">
        <v>0</v>
      </c>
    </row>
    <row r="202" customFormat="false" ht="15" hidden="false" customHeight="true" outlineLevel="0" collapsed="false">
      <c r="A202" s="7" t="n">
        <v>7068</v>
      </c>
      <c r="B202" s="7" t="s">
        <v>44</v>
      </c>
      <c r="C202" s="7" t="s">
        <v>784</v>
      </c>
      <c r="D202" s="7" t="s">
        <v>263</v>
      </c>
      <c r="E202" s="7" t="s">
        <v>127</v>
      </c>
      <c r="F202" s="7" t="n">
        <v>18</v>
      </c>
      <c r="G202" s="7" t="n">
        <v>5.94</v>
      </c>
      <c r="H202" s="7" t="n">
        <v>5.86</v>
      </c>
      <c r="I202" s="7" t="n">
        <v>0</v>
      </c>
      <c r="J202" s="7" t="n">
        <v>0</v>
      </c>
      <c r="K202" s="7" t="n">
        <v>0</v>
      </c>
      <c r="L202" s="7" t="n">
        <v>0</v>
      </c>
      <c r="M202" s="7" t="n">
        <v>0</v>
      </c>
      <c r="N202" s="7" t="n">
        <v>0</v>
      </c>
      <c r="O202" s="7" t="n">
        <v>0</v>
      </c>
      <c r="P202" s="7" t="n">
        <v>3</v>
      </c>
      <c r="Q202" s="7" t="n">
        <v>0</v>
      </c>
      <c r="R202" s="7" t="n">
        <v>0</v>
      </c>
    </row>
    <row r="203" customFormat="false" ht="15" hidden="false" customHeight="true" outlineLevel="0" collapsed="false">
      <c r="A203" s="7" t="n">
        <v>612</v>
      </c>
      <c r="B203" s="7" t="s">
        <v>44</v>
      </c>
      <c r="C203" s="7" t="s">
        <v>784</v>
      </c>
      <c r="D203" s="7" t="s">
        <v>822</v>
      </c>
      <c r="E203" s="7" t="s">
        <v>750</v>
      </c>
      <c r="F203" s="7" t="n">
        <v>27</v>
      </c>
      <c r="G203" s="7" t="n">
        <v>5.72</v>
      </c>
      <c r="H203" s="7" t="n">
        <v>5.69</v>
      </c>
      <c r="I203" s="7" t="n">
        <v>0</v>
      </c>
      <c r="J203" s="7" t="n">
        <v>0</v>
      </c>
      <c r="K203" s="7" t="n">
        <v>0</v>
      </c>
      <c r="L203" s="7" t="n">
        <v>0</v>
      </c>
      <c r="M203" s="7" t="n">
        <v>0</v>
      </c>
      <c r="N203" s="7" t="n">
        <v>0</v>
      </c>
      <c r="O203" s="7" t="n">
        <v>1</v>
      </c>
      <c r="P203" s="7" t="n">
        <v>4</v>
      </c>
      <c r="Q203" s="7" t="n">
        <v>0</v>
      </c>
      <c r="R203" s="7" t="n">
        <v>0</v>
      </c>
    </row>
    <row r="204" customFormat="false" ht="15" hidden="false" customHeight="true" outlineLevel="0" collapsed="false">
      <c r="A204" s="7" t="n">
        <v>7130</v>
      </c>
      <c r="B204" s="7" t="s">
        <v>44</v>
      </c>
      <c r="C204" s="7" t="s">
        <v>784</v>
      </c>
      <c r="D204" s="7" t="s">
        <v>823</v>
      </c>
      <c r="E204" s="7" t="s">
        <v>750</v>
      </c>
      <c r="F204" s="7" t="n">
        <v>11</v>
      </c>
      <c r="G204" s="7" t="n">
        <v>5.77</v>
      </c>
      <c r="H204" s="7" t="n">
        <v>6.05</v>
      </c>
      <c r="I204" s="7" t="n">
        <v>1</v>
      </c>
      <c r="J204" s="7" t="n">
        <v>0</v>
      </c>
      <c r="K204" s="7" t="n">
        <v>0</v>
      </c>
      <c r="L204" s="7" t="n">
        <v>0</v>
      </c>
      <c r="M204" s="7" t="n">
        <v>0</v>
      </c>
      <c r="N204" s="7" t="n">
        <v>0</v>
      </c>
      <c r="O204" s="7" t="n">
        <v>0</v>
      </c>
      <c r="P204" s="7" t="n">
        <v>0</v>
      </c>
      <c r="Q204" s="7" t="n">
        <v>0</v>
      </c>
      <c r="R204" s="7" t="n">
        <v>0</v>
      </c>
    </row>
    <row r="205" customFormat="false" ht="15" hidden="false" customHeight="true" outlineLevel="0" collapsed="false">
      <c r="A205" s="7" t="n">
        <v>770</v>
      </c>
      <c r="B205" s="7" t="s">
        <v>44</v>
      </c>
      <c r="C205" s="7" t="s">
        <v>786</v>
      </c>
      <c r="D205" s="7" t="s">
        <v>824</v>
      </c>
      <c r="E205" s="7" t="s">
        <v>750</v>
      </c>
      <c r="F205" s="7" t="n">
        <v>31</v>
      </c>
      <c r="G205" s="7" t="n">
        <v>5.68</v>
      </c>
      <c r="H205" s="7" t="n">
        <v>5.55</v>
      </c>
      <c r="I205" s="7" t="n">
        <v>0</v>
      </c>
      <c r="J205" s="7" t="n">
        <v>0</v>
      </c>
      <c r="K205" s="7" t="n">
        <v>0</v>
      </c>
      <c r="L205" s="7" t="n">
        <v>0</v>
      </c>
      <c r="M205" s="7" t="n">
        <v>0</v>
      </c>
      <c r="N205" s="7" t="n">
        <v>0</v>
      </c>
      <c r="O205" s="7" t="n">
        <v>1</v>
      </c>
      <c r="P205" s="7" t="n">
        <v>8</v>
      </c>
      <c r="Q205" s="7" t="n">
        <v>1</v>
      </c>
      <c r="R205" s="7" t="n">
        <v>0</v>
      </c>
    </row>
    <row r="206" customFormat="false" ht="15" hidden="false" customHeight="true" outlineLevel="0" collapsed="false">
      <c r="A206" s="7" t="n">
        <v>6495</v>
      </c>
      <c r="B206" s="7" t="s">
        <v>44</v>
      </c>
      <c r="C206" s="7" t="s">
        <v>784</v>
      </c>
      <c r="D206" s="7" t="s">
        <v>259</v>
      </c>
      <c r="E206" s="7" t="s">
        <v>123</v>
      </c>
      <c r="F206" s="7" t="n">
        <v>24</v>
      </c>
      <c r="G206" s="7" t="n">
        <v>5.75</v>
      </c>
      <c r="H206" s="7" t="n">
        <v>5.75</v>
      </c>
      <c r="I206" s="7" t="n">
        <v>1</v>
      </c>
      <c r="J206" s="7" t="n">
        <v>0</v>
      </c>
      <c r="K206" s="7" t="n">
        <v>0</v>
      </c>
      <c r="L206" s="7" t="n">
        <v>0</v>
      </c>
      <c r="M206" s="7" t="n">
        <v>0</v>
      </c>
      <c r="N206" s="7" t="n">
        <v>0</v>
      </c>
      <c r="O206" s="7" t="n">
        <v>0</v>
      </c>
      <c r="P206" s="7" t="n">
        <v>2</v>
      </c>
      <c r="Q206" s="7" t="n">
        <v>0</v>
      </c>
      <c r="R206" s="7" t="n">
        <v>1</v>
      </c>
    </row>
    <row r="207" customFormat="false" ht="15" hidden="false" customHeight="true" outlineLevel="0" collapsed="false">
      <c r="A207" s="7" t="n">
        <v>6055</v>
      </c>
      <c r="B207" s="7" t="s">
        <v>44</v>
      </c>
      <c r="C207" s="7" t="s">
        <v>784</v>
      </c>
      <c r="D207" s="7" t="s">
        <v>825</v>
      </c>
      <c r="E207" s="7" t="s">
        <v>121</v>
      </c>
      <c r="F207" s="7" t="n">
        <v>0</v>
      </c>
      <c r="G207" s="7" t="n">
        <v>0</v>
      </c>
      <c r="H207" s="7" t="n">
        <v>0</v>
      </c>
      <c r="I207" s="7" t="n">
        <v>0</v>
      </c>
      <c r="J207" s="7" t="n">
        <v>0</v>
      </c>
      <c r="K207" s="7" t="n">
        <v>0</v>
      </c>
      <c r="L207" s="7" t="n">
        <v>0</v>
      </c>
      <c r="M207" s="7" t="n">
        <v>0</v>
      </c>
      <c r="N207" s="7" t="n">
        <v>0</v>
      </c>
      <c r="O207" s="7" t="n">
        <v>0</v>
      </c>
      <c r="P207" s="7" t="n">
        <v>0</v>
      </c>
      <c r="Q207" s="7" t="n">
        <v>0</v>
      </c>
      <c r="R207" s="7" t="n">
        <v>0</v>
      </c>
    </row>
    <row r="208" customFormat="false" ht="15" hidden="false" customHeight="true" outlineLevel="0" collapsed="false">
      <c r="A208" s="7" t="n">
        <v>256</v>
      </c>
      <c r="B208" s="7" t="s">
        <v>44</v>
      </c>
      <c r="C208" s="7" t="s">
        <v>791</v>
      </c>
      <c r="D208" s="7" t="s">
        <v>826</v>
      </c>
      <c r="E208" s="7" t="s">
        <v>125</v>
      </c>
      <c r="F208" s="7" t="n">
        <v>21</v>
      </c>
      <c r="G208" s="7" t="n">
        <v>5.86</v>
      </c>
      <c r="H208" s="7" t="n">
        <v>5.62</v>
      </c>
      <c r="I208" s="7" t="n">
        <v>0</v>
      </c>
      <c r="J208" s="7" t="n">
        <v>0</v>
      </c>
      <c r="K208" s="7" t="n">
        <v>0</v>
      </c>
      <c r="L208" s="7" t="n">
        <v>0</v>
      </c>
      <c r="M208" s="7" t="n">
        <v>0</v>
      </c>
      <c r="N208" s="7" t="n">
        <v>0</v>
      </c>
      <c r="O208" s="7" t="n">
        <v>0</v>
      </c>
      <c r="P208" s="7" t="n">
        <v>8</v>
      </c>
      <c r="Q208" s="7" t="n">
        <v>1</v>
      </c>
      <c r="R208" s="7" t="n">
        <v>0</v>
      </c>
    </row>
    <row r="209" customFormat="false" ht="15" hidden="false" customHeight="true" outlineLevel="0" collapsed="false">
      <c r="A209" s="7" t="n">
        <v>5481</v>
      </c>
      <c r="B209" s="7" t="s">
        <v>44</v>
      </c>
      <c r="C209" s="7" t="s">
        <v>802</v>
      </c>
      <c r="D209" s="7" t="s">
        <v>357</v>
      </c>
      <c r="E209" s="7" t="s">
        <v>125</v>
      </c>
      <c r="F209" s="7" t="n">
        <v>9</v>
      </c>
      <c r="G209" s="7" t="n">
        <v>5.94</v>
      </c>
      <c r="H209" s="7" t="n">
        <v>5.94</v>
      </c>
      <c r="I209" s="7" t="n">
        <v>0</v>
      </c>
      <c r="J209" s="7" t="n">
        <v>0</v>
      </c>
      <c r="K209" s="7" t="n">
        <v>0</v>
      </c>
      <c r="L209" s="7" t="n">
        <v>0</v>
      </c>
      <c r="M209" s="7" t="n">
        <v>0</v>
      </c>
      <c r="N209" s="7" t="n">
        <v>0</v>
      </c>
      <c r="O209" s="7" t="n">
        <v>1</v>
      </c>
      <c r="P209" s="7" t="n">
        <v>0</v>
      </c>
      <c r="Q209" s="7" t="n">
        <v>1</v>
      </c>
      <c r="R209" s="7" t="n">
        <v>0</v>
      </c>
    </row>
    <row r="210" customFormat="false" ht="15" hidden="false" customHeight="true" outlineLevel="0" collapsed="false">
      <c r="A210" s="7" t="n">
        <v>7020</v>
      </c>
      <c r="B210" s="7" t="s">
        <v>44</v>
      </c>
      <c r="C210" s="7" t="s">
        <v>783</v>
      </c>
      <c r="D210" s="7" t="s">
        <v>827</v>
      </c>
      <c r="E210" s="7" t="s">
        <v>113</v>
      </c>
      <c r="F210" s="7" t="n">
        <v>0</v>
      </c>
      <c r="G210" s="7" t="n">
        <v>0</v>
      </c>
      <c r="H210" s="7" t="n">
        <v>0</v>
      </c>
      <c r="I210" s="7" t="n">
        <v>0</v>
      </c>
      <c r="J210" s="7" t="n">
        <v>0</v>
      </c>
      <c r="K210" s="7" t="n">
        <v>0</v>
      </c>
      <c r="L210" s="7" t="n">
        <v>0</v>
      </c>
      <c r="M210" s="7" t="n">
        <v>0</v>
      </c>
      <c r="N210" s="7" t="n">
        <v>0</v>
      </c>
      <c r="O210" s="7" t="n">
        <v>0</v>
      </c>
      <c r="P210" s="7" t="n">
        <v>0</v>
      </c>
      <c r="Q210" s="7" t="n">
        <v>0</v>
      </c>
      <c r="R210" s="7" t="n">
        <v>0</v>
      </c>
    </row>
    <row r="211" customFormat="false" ht="15" hidden="false" customHeight="true" outlineLevel="0" collapsed="false">
      <c r="A211" s="7" t="n">
        <v>5851</v>
      </c>
      <c r="B211" s="7" t="s">
        <v>44</v>
      </c>
      <c r="C211" s="7" t="s">
        <v>786</v>
      </c>
      <c r="D211" s="7" t="s">
        <v>294</v>
      </c>
      <c r="E211" s="7" t="s">
        <v>144</v>
      </c>
      <c r="F211" s="7" t="n">
        <v>27</v>
      </c>
      <c r="G211" s="7" t="n">
        <v>5.85</v>
      </c>
      <c r="H211" s="7" t="n">
        <v>5.76</v>
      </c>
      <c r="I211" s="7" t="n">
        <v>0</v>
      </c>
      <c r="J211" s="7" t="n">
        <v>0</v>
      </c>
      <c r="K211" s="7" t="n">
        <v>0</v>
      </c>
      <c r="L211" s="7" t="n">
        <v>0</v>
      </c>
      <c r="M211" s="7" t="n">
        <v>0</v>
      </c>
      <c r="N211" s="7" t="n">
        <v>0</v>
      </c>
      <c r="O211" s="7" t="n">
        <v>0</v>
      </c>
      <c r="P211" s="7" t="n">
        <v>5</v>
      </c>
      <c r="Q211" s="7" t="n">
        <v>0</v>
      </c>
      <c r="R211" s="7" t="n">
        <v>0</v>
      </c>
    </row>
    <row r="212" customFormat="false" ht="15" hidden="false" customHeight="true" outlineLevel="0" collapsed="false">
      <c r="A212" s="7" t="n">
        <v>4385</v>
      </c>
      <c r="B212" s="7" t="s">
        <v>44</v>
      </c>
      <c r="C212" s="7" t="s">
        <v>792</v>
      </c>
      <c r="D212" s="7" t="s">
        <v>828</v>
      </c>
      <c r="E212" s="7" t="s">
        <v>184</v>
      </c>
      <c r="F212" s="7" t="n">
        <v>30</v>
      </c>
      <c r="G212" s="7" t="n">
        <v>5.7</v>
      </c>
      <c r="H212" s="7" t="n">
        <v>5.7</v>
      </c>
      <c r="I212" s="7" t="n">
        <v>0</v>
      </c>
      <c r="J212" s="7" t="n">
        <v>0</v>
      </c>
      <c r="K212" s="7" t="n">
        <v>0</v>
      </c>
      <c r="L212" s="7" t="n">
        <v>0</v>
      </c>
      <c r="M212" s="7" t="n">
        <v>0</v>
      </c>
      <c r="N212" s="7" t="n">
        <v>0</v>
      </c>
      <c r="O212" s="7" t="n">
        <v>2</v>
      </c>
      <c r="P212" s="7" t="n">
        <v>4</v>
      </c>
      <c r="Q212" s="7" t="n">
        <v>0</v>
      </c>
      <c r="R212" s="7" t="n">
        <v>0</v>
      </c>
    </row>
    <row r="213" customFormat="false" ht="15" hidden="false" customHeight="true" outlineLevel="0" collapsed="false">
      <c r="A213" s="7" t="n">
        <v>6894</v>
      </c>
      <c r="B213" s="7" t="s">
        <v>44</v>
      </c>
      <c r="C213" s="7" t="s">
        <v>784</v>
      </c>
      <c r="D213" s="7" t="s">
        <v>829</v>
      </c>
      <c r="E213" s="7" t="s">
        <v>752</v>
      </c>
      <c r="F213" s="7" t="n">
        <v>17</v>
      </c>
      <c r="G213" s="7" t="n">
        <v>5.85</v>
      </c>
      <c r="H213" s="7" t="n">
        <v>5.59</v>
      </c>
      <c r="I213" s="7" t="n">
        <v>0</v>
      </c>
      <c r="J213" s="7" t="n">
        <v>0</v>
      </c>
      <c r="K213" s="7" t="n">
        <v>0</v>
      </c>
      <c r="L213" s="7" t="n">
        <v>0</v>
      </c>
      <c r="M213" s="7" t="n">
        <v>0</v>
      </c>
      <c r="N213" s="7" t="n">
        <v>0</v>
      </c>
      <c r="O213" s="7" t="n">
        <v>0</v>
      </c>
      <c r="P213" s="7" t="n">
        <v>5</v>
      </c>
      <c r="Q213" s="7" t="n">
        <v>0</v>
      </c>
      <c r="R213" s="7" t="n">
        <v>1</v>
      </c>
    </row>
    <row r="214" customFormat="false" ht="15" hidden="false" customHeight="true" outlineLevel="0" collapsed="false">
      <c r="A214" s="7" t="n">
        <v>6992</v>
      </c>
      <c r="B214" s="7" t="s">
        <v>44</v>
      </c>
      <c r="C214" s="7" t="s">
        <v>788</v>
      </c>
      <c r="D214" s="7" t="s">
        <v>830</v>
      </c>
      <c r="E214" s="7" t="s">
        <v>752</v>
      </c>
      <c r="F214" s="7" t="n">
        <v>10</v>
      </c>
      <c r="G214" s="7" t="n">
        <v>5.8</v>
      </c>
      <c r="H214" s="7" t="n">
        <v>5.7</v>
      </c>
      <c r="I214" s="7" t="n">
        <v>0</v>
      </c>
      <c r="J214" s="7" t="n">
        <v>0</v>
      </c>
      <c r="K214" s="7" t="n">
        <v>0</v>
      </c>
      <c r="L214" s="7" t="n">
        <v>0</v>
      </c>
      <c r="M214" s="7" t="n">
        <v>0</v>
      </c>
      <c r="N214" s="7" t="n">
        <v>0</v>
      </c>
      <c r="O214" s="7" t="n">
        <v>0</v>
      </c>
      <c r="P214" s="7" t="n">
        <v>2</v>
      </c>
      <c r="Q214" s="7" t="n">
        <v>0</v>
      </c>
      <c r="R214" s="7" t="n">
        <v>0</v>
      </c>
    </row>
    <row r="215" customFormat="false" ht="15" hidden="false" customHeight="true" outlineLevel="0" collapsed="false">
      <c r="A215" s="7" t="n">
        <v>7212</v>
      </c>
      <c r="B215" s="7" t="s">
        <v>44</v>
      </c>
      <c r="C215" s="7" t="s">
        <v>791</v>
      </c>
      <c r="D215" s="7" t="s">
        <v>245</v>
      </c>
      <c r="E215" s="7" t="s">
        <v>127</v>
      </c>
      <c r="F215" s="7" t="n">
        <v>25</v>
      </c>
      <c r="G215" s="7" t="n">
        <v>5.84</v>
      </c>
      <c r="H215" s="7" t="n">
        <v>5.8</v>
      </c>
      <c r="I215" s="7" t="n">
        <v>0</v>
      </c>
      <c r="J215" s="7" t="n">
        <v>0</v>
      </c>
      <c r="K215" s="7" t="n">
        <v>0</v>
      </c>
      <c r="L215" s="7" t="n">
        <v>0</v>
      </c>
      <c r="M215" s="7" t="n">
        <v>0</v>
      </c>
      <c r="N215" s="7" t="n">
        <v>0</v>
      </c>
      <c r="O215" s="7" t="n">
        <v>0</v>
      </c>
      <c r="P215" s="7" t="n">
        <v>0</v>
      </c>
      <c r="Q215" s="7" t="n">
        <v>1</v>
      </c>
      <c r="R215" s="7" t="n">
        <v>0</v>
      </c>
    </row>
    <row r="216" customFormat="false" ht="15" hidden="false" customHeight="true" outlineLevel="0" collapsed="false">
      <c r="A216" s="7" t="n">
        <v>7255</v>
      </c>
      <c r="B216" s="7" t="s">
        <v>44</v>
      </c>
      <c r="C216" s="7" t="s">
        <v>802</v>
      </c>
      <c r="D216" s="7" t="s">
        <v>318</v>
      </c>
      <c r="E216" s="7" t="s">
        <v>141</v>
      </c>
      <c r="F216" s="7" t="n">
        <v>28</v>
      </c>
      <c r="G216" s="7" t="n">
        <v>5.75</v>
      </c>
      <c r="H216" s="7" t="n">
        <v>5.7</v>
      </c>
      <c r="I216" s="7" t="n">
        <v>0</v>
      </c>
      <c r="J216" s="7" t="n">
        <v>0</v>
      </c>
      <c r="K216" s="7" t="n">
        <v>0</v>
      </c>
      <c r="L216" s="7" t="n">
        <v>0</v>
      </c>
      <c r="M216" s="7" t="n">
        <v>0</v>
      </c>
      <c r="N216" s="7" t="n">
        <v>0</v>
      </c>
      <c r="O216" s="7" t="n">
        <v>2</v>
      </c>
      <c r="P216" s="7" t="n">
        <v>5</v>
      </c>
      <c r="Q216" s="7" t="n">
        <v>1</v>
      </c>
      <c r="R216" s="7" t="n">
        <v>0</v>
      </c>
    </row>
    <row r="217" customFormat="false" ht="15" hidden="false" customHeight="true" outlineLevel="0" collapsed="false">
      <c r="A217" s="7" t="n">
        <v>7268</v>
      </c>
      <c r="B217" s="7" t="s">
        <v>44</v>
      </c>
      <c r="C217" s="7" t="s">
        <v>791</v>
      </c>
      <c r="D217" s="7" t="s">
        <v>304</v>
      </c>
      <c r="E217" s="7" t="s">
        <v>129</v>
      </c>
      <c r="F217" s="7" t="n">
        <v>16</v>
      </c>
      <c r="G217" s="7" t="n">
        <v>5.62</v>
      </c>
      <c r="H217" s="7" t="n">
        <v>5.72</v>
      </c>
      <c r="I217" s="7" t="n">
        <v>1</v>
      </c>
      <c r="J217" s="7" t="n">
        <v>0</v>
      </c>
      <c r="K217" s="7" t="n">
        <v>0</v>
      </c>
      <c r="L217" s="7" t="n">
        <v>0</v>
      </c>
      <c r="M217" s="7" t="n">
        <v>0</v>
      </c>
      <c r="N217" s="7" t="n">
        <v>0</v>
      </c>
      <c r="O217" s="7" t="n">
        <v>0</v>
      </c>
      <c r="P217" s="7" t="n">
        <v>3</v>
      </c>
      <c r="Q217" s="7" t="n">
        <v>0</v>
      </c>
      <c r="R217" s="7" t="n">
        <v>0</v>
      </c>
    </row>
    <row r="218" customFormat="false" ht="15" hidden="false" customHeight="true" outlineLevel="0" collapsed="false">
      <c r="A218" s="7" t="n">
        <v>6665</v>
      </c>
      <c r="B218" s="7" t="s">
        <v>44</v>
      </c>
      <c r="C218" s="7" t="s">
        <v>802</v>
      </c>
      <c r="D218" s="7" t="s">
        <v>831</v>
      </c>
      <c r="E218" s="7" t="s">
        <v>144</v>
      </c>
      <c r="F218" s="7" t="n">
        <v>18</v>
      </c>
      <c r="G218" s="7" t="n">
        <v>5.69</v>
      </c>
      <c r="H218" s="7" t="n">
        <v>5.64</v>
      </c>
      <c r="I218" s="7" t="n">
        <v>0</v>
      </c>
      <c r="J218" s="7" t="n">
        <v>0</v>
      </c>
      <c r="K218" s="7" t="n">
        <v>0</v>
      </c>
      <c r="L218" s="7" t="n">
        <v>0</v>
      </c>
      <c r="M218" s="7" t="n">
        <v>0</v>
      </c>
      <c r="N218" s="7" t="n">
        <v>0</v>
      </c>
      <c r="O218" s="7" t="n">
        <v>0</v>
      </c>
      <c r="P218" s="7" t="n">
        <v>2</v>
      </c>
      <c r="Q218" s="7" t="n">
        <v>0</v>
      </c>
      <c r="R218" s="7" t="n">
        <v>0</v>
      </c>
    </row>
    <row r="219" customFormat="false" ht="15" hidden="false" customHeight="true" outlineLevel="0" collapsed="false">
      <c r="A219" s="7" t="n">
        <v>4982</v>
      </c>
      <c r="B219" s="7" t="s">
        <v>44</v>
      </c>
      <c r="C219" s="7" t="s">
        <v>784</v>
      </c>
      <c r="D219" s="7" t="s">
        <v>832</v>
      </c>
      <c r="E219" s="7" t="s">
        <v>127</v>
      </c>
      <c r="F219" s="7" t="n">
        <v>0</v>
      </c>
      <c r="G219" s="7" t="n">
        <v>0</v>
      </c>
      <c r="H219" s="7" t="n">
        <v>0</v>
      </c>
      <c r="I219" s="7" t="n">
        <v>0</v>
      </c>
      <c r="J219" s="7" t="n">
        <v>0</v>
      </c>
      <c r="K219" s="7" t="n">
        <v>0</v>
      </c>
      <c r="L219" s="7" t="n">
        <v>0</v>
      </c>
      <c r="M219" s="7" t="n">
        <v>0</v>
      </c>
      <c r="N219" s="7" t="n">
        <v>0</v>
      </c>
      <c r="O219" s="7" t="n">
        <v>0</v>
      </c>
      <c r="P219" s="7" t="n">
        <v>0</v>
      </c>
      <c r="Q219" s="7" t="n">
        <v>0</v>
      </c>
      <c r="R219" s="7" t="n">
        <v>0</v>
      </c>
    </row>
    <row r="220" customFormat="false" ht="15" hidden="false" customHeight="true" outlineLevel="0" collapsed="false">
      <c r="A220" s="7" t="n">
        <v>487</v>
      </c>
      <c r="B220" s="7" t="s">
        <v>44</v>
      </c>
      <c r="C220" s="7" t="s">
        <v>792</v>
      </c>
      <c r="D220" s="7" t="s">
        <v>339</v>
      </c>
      <c r="E220" s="7" t="s">
        <v>127</v>
      </c>
      <c r="F220" s="7" t="n">
        <v>10</v>
      </c>
      <c r="G220" s="7" t="n">
        <v>6.05</v>
      </c>
      <c r="H220" s="7" t="n">
        <v>5.95</v>
      </c>
      <c r="I220" s="7" t="n">
        <v>0</v>
      </c>
      <c r="J220" s="7" t="n">
        <v>0</v>
      </c>
      <c r="K220" s="7" t="n">
        <v>0</v>
      </c>
      <c r="L220" s="7" t="n">
        <v>0</v>
      </c>
      <c r="M220" s="7" t="n">
        <v>0</v>
      </c>
      <c r="N220" s="7" t="n">
        <v>0</v>
      </c>
      <c r="O220" s="7" t="n">
        <v>0</v>
      </c>
      <c r="P220" s="7" t="n">
        <v>2</v>
      </c>
      <c r="Q220" s="7" t="n">
        <v>0</v>
      </c>
      <c r="R220" s="7" t="n">
        <v>0</v>
      </c>
    </row>
    <row r="221" customFormat="false" ht="15" hidden="false" customHeight="true" outlineLevel="0" collapsed="false">
      <c r="A221" s="7" t="n">
        <v>6231</v>
      </c>
      <c r="B221" s="7" t="s">
        <v>44</v>
      </c>
      <c r="C221" s="7" t="s">
        <v>786</v>
      </c>
      <c r="D221" s="7" t="s">
        <v>833</v>
      </c>
      <c r="E221" s="7" t="s">
        <v>750</v>
      </c>
      <c r="F221" s="7" t="n">
        <v>0</v>
      </c>
      <c r="G221" s="7" t="n">
        <v>0</v>
      </c>
      <c r="H221" s="7" t="n">
        <v>0</v>
      </c>
      <c r="I221" s="7" t="n">
        <v>0</v>
      </c>
      <c r="J221" s="7" t="n">
        <v>0</v>
      </c>
      <c r="K221" s="7" t="n">
        <v>0</v>
      </c>
      <c r="L221" s="7" t="n">
        <v>0</v>
      </c>
      <c r="M221" s="7" t="n">
        <v>0</v>
      </c>
      <c r="N221" s="7" t="n">
        <v>0</v>
      </c>
      <c r="O221" s="7" t="n">
        <v>0</v>
      </c>
      <c r="P221" s="7" t="n">
        <v>0</v>
      </c>
      <c r="Q221" s="7" t="n">
        <v>0</v>
      </c>
      <c r="R221" s="7" t="n">
        <v>0</v>
      </c>
    </row>
    <row r="222" customFormat="false" ht="15" hidden="false" customHeight="true" outlineLevel="0" collapsed="false">
      <c r="A222" s="7" t="n">
        <v>6245</v>
      </c>
      <c r="B222" s="7" t="s">
        <v>44</v>
      </c>
      <c r="C222" s="7" t="s">
        <v>787</v>
      </c>
      <c r="D222" s="7" t="s">
        <v>347</v>
      </c>
      <c r="E222" s="7" t="s">
        <v>137</v>
      </c>
      <c r="F222" s="7" t="n">
        <v>0</v>
      </c>
      <c r="G222" s="7" t="n">
        <v>0</v>
      </c>
      <c r="H222" s="7" t="n">
        <v>0</v>
      </c>
      <c r="I222" s="7" t="n">
        <v>0</v>
      </c>
      <c r="J222" s="7" t="n">
        <v>0</v>
      </c>
      <c r="K222" s="7" t="n">
        <v>0</v>
      </c>
      <c r="L222" s="7" t="n">
        <v>0</v>
      </c>
      <c r="M222" s="7" t="n">
        <v>0</v>
      </c>
      <c r="N222" s="7" t="n">
        <v>0</v>
      </c>
      <c r="O222" s="7" t="n">
        <v>0</v>
      </c>
      <c r="P222" s="7" t="n">
        <v>0</v>
      </c>
      <c r="Q222" s="7" t="n">
        <v>0</v>
      </c>
      <c r="R222" s="7" t="n">
        <v>0</v>
      </c>
    </row>
    <row r="223" customFormat="false" ht="15" hidden="false" customHeight="true" outlineLevel="0" collapsed="false">
      <c r="A223" s="7" t="n">
        <v>791</v>
      </c>
      <c r="B223" s="7" t="s">
        <v>44</v>
      </c>
      <c r="C223" s="7" t="s">
        <v>802</v>
      </c>
      <c r="D223" s="7" t="s">
        <v>328</v>
      </c>
      <c r="E223" s="7" t="s">
        <v>137</v>
      </c>
      <c r="F223" s="7" t="n">
        <v>13</v>
      </c>
      <c r="G223" s="7" t="n">
        <v>5.81</v>
      </c>
      <c r="H223" s="7" t="n">
        <v>5.65</v>
      </c>
      <c r="I223" s="7" t="n">
        <v>0</v>
      </c>
      <c r="J223" s="7" t="n">
        <v>0</v>
      </c>
      <c r="K223" s="7" t="n">
        <v>0</v>
      </c>
      <c r="L223" s="7" t="n">
        <v>0</v>
      </c>
      <c r="M223" s="7" t="n">
        <v>0</v>
      </c>
      <c r="N223" s="7" t="n">
        <v>0</v>
      </c>
      <c r="O223" s="7" t="n">
        <v>0</v>
      </c>
      <c r="P223" s="7" t="n">
        <v>0</v>
      </c>
      <c r="Q223" s="7" t="n">
        <v>0</v>
      </c>
      <c r="R223" s="7" t="n">
        <v>1</v>
      </c>
    </row>
    <row r="224" customFormat="false" ht="15" hidden="false" customHeight="true" outlineLevel="0" collapsed="false">
      <c r="A224" s="7" t="n">
        <v>322</v>
      </c>
      <c r="B224" s="7" t="s">
        <v>44</v>
      </c>
      <c r="C224" s="7" t="s">
        <v>784</v>
      </c>
      <c r="D224" s="7" t="s">
        <v>834</v>
      </c>
      <c r="E224" s="7" t="s">
        <v>115</v>
      </c>
      <c r="F224" s="7" t="n">
        <v>8</v>
      </c>
      <c r="G224" s="7" t="n">
        <v>6.12</v>
      </c>
      <c r="H224" s="7" t="n">
        <v>6.06</v>
      </c>
      <c r="I224" s="7" t="n">
        <v>0</v>
      </c>
      <c r="J224" s="7" t="n">
        <v>0</v>
      </c>
      <c r="K224" s="7" t="n">
        <v>0</v>
      </c>
      <c r="L224" s="7" t="n">
        <v>0</v>
      </c>
      <c r="M224" s="7" t="n">
        <v>0</v>
      </c>
      <c r="N224" s="7" t="n">
        <v>0</v>
      </c>
      <c r="O224" s="7" t="n">
        <v>0</v>
      </c>
      <c r="P224" s="7" t="n">
        <v>1</v>
      </c>
      <c r="Q224" s="7" t="n">
        <v>0</v>
      </c>
      <c r="R224" s="7" t="n">
        <v>0</v>
      </c>
    </row>
    <row r="225" customFormat="false" ht="15" hidden="false" customHeight="true" outlineLevel="0" collapsed="false">
      <c r="A225" s="7" t="n">
        <v>2525</v>
      </c>
      <c r="B225" s="7" t="s">
        <v>44</v>
      </c>
      <c r="C225" s="7" t="s">
        <v>788</v>
      </c>
      <c r="D225" s="7" t="s">
        <v>835</v>
      </c>
      <c r="E225" s="7" t="s">
        <v>115</v>
      </c>
      <c r="F225" s="7" t="n">
        <v>5</v>
      </c>
      <c r="G225" s="7" t="n">
        <v>6</v>
      </c>
      <c r="H225" s="7" t="n">
        <v>6</v>
      </c>
      <c r="I225" s="7" t="n">
        <v>0</v>
      </c>
      <c r="J225" s="7" t="n">
        <v>0</v>
      </c>
      <c r="K225" s="7" t="n">
        <v>0</v>
      </c>
      <c r="L225" s="7" t="n">
        <v>0</v>
      </c>
      <c r="M225" s="7" t="n">
        <v>0</v>
      </c>
      <c r="N225" s="7" t="n">
        <v>0</v>
      </c>
      <c r="O225" s="7" t="n">
        <v>0</v>
      </c>
      <c r="P225" s="7" t="n">
        <v>0</v>
      </c>
      <c r="Q225" s="7" t="n">
        <v>0</v>
      </c>
      <c r="R225" s="7" t="n">
        <v>0</v>
      </c>
    </row>
    <row r="226" customFormat="false" ht="15" hidden="false" customHeight="true" outlineLevel="0" collapsed="false">
      <c r="A226" s="7" t="n">
        <v>6802</v>
      </c>
      <c r="B226" s="7" t="s">
        <v>44</v>
      </c>
      <c r="C226" s="7" t="s">
        <v>788</v>
      </c>
      <c r="D226" s="7" t="s">
        <v>836</v>
      </c>
      <c r="E226" s="7" t="s">
        <v>131</v>
      </c>
      <c r="F226" s="7" t="n">
        <v>0</v>
      </c>
      <c r="G226" s="7" t="n">
        <v>0</v>
      </c>
      <c r="H226" s="7" t="n">
        <v>0</v>
      </c>
      <c r="I226" s="7" t="n">
        <v>0</v>
      </c>
      <c r="J226" s="7" t="n">
        <v>0</v>
      </c>
      <c r="K226" s="7" t="n">
        <v>0</v>
      </c>
      <c r="L226" s="7" t="n">
        <v>0</v>
      </c>
      <c r="M226" s="7" t="n">
        <v>0</v>
      </c>
      <c r="N226" s="7" t="n">
        <v>0</v>
      </c>
      <c r="O226" s="7" t="n">
        <v>0</v>
      </c>
      <c r="P226" s="7" t="n">
        <v>0</v>
      </c>
      <c r="Q226" s="7" t="n">
        <v>0</v>
      </c>
      <c r="R226" s="7" t="n">
        <v>0</v>
      </c>
    </row>
    <row r="227" customFormat="false" ht="15" hidden="false" customHeight="true" outlineLevel="0" collapsed="false">
      <c r="A227" s="7" t="n">
        <v>327</v>
      </c>
      <c r="B227" s="7" t="s">
        <v>44</v>
      </c>
      <c r="C227" s="7" t="s">
        <v>787</v>
      </c>
      <c r="D227" s="7" t="s">
        <v>351</v>
      </c>
      <c r="E227" s="7" t="s">
        <v>133</v>
      </c>
      <c r="F227" s="7" t="n">
        <v>10</v>
      </c>
      <c r="G227" s="7" t="n">
        <v>5.85</v>
      </c>
      <c r="H227" s="7" t="n">
        <v>5.75</v>
      </c>
      <c r="I227" s="7" t="n">
        <v>0</v>
      </c>
      <c r="J227" s="7" t="n">
        <v>0</v>
      </c>
      <c r="K227" s="7" t="n">
        <v>0</v>
      </c>
      <c r="L227" s="7" t="n">
        <v>0</v>
      </c>
      <c r="M227" s="7" t="n">
        <v>0</v>
      </c>
      <c r="N227" s="7" t="n">
        <v>0</v>
      </c>
      <c r="O227" s="7" t="n">
        <v>0</v>
      </c>
      <c r="P227" s="7" t="n">
        <v>2</v>
      </c>
      <c r="Q227" s="7" t="n">
        <v>0</v>
      </c>
      <c r="R227" s="7" t="n">
        <v>0</v>
      </c>
    </row>
    <row r="228" customFormat="false" ht="15" hidden="false" customHeight="true" outlineLevel="0" collapsed="false">
      <c r="A228" s="7" t="n">
        <v>2263</v>
      </c>
      <c r="B228" s="7" t="s">
        <v>44</v>
      </c>
      <c r="C228" s="7" t="s">
        <v>792</v>
      </c>
      <c r="D228" s="7" t="s">
        <v>329</v>
      </c>
      <c r="E228" s="7" t="s">
        <v>133</v>
      </c>
      <c r="F228" s="7" t="n">
        <v>17</v>
      </c>
      <c r="G228" s="7" t="n">
        <v>5.79</v>
      </c>
      <c r="H228" s="7" t="n">
        <v>5.74</v>
      </c>
      <c r="I228" s="7" t="n">
        <v>0</v>
      </c>
      <c r="J228" s="7" t="n">
        <v>0</v>
      </c>
      <c r="K228" s="7" t="n">
        <v>0</v>
      </c>
      <c r="L228" s="7" t="n">
        <v>0</v>
      </c>
      <c r="M228" s="7" t="n">
        <v>0</v>
      </c>
      <c r="N228" s="7" t="n">
        <v>0</v>
      </c>
      <c r="O228" s="7" t="n">
        <v>0</v>
      </c>
      <c r="P228" s="7" t="n">
        <v>2</v>
      </c>
      <c r="Q228" s="7" t="n">
        <v>0</v>
      </c>
      <c r="R228" s="7" t="n">
        <v>0</v>
      </c>
    </row>
    <row r="229" customFormat="false" ht="15" hidden="false" customHeight="true" outlineLevel="0" collapsed="false">
      <c r="A229" s="7" t="n">
        <v>6809</v>
      </c>
      <c r="B229" s="7" t="s">
        <v>44</v>
      </c>
      <c r="C229" s="7" t="s">
        <v>784</v>
      </c>
      <c r="D229" s="7" t="s">
        <v>356</v>
      </c>
      <c r="E229" s="7" t="s">
        <v>184</v>
      </c>
      <c r="F229" s="7" t="n">
        <v>11</v>
      </c>
      <c r="G229" s="7" t="n">
        <v>5.73</v>
      </c>
      <c r="H229" s="7" t="n">
        <v>5.73</v>
      </c>
      <c r="I229" s="7" t="n">
        <v>0</v>
      </c>
      <c r="J229" s="7" t="n">
        <v>0</v>
      </c>
      <c r="K229" s="7" t="n">
        <v>0</v>
      </c>
      <c r="L229" s="7" t="n">
        <v>0</v>
      </c>
      <c r="M229" s="7" t="n">
        <v>0</v>
      </c>
      <c r="N229" s="7" t="n">
        <v>0</v>
      </c>
      <c r="O229" s="7" t="n">
        <v>1</v>
      </c>
      <c r="P229" s="7" t="n">
        <v>2</v>
      </c>
      <c r="Q229" s="7" t="n">
        <v>0</v>
      </c>
      <c r="R229" s="7" t="n">
        <v>0</v>
      </c>
    </row>
    <row r="230" customFormat="false" ht="15" hidden="false" customHeight="true" outlineLevel="0" collapsed="false">
      <c r="A230" s="7" t="n">
        <v>5353</v>
      </c>
      <c r="B230" s="7" t="s">
        <v>44</v>
      </c>
      <c r="C230" s="7" t="s">
        <v>784</v>
      </c>
      <c r="D230" s="7" t="s">
        <v>837</v>
      </c>
      <c r="E230" s="7" t="s">
        <v>141</v>
      </c>
      <c r="F230" s="7" t="n">
        <v>0</v>
      </c>
      <c r="G230" s="7" t="n">
        <v>0</v>
      </c>
      <c r="H230" s="7" t="n">
        <v>0</v>
      </c>
      <c r="I230" s="7" t="n">
        <v>0</v>
      </c>
      <c r="J230" s="7" t="n">
        <v>0</v>
      </c>
      <c r="K230" s="7" t="n">
        <v>0</v>
      </c>
      <c r="L230" s="7" t="n">
        <v>0</v>
      </c>
      <c r="M230" s="7" t="n">
        <v>0</v>
      </c>
      <c r="N230" s="7" t="n">
        <v>0</v>
      </c>
      <c r="O230" s="7" t="n">
        <v>0</v>
      </c>
      <c r="P230" s="7" t="n">
        <v>0</v>
      </c>
      <c r="Q230" s="7" t="n">
        <v>0</v>
      </c>
      <c r="R230" s="7" t="n">
        <v>0</v>
      </c>
    </row>
    <row r="231" customFormat="false" ht="15" hidden="false" customHeight="true" outlineLevel="0" collapsed="false">
      <c r="A231" s="7" t="n">
        <v>2745</v>
      </c>
      <c r="B231" s="7" t="s">
        <v>44</v>
      </c>
      <c r="C231" s="7" t="s">
        <v>788</v>
      </c>
      <c r="D231" s="7" t="s">
        <v>838</v>
      </c>
      <c r="E231" s="7" t="s">
        <v>755</v>
      </c>
      <c r="F231" s="7" t="n">
        <v>25</v>
      </c>
      <c r="G231" s="7" t="n">
        <v>5.74</v>
      </c>
      <c r="H231" s="7" t="n">
        <v>5.58</v>
      </c>
      <c r="I231" s="7" t="n">
        <v>0</v>
      </c>
      <c r="J231" s="7" t="n">
        <v>0</v>
      </c>
      <c r="K231" s="7" t="n">
        <v>0</v>
      </c>
      <c r="L231" s="7" t="n">
        <v>0</v>
      </c>
      <c r="M231" s="7" t="n">
        <v>0</v>
      </c>
      <c r="N231" s="7" t="n">
        <v>0</v>
      </c>
      <c r="O231" s="7" t="n">
        <v>0</v>
      </c>
      <c r="P231" s="7" t="n">
        <v>8</v>
      </c>
      <c r="Q231" s="7" t="n">
        <v>0</v>
      </c>
      <c r="R231" s="7" t="n">
        <v>0</v>
      </c>
    </row>
    <row r="232" customFormat="false" ht="15" hidden="false" customHeight="true" outlineLevel="0" collapsed="false">
      <c r="A232" s="7" t="n">
        <v>6533</v>
      </c>
      <c r="B232" s="7" t="s">
        <v>44</v>
      </c>
      <c r="C232" s="7" t="s">
        <v>784</v>
      </c>
      <c r="D232" s="7" t="s">
        <v>839</v>
      </c>
      <c r="E232" s="7" t="s">
        <v>135</v>
      </c>
      <c r="F232" s="7" t="n">
        <v>0</v>
      </c>
      <c r="G232" s="7" t="n">
        <v>0</v>
      </c>
      <c r="H232" s="7" t="n">
        <v>0</v>
      </c>
      <c r="I232" s="7" t="n">
        <v>0</v>
      </c>
      <c r="J232" s="7" t="n">
        <v>0</v>
      </c>
      <c r="K232" s="7" t="n">
        <v>0</v>
      </c>
      <c r="L232" s="7" t="n">
        <v>0</v>
      </c>
      <c r="M232" s="7" t="n">
        <v>0</v>
      </c>
      <c r="N232" s="7" t="n">
        <v>0</v>
      </c>
      <c r="O232" s="7" t="n">
        <v>0</v>
      </c>
      <c r="P232" s="7" t="n">
        <v>0</v>
      </c>
      <c r="Q232" s="7" t="n">
        <v>0</v>
      </c>
      <c r="R232" s="7" t="n">
        <v>0</v>
      </c>
    </row>
    <row r="233" customFormat="false" ht="15" hidden="false" customHeight="true" outlineLevel="0" collapsed="false">
      <c r="A233" s="7" t="n">
        <v>6211</v>
      </c>
      <c r="B233" s="7" t="s">
        <v>44</v>
      </c>
      <c r="C233" s="7" t="s">
        <v>786</v>
      </c>
      <c r="D233" s="7" t="s">
        <v>840</v>
      </c>
      <c r="E233" s="7" t="s">
        <v>135</v>
      </c>
      <c r="F233" s="7" t="n">
        <v>15</v>
      </c>
      <c r="G233" s="7" t="n">
        <v>5.87</v>
      </c>
      <c r="H233" s="7" t="n">
        <v>5.77</v>
      </c>
      <c r="I233" s="7" t="n">
        <v>0</v>
      </c>
      <c r="J233" s="7" t="n">
        <v>0</v>
      </c>
      <c r="K233" s="7" t="n">
        <v>0</v>
      </c>
      <c r="L233" s="7" t="n">
        <v>0</v>
      </c>
      <c r="M233" s="7" t="n">
        <v>0</v>
      </c>
      <c r="N233" s="7" t="n">
        <v>0</v>
      </c>
      <c r="O233" s="7" t="n">
        <v>0</v>
      </c>
      <c r="P233" s="7" t="n">
        <v>3</v>
      </c>
      <c r="Q233" s="7" t="n">
        <v>0</v>
      </c>
      <c r="R233" s="7" t="n">
        <v>0</v>
      </c>
    </row>
    <row r="234" customFormat="false" ht="15" hidden="false" customHeight="true" outlineLevel="0" collapsed="false">
      <c r="A234" s="7" t="n">
        <v>6957</v>
      </c>
      <c r="B234" s="7" t="s">
        <v>44</v>
      </c>
      <c r="C234" s="7" t="s">
        <v>784</v>
      </c>
      <c r="D234" s="7" t="s">
        <v>841</v>
      </c>
      <c r="E234" s="7" t="s">
        <v>752</v>
      </c>
      <c r="F234" s="7" t="n">
        <v>19</v>
      </c>
      <c r="G234" s="7" t="n">
        <v>5.79</v>
      </c>
      <c r="H234" s="7" t="n">
        <v>5.58</v>
      </c>
      <c r="I234" s="7" t="n">
        <v>0</v>
      </c>
      <c r="J234" s="7" t="n">
        <v>0</v>
      </c>
      <c r="K234" s="7" t="n">
        <v>0</v>
      </c>
      <c r="L234" s="7" t="n">
        <v>0</v>
      </c>
      <c r="M234" s="7" t="n">
        <v>0</v>
      </c>
      <c r="N234" s="7" t="n">
        <v>0</v>
      </c>
      <c r="O234" s="7" t="n">
        <v>0</v>
      </c>
      <c r="P234" s="7" t="n">
        <v>6</v>
      </c>
      <c r="Q234" s="7" t="n">
        <v>1</v>
      </c>
      <c r="R234" s="7" t="n">
        <v>0</v>
      </c>
    </row>
    <row r="235" customFormat="false" ht="15" hidden="false" customHeight="true" outlineLevel="0" collapsed="false">
      <c r="A235" s="7" t="n">
        <v>7253</v>
      </c>
      <c r="B235" s="7" t="s">
        <v>44</v>
      </c>
      <c r="C235" s="7" t="s">
        <v>784</v>
      </c>
      <c r="D235" s="7" t="s">
        <v>261</v>
      </c>
      <c r="E235" s="7" t="s">
        <v>752</v>
      </c>
      <c r="F235" s="7" t="n">
        <v>18</v>
      </c>
      <c r="G235" s="7" t="n">
        <v>5.83</v>
      </c>
      <c r="H235" s="7" t="n">
        <v>5.75</v>
      </c>
      <c r="I235" s="7" t="n">
        <v>0</v>
      </c>
      <c r="J235" s="7" t="n">
        <v>0</v>
      </c>
      <c r="K235" s="7" t="n">
        <v>0</v>
      </c>
      <c r="L235" s="7" t="n">
        <v>0</v>
      </c>
      <c r="M235" s="7" t="n">
        <v>0</v>
      </c>
      <c r="N235" s="7" t="n">
        <v>0</v>
      </c>
      <c r="O235" s="7" t="n">
        <v>0</v>
      </c>
      <c r="P235" s="7" t="n">
        <v>3</v>
      </c>
      <c r="Q235" s="7" t="n">
        <v>0</v>
      </c>
      <c r="R235" s="7" t="n">
        <v>0</v>
      </c>
    </row>
    <row r="236" customFormat="false" ht="15" hidden="false" customHeight="true" outlineLevel="0" collapsed="false">
      <c r="A236" s="7" t="n">
        <v>5168</v>
      </c>
      <c r="B236" s="7" t="s">
        <v>44</v>
      </c>
      <c r="C236" s="7" t="s">
        <v>786</v>
      </c>
      <c r="D236" s="7" t="s">
        <v>842</v>
      </c>
      <c r="E236" s="7" t="s">
        <v>113</v>
      </c>
      <c r="F236" s="7" t="n">
        <v>13</v>
      </c>
      <c r="G236" s="7" t="n">
        <v>5.73</v>
      </c>
      <c r="H236" s="7" t="n">
        <v>5.69</v>
      </c>
      <c r="I236" s="7" t="n">
        <v>0</v>
      </c>
      <c r="J236" s="7" t="n">
        <v>0</v>
      </c>
      <c r="K236" s="7" t="n">
        <v>0</v>
      </c>
      <c r="L236" s="7" t="n">
        <v>0</v>
      </c>
      <c r="M236" s="7" t="n">
        <v>0</v>
      </c>
      <c r="N236" s="7" t="n">
        <v>0</v>
      </c>
      <c r="O236" s="7" t="n">
        <v>0</v>
      </c>
      <c r="P236" s="7" t="n">
        <v>1</v>
      </c>
      <c r="Q236" s="7" t="n">
        <v>0</v>
      </c>
      <c r="R236" s="7" t="n">
        <v>0</v>
      </c>
    </row>
    <row r="237" customFormat="false" ht="15" hidden="false" customHeight="true" outlineLevel="0" collapsed="false">
      <c r="A237" s="7" t="n">
        <v>7335</v>
      </c>
      <c r="B237" s="7" t="s">
        <v>44</v>
      </c>
      <c r="C237" s="7" t="s">
        <v>784</v>
      </c>
      <c r="D237" s="7" t="s">
        <v>843</v>
      </c>
      <c r="E237" s="7" t="s">
        <v>137</v>
      </c>
      <c r="F237" s="7" t="n">
        <v>2</v>
      </c>
      <c r="G237" s="7" t="n">
        <v>6</v>
      </c>
      <c r="H237" s="7" t="n">
        <v>6</v>
      </c>
      <c r="I237" s="7" t="n">
        <v>0</v>
      </c>
      <c r="J237" s="7" t="n">
        <v>0</v>
      </c>
      <c r="K237" s="7" t="n">
        <v>0</v>
      </c>
      <c r="L237" s="7" t="n">
        <v>0</v>
      </c>
      <c r="M237" s="7" t="n">
        <v>0</v>
      </c>
      <c r="N237" s="7" t="n">
        <v>0</v>
      </c>
      <c r="O237" s="7" t="n">
        <v>0</v>
      </c>
      <c r="P237" s="7" t="n">
        <v>0</v>
      </c>
      <c r="Q237" s="7" t="n">
        <v>0</v>
      </c>
      <c r="R237" s="7" t="n">
        <v>0</v>
      </c>
    </row>
    <row r="238" customFormat="false" ht="15" hidden="false" customHeight="true" outlineLevel="0" collapsed="false">
      <c r="A238" s="7" t="n">
        <v>6149</v>
      </c>
      <c r="B238" s="7" t="s">
        <v>44</v>
      </c>
      <c r="C238" s="7" t="s">
        <v>786</v>
      </c>
      <c r="D238" s="7" t="s">
        <v>359</v>
      </c>
      <c r="E238" s="7" t="s">
        <v>141</v>
      </c>
      <c r="F238" s="7" t="n">
        <v>2</v>
      </c>
      <c r="G238" s="7" t="n">
        <v>6</v>
      </c>
      <c r="H238" s="7" t="n">
        <v>6</v>
      </c>
      <c r="I238" s="7" t="n">
        <v>0</v>
      </c>
      <c r="J238" s="7" t="n">
        <v>0</v>
      </c>
      <c r="K238" s="7" t="n">
        <v>0</v>
      </c>
      <c r="L238" s="7" t="n">
        <v>0</v>
      </c>
      <c r="M238" s="7" t="n">
        <v>0</v>
      </c>
      <c r="N238" s="7" t="n">
        <v>0</v>
      </c>
      <c r="O238" s="7" t="n">
        <v>0</v>
      </c>
      <c r="P238" s="7" t="n">
        <v>0</v>
      </c>
      <c r="Q238" s="7" t="n">
        <v>0</v>
      </c>
      <c r="R238" s="7" t="n">
        <v>0</v>
      </c>
    </row>
    <row r="239" customFormat="false" ht="15" hidden="false" customHeight="true" outlineLevel="0" collapsed="false">
      <c r="A239" s="7" t="n">
        <v>7353</v>
      </c>
      <c r="B239" s="7" t="s">
        <v>44</v>
      </c>
      <c r="C239" s="7" t="s">
        <v>784</v>
      </c>
      <c r="D239" s="7" t="s">
        <v>844</v>
      </c>
      <c r="E239" s="7" t="s">
        <v>144</v>
      </c>
      <c r="F239" s="7" t="n">
        <v>2</v>
      </c>
      <c r="G239" s="7" t="n">
        <v>5.75</v>
      </c>
      <c r="H239" s="7" t="n">
        <v>6.25</v>
      </c>
      <c r="I239" s="7" t="n">
        <v>0</v>
      </c>
      <c r="J239" s="7" t="n">
        <v>0</v>
      </c>
      <c r="K239" s="7" t="n">
        <v>0</v>
      </c>
      <c r="L239" s="7" t="n">
        <v>0</v>
      </c>
      <c r="M239" s="7" t="n">
        <v>0</v>
      </c>
      <c r="N239" s="7" t="n">
        <v>0</v>
      </c>
      <c r="O239" s="7" t="n">
        <v>1</v>
      </c>
      <c r="P239" s="7" t="n">
        <v>0</v>
      </c>
      <c r="Q239" s="7" t="n">
        <v>0</v>
      </c>
      <c r="R239" s="7" t="n">
        <v>0</v>
      </c>
    </row>
    <row r="240" customFormat="false" ht="15" hidden="false" customHeight="true" outlineLevel="0" collapsed="false">
      <c r="A240" s="7" t="n">
        <v>6444</v>
      </c>
      <c r="B240" s="7" t="s">
        <v>44</v>
      </c>
      <c r="C240" s="7" t="s">
        <v>784</v>
      </c>
      <c r="D240" s="7" t="s">
        <v>845</v>
      </c>
      <c r="E240" s="7" t="s">
        <v>755</v>
      </c>
      <c r="F240" s="7" t="n">
        <v>9</v>
      </c>
      <c r="G240" s="7" t="n">
        <v>5.61</v>
      </c>
      <c r="H240" s="7" t="n">
        <v>5.56</v>
      </c>
      <c r="I240" s="7" t="n">
        <v>0</v>
      </c>
      <c r="J240" s="7" t="n">
        <v>0</v>
      </c>
      <c r="K240" s="7" t="n">
        <v>0</v>
      </c>
      <c r="L240" s="7" t="n">
        <v>0</v>
      </c>
      <c r="M240" s="7" t="n">
        <v>0</v>
      </c>
      <c r="N240" s="7" t="n">
        <v>0</v>
      </c>
      <c r="O240" s="7" t="n">
        <v>0</v>
      </c>
      <c r="P240" s="7" t="n">
        <v>1</v>
      </c>
      <c r="Q240" s="7" t="n">
        <v>0</v>
      </c>
      <c r="R240" s="7" t="n">
        <v>0</v>
      </c>
    </row>
    <row r="241" customFormat="false" ht="15" hidden="false" customHeight="true" outlineLevel="0" collapsed="false">
      <c r="A241" s="7" t="n">
        <v>2653</v>
      </c>
      <c r="B241" s="7" t="s">
        <v>44</v>
      </c>
      <c r="C241" s="7" t="s">
        <v>786</v>
      </c>
      <c r="D241" s="7" t="s">
        <v>846</v>
      </c>
      <c r="E241" s="7" t="s">
        <v>127</v>
      </c>
      <c r="F241" s="7" t="n">
        <v>8</v>
      </c>
      <c r="G241" s="7" t="n">
        <v>5.62</v>
      </c>
      <c r="H241" s="7" t="n">
        <v>5.56</v>
      </c>
      <c r="I241" s="7" t="n">
        <v>0</v>
      </c>
      <c r="J241" s="7" t="n">
        <v>0</v>
      </c>
      <c r="K241" s="7" t="n">
        <v>0</v>
      </c>
      <c r="L241" s="7" t="n">
        <v>0</v>
      </c>
      <c r="M241" s="7" t="n">
        <v>0</v>
      </c>
      <c r="N241" s="7" t="n">
        <v>0</v>
      </c>
      <c r="O241" s="7" t="n">
        <v>1</v>
      </c>
      <c r="P241" s="7" t="n">
        <v>3</v>
      </c>
      <c r="Q241" s="7" t="n">
        <v>0</v>
      </c>
      <c r="R241" s="7" t="n">
        <v>0</v>
      </c>
    </row>
    <row r="242" customFormat="false" ht="15" hidden="false" customHeight="true" outlineLevel="0" collapsed="false">
      <c r="A242" s="7" t="n">
        <v>5406</v>
      </c>
      <c r="B242" s="7" t="s">
        <v>44</v>
      </c>
      <c r="C242" s="7" t="s">
        <v>792</v>
      </c>
      <c r="D242" s="7" t="s">
        <v>847</v>
      </c>
      <c r="E242" s="7" t="s">
        <v>129</v>
      </c>
      <c r="F242" s="7" t="n">
        <v>1</v>
      </c>
      <c r="G242" s="7" t="n">
        <v>5.5</v>
      </c>
      <c r="H242" s="7" t="n">
        <v>5.5</v>
      </c>
      <c r="I242" s="7" t="n">
        <v>0</v>
      </c>
      <c r="J242" s="7" t="n">
        <v>0</v>
      </c>
      <c r="K242" s="7" t="n">
        <v>0</v>
      </c>
      <c r="L242" s="7" t="n">
        <v>0</v>
      </c>
      <c r="M242" s="7" t="n">
        <v>0</v>
      </c>
      <c r="N242" s="7" t="n">
        <v>0</v>
      </c>
      <c r="O242" s="7" t="n">
        <v>0</v>
      </c>
      <c r="P242" s="7" t="n">
        <v>0</v>
      </c>
      <c r="Q242" s="7" t="n">
        <v>0</v>
      </c>
      <c r="R242" s="7" t="n">
        <v>0</v>
      </c>
    </row>
    <row r="243" customFormat="false" ht="15" hidden="false" customHeight="true" outlineLevel="0" collapsed="false">
      <c r="A243" s="7" t="n">
        <v>6944</v>
      </c>
      <c r="B243" s="7" t="s">
        <v>44</v>
      </c>
      <c r="C243" s="7" t="s">
        <v>791</v>
      </c>
      <c r="D243" s="7" t="s">
        <v>848</v>
      </c>
      <c r="E243" s="7" t="s">
        <v>119</v>
      </c>
      <c r="F243" s="7" t="n">
        <v>0</v>
      </c>
      <c r="G243" s="7" t="n">
        <v>0</v>
      </c>
      <c r="H243" s="7" t="n">
        <v>0</v>
      </c>
      <c r="I243" s="7" t="n">
        <v>0</v>
      </c>
      <c r="J243" s="7" t="n">
        <v>0</v>
      </c>
      <c r="K243" s="7" t="n">
        <v>0</v>
      </c>
      <c r="L243" s="7" t="n">
        <v>0</v>
      </c>
      <c r="M243" s="7" t="n">
        <v>0</v>
      </c>
      <c r="N243" s="7" t="n">
        <v>0</v>
      </c>
      <c r="O243" s="7" t="n">
        <v>0</v>
      </c>
      <c r="P243" s="7" t="n">
        <v>0</v>
      </c>
      <c r="Q243" s="7" t="n">
        <v>0</v>
      </c>
      <c r="R243" s="7" t="n">
        <v>0</v>
      </c>
    </row>
    <row r="244" customFormat="false" ht="15" hidden="false" customHeight="true" outlineLevel="0" collapsed="false">
      <c r="A244" s="7" t="n">
        <v>5860</v>
      </c>
      <c r="B244" s="7" t="s">
        <v>44</v>
      </c>
      <c r="C244" s="7" t="s">
        <v>784</v>
      </c>
      <c r="D244" s="7" t="s">
        <v>849</v>
      </c>
      <c r="E244" s="7" t="s">
        <v>750</v>
      </c>
      <c r="F244" s="7" t="n">
        <v>0</v>
      </c>
      <c r="G244" s="7" t="n">
        <v>0</v>
      </c>
      <c r="H244" s="7" t="n">
        <v>0</v>
      </c>
      <c r="I244" s="7" t="n">
        <v>0</v>
      </c>
      <c r="J244" s="7" t="n">
        <v>0</v>
      </c>
      <c r="K244" s="7" t="n">
        <v>0</v>
      </c>
      <c r="L244" s="7" t="n">
        <v>0</v>
      </c>
      <c r="M244" s="7" t="n">
        <v>0</v>
      </c>
      <c r="N244" s="7" t="n">
        <v>0</v>
      </c>
      <c r="O244" s="7" t="n">
        <v>0</v>
      </c>
      <c r="P244" s="7" t="n">
        <v>0</v>
      </c>
      <c r="Q244" s="7" t="n">
        <v>0</v>
      </c>
      <c r="R244" s="7" t="n">
        <v>0</v>
      </c>
    </row>
    <row r="245" customFormat="false" ht="15" hidden="false" customHeight="true" outlineLevel="0" collapsed="false">
      <c r="A245" s="7" t="n">
        <v>4904</v>
      </c>
      <c r="B245" s="7" t="s">
        <v>44</v>
      </c>
      <c r="C245" s="7" t="s">
        <v>784</v>
      </c>
      <c r="D245" s="7" t="s">
        <v>850</v>
      </c>
      <c r="E245" s="7" t="s">
        <v>123</v>
      </c>
      <c r="F245" s="7" t="n">
        <v>10</v>
      </c>
      <c r="G245" s="7" t="n">
        <v>5.45</v>
      </c>
      <c r="H245" s="7" t="n">
        <v>5.3</v>
      </c>
      <c r="I245" s="7" t="n">
        <v>0</v>
      </c>
      <c r="J245" s="7" t="n">
        <v>0</v>
      </c>
      <c r="K245" s="7" t="n">
        <v>0</v>
      </c>
      <c r="L245" s="7" t="n">
        <v>0</v>
      </c>
      <c r="M245" s="7" t="n">
        <v>0</v>
      </c>
      <c r="N245" s="7" t="n">
        <v>0</v>
      </c>
      <c r="O245" s="7" t="n">
        <v>0</v>
      </c>
      <c r="P245" s="7" t="n">
        <v>3</v>
      </c>
      <c r="Q245" s="7" t="n">
        <v>0</v>
      </c>
      <c r="R245" s="7" t="n">
        <v>0</v>
      </c>
    </row>
    <row r="246" customFormat="false" ht="15" hidden="false" customHeight="true" outlineLevel="0" collapsed="false">
      <c r="A246" s="7" t="n">
        <v>5718</v>
      </c>
      <c r="B246" s="7" t="s">
        <v>44</v>
      </c>
      <c r="C246" s="7" t="s">
        <v>784</v>
      </c>
      <c r="D246" s="7" t="s">
        <v>851</v>
      </c>
      <c r="E246" s="7" t="s">
        <v>123</v>
      </c>
      <c r="F246" s="7" t="n">
        <v>6</v>
      </c>
      <c r="G246" s="7" t="n">
        <v>5.58</v>
      </c>
      <c r="H246" s="7" t="n">
        <v>5.33</v>
      </c>
      <c r="I246" s="7" t="n">
        <v>0</v>
      </c>
      <c r="J246" s="7" t="n">
        <v>0</v>
      </c>
      <c r="K246" s="7" t="n">
        <v>0</v>
      </c>
      <c r="L246" s="7" t="n">
        <v>0</v>
      </c>
      <c r="M246" s="7" t="n">
        <v>0</v>
      </c>
      <c r="N246" s="7" t="n">
        <v>0</v>
      </c>
      <c r="O246" s="7" t="n">
        <v>0</v>
      </c>
      <c r="P246" s="7" t="n">
        <v>1</v>
      </c>
      <c r="Q246" s="7" t="n">
        <v>1</v>
      </c>
      <c r="R246" s="7" t="n">
        <v>0</v>
      </c>
    </row>
    <row r="247" customFormat="false" ht="15" hidden="false" customHeight="true" outlineLevel="0" collapsed="false">
      <c r="A247" s="7" t="n">
        <v>7069</v>
      </c>
      <c r="B247" s="7" t="s">
        <v>44</v>
      </c>
      <c r="C247" s="7" t="s">
        <v>783</v>
      </c>
      <c r="D247" s="7" t="s">
        <v>852</v>
      </c>
      <c r="E247" s="7" t="s">
        <v>123</v>
      </c>
      <c r="F247" s="7" t="n">
        <v>12</v>
      </c>
      <c r="G247" s="7" t="n">
        <v>5.96</v>
      </c>
      <c r="H247" s="7" t="n">
        <v>5.96</v>
      </c>
      <c r="I247" s="7" t="n">
        <v>0</v>
      </c>
      <c r="J247" s="7" t="n">
        <v>0</v>
      </c>
      <c r="K247" s="7" t="n">
        <v>0</v>
      </c>
      <c r="L247" s="7" t="n">
        <v>0</v>
      </c>
      <c r="M247" s="7" t="n">
        <v>0</v>
      </c>
      <c r="N247" s="7" t="n">
        <v>0</v>
      </c>
      <c r="O247" s="7" t="n">
        <v>0</v>
      </c>
      <c r="P247" s="7" t="n">
        <v>0</v>
      </c>
      <c r="Q247" s="7" t="n">
        <v>0</v>
      </c>
      <c r="R247" s="7" t="n">
        <v>0</v>
      </c>
    </row>
    <row r="248" customFormat="false" ht="15" hidden="false" customHeight="true" outlineLevel="0" collapsed="false">
      <c r="A248" s="7" t="n">
        <v>6977</v>
      </c>
      <c r="B248" s="7" t="s">
        <v>44</v>
      </c>
      <c r="C248" s="7" t="s">
        <v>784</v>
      </c>
      <c r="D248" s="7" t="s">
        <v>326</v>
      </c>
      <c r="E248" s="7" t="s">
        <v>137</v>
      </c>
      <c r="F248" s="7" t="n">
        <v>10</v>
      </c>
      <c r="G248" s="7" t="n">
        <v>5.6</v>
      </c>
      <c r="H248" s="7" t="n">
        <v>5.35</v>
      </c>
      <c r="I248" s="7" t="n">
        <v>0</v>
      </c>
      <c r="J248" s="7" t="n">
        <v>0</v>
      </c>
      <c r="K248" s="7" t="n">
        <v>0</v>
      </c>
      <c r="L248" s="7" t="n">
        <v>0</v>
      </c>
      <c r="M248" s="7" t="n">
        <v>0</v>
      </c>
      <c r="N248" s="7" t="n">
        <v>0</v>
      </c>
      <c r="O248" s="7" t="n">
        <v>0</v>
      </c>
      <c r="P248" s="7" t="n">
        <v>1</v>
      </c>
      <c r="Q248" s="7" t="n">
        <v>0</v>
      </c>
      <c r="R248" s="7" t="n">
        <v>1</v>
      </c>
    </row>
    <row r="249" customFormat="false" ht="15" hidden="false" customHeight="true" outlineLevel="0" collapsed="false">
      <c r="A249" s="7" t="n">
        <v>294</v>
      </c>
      <c r="B249" s="7" t="s">
        <v>44</v>
      </c>
      <c r="C249" s="7" t="s">
        <v>784</v>
      </c>
      <c r="D249" s="7" t="s">
        <v>349</v>
      </c>
      <c r="E249" s="7" t="s">
        <v>123</v>
      </c>
      <c r="F249" s="7" t="n">
        <v>8</v>
      </c>
      <c r="G249" s="7" t="n">
        <v>5.69</v>
      </c>
      <c r="H249" s="7" t="n">
        <v>5.56</v>
      </c>
      <c r="I249" s="7" t="n">
        <v>0</v>
      </c>
      <c r="J249" s="7" t="n">
        <v>0</v>
      </c>
      <c r="K249" s="7" t="n">
        <v>0</v>
      </c>
      <c r="L249" s="7" t="n">
        <v>0</v>
      </c>
      <c r="M249" s="7" t="n">
        <v>0</v>
      </c>
      <c r="N249" s="7" t="n">
        <v>0</v>
      </c>
      <c r="O249" s="7" t="n">
        <v>0</v>
      </c>
      <c r="P249" s="7" t="n">
        <v>2</v>
      </c>
      <c r="Q249" s="7" t="n">
        <v>0</v>
      </c>
      <c r="R249" s="7" t="n">
        <v>0</v>
      </c>
    </row>
    <row r="250" customFormat="false" ht="15" hidden="false" customHeight="true" outlineLevel="0" collapsed="false">
      <c r="A250" s="7" t="n">
        <v>6632</v>
      </c>
      <c r="B250" s="7" t="s">
        <v>44</v>
      </c>
      <c r="C250" s="7" t="s">
        <v>784</v>
      </c>
      <c r="D250" s="7" t="s">
        <v>274</v>
      </c>
      <c r="E250" s="7" t="s">
        <v>139</v>
      </c>
      <c r="F250" s="7" t="n">
        <v>21</v>
      </c>
      <c r="G250" s="7" t="n">
        <v>5.83</v>
      </c>
      <c r="H250" s="7" t="n">
        <v>5.64</v>
      </c>
      <c r="I250" s="7" t="n">
        <v>0</v>
      </c>
      <c r="J250" s="7" t="n">
        <v>0</v>
      </c>
      <c r="K250" s="7" t="n">
        <v>0</v>
      </c>
      <c r="L250" s="7" t="n">
        <v>0</v>
      </c>
      <c r="M250" s="7" t="n">
        <v>0</v>
      </c>
      <c r="N250" s="7" t="n">
        <v>0</v>
      </c>
      <c r="O250" s="7" t="n">
        <v>0</v>
      </c>
      <c r="P250" s="7" t="n">
        <v>6</v>
      </c>
      <c r="Q250" s="7" t="n">
        <v>1</v>
      </c>
      <c r="R250" s="7" t="n">
        <v>0</v>
      </c>
    </row>
    <row r="251" customFormat="false" ht="15" hidden="false" customHeight="true" outlineLevel="0" collapsed="false">
      <c r="A251" s="7" t="n">
        <v>6883</v>
      </c>
      <c r="B251" s="7" t="s">
        <v>44</v>
      </c>
      <c r="C251" s="7" t="s">
        <v>784</v>
      </c>
      <c r="D251" s="7" t="s">
        <v>331</v>
      </c>
      <c r="E251" s="7" t="s">
        <v>139</v>
      </c>
      <c r="F251" s="7" t="n">
        <v>5</v>
      </c>
      <c r="G251" s="7" t="n">
        <v>5.8</v>
      </c>
      <c r="H251" s="7" t="n">
        <v>5.7</v>
      </c>
      <c r="I251" s="7" t="n">
        <v>0</v>
      </c>
      <c r="J251" s="7" t="n">
        <v>0</v>
      </c>
      <c r="K251" s="7" t="n">
        <v>0</v>
      </c>
      <c r="L251" s="7" t="n">
        <v>0</v>
      </c>
      <c r="M251" s="7" t="n">
        <v>0</v>
      </c>
      <c r="N251" s="7" t="n">
        <v>0</v>
      </c>
      <c r="O251" s="7" t="n">
        <v>0</v>
      </c>
      <c r="P251" s="7" t="n">
        <v>1</v>
      </c>
      <c r="Q251" s="7" t="n">
        <v>0</v>
      </c>
      <c r="R251" s="7" t="n">
        <v>0</v>
      </c>
    </row>
    <row r="252" customFormat="false" ht="15" hidden="false" customHeight="true" outlineLevel="0" collapsed="false">
      <c r="A252" s="7" t="n">
        <v>5273</v>
      </c>
      <c r="B252" s="7" t="s">
        <v>44</v>
      </c>
      <c r="C252" s="7" t="s">
        <v>786</v>
      </c>
      <c r="D252" s="7" t="s">
        <v>314</v>
      </c>
      <c r="E252" s="7" t="s">
        <v>121</v>
      </c>
      <c r="F252" s="7" t="n">
        <v>14</v>
      </c>
      <c r="G252" s="7" t="n">
        <v>5.64</v>
      </c>
      <c r="H252" s="7" t="n">
        <v>5.71</v>
      </c>
      <c r="I252" s="7" t="n">
        <v>1</v>
      </c>
      <c r="J252" s="7" t="n">
        <v>0</v>
      </c>
      <c r="K252" s="7" t="n">
        <v>0</v>
      </c>
      <c r="L252" s="7" t="n">
        <v>0</v>
      </c>
      <c r="M252" s="7" t="n">
        <v>0</v>
      </c>
      <c r="N252" s="7" t="n">
        <v>0</v>
      </c>
      <c r="O252" s="7" t="n">
        <v>1</v>
      </c>
      <c r="P252" s="7" t="n">
        <v>5</v>
      </c>
      <c r="Q252" s="7" t="n">
        <v>1</v>
      </c>
      <c r="R252" s="7" t="n">
        <v>0</v>
      </c>
    </row>
    <row r="253" customFormat="false" ht="15" hidden="false" customHeight="true" outlineLevel="0" collapsed="false">
      <c r="A253" s="7" t="n">
        <v>6821</v>
      </c>
      <c r="B253" s="7" t="s">
        <v>44</v>
      </c>
      <c r="C253" s="7" t="s">
        <v>792</v>
      </c>
      <c r="D253" s="7" t="s">
        <v>322</v>
      </c>
      <c r="E253" s="7" t="s">
        <v>141</v>
      </c>
      <c r="F253" s="7" t="n">
        <v>0</v>
      </c>
      <c r="G253" s="7" t="n">
        <v>0</v>
      </c>
      <c r="H253" s="7" t="n">
        <v>0</v>
      </c>
      <c r="I253" s="7" t="n">
        <v>0</v>
      </c>
      <c r="J253" s="7" t="n">
        <v>0</v>
      </c>
      <c r="K253" s="7" t="n">
        <v>0</v>
      </c>
      <c r="L253" s="7" t="n">
        <v>0</v>
      </c>
      <c r="M253" s="7" t="n">
        <v>0</v>
      </c>
      <c r="N253" s="7" t="n">
        <v>0</v>
      </c>
      <c r="O253" s="7" t="n">
        <v>0</v>
      </c>
      <c r="P253" s="7" t="n">
        <v>0</v>
      </c>
      <c r="Q253" s="7" t="n">
        <v>0</v>
      </c>
      <c r="R253" s="7" t="n">
        <v>0</v>
      </c>
    </row>
    <row r="254" customFormat="false" ht="15" hidden="false" customHeight="true" outlineLevel="0" collapsed="false">
      <c r="A254" s="7" t="n">
        <v>6965</v>
      </c>
      <c r="B254" s="7" t="s">
        <v>44</v>
      </c>
      <c r="C254" s="7" t="s">
        <v>786</v>
      </c>
      <c r="D254" s="7" t="s">
        <v>853</v>
      </c>
      <c r="E254" s="7" t="s">
        <v>141</v>
      </c>
      <c r="F254" s="7" t="n">
        <v>6</v>
      </c>
      <c r="G254" s="7" t="n">
        <v>5.58</v>
      </c>
      <c r="H254" s="7" t="n">
        <v>5.58</v>
      </c>
      <c r="I254" s="7" t="n">
        <v>0</v>
      </c>
      <c r="J254" s="7" t="n">
        <v>0</v>
      </c>
      <c r="K254" s="7" t="n">
        <v>0</v>
      </c>
      <c r="L254" s="7" t="n">
        <v>0</v>
      </c>
      <c r="M254" s="7" t="n">
        <v>0</v>
      </c>
      <c r="N254" s="7" t="n">
        <v>0</v>
      </c>
      <c r="O254" s="7" t="n">
        <v>0</v>
      </c>
      <c r="P254" s="7" t="n">
        <v>0</v>
      </c>
      <c r="Q254" s="7" t="n">
        <v>0</v>
      </c>
      <c r="R254" s="7" t="n">
        <v>0</v>
      </c>
    </row>
    <row r="255" customFormat="false" ht="15" hidden="false" customHeight="true" outlineLevel="0" collapsed="false">
      <c r="A255" s="7" t="n">
        <v>6411</v>
      </c>
      <c r="B255" s="7" t="s">
        <v>44</v>
      </c>
      <c r="C255" s="7" t="s">
        <v>784</v>
      </c>
      <c r="D255" s="7" t="s">
        <v>854</v>
      </c>
      <c r="E255" s="7" t="s">
        <v>755</v>
      </c>
      <c r="F255" s="7" t="n">
        <v>3</v>
      </c>
      <c r="G255" s="7" t="n">
        <v>5.83</v>
      </c>
      <c r="H255" s="7" t="n">
        <v>5.67</v>
      </c>
      <c r="I255" s="7" t="n">
        <v>0</v>
      </c>
      <c r="J255" s="7" t="n">
        <v>0</v>
      </c>
      <c r="K255" s="7" t="n">
        <v>0</v>
      </c>
      <c r="L255" s="7" t="n">
        <v>0</v>
      </c>
      <c r="M255" s="7" t="n">
        <v>0</v>
      </c>
      <c r="N255" s="7" t="n">
        <v>0</v>
      </c>
      <c r="O255" s="7" t="n">
        <v>0</v>
      </c>
      <c r="P255" s="7" t="n">
        <v>1</v>
      </c>
      <c r="Q255" s="7" t="n">
        <v>0</v>
      </c>
      <c r="R255" s="7" t="n">
        <v>0</v>
      </c>
    </row>
    <row r="256" customFormat="false" ht="15" hidden="false" customHeight="true" outlineLevel="0" collapsed="false">
      <c r="A256" s="7" t="n">
        <v>7141</v>
      </c>
      <c r="B256" s="7" t="s">
        <v>44</v>
      </c>
      <c r="C256" s="7" t="s">
        <v>787</v>
      </c>
      <c r="D256" s="7" t="s">
        <v>855</v>
      </c>
      <c r="E256" s="7" t="s">
        <v>755</v>
      </c>
      <c r="F256" s="7" t="n">
        <v>0</v>
      </c>
      <c r="G256" s="7" t="n">
        <v>0</v>
      </c>
      <c r="H256" s="7" t="n">
        <v>0</v>
      </c>
      <c r="I256" s="7" t="n">
        <v>0</v>
      </c>
      <c r="J256" s="7" t="n">
        <v>0</v>
      </c>
      <c r="K256" s="7" t="n">
        <v>0</v>
      </c>
      <c r="L256" s="7" t="n">
        <v>0</v>
      </c>
      <c r="M256" s="7" t="n">
        <v>0</v>
      </c>
      <c r="N256" s="7" t="n">
        <v>0</v>
      </c>
      <c r="O256" s="7" t="n">
        <v>0</v>
      </c>
      <c r="P256" s="7" t="n">
        <v>0</v>
      </c>
      <c r="Q256" s="7" t="n">
        <v>0</v>
      </c>
      <c r="R256" s="7" t="n">
        <v>0</v>
      </c>
    </row>
    <row r="257" customFormat="false" ht="15" hidden="false" customHeight="true" outlineLevel="0" collapsed="false">
      <c r="A257" s="7" t="n">
        <v>4495</v>
      </c>
      <c r="B257" s="7" t="s">
        <v>44</v>
      </c>
      <c r="C257" s="7" t="s">
        <v>784</v>
      </c>
      <c r="D257" s="7" t="s">
        <v>856</v>
      </c>
      <c r="E257" s="7" t="s">
        <v>113</v>
      </c>
      <c r="F257" s="7" t="n">
        <v>0</v>
      </c>
      <c r="G257" s="7" t="n">
        <v>0</v>
      </c>
      <c r="H257" s="7" t="n">
        <v>0</v>
      </c>
      <c r="I257" s="7" t="n">
        <v>0</v>
      </c>
      <c r="J257" s="7" t="n">
        <v>0</v>
      </c>
      <c r="K257" s="7" t="n">
        <v>0</v>
      </c>
      <c r="L257" s="7" t="n">
        <v>0</v>
      </c>
      <c r="M257" s="7" t="n">
        <v>0</v>
      </c>
      <c r="N257" s="7" t="n">
        <v>0</v>
      </c>
      <c r="O257" s="7" t="n">
        <v>0</v>
      </c>
      <c r="P257" s="7" t="n">
        <v>0</v>
      </c>
      <c r="Q257" s="7" t="n">
        <v>0</v>
      </c>
      <c r="R257" s="7" t="n">
        <v>0</v>
      </c>
    </row>
    <row r="258" customFormat="false" ht="15" hidden="false" customHeight="true" outlineLevel="0" collapsed="false">
      <c r="A258" s="7" t="n">
        <v>6189</v>
      </c>
      <c r="B258" s="7" t="s">
        <v>44</v>
      </c>
      <c r="C258" s="7" t="s">
        <v>792</v>
      </c>
      <c r="D258" s="7" t="s">
        <v>361</v>
      </c>
      <c r="E258" s="7" t="s">
        <v>144</v>
      </c>
      <c r="F258" s="7" t="n">
        <v>0</v>
      </c>
      <c r="G258" s="7" t="n">
        <v>0</v>
      </c>
      <c r="H258" s="7" t="n">
        <v>0</v>
      </c>
      <c r="I258" s="7" t="n">
        <v>0</v>
      </c>
      <c r="J258" s="7" t="n">
        <v>0</v>
      </c>
      <c r="K258" s="7" t="n">
        <v>0</v>
      </c>
      <c r="L258" s="7" t="n">
        <v>0</v>
      </c>
      <c r="M258" s="7" t="n">
        <v>0</v>
      </c>
      <c r="N258" s="7" t="n">
        <v>0</v>
      </c>
      <c r="O258" s="7" t="n">
        <v>0</v>
      </c>
      <c r="P258" s="7" t="n">
        <v>0</v>
      </c>
      <c r="Q258" s="7" t="n">
        <v>0</v>
      </c>
      <c r="R258" s="7" t="n">
        <v>0</v>
      </c>
    </row>
    <row r="259" customFormat="false" ht="15" hidden="false" customHeight="true" outlineLevel="0" collapsed="false">
      <c r="A259" s="7" t="n">
        <v>49</v>
      </c>
      <c r="B259" s="7" t="s">
        <v>44</v>
      </c>
      <c r="C259" s="7" t="s">
        <v>793</v>
      </c>
      <c r="D259" s="7" t="s">
        <v>857</v>
      </c>
      <c r="E259" s="7" t="s">
        <v>184</v>
      </c>
      <c r="F259" s="7" t="n">
        <v>4</v>
      </c>
      <c r="G259" s="7" t="n">
        <v>5.38</v>
      </c>
      <c r="H259" s="7" t="n">
        <v>5.62</v>
      </c>
      <c r="I259" s="7" t="n">
        <v>0</v>
      </c>
      <c r="J259" s="7" t="n">
        <v>0</v>
      </c>
      <c r="K259" s="7" t="n">
        <v>0</v>
      </c>
      <c r="L259" s="7" t="n">
        <v>0</v>
      </c>
      <c r="M259" s="7" t="n">
        <v>0</v>
      </c>
      <c r="N259" s="7" t="n">
        <v>0</v>
      </c>
      <c r="O259" s="7" t="n">
        <v>1</v>
      </c>
      <c r="P259" s="7" t="n">
        <v>0</v>
      </c>
      <c r="Q259" s="7" t="n">
        <v>0</v>
      </c>
      <c r="R259" s="7" t="n">
        <v>0</v>
      </c>
    </row>
    <row r="260" customFormat="false" ht="15" hidden="false" customHeight="true" outlineLevel="0" collapsed="false">
      <c r="A260" s="7" t="n">
        <v>252</v>
      </c>
      <c r="B260" s="7" t="s">
        <v>44</v>
      </c>
      <c r="C260" s="7" t="s">
        <v>786</v>
      </c>
      <c r="D260" s="7" t="s">
        <v>334</v>
      </c>
      <c r="E260" s="7" t="s">
        <v>184</v>
      </c>
      <c r="F260" s="7" t="n">
        <v>11</v>
      </c>
      <c r="G260" s="7" t="n">
        <v>5.59</v>
      </c>
      <c r="H260" s="7" t="n">
        <v>5.59</v>
      </c>
      <c r="I260" s="7" t="n">
        <v>0</v>
      </c>
      <c r="J260" s="7" t="n">
        <v>0</v>
      </c>
      <c r="K260" s="7" t="n">
        <v>0</v>
      </c>
      <c r="L260" s="7" t="n">
        <v>0</v>
      </c>
      <c r="M260" s="7" t="n">
        <v>0</v>
      </c>
      <c r="N260" s="7" t="n">
        <v>0</v>
      </c>
      <c r="O260" s="7" t="n">
        <v>0</v>
      </c>
      <c r="P260" s="7" t="n">
        <v>0</v>
      </c>
      <c r="Q260" s="7" t="n">
        <v>0</v>
      </c>
      <c r="R260" s="7" t="n">
        <v>0</v>
      </c>
    </row>
    <row r="261" customFormat="false" ht="15" hidden="false" customHeight="true" outlineLevel="0" collapsed="false">
      <c r="A261" s="7" t="n">
        <v>6925</v>
      </c>
      <c r="B261" s="7" t="s">
        <v>44</v>
      </c>
      <c r="C261" s="7" t="s">
        <v>784</v>
      </c>
      <c r="D261" s="7" t="s">
        <v>335</v>
      </c>
      <c r="E261" s="7" t="s">
        <v>135</v>
      </c>
      <c r="F261" s="7" t="n">
        <v>4</v>
      </c>
      <c r="G261" s="7" t="n">
        <v>5.5</v>
      </c>
      <c r="H261" s="7" t="n">
        <v>5.5</v>
      </c>
      <c r="I261" s="7" t="n">
        <v>0</v>
      </c>
      <c r="J261" s="7" t="n">
        <v>0</v>
      </c>
      <c r="K261" s="7" t="n">
        <v>0</v>
      </c>
      <c r="L261" s="7" t="n">
        <v>0</v>
      </c>
      <c r="M261" s="7" t="n">
        <v>0</v>
      </c>
      <c r="N261" s="7" t="n">
        <v>0</v>
      </c>
      <c r="O261" s="7" t="n">
        <v>0</v>
      </c>
      <c r="P261" s="7" t="n">
        <v>0</v>
      </c>
      <c r="Q261" s="7" t="n">
        <v>0</v>
      </c>
      <c r="R261" s="7" t="n">
        <v>0</v>
      </c>
    </row>
    <row r="262" customFormat="false" ht="15" hidden="false" customHeight="true" outlineLevel="0" collapsed="false">
      <c r="A262" s="7" t="n">
        <v>7011</v>
      </c>
      <c r="B262" s="7" t="s">
        <v>44</v>
      </c>
      <c r="C262" s="7" t="s">
        <v>784</v>
      </c>
      <c r="D262" s="7" t="s">
        <v>858</v>
      </c>
      <c r="E262" s="7" t="s">
        <v>752</v>
      </c>
      <c r="F262" s="7" t="n">
        <v>6</v>
      </c>
      <c r="G262" s="7" t="n">
        <v>5.75</v>
      </c>
      <c r="H262" s="7" t="n">
        <v>5.75</v>
      </c>
      <c r="I262" s="7" t="n">
        <v>0</v>
      </c>
      <c r="J262" s="7" t="n">
        <v>0</v>
      </c>
      <c r="K262" s="7" t="n">
        <v>0</v>
      </c>
      <c r="L262" s="7" t="n">
        <v>0</v>
      </c>
      <c r="M262" s="7" t="n">
        <v>0</v>
      </c>
      <c r="N262" s="7" t="n">
        <v>0</v>
      </c>
      <c r="O262" s="7" t="n">
        <v>0</v>
      </c>
      <c r="P262" s="7" t="n">
        <v>0</v>
      </c>
      <c r="Q262" s="7" t="n">
        <v>0</v>
      </c>
      <c r="R262" s="7" t="n">
        <v>0</v>
      </c>
    </row>
    <row r="263" customFormat="false" ht="15" hidden="false" customHeight="true" outlineLevel="0" collapsed="false">
      <c r="A263" s="7" t="n">
        <v>7202</v>
      </c>
      <c r="B263" s="7" t="s">
        <v>44</v>
      </c>
      <c r="C263" s="7" t="s">
        <v>784</v>
      </c>
      <c r="D263" s="7" t="s">
        <v>358</v>
      </c>
      <c r="E263" s="7" t="s">
        <v>141</v>
      </c>
      <c r="F263" s="7" t="n">
        <v>11</v>
      </c>
      <c r="G263" s="7" t="n">
        <v>5.59</v>
      </c>
      <c r="H263" s="7" t="n">
        <v>5.36</v>
      </c>
      <c r="I263" s="7" t="n">
        <v>0</v>
      </c>
      <c r="J263" s="7" t="n">
        <v>0</v>
      </c>
      <c r="K263" s="7" t="n">
        <v>0</v>
      </c>
      <c r="L263" s="7" t="n">
        <v>0</v>
      </c>
      <c r="M263" s="7" t="n">
        <v>0</v>
      </c>
      <c r="N263" s="7" t="n">
        <v>0</v>
      </c>
      <c r="O263" s="7" t="n">
        <v>0</v>
      </c>
      <c r="P263" s="7" t="n">
        <v>3</v>
      </c>
      <c r="Q263" s="7" t="n">
        <v>1</v>
      </c>
      <c r="R263" s="7" t="n">
        <v>0</v>
      </c>
    </row>
    <row r="264" customFormat="false" ht="15" hidden="false" customHeight="true" outlineLevel="0" collapsed="false">
      <c r="A264" s="7" t="n">
        <v>6537</v>
      </c>
      <c r="B264" s="7" t="s">
        <v>44</v>
      </c>
      <c r="C264" s="7" t="s">
        <v>787</v>
      </c>
      <c r="D264" s="7" t="s">
        <v>859</v>
      </c>
      <c r="E264" s="7" t="s">
        <v>135</v>
      </c>
      <c r="F264" s="7" t="n">
        <v>6</v>
      </c>
      <c r="G264" s="7" t="n">
        <v>5.75</v>
      </c>
      <c r="H264" s="7" t="n">
        <v>5.58</v>
      </c>
      <c r="I264" s="7" t="n">
        <v>0</v>
      </c>
      <c r="J264" s="7" t="n">
        <v>0</v>
      </c>
      <c r="K264" s="7" t="n">
        <v>0</v>
      </c>
      <c r="L264" s="7" t="n">
        <v>0</v>
      </c>
      <c r="M264" s="7" t="n">
        <v>0</v>
      </c>
      <c r="N264" s="7" t="n">
        <v>0</v>
      </c>
      <c r="O264" s="7" t="n">
        <v>0</v>
      </c>
      <c r="P264" s="7" t="n">
        <v>2</v>
      </c>
      <c r="Q264" s="7" t="n">
        <v>0</v>
      </c>
      <c r="R264" s="7" t="n">
        <v>0</v>
      </c>
    </row>
    <row r="265" customFormat="false" ht="15" hidden="false" customHeight="true" outlineLevel="0" collapsed="false">
      <c r="A265" s="7" t="n">
        <v>7222</v>
      </c>
      <c r="B265" s="7" t="s">
        <v>44</v>
      </c>
      <c r="C265" s="7" t="s">
        <v>802</v>
      </c>
      <c r="D265" s="7" t="s">
        <v>860</v>
      </c>
      <c r="E265" s="7" t="s">
        <v>752</v>
      </c>
      <c r="F265" s="7" t="n">
        <v>3</v>
      </c>
      <c r="G265" s="7" t="n">
        <v>5.17</v>
      </c>
      <c r="H265" s="7" t="n">
        <v>5.17</v>
      </c>
      <c r="I265" s="7" t="n">
        <v>0</v>
      </c>
      <c r="J265" s="7" t="n">
        <v>0</v>
      </c>
      <c r="K265" s="7" t="n">
        <v>0</v>
      </c>
      <c r="L265" s="7" t="n">
        <v>0</v>
      </c>
      <c r="M265" s="7" t="n">
        <v>0</v>
      </c>
      <c r="N265" s="7" t="n">
        <v>0</v>
      </c>
      <c r="O265" s="7" t="n">
        <v>0</v>
      </c>
      <c r="P265" s="7" t="n">
        <v>0</v>
      </c>
      <c r="Q265" s="7" t="n">
        <v>0</v>
      </c>
      <c r="R265" s="7" t="n">
        <v>0</v>
      </c>
    </row>
    <row r="266" customFormat="false" ht="15" hidden="false" customHeight="true" outlineLevel="0" collapsed="false">
      <c r="A266" s="7" t="n">
        <v>7260</v>
      </c>
      <c r="B266" s="7" t="s">
        <v>44</v>
      </c>
      <c r="C266" s="7" t="s">
        <v>784</v>
      </c>
      <c r="D266" s="7" t="s">
        <v>360</v>
      </c>
      <c r="E266" s="7" t="s">
        <v>113</v>
      </c>
      <c r="F266" s="7" t="n">
        <v>9</v>
      </c>
      <c r="G266" s="7" t="n">
        <v>5.94</v>
      </c>
      <c r="H266" s="7" t="n">
        <v>5.78</v>
      </c>
      <c r="I266" s="7" t="n">
        <v>0</v>
      </c>
      <c r="J266" s="7" t="n">
        <v>0</v>
      </c>
      <c r="K266" s="7" t="n">
        <v>0</v>
      </c>
      <c r="L266" s="7" t="n">
        <v>0</v>
      </c>
      <c r="M266" s="7" t="n">
        <v>0</v>
      </c>
      <c r="N266" s="7" t="n">
        <v>0</v>
      </c>
      <c r="O266" s="7" t="n">
        <v>0</v>
      </c>
      <c r="P266" s="7" t="n">
        <v>3</v>
      </c>
      <c r="Q266" s="7" t="n">
        <v>0</v>
      </c>
      <c r="R266" s="7" t="n">
        <v>0</v>
      </c>
    </row>
    <row r="267" customFormat="false" ht="15" hidden="false" customHeight="true" outlineLevel="0" collapsed="false">
      <c r="A267" s="7" t="n">
        <v>5156</v>
      </c>
      <c r="B267" s="7" t="s">
        <v>44</v>
      </c>
      <c r="C267" s="7" t="s">
        <v>786</v>
      </c>
      <c r="D267" s="7" t="s">
        <v>861</v>
      </c>
      <c r="E267" s="7" t="s">
        <v>184</v>
      </c>
      <c r="F267" s="7" t="n">
        <v>8</v>
      </c>
      <c r="G267" s="7" t="n">
        <v>5.81</v>
      </c>
      <c r="H267" s="7" t="n">
        <v>5.81</v>
      </c>
      <c r="I267" s="7" t="n">
        <v>0</v>
      </c>
      <c r="J267" s="7" t="n">
        <v>0</v>
      </c>
      <c r="K267" s="7" t="n">
        <v>0</v>
      </c>
      <c r="L267" s="7" t="n">
        <v>0</v>
      </c>
      <c r="M267" s="7" t="n">
        <v>0</v>
      </c>
      <c r="N267" s="7" t="n">
        <v>0</v>
      </c>
      <c r="O267" s="7" t="n">
        <v>1</v>
      </c>
      <c r="P267" s="7" t="n">
        <v>3</v>
      </c>
      <c r="Q267" s="7" t="n">
        <v>0</v>
      </c>
      <c r="R267" s="7" t="n">
        <v>0</v>
      </c>
    </row>
    <row r="268" customFormat="false" ht="15" hidden="false" customHeight="true" outlineLevel="0" collapsed="false">
      <c r="A268" s="7" t="n">
        <v>7312</v>
      </c>
      <c r="B268" s="7" t="s">
        <v>44</v>
      </c>
      <c r="C268" s="7" t="s">
        <v>786</v>
      </c>
      <c r="D268" s="7" t="s">
        <v>299</v>
      </c>
      <c r="E268" s="7" t="s">
        <v>135</v>
      </c>
      <c r="F268" s="7" t="n">
        <v>5</v>
      </c>
      <c r="G268" s="7" t="n">
        <v>5.8</v>
      </c>
      <c r="H268" s="7" t="n">
        <v>5.8</v>
      </c>
      <c r="I268" s="7" t="n">
        <v>0</v>
      </c>
      <c r="J268" s="7" t="n">
        <v>0</v>
      </c>
      <c r="K268" s="7" t="n">
        <v>0</v>
      </c>
      <c r="L268" s="7" t="n">
        <v>0</v>
      </c>
      <c r="M268" s="7" t="n">
        <v>0</v>
      </c>
      <c r="N268" s="7" t="n">
        <v>0</v>
      </c>
      <c r="O268" s="7" t="n">
        <v>0</v>
      </c>
      <c r="P268" s="7" t="n">
        <v>0</v>
      </c>
      <c r="Q268" s="7" t="n">
        <v>0</v>
      </c>
      <c r="R268" s="7" t="n">
        <v>0</v>
      </c>
    </row>
    <row r="269" customFormat="false" ht="15" hidden="false" customHeight="true" outlineLevel="0" collapsed="false">
      <c r="A269" s="7" t="n">
        <v>7326</v>
      </c>
      <c r="B269" s="7" t="s">
        <v>44</v>
      </c>
      <c r="C269" s="7" t="s">
        <v>787</v>
      </c>
      <c r="D269" s="7" t="s">
        <v>323</v>
      </c>
      <c r="E269" s="7" t="s">
        <v>127</v>
      </c>
      <c r="F269" s="7" t="n">
        <v>6</v>
      </c>
      <c r="G269" s="7" t="n">
        <v>5.5</v>
      </c>
      <c r="H269" s="7" t="n">
        <v>5.33</v>
      </c>
      <c r="I269" s="7" t="n">
        <v>0</v>
      </c>
      <c r="J269" s="7" t="n">
        <v>0</v>
      </c>
      <c r="K269" s="7" t="n">
        <v>0</v>
      </c>
      <c r="L269" s="7" t="n">
        <v>0</v>
      </c>
      <c r="M269" s="7" t="n">
        <v>0</v>
      </c>
      <c r="N269" s="7" t="n">
        <v>0</v>
      </c>
      <c r="O269" s="7" t="n">
        <v>0</v>
      </c>
      <c r="P269" s="7" t="n">
        <v>2</v>
      </c>
      <c r="Q269" s="7" t="n">
        <v>0</v>
      </c>
      <c r="R269" s="7" t="n">
        <v>0</v>
      </c>
    </row>
    <row r="270" customFormat="false" ht="15" hidden="false" customHeight="true" outlineLevel="0" collapsed="false">
      <c r="A270" s="7" t="n">
        <v>2006</v>
      </c>
      <c r="B270" s="7" t="s">
        <v>44</v>
      </c>
      <c r="C270" s="7" t="s">
        <v>788</v>
      </c>
      <c r="D270" s="7" t="s">
        <v>862</v>
      </c>
      <c r="E270" s="7" t="s">
        <v>752</v>
      </c>
      <c r="F270" s="7" t="n">
        <v>5</v>
      </c>
      <c r="G270" s="7" t="n">
        <v>5.7</v>
      </c>
      <c r="H270" s="7" t="n">
        <v>5.6</v>
      </c>
      <c r="I270" s="7" t="n">
        <v>0</v>
      </c>
      <c r="J270" s="7" t="n">
        <v>0</v>
      </c>
      <c r="K270" s="7" t="n">
        <v>0</v>
      </c>
      <c r="L270" s="7" t="n">
        <v>0</v>
      </c>
      <c r="M270" s="7" t="n">
        <v>0</v>
      </c>
      <c r="N270" s="7" t="n">
        <v>0</v>
      </c>
      <c r="O270" s="7" t="n">
        <v>0</v>
      </c>
      <c r="P270" s="7" t="n">
        <v>1</v>
      </c>
      <c r="Q270" s="7" t="n">
        <v>0</v>
      </c>
      <c r="R270" s="7" t="n">
        <v>0</v>
      </c>
    </row>
    <row r="271" customFormat="false" ht="15" hidden="false" customHeight="true" outlineLevel="0" collapsed="false">
      <c r="A271" s="7" t="n">
        <v>7336</v>
      </c>
      <c r="B271" s="7" t="s">
        <v>44</v>
      </c>
      <c r="C271" s="7" t="s">
        <v>784</v>
      </c>
      <c r="D271" s="7" t="s">
        <v>863</v>
      </c>
      <c r="E271" s="7" t="s">
        <v>184</v>
      </c>
      <c r="F271" s="7" t="n">
        <v>0</v>
      </c>
      <c r="G271" s="7" t="n">
        <v>0</v>
      </c>
      <c r="H271" s="7" t="n">
        <v>0</v>
      </c>
      <c r="I271" s="7" t="n">
        <v>0</v>
      </c>
      <c r="J271" s="7" t="n">
        <v>0</v>
      </c>
      <c r="K271" s="7" t="n">
        <v>0</v>
      </c>
      <c r="L271" s="7" t="n">
        <v>0</v>
      </c>
      <c r="M271" s="7" t="n">
        <v>0</v>
      </c>
      <c r="N271" s="7" t="n">
        <v>0</v>
      </c>
      <c r="O271" s="7" t="n">
        <v>0</v>
      </c>
      <c r="P271" s="7" t="n">
        <v>0</v>
      </c>
      <c r="Q271" s="7" t="n">
        <v>0</v>
      </c>
      <c r="R271" s="7" t="n">
        <v>0</v>
      </c>
    </row>
    <row r="272" customFormat="false" ht="15" hidden="false" customHeight="true" outlineLevel="0" collapsed="false">
      <c r="A272" s="7" t="n">
        <v>7356</v>
      </c>
      <c r="B272" s="7" t="s">
        <v>44</v>
      </c>
      <c r="C272" s="7" t="s">
        <v>784</v>
      </c>
      <c r="D272" s="7" t="s">
        <v>363</v>
      </c>
      <c r="E272" s="7" t="s">
        <v>135</v>
      </c>
      <c r="F272" s="7" t="n">
        <v>3</v>
      </c>
      <c r="G272" s="7" t="n">
        <v>5.83</v>
      </c>
      <c r="H272" s="7" t="n">
        <v>5.67</v>
      </c>
      <c r="I272" s="7" t="n">
        <v>0</v>
      </c>
      <c r="J272" s="7" t="n">
        <v>0</v>
      </c>
      <c r="K272" s="7" t="n">
        <v>0</v>
      </c>
      <c r="L272" s="7" t="n">
        <v>0</v>
      </c>
      <c r="M272" s="7" t="n">
        <v>0</v>
      </c>
      <c r="N272" s="7" t="n">
        <v>0</v>
      </c>
      <c r="O272" s="7" t="n">
        <v>0</v>
      </c>
      <c r="P272" s="7" t="n">
        <v>2</v>
      </c>
      <c r="Q272" s="7" t="n">
        <v>0</v>
      </c>
      <c r="R272" s="7" t="n">
        <v>0</v>
      </c>
    </row>
    <row r="273" customFormat="false" ht="15" hidden="false" customHeight="true" outlineLevel="0" collapsed="false">
      <c r="A273" s="7" t="n">
        <v>7377</v>
      </c>
      <c r="B273" s="7" t="s">
        <v>44</v>
      </c>
      <c r="C273" s="7" t="s">
        <v>786</v>
      </c>
      <c r="D273" s="7" t="s">
        <v>864</v>
      </c>
      <c r="E273" s="7" t="s">
        <v>123</v>
      </c>
      <c r="F273" s="7" t="n">
        <v>4</v>
      </c>
      <c r="G273" s="7" t="n">
        <v>5.75</v>
      </c>
      <c r="H273" s="7" t="n">
        <v>5.75</v>
      </c>
      <c r="I273" s="7" t="n">
        <v>0</v>
      </c>
      <c r="J273" s="7" t="n">
        <v>0</v>
      </c>
      <c r="K273" s="7" t="n">
        <v>0</v>
      </c>
      <c r="L273" s="7" t="n">
        <v>0</v>
      </c>
      <c r="M273" s="7" t="n">
        <v>0</v>
      </c>
      <c r="N273" s="7" t="n">
        <v>0</v>
      </c>
      <c r="O273" s="7" t="n">
        <v>0</v>
      </c>
      <c r="P273" s="7" t="n">
        <v>0</v>
      </c>
      <c r="Q273" s="7" t="n">
        <v>0</v>
      </c>
      <c r="R273" s="7" t="n">
        <v>0</v>
      </c>
    </row>
    <row r="274" customFormat="false" ht="15" hidden="false" customHeight="true" outlineLevel="0" collapsed="false">
      <c r="A274" s="7" t="n">
        <v>5498</v>
      </c>
      <c r="B274" s="7" t="s">
        <v>44</v>
      </c>
      <c r="C274" s="7" t="s">
        <v>784</v>
      </c>
      <c r="D274" s="7" t="s">
        <v>303</v>
      </c>
      <c r="E274" s="7" t="s">
        <v>127</v>
      </c>
      <c r="F274" s="7" t="n">
        <v>10</v>
      </c>
      <c r="G274" s="7" t="n">
        <v>5.65</v>
      </c>
      <c r="H274" s="7" t="n">
        <v>5.65</v>
      </c>
      <c r="I274" s="7" t="n">
        <v>0</v>
      </c>
      <c r="J274" s="7" t="n">
        <v>0</v>
      </c>
      <c r="K274" s="7" t="n">
        <v>0</v>
      </c>
      <c r="L274" s="7" t="n">
        <v>0</v>
      </c>
      <c r="M274" s="7" t="n">
        <v>0</v>
      </c>
      <c r="N274" s="7" t="n">
        <v>0</v>
      </c>
      <c r="O274" s="7" t="n">
        <v>0</v>
      </c>
      <c r="P274" s="7" t="n">
        <v>0</v>
      </c>
      <c r="Q274" s="7" t="n">
        <v>0</v>
      </c>
      <c r="R274" s="7" t="n">
        <v>0</v>
      </c>
    </row>
    <row r="275" customFormat="false" ht="15" hidden="false" customHeight="true" outlineLevel="0" collapsed="false">
      <c r="A275" s="7" t="n">
        <v>6551</v>
      </c>
      <c r="B275" s="7" t="s">
        <v>44</v>
      </c>
      <c r="C275" s="7" t="s">
        <v>784</v>
      </c>
      <c r="D275" s="7" t="s">
        <v>865</v>
      </c>
      <c r="E275" s="7" t="s">
        <v>127</v>
      </c>
      <c r="F275" s="7" t="n">
        <v>0</v>
      </c>
      <c r="G275" s="7" t="n">
        <v>0</v>
      </c>
      <c r="H275" s="7" t="n">
        <v>0</v>
      </c>
      <c r="I275" s="7" t="n">
        <v>0</v>
      </c>
      <c r="J275" s="7" t="n">
        <v>0</v>
      </c>
      <c r="K275" s="7" t="n">
        <v>0</v>
      </c>
      <c r="L275" s="7" t="n">
        <v>0</v>
      </c>
      <c r="M275" s="7" t="n">
        <v>0</v>
      </c>
      <c r="N275" s="7" t="n">
        <v>0</v>
      </c>
      <c r="O275" s="7" t="n">
        <v>0</v>
      </c>
      <c r="P275" s="7" t="n">
        <v>0</v>
      </c>
      <c r="Q275" s="7" t="n">
        <v>0</v>
      </c>
      <c r="R275" s="7" t="n">
        <v>0</v>
      </c>
    </row>
    <row r="276" customFormat="false" ht="15" hidden="false" customHeight="true" outlineLevel="0" collapsed="false">
      <c r="A276" s="7" t="n">
        <v>6464</v>
      </c>
      <c r="B276" s="7" t="s">
        <v>44</v>
      </c>
      <c r="C276" s="7" t="s">
        <v>784</v>
      </c>
      <c r="D276" s="7" t="s">
        <v>866</v>
      </c>
      <c r="E276" s="7" t="s">
        <v>129</v>
      </c>
      <c r="F276" s="7" t="n">
        <v>0</v>
      </c>
      <c r="G276" s="7" t="n">
        <v>0</v>
      </c>
      <c r="H276" s="7" t="n">
        <v>0</v>
      </c>
      <c r="I276" s="7" t="n">
        <v>0</v>
      </c>
      <c r="J276" s="7" t="n">
        <v>0</v>
      </c>
      <c r="K276" s="7" t="n">
        <v>0</v>
      </c>
      <c r="L276" s="7" t="n">
        <v>0</v>
      </c>
      <c r="M276" s="7" t="n">
        <v>0</v>
      </c>
      <c r="N276" s="7" t="n">
        <v>0</v>
      </c>
      <c r="O276" s="7" t="n">
        <v>0</v>
      </c>
      <c r="P276" s="7" t="n">
        <v>0</v>
      </c>
      <c r="Q276" s="7" t="n">
        <v>0</v>
      </c>
      <c r="R276" s="7" t="n">
        <v>0</v>
      </c>
    </row>
    <row r="277" customFormat="false" ht="15" hidden="false" customHeight="true" outlineLevel="0" collapsed="false">
      <c r="A277" s="7" t="n">
        <v>6636</v>
      </c>
      <c r="B277" s="7" t="s">
        <v>44</v>
      </c>
      <c r="C277" s="7" t="s">
        <v>791</v>
      </c>
      <c r="D277" s="7" t="s">
        <v>867</v>
      </c>
      <c r="E277" s="7" t="s">
        <v>129</v>
      </c>
      <c r="F277" s="7" t="n">
        <v>0</v>
      </c>
      <c r="G277" s="7" t="n">
        <v>0</v>
      </c>
      <c r="H277" s="7" t="n">
        <v>0</v>
      </c>
      <c r="I277" s="7" t="n">
        <v>0</v>
      </c>
      <c r="J277" s="7" t="n">
        <v>0</v>
      </c>
      <c r="K277" s="7" t="n">
        <v>0</v>
      </c>
      <c r="L277" s="7" t="n">
        <v>0</v>
      </c>
      <c r="M277" s="7" t="n">
        <v>0</v>
      </c>
      <c r="N277" s="7" t="n">
        <v>0</v>
      </c>
      <c r="O277" s="7" t="n">
        <v>0</v>
      </c>
      <c r="P277" s="7" t="n">
        <v>0</v>
      </c>
      <c r="Q277" s="7" t="n">
        <v>0</v>
      </c>
      <c r="R277" s="7" t="n">
        <v>0</v>
      </c>
    </row>
    <row r="278" customFormat="false" ht="15" hidden="false" customHeight="true" outlineLevel="0" collapsed="false">
      <c r="A278" s="7" t="n">
        <v>418</v>
      </c>
      <c r="B278" s="7" t="s">
        <v>44</v>
      </c>
      <c r="C278" s="7" t="s">
        <v>784</v>
      </c>
      <c r="D278" s="7" t="s">
        <v>341</v>
      </c>
      <c r="E278" s="7" t="s">
        <v>119</v>
      </c>
      <c r="F278" s="7" t="n">
        <v>0</v>
      </c>
      <c r="G278" s="7" t="n">
        <v>0</v>
      </c>
      <c r="H278" s="7" t="n">
        <v>0</v>
      </c>
      <c r="I278" s="7" t="n">
        <v>0</v>
      </c>
      <c r="J278" s="7" t="n">
        <v>0</v>
      </c>
      <c r="K278" s="7" t="n">
        <v>0</v>
      </c>
      <c r="L278" s="7" t="n">
        <v>0</v>
      </c>
      <c r="M278" s="7" t="n">
        <v>0</v>
      </c>
      <c r="N278" s="7" t="n">
        <v>0</v>
      </c>
      <c r="O278" s="7" t="n">
        <v>0</v>
      </c>
      <c r="P278" s="7" t="n">
        <v>0</v>
      </c>
      <c r="Q278" s="7" t="n">
        <v>0</v>
      </c>
      <c r="R278" s="7" t="n">
        <v>0</v>
      </c>
    </row>
    <row r="279" customFormat="false" ht="15" hidden="false" customHeight="true" outlineLevel="0" collapsed="false">
      <c r="A279" s="7" t="n">
        <v>1891</v>
      </c>
      <c r="B279" s="7" t="s">
        <v>44</v>
      </c>
      <c r="C279" s="7" t="s">
        <v>787</v>
      </c>
      <c r="D279" s="7" t="s">
        <v>868</v>
      </c>
      <c r="E279" s="7" t="s">
        <v>750</v>
      </c>
      <c r="F279" s="7" t="n">
        <v>8</v>
      </c>
      <c r="G279" s="7" t="n">
        <v>5.56</v>
      </c>
      <c r="H279" s="7" t="n">
        <v>5.5</v>
      </c>
      <c r="I279" s="7" t="n">
        <v>0</v>
      </c>
      <c r="J279" s="7" t="n">
        <v>0</v>
      </c>
      <c r="K279" s="7" t="n">
        <v>0</v>
      </c>
      <c r="L279" s="7" t="n">
        <v>0</v>
      </c>
      <c r="M279" s="7" t="n">
        <v>0</v>
      </c>
      <c r="N279" s="7" t="n">
        <v>0</v>
      </c>
      <c r="O279" s="7" t="n">
        <v>1</v>
      </c>
      <c r="P279" s="7" t="n">
        <v>1</v>
      </c>
      <c r="Q279" s="7" t="n">
        <v>1</v>
      </c>
      <c r="R279" s="7" t="n">
        <v>0</v>
      </c>
    </row>
    <row r="280" customFormat="false" ht="15" hidden="false" customHeight="true" outlineLevel="0" collapsed="false">
      <c r="A280" s="7" t="n">
        <v>5891</v>
      </c>
      <c r="B280" s="7" t="s">
        <v>44</v>
      </c>
      <c r="C280" s="7" t="s">
        <v>786</v>
      </c>
      <c r="D280" s="7" t="s">
        <v>869</v>
      </c>
      <c r="E280" s="7" t="s">
        <v>750</v>
      </c>
      <c r="F280" s="7" t="n">
        <v>0</v>
      </c>
      <c r="G280" s="7" t="n">
        <v>0</v>
      </c>
      <c r="H280" s="7" t="n">
        <v>0</v>
      </c>
      <c r="I280" s="7" t="n">
        <v>0</v>
      </c>
      <c r="J280" s="7" t="n">
        <v>0</v>
      </c>
      <c r="K280" s="7" t="n">
        <v>0</v>
      </c>
      <c r="L280" s="7" t="n">
        <v>0</v>
      </c>
      <c r="M280" s="7" t="n">
        <v>0</v>
      </c>
      <c r="N280" s="7" t="n">
        <v>0</v>
      </c>
      <c r="O280" s="7" t="n">
        <v>0</v>
      </c>
      <c r="P280" s="7" t="n">
        <v>0</v>
      </c>
      <c r="Q280" s="7" t="n">
        <v>0</v>
      </c>
      <c r="R280" s="7" t="n">
        <v>0</v>
      </c>
    </row>
    <row r="281" customFormat="false" ht="15" hidden="false" customHeight="true" outlineLevel="0" collapsed="false">
      <c r="A281" s="7" t="n">
        <v>2847</v>
      </c>
      <c r="B281" s="7" t="s">
        <v>44</v>
      </c>
      <c r="C281" s="7" t="s">
        <v>802</v>
      </c>
      <c r="D281" s="7" t="s">
        <v>870</v>
      </c>
      <c r="E281" s="7" t="s">
        <v>750</v>
      </c>
      <c r="F281" s="7" t="n">
        <v>0</v>
      </c>
      <c r="G281" s="7" t="n">
        <v>0</v>
      </c>
      <c r="H281" s="7" t="n">
        <v>0</v>
      </c>
      <c r="I281" s="7" t="n">
        <v>0</v>
      </c>
      <c r="J281" s="7" t="n">
        <v>0</v>
      </c>
      <c r="K281" s="7" t="n">
        <v>0</v>
      </c>
      <c r="L281" s="7" t="n">
        <v>0</v>
      </c>
      <c r="M281" s="7" t="n">
        <v>0</v>
      </c>
      <c r="N281" s="7" t="n">
        <v>0</v>
      </c>
      <c r="O281" s="7" t="n">
        <v>0</v>
      </c>
      <c r="P281" s="7" t="n">
        <v>0</v>
      </c>
      <c r="Q281" s="7" t="n">
        <v>0</v>
      </c>
      <c r="R281" s="7" t="n">
        <v>0</v>
      </c>
    </row>
    <row r="282" customFormat="false" ht="15" hidden="false" customHeight="true" outlineLevel="0" collapsed="false">
      <c r="A282" s="7" t="n">
        <v>6803</v>
      </c>
      <c r="B282" s="7" t="s">
        <v>44</v>
      </c>
      <c r="C282" s="7" t="s">
        <v>786</v>
      </c>
      <c r="D282" s="7" t="s">
        <v>871</v>
      </c>
      <c r="E282" s="7" t="s">
        <v>131</v>
      </c>
      <c r="F282" s="7" t="n">
        <v>0</v>
      </c>
      <c r="G282" s="7" t="n">
        <v>0</v>
      </c>
      <c r="H282" s="7" t="n">
        <v>0</v>
      </c>
      <c r="I282" s="7" t="n">
        <v>0</v>
      </c>
      <c r="J282" s="7" t="n">
        <v>0</v>
      </c>
      <c r="K282" s="7" t="n">
        <v>0</v>
      </c>
      <c r="L282" s="7" t="n">
        <v>0</v>
      </c>
      <c r="M282" s="7" t="n">
        <v>0</v>
      </c>
      <c r="N282" s="7" t="n">
        <v>0</v>
      </c>
      <c r="O282" s="7" t="n">
        <v>0</v>
      </c>
      <c r="P282" s="7" t="n">
        <v>0</v>
      </c>
      <c r="Q282" s="7" t="n">
        <v>0</v>
      </c>
      <c r="R282" s="7" t="n">
        <v>0</v>
      </c>
    </row>
    <row r="283" customFormat="false" ht="15" hidden="false" customHeight="true" outlineLevel="0" collapsed="false">
      <c r="A283" s="7" t="n">
        <v>5899</v>
      </c>
      <c r="B283" s="7" t="s">
        <v>44</v>
      </c>
      <c r="C283" s="7" t="s">
        <v>784</v>
      </c>
      <c r="D283" s="7" t="s">
        <v>872</v>
      </c>
      <c r="E283" s="7" t="s">
        <v>133</v>
      </c>
      <c r="F283" s="7" t="n">
        <v>0</v>
      </c>
      <c r="G283" s="7" t="n">
        <v>0</v>
      </c>
      <c r="H283" s="7" t="n">
        <v>0</v>
      </c>
      <c r="I283" s="7" t="n">
        <v>0</v>
      </c>
      <c r="J283" s="7" t="n">
        <v>0</v>
      </c>
      <c r="K283" s="7" t="n">
        <v>0</v>
      </c>
      <c r="L283" s="7" t="n">
        <v>0</v>
      </c>
      <c r="M283" s="7" t="n">
        <v>0</v>
      </c>
      <c r="N283" s="7" t="n">
        <v>0</v>
      </c>
      <c r="O283" s="7" t="n">
        <v>0</v>
      </c>
      <c r="P283" s="7" t="n">
        <v>0</v>
      </c>
      <c r="Q283" s="7" t="n">
        <v>0</v>
      </c>
      <c r="R283" s="7" t="n">
        <v>0</v>
      </c>
    </row>
    <row r="284" customFormat="false" ht="15" hidden="false" customHeight="true" outlineLevel="0" collapsed="false">
      <c r="A284" s="7" t="n">
        <v>140</v>
      </c>
      <c r="B284" s="7" t="s">
        <v>44</v>
      </c>
      <c r="C284" s="7" t="s">
        <v>802</v>
      </c>
      <c r="D284" s="7" t="s">
        <v>873</v>
      </c>
      <c r="E284" s="7" t="s">
        <v>133</v>
      </c>
      <c r="F284" s="7" t="n">
        <v>2</v>
      </c>
      <c r="G284" s="7" t="n">
        <v>5.5</v>
      </c>
      <c r="H284" s="7" t="n">
        <v>5.5</v>
      </c>
      <c r="I284" s="7" t="n">
        <v>0</v>
      </c>
      <c r="J284" s="7" t="n">
        <v>0</v>
      </c>
      <c r="K284" s="7" t="n">
        <v>0</v>
      </c>
      <c r="L284" s="7" t="n">
        <v>0</v>
      </c>
      <c r="M284" s="7" t="n">
        <v>0</v>
      </c>
      <c r="N284" s="7" t="n">
        <v>0</v>
      </c>
      <c r="O284" s="7" t="n">
        <v>0</v>
      </c>
      <c r="P284" s="7" t="n">
        <v>0</v>
      </c>
      <c r="Q284" s="7" t="n">
        <v>0</v>
      </c>
      <c r="R284" s="7" t="n">
        <v>0</v>
      </c>
    </row>
    <row r="285" customFormat="false" ht="15" hidden="false" customHeight="true" outlineLevel="0" collapsed="false">
      <c r="A285" s="7" t="n">
        <v>7164</v>
      </c>
      <c r="B285" s="7" t="s">
        <v>44</v>
      </c>
      <c r="C285" s="7" t="s">
        <v>787</v>
      </c>
      <c r="D285" s="7" t="s">
        <v>352</v>
      </c>
      <c r="E285" s="7" t="s">
        <v>139</v>
      </c>
      <c r="F285" s="7" t="n">
        <v>1</v>
      </c>
      <c r="G285" s="7" t="n">
        <v>5</v>
      </c>
      <c r="H285" s="7" t="n">
        <v>5</v>
      </c>
      <c r="I285" s="7" t="n">
        <v>0</v>
      </c>
      <c r="J285" s="7" t="n">
        <v>0</v>
      </c>
      <c r="K285" s="7" t="n">
        <v>0</v>
      </c>
      <c r="L285" s="7" t="n">
        <v>0</v>
      </c>
      <c r="M285" s="7" t="n">
        <v>0</v>
      </c>
      <c r="N285" s="7" t="n">
        <v>0</v>
      </c>
      <c r="O285" s="7" t="n">
        <v>0</v>
      </c>
      <c r="P285" s="7" t="n">
        <v>0</v>
      </c>
      <c r="Q285" s="7" t="n">
        <v>0</v>
      </c>
      <c r="R285" s="7" t="n">
        <v>0</v>
      </c>
    </row>
    <row r="286" customFormat="false" ht="15" hidden="false" customHeight="true" outlineLevel="0" collapsed="false">
      <c r="A286" s="7" t="n">
        <v>7136</v>
      </c>
      <c r="B286" s="7" t="s">
        <v>44</v>
      </c>
      <c r="C286" s="7" t="s">
        <v>787</v>
      </c>
      <c r="D286" s="7" t="s">
        <v>874</v>
      </c>
      <c r="E286" s="7" t="s">
        <v>139</v>
      </c>
      <c r="F286" s="7" t="n">
        <v>4</v>
      </c>
      <c r="G286" s="7" t="n">
        <v>5.5</v>
      </c>
      <c r="H286" s="7" t="n">
        <v>5.5</v>
      </c>
      <c r="I286" s="7" t="n">
        <v>0</v>
      </c>
      <c r="J286" s="7" t="n">
        <v>0</v>
      </c>
      <c r="K286" s="7" t="n">
        <v>0</v>
      </c>
      <c r="L286" s="7" t="n">
        <v>0</v>
      </c>
      <c r="M286" s="7" t="n">
        <v>0</v>
      </c>
      <c r="N286" s="7" t="n">
        <v>0</v>
      </c>
      <c r="O286" s="7" t="n">
        <v>0</v>
      </c>
      <c r="P286" s="7" t="n">
        <v>0</v>
      </c>
      <c r="Q286" s="7" t="n">
        <v>0</v>
      </c>
      <c r="R286" s="7" t="n">
        <v>0</v>
      </c>
    </row>
    <row r="287" customFormat="false" ht="15" hidden="false" customHeight="true" outlineLevel="0" collapsed="false">
      <c r="A287" s="7" t="n">
        <v>7182</v>
      </c>
      <c r="B287" s="7" t="s">
        <v>44</v>
      </c>
      <c r="C287" s="7" t="s">
        <v>786</v>
      </c>
      <c r="D287" s="7" t="s">
        <v>353</v>
      </c>
      <c r="E287" s="7" t="s">
        <v>139</v>
      </c>
      <c r="F287" s="7" t="n">
        <v>9</v>
      </c>
      <c r="G287" s="7" t="n">
        <v>5.5</v>
      </c>
      <c r="H287" s="7" t="n">
        <v>5.5</v>
      </c>
      <c r="I287" s="7" t="n">
        <v>0</v>
      </c>
      <c r="J287" s="7" t="n">
        <v>0</v>
      </c>
      <c r="K287" s="7" t="n">
        <v>0</v>
      </c>
      <c r="L287" s="7" t="n">
        <v>0</v>
      </c>
      <c r="M287" s="7" t="n">
        <v>0</v>
      </c>
      <c r="N287" s="7" t="n">
        <v>0</v>
      </c>
      <c r="O287" s="7" t="n">
        <v>0</v>
      </c>
      <c r="P287" s="7" t="n">
        <v>0</v>
      </c>
      <c r="Q287" s="7" t="n">
        <v>0</v>
      </c>
      <c r="R287" s="7" t="n">
        <v>0</v>
      </c>
    </row>
    <row r="288" customFormat="false" ht="15" hidden="false" customHeight="true" outlineLevel="0" collapsed="false">
      <c r="A288" s="7" t="n">
        <v>7140</v>
      </c>
      <c r="B288" s="7" t="s">
        <v>44</v>
      </c>
      <c r="C288" s="7" t="s">
        <v>784</v>
      </c>
      <c r="D288" s="7" t="s">
        <v>875</v>
      </c>
      <c r="E288" s="7" t="s">
        <v>755</v>
      </c>
      <c r="F288" s="7" t="n">
        <v>5</v>
      </c>
      <c r="G288" s="7" t="n">
        <v>5.1</v>
      </c>
      <c r="H288" s="7" t="n">
        <v>4.9</v>
      </c>
      <c r="I288" s="7" t="n">
        <v>0</v>
      </c>
      <c r="J288" s="7" t="n">
        <v>0</v>
      </c>
      <c r="K288" s="7" t="n">
        <v>0</v>
      </c>
      <c r="L288" s="7" t="n">
        <v>0</v>
      </c>
      <c r="M288" s="7" t="n">
        <v>0</v>
      </c>
      <c r="N288" s="7" t="n">
        <v>0</v>
      </c>
      <c r="O288" s="7" t="n">
        <v>0</v>
      </c>
      <c r="P288" s="7" t="n">
        <v>3</v>
      </c>
      <c r="Q288" s="7" t="n">
        <v>0</v>
      </c>
      <c r="R288" s="7" t="n">
        <v>0</v>
      </c>
    </row>
    <row r="289" customFormat="false" ht="15" hidden="false" customHeight="true" outlineLevel="0" collapsed="false">
      <c r="A289" s="7" t="n">
        <v>7170</v>
      </c>
      <c r="B289" s="7" t="s">
        <v>44</v>
      </c>
      <c r="C289" s="7" t="s">
        <v>784</v>
      </c>
      <c r="D289" s="7" t="s">
        <v>876</v>
      </c>
      <c r="E289" s="7" t="s">
        <v>755</v>
      </c>
      <c r="F289" s="7" t="n">
        <v>0</v>
      </c>
      <c r="G289" s="7" t="n">
        <v>0</v>
      </c>
      <c r="H289" s="7" t="n">
        <v>0</v>
      </c>
      <c r="I289" s="7" t="n">
        <v>0</v>
      </c>
      <c r="J289" s="7" t="n">
        <v>0</v>
      </c>
      <c r="K289" s="7" t="n">
        <v>0</v>
      </c>
      <c r="L289" s="7" t="n">
        <v>0</v>
      </c>
      <c r="M289" s="7" t="n">
        <v>0</v>
      </c>
      <c r="N289" s="7" t="n">
        <v>0</v>
      </c>
      <c r="O289" s="7" t="n">
        <v>0</v>
      </c>
      <c r="P289" s="7" t="n">
        <v>0</v>
      </c>
      <c r="Q289" s="7" t="n">
        <v>0</v>
      </c>
      <c r="R289" s="7" t="n">
        <v>0</v>
      </c>
    </row>
    <row r="290" customFormat="false" ht="15" hidden="false" customHeight="true" outlineLevel="0" collapsed="false">
      <c r="A290" s="7" t="n">
        <v>7142</v>
      </c>
      <c r="B290" s="7" t="s">
        <v>44</v>
      </c>
      <c r="C290" s="7" t="s">
        <v>792</v>
      </c>
      <c r="D290" s="7" t="s">
        <v>877</v>
      </c>
      <c r="E290" s="7" t="s">
        <v>755</v>
      </c>
      <c r="F290" s="7" t="n">
        <v>0</v>
      </c>
      <c r="G290" s="7" t="n">
        <v>0</v>
      </c>
      <c r="H290" s="7" t="n">
        <v>0</v>
      </c>
      <c r="I290" s="7" t="n">
        <v>0</v>
      </c>
      <c r="J290" s="7" t="n">
        <v>0</v>
      </c>
      <c r="K290" s="7" t="n">
        <v>0</v>
      </c>
      <c r="L290" s="7" t="n">
        <v>0</v>
      </c>
      <c r="M290" s="7" t="n">
        <v>0</v>
      </c>
      <c r="N290" s="7" t="n">
        <v>0</v>
      </c>
      <c r="O290" s="7" t="n">
        <v>0</v>
      </c>
      <c r="P290" s="7" t="n">
        <v>0</v>
      </c>
      <c r="Q290" s="7" t="n">
        <v>0</v>
      </c>
      <c r="R290" s="7" t="n">
        <v>0</v>
      </c>
    </row>
    <row r="291" customFormat="false" ht="15" hidden="false" customHeight="true" outlineLevel="0" collapsed="false">
      <c r="A291" s="7" t="n">
        <v>6885</v>
      </c>
      <c r="B291" s="7" t="s">
        <v>44</v>
      </c>
      <c r="C291" s="7" t="s">
        <v>792</v>
      </c>
      <c r="D291" s="7" t="s">
        <v>878</v>
      </c>
      <c r="E291" s="7" t="s">
        <v>113</v>
      </c>
      <c r="F291" s="7" t="n">
        <v>0</v>
      </c>
      <c r="G291" s="7" t="n">
        <v>0</v>
      </c>
      <c r="H291" s="7" t="n">
        <v>0</v>
      </c>
      <c r="I291" s="7" t="n">
        <v>0</v>
      </c>
      <c r="J291" s="7" t="n">
        <v>0</v>
      </c>
      <c r="K291" s="7" t="n">
        <v>0</v>
      </c>
      <c r="L291" s="7" t="n">
        <v>0</v>
      </c>
      <c r="M291" s="7" t="n">
        <v>0</v>
      </c>
      <c r="N291" s="7" t="n">
        <v>0</v>
      </c>
      <c r="O291" s="7" t="n">
        <v>0</v>
      </c>
      <c r="P291" s="7" t="n">
        <v>0</v>
      </c>
      <c r="Q291" s="7" t="n">
        <v>0</v>
      </c>
      <c r="R291" s="7" t="n">
        <v>0</v>
      </c>
    </row>
    <row r="292" customFormat="false" ht="15" hidden="false" customHeight="true" outlineLevel="0" collapsed="false">
      <c r="A292" s="7" t="n">
        <v>7154</v>
      </c>
      <c r="B292" s="7" t="s">
        <v>44</v>
      </c>
      <c r="C292" s="7" t="s">
        <v>784</v>
      </c>
      <c r="D292" s="7" t="s">
        <v>879</v>
      </c>
      <c r="E292" s="7" t="s">
        <v>144</v>
      </c>
      <c r="F292" s="7" t="n">
        <v>0</v>
      </c>
      <c r="G292" s="7" t="n">
        <v>0</v>
      </c>
      <c r="H292" s="7" t="n">
        <v>0</v>
      </c>
      <c r="I292" s="7" t="n">
        <v>0</v>
      </c>
      <c r="J292" s="7" t="n">
        <v>0</v>
      </c>
      <c r="K292" s="7" t="n">
        <v>0</v>
      </c>
      <c r="L292" s="7" t="n">
        <v>0</v>
      </c>
      <c r="M292" s="7" t="n">
        <v>0</v>
      </c>
      <c r="N292" s="7" t="n">
        <v>0</v>
      </c>
      <c r="O292" s="7" t="n">
        <v>0</v>
      </c>
      <c r="P292" s="7" t="n">
        <v>0</v>
      </c>
      <c r="Q292" s="7" t="n">
        <v>0</v>
      </c>
      <c r="R292" s="7" t="n">
        <v>0</v>
      </c>
    </row>
    <row r="293" customFormat="false" ht="15" hidden="false" customHeight="true" outlineLevel="0" collapsed="false">
      <c r="A293" s="7" t="n">
        <v>2279</v>
      </c>
      <c r="B293" s="7" t="s">
        <v>44</v>
      </c>
      <c r="C293" s="7" t="s">
        <v>784</v>
      </c>
      <c r="D293" s="7" t="s">
        <v>880</v>
      </c>
      <c r="E293" s="7" t="s">
        <v>144</v>
      </c>
      <c r="F293" s="7" t="n">
        <v>5</v>
      </c>
      <c r="G293" s="7" t="n">
        <v>5.7</v>
      </c>
      <c r="H293" s="7" t="n">
        <v>5.7</v>
      </c>
      <c r="I293" s="7" t="n">
        <v>0</v>
      </c>
      <c r="J293" s="7" t="n">
        <v>0</v>
      </c>
      <c r="K293" s="7" t="n">
        <v>0</v>
      </c>
      <c r="L293" s="7" t="n">
        <v>0</v>
      </c>
      <c r="M293" s="7" t="n">
        <v>0</v>
      </c>
      <c r="N293" s="7" t="n">
        <v>0</v>
      </c>
      <c r="O293" s="7" t="n">
        <v>0</v>
      </c>
      <c r="P293" s="7" t="n">
        <v>0</v>
      </c>
      <c r="Q293" s="7" t="n">
        <v>0</v>
      </c>
      <c r="R293" s="7" t="n">
        <v>0</v>
      </c>
    </row>
    <row r="294" customFormat="false" ht="15" hidden="false" customHeight="true" outlineLevel="0" collapsed="false">
      <c r="A294" s="7" t="n">
        <v>6431</v>
      </c>
      <c r="B294" s="7" t="s">
        <v>44</v>
      </c>
      <c r="C294" s="7" t="s">
        <v>792</v>
      </c>
      <c r="D294" s="7" t="s">
        <v>881</v>
      </c>
      <c r="E294" s="7" t="s">
        <v>144</v>
      </c>
      <c r="F294" s="7" t="n">
        <v>0</v>
      </c>
      <c r="G294" s="7" t="n">
        <v>0</v>
      </c>
      <c r="H294" s="7" t="n">
        <v>0</v>
      </c>
      <c r="I294" s="7" t="n">
        <v>0</v>
      </c>
      <c r="J294" s="7" t="n">
        <v>0</v>
      </c>
      <c r="K294" s="7" t="n">
        <v>0</v>
      </c>
      <c r="L294" s="7" t="n">
        <v>0</v>
      </c>
      <c r="M294" s="7" t="n">
        <v>0</v>
      </c>
      <c r="N294" s="7" t="n">
        <v>0</v>
      </c>
      <c r="O294" s="7" t="n">
        <v>0</v>
      </c>
      <c r="P294" s="7" t="n">
        <v>0</v>
      </c>
      <c r="Q294" s="7" t="n">
        <v>0</v>
      </c>
      <c r="R294" s="7" t="n">
        <v>0</v>
      </c>
    </row>
    <row r="295" customFormat="false" ht="15" hidden="false" customHeight="true" outlineLevel="0" collapsed="false">
      <c r="A295" s="7" t="n">
        <v>7156</v>
      </c>
      <c r="B295" s="7" t="s">
        <v>44</v>
      </c>
      <c r="C295" s="7" t="s">
        <v>786</v>
      </c>
      <c r="D295" s="7" t="s">
        <v>362</v>
      </c>
      <c r="E295" s="7" t="s">
        <v>144</v>
      </c>
      <c r="F295" s="7" t="n">
        <v>0</v>
      </c>
      <c r="G295" s="7" t="n">
        <v>0</v>
      </c>
      <c r="H295" s="7" t="n">
        <v>0</v>
      </c>
      <c r="I295" s="7" t="n">
        <v>0</v>
      </c>
      <c r="J295" s="7" t="n">
        <v>0</v>
      </c>
      <c r="K295" s="7" t="n">
        <v>0</v>
      </c>
      <c r="L295" s="7" t="n">
        <v>0</v>
      </c>
      <c r="M295" s="7" t="n">
        <v>0</v>
      </c>
      <c r="N295" s="7" t="n">
        <v>0</v>
      </c>
      <c r="O295" s="7" t="n">
        <v>0</v>
      </c>
      <c r="P295" s="7" t="n">
        <v>0</v>
      </c>
      <c r="Q295" s="7" t="n">
        <v>0</v>
      </c>
      <c r="R295" s="7" t="n">
        <v>0</v>
      </c>
    </row>
    <row r="296" customFormat="false" ht="15" hidden="false" customHeight="true" outlineLevel="0" collapsed="false">
      <c r="A296" s="7" t="n">
        <v>6041</v>
      </c>
      <c r="B296" s="7" t="s">
        <v>44</v>
      </c>
      <c r="C296" s="7" t="s">
        <v>784</v>
      </c>
      <c r="D296" s="7" t="s">
        <v>882</v>
      </c>
      <c r="E296" s="7" t="s">
        <v>184</v>
      </c>
      <c r="F296" s="7" t="n">
        <v>0</v>
      </c>
      <c r="G296" s="7" t="n">
        <v>0</v>
      </c>
      <c r="H296" s="7" t="n">
        <v>0</v>
      </c>
      <c r="I296" s="7" t="n">
        <v>0</v>
      </c>
      <c r="J296" s="7" t="n">
        <v>0</v>
      </c>
      <c r="K296" s="7" t="n">
        <v>0</v>
      </c>
      <c r="L296" s="7" t="n">
        <v>0</v>
      </c>
      <c r="M296" s="7" t="n">
        <v>0</v>
      </c>
      <c r="N296" s="7" t="n">
        <v>0</v>
      </c>
      <c r="O296" s="7" t="n">
        <v>0</v>
      </c>
      <c r="P296" s="7" t="n">
        <v>0</v>
      </c>
      <c r="Q296" s="7" t="n">
        <v>0</v>
      </c>
      <c r="R296" s="7" t="n">
        <v>0</v>
      </c>
    </row>
    <row r="297" customFormat="false" ht="15" hidden="false" customHeight="true" outlineLevel="0" collapsed="false">
      <c r="A297" s="7" t="n">
        <v>6826</v>
      </c>
      <c r="B297" s="7" t="s">
        <v>44</v>
      </c>
      <c r="C297" s="7" t="s">
        <v>792</v>
      </c>
      <c r="D297" s="7" t="s">
        <v>883</v>
      </c>
      <c r="E297" s="7" t="s">
        <v>184</v>
      </c>
      <c r="F297" s="7" t="n">
        <v>1</v>
      </c>
      <c r="G297" s="7" t="n">
        <v>5</v>
      </c>
      <c r="H297" s="7" t="n">
        <v>5</v>
      </c>
      <c r="I297" s="7" t="n">
        <v>0</v>
      </c>
      <c r="J297" s="7" t="n">
        <v>0</v>
      </c>
      <c r="K297" s="7" t="n">
        <v>0</v>
      </c>
      <c r="L297" s="7" t="n">
        <v>0</v>
      </c>
      <c r="M297" s="7" t="n">
        <v>0</v>
      </c>
      <c r="N297" s="7" t="n">
        <v>0</v>
      </c>
      <c r="O297" s="7" t="n">
        <v>0</v>
      </c>
      <c r="P297" s="7" t="n">
        <v>0</v>
      </c>
      <c r="Q297" s="7" t="n">
        <v>0</v>
      </c>
      <c r="R297" s="7" t="n">
        <v>0</v>
      </c>
    </row>
    <row r="298" customFormat="false" ht="15" hidden="false" customHeight="true" outlineLevel="0" collapsed="false">
      <c r="A298" s="7" t="n">
        <v>6900</v>
      </c>
      <c r="B298" s="7" t="s">
        <v>44</v>
      </c>
      <c r="C298" s="7" t="s">
        <v>783</v>
      </c>
      <c r="D298" s="7" t="s">
        <v>884</v>
      </c>
      <c r="E298" s="7" t="s">
        <v>135</v>
      </c>
      <c r="F298" s="7" t="n">
        <v>2</v>
      </c>
      <c r="G298" s="7" t="n">
        <v>5.75</v>
      </c>
      <c r="H298" s="7" t="n">
        <v>6.25</v>
      </c>
      <c r="I298" s="7" t="n">
        <v>0</v>
      </c>
      <c r="J298" s="7" t="n">
        <v>0</v>
      </c>
      <c r="K298" s="7" t="n">
        <v>0</v>
      </c>
      <c r="L298" s="7" t="n">
        <v>0</v>
      </c>
      <c r="M298" s="7" t="n">
        <v>0</v>
      </c>
      <c r="N298" s="7" t="n">
        <v>0</v>
      </c>
      <c r="O298" s="7" t="n">
        <v>1</v>
      </c>
      <c r="P298" s="7" t="n">
        <v>0</v>
      </c>
      <c r="Q298" s="7" t="n">
        <v>0</v>
      </c>
      <c r="R298" s="7" t="n">
        <v>0</v>
      </c>
    </row>
    <row r="299" customFormat="false" ht="15" hidden="false" customHeight="true" outlineLevel="0" collapsed="false">
      <c r="A299" s="7" t="n">
        <v>7196</v>
      </c>
      <c r="B299" s="7" t="s">
        <v>44</v>
      </c>
      <c r="C299" s="7" t="s">
        <v>784</v>
      </c>
      <c r="D299" s="7" t="s">
        <v>885</v>
      </c>
      <c r="E299" s="7" t="s">
        <v>755</v>
      </c>
      <c r="F299" s="7" t="n">
        <v>2</v>
      </c>
      <c r="G299" s="7" t="n">
        <v>5.5</v>
      </c>
      <c r="H299" s="7" t="n">
        <v>5.25</v>
      </c>
      <c r="I299" s="7" t="n">
        <v>0</v>
      </c>
      <c r="J299" s="7" t="n">
        <v>0</v>
      </c>
      <c r="K299" s="7" t="n">
        <v>0</v>
      </c>
      <c r="L299" s="7" t="n">
        <v>0</v>
      </c>
      <c r="M299" s="7" t="n">
        <v>0</v>
      </c>
      <c r="N299" s="7" t="n">
        <v>0</v>
      </c>
      <c r="O299" s="7" t="n">
        <v>0</v>
      </c>
      <c r="P299" s="7" t="n">
        <v>1</v>
      </c>
      <c r="Q299" s="7" t="n">
        <v>0</v>
      </c>
      <c r="R299" s="7" t="n">
        <v>0</v>
      </c>
    </row>
    <row r="300" customFormat="false" ht="15" hidden="false" customHeight="true" outlineLevel="0" collapsed="false">
      <c r="A300" s="7" t="n">
        <v>6985</v>
      </c>
      <c r="B300" s="7" t="s">
        <v>44</v>
      </c>
      <c r="C300" s="7" t="s">
        <v>791</v>
      </c>
      <c r="D300" s="7" t="s">
        <v>319</v>
      </c>
      <c r="E300" s="7" t="s">
        <v>144</v>
      </c>
      <c r="F300" s="7" t="n">
        <v>8</v>
      </c>
      <c r="G300" s="7" t="n">
        <v>5.69</v>
      </c>
      <c r="H300" s="7" t="n">
        <v>5.56</v>
      </c>
      <c r="I300" s="7" t="n">
        <v>0</v>
      </c>
      <c r="J300" s="7" t="n">
        <v>0</v>
      </c>
      <c r="K300" s="7" t="n">
        <v>0</v>
      </c>
      <c r="L300" s="7" t="n">
        <v>0</v>
      </c>
      <c r="M300" s="7" t="n">
        <v>0</v>
      </c>
      <c r="N300" s="7" t="n">
        <v>0</v>
      </c>
      <c r="O300" s="7" t="n">
        <v>0</v>
      </c>
      <c r="P300" s="7" t="n">
        <v>2</v>
      </c>
      <c r="Q300" s="7" t="n">
        <v>0</v>
      </c>
      <c r="R300" s="7" t="n">
        <v>0</v>
      </c>
    </row>
    <row r="301" customFormat="false" ht="15" hidden="false" customHeight="true" outlineLevel="0" collapsed="false">
      <c r="A301" s="7" t="n">
        <v>5324</v>
      </c>
      <c r="B301" s="7" t="s">
        <v>44</v>
      </c>
      <c r="C301" s="7" t="s">
        <v>886</v>
      </c>
      <c r="D301" s="7" t="s">
        <v>887</v>
      </c>
      <c r="E301" s="7" t="s">
        <v>117</v>
      </c>
      <c r="F301" s="7" t="n">
        <v>0</v>
      </c>
      <c r="G301" s="7" t="n">
        <v>0</v>
      </c>
      <c r="H301" s="7" t="n">
        <v>0</v>
      </c>
      <c r="I301" s="7" t="n">
        <v>0</v>
      </c>
      <c r="J301" s="7" t="n">
        <v>0</v>
      </c>
      <c r="K301" s="7" t="n">
        <v>0</v>
      </c>
      <c r="L301" s="7" t="n">
        <v>0</v>
      </c>
      <c r="M301" s="7" t="n">
        <v>0</v>
      </c>
      <c r="N301" s="7" t="n">
        <v>0</v>
      </c>
      <c r="O301" s="7" t="n">
        <v>0</v>
      </c>
      <c r="P301" s="7" t="n">
        <v>0</v>
      </c>
      <c r="Q301" s="7" t="n">
        <v>0</v>
      </c>
      <c r="R301" s="7" t="n">
        <v>0</v>
      </c>
    </row>
    <row r="302" customFormat="false" ht="15" hidden="false" customHeight="true" outlineLevel="0" collapsed="false">
      <c r="A302" s="7" t="n">
        <v>7238</v>
      </c>
      <c r="B302" s="7" t="s">
        <v>44</v>
      </c>
      <c r="C302" s="7" t="s">
        <v>784</v>
      </c>
      <c r="D302" s="7" t="s">
        <v>315</v>
      </c>
      <c r="E302" s="7" t="s">
        <v>123</v>
      </c>
      <c r="F302" s="7" t="n">
        <v>1</v>
      </c>
      <c r="G302" s="7" t="n">
        <v>6</v>
      </c>
      <c r="H302" s="7" t="n">
        <v>6</v>
      </c>
      <c r="I302" s="7" t="n">
        <v>0</v>
      </c>
      <c r="J302" s="7" t="n">
        <v>0</v>
      </c>
      <c r="K302" s="7" t="n">
        <v>0</v>
      </c>
      <c r="L302" s="7" t="n">
        <v>0</v>
      </c>
      <c r="M302" s="7" t="n">
        <v>0</v>
      </c>
      <c r="N302" s="7" t="n">
        <v>0</v>
      </c>
      <c r="O302" s="7" t="n">
        <v>0</v>
      </c>
      <c r="P302" s="7" t="n">
        <v>0</v>
      </c>
      <c r="Q302" s="7" t="n">
        <v>0</v>
      </c>
      <c r="R302" s="7" t="n">
        <v>0</v>
      </c>
    </row>
    <row r="303" customFormat="false" ht="15" hidden="false" customHeight="true" outlineLevel="0" collapsed="false">
      <c r="A303" s="7" t="n">
        <v>6351</v>
      </c>
      <c r="B303" s="7" t="s">
        <v>44</v>
      </c>
      <c r="C303" s="7" t="s">
        <v>802</v>
      </c>
      <c r="D303" s="7" t="s">
        <v>888</v>
      </c>
      <c r="E303" s="7" t="s">
        <v>123</v>
      </c>
      <c r="F303" s="7" t="n">
        <v>1</v>
      </c>
      <c r="G303" s="7" t="n">
        <v>6</v>
      </c>
      <c r="H303" s="7" t="n">
        <v>6</v>
      </c>
      <c r="I303" s="7" t="n">
        <v>0</v>
      </c>
      <c r="J303" s="7" t="n">
        <v>0</v>
      </c>
      <c r="K303" s="7" t="n">
        <v>0</v>
      </c>
      <c r="L303" s="7" t="n">
        <v>0</v>
      </c>
      <c r="M303" s="7" t="n">
        <v>0</v>
      </c>
      <c r="N303" s="7" t="n">
        <v>0</v>
      </c>
      <c r="O303" s="7" t="n">
        <v>0</v>
      </c>
      <c r="P303" s="7" t="n">
        <v>0</v>
      </c>
      <c r="Q303" s="7" t="n">
        <v>0</v>
      </c>
      <c r="R303" s="7" t="n">
        <v>0</v>
      </c>
    </row>
    <row r="304" customFormat="false" ht="15" hidden="false" customHeight="true" outlineLevel="0" collapsed="false">
      <c r="A304" s="7" t="n">
        <v>6870</v>
      </c>
      <c r="B304" s="7" t="s">
        <v>44</v>
      </c>
      <c r="C304" s="7" t="s">
        <v>784</v>
      </c>
      <c r="D304" s="7" t="s">
        <v>889</v>
      </c>
      <c r="E304" s="7" t="s">
        <v>750</v>
      </c>
      <c r="F304" s="7" t="n">
        <v>7</v>
      </c>
      <c r="G304" s="7" t="n">
        <v>5.71</v>
      </c>
      <c r="H304" s="7" t="n">
        <v>5.64</v>
      </c>
      <c r="I304" s="7" t="n">
        <v>0</v>
      </c>
      <c r="J304" s="7" t="n">
        <v>0</v>
      </c>
      <c r="K304" s="7" t="n">
        <v>0</v>
      </c>
      <c r="L304" s="7" t="n">
        <v>0</v>
      </c>
      <c r="M304" s="7" t="n">
        <v>0</v>
      </c>
      <c r="N304" s="7" t="n">
        <v>0</v>
      </c>
      <c r="O304" s="7" t="n">
        <v>0</v>
      </c>
      <c r="P304" s="7" t="n">
        <v>1</v>
      </c>
      <c r="Q304" s="7" t="n">
        <v>0</v>
      </c>
      <c r="R304" s="7" t="n">
        <v>0</v>
      </c>
    </row>
    <row r="305" customFormat="false" ht="15" hidden="false" customHeight="true" outlineLevel="0" collapsed="false">
      <c r="A305" s="7" t="n">
        <v>7271</v>
      </c>
      <c r="B305" s="7" t="s">
        <v>44</v>
      </c>
      <c r="C305" s="7" t="s">
        <v>784</v>
      </c>
      <c r="D305" s="7" t="s">
        <v>890</v>
      </c>
      <c r="E305" s="7" t="s">
        <v>121</v>
      </c>
      <c r="F305" s="7" t="n">
        <v>0</v>
      </c>
      <c r="G305" s="7" t="n">
        <v>0</v>
      </c>
      <c r="H305" s="7" t="n">
        <v>0</v>
      </c>
      <c r="I305" s="7" t="n">
        <v>0</v>
      </c>
      <c r="J305" s="7" t="n">
        <v>0</v>
      </c>
      <c r="K305" s="7" t="n">
        <v>0</v>
      </c>
      <c r="L305" s="7" t="n">
        <v>0</v>
      </c>
      <c r="M305" s="7" t="n">
        <v>0</v>
      </c>
      <c r="N305" s="7" t="n">
        <v>0</v>
      </c>
      <c r="O305" s="7" t="n">
        <v>0</v>
      </c>
      <c r="P305" s="7" t="n">
        <v>0</v>
      </c>
      <c r="Q305" s="7" t="n">
        <v>0</v>
      </c>
      <c r="R305" s="7" t="n">
        <v>0</v>
      </c>
    </row>
    <row r="306" customFormat="false" ht="15" hidden="false" customHeight="true" outlineLevel="0" collapsed="false">
      <c r="A306" s="7" t="n">
        <v>388</v>
      </c>
      <c r="B306" s="7" t="s">
        <v>44</v>
      </c>
      <c r="C306" s="7" t="s">
        <v>784</v>
      </c>
      <c r="D306" s="7" t="s">
        <v>891</v>
      </c>
      <c r="E306" s="7" t="s">
        <v>755</v>
      </c>
      <c r="F306" s="7" t="n">
        <v>8</v>
      </c>
      <c r="G306" s="7" t="n">
        <v>5.62</v>
      </c>
      <c r="H306" s="7" t="n">
        <v>5.69</v>
      </c>
      <c r="I306" s="7" t="n">
        <v>0</v>
      </c>
      <c r="J306" s="7" t="n">
        <v>0</v>
      </c>
      <c r="K306" s="7" t="n">
        <v>0</v>
      </c>
      <c r="L306" s="7" t="n">
        <v>0</v>
      </c>
      <c r="M306" s="7" t="n">
        <v>0</v>
      </c>
      <c r="N306" s="7" t="n">
        <v>0</v>
      </c>
      <c r="O306" s="7" t="n">
        <v>1</v>
      </c>
      <c r="P306" s="7" t="n">
        <v>1</v>
      </c>
      <c r="Q306" s="7" t="n">
        <v>0</v>
      </c>
      <c r="R306" s="7" t="n">
        <v>0</v>
      </c>
    </row>
    <row r="307" customFormat="false" ht="15" hidden="false" customHeight="true" outlineLevel="0" collapsed="false">
      <c r="A307" s="7" t="n">
        <v>6874</v>
      </c>
      <c r="B307" s="7" t="s">
        <v>44</v>
      </c>
      <c r="C307" s="7" t="s">
        <v>784</v>
      </c>
      <c r="D307" s="7" t="s">
        <v>892</v>
      </c>
      <c r="E307" s="7" t="s">
        <v>115</v>
      </c>
      <c r="F307" s="7" t="n">
        <v>0</v>
      </c>
      <c r="G307" s="7" t="n">
        <v>0</v>
      </c>
      <c r="H307" s="7" t="n">
        <v>0</v>
      </c>
      <c r="I307" s="7" t="n">
        <v>0</v>
      </c>
      <c r="J307" s="7" t="n">
        <v>0</v>
      </c>
      <c r="K307" s="7" t="n">
        <v>0</v>
      </c>
      <c r="L307" s="7" t="n">
        <v>0</v>
      </c>
      <c r="M307" s="7" t="n">
        <v>0</v>
      </c>
      <c r="N307" s="7" t="n">
        <v>0</v>
      </c>
      <c r="O307" s="7" t="n">
        <v>0</v>
      </c>
      <c r="P307" s="7" t="n">
        <v>0</v>
      </c>
      <c r="Q307" s="7" t="n">
        <v>0</v>
      </c>
      <c r="R307" s="7" t="n">
        <v>0</v>
      </c>
    </row>
    <row r="308" customFormat="false" ht="15" hidden="false" customHeight="true" outlineLevel="0" collapsed="false">
      <c r="A308" s="7" t="n">
        <v>7325</v>
      </c>
      <c r="B308" s="7" t="s">
        <v>44</v>
      </c>
      <c r="C308" s="7" t="s">
        <v>784</v>
      </c>
      <c r="D308" s="7" t="s">
        <v>893</v>
      </c>
      <c r="E308" s="7" t="s">
        <v>755</v>
      </c>
      <c r="F308" s="7" t="n">
        <v>8</v>
      </c>
      <c r="G308" s="7" t="n">
        <v>5.25</v>
      </c>
      <c r="H308" s="7" t="n">
        <v>5.06</v>
      </c>
      <c r="I308" s="7" t="n">
        <v>0</v>
      </c>
      <c r="J308" s="7" t="n">
        <v>0</v>
      </c>
      <c r="K308" s="7" t="n">
        <v>0</v>
      </c>
      <c r="L308" s="7" t="n">
        <v>0</v>
      </c>
      <c r="M308" s="7" t="n">
        <v>0</v>
      </c>
      <c r="N308" s="7" t="n">
        <v>0</v>
      </c>
      <c r="O308" s="7" t="n">
        <v>0</v>
      </c>
      <c r="P308" s="7" t="n">
        <v>1</v>
      </c>
      <c r="Q308" s="7" t="n">
        <v>1</v>
      </c>
      <c r="R308" s="7" t="n">
        <v>0</v>
      </c>
    </row>
    <row r="309" customFormat="false" ht="15" hidden="false" customHeight="true" outlineLevel="0" collapsed="false">
      <c r="A309" s="7" t="n">
        <v>7346</v>
      </c>
      <c r="B309" s="7" t="s">
        <v>44</v>
      </c>
      <c r="C309" s="7" t="s">
        <v>792</v>
      </c>
      <c r="D309" s="7" t="s">
        <v>340</v>
      </c>
      <c r="E309" s="7" t="s">
        <v>129</v>
      </c>
      <c r="F309" s="7" t="n">
        <v>0</v>
      </c>
      <c r="G309" s="7" t="n">
        <v>0</v>
      </c>
      <c r="H309" s="7" t="n">
        <v>0</v>
      </c>
      <c r="I309" s="7" t="n">
        <v>0</v>
      </c>
      <c r="J309" s="7" t="n">
        <v>0</v>
      </c>
      <c r="K309" s="7" t="n">
        <v>0</v>
      </c>
      <c r="L309" s="7" t="n">
        <v>0</v>
      </c>
      <c r="M309" s="7" t="n">
        <v>0</v>
      </c>
      <c r="N309" s="7" t="n">
        <v>0</v>
      </c>
      <c r="O309" s="7" t="n">
        <v>0</v>
      </c>
      <c r="P309" s="7" t="n">
        <v>0</v>
      </c>
      <c r="Q309" s="7" t="n">
        <v>0</v>
      </c>
      <c r="R309" s="7" t="n">
        <v>0</v>
      </c>
    </row>
    <row r="310" customFormat="false" ht="15" hidden="false" customHeight="true" outlineLevel="0" collapsed="false">
      <c r="A310" s="7" t="n">
        <v>6875</v>
      </c>
      <c r="B310" s="7" t="s">
        <v>45</v>
      </c>
      <c r="C310" s="7" t="s">
        <v>894</v>
      </c>
      <c r="D310" s="7" t="s">
        <v>366</v>
      </c>
      <c r="E310" s="7" t="s">
        <v>119</v>
      </c>
      <c r="F310" s="7" t="n">
        <v>35</v>
      </c>
      <c r="G310" s="7" t="n">
        <v>6.37</v>
      </c>
      <c r="H310" s="7" t="n">
        <v>7.3</v>
      </c>
      <c r="I310" s="7" t="n">
        <v>12</v>
      </c>
      <c r="J310" s="7" t="n">
        <v>0</v>
      </c>
      <c r="K310" s="7" t="n">
        <v>0</v>
      </c>
      <c r="L310" s="7" t="n">
        <v>2</v>
      </c>
      <c r="M310" s="7" t="n">
        <v>0</v>
      </c>
      <c r="N310" s="7" t="n">
        <v>2</v>
      </c>
      <c r="O310" s="7" t="n">
        <v>5</v>
      </c>
      <c r="P310" s="7" t="n">
        <v>5</v>
      </c>
      <c r="Q310" s="7" t="n">
        <v>0</v>
      </c>
      <c r="R310" s="7" t="n">
        <v>0</v>
      </c>
    </row>
    <row r="311" customFormat="false" ht="15" hidden="false" customHeight="true" outlineLevel="0" collapsed="false">
      <c r="A311" s="7" t="n">
        <v>4777</v>
      </c>
      <c r="B311" s="7" t="s">
        <v>45</v>
      </c>
      <c r="C311" s="7" t="s">
        <v>895</v>
      </c>
      <c r="D311" s="7" t="s">
        <v>367</v>
      </c>
      <c r="E311" s="7" t="s">
        <v>125</v>
      </c>
      <c r="F311" s="7" t="n">
        <v>33</v>
      </c>
      <c r="G311" s="7" t="n">
        <v>6.39</v>
      </c>
      <c r="H311" s="7" t="n">
        <v>7.26</v>
      </c>
      <c r="I311" s="7" t="n">
        <v>10</v>
      </c>
      <c r="J311" s="7" t="n">
        <v>0</v>
      </c>
      <c r="K311" s="7" t="n">
        <v>0</v>
      </c>
      <c r="L311" s="7" t="n">
        <v>1</v>
      </c>
      <c r="M311" s="7" t="n">
        <v>0</v>
      </c>
      <c r="N311" s="7" t="n">
        <v>1</v>
      </c>
      <c r="O311" s="7" t="n">
        <v>2</v>
      </c>
      <c r="P311" s="7" t="n">
        <v>1</v>
      </c>
      <c r="Q311" s="7" t="n">
        <v>0</v>
      </c>
      <c r="R311" s="7" t="n">
        <v>0</v>
      </c>
    </row>
    <row r="312" customFormat="false" ht="15" hidden="false" customHeight="true" outlineLevel="0" collapsed="false">
      <c r="A312" s="7" t="n">
        <v>7126</v>
      </c>
      <c r="B312" s="7" t="s">
        <v>45</v>
      </c>
      <c r="C312" s="7" t="s">
        <v>896</v>
      </c>
      <c r="D312" s="7" t="s">
        <v>372</v>
      </c>
      <c r="E312" s="7" t="s">
        <v>119</v>
      </c>
      <c r="F312" s="7" t="n">
        <v>25</v>
      </c>
      <c r="G312" s="7" t="n">
        <v>6.3</v>
      </c>
      <c r="H312" s="7" t="n">
        <v>7.14</v>
      </c>
      <c r="I312" s="7" t="n">
        <v>6</v>
      </c>
      <c r="J312" s="7" t="n">
        <v>0</v>
      </c>
      <c r="K312" s="7" t="n">
        <v>0</v>
      </c>
      <c r="L312" s="7" t="n">
        <v>0</v>
      </c>
      <c r="M312" s="7" t="n">
        <v>0</v>
      </c>
      <c r="N312" s="7" t="n">
        <v>0</v>
      </c>
      <c r="O312" s="7" t="n">
        <v>3</v>
      </c>
      <c r="P312" s="7" t="n">
        <v>0</v>
      </c>
      <c r="Q312" s="7" t="n">
        <v>0</v>
      </c>
      <c r="R312" s="7" t="n">
        <v>0</v>
      </c>
    </row>
    <row r="313" customFormat="false" ht="15" hidden="false" customHeight="true" outlineLevel="0" collapsed="false">
      <c r="A313" s="7" t="n">
        <v>2194</v>
      </c>
      <c r="B313" s="7" t="s">
        <v>45</v>
      </c>
      <c r="C313" s="7" t="s">
        <v>897</v>
      </c>
      <c r="D313" s="7" t="s">
        <v>368</v>
      </c>
      <c r="E313" s="7" t="s">
        <v>115</v>
      </c>
      <c r="F313" s="7" t="n">
        <v>22</v>
      </c>
      <c r="G313" s="7" t="n">
        <v>6.52</v>
      </c>
      <c r="H313" s="7" t="n">
        <v>7.64</v>
      </c>
      <c r="I313" s="7" t="n">
        <v>9</v>
      </c>
      <c r="J313" s="7" t="n">
        <v>0</v>
      </c>
      <c r="K313" s="7" t="n">
        <v>0</v>
      </c>
      <c r="L313" s="7" t="n">
        <v>5</v>
      </c>
      <c r="M313" s="7" t="n">
        <v>4</v>
      </c>
      <c r="N313" s="7" t="n">
        <v>1</v>
      </c>
      <c r="O313" s="7" t="n">
        <v>4</v>
      </c>
      <c r="P313" s="7" t="n">
        <v>7</v>
      </c>
      <c r="Q313" s="7" t="n">
        <v>0</v>
      </c>
      <c r="R313" s="7" t="n">
        <v>0</v>
      </c>
    </row>
    <row r="314" customFormat="false" ht="15" hidden="false" customHeight="true" outlineLevel="0" collapsed="false">
      <c r="A314" s="7" t="n">
        <v>2423</v>
      </c>
      <c r="B314" s="7" t="s">
        <v>45</v>
      </c>
      <c r="C314" s="7" t="s">
        <v>894</v>
      </c>
      <c r="D314" s="7" t="s">
        <v>370</v>
      </c>
      <c r="E314" s="7" t="s">
        <v>121</v>
      </c>
      <c r="F314" s="7" t="n">
        <v>27</v>
      </c>
      <c r="G314" s="7" t="n">
        <v>6.15</v>
      </c>
      <c r="H314" s="7" t="n">
        <v>7.07</v>
      </c>
      <c r="I314" s="7" t="n">
        <v>8</v>
      </c>
      <c r="J314" s="7" t="n">
        <v>0</v>
      </c>
      <c r="K314" s="7" t="n">
        <v>0</v>
      </c>
      <c r="L314" s="7" t="n">
        <v>1</v>
      </c>
      <c r="M314" s="7" t="n">
        <v>0</v>
      </c>
      <c r="N314" s="7" t="n">
        <v>1</v>
      </c>
      <c r="O314" s="7" t="n">
        <v>4</v>
      </c>
      <c r="P314" s="7" t="n">
        <v>0</v>
      </c>
      <c r="Q314" s="7" t="n">
        <v>0</v>
      </c>
      <c r="R314" s="7" t="n">
        <v>0</v>
      </c>
    </row>
    <row r="315" customFormat="false" ht="15" hidden="false" customHeight="true" outlineLevel="0" collapsed="false">
      <c r="A315" s="7" t="n">
        <v>2379</v>
      </c>
      <c r="B315" s="7" t="s">
        <v>45</v>
      </c>
      <c r="C315" s="7" t="s">
        <v>895</v>
      </c>
      <c r="D315" s="7" t="s">
        <v>371</v>
      </c>
      <c r="E315" s="7" t="s">
        <v>121</v>
      </c>
      <c r="F315" s="7" t="n">
        <v>29</v>
      </c>
      <c r="G315" s="7" t="n">
        <v>6.33</v>
      </c>
      <c r="H315" s="7" t="n">
        <v>6.98</v>
      </c>
      <c r="I315" s="7" t="n">
        <v>6</v>
      </c>
      <c r="J315" s="7" t="n">
        <v>0</v>
      </c>
      <c r="K315" s="7" t="n">
        <v>0</v>
      </c>
      <c r="L315" s="7" t="n">
        <v>0</v>
      </c>
      <c r="M315" s="7" t="n">
        <v>0</v>
      </c>
      <c r="N315" s="7" t="n">
        <v>0</v>
      </c>
      <c r="O315" s="7" t="n">
        <v>4</v>
      </c>
      <c r="P315" s="7" t="n">
        <v>4</v>
      </c>
      <c r="Q315" s="7" t="n">
        <v>1</v>
      </c>
      <c r="R315" s="7" t="n">
        <v>0</v>
      </c>
    </row>
    <row r="316" customFormat="false" ht="15" hidden="false" customHeight="true" outlineLevel="0" collapsed="false">
      <c r="A316" s="7" t="n">
        <v>2517</v>
      </c>
      <c r="B316" s="7" t="s">
        <v>45</v>
      </c>
      <c r="C316" s="7" t="s">
        <v>896</v>
      </c>
      <c r="D316" s="7" t="s">
        <v>379</v>
      </c>
      <c r="E316" s="7" t="s">
        <v>125</v>
      </c>
      <c r="F316" s="7" t="n">
        <v>17</v>
      </c>
      <c r="G316" s="7" t="n">
        <v>6.26</v>
      </c>
      <c r="H316" s="7" t="n">
        <v>7.24</v>
      </c>
      <c r="I316" s="7" t="n">
        <v>5</v>
      </c>
      <c r="J316" s="7" t="n">
        <v>0</v>
      </c>
      <c r="K316" s="7" t="n">
        <v>0</v>
      </c>
      <c r="L316" s="7" t="n">
        <v>3</v>
      </c>
      <c r="M316" s="7" t="n">
        <v>3</v>
      </c>
      <c r="N316" s="7" t="n">
        <v>0</v>
      </c>
      <c r="O316" s="7" t="n">
        <v>2</v>
      </c>
      <c r="P316" s="7" t="n">
        <v>1</v>
      </c>
      <c r="Q316" s="7" t="n">
        <v>0</v>
      </c>
      <c r="R316" s="7" t="n">
        <v>0</v>
      </c>
    </row>
    <row r="317" customFormat="false" ht="15" hidden="false" customHeight="true" outlineLevel="0" collapsed="false">
      <c r="A317" s="7" t="n">
        <v>5559</v>
      </c>
      <c r="B317" s="7" t="s">
        <v>45</v>
      </c>
      <c r="C317" s="7" t="s">
        <v>898</v>
      </c>
      <c r="D317" s="7" t="s">
        <v>373</v>
      </c>
      <c r="E317" s="7" t="s">
        <v>119</v>
      </c>
      <c r="F317" s="7" t="n">
        <v>35</v>
      </c>
      <c r="G317" s="7" t="n">
        <v>6.34</v>
      </c>
      <c r="H317" s="7" t="n">
        <v>6.91</v>
      </c>
      <c r="I317" s="7" t="n">
        <v>6</v>
      </c>
      <c r="J317" s="7" t="n">
        <v>0</v>
      </c>
      <c r="K317" s="7" t="n">
        <v>0</v>
      </c>
      <c r="L317" s="7" t="n">
        <v>4</v>
      </c>
      <c r="M317" s="7" t="n">
        <v>4</v>
      </c>
      <c r="N317" s="7" t="n">
        <v>0</v>
      </c>
      <c r="O317" s="7" t="n">
        <v>4</v>
      </c>
      <c r="P317" s="7" t="n">
        <v>4</v>
      </c>
      <c r="Q317" s="7" t="n">
        <v>0</v>
      </c>
      <c r="R317" s="7" t="n">
        <v>0</v>
      </c>
    </row>
    <row r="318" customFormat="false" ht="15" hidden="false" customHeight="true" outlineLevel="0" collapsed="false">
      <c r="A318" s="7" t="n">
        <v>152</v>
      </c>
      <c r="B318" s="7" t="s">
        <v>45</v>
      </c>
      <c r="C318" s="7" t="s">
        <v>895</v>
      </c>
      <c r="D318" s="7" t="s">
        <v>393</v>
      </c>
      <c r="E318" s="7" t="s">
        <v>115</v>
      </c>
      <c r="F318" s="7" t="n">
        <v>30</v>
      </c>
      <c r="G318" s="7" t="n">
        <v>6.25</v>
      </c>
      <c r="H318" s="7" t="n">
        <v>6.8</v>
      </c>
      <c r="I318" s="7" t="n">
        <v>6</v>
      </c>
      <c r="J318" s="7" t="n">
        <v>0</v>
      </c>
      <c r="K318" s="7" t="n">
        <v>0</v>
      </c>
      <c r="L318" s="7" t="n">
        <v>1</v>
      </c>
      <c r="M318" s="7" t="n">
        <v>1</v>
      </c>
      <c r="N318" s="7" t="n">
        <v>0</v>
      </c>
      <c r="O318" s="7" t="n">
        <v>2</v>
      </c>
      <c r="P318" s="7" t="n">
        <v>3</v>
      </c>
      <c r="Q318" s="7" t="n">
        <v>0</v>
      </c>
      <c r="R318" s="7" t="n">
        <v>1</v>
      </c>
    </row>
    <row r="319" customFormat="false" ht="15" hidden="false" customHeight="true" outlineLevel="0" collapsed="false">
      <c r="A319" s="7" t="n">
        <v>6908</v>
      </c>
      <c r="B319" s="7" t="s">
        <v>45</v>
      </c>
      <c r="C319" s="7" t="s">
        <v>45</v>
      </c>
      <c r="D319" s="7" t="s">
        <v>375</v>
      </c>
      <c r="E319" s="7" t="s">
        <v>135</v>
      </c>
      <c r="F319" s="7" t="n">
        <v>32</v>
      </c>
      <c r="G319" s="7" t="n">
        <v>6.36</v>
      </c>
      <c r="H319" s="7" t="n">
        <v>6.88</v>
      </c>
      <c r="I319" s="7" t="n">
        <v>5</v>
      </c>
      <c r="J319" s="7" t="n">
        <v>0</v>
      </c>
      <c r="K319" s="7" t="n">
        <v>0</v>
      </c>
      <c r="L319" s="7" t="n">
        <v>0</v>
      </c>
      <c r="M319" s="7" t="n">
        <v>0</v>
      </c>
      <c r="N319" s="7" t="n">
        <v>0</v>
      </c>
      <c r="O319" s="7" t="n">
        <v>3</v>
      </c>
      <c r="P319" s="7" t="n">
        <v>3</v>
      </c>
      <c r="Q319" s="7" t="n">
        <v>0</v>
      </c>
      <c r="R319" s="7" t="n">
        <v>0</v>
      </c>
    </row>
    <row r="320" customFormat="false" ht="15" hidden="false" customHeight="true" outlineLevel="0" collapsed="false">
      <c r="A320" s="7" t="n">
        <v>5564</v>
      </c>
      <c r="B320" s="7" t="s">
        <v>45</v>
      </c>
      <c r="C320" s="7" t="s">
        <v>899</v>
      </c>
      <c r="D320" s="7" t="s">
        <v>900</v>
      </c>
      <c r="E320" s="7" t="s">
        <v>127</v>
      </c>
      <c r="F320" s="7" t="n">
        <v>0</v>
      </c>
      <c r="G320" s="7" t="n">
        <v>0</v>
      </c>
      <c r="H320" s="7" t="n">
        <v>0</v>
      </c>
      <c r="I320" s="7" t="n">
        <v>0</v>
      </c>
      <c r="J320" s="7" t="n">
        <v>0</v>
      </c>
      <c r="K320" s="7" t="n">
        <v>0</v>
      </c>
      <c r="L320" s="7" t="n">
        <v>0</v>
      </c>
      <c r="M320" s="7" t="n">
        <v>0</v>
      </c>
      <c r="N320" s="7" t="n">
        <v>0</v>
      </c>
      <c r="O320" s="7" t="n">
        <v>0</v>
      </c>
      <c r="P320" s="7" t="n">
        <v>0</v>
      </c>
      <c r="Q320" s="7" t="n">
        <v>0</v>
      </c>
      <c r="R320" s="7" t="n">
        <v>0</v>
      </c>
    </row>
    <row r="321" customFormat="false" ht="15" hidden="false" customHeight="true" outlineLevel="0" collapsed="false">
      <c r="A321" s="7" t="n">
        <v>2167</v>
      </c>
      <c r="B321" s="7" t="s">
        <v>45</v>
      </c>
      <c r="C321" s="7" t="s">
        <v>901</v>
      </c>
      <c r="D321" s="7" t="s">
        <v>369</v>
      </c>
      <c r="E321" s="7" t="s">
        <v>127</v>
      </c>
      <c r="F321" s="7" t="n">
        <v>34</v>
      </c>
      <c r="G321" s="7" t="n">
        <v>6.06</v>
      </c>
      <c r="H321" s="7" t="n">
        <v>6.76</v>
      </c>
      <c r="I321" s="7" t="n">
        <v>10</v>
      </c>
      <c r="J321" s="7" t="n">
        <v>0</v>
      </c>
      <c r="K321" s="7" t="n">
        <v>0</v>
      </c>
      <c r="L321" s="7" t="n">
        <v>6</v>
      </c>
      <c r="M321" s="7" t="n">
        <v>4</v>
      </c>
      <c r="N321" s="7" t="n">
        <v>2</v>
      </c>
      <c r="O321" s="7" t="n">
        <v>1</v>
      </c>
      <c r="P321" s="7" t="n">
        <v>2</v>
      </c>
      <c r="Q321" s="7" t="n">
        <v>0</v>
      </c>
      <c r="R321" s="7" t="n">
        <v>0</v>
      </c>
    </row>
    <row r="322" customFormat="false" ht="15" hidden="false" customHeight="true" outlineLevel="0" collapsed="false">
      <c r="A322" s="7" t="n">
        <v>2766</v>
      </c>
      <c r="B322" s="7" t="s">
        <v>45</v>
      </c>
      <c r="C322" s="7" t="s">
        <v>894</v>
      </c>
      <c r="D322" s="7" t="s">
        <v>374</v>
      </c>
      <c r="E322" s="7" t="s">
        <v>135</v>
      </c>
      <c r="F322" s="7" t="n">
        <v>31</v>
      </c>
      <c r="G322" s="7" t="n">
        <v>6.26</v>
      </c>
      <c r="H322" s="7" t="n">
        <v>6.77</v>
      </c>
      <c r="I322" s="7" t="n">
        <v>5</v>
      </c>
      <c r="J322" s="7" t="n">
        <v>0</v>
      </c>
      <c r="K322" s="7" t="n">
        <v>0</v>
      </c>
      <c r="L322" s="7" t="n">
        <v>0</v>
      </c>
      <c r="M322" s="7" t="n">
        <v>0</v>
      </c>
      <c r="N322" s="7" t="n">
        <v>0</v>
      </c>
      <c r="O322" s="7" t="n">
        <v>5</v>
      </c>
      <c r="P322" s="7" t="n">
        <v>8</v>
      </c>
      <c r="Q322" s="7" t="n">
        <v>0</v>
      </c>
      <c r="R322" s="7" t="n">
        <v>0</v>
      </c>
    </row>
    <row r="323" customFormat="false" ht="15" hidden="false" customHeight="true" outlineLevel="0" collapsed="false">
      <c r="A323" s="7" t="n">
        <v>1870</v>
      </c>
      <c r="B323" s="7" t="s">
        <v>45</v>
      </c>
      <c r="C323" s="7" t="s">
        <v>45</v>
      </c>
      <c r="D323" s="7" t="s">
        <v>376</v>
      </c>
      <c r="E323" s="7" t="s">
        <v>115</v>
      </c>
      <c r="F323" s="7" t="n">
        <v>34</v>
      </c>
      <c r="G323" s="7" t="n">
        <v>6.28</v>
      </c>
      <c r="H323" s="7" t="n">
        <v>6.71</v>
      </c>
      <c r="I323" s="7" t="n">
        <v>3</v>
      </c>
      <c r="J323" s="7" t="n">
        <v>0</v>
      </c>
      <c r="K323" s="7" t="n">
        <v>0</v>
      </c>
      <c r="L323" s="7" t="n">
        <v>0</v>
      </c>
      <c r="M323" s="7" t="n">
        <v>0</v>
      </c>
      <c r="N323" s="7" t="n">
        <v>0</v>
      </c>
      <c r="O323" s="7" t="n">
        <v>9</v>
      </c>
      <c r="P323" s="7" t="n">
        <v>7</v>
      </c>
      <c r="Q323" s="7" t="n">
        <v>0</v>
      </c>
      <c r="R323" s="7" t="n">
        <v>0</v>
      </c>
    </row>
    <row r="324" customFormat="false" ht="15" hidden="false" customHeight="true" outlineLevel="0" collapsed="false">
      <c r="A324" s="7" t="n">
        <v>4973</v>
      </c>
      <c r="B324" s="7" t="s">
        <v>45</v>
      </c>
      <c r="C324" s="7" t="s">
        <v>897</v>
      </c>
      <c r="D324" s="7" t="s">
        <v>377</v>
      </c>
      <c r="E324" s="7" t="s">
        <v>131</v>
      </c>
      <c r="F324" s="7" t="n">
        <v>34</v>
      </c>
      <c r="G324" s="7" t="n">
        <v>6.13</v>
      </c>
      <c r="H324" s="7" t="n">
        <v>6.68</v>
      </c>
      <c r="I324" s="7" t="n">
        <v>5</v>
      </c>
      <c r="J324" s="7" t="n">
        <v>0</v>
      </c>
      <c r="K324" s="7" t="n">
        <v>0</v>
      </c>
      <c r="L324" s="7" t="n">
        <v>0</v>
      </c>
      <c r="M324" s="7" t="n">
        <v>0</v>
      </c>
      <c r="N324" s="7" t="n">
        <v>0</v>
      </c>
      <c r="O324" s="7" t="n">
        <v>6</v>
      </c>
      <c r="P324" s="7" t="n">
        <v>5</v>
      </c>
      <c r="Q324" s="7" t="n">
        <v>0</v>
      </c>
      <c r="R324" s="7" t="n">
        <v>0</v>
      </c>
    </row>
    <row r="325" customFormat="false" ht="15" hidden="false" customHeight="true" outlineLevel="0" collapsed="false">
      <c r="A325" s="7" t="n">
        <v>6884</v>
      </c>
      <c r="B325" s="7" t="s">
        <v>45</v>
      </c>
      <c r="C325" s="7" t="s">
        <v>901</v>
      </c>
      <c r="D325" s="7" t="s">
        <v>387</v>
      </c>
      <c r="E325" s="7" t="s">
        <v>131</v>
      </c>
      <c r="F325" s="7" t="n">
        <v>30</v>
      </c>
      <c r="G325" s="7" t="n">
        <v>6.28</v>
      </c>
      <c r="H325" s="7" t="n">
        <v>6.7</v>
      </c>
      <c r="I325" s="7" t="n">
        <v>3</v>
      </c>
      <c r="J325" s="7" t="n">
        <v>0</v>
      </c>
      <c r="K325" s="7" t="n">
        <v>0</v>
      </c>
      <c r="L325" s="7" t="n">
        <v>0</v>
      </c>
      <c r="M325" s="7" t="n">
        <v>0</v>
      </c>
      <c r="N325" s="7" t="n">
        <v>0</v>
      </c>
      <c r="O325" s="7" t="n">
        <v>5</v>
      </c>
      <c r="P325" s="7" t="n">
        <v>3</v>
      </c>
      <c r="Q325" s="7" t="n">
        <v>0</v>
      </c>
      <c r="R325" s="7" t="n">
        <v>0</v>
      </c>
    </row>
    <row r="326" customFormat="false" ht="15" hidden="false" customHeight="true" outlineLevel="0" collapsed="false">
      <c r="A326" s="7" t="n">
        <v>2606</v>
      </c>
      <c r="B326" s="7" t="s">
        <v>45</v>
      </c>
      <c r="C326" s="7" t="s">
        <v>45</v>
      </c>
      <c r="D326" s="7" t="s">
        <v>388</v>
      </c>
      <c r="E326" s="7" t="s">
        <v>121</v>
      </c>
      <c r="F326" s="7" t="n">
        <v>33</v>
      </c>
      <c r="G326" s="7" t="n">
        <v>6.45</v>
      </c>
      <c r="H326" s="7" t="n">
        <v>6.67</v>
      </c>
      <c r="I326" s="7" t="n">
        <v>2</v>
      </c>
      <c r="J326" s="7" t="n">
        <v>0</v>
      </c>
      <c r="K326" s="7" t="n">
        <v>0</v>
      </c>
      <c r="L326" s="7" t="n">
        <v>0</v>
      </c>
      <c r="M326" s="7" t="n">
        <v>0</v>
      </c>
      <c r="N326" s="7" t="n">
        <v>0</v>
      </c>
      <c r="O326" s="7" t="n">
        <v>3</v>
      </c>
      <c r="P326" s="7" t="n">
        <v>4</v>
      </c>
      <c r="Q326" s="7" t="n">
        <v>0</v>
      </c>
      <c r="R326" s="7" t="n">
        <v>0</v>
      </c>
    </row>
    <row r="327" customFormat="false" ht="15" hidden="false" customHeight="true" outlineLevel="0" collapsed="false">
      <c r="A327" s="7" t="n">
        <v>1933</v>
      </c>
      <c r="B327" s="7" t="s">
        <v>45</v>
      </c>
      <c r="C327" s="7" t="s">
        <v>897</v>
      </c>
      <c r="D327" s="7" t="s">
        <v>403</v>
      </c>
      <c r="E327" s="7" t="s">
        <v>123</v>
      </c>
      <c r="F327" s="7" t="n">
        <v>34</v>
      </c>
      <c r="G327" s="7" t="n">
        <v>6.04</v>
      </c>
      <c r="H327" s="7" t="n">
        <v>6.62</v>
      </c>
      <c r="I327" s="7" t="n">
        <v>7</v>
      </c>
      <c r="J327" s="7" t="n">
        <v>0</v>
      </c>
      <c r="K327" s="7" t="n">
        <v>0</v>
      </c>
      <c r="L327" s="7" t="n">
        <v>1</v>
      </c>
      <c r="M327" s="7" t="n">
        <v>1</v>
      </c>
      <c r="N327" s="7" t="n">
        <v>0</v>
      </c>
      <c r="O327" s="7" t="n">
        <v>2</v>
      </c>
      <c r="P327" s="7" t="n">
        <v>7</v>
      </c>
      <c r="Q327" s="7" t="n">
        <v>0</v>
      </c>
      <c r="R327" s="7" t="n">
        <v>0</v>
      </c>
    </row>
    <row r="328" customFormat="false" ht="15" hidden="false" customHeight="true" outlineLevel="0" collapsed="false">
      <c r="A328" s="7" t="n">
        <v>6717</v>
      </c>
      <c r="B328" s="7" t="s">
        <v>45</v>
      </c>
      <c r="C328" s="7" t="s">
        <v>897</v>
      </c>
      <c r="D328" s="7" t="s">
        <v>406</v>
      </c>
      <c r="E328" s="7" t="s">
        <v>144</v>
      </c>
      <c r="F328" s="7" t="n">
        <v>35</v>
      </c>
      <c r="G328" s="7" t="n">
        <v>6.19</v>
      </c>
      <c r="H328" s="7" t="n">
        <v>6.63</v>
      </c>
      <c r="I328" s="7" t="n">
        <v>6</v>
      </c>
      <c r="J328" s="7" t="n">
        <v>0</v>
      </c>
      <c r="K328" s="7" t="n">
        <v>0</v>
      </c>
      <c r="L328" s="7" t="n">
        <v>0</v>
      </c>
      <c r="M328" s="7" t="n">
        <v>0</v>
      </c>
      <c r="N328" s="7" t="n">
        <v>0</v>
      </c>
      <c r="O328" s="7" t="n">
        <v>0</v>
      </c>
      <c r="P328" s="7" t="n">
        <v>3</v>
      </c>
      <c r="Q328" s="7" t="n">
        <v>1</v>
      </c>
      <c r="R328" s="7" t="n">
        <v>0</v>
      </c>
    </row>
    <row r="329" customFormat="false" ht="15" hidden="false" customHeight="true" outlineLevel="0" collapsed="false">
      <c r="A329" s="7" t="n">
        <v>5687</v>
      </c>
      <c r="B329" s="7" t="s">
        <v>45</v>
      </c>
      <c r="C329" s="7" t="s">
        <v>896</v>
      </c>
      <c r="D329" s="7" t="s">
        <v>380</v>
      </c>
      <c r="E329" s="7" t="s">
        <v>184</v>
      </c>
      <c r="F329" s="7" t="n">
        <v>37</v>
      </c>
      <c r="G329" s="7" t="n">
        <v>6.03</v>
      </c>
      <c r="H329" s="7" t="n">
        <v>6.66</v>
      </c>
      <c r="I329" s="7" t="n">
        <v>8</v>
      </c>
      <c r="J329" s="7" t="n">
        <v>0</v>
      </c>
      <c r="K329" s="7" t="n">
        <v>0</v>
      </c>
      <c r="L329" s="7" t="n">
        <v>5</v>
      </c>
      <c r="M329" s="7" t="n">
        <v>5</v>
      </c>
      <c r="N329" s="7" t="n">
        <v>0</v>
      </c>
      <c r="O329" s="7" t="n">
        <v>3</v>
      </c>
      <c r="P329" s="7" t="n">
        <v>7</v>
      </c>
      <c r="Q329" s="7" t="n">
        <v>0</v>
      </c>
      <c r="R329" s="7" t="n">
        <v>0</v>
      </c>
    </row>
    <row r="330" customFormat="false" ht="15" hidden="false" customHeight="true" outlineLevel="0" collapsed="false">
      <c r="A330" s="7" t="n">
        <v>6151</v>
      </c>
      <c r="B330" s="7" t="s">
        <v>45</v>
      </c>
      <c r="C330" s="7" t="s">
        <v>897</v>
      </c>
      <c r="D330" s="7" t="s">
        <v>392</v>
      </c>
      <c r="E330" s="7" t="s">
        <v>119</v>
      </c>
      <c r="F330" s="7" t="n">
        <v>36</v>
      </c>
      <c r="G330" s="7" t="n">
        <v>6.22</v>
      </c>
      <c r="H330" s="7" t="n">
        <v>6.47</v>
      </c>
      <c r="I330" s="7" t="n">
        <v>3</v>
      </c>
      <c r="J330" s="7" t="n">
        <v>0</v>
      </c>
      <c r="K330" s="7" t="n">
        <v>0</v>
      </c>
      <c r="L330" s="7" t="n">
        <v>0</v>
      </c>
      <c r="M330" s="7" t="n">
        <v>0</v>
      </c>
      <c r="N330" s="7" t="n">
        <v>0</v>
      </c>
      <c r="O330" s="7" t="n">
        <v>4</v>
      </c>
      <c r="P330" s="7" t="n">
        <v>8</v>
      </c>
      <c r="Q330" s="7" t="n">
        <v>0</v>
      </c>
      <c r="R330" s="7" t="n">
        <v>0</v>
      </c>
    </row>
    <row r="331" customFormat="false" ht="15" hidden="false" customHeight="true" outlineLevel="0" collapsed="false">
      <c r="A331" s="7" t="n">
        <v>4970</v>
      </c>
      <c r="B331" s="7" t="s">
        <v>45</v>
      </c>
      <c r="C331" s="7" t="s">
        <v>902</v>
      </c>
      <c r="D331" s="7" t="s">
        <v>498</v>
      </c>
      <c r="E331" s="7" t="s">
        <v>137</v>
      </c>
      <c r="F331" s="7" t="n">
        <v>19</v>
      </c>
      <c r="G331" s="7" t="n">
        <v>6.18</v>
      </c>
      <c r="H331" s="7" t="n">
        <v>6.68</v>
      </c>
      <c r="I331" s="7" t="n">
        <v>3</v>
      </c>
      <c r="J331" s="7" t="n">
        <v>0</v>
      </c>
      <c r="K331" s="7" t="n">
        <v>0</v>
      </c>
      <c r="L331" s="7" t="n">
        <v>1</v>
      </c>
      <c r="M331" s="7" t="n">
        <v>1</v>
      </c>
      <c r="N331" s="7" t="n">
        <v>0</v>
      </c>
      <c r="O331" s="7" t="n">
        <v>1</v>
      </c>
      <c r="P331" s="7" t="n">
        <v>1</v>
      </c>
      <c r="Q331" s="7" t="n">
        <v>0</v>
      </c>
      <c r="R331" s="7" t="n">
        <v>0</v>
      </c>
    </row>
    <row r="332" customFormat="false" ht="15" hidden="false" customHeight="true" outlineLevel="0" collapsed="false">
      <c r="A332" s="7" t="n">
        <v>6398</v>
      </c>
      <c r="B332" s="7" t="s">
        <v>45</v>
      </c>
      <c r="C332" s="7" t="s">
        <v>901</v>
      </c>
      <c r="D332" s="7" t="s">
        <v>405</v>
      </c>
      <c r="E332" s="7" t="s">
        <v>133</v>
      </c>
      <c r="F332" s="7" t="n">
        <v>27</v>
      </c>
      <c r="G332" s="7" t="n">
        <v>6.04</v>
      </c>
      <c r="H332" s="7" t="n">
        <v>6.63</v>
      </c>
      <c r="I332" s="7" t="n">
        <v>5</v>
      </c>
      <c r="J332" s="7" t="n">
        <v>0</v>
      </c>
      <c r="K332" s="7" t="n">
        <v>0</v>
      </c>
      <c r="L332" s="7" t="n">
        <v>0</v>
      </c>
      <c r="M332" s="7" t="n">
        <v>0</v>
      </c>
      <c r="N332" s="7" t="n">
        <v>0</v>
      </c>
      <c r="O332" s="7" t="n">
        <v>1</v>
      </c>
      <c r="P332" s="7" t="n">
        <v>0</v>
      </c>
      <c r="Q332" s="7" t="n">
        <v>0</v>
      </c>
      <c r="R332" s="7" t="n">
        <v>0</v>
      </c>
    </row>
    <row r="333" customFormat="false" ht="15" hidden="false" customHeight="true" outlineLevel="0" collapsed="false">
      <c r="A333" s="7" t="n">
        <v>4427</v>
      </c>
      <c r="B333" s="7" t="s">
        <v>45</v>
      </c>
      <c r="C333" s="7" t="s">
        <v>895</v>
      </c>
      <c r="D333" s="7" t="s">
        <v>903</v>
      </c>
      <c r="E333" s="7" t="s">
        <v>137</v>
      </c>
      <c r="F333" s="7" t="n">
        <v>34</v>
      </c>
      <c r="G333" s="7" t="n">
        <v>6.07</v>
      </c>
      <c r="H333" s="7" t="n">
        <v>6.54</v>
      </c>
      <c r="I333" s="7" t="n">
        <v>6</v>
      </c>
      <c r="J333" s="7" t="n">
        <v>0</v>
      </c>
      <c r="K333" s="7" t="n">
        <v>0</v>
      </c>
      <c r="L333" s="7" t="n">
        <v>3</v>
      </c>
      <c r="M333" s="7" t="n">
        <v>3</v>
      </c>
      <c r="N333" s="7" t="n">
        <v>0</v>
      </c>
      <c r="O333" s="7" t="n">
        <v>3</v>
      </c>
      <c r="P333" s="7" t="n">
        <v>10</v>
      </c>
      <c r="Q333" s="7" t="n">
        <v>0</v>
      </c>
      <c r="R333" s="7" t="n">
        <v>0</v>
      </c>
    </row>
    <row r="334" customFormat="false" ht="15" hidden="false" customHeight="true" outlineLevel="0" collapsed="false">
      <c r="A334" s="7" t="n">
        <v>4892</v>
      </c>
      <c r="B334" s="7" t="s">
        <v>45</v>
      </c>
      <c r="C334" s="7" t="s">
        <v>904</v>
      </c>
      <c r="D334" s="7" t="s">
        <v>395</v>
      </c>
      <c r="E334" s="7" t="s">
        <v>121</v>
      </c>
      <c r="F334" s="7" t="n">
        <v>35</v>
      </c>
      <c r="G334" s="7" t="n">
        <v>6.14</v>
      </c>
      <c r="H334" s="7" t="n">
        <v>6.41</v>
      </c>
      <c r="I334" s="7" t="n">
        <v>3</v>
      </c>
      <c r="J334" s="7" t="n">
        <v>0</v>
      </c>
      <c r="K334" s="7" t="n">
        <v>0</v>
      </c>
      <c r="L334" s="7" t="n">
        <v>0</v>
      </c>
      <c r="M334" s="7" t="n">
        <v>0</v>
      </c>
      <c r="N334" s="7" t="n">
        <v>0</v>
      </c>
      <c r="O334" s="7" t="n">
        <v>3</v>
      </c>
      <c r="P334" s="7" t="n">
        <v>5</v>
      </c>
      <c r="Q334" s="7" t="n">
        <v>0</v>
      </c>
      <c r="R334" s="7" t="n">
        <v>0</v>
      </c>
    </row>
    <row r="335" customFormat="false" ht="15" hidden="false" customHeight="true" outlineLevel="0" collapsed="false">
      <c r="A335" s="7" t="n">
        <v>4220</v>
      </c>
      <c r="B335" s="7" t="s">
        <v>45</v>
      </c>
      <c r="C335" s="7" t="s">
        <v>897</v>
      </c>
      <c r="D335" s="7" t="s">
        <v>391</v>
      </c>
      <c r="E335" s="7" t="s">
        <v>125</v>
      </c>
      <c r="F335" s="7" t="n">
        <v>18</v>
      </c>
      <c r="G335" s="7" t="n">
        <v>6.17</v>
      </c>
      <c r="H335" s="7" t="n">
        <v>6.86</v>
      </c>
      <c r="I335" s="7" t="n">
        <v>4</v>
      </c>
      <c r="J335" s="7" t="n">
        <v>0</v>
      </c>
      <c r="K335" s="7" t="n">
        <v>0</v>
      </c>
      <c r="L335" s="7" t="n">
        <v>0</v>
      </c>
      <c r="M335" s="7" t="n">
        <v>0</v>
      </c>
      <c r="N335" s="7" t="n">
        <v>0</v>
      </c>
      <c r="O335" s="7" t="n">
        <v>1</v>
      </c>
      <c r="P335" s="7" t="n">
        <v>1</v>
      </c>
      <c r="Q335" s="7" t="n">
        <v>0</v>
      </c>
      <c r="R335" s="7" t="n">
        <v>0</v>
      </c>
    </row>
    <row r="336" customFormat="false" ht="15" hidden="false" customHeight="true" outlineLevel="0" collapsed="false">
      <c r="A336" s="7" t="n">
        <v>6666</v>
      </c>
      <c r="B336" s="7" t="s">
        <v>45</v>
      </c>
      <c r="C336" s="7" t="s">
        <v>45</v>
      </c>
      <c r="D336" s="7" t="s">
        <v>425</v>
      </c>
      <c r="E336" s="7" t="s">
        <v>141</v>
      </c>
      <c r="F336" s="7" t="n">
        <v>32</v>
      </c>
      <c r="G336" s="7" t="n">
        <v>6.17</v>
      </c>
      <c r="H336" s="7" t="n">
        <v>6.48</v>
      </c>
      <c r="I336" s="7" t="n">
        <v>3</v>
      </c>
      <c r="J336" s="7" t="n">
        <v>0</v>
      </c>
      <c r="K336" s="7" t="n">
        <v>0</v>
      </c>
      <c r="L336" s="7" t="n">
        <v>0</v>
      </c>
      <c r="M336" s="7" t="n">
        <v>0</v>
      </c>
      <c r="N336" s="7" t="n">
        <v>0</v>
      </c>
      <c r="O336" s="7" t="n">
        <v>1</v>
      </c>
      <c r="P336" s="7" t="n">
        <v>0</v>
      </c>
      <c r="Q336" s="7" t="n">
        <v>0</v>
      </c>
      <c r="R336" s="7" t="n">
        <v>0</v>
      </c>
    </row>
    <row r="337" customFormat="false" ht="15" hidden="false" customHeight="true" outlineLevel="0" collapsed="false">
      <c r="A337" s="7" t="n">
        <v>5844</v>
      </c>
      <c r="B337" s="7" t="s">
        <v>45</v>
      </c>
      <c r="C337" s="7" t="s">
        <v>895</v>
      </c>
      <c r="D337" s="7" t="s">
        <v>398</v>
      </c>
      <c r="E337" s="7" t="s">
        <v>144</v>
      </c>
      <c r="F337" s="7" t="n">
        <v>31</v>
      </c>
      <c r="G337" s="7" t="n">
        <v>6.15</v>
      </c>
      <c r="H337" s="7" t="n">
        <v>6.48</v>
      </c>
      <c r="I337" s="7" t="n">
        <v>4</v>
      </c>
      <c r="J337" s="7" t="n">
        <v>0</v>
      </c>
      <c r="K337" s="7" t="n">
        <v>0</v>
      </c>
      <c r="L337" s="7" t="n">
        <v>0</v>
      </c>
      <c r="M337" s="7" t="n">
        <v>0</v>
      </c>
      <c r="N337" s="7" t="n">
        <v>0</v>
      </c>
      <c r="O337" s="7" t="n">
        <v>3</v>
      </c>
      <c r="P337" s="7" t="n">
        <v>9</v>
      </c>
      <c r="Q337" s="7" t="n">
        <v>0</v>
      </c>
      <c r="R337" s="7" t="n">
        <v>0</v>
      </c>
    </row>
    <row r="338" customFormat="false" ht="15" hidden="false" customHeight="true" outlineLevel="0" collapsed="false">
      <c r="A338" s="7" t="n">
        <v>6844</v>
      </c>
      <c r="B338" s="7" t="s">
        <v>45</v>
      </c>
      <c r="C338" s="7" t="s">
        <v>905</v>
      </c>
      <c r="D338" s="7" t="s">
        <v>389</v>
      </c>
      <c r="E338" s="7" t="s">
        <v>127</v>
      </c>
      <c r="F338" s="7" t="n">
        <v>28</v>
      </c>
      <c r="G338" s="7" t="n">
        <v>6.2</v>
      </c>
      <c r="H338" s="7" t="n">
        <v>6.59</v>
      </c>
      <c r="I338" s="7" t="n">
        <v>3</v>
      </c>
      <c r="J338" s="7" t="n">
        <v>0</v>
      </c>
      <c r="K338" s="7" t="n">
        <v>0</v>
      </c>
      <c r="L338" s="7" t="n">
        <v>0</v>
      </c>
      <c r="M338" s="7" t="n">
        <v>0</v>
      </c>
      <c r="N338" s="7" t="n">
        <v>0</v>
      </c>
      <c r="O338" s="7" t="n">
        <v>3</v>
      </c>
      <c r="P338" s="7" t="n">
        <v>2</v>
      </c>
      <c r="Q338" s="7" t="n">
        <v>0</v>
      </c>
      <c r="R338" s="7" t="n">
        <v>0</v>
      </c>
    </row>
    <row r="339" customFormat="false" ht="15" hidden="false" customHeight="true" outlineLevel="0" collapsed="false">
      <c r="A339" s="7" t="n">
        <v>5422</v>
      </c>
      <c r="B339" s="7" t="s">
        <v>45</v>
      </c>
      <c r="C339" s="7" t="s">
        <v>904</v>
      </c>
      <c r="D339" s="7" t="s">
        <v>429</v>
      </c>
      <c r="E339" s="7" t="s">
        <v>117</v>
      </c>
      <c r="F339" s="7" t="n">
        <v>31</v>
      </c>
      <c r="G339" s="7" t="n">
        <v>6.1</v>
      </c>
      <c r="H339" s="7" t="n">
        <v>6.4</v>
      </c>
      <c r="I339" s="7" t="n">
        <v>2</v>
      </c>
      <c r="J339" s="7" t="n">
        <v>0</v>
      </c>
      <c r="K339" s="7" t="n">
        <v>0</v>
      </c>
      <c r="L339" s="7" t="n">
        <v>0</v>
      </c>
      <c r="M339" s="7" t="n">
        <v>0</v>
      </c>
      <c r="N339" s="7" t="n">
        <v>0</v>
      </c>
      <c r="O339" s="7" t="n">
        <v>5</v>
      </c>
      <c r="P339" s="7" t="n">
        <v>3</v>
      </c>
      <c r="Q339" s="7" t="n">
        <v>0</v>
      </c>
      <c r="R339" s="7" t="n">
        <v>0</v>
      </c>
    </row>
    <row r="340" customFormat="false" ht="15" hidden="false" customHeight="true" outlineLevel="0" collapsed="false">
      <c r="A340" s="7" t="n">
        <v>2529</v>
      </c>
      <c r="B340" s="7" t="s">
        <v>45</v>
      </c>
      <c r="C340" s="7" t="s">
        <v>895</v>
      </c>
      <c r="D340" s="7" t="s">
        <v>454</v>
      </c>
      <c r="E340" s="7" t="s">
        <v>115</v>
      </c>
      <c r="F340" s="7" t="n">
        <v>28</v>
      </c>
      <c r="G340" s="7" t="n">
        <v>6.21</v>
      </c>
      <c r="H340" s="7" t="n">
        <v>6.59</v>
      </c>
      <c r="I340" s="7" t="n">
        <v>4</v>
      </c>
      <c r="J340" s="7" t="n">
        <v>0</v>
      </c>
      <c r="K340" s="7" t="n">
        <v>0</v>
      </c>
      <c r="L340" s="7" t="n">
        <v>0</v>
      </c>
      <c r="M340" s="7" t="n">
        <v>0</v>
      </c>
      <c r="N340" s="7" t="n">
        <v>0</v>
      </c>
      <c r="O340" s="7" t="n">
        <v>1</v>
      </c>
      <c r="P340" s="7" t="n">
        <v>5</v>
      </c>
      <c r="Q340" s="7" t="n">
        <v>0</v>
      </c>
      <c r="R340" s="7" t="n">
        <v>0</v>
      </c>
    </row>
    <row r="341" customFormat="false" ht="15" hidden="false" customHeight="true" outlineLevel="0" collapsed="false">
      <c r="A341" s="7" t="n">
        <v>5562</v>
      </c>
      <c r="B341" s="7" t="s">
        <v>45</v>
      </c>
      <c r="C341" s="7" t="s">
        <v>897</v>
      </c>
      <c r="D341" s="7" t="s">
        <v>394</v>
      </c>
      <c r="E341" s="7" t="s">
        <v>131</v>
      </c>
      <c r="F341" s="7" t="n">
        <v>34</v>
      </c>
      <c r="G341" s="7" t="n">
        <v>6.1</v>
      </c>
      <c r="H341" s="7" t="n">
        <v>6.4</v>
      </c>
      <c r="I341" s="7" t="n">
        <v>3</v>
      </c>
      <c r="J341" s="7" t="n">
        <v>0</v>
      </c>
      <c r="K341" s="7" t="n">
        <v>0</v>
      </c>
      <c r="L341" s="7" t="n">
        <v>0</v>
      </c>
      <c r="M341" s="7" t="n">
        <v>0</v>
      </c>
      <c r="N341" s="7" t="n">
        <v>0</v>
      </c>
      <c r="O341" s="7" t="n">
        <v>2</v>
      </c>
      <c r="P341" s="7" t="n">
        <v>2</v>
      </c>
      <c r="Q341" s="7" t="n">
        <v>0</v>
      </c>
      <c r="R341" s="7" t="n">
        <v>0</v>
      </c>
    </row>
    <row r="342" customFormat="false" ht="15" hidden="false" customHeight="true" outlineLevel="0" collapsed="false">
      <c r="A342" s="7" t="n">
        <v>6190</v>
      </c>
      <c r="B342" s="7" t="s">
        <v>45</v>
      </c>
      <c r="C342" s="7" t="s">
        <v>45</v>
      </c>
      <c r="D342" s="7" t="s">
        <v>462</v>
      </c>
      <c r="E342" s="7" t="s">
        <v>113</v>
      </c>
      <c r="F342" s="7" t="n">
        <v>22</v>
      </c>
      <c r="G342" s="7" t="n">
        <v>6.09</v>
      </c>
      <c r="H342" s="7" t="n">
        <v>6.48</v>
      </c>
      <c r="I342" s="7" t="n">
        <v>2</v>
      </c>
      <c r="J342" s="7" t="n">
        <v>0</v>
      </c>
      <c r="K342" s="7" t="n">
        <v>0</v>
      </c>
      <c r="L342" s="7" t="n">
        <v>0</v>
      </c>
      <c r="M342" s="7" t="n">
        <v>0</v>
      </c>
      <c r="N342" s="7" t="n">
        <v>0</v>
      </c>
      <c r="O342" s="7" t="n">
        <v>4</v>
      </c>
      <c r="P342" s="7" t="n">
        <v>3</v>
      </c>
      <c r="Q342" s="7" t="n">
        <v>0</v>
      </c>
      <c r="R342" s="7" t="n">
        <v>0</v>
      </c>
    </row>
    <row r="343" customFormat="false" ht="15" hidden="false" customHeight="true" outlineLevel="0" collapsed="false">
      <c r="A343" s="7" t="n">
        <v>6684</v>
      </c>
      <c r="B343" s="7" t="s">
        <v>45</v>
      </c>
      <c r="C343" s="7" t="s">
        <v>895</v>
      </c>
      <c r="D343" s="7" t="s">
        <v>400</v>
      </c>
      <c r="E343" s="7" t="s">
        <v>135</v>
      </c>
      <c r="F343" s="7" t="n">
        <v>31</v>
      </c>
      <c r="G343" s="7" t="n">
        <v>6.05</v>
      </c>
      <c r="H343" s="7" t="n">
        <v>6.61</v>
      </c>
      <c r="I343" s="7" t="n">
        <v>5</v>
      </c>
      <c r="J343" s="7" t="n">
        <v>0</v>
      </c>
      <c r="K343" s="7" t="n">
        <v>0</v>
      </c>
      <c r="L343" s="7" t="n">
        <v>0</v>
      </c>
      <c r="M343" s="7" t="n">
        <v>0</v>
      </c>
      <c r="N343" s="7" t="n">
        <v>0</v>
      </c>
      <c r="O343" s="7" t="n">
        <v>3</v>
      </c>
      <c r="P343" s="7" t="n">
        <v>1</v>
      </c>
      <c r="Q343" s="7" t="n">
        <v>0</v>
      </c>
      <c r="R343" s="7" t="n">
        <v>0</v>
      </c>
    </row>
    <row r="344" customFormat="false" ht="15" hidden="false" customHeight="true" outlineLevel="0" collapsed="false">
      <c r="A344" s="7" t="n">
        <v>7314</v>
      </c>
      <c r="B344" s="7" t="s">
        <v>45</v>
      </c>
      <c r="C344" s="7" t="s">
        <v>895</v>
      </c>
      <c r="D344" s="7" t="s">
        <v>382</v>
      </c>
      <c r="E344" s="7" t="s">
        <v>133</v>
      </c>
      <c r="F344" s="7" t="n">
        <v>17</v>
      </c>
      <c r="G344" s="7" t="n">
        <v>6.06</v>
      </c>
      <c r="H344" s="7" t="n">
        <v>6.56</v>
      </c>
      <c r="I344" s="7" t="n">
        <v>3</v>
      </c>
      <c r="J344" s="7" t="n">
        <v>0</v>
      </c>
      <c r="K344" s="7" t="n">
        <v>0</v>
      </c>
      <c r="L344" s="7" t="n">
        <v>0</v>
      </c>
      <c r="M344" s="7" t="n">
        <v>0</v>
      </c>
      <c r="N344" s="7" t="n">
        <v>0</v>
      </c>
      <c r="O344" s="7" t="n">
        <v>2</v>
      </c>
      <c r="P344" s="7" t="n">
        <v>5</v>
      </c>
      <c r="Q344" s="7" t="n">
        <v>0</v>
      </c>
      <c r="R344" s="7" t="n">
        <v>0</v>
      </c>
    </row>
    <row r="345" customFormat="false" ht="15" hidden="false" customHeight="true" outlineLevel="0" collapsed="false">
      <c r="A345" s="7" t="n">
        <v>5792</v>
      </c>
      <c r="B345" s="7" t="s">
        <v>45</v>
      </c>
      <c r="C345" s="7" t="s">
        <v>897</v>
      </c>
      <c r="D345" s="7" t="s">
        <v>383</v>
      </c>
      <c r="E345" s="7" t="s">
        <v>117</v>
      </c>
      <c r="F345" s="7" t="n">
        <v>30</v>
      </c>
      <c r="G345" s="7" t="n">
        <v>6.25</v>
      </c>
      <c r="H345" s="7" t="n">
        <v>6.43</v>
      </c>
      <c r="I345" s="7" t="n">
        <v>2</v>
      </c>
      <c r="J345" s="7" t="n">
        <v>0</v>
      </c>
      <c r="K345" s="7" t="n">
        <v>0</v>
      </c>
      <c r="L345" s="7" t="n">
        <v>1</v>
      </c>
      <c r="M345" s="7" t="n">
        <v>1</v>
      </c>
      <c r="N345" s="7" t="n">
        <v>0</v>
      </c>
      <c r="O345" s="7" t="n">
        <v>1</v>
      </c>
      <c r="P345" s="7" t="n">
        <v>3</v>
      </c>
      <c r="Q345" s="7" t="n">
        <v>0</v>
      </c>
      <c r="R345" s="7" t="n">
        <v>0</v>
      </c>
    </row>
    <row r="346" customFormat="false" ht="15" hidden="false" customHeight="true" outlineLevel="0" collapsed="false">
      <c r="A346" s="7" t="n">
        <v>184</v>
      </c>
      <c r="B346" s="7" t="s">
        <v>45</v>
      </c>
      <c r="C346" s="7" t="s">
        <v>901</v>
      </c>
      <c r="D346" s="7" t="s">
        <v>402</v>
      </c>
      <c r="E346" s="7" t="s">
        <v>127</v>
      </c>
      <c r="F346" s="7" t="n">
        <v>24</v>
      </c>
      <c r="G346" s="7" t="n">
        <v>6.04</v>
      </c>
      <c r="H346" s="7" t="n">
        <v>6.56</v>
      </c>
      <c r="I346" s="7" t="n">
        <v>4</v>
      </c>
      <c r="J346" s="7" t="n">
        <v>0</v>
      </c>
      <c r="K346" s="7" t="n">
        <v>0</v>
      </c>
      <c r="L346" s="7" t="n">
        <v>1</v>
      </c>
      <c r="M346" s="7" t="n">
        <v>1</v>
      </c>
      <c r="N346" s="7" t="n">
        <v>0</v>
      </c>
      <c r="O346" s="7" t="n">
        <v>2</v>
      </c>
      <c r="P346" s="7" t="n">
        <v>3</v>
      </c>
      <c r="Q346" s="7" t="n">
        <v>0</v>
      </c>
      <c r="R346" s="7" t="n">
        <v>0</v>
      </c>
    </row>
    <row r="347" customFormat="false" ht="15" hidden="false" customHeight="true" outlineLevel="0" collapsed="false">
      <c r="A347" s="7" t="n">
        <v>2765</v>
      </c>
      <c r="B347" s="7" t="s">
        <v>45</v>
      </c>
      <c r="C347" s="7" t="s">
        <v>894</v>
      </c>
      <c r="D347" s="7" t="s">
        <v>407</v>
      </c>
      <c r="E347" s="7" t="s">
        <v>127</v>
      </c>
      <c r="F347" s="7" t="n">
        <v>22</v>
      </c>
      <c r="G347" s="7" t="n">
        <v>5.91</v>
      </c>
      <c r="H347" s="7" t="n">
        <v>6.61</v>
      </c>
      <c r="I347" s="7" t="n">
        <v>5</v>
      </c>
      <c r="J347" s="7" t="n">
        <v>0</v>
      </c>
      <c r="K347" s="7" t="n">
        <v>0</v>
      </c>
      <c r="L347" s="7" t="n">
        <v>0</v>
      </c>
      <c r="M347" s="7" t="n">
        <v>0</v>
      </c>
      <c r="N347" s="7" t="n">
        <v>0</v>
      </c>
      <c r="O347" s="7" t="n">
        <v>1</v>
      </c>
      <c r="P347" s="7" t="n">
        <v>1</v>
      </c>
      <c r="Q347" s="7" t="n">
        <v>0</v>
      </c>
      <c r="R347" s="7" t="n">
        <v>0</v>
      </c>
    </row>
    <row r="348" customFormat="false" ht="15" hidden="false" customHeight="true" outlineLevel="0" collapsed="false">
      <c r="A348" s="7" t="n">
        <v>4364</v>
      </c>
      <c r="B348" s="7" t="s">
        <v>45</v>
      </c>
      <c r="C348" s="7" t="s">
        <v>896</v>
      </c>
      <c r="D348" s="7" t="s">
        <v>417</v>
      </c>
      <c r="E348" s="7" t="s">
        <v>129</v>
      </c>
      <c r="F348" s="7" t="n">
        <v>32</v>
      </c>
      <c r="G348" s="7" t="n">
        <v>6.06</v>
      </c>
      <c r="H348" s="7" t="n">
        <v>6.31</v>
      </c>
      <c r="I348" s="7" t="n">
        <v>2</v>
      </c>
      <c r="J348" s="7" t="n">
        <v>0</v>
      </c>
      <c r="K348" s="7" t="n">
        <v>0</v>
      </c>
      <c r="L348" s="7" t="n">
        <v>0</v>
      </c>
      <c r="M348" s="7" t="n">
        <v>0</v>
      </c>
      <c r="N348" s="7" t="n">
        <v>0</v>
      </c>
      <c r="O348" s="7" t="n">
        <v>4</v>
      </c>
      <c r="P348" s="7" t="n">
        <v>4</v>
      </c>
      <c r="Q348" s="7" t="n">
        <v>0</v>
      </c>
      <c r="R348" s="7" t="n">
        <v>0</v>
      </c>
    </row>
    <row r="349" customFormat="false" ht="15" hidden="false" customHeight="true" outlineLevel="0" collapsed="false">
      <c r="A349" s="7" t="n">
        <v>5036</v>
      </c>
      <c r="B349" s="7" t="s">
        <v>45</v>
      </c>
      <c r="C349" s="7" t="s">
        <v>895</v>
      </c>
      <c r="D349" s="7" t="s">
        <v>433</v>
      </c>
      <c r="E349" s="7" t="s">
        <v>119</v>
      </c>
      <c r="F349" s="7" t="n">
        <v>28</v>
      </c>
      <c r="G349" s="7" t="n">
        <v>6.11</v>
      </c>
      <c r="H349" s="7" t="n">
        <v>6.41</v>
      </c>
      <c r="I349" s="7" t="n">
        <v>2</v>
      </c>
      <c r="J349" s="7" t="n">
        <v>0</v>
      </c>
      <c r="K349" s="7" t="n">
        <v>0</v>
      </c>
      <c r="L349" s="7" t="n">
        <v>0</v>
      </c>
      <c r="M349" s="7" t="n">
        <v>0</v>
      </c>
      <c r="N349" s="7" t="n">
        <v>0</v>
      </c>
      <c r="O349" s="7" t="n">
        <v>4</v>
      </c>
      <c r="P349" s="7" t="n">
        <v>3</v>
      </c>
      <c r="Q349" s="7" t="n">
        <v>0</v>
      </c>
      <c r="R349" s="7" t="n">
        <v>0</v>
      </c>
    </row>
    <row r="350" customFormat="false" ht="15" hidden="false" customHeight="true" outlineLevel="0" collapsed="false">
      <c r="A350" s="7" t="n">
        <v>4486</v>
      </c>
      <c r="B350" s="7" t="s">
        <v>45</v>
      </c>
      <c r="C350" s="7" t="s">
        <v>901</v>
      </c>
      <c r="D350" s="7" t="s">
        <v>906</v>
      </c>
      <c r="E350" s="7" t="s">
        <v>141</v>
      </c>
      <c r="F350" s="7" t="n">
        <v>14</v>
      </c>
      <c r="G350" s="7" t="n">
        <v>6.21</v>
      </c>
      <c r="H350" s="7" t="n">
        <v>6.68</v>
      </c>
      <c r="I350" s="7" t="n">
        <v>2</v>
      </c>
      <c r="J350" s="7" t="n">
        <v>0</v>
      </c>
      <c r="K350" s="7" t="n">
        <v>0</v>
      </c>
      <c r="L350" s="7" t="n">
        <v>0</v>
      </c>
      <c r="M350" s="7" t="n">
        <v>0</v>
      </c>
      <c r="N350" s="7" t="n">
        <v>0</v>
      </c>
      <c r="O350" s="7" t="n">
        <v>2</v>
      </c>
      <c r="P350" s="7" t="n">
        <v>3</v>
      </c>
      <c r="Q350" s="7" t="n">
        <v>0</v>
      </c>
      <c r="R350" s="7" t="n">
        <v>0</v>
      </c>
    </row>
    <row r="351" customFormat="false" ht="15" hidden="false" customHeight="true" outlineLevel="0" collapsed="false">
      <c r="A351" s="7" t="n">
        <v>449</v>
      </c>
      <c r="B351" s="7" t="s">
        <v>45</v>
      </c>
      <c r="C351" s="7" t="s">
        <v>894</v>
      </c>
      <c r="D351" s="7" t="s">
        <v>907</v>
      </c>
      <c r="E351" s="7" t="s">
        <v>750</v>
      </c>
      <c r="F351" s="7" t="n">
        <v>13</v>
      </c>
      <c r="G351" s="7" t="n">
        <v>6.15</v>
      </c>
      <c r="H351" s="7" t="n">
        <v>6.54</v>
      </c>
      <c r="I351" s="7" t="n">
        <v>1</v>
      </c>
      <c r="J351" s="7" t="n">
        <v>0</v>
      </c>
      <c r="K351" s="7" t="n">
        <v>0</v>
      </c>
      <c r="L351" s="7" t="n">
        <v>0</v>
      </c>
      <c r="M351" s="7" t="n">
        <v>0</v>
      </c>
      <c r="N351" s="7" t="n">
        <v>0</v>
      </c>
      <c r="O351" s="7" t="n">
        <v>2</v>
      </c>
      <c r="P351" s="7" t="n">
        <v>1</v>
      </c>
      <c r="Q351" s="7" t="n">
        <v>0</v>
      </c>
      <c r="R351" s="7" t="n">
        <v>0</v>
      </c>
    </row>
    <row r="352" customFormat="false" ht="15" hidden="false" customHeight="true" outlineLevel="0" collapsed="false">
      <c r="A352" s="7" t="n">
        <v>5800</v>
      </c>
      <c r="B352" s="7" t="s">
        <v>45</v>
      </c>
      <c r="C352" s="7" t="s">
        <v>894</v>
      </c>
      <c r="D352" s="7" t="s">
        <v>381</v>
      </c>
      <c r="E352" s="7" t="s">
        <v>123</v>
      </c>
      <c r="F352" s="7" t="n">
        <v>32</v>
      </c>
      <c r="G352" s="7" t="n">
        <v>5.88</v>
      </c>
      <c r="H352" s="7" t="n">
        <v>6.34</v>
      </c>
      <c r="I352" s="7" t="n">
        <v>5</v>
      </c>
      <c r="J352" s="7" t="n">
        <v>0</v>
      </c>
      <c r="K352" s="7" t="n">
        <v>0</v>
      </c>
      <c r="L352" s="7" t="n">
        <v>3</v>
      </c>
      <c r="M352" s="7" t="n">
        <v>3</v>
      </c>
      <c r="N352" s="7" t="n">
        <v>0</v>
      </c>
      <c r="O352" s="7" t="n">
        <v>3</v>
      </c>
      <c r="P352" s="7" t="n">
        <v>4</v>
      </c>
      <c r="Q352" s="7" t="n">
        <v>1</v>
      </c>
      <c r="R352" s="7" t="n">
        <v>0</v>
      </c>
    </row>
    <row r="353" customFormat="false" ht="15" hidden="false" customHeight="true" outlineLevel="0" collapsed="false">
      <c r="A353" s="7" t="n">
        <v>4186</v>
      </c>
      <c r="B353" s="7" t="s">
        <v>45</v>
      </c>
      <c r="C353" s="7" t="s">
        <v>45</v>
      </c>
      <c r="D353" s="7" t="s">
        <v>908</v>
      </c>
      <c r="E353" s="7" t="s">
        <v>133</v>
      </c>
      <c r="F353" s="7" t="n">
        <v>16</v>
      </c>
      <c r="G353" s="7" t="n">
        <v>6.16</v>
      </c>
      <c r="H353" s="7" t="n">
        <v>6.31</v>
      </c>
      <c r="I353" s="7" t="n">
        <v>2</v>
      </c>
      <c r="J353" s="7" t="n">
        <v>0</v>
      </c>
      <c r="K353" s="7" t="n">
        <v>0</v>
      </c>
      <c r="L353" s="7" t="n">
        <v>0</v>
      </c>
      <c r="M353" s="7" t="n">
        <v>0</v>
      </c>
      <c r="N353" s="7" t="n">
        <v>0</v>
      </c>
      <c r="O353" s="7" t="n">
        <v>0</v>
      </c>
      <c r="P353" s="7" t="n">
        <v>5</v>
      </c>
      <c r="Q353" s="7" t="n">
        <v>1</v>
      </c>
      <c r="R353" s="7" t="n">
        <v>0</v>
      </c>
    </row>
    <row r="354" customFormat="false" ht="15" hidden="false" customHeight="true" outlineLevel="0" collapsed="false">
      <c r="A354" s="7" t="n">
        <v>632</v>
      </c>
      <c r="B354" s="7" t="s">
        <v>45</v>
      </c>
      <c r="C354" s="7" t="s">
        <v>901</v>
      </c>
      <c r="D354" s="7" t="s">
        <v>378</v>
      </c>
      <c r="E354" s="7" t="s">
        <v>133</v>
      </c>
      <c r="F354" s="7" t="n">
        <v>26</v>
      </c>
      <c r="G354" s="7" t="n">
        <v>5.88</v>
      </c>
      <c r="H354" s="7" t="n">
        <v>5.96</v>
      </c>
      <c r="I354" s="7" t="n">
        <v>3</v>
      </c>
      <c r="J354" s="7" t="n">
        <v>0</v>
      </c>
      <c r="K354" s="7" t="n">
        <v>0</v>
      </c>
      <c r="L354" s="7" t="n">
        <v>1</v>
      </c>
      <c r="M354" s="7" t="n">
        <v>0</v>
      </c>
      <c r="N354" s="7" t="n">
        <v>1</v>
      </c>
      <c r="O354" s="7" t="n">
        <v>0</v>
      </c>
      <c r="P354" s="7" t="n">
        <v>6</v>
      </c>
      <c r="Q354" s="7" t="n">
        <v>1</v>
      </c>
      <c r="R354" s="7" t="n">
        <v>0</v>
      </c>
    </row>
    <row r="355" customFormat="false" ht="15" hidden="false" customHeight="true" outlineLevel="0" collapsed="false">
      <c r="A355" s="7" t="n">
        <v>5504</v>
      </c>
      <c r="B355" s="7" t="s">
        <v>45</v>
      </c>
      <c r="C355" s="7" t="s">
        <v>897</v>
      </c>
      <c r="D355" s="7" t="s">
        <v>439</v>
      </c>
      <c r="E355" s="7" t="s">
        <v>139</v>
      </c>
      <c r="F355" s="7" t="n">
        <v>33</v>
      </c>
      <c r="G355" s="7" t="n">
        <v>6.05</v>
      </c>
      <c r="H355" s="7" t="n">
        <v>6.29</v>
      </c>
      <c r="I355" s="7" t="n">
        <v>3</v>
      </c>
      <c r="J355" s="7" t="n">
        <v>0</v>
      </c>
      <c r="K355" s="7" t="n">
        <v>0</v>
      </c>
      <c r="L355" s="7" t="n">
        <v>0</v>
      </c>
      <c r="M355" s="7" t="n">
        <v>0</v>
      </c>
      <c r="N355" s="7" t="n">
        <v>0</v>
      </c>
      <c r="O355" s="7" t="n">
        <v>1</v>
      </c>
      <c r="P355" s="7" t="n">
        <v>4</v>
      </c>
      <c r="Q355" s="7" t="n">
        <v>0</v>
      </c>
      <c r="R355" s="7" t="n">
        <v>0</v>
      </c>
    </row>
    <row r="356" customFormat="false" ht="15" hidden="false" customHeight="true" outlineLevel="0" collapsed="false">
      <c r="A356" s="7" t="n">
        <v>536</v>
      </c>
      <c r="B356" s="7" t="s">
        <v>45</v>
      </c>
      <c r="C356" s="7" t="s">
        <v>899</v>
      </c>
      <c r="D356" s="7" t="s">
        <v>396</v>
      </c>
      <c r="E356" s="7" t="s">
        <v>125</v>
      </c>
      <c r="F356" s="7" t="n">
        <v>33</v>
      </c>
      <c r="G356" s="7" t="n">
        <v>6.09</v>
      </c>
      <c r="H356" s="7" t="n">
        <v>6.36</v>
      </c>
      <c r="I356" s="7" t="n">
        <v>2</v>
      </c>
      <c r="J356" s="7" t="n">
        <v>0</v>
      </c>
      <c r="K356" s="7" t="n">
        <v>0</v>
      </c>
      <c r="L356" s="7" t="n">
        <v>0</v>
      </c>
      <c r="M356" s="7" t="n">
        <v>0</v>
      </c>
      <c r="N356" s="7" t="n">
        <v>0</v>
      </c>
      <c r="O356" s="7" t="n">
        <v>5</v>
      </c>
      <c r="P356" s="7" t="n">
        <v>4</v>
      </c>
      <c r="Q356" s="7" t="n">
        <v>0</v>
      </c>
      <c r="R356" s="7" t="n">
        <v>0</v>
      </c>
    </row>
    <row r="357" customFormat="false" ht="15" hidden="false" customHeight="true" outlineLevel="0" collapsed="false">
      <c r="A357" s="7" t="n">
        <v>779</v>
      </c>
      <c r="B357" s="7" t="s">
        <v>45</v>
      </c>
      <c r="C357" s="7" t="s">
        <v>897</v>
      </c>
      <c r="D357" s="7" t="s">
        <v>416</v>
      </c>
      <c r="E357" s="7" t="s">
        <v>113</v>
      </c>
      <c r="F357" s="7" t="n">
        <v>37</v>
      </c>
      <c r="G357" s="7" t="n">
        <v>6.11</v>
      </c>
      <c r="H357" s="7" t="n">
        <v>6.22</v>
      </c>
      <c r="I357" s="7" t="n">
        <v>2</v>
      </c>
      <c r="J357" s="7" t="n">
        <v>0</v>
      </c>
      <c r="K357" s="7" t="n">
        <v>0</v>
      </c>
      <c r="L357" s="7" t="n">
        <v>0</v>
      </c>
      <c r="M357" s="7" t="n">
        <v>0</v>
      </c>
      <c r="N357" s="7" t="n">
        <v>0</v>
      </c>
      <c r="O357" s="7" t="n">
        <v>1</v>
      </c>
      <c r="P357" s="7" t="n">
        <v>6</v>
      </c>
      <c r="Q357" s="7" t="n">
        <v>0</v>
      </c>
      <c r="R357" s="7" t="n">
        <v>0</v>
      </c>
    </row>
    <row r="358" customFormat="false" ht="15" hidden="false" customHeight="true" outlineLevel="0" collapsed="false">
      <c r="A358" s="7" t="n">
        <v>5589</v>
      </c>
      <c r="B358" s="7" t="s">
        <v>45</v>
      </c>
      <c r="C358" s="7" t="s">
        <v>897</v>
      </c>
      <c r="D358" s="7" t="s">
        <v>397</v>
      </c>
      <c r="E358" s="7" t="s">
        <v>113</v>
      </c>
      <c r="F358" s="7" t="n">
        <v>29</v>
      </c>
      <c r="G358" s="7" t="n">
        <v>6.26</v>
      </c>
      <c r="H358" s="7" t="n">
        <v>6.53</v>
      </c>
      <c r="I358" s="7" t="n">
        <v>2</v>
      </c>
      <c r="J358" s="7" t="n">
        <v>0</v>
      </c>
      <c r="K358" s="7" t="n">
        <v>0</v>
      </c>
      <c r="L358" s="7" t="n">
        <v>0</v>
      </c>
      <c r="M358" s="7" t="n">
        <v>0</v>
      </c>
      <c r="N358" s="7" t="n">
        <v>0</v>
      </c>
      <c r="O358" s="7" t="n">
        <v>3</v>
      </c>
      <c r="P358" s="7" t="n">
        <v>2</v>
      </c>
      <c r="Q358" s="7" t="n">
        <v>0</v>
      </c>
      <c r="R358" s="7" t="n">
        <v>0</v>
      </c>
    </row>
    <row r="359" customFormat="false" ht="15" hidden="false" customHeight="true" outlineLevel="0" collapsed="false">
      <c r="A359" s="7" t="n">
        <v>530</v>
      </c>
      <c r="B359" s="7" t="s">
        <v>45</v>
      </c>
      <c r="C359" s="7" t="s">
        <v>895</v>
      </c>
      <c r="D359" s="7" t="s">
        <v>909</v>
      </c>
      <c r="E359" s="7" t="s">
        <v>113</v>
      </c>
      <c r="F359" s="7" t="n">
        <v>24</v>
      </c>
      <c r="G359" s="7" t="n">
        <v>6.04</v>
      </c>
      <c r="H359" s="7" t="n">
        <v>6.58</v>
      </c>
      <c r="I359" s="7" t="n">
        <v>4</v>
      </c>
      <c r="J359" s="7" t="n">
        <v>0</v>
      </c>
      <c r="K359" s="7" t="n">
        <v>0</v>
      </c>
      <c r="L359" s="7" t="n">
        <v>2</v>
      </c>
      <c r="M359" s="7" t="n">
        <v>2</v>
      </c>
      <c r="N359" s="7" t="n">
        <v>0</v>
      </c>
      <c r="O359" s="7" t="n">
        <v>2</v>
      </c>
      <c r="P359" s="7" t="n">
        <v>2</v>
      </c>
      <c r="Q359" s="7" t="n">
        <v>0</v>
      </c>
      <c r="R359" s="7" t="n">
        <v>0</v>
      </c>
    </row>
    <row r="360" customFormat="false" ht="15" hidden="false" customHeight="true" outlineLevel="0" collapsed="false">
      <c r="A360" s="7" t="n">
        <v>5735</v>
      </c>
      <c r="B360" s="7" t="s">
        <v>45</v>
      </c>
      <c r="C360" s="7" t="s">
        <v>905</v>
      </c>
      <c r="D360" s="7" t="s">
        <v>426</v>
      </c>
      <c r="E360" s="7" t="s">
        <v>144</v>
      </c>
      <c r="F360" s="7" t="n">
        <v>21</v>
      </c>
      <c r="G360" s="7" t="n">
        <v>6.14</v>
      </c>
      <c r="H360" s="7" t="n">
        <v>6.52</v>
      </c>
      <c r="I360" s="7" t="n">
        <v>2</v>
      </c>
      <c r="J360" s="7" t="n">
        <v>0</v>
      </c>
      <c r="K360" s="7" t="n">
        <v>0</v>
      </c>
      <c r="L360" s="7" t="n">
        <v>0</v>
      </c>
      <c r="M360" s="7" t="n">
        <v>0</v>
      </c>
      <c r="N360" s="7" t="n">
        <v>0</v>
      </c>
      <c r="O360" s="7" t="n">
        <v>4</v>
      </c>
      <c r="P360" s="7" t="n">
        <v>4</v>
      </c>
      <c r="Q360" s="7" t="n">
        <v>0</v>
      </c>
      <c r="R360" s="7" t="n">
        <v>0</v>
      </c>
    </row>
    <row r="361" customFormat="false" ht="15" hidden="false" customHeight="true" outlineLevel="0" collapsed="false">
      <c r="A361" s="7" t="n">
        <v>5888</v>
      </c>
      <c r="B361" s="7" t="s">
        <v>45</v>
      </c>
      <c r="C361" s="7" t="s">
        <v>895</v>
      </c>
      <c r="D361" s="7" t="s">
        <v>399</v>
      </c>
      <c r="E361" s="7" t="s">
        <v>184</v>
      </c>
      <c r="F361" s="7" t="n">
        <v>32</v>
      </c>
      <c r="G361" s="7" t="n">
        <v>5.97</v>
      </c>
      <c r="H361" s="7" t="n">
        <v>6.45</v>
      </c>
      <c r="I361" s="7" t="n">
        <v>6</v>
      </c>
      <c r="J361" s="7" t="n">
        <v>0</v>
      </c>
      <c r="K361" s="7" t="n">
        <v>0</v>
      </c>
      <c r="L361" s="7" t="n">
        <v>0</v>
      </c>
      <c r="M361" s="7" t="n">
        <v>0</v>
      </c>
      <c r="N361" s="7" t="n">
        <v>0</v>
      </c>
      <c r="O361" s="7" t="n">
        <v>0</v>
      </c>
      <c r="P361" s="7" t="n">
        <v>5</v>
      </c>
      <c r="Q361" s="7" t="n">
        <v>0</v>
      </c>
      <c r="R361" s="7" t="n">
        <v>0</v>
      </c>
    </row>
    <row r="362" customFormat="false" ht="15" hidden="false" customHeight="true" outlineLevel="0" collapsed="false">
      <c r="A362" s="7" t="n">
        <v>2077</v>
      </c>
      <c r="B362" s="7" t="s">
        <v>45</v>
      </c>
      <c r="C362" s="7" t="s">
        <v>895</v>
      </c>
      <c r="D362" s="7" t="s">
        <v>401</v>
      </c>
      <c r="E362" s="7" t="s">
        <v>117</v>
      </c>
      <c r="F362" s="7" t="n">
        <v>31</v>
      </c>
      <c r="G362" s="7" t="n">
        <v>5.94</v>
      </c>
      <c r="H362" s="7" t="n">
        <v>6.27</v>
      </c>
      <c r="I362" s="7" t="n">
        <v>3</v>
      </c>
      <c r="J362" s="7" t="n">
        <v>0</v>
      </c>
      <c r="K362" s="7" t="n">
        <v>0</v>
      </c>
      <c r="L362" s="7" t="n">
        <v>0</v>
      </c>
      <c r="M362" s="7" t="n">
        <v>0</v>
      </c>
      <c r="N362" s="7" t="n">
        <v>0</v>
      </c>
      <c r="O362" s="7" t="n">
        <v>3</v>
      </c>
      <c r="P362" s="7" t="n">
        <v>3</v>
      </c>
      <c r="Q362" s="7" t="n">
        <v>0</v>
      </c>
      <c r="R362" s="7" t="n">
        <v>0</v>
      </c>
    </row>
    <row r="363" customFormat="false" ht="15" hidden="false" customHeight="true" outlineLevel="0" collapsed="false">
      <c r="A363" s="7" t="n">
        <v>4404</v>
      </c>
      <c r="B363" s="7" t="s">
        <v>45</v>
      </c>
      <c r="C363" s="7" t="s">
        <v>895</v>
      </c>
      <c r="D363" s="7" t="s">
        <v>910</v>
      </c>
      <c r="E363" s="7" t="s">
        <v>750</v>
      </c>
      <c r="F363" s="7" t="n">
        <v>21</v>
      </c>
      <c r="G363" s="7" t="n">
        <v>6.1</v>
      </c>
      <c r="H363" s="7" t="n">
        <v>6.48</v>
      </c>
      <c r="I363" s="7" t="n">
        <v>3</v>
      </c>
      <c r="J363" s="7" t="n">
        <v>0</v>
      </c>
      <c r="K363" s="7" t="n">
        <v>0</v>
      </c>
      <c r="L363" s="7" t="n">
        <v>0</v>
      </c>
      <c r="M363" s="7" t="n">
        <v>0</v>
      </c>
      <c r="N363" s="7" t="n">
        <v>0</v>
      </c>
      <c r="O363" s="7" t="n">
        <v>1</v>
      </c>
      <c r="P363" s="7" t="n">
        <v>4</v>
      </c>
      <c r="Q363" s="7" t="n">
        <v>0</v>
      </c>
      <c r="R363" s="7" t="n">
        <v>0</v>
      </c>
    </row>
    <row r="364" customFormat="false" ht="15" hidden="false" customHeight="true" outlineLevel="0" collapsed="false">
      <c r="A364" s="7" t="n">
        <v>827</v>
      </c>
      <c r="B364" s="7" t="s">
        <v>45</v>
      </c>
      <c r="C364" s="7" t="s">
        <v>897</v>
      </c>
      <c r="D364" s="7" t="s">
        <v>413</v>
      </c>
      <c r="E364" s="7" t="s">
        <v>131</v>
      </c>
      <c r="F364" s="7" t="n">
        <v>36</v>
      </c>
      <c r="G364" s="7" t="n">
        <v>6.26</v>
      </c>
      <c r="H364" s="7" t="n">
        <v>6.19</v>
      </c>
      <c r="I364" s="7" t="n">
        <v>1</v>
      </c>
      <c r="J364" s="7" t="n">
        <v>0</v>
      </c>
      <c r="K364" s="7" t="n">
        <v>0</v>
      </c>
      <c r="L364" s="7" t="n">
        <v>1</v>
      </c>
      <c r="M364" s="7" t="n">
        <v>0</v>
      </c>
      <c r="N364" s="7" t="n">
        <v>1</v>
      </c>
      <c r="O364" s="7" t="n">
        <v>2</v>
      </c>
      <c r="P364" s="7" t="n">
        <v>9</v>
      </c>
      <c r="Q364" s="7" t="n">
        <v>0</v>
      </c>
      <c r="R364" s="7" t="n">
        <v>0</v>
      </c>
    </row>
    <row r="365" customFormat="false" ht="15" hidden="false" customHeight="true" outlineLevel="0" collapsed="false">
      <c r="A365" s="7" t="n">
        <v>7351</v>
      </c>
      <c r="B365" s="7" t="s">
        <v>45</v>
      </c>
      <c r="C365" s="7" t="s">
        <v>901</v>
      </c>
      <c r="D365" s="7" t="s">
        <v>558</v>
      </c>
      <c r="E365" s="7" t="s">
        <v>125</v>
      </c>
      <c r="F365" s="7" t="n">
        <v>13</v>
      </c>
      <c r="G365" s="7" t="n">
        <v>6.35</v>
      </c>
      <c r="H365" s="7" t="n">
        <v>7.23</v>
      </c>
      <c r="I365" s="7" t="n">
        <v>4</v>
      </c>
      <c r="J365" s="7" t="n">
        <v>0</v>
      </c>
      <c r="K365" s="7" t="n">
        <v>0</v>
      </c>
      <c r="L365" s="7" t="n">
        <v>0</v>
      </c>
      <c r="M365" s="7" t="n">
        <v>0</v>
      </c>
      <c r="N365" s="7" t="n">
        <v>0</v>
      </c>
      <c r="O365" s="7" t="n">
        <v>0</v>
      </c>
      <c r="P365" s="7" t="n">
        <v>1</v>
      </c>
      <c r="Q365" s="7" t="n">
        <v>0</v>
      </c>
      <c r="R365" s="7" t="n">
        <v>0</v>
      </c>
    </row>
    <row r="366" customFormat="false" ht="15" hidden="false" customHeight="true" outlineLevel="0" collapsed="false">
      <c r="A366" s="7" t="n">
        <v>7133</v>
      </c>
      <c r="B366" s="7" t="s">
        <v>45</v>
      </c>
      <c r="C366" s="7" t="s">
        <v>905</v>
      </c>
      <c r="D366" s="7" t="s">
        <v>911</v>
      </c>
      <c r="E366" s="7" t="s">
        <v>750</v>
      </c>
      <c r="F366" s="7" t="n">
        <v>31</v>
      </c>
      <c r="G366" s="7" t="n">
        <v>6.06</v>
      </c>
      <c r="H366" s="7" t="n">
        <v>6.27</v>
      </c>
      <c r="I366" s="7" t="n">
        <v>1</v>
      </c>
      <c r="J366" s="7" t="n">
        <v>0</v>
      </c>
      <c r="K366" s="7" t="n">
        <v>0</v>
      </c>
      <c r="L366" s="7" t="n">
        <v>0</v>
      </c>
      <c r="M366" s="7" t="n">
        <v>0</v>
      </c>
      <c r="N366" s="7" t="n">
        <v>0</v>
      </c>
      <c r="O366" s="7" t="n">
        <v>5</v>
      </c>
      <c r="P366" s="7" t="n">
        <v>3</v>
      </c>
      <c r="Q366" s="7" t="n">
        <v>0</v>
      </c>
      <c r="R366" s="7" t="n">
        <v>0</v>
      </c>
    </row>
    <row r="367" customFormat="false" ht="15" hidden="false" customHeight="true" outlineLevel="0" collapsed="false">
      <c r="A367" s="7" t="n">
        <v>4465</v>
      </c>
      <c r="B367" s="7" t="s">
        <v>45</v>
      </c>
      <c r="C367" s="7" t="s">
        <v>45</v>
      </c>
      <c r="D367" s="7" t="s">
        <v>409</v>
      </c>
      <c r="E367" s="7" t="s">
        <v>123</v>
      </c>
      <c r="F367" s="7" t="n">
        <v>33</v>
      </c>
      <c r="G367" s="7" t="n">
        <v>6.03</v>
      </c>
      <c r="H367" s="7" t="n">
        <v>6.23</v>
      </c>
      <c r="I367" s="7" t="n">
        <v>2</v>
      </c>
      <c r="J367" s="7" t="n">
        <v>0</v>
      </c>
      <c r="K367" s="7" t="n">
        <v>0</v>
      </c>
      <c r="L367" s="7" t="n">
        <v>0</v>
      </c>
      <c r="M367" s="7" t="n">
        <v>0</v>
      </c>
      <c r="N367" s="7" t="n">
        <v>0</v>
      </c>
      <c r="O367" s="7" t="n">
        <v>3</v>
      </c>
      <c r="P367" s="7" t="n">
        <v>5</v>
      </c>
      <c r="Q367" s="7" t="n">
        <v>0</v>
      </c>
      <c r="R367" s="7" t="n">
        <v>0</v>
      </c>
    </row>
    <row r="368" customFormat="false" ht="15" hidden="false" customHeight="true" outlineLevel="0" collapsed="false">
      <c r="A368" s="7" t="n">
        <v>7070</v>
      </c>
      <c r="B368" s="7" t="s">
        <v>45</v>
      </c>
      <c r="C368" s="7" t="s">
        <v>45</v>
      </c>
      <c r="D368" s="7" t="s">
        <v>412</v>
      </c>
      <c r="E368" s="7" t="s">
        <v>115</v>
      </c>
      <c r="F368" s="7" t="n">
        <v>28</v>
      </c>
      <c r="G368" s="7" t="n">
        <v>6.07</v>
      </c>
      <c r="H368" s="7" t="n">
        <v>6.27</v>
      </c>
      <c r="I368" s="7" t="n">
        <v>2</v>
      </c>
      <c r="J368" s="7" t="n">
        <v>0</v>
      </c>
      <c r="K368" s="7" t="n">
        <v>0</v>
      </c>
      <c r="L368" s="7" t="n">
        <v>0</v>
      </c>
      <c r="M368" s="7" t="n">
        <v>0</v>
      </c>
      <c r="N368" s="7" t="n">
        <v>0</v>
      </c>
      <c r="O368" s="7" t="n">
        <v>2</v>
      </c>
      <c r="P368" s="7" t="n">
        <v>5</v>
      </c>
      <c r="Q368" s="7" t="n">
        <v>0</v>
      </c>
      <c r="R368" s="7" t="n">
        <v>0</v>
      </c>
    </row>
    <row r="369" customFormat="false" ht="15" hidden="false" customHeight="true" outlineLevel="0" collapsed="false">
      <c r="A369" s="7" t="n">
        <v>333</v>
      </c>
      <c r="B369" s="7" t="s">
        <v>45</v>
      </c>
      <c r="C369" s="7" t="s">
        <v>897</v>
      </c>
      <c r="D369" s="7" t="s">
        <v>481</v>
      </c>
      <c r="E369" s="7" t="s">
        <v>133</v>
      </c>
      <c r="F369" s="7" t="n">
        <v>27</v>
      </c>
      <c r="G369" s="7" t="n">
        <v>6.07</v>
      </c>
      <c r="H369" s="7" t="n">
        <v>6.41</v>
      </c>
      <c r="I369" s="7" t="n">
        <v>3</v>
      </c>
      <c r="J369" s="7" t="n">
        <v>0</v>
      </c>
      <c r="K369" s="7" t="n">
        <v>0</v>
      </c>
      <c r="L369" s="7" t="n">
        <v>2</v>
      </c>
      <c r="M369" s="7" t="n">
        <v>2</v>
      </c>
      <c r="N369" s="7" t="n">
        <v>0</v>
      </c>
      <c r="O369" s="7" t="n">
        <v>3</v>
      </c>
      <c r="P369" s="7" t="n">
        <v>6</v>
      </c>
      <c r="Q369" s="7" t="n">
        <v>0</v>
      </c>
      <c r="R369" s="7" t="n">
        <v>0</v>
      </c>
    </row>
    <row r="370" customFormat="false" ht="15" hidden="false" customHeight="true" outlineLevel="0" collapsed="false">
      <c r="A370" s="7" t="n">
        <v>5674</v>
      </c>
      <c r="B370" s="7" t="s">
        <v>45</v>
      </c>
      <c r="C370" s="7" t="s">
        <v>45</v>
      </c>
      <c r="D370" s="7" t="s">
        <v>445</v>
      </c>
      <c r="E370" s="7" t="s">
        <v>133</v>
      </c>
      <c r="F370" s="7" t="n">
        <v>23</v>
      </c>
      <c r="G370" s="7" t="n">
        <v>6.09</v>
      </c>
      <c r="H370" s="7" t="n">
        <v>6.43</v>
      </c>
      <c r="I370" s="7" t="n">
        <v>2</v>
      </c>
      <c r="J370" s="7" t="n">
        <v>0</v>
      </c>
      <c r="K370" s="7" t="n">
        <v>0</v>
      </c>
      <c r="L370" s="7" t="n">
        <v>0</v>
      </c>
      <c r="M370" s="7" t="n">
        <v>0</v>
      </c>
      <c r="N370" s="7" t="n">
        <v>0</v>
      </c>
      <c r="O370" s="7" t="n">
        <v>3</v>
      </c>
      <c r="P370" s="7" t="n">
        <v>0</v>
      </c>
      <c r="Q370" s="7" t="n">
        <v>1</v>
      </c>
      <c r="R370" s="7" t="n">
        <v>0</v>
      </c>
    </row>
    <row r="371" customFormat="false" ht="15" hidden="false" customHeight="true" outlineLevel="0" collapsed="false">
      <c r="A371" s="7" t="n">
        <v>5453</v>
      </c>
      <c r="B371" s="7" t="s">
        <v>45</v>
      </c>
      <c r="C371" s="7" t="s">
        <v>897</v>
      </c>
      <c r="D371" s="7" t="s">
        <v>483</v>
      </c>
      <c r="E371" s="7" t="s">
        <v>121</v>
      </c>
      <c r="F371" s="7" t="n">
        <v>28</v>
      </c>
      <c r="G371" s="7" t="n">
        <v>6</v>
      </c>
      <c r="H371" s="7" t="n">
        <v>6.18</v>
      </c>
      <c r="I371" s="7" t="n">
        <v>1</v>
      </c>
      <c r="J371" s="7" t="n">
        <v>0</v>
      </c>
      <c r="K371" s="7" t="n">
        <v>0</v>
      </c>
      <c r="L371" s="7" t="n">
        <v>0</v>
      </c>
      <c r="M371" s="7" t="n">
        <v>0</v>
      </c>
      <c r="N371" s="7" t="n">
        <v>0</v>
      </c>
      <c r="O371" s="7" t="n">
        <v>3</v>
      </c>
      <c r="P371" s="7" t="n">
        <v>3</v>
      </c>
      <c r="Q371" s="7" t="n">
        <v>0</v>
      </c>
      <c r="R371" s="7" t="n">
        <v>0</v>
      </c>
    </row>
    <row r="372" customFormat="false" ht="15" hidden="false" customHeight="true" outlineLevel="0" collapsed="false">
      <c r="A372" s="7" t="n">
        <v>6898</v>
      </c>
      <c r="B372" s="7" t="s">
        <v>45</v>
      </c>
      <c r="C372" s="7" t="s">
        <v>897</v>
      </c>
      <c r="D372" s="7" t="s">
        <v>460</v>
      </c>
      <c r="E372" s="7" t="s">
        <v>141</v>
      </c>
      <c r="F372" s="7" t="n">
        <v>36</v>
      </c>
      <c r="G372" s="7" t="n">
        <v>6.01</v>
      </c>
      <c r="H372" s="7" t="n">
        <v>6.06</v>
      </c>
      <c r="I372" s="7" t="n">
        <v>1</v>
      </c>
      <c r="J372" s="7" t="n">
        <v>0</v>
      </c>
      <c r="K372" s="7" t="n">
        <v>0</v>
      </c>
      <c r="L372" s="7" t="n">
        <v>0</v>
      </c>
      <c r="M372" s="7" t="n">
        <v>0</v>
      </c>
      <c r="N372" s="7" t="n">
        <v>0</v>
      </c>
      <c r="O372" s="7" t="n">
        <v>1</v>
      </c>
      <c r="P372" s="7" t="n">
        <v>1</v>
      </c>
      <c r="Q372" s="7" t="n">
        <v>0</v>
      </c>
      <c r="R372" s="7" t="n">
        <v>1</v>
      </c>
    </row>
    <row r="373" customFormat="false" ht="15" hidden="false" customHeight="true" outlineLevel="0" collapsed="false">
      <c r="A373" s="7" t="n">
        <v>5393</v>
      </c>
      <c r="B373" s="7" t="s">
        <v>45</v>
      </c>
      <c r="C373" s="7" t="s">
        <v>901</v>
      </c>
      <c r="D373" s="7" t="s">
        <v>912</v>
      </c>
      <c r="E373" s="7" t="s">
        <v>141</v>
      </c>
      <c r="F373" s="7" t="n">
        <v>0</v>
      </c>
      <c r="G373" s="7" t="n">
        <v>0</v>
      </c>
      <c r="H373" s="7" t="n">
        <v>0</v>
      </c>
      <c r="I373" s="7" t="n">
        <v>0</v>
      </c>
      <c r="J373" s="7" t="n">
        <v>0</v>
      </c>
      <c r="K373" s="7" t="n">
        <v>0</v>
      </c>
      <c r="L373" s="7" t="n">
        <v>0</v>
      </c>
      <c r="M373" s="7" t="n">
        <v>0</v>
      </c>
      <c r="N373" s="7" t="n">
        <v>0</v>
      </c>
      <c r="O373" s="7" t="n">
        <v>0</v>
      </c>
      <c r="P373" s="7" t="n">
        <v>0</v>
      </c>
      <c r="Q373" s="7" t="n">
        <v>0</v>
      </c>
      <c r="R373" s="7" t="n">
        <v>0</v>
      </c>
    </row>
    <row r="374" customFormat="false" ht="15" hidden="false" customHeight="true" outlineLevel="0" collapsed="false">
      <c r="A374" s="7" t="n">
        <v>5651</v>
      </c>
      <c r="B374" s="7" t="s">
        <v>45</v>
      </c>
      <c r="C374" s="7" t="s">
        <v>899</v>
      </c>
      <c r="D374" s="7" t="s">
        <v>913</v>
      </c>
      <c r="E374" s="7" t="s">
        <v>123</v>
      </c>
      <c r="F374" s="7" t="n">
        <v>15</v>
      </c>
      <c r="G374" s="7" t="n">
        <v>5.9</v>
      </c>
      <c r="H374" s="7" t="n">
        <v>6.27</v>
      </c>
      <c r="I374" s="7" t="n">
        <v>1</v>
      </c>
      <c r="J374" s="7" t="n">
        <v>0</v>
      </c>
      <c r="K374" s="7" t="n">
        <v>0</v>
      </c>
      <c r="L374" s="7" t="n">
        <v>0</v>
      </c>
      <c r="M374" s="7" t="n">
        <v>0</v>
      </c>
      <c r="N374" s="7" t="n">
        <v>0</v>
      </c>
      <c r="O374" s="7" t="n">
        <v>3</v>
      </c>
      <c r="P374" s="7" t="n">
        <v>1</v>
      </c>
      <c r="Q374" s="7" t="n">
        <v>0</v>
      </c>
      <c r="R374" s="7" t="n">
        <v>0</v>
      </c>
    </row>
    <row r="375" customFormat="false" ht="15" hidden="false" customHeight="true" outlineLevel="0" collapsed="false">
      <c r="A375" s="7" t="n">
        <v>4947</v>
      </c>
      <c r="B375" s="7" t="s">
        <v>45</v>
      </c>
      <c r="C375" s="7" t="s">
        <v>895</v>
      </c>
      <c r="D375" s="7" t="s">
        <v>495</v>
      </c>
      <c r="E375" s="7" t="s">
        <v>123</v>
      </c>
      <c r="F375" s="7" t="n">
        <v>18</v>
      </c>
      <c r="G375" s="7" t="n">
        <v>5.97</v>
      </c>
      <c r="H375" s="7" t="n">
        <v>6.31</v>
      </c>
      <c r="I375" s="7" t="n">
        <v>2</v>
      </c>
      <c r="J375" s="7" t="n">
        <v>0</v>
      </c>
      <c r="K375" s="7" t="n">
        <v>0</v>
      </c>
      <c r="L375" s="7" t="n">
        <v>0</v>
      </c>
      <c r="M375" s="7" t="n">
        <v>0</v>
      </c>
      <c r="N375" s="7" t="n">
        <v>0</v>
      </c>
      <c r="O375" s="7" t="n">
        <v>1</v>
      </c>
      <c r="P375" s="7" t="n">
        <v>2</v>
      </c>
      <c r="Q375" s="7" t="n">
        <v>0</v>
      </c>
      <c r="R375" s="7" t="n">
        <v>0</v>
      </c>
    </row>
    <row r="376" customFormat="false" ht="15" hidden="false" customHeight="true" outlineLevel="0" collapsed="false">
      <c r="A376" s="7" t="n">
        <v>4896</v>
      </c>
      <c r="B376" s="7" t="s">
        <v>45</v>
      </c>
      <c r="C376" s="7" t="s">
        <v>894</v>
      </c>
      <c r="D376" s="7" t="s">
        <v>593</v>
      </c>
      <c r="E376" s="7" t="s">
        <v>133</v>
      </c>
      <c r="F376" s="7" t="n">
        <v>18</v>
      </c>
      <c r="G376" s="7" t="n">
        <v>5.94</v>
      </c>
      <c r="H376" s="7" t="n">
        <v>6.31</v>
      </c>
      <c r="I376" s="7" t="n">
        <v>2</v>
      </c>
      <c r="J376" s="7" t="n">
        <v>0</v>
      </c>
      <c r="K376" s="7" t="n">
        <v>0</v>
      </c>
      <c r="L376" s="7" t="n">
        <v>0</v>
      </c>
      <c r="M376" s="7" t="n">
        <v>0</v>
      </c>
      <c r="N376" s="7" t="n">
        <v>0</v>
      </c>
      <c r="O376" s="7" t="n">
        <v>1</v>
      </c>
      <c r="P376" s="7" t="n">
        <v>1</v>
      </c>
      <c r="Q376" s="7" t="n">
        <v>0</v>
      </c>
      <c r="R376" s="7" t="n">
        <v>0</v>
      </c>
    </row>
    <row r="377" customFormat="false" ht="15" hidden="false" customHeight="true" outlineLevel="0" collapsed="false">
      <c r="A377" s="7" t="n">
        <v>6252</v>
      </c>
      <c r="B377" s="7" t="s">
        <v>45</v>
      </c>
      <c r="C377" s="7" t="s">
        <v>895</v>
      </c>
      <c r="D377" s="7" t="s">
        <v>486</v>
      </c>
      <c r="E377" s="7" t="s">
        <v>129</v>
      </c>
      <c r="F377" s="7" t="n">
        <v>26</v>
      </c>
      <c r="G377" s="7" t="n">
        <v>6.04</v>
      </c>
      <c r="H377" s="7" t="n">
        <v>6.21</v>
      </c>
      <c r="I377" s="7" t="n">
        <v>2</v>
      </c>
      <c r="J377" s="7" t="n">
        <v>0</v>
      </c>
      <c r="K377" s="7" t="n">
        <v>0</v>
      </c>
      <c r="L377" s="7" t="n">
        <v>0</v>
      </c>
      <c r="M377" s="7" t="n">
        <v>0</v>
      </c>
      <c r="N377" s="7" t="n">
        <v>0</v>
      </c>
      <c r="O377" s="7" t="n">
        <v>0</v>
      </c>
      <c r="P377" s="7" t="n">
        <v>3</v>
      </c>
      <c r="Q377" s="7" t="n">
        <v>0</v>
      </c>
      <c r="R377" s="7" t="n">
        <v>0</v>
      </c>
    </row>
    <row r="378" customFormat="false" ht="15" hidden="false" customHeight="true" outlineLevel="0" collapsed="false">
      <c r="A378" s="7" t="n">
        <v>4686</v>
      </c>
      <c r="B378" s="7" t="s">
        <v>45</v>
      </c>
      <c r="C378" s="7" t="s">
        <v>897</v>
      </c>
      <c r="D378" s="7" t="s">
        <v>459</v>
      </c>
      <c r="E378" s="7" t="s">
        <v>121</v>
      </c>
      <c r="F378" s="7" t="n">
        <v>33</v>
      </c>
      <c r="G378" s="7" t="n">
        <v>5.85</v>
      </c>
      <c r="H378" s="7" t="n">
        <v>6.06</v>
      </c>
      <c r="I378" s="7" t="n">
        <v>2</v>
      </c>
      <c r="J378" s="7" t="n">
        <v>0</v>
      </c>
      <c r="K378" s="7" t="n">
        <v>0</v>
      </c>
      <c r="L378" s="7" t="n">
        <v>0</v>
      </c>
      <c r="M378" s="7" t="n">
        <v>0</v>
      </c>
      <c r="N378" s="7" t="n">
        <v>0</v>
      </c>
      <c r="O378" s="7" t="n">
        <v>3</v>
      </c>
      <c r="P378" s="7" t="n">
        <v>4</v>
      </c>
      <c r="Q378" s="7" t="n">
        <v>0</v>
      </c>
      <c r="R378" s="7" t="n">
        <v>0</v>
      </c>
    </row>
    <row r="379" customFormat="false" ht="15" hidden="false" customHeight="true" outlineLevel="0" collapsed="false">
      <c r="A379" s="7" t="n">
        <v>4199</v>
      </c>
      <c r="B379" s="7" t="s">
        <v>45</v>
      </c>
      <c r="C379" s="7" t="s">
        <v>895</v>
      </c>
      <c r="D379" s="7" t="s">
        <v>485</v>
      </c>
      <c r="E379" s="7" t="s">
        <v>121</v>
      </c>
      <c r="F379" s="7" t="n">
        <v>21</v>
      </c>
      <c r="G379" s="7" t="n">
        <v>6.1</v>
      </c>
      <c r="H379" s="7" t="n">
        <v>6.52</v>
      </c>
      <c r="I379" s="7" t="n">
        <v>3</v>
      </c>
      <c r="J379" s="7" t="n">
        <v>0</v>
      </c>
      <c r="K379" s="7" t="n">
        <v>0</v>
      </c>
      <c r="L379" s="7" t="n">
        <v>0</v>
      </c>
      <c r="M379" s="7" t="n">
        <v>0</v>
      </c>
      <c r="N379" s="7" t="n">
        <v>0</v>
      </c>
      <c r="O379" s="7" t="n">
        <v>1</v>
      </c>
      <c r="P379" s="7" t="n">
        <v>2</v>
      </c>
      <c r="Q379" s="7" t="n">
        <v>0</v>
      </c>
      <c r="R379" s="7" t="n">
        <v>0</v>
      </c>
    </row>
    <row r="380" customFormat="false" ht="15" hidden="false" customHeight="true" outlineLevel="0" collapsed="false">
      <c r="A380" s="7" t="n">
        <v>4287</v>
      </c>
      <c r="B380" s="7" t="s">
        <v>45</v>
      </c>
      <c r="C380" s="7" t="s">
        <v>897</v>
      </c>
      <c r="D380" s="7" t="s">
        <v>424</v>
      </c>
      <c r="E380" s="7" t="s">
        <v>125</v>
      </c>
      <c r="F380" s="7" t="n">
        <v>31</v>
      </c>
      <c r="G380" s="7" t="n">
        <v>6.05</v>
      </c>
      <c r="H380" s="7" t="n">
        <v>6.1</v>
      </c>
      <c r="I380" s="7" t="n">
        <v>1</v>
      </c>
      <c r="J380" s="7" t="n">
        <v>0</v>
      </c>
      <c r="K380" s="7" t="n">
        <v>0</v>
      </c>
      <c r="L380" s="7" t="n">
        <v>0</v>
      </c>
      <c r="M380" s="7" t="n">
        <v>0</v>
      </c>
      <c r="N380" s="7" t="n">
        <v>0</v>
      </c>
      <c r="O380" s="7" t="n">
        <v>0</v>
      </c>
      <c r="P380" s="7" t="n">
        <v>3</v>
      </c>
      <c r="Q380" s="7" t="n">
        <v>0</v>
      </c>
      <c r="R380" s="7" t="n">
        <v>0</v>
      </c>
    </row>
    <row r="381" customFormat="false" ht="15" hidden="false" customHeight="true" outlineLevel="0" collapsed="false">
      <c r="A381" s="7" t="n">
        <v>6831</v>
      </c>
      <c r="B381" s="7" t="s">
        <v>45</v>
      </c>
      <c r="C381" s="7" t="s">
        <v>901</v>
      </c>
      <c r="D381" s="7" t="s">
        <v>592</v>
      </c>
      <c r="E381" s="7" t="s">
        <v>125</v>
      </c>
      <c r="F381" s="7" t="n">
        <v>16</v>
      </c>
      <c r="G381" s="7" t="n">
        <v>6.19</v>
      </c>
      <c r="H381" s="7" t="n">
        <v>6.84</v>
      </c>
      <c r="I381" s="7" t="n">
        <v>3</v>
      </c>
      <c r="J381" s="7" t="n">
        <v>0</v>
      </c>
      <c r="K381" s="7" t="n">
        <v>0</v>
      </c>
      <c r="L381" s="7" t="n">
        <v>0</v>
      </c>
      <c r="M381" s="7" t="n">
        <v>0</v>
      </c>
      <c r="N381" s="7" t="n">
        <v>0</v>
      </c>
      <c r="O381" s="7" t="n">
        <v>3</v>
      </c>
      <c r="P381" s="7" t="n">
        <v>3</v>
      </c>
      <c r="Q381" s="7" t="n">
        <v>0</v>
      </c>
      <c r="R381" s="7" t="n">
        <v>0</v>
      </c>
    </row>
    <row r="382" customFormat="false" ht="15" hidden="false" customHeight="true" outlineLevel="0" collapsed="false">
      <c r="A382" s="7" t="n">
        <v>2334</v>
      </c>
      <c r="B382" s="7" t="s">
        <v>45</v>
      </c>
      <c r="C382" s="7" t="s">
        <v>899</v>
      </c>
      <c r="D382" s="7" t="s">
        <v>914</v>
      </c>
      <c r="E382" s="7" t="s">
        <v>755</v>
      </c>
      <c r="F382" s="7" t="n">
        <v>32</v>
      </c>
      <c r="G382" s="7" t="n">
        <v>5.94</v>
      </c>
      <c r="H382" s="7" t="n">
        <v>6.19</v>
      </c>
      <c r="I382" s="7" t="n">
        <v>2</v>
      </c>
      <c r="J382" s="7" t="n">
        <v>0</v>
      </c>
      <c r="K382" s="7" t="n">
        <v>0</v>
      </c>
      <c r="L382" s="7" t="n">
        <v>0</v>
      </c>
      <c r="M382" s="7" t="n">
        <v>0</v>
      </c>
      <c r="N382" s="7" t="n">
        <v>0</v>
      </c>
      <c r="O382" s="7" t="n">
        <v>3</v>
      </c>
      <c r="P382" s="7" t="n">
        <v>2</v>
      </c>
      <c r="Q382" s="7" t="n">
        <v>0</v>
      </c>
      <c r="R382" s="7" t="n">
        <v>0</v>
      </c>
    </row>
    <row r="383" customFormat="false" ht="15" hidden="false" customHeight="true" outlineLevel="0" collapsed="false">
      <c r="A383" s="7" t="n">
        <v>1976</v>
      </c>
      <c r="B383" s="7" t="s">
        <v>45</v>
      </c>
      <c r="C383" s="7" t="s">
        <v>897</v>
      </c>
      <c r="D383" s="7" t="s">
        <v>915</v>
      </c>
      <c r="E383" s="7" t="s">
        <v>129</v>
      </c>
      <c r="F383" s="7" t="n">
        <v>14</v>
      </c>
      <c r="G383" s="7" t="n">
        <v>6.07</v>
      </c>
      <c r="H383" s="7" t="n">
        <v>6.57</v>
      </c>
      <c r="I383" s="7" t="n">
        <v>2</v>
      </c>
      <c r="J383" s="7" t="n">
        <v>0</v>
      </c>
      <c r="K383" s="7" t="n">
        <v>0</v>
      </c>
      <c r="L383" s="7" t="n">
        <v>0</v>
      </c>
      <c r="M383" s="7" t="n">
        <v>0</v>
      </c>
      <c r="N383" s="7" t="n">
        <v>0</v>
      </c>
      <c r="O383" s="7" t="n">
        <v>2</v>
      </c>
      <c r="P383" s="7" t="n">
        <v>3</v>
      </c>
      <c r="Q383" s="7" t="n">
        <v>0</v>
      </c>
      <c r="R383" s="7" t="n">
        <v>0</v>
      </c>
    </row>
    <row r="384" customFormat="false" ht="15" hidden="false" customHeight="true" outlineLevel="0" collapsed="false">
      <c r="A384" s="7" t="n">
        <v>22</v>
      </c>
      <c r="B384" s="7" t="s">
        <v>45</v>
      </c>
      <c r="C384" s="7" t="s">
        <v>897</v>
      </c>
      <c r="D384" s="7" t="s">
        <v>472</v>
      </c>
      <c r="E384" s="7" t="s">
        <v>117</v>
      </c>
      <c r="F384" s="7" t="n">
        <v>34</v>
      </c>
      <c r="G384" s="7" t="n">
        <v>5.97</v>
      </c>
      <c r="H384" s="7" t="n">
        <v>6</v>
      </c>
      <c r="I384" s="7" t="n">
        <v>1</v>
      </c>
      <c r="J384" s="7" t="n">
        <v>0</v>
      </c>
      <c r="K384" s="7" t="n">
        <v>0</v>
      </c>
      <c r="L384" s="7" t="n">
        <v>0</v>
      </c>
      <c r="M384" s="7" t="n">
        <v>0</v>
      </c>
      <c r="N384" s="7" t="n">
        <v>0</v>
      </c>
      <c r="O384" s="7" t="n">
        <v>2</v>
      </c>
      <c r="P384" s="7" t="n">
        <v>6</v>
      </c>
      <c r="Q384" s="7" t="n">
        <v>1</v>
      </c>
      <c r="R384" s="7" t="n">
        <v>0</v>
      </c>
    </row>
    <row r="385" customFormat="false" ht="15" hidden="false" customHeight="true" outlineLevel="0" collapsed="false">
      <c r="A385" s="7" t="n">
        <v>5119</v>
      </c>
      <c r="B385" s="7" t="s">
        <v>45</v>
      </c>
      <c r="C385" s="7" t="s">
        <v>896</v>
      </c>
      <c r="D385" s="7" t="s">
        <v>384</v>
      </c>
      <c r="E385" s="7" t="s">
        <v>117</v>
      </c>
      <c r="F385" s="7" t="n">
        <v>21</v>
      </c>
      <c r="G385" s="7" t="n">
        <v>5.93</v>
      </c>
      <c r="H385" s="7" t="n">
        <v>6.29</v>
      </c>
      <c r="I385" s="7" t="n">
        <v>2</v>
      </c>
      <c r="J385" s="7" t="n">
        <v>0</v>
      </c>
      <c r="K385" s="7" t="n">
        <v>0</v>
      </c>
      <c r="L385" s="7" t="n">
        <v>0</v>
      </c>
      <c r="M385" s="7" t="n">
        <v>0</v>
      </c>
      <c r="N385" s="7" t="n">
        <v>0</v>
      </c>
      <c r="O385" s="7" t="n">
        <v>2</v>
      </c>
      <c r="P385" s="7" t="n">
        <v>1</v>
      </c>
      <c r="Q385" s="7" t="n">
        <v>0</v>
      </c>
      <c r="R385" s="7" t="n">
        <v>0</v>
      </c>
    </row>
    <row r="386" customFormat="false" ht="15" hidden="false" customHeight="true" outlineLevel="0" collapsed="false">
      <c r="A386" s="7" t="n">
        <v>6054</v>
      </c>
      <c r="B386" s="7" t="s">
        <v>45</v>
      </c>
      <c r="C386" s="7" t="s">
        <v>897</v>
      </c>
      <c r="D386" s="7" t="s">
        <v>473</v>
      </c>
      <c r="E386" s="7" t="s">
        <v>127</v>
      </c>
      <c r="F386" s="7" t="n">
        <v>28</v>
      </c>
      <c r="G386" s="7" t="n">
        <v>5.93</v>
      </c>
      <c r="H386" s="7" t="n">
        <v>6.12</v>
      </c>
      <c r="I386" s="7" t="n">
        <v>2</v>
      </c>
      <c r="J386" s="7" t="n">
        <v>0</v>
      </c>
      <c r="K386" s="7" t="n">
        <v>0</v>
      </c>
      <c r="L386" s="7" t="n">
        <v>0</v>
      </c>
      <c r="M386" s="7" t="n">
        <v>0</v>
      </c>
      <c r="N386" s="7" t="n">
        <v>0</v>
      </c>
      <c r="O386" s="7" t="n">
        <v>0</v>
      </c>
      <c r="P386" s="7" t="n">
        <v>1</v>
      </c>
      <c r="Q386" s="7" t="n">
        <v>0</v>
      </c>
      <c r="R386" s="7" t="n">
        <v>0</v>
      </c>
    </row>
    <row r="387" customFormat="false" ht="15" hidden="false" customHeight="true" outlineLevel="0" collapsed="false">
      <c r="A387" s="7" t="n">
        <v>6294</v>
      </c>
      <c r="B387" s="7" t="s">
        <v>45</v>
      </c>
      <c r="C387" s="7" t="s">
        <v>897</v>
      </c>
      <c r="D387" s="7" t="s">
        <v>410</v>
      </c>
      <c r="E387" s="7" t="s">
        <v>123</v>
      </c>
      <c r="F387" s="7" t="n">
        <v>30</v>
      </c>
      <c r="G387" s="7" t="n">
        <v>5.8</v>
      </c>
      <c r="H387" s="7" t="n">
        <v>6.07</v>
      </c>
      <c r="I387" s="7" t="n">
        <v>3</v>
      </c>
      <c r="J387" s="7" t="n">
        <v>0</v>
      </c>
      <c r="K387" s="7" t="n">
        <v>0</v>
      </c>
      <c r="L387" s="7" t="n">
        <v>0</v>
      </c>
      <c r="M387" s="7" t="n">
        <v>0</v>
      </c>
      <c r="N387" s="7" t="n">
        <v>0</v>
      </c>
      <c r="O387" s="7" t="n">
        <v>0</v>
      </c>
      <c r="P387" s="7" t="n">
        <v>2</v>
      </c>
      <c r="Q387" s="7" t="n">
        <v>0</v>
      </c>
      <c r="R387" s="7" t="n">
        <v>0</v>
      </c>
    </row>
    <row r="388" customFormat="false" ht="15" hidden="false" customHeight="true" outlineLevel="0" collapsed="false">
      <c r="A388" s="7" t="n">
        <v>5791</v>
      </c>
      <c r="B388" s="7" t="s">
        <v>45</v>
      </c>
      <c r="C388" s="7" t="s">
        <v>897</v>
      </c>
      <c r="D388" s="7" t="s">
        <v>421</v>
      </c>
      <c r="E388" s="7" t="s">
        <v>137</v>
      </c>
      <c r="F388" s="7" t="n">
        <v>36</v>
      </c>
      <c r="G388" s="7" t="n">
        <v>5.96</v>
      </c>
      <c r="H388" s="7" t="n">
        <v>5.97</v>
      </c>
      <c r="I388" s="7" t="n">
        <v>1</v>
      </c>
      <c r="J388" s="7" t="n">
        <v>0</v>
      </c>
      <c r="K388" s="7" t="n">
        <v>0</v>
      </c>
      <c r="L388" s="7" t="n">
        <v>0</v>
      </c>
      <c r="M388" s="7" t="n">
        <v>0</v>
      </c>
      <c r="N388" s="7" t="n">
        <v>0</v>
      </c>
      <c r="O388" s="7" t="n">
        <v>0</v>
      </c>
      <c r="P388" s="7" t="n">
        <v>5</v>
      </c>
      <c r="Q388" s="7" t="n">
        <v>0</v>
      </c>
      <c r="R388" s="7" t="n">
        <v>0</v>
      </c>
    </row>
    <row r="389" customFormat="false" ht="15" hidden="false" customHeight="true" outlineLevel="0" collapsed="false">
      <c r="A389" s="7" t="n">
        <v>4711</v>
      </c>
      <c r="B389" s="7" t="s">
        <v>45</v>
      </c>
      <c r="C389" s="7" t="s">
        <v>904</v>
      </c>
      <c r="D389" s="7" t="s">
        <v>916</v>
      </c>
      <c r="E389" s="7" t="s">
        <v>131</v>
      </c>
      <c r="F389" s="7" t="n">
        <v>10</v>
      </c>
      <c r="G389" s="7" t="n">
        <v>6.2</v>
      </c>
      <c r="H389" s="7" t="n">
        <v>7.2</v>
      </c>
      <c r="I389" s="7" t="n">
        <v>3</v>
      </c>
      <c r="J389" s="7" t="n">
        <v>0</v>
      </c>
      <c r="K389" s="7" t="n">
        <v>0</v>
      </c>
      <c r="L389" s="7" t="n">
        <v>0</v>
      </c>
      <c r="M389" s="7" t="n">
        <v>0</v>
      </c>
      <c r="N389" s="7" t="n">
        <v>0</v>
      </c>
      <c r="O389" s="7" t="n">
        <v>1</v>
      </c>
      <c r="P389" s="7" t="n">
        <v>1</v>
      </c>
      <c r="Q389" s="7" t="n">
        <v>0</v>
      </c>
      <c r="R389" s="7" t="n">
        <v>0</v>
      </c>
    </row>
    <row r="390" customFormat="false" ht="15" hidden="false" customHeight="true" outlineLevel="0" collapsed="false">
      <c r="A390" s="7" t="n">
        <v>795</v>
      </c>
      <c r="B390" s="7" t="s">
        <v>45</v>
      </c>
      <c r="C390" s="7" t="s">
        <v>899</v>
      </c>
      <c r="D390" s="7" t="s">
        <v>917</v>
      </c>
      <c r="E390" s="7" t="s">
        <v>113</v>
      </c>
      <c r="F390" s="7" t="n">
        <v>18</v>
      </c>
      <c r="G390" s="7" t="n">
        <v>6.14</v>
      </c>
      <c r="H390" s="7" t="n">
        <v>6.33</v>
      </c>
      <c r="I390" s="7" t="n">
        <v>1</v>
      </c>
      <c r="J390" s="7" t="n">
        <v>0</v>
      </c>
      <c r="K390" s="7" t="n">
        <v>0</v>
      </c>
      <c r="L390" s="7" t="n">
        <v>0</v>
      </c>
      <c r="M390" s="7" t="n">
        <v>0</v>
      </c>
      <c r="N390" s="7" t="n">
        <v>0</v>
      </c>
      <c r="O390" s="7" t="n">
        <v>2</v>
      </c>
      <c r="P390" s="7" t="n">
        <v>4</v>
      </c>
      <c r="Q390" s="7" t="n">
        <v>0</v>
      </c>
      <c r="R390" s="7" t="n">
        <v>0</v>
      </c>
    </row>
    <row r="391" customFormat="false" ht="15" hidden="false" customHeight="true" outlineLevel="0" collapsed="false">
      <c r="A391" s="7" t="n">
        <v>5823</v>
      </c>
      <c r="B391" s="7" t="s">
        <v>45</v>
      </c>
      <c r="C391" s="7" t="s">
        <v>894</v>
      </c>
      <c r="D391" s="7" t="s">
        <v>390</v>
      </c>
      <c r="E391" s="7" t="s">
        <v>137</v>
      </c>
      <c r="F391" s="7" t="n">
        <v>17</v>
      </c>
      <c r="G391" s="7" t="n">
        <v>6.15</v>
      </c>
      <c r="H391" s="7" t="n">
        <v>6.38</v>
      </c>
      <c r="I391" s="7" t="n">
        <v>1</v>
      </c>
      <c r="J391" s="7" t="n">
        <v>0</v>
      </c>
      <c r="K391" s="7" t="n">
        <v>0</v>
      </c>
      <c r="L391" s="7" t="n">
        <v>0</v>
      </c>
      <c r="M391" s="7" t="n">
        <v>0</v>
      </c>
      <c r="N391" s="7" t="n">
        <v>0</v>
      </c>
      <c r="O391" s="7" t="n">
        <v>2</v>
      </c>
      <c r="P391" s="7" t="n">
        <v>2</v>
      </c>
      <c r="Q391" s="7" t="n">
        <v>0</v>
      </c>
      <c r="R391" s="7" t="n">
        <v>0</v>
      </c>
    </row>
    <row r="392" customFormat="false" ht="15" hidden="false" customHeight="true" outlineLevel="0" collapsed="false">
      <c r="A392" s="7" t="n">
        <v>6680</v>
      </c>
      <c r="B392" s="7" t="s">
        <v>45</v>
      </c>
      <c r="C392" s="7" t="s">
        <v>897</v>
      </c>
      <c r="D392" s="7" t="s">
        <v>444</v>
      </c>
      <c r="E392" s="7" t="s">
        <v>135</v>
      </c>
      <c r="F392" s="7" t="n">
        <v>36</v>
      </c>
      <c r="G392" s="7" t="n">
        <v>5.96</v>
      </c>
      <c r="H392" s="7" t="n">
        <v>5.96</v>
      </c>
      <c r="I392" s="7" t="n">
        <v>1</v>
      </c>
      <c r="J392" s="7" t="n">
        <v>0</v>
      </c>
      <c r="K392" s="7" t="n">
        <v>0</v>
      </c>
      <c r="L392" s="7" t="n">
        <v>0</v>
      </c>
      <c r="M392" s="7" t="n">
        <v>0</v>
      </c>
      <c r="N392" s="7" t="n">
        <v>0</v>
      </c>
      <c r="O392" s="7" t="n">
        <v>0</v>
      </c>
      <c r="P392" s="7" t="n">
        <v>6</v>
      </c>
      <c r="Q392" s="7" t="n">
        <v>0</v>
      </c>
      <c r="R392" s="7" t="n">
        <v>0</v>
      </c>
    </row>
    <row r="393" customFormat="false" ht="15" hidden="false" customHeight="true" outlineLevel="0" collapsed="false">
      <c r="A393" s="7" t="n">
        <v>5761</v>
      </c>
      <c r="B393" s="7" t="s">
        <v>45</v>
      </c>
      <c r="C393" s="7" t="s">
        <v>899</v>
      </c>
      <c r="D393" s="7" t="s">
        <v>437</v>
      </c>
      <c r="E393" s="7" t="s">
        <v>131</v>
      </c>
      <c r="F393" s="7" t="n">
        <v>12</v>
      </c>
      <c r="G393" s="7" t="n">
        <v>5.96</v>
      </c>
      <c r="H393" s="7" t="n">
        <v>5.96</v>
      </c>
      <c r="I393" s="7" t="n">
        <v>0</v>
      </c>
      <c r="J393" s="7" t="n">
        <v>0</v>
      </c>
      <c r="K393" s="7" t="n">
        <v>0</v>
      </c>
      <c r="L393" s="7" t="n">
        <v>0</v>
      </c>
      <c r="M393" s="7" t="n">
        <v>0</v>
      </c>
      <c r="N393" s="7" t="n">
        <v>0</v>
      </c>
      <c r="O393" s="7" t="n">
        <v>0</v>
      </c>
      <c r="P393" s="7" t="n">
        <v>1</v>
      </c>
      <c r="Q393" s="7" t="n">
        <v>0</v>
      </c>
      <c r="R393" s="7" t="n">
        <v>0</v>
      </c>
    </row>
    <row r="394" customFormat="false" ht="15" hidden="false" customHeight="true" outlineLevel="0" collapsed="false">
      <c r="A394" s="7" t="n">
        <v>7318</v>
      </c>
      <c r="B394" s="7" t="s">
        <v>45</v>
      </c>
      <c r="C394" s="7" t="s">
        <v>895</v>
      </c>
      <c r="D394" s="7" t="s">
        <v>458</v>
      </c>
      <c r="E394" s="7" t="s">
        <v>139</v>
      </c>
      <c r="F394" s="7" t="n">
        <v>16</v>
      </c>
      <c r="G394" s="7" t="n">
        <v>5.97</v>
      </c>
      <c r="H394" s="7" t="n">
        <v>6.41</v>
      </c>
      <c r="I394" s="7" t="n">
        <v>2</v>
      </c>
      <c r="J394" s="7" t="n">
        <v>0</v>
      </c>
      <c r="K394" s="7" t="n">
        <v>0</v>
      </c>
      <c r="L394" s="7" t="n">
        <v>0</v>
      </c>
      <c r="M394" s="7" t="n">
        <v>0</v>
      </c>
      <c r="N394" s="7" t="n">
        <v>0</v>
      </c>
      <c r="O394" s="7" t="n">
        <v>1</v>
      </c>
      <c r="P394" s="7" t="n">
        <v>0</v>
      </c>
      <c r="Q394" s="7" t="n">
        <v>0</v>
      </c>
      <c r="R394" s="7" t="n">
        <v>0</v>
      </c>
    </row>
    <row r="395" customFormat="false" ht="15" hidden="false" customHeight="true" outlineLevel="0" collapsed="false">
      <c r="A395" s="7" t="n">
        <v>788</v>
      </c>
      <c r="B395" s="7" t="s">
        <v>45</v>
      </c>
      <c r="C395" s="7" t="s">
        <v>897</v>
      </c>
      <c r="D395" s="7" t="s">
        <v>918</v>
      </c>
      <c r="E395" s="7" t="s">
        <v>127</v>
      </c>
      <c r="F395" s="7" t="n">
        <v>28</v>
      </c>
      <c r="G395" s="7" t="n">
        <v>6.02</v>
      </c>
      <c r="H395" s="7" t="n">
        <v>6.04</v>
      </c>
      <c r="I395" s="7" t="n">
        <v>1</v>
      </c>
      <c r="J395" s="7" t="n">
        <v>0</v>
      </c>
      <c r="K395" s="7" t="n">
        <v>0</v>
      </c>
      <c r="L395" s="7" t="n">
        <v>0</v>
      </c>
      <c r="M395" s="7" t="n">
        <v>0</v>
      </c>
      <c r="N395" s="7" t="n">
        <v>0</v>
      </c>
      <c r="O395" s="7" t="n">
        <v>2</v>
      </c>
      <c r="P395" s="7" t="n">
        <v>5</v>
      </c>
      <c r="Q395" s="7" t="n">
        <v>0</v>
      </c>
      <c r="R395" s="7" t="n">
        <v>1</v>
      </c>
    </row>
    <row r="396" customFormat="false" ht="15" hidden="false" customHeight="true" outlineLevel="0" collapsed="false">
      <c r="A396" s="7" t="n">
        <v>5298</v>
      </c>
      <c r="B396" s="7" t="s">
        <v>45</v>
      </c>
      <c r="C396" s="7" t="s">
        <v>897</v>
      </c>
      <c r="D396" s="7" t="s">
        <v>430</v>
      </c>
      <c r="E396" s="7" t="s">
        <v>127</v>
      </c>
      <c r="F396" s="7" t="n">
        <v>23</v>
      </c>
      <c r="G396" s="7" t="n">
        <v>5.83</v>
      </c>
      <c r="H396" s="7" t="n">
        <v>6.17</v>
      </c>
      <c r="I396" s="7" t="n">
        <v>3</v>
      </c>
      <c r="J396" s="7" t="n">
        <v>0</v>
      </c>
      <c r="K396" s="7" t="n">
        <v>0</v>
      </c>
      <c r="L396" s="7" t="n">
        <v>0</v>
      </c>
      <c r="M396" s="7" t="n">
        <v>0</v>
      </c>
      <c r="N396" s="7" t="n">
        <v>0</v>
      </c>
      <c r="O396" s="7" t="n">
        <v>1</v>
      </c>
      <c r="P396" s="7" t="n">
        <v>2</v>
      </c>
      <c r="Q396" s="7" t="n">
        <v>1</v>
      </c>
      <c r="R396" s="7" t="n">
        <v>0</v>
      </c>
    </row>
    <row r="397" customFormat="false" ht="15" hidden="false" customHeight="true" outlineLevel="0" collapsed="false">
      <c r="A397" s="7" t="n">
        <v>4870</v>
      </c>
      <c r="B397" s="7" t="s">
        <v>45</v>
      </c>
      <c r="C397" s="7" t="s">
        <v>897</v>
      </c>
      <c r="D397" s="7" t="s">
        <v>431</v>
      </c>
      <c r="E397" s="7" t="s">
        <v>129</v>
      </c>
      <c r="F397" s="7" t="n">
        <v>38</v>
      </c>
      <c r="G397" s="7" t="n">
        <v>5.83</v>
      </c>
      <c r="H397" s="7" t="n">
        <v>5.88</v>
      </c>
      <c r="I397" s="7" t="n">
        <v>1</v>
      </c>
      <c r="J397" s="7" t="n">
        <v>0</v>
      </c>
      <c r="K397" s="7" t="n">
        <v>0</v>
      </c>
      <c r="L397" s="7" t="n">
        <v>0</v>
      </c>
      <c r="M397" s="7" t="n">
        <v>0</v>
      </c>
      <c r="N397" s="7" t="n">
        <v>0</v>
      </c>
      <c r="O397" s="7" t="n">
        <v>1</v>
      </c>
      <c r="P397" s="7" t="n">
        <v>4</v>
      </c>
      <c r="Q397" s="7" t="n">
        <v>0</v>
      </c>
      <c r="R397" s="7" t="n">
        <v>0</v>
      </c>
    </row>
    <row r="398" customFormat="false" ht="15" hidden="false" customHeight="true" outlineLevel="0" collapsed="false">
      <c r="A398" s="7" t="n">
        <v>6020</v>
      </c>
      <c r="B398" s="7" t="s">
        <v>45</v>
      </c>
      <c r="C398" s="7" t="s">
        <v>902</v>
      </c>
      <c r="D398" s="7" t="s">
        <v>436</v>
      </c>
      <c r="E398" s="7" t="s">
        <v>137</v>
      </c>
      <c r="F398" s="7" t="n">
        <v>35</v>
      </c>
      <c r="G398" s="7" t="n">
        <v>5.84</v>
      </c>
      <c r="H398" s="7" t="n">
        <v>5.91</v>
      </c>
      <c r="I398" s="7" t="n">
        <v>1</v>
      </c>
      <c r="J398" s="7" t="n">
        <v>0</v>
      </c>
      <c r="K398" s="7" t="n">
        <v>0</v>
      </c>
      <c r="L398" s="7" t="n">
        <v>0</v>
      </c>
      <c r="M398" s="7" t="n">
        <v>0</v>
      </c>
      <c r="N398" s="7" t="n">
        <v>0</v>
      </c>
      <c r="O398" s="7" t="n">
        <v>1</v>
      </c>
      <c r="P398" s="7" t="n">
        <v>1</v>
      </c>
      <c r="Q398" s="7" t="n">
        <v>1</v>
      </c>
      <c r="R398" s="7" t="n">
        <v>0</v>
      </c>
    </row>
    <row r="399" customFormat="false" ht="15" hidden="false" customHeight="true" outlineLevel="0" collapsed="false">
      <c r="A399" s="7" t="n">
        <v>5301</v>
      </c>
      <c r="B399" s="7" t="s">
        <v>45</v>
      </c>
      <c r="C399" s="7" t="s">
        <v>904</v>
      </c>
      <c r="D399" s="7" t="s">
        <v>479</v>
      </c>
      <c r="E399" s="7" t="s">
        <v>115</v>
      </c>
      <c r="F399" s="7" t="n">
        <v>27</v>
      </c>
      <c r="G399" s="7" t="n">
        <v>5.89</v>
      </c>
      <c r="H399" s="7" t="n">
        <v>6.06</v>
      </c>
      <c r="I399" s="7" t="n">
        <v>1</v>
      </c>
      <c r="J399" s="7" t="n">
        <v>0</v>
      </c>
      <c r="K399" s="7" t="n">
        <v>0</v>
      </c>
      <c r="L399" s="7" t="n">
        <v>0</v>
      </c>
      <c r="M399" s="7" t="n">
        <v>0</v>
      </c>
      <c r="N399" s="7" t="n">
        <v>0</v>
      </c>
      <c r="O399" s="7" t="n">
        <v>2</v>
      </c>
      <c r="P399" s="7" t="n">
        <v>1</v>
      </c>
      <c r="Q399" s="7" t="n">
        <v>0</v>
      </c>
      <c r="R399" s="7" t="n">
        <v>0</v>
      </c>
    </row>
    <row r="400" customFormat="false" ht="15" hidden="false" customHeight="true" outlineLevel="0" collapsed="false">
      <c r="A400" s="7" t="n">
        <v>6394</v>
      </c>
      <c r="B400" s="7" t="s">
        <v>45</v>
      </c>
      <c r="C400" s="7" t="s">
        <v>897</v>
      </c>
      <c r="D400" s="7" t="s">
        <v>919</v>
      </c>
      <c r="E400" s="7" t="s">
        <v>139</v>
      </c>
      <c r="F400" s="7" t="n">
        <v>37</v>
      </c>
      <c r="G400" s="7" t="n">
        <v>5.91</v>
      </c>
      <c r="H400" s="7" t="n">
        <v>5.85</v>
      </c>
      <c r="I400" s="7" t="n">
        <v>1</v>
      </c>
      <c r="J400" s="7" t="n">
        <v>0</v>
      </c>
      <c r="K400" s="7" t="n">
        <v>0</v>
      </c>
      <c r="L400" s="7" t="n">
        <v>0</v>
      </c>
      <c r="M400" s="7" t="n">
        <v>0</v>
      </c>
      <c r="N400" s="7" t="n">
        <v>0</v>
      </c>
      <c r="O400" s="7" t="n">
        <v>0</v>
      </c>
      <c r="P400" s="7" t="n">
        <v>10</v>
      </c>
      <c r="Q400" s="7" t="n">
        <v>0</v>
      </c>
      <c r="R400" s="7" t="n">
        <v>0</v>
      </c>
    </row>
    <row r="401" customFormat="false" ht="15" hidden="false" customHeight="true" outlineLevel="0" collapsed="false">
      <c r="A401" s="7" t="n">
        <v>6271</v>
      </c>
      <c r="B401" s="7" t="s">
        <v>45</v>
      </c>
      <c r="C401" s="7" t="s">
        <v>897</v>
      </c>
      <c r="D401" s="7" t="s">
        <v>488</v>
      </c>
      <c r="E401" s="7" t="s">
        <v>113</v>
      </c>
      <c r="F401" s="7" t="n">
        <v>21</v>
      </c>
      <c r="G401" s="7" t="n">
        <v>5.98</v>
      </c>
      <c r="H401" s="7" t="n">
        <v>6.1</v>
      </c>
      <c r="I401" s="7" t="n">
        <v>1</v>
      </c>
      <c r="J401" s="7" t="n">
        <v>0</v>
      </c>
      <c r="K401" s="7" t="n">
        <v>0</v>
      </c>
      <c r="L401" s="7" t="n">
        <v>0</v>
      </c>
      <c r="M401" s="7" t="n">
        <v>0</v>
      </c>
      <c r="N401" s="7" t="n">
        <v>0</v>
      </c>
      <c r="O401" s="7" t="n">
        <v>2</v>
      </c>
      <c r="P401" s="7" t="n">
        <v>5</v>
      </c>
      <c r="Q401" s="7" t="n">
        <v>0</v>
      </c>
      <c r="R401" s="7" t="n">
        <v>0</v>
      </c>
    </row>
    <row r="402" customFormat="false" ht="15" hidden="false" customHeight="true" outlineLevel="0" collapsed="false">
      <c r="A402" s="7" t="n">
        <v>6815</v>
      </c>
      <c r="B402" s="7" t="s">
        <v>45</v>
      </c>
      <c r="C402" s="7" t="s">
        <v>899</v>
      </c>
      <c r="D402" s="7" t="s">
        <v>509</v>
      </c>
      <c r="E402" s="7" t="s">
        <v>144</v>
      </c>
      <c r="F402" s="7" t="n">
        <v>24</v>
      </c>
      <c r="G402" s="7" t="n">
        <v>5.92</v>
      </c>
      <c r="H402" s="7" t="n">
        <v>6.15</v>
      </c>
      <c r="I402" s="7" t="n">
        <v>2</v>
      </c>
      <c r="J402" s="7" t="n">
        <v>0</v>
      </c>
      <c r="K402" s="7" t="n">
        <v>0</v>
      </c>
      <c r="L402" s="7" t="n">
        <v>0</v>
      </c>
      <c r="M402" s="7" t="n">
        <v>0</v>
      </c>
      <c r="N402" s="7" t="n">
        <v>0</v>
      </c>
      <c r="O402" s="7" t="n">
        <v>1</v>
      </c>
      <c r="P402" s="7" t="n">
        <v>5</v>
      </c>
      <c r="Q402" s="7" t="n">
        <v>0</v>
      </c>
      <c r="R402" s="7" t="n">
        <v>0</v>
      </c>
    </row>
    <row r="403" customFormat="false" ht="15" hidden="false" customHeight="true" outlineLevel="0" collapsed="false">
      <c r="A403" s="7" t="n">
        <v>2839</v>
      </c>
      <c r="B403" s="7" t="s">
        <v>45</v>
      </c>
      <c r="C403" s="7" t="s">
        <v>901</v>
      </c>
      <c r="D403" s="7" t="s">
        <v>920</v>
      </c>
      <c r="E403" s="7" t="s">
        <v>139</v>
      </c>
      <c r="F403" s="7" t="n">
        <v>21</v>
      </c>
      <c r="G403" s="7" t="n">
        <v>6.02</v>
      </c>
      <c r="H403" s="7" t="n">
        <v>6.24</v>
      </c>
      <c r="I403" s="7" t="n">
        <v>1</v>
      </c>
      <c r="J403" s="7" t="n">
        <v>0</v>
      </c>
      <c r="K403" s="7" t="n">
        <v>0</v>
      </c>
      <c r="L403" s="7" t="n">
        <v>0</v>
      </c>
      <c r="M403" s="7" t="n">
        <v>0</v>
      </c>
      <c r="N403" s="7" t="n">
        <v>0</v>
      </c>
      <c r="O403" s="7" t="n">
        <v>2</v>
      </c>
      <c r="P403" s="7" t="n">
        <v>1</v>
      </c>
      <c r="Q403" s="7" t="n">
        <v>0</v>
      </c>
      <c r="R403" s="7" t="n">
        <v>0</v>
      </c>
    </row>
    <row r="404" customFormat="false" ht="15" hidden="false" customHeight="true" outlineLevel="0" collapsed="false">
      <c r="A404" s="7" t="n">
        <v>7223</v>
      </c>
      <c r="B404" s="7" t="s">
        <v>45</v>
      </c>
      <c r="C404" s="7" t="s">
        <v>905</v>
      </c>
      <c r="D404" s="7" t="s">
        <v>415</v>
      </c>
      <c r="E404" s="7" t="s">
        <v>125</v>
      </c>
      <c r="F404" s="7" t="n">
        <v>8</v>
      </c>
      <c r="G404" s="7" t="n">
        <v>6.25</v>
      </c>
      <c r="H404" s="7" t="n">
        <v>6.5</v>
      </c>
      <c r="I404" s="7" t="n">
        <v>1</v>
      </c>
      <c r="J404" s="7" t="n">
        <v>0</v>
      </c>
      <c r="K404" s="7" t="n">
        <v>0</v>
      </c>
      <c r="L404" s="7" t="n">
        <v>0</v>
      </c>
      <c r="M404" s="7" t="n">
        <v>0</v>
      </c>
      <c r="N404" s="7" t="n">
        <v>0</v>
      </c>
      <c r="O404" s="7" t="n">
        <v>0</v>
      </c>
      <c r="P404" s="7" t="n">
        <v>2</v>
      </c>
      <c r="Q404" s="7" t="n">
        <v>0</v>
      </c>
      <c r="R404" s="7" t="n">
        <v>0</v>
      </c>
    </row>
    <row r="405" customFormat="false" ht="15" hidden="false" customHeight="true" outlineLevel="0" collapsed="false">
      <c r="A405" s="7" t="n">
        <v>2670</v>
      </c>
      <c r="B405" s="7" t="s">
        <v>45</v>
      </c>
      <c r="C405" s="7" t="s">
        <v>901</v>
      </c>
      <c r="D405" s="7" t="s">
        <v>921</v>
      </c>
      <c r="E405" s="7" t="s">
        <v>113</v>
      </c>
      <c r="F405" s="7" t="n">
        <v>5</v>
      </c>
      <c r="G405" s="7" t="n">
        <v>5.7</v>
      </c>
      <c r="H405" s="7" t="n">
        <v>5.7</v>
      </c>
      <c r="I405" s="7" t="n">
        <v>0</v>
      </c>
      <c r="J405" s="7" t="n">
        <v>0</v>
      </c>
      <c r="K405" s="7" t="n">
        <v>0</v>
      </c>
      <c r="L405" s="7" t="n">
        <v>0</v>
      </c>
      <c r="M405" s="7" t="n">
        <v>0</v>
      </c>
      <c r="N405" s="7" t="n">
        <v>0</v>
      </c>
      <c r="O405" s="7" t="n">
        <v>0</v>
      </c>
      <c r="P405" s="7" t="n">
        <v>0</v>
      </c>
      <c r="Q405" s="7" t="n">
        <v>0</v>
      </c>
      <c r="R405" s="7" t="n">
        <v>0</v>
      </c>
    </row>
    <row r="406" customFormat="false" ht="15" hidden="false" customHeight="true" outlineLevel="0" collapsed="false">
      <c r="A406" s="7" t="n">
        <v>2528</v>
      </c>
      <c r="B406" s="7" t="s">
        <v>45</v>
      </c>
      <c r="C406" s="7" t="s">
        <v>897</v>
      </c>
      <c r="D406" s="7" t="s">
        <v>463</v>
      </c>
      <c r="E406" s="7" t="s">
        <v>144</v>
      </c>
      <c r="F406" s="7" t="n">
        <v>34</v>
      </c>
      <c r="G406" s="7" t="n">
        <v>5.96</v>
      </c>
      <c r="H406" s="7" t="n">
        <v>5.96</v>
      </c>
      <c r="I406" s="7" t="n">
        <v>1</v>
      </c>
      <c r="J406" s="7" t="n">
        <v>0</v>
      </c>
      <c r="K406" s="7" t="n">
        <v>0</v>
      </c>
      <c r="L406" s="7" t="n">
        <v>0</v>
      </c>
      <c r="M406" s="7" t="n">
        <v>0</v>
      </c>
      <c r="N406" s="7" t="n">
        <v>0</v>
      </c>
      <c r="O406" s="7" t="n">
        <v>1</v>
      </c>
      <c r="P406" s="7" t="n">
        <v>6</v>
      </c>
      <c r="Q406" s="7" t="n">
        <v>1</v>
      </c>
      <c r="R406" s="7" t="n">
        <v>0</v>
      </c>
    </row>
    <row r="407" customFormat="false" ht="15" hidden="false" customHeight="true" outlineLevel="0" collapsed="false">
      <c r="A407" s="7" t="n">
        <v>4349</v>
      </c>
      <c r="B407" s="7" t="s">
        <v>45</v>
      </c>
      <c r="C407" s="7" t="s">
        <v>897</v>
      </c>
      <c r="D407" s="7" t="s">
        <v>443</v>
      </c>
      <c r="E407" s="7" t="s">
        <v>141</v>
      </c>
      <c r="F407" s="7" t="n">
        <v>23</v>
      </c>
      <c r="G407" s="7" t="n">
        <v>5.89</v>
      </c>
      <c r="H407" s="7" t="n">
        <v>6.02</v>
      </c>
      <c r="I407" s="7" t="n">
        <v>0</v>
      </c>
      <c r="J407" s="7" t="n">
        <v>0</v>
      </c>
      <c r="K407" s="7" t="n">
        <v>0</v>
      </c>
      <c r="L407" s="7" t="n">
        <v>0</v>
      </c>
      <c r="M407" s="7" t="n">
        <v>0</v>
      </c>
      <c r="N407" s="7" t="n">
        <v>0</v>
      </c>
      <c r="O407" s="7" t="n">
        <v>4</v>
      </c>
      <c r="P407" s="7" t="n">
        <v>4</v>
      </c>
      <c r="Q407" s="7" t="n">
        <v>0</v>
      </c>
      <c r="R407" s="7" t="n">
        <v>0</v>
      </c>
    </row>
    <row r="408" customFormat="false" ht="15" hidden="false" customHeight="true" outlineLevel="0" collapsed="false">
      <c r="A408" s="7" t="n">
        <v>6424</v>
      </c>
      <c r="B408" s="7" t="s">
        <v>45</v>
      </c>
      <c r="C408" s="7" t="s">
        <v>897</v>
      </c>
      <c r="D408" s="7" t="s">
        <v>474</v>
      </c>
      <c r="E408" s="7" t="s">
        <v>184</v>
      </c>
      <c r="F408" s="7" t="n">
        <v>32</v>
      </c>
      <c r="G408" s="7" t="n">
        <v>5.88</v>
      </c>
      <c r="H408" s="7" t="n">
        <v>5.88</v>
      </c>
      <c r="I408" s="7" t="n">
        <v>1</v>
      </c>
      <c r="J408" s="7" t="n">
        <v>0</v>
      </c>
      <c r="K408" s="7" t="n">
        <v>0</v>
      </c>
      <c r="L408" s="7" t="n">
        <v>0</v>
      </c>
      <c r="M408" s="7" t="n">
        <v>0</v>
      </c>
      <c r="N408" s="7" t="n">
        <v>0</v>
      </c>
      <c r="O408" s="7" t="n">
        <v>0</v>
      </c>
      <c r="P408" s="7" t="n">
        <v>6</v>
      </c>
      <c r="Q408" s="7" t="n">
        <v>0</v>
      </c>
      <c r="R408" s="7" t="n">
        <v>0</v>
      </c>
    </row>
    <row r="409" customFormat="false" ht="15" hidden="false" customHeight="true" outlineLevel="0" collapsed="false">
      <c r="A409" s="7" t="n">
        <v>6640</v>
      </c>
      <c r="B409" s="7" t="s">
        <v>45</v>
      </c>
      <c r="C409" s="7" t="s">
        <v>899</v>
      </c>
      <c r="D409" s="7" t="s">
        <v>448</v>
      </c>
      <c r="E409" s="7" t="s">
        <v>129</v>
      </c>
      <c r="F409" s="7" t="n">
        <v>11</v>
      </c>
      <c r="G409" s="7" t="n">
        <v>6.05</v>
      </c>
      <c r="H409" s="7" t="n">
        <v>6.55</v>
      </c>
      <c r="I409" s="7" t="n">
        <v>2</v>
      </c>
      <c r="J409" s="7" t="n">
        <v>0</v>
      </c>
      <c r="K409" s="7" t="n">
        <v>0</v>
      </c>
      <c r="L409" s="7" t="n">
        <v>0</v>
      </c>
      <c r="M409" s="7" t="n">
        <v>0</v>
      </c>
      <c r="N409" s="7" t="n">
        <v>0</v>
      </c>
      <c r="O409" s="7" t="n">
        <v>1</v>
      </c>
      <c r="P409" s="7" t="n">
        <v>3</v>
      </c>
      <c r="Q409" s="7" t="n">
        <v>0</v>
      </c>
      <c r="R409" s="7" t="n">
        <v>0</v>
      </c>
    </row>
    <row r="410" customFormat="false" ht="15" hidden="false" customHeight="true" outlineLevel="0" collapsed="false">
      <c r="A410" s="7" t="n">
        <v>4662</v>
      </c>
      <c r="B410" s="7" t="s">
        <v>45</v>
      </c>
      <c r="C410" s="7" t="s">
        <v>904</v>
      </c>
      <c r="D410" s="7" t="s">
        <v>922</v>
      </c>
      <c r="E410" s="7" t="s">
        <v>131</v>
      </c>
      <c r="F410" s="7" t="n">
        <v>0</v>
      </c>
      <c r="G410" s="7" t="n">
        <v>0</v>
      </c>
      <c r="H410" s="7" t="n">
        <v>0</v>
      </c>
      <c r="I410" s="7" t="n">
        <v>0</v>
      </c>
      <c r="J410" s="7" t="n">
        <v>0</v>
      </c>
      <c r="K410" s="7" t="n">
        <v>0</v>
      </c>
      <c r="L410" s="7" t="n">
        <v>0</v>
      </c>
      <c r="M410" s="7" t="n">
        <v>0</v>
      </c>
      <c r="N410" s="7" t="n">
        <v>0</v>
      </c>
      <c r="O410" s="7" t="n">
        <v>0</v>
      </c>
      <c r="P410" s="7" t="n">
        <v>0</v>
      </c>
      <c r="Q410" s="7" t="n">
        <v>0</v>
      </c>
      <c r="R410" s="7" t="n">
        <v>0</v>
      </c>
    </row>
    <row r="411" customFormat="false" ht="15" hidden="false" customHeight="true" outlineLevel="0" collapsed="false">
      <c r="A411" s="7" t="n">
        <v>5813</v>
      </c>
      <c r="B411" s="7" t="s">
        <v>45</v>
      </c>
      <c r="C411" s="7" t="s">
        <v>895</v>
      </c>
      <c r="D411" s="7" t="s">
        <v>500</v>
      </c>
      <c r="E411" s="7" t="s">
        <v>131</v>
      </c>
      <c r="F411" s="7" t="n">
        <v>15</v>
      </c>
      <c r="G411" s="7" t="n">
        <v>5.97</v>
      </c>
      <c r="H411" s="7" t="n">
        <v>6.2</v>
      </c>
      <c r="I411" s="7" t="n">
        <v>1</v>
      </c>
      <c r="J411" s="7" t="n">
        <v>0</v>
      </c>
      <c r="K411" s="7" t="n">
        <v>0</v>
      </c>
      <c r="L411" s="7" t="n">
        <v>0</v>
      </c>
      <c r="M411" s="7" t="n">
        <v>0</v>
      </c>
      <c r="N411" s="7" t="n">
        <v>0</v>
      </c>
      <c r="O411" s="7" t="n">
        <v>1</v>
      </c>
      <c r="P411" s="7" t="n">
        <v>1</v>
      </c>
      <c r="Q411" s="7" t="n">
        <v>0</v>
      </c>
      <c r="R411" s="7" t="n">
        <v>0</v>
      </c>
    </row>
    <row r="412" customFormat="false" ht="15" hidden="false" customHeight="true" outlineLevel="0" collapsed="false">
      <c r="A412" s="7" t="n">
        <v>6015</v>
      </c>
      <c r="B412" s="7" t="s">
        <v>45</v>
      </c>
      <c r="C412" s="7" t="s">
        <v>895</v>
      </c>
      <c r="D412" s="7" t="s">
        <v>457</v>
      </c>
      <c r="E412" s="7" t="s">
        <v>139</v>
      </c>
      <c r="F412" s="7" t="n">
        <v>12</v>
      </c>
      <c r="G412" s="7" t="n">
        <v>6.17</v>
      </c>
      <c r="H412" s="7" t="n">
        <v>6.92</v>
      </c>
      <c r="I412" s="7" t="n">
        <v>2</v>
      </c>
      <c r="J412" s="7" t="n">
        <v>0</v>
      </c>
      <c r="K412" s="7" t="n">
        <v>0</v>
      </c>
      <c r="L412" s="7" t="n">
        <v>0</v>
      </c>
      <c r="M412" s="7" t="n">
        <v>0</v>
      </c>
      <c r="N412" s="7" t="n">
        <v>0</v>
      </c>
      <c r="O412" s="7" t="n">
        <v>3</v>
      </c>
      <c r="P412" s="7" t="n">
        <v>0</v>
      </c>
      <c r="Q412" s="7" t="n">
        <v>0</v>
      </c>
      <c r="R412" s="7" t="n">
        <v>0</v>
      </c>
    </row>
    <row r="413" customFormat="false" ht="15" hidden="false" customHeight="true" outlineLevel="0" collapsed="false">
      <c r="A413" s="7" t="n">
        <v>6549</v>
      </c>
      <c r="B413" s="7" t="s">
        <v>45</v>
      </c>
      <c r="C413" s="7" t="s">
        <v>901</v>
      </c>
      <c r="D413" s="7" t="s">
        <v>440</v>
      </c>
      <c r="E413" s="7" t="s">
        <v>139</v>
      </c>
      <c r="F413" s="7" t="n">
        <v>37</v>
      </c>
      <c r="G413" s="7" t="n">
        <v>5.8</v>
      </c>
      <c r="H413" s="7" t="n">
        <v>5.85</v>
      </c>
      <c r="I413" s="7" t="n">
        <v>1</v>
      </c>
      <c r="J413" s="7" t="n">
        <v>0</v>
      </c>
      <c r="K413" s="7" t="n">
        <v>0</v>
      </c>
      <c r="L413" s="7" t="n">
        <v>0</v>
      </c>
      <c r="M413" s="7" t="n">
        <v>0</v>
      </c>
      <c r="N413" s="7" t="n">
        <v>0</v>
      </c>
      <c r="O413" s="7" t="n">
        <v>1</v>
      </c>
      <c r="P413" s="7" t="n">
        <v>4</v>
      </c>
      <c r="Q413" s="7" t="n">
        <v>0</v>
      </c>
      <c r="R413" s="7" t="n">
        <v>0</v>
      </c>
    </row>
    <row r="414" customFormat="false" ht="15" hidden="false" customHeight="true" outlineLevel="0" collapsed="false">
      <c r="A414" s="7" t="n">
        <v>5131</v>
      </c>
      <c r="B414" s="7" t="s">
        <v>45</v>
      </c>
      <c r="C414" s="7" t="s">
        <v>897</v>
      </c>
      <c r="D414" s="7" t="s">
        <v>502</v>
      </c>
      <c r="E414" s="7" t="s">
        <v>125</v>
      </c>
      <c r="F414" s="7" t="n">
        <v>13</v>
      </c>
      <c r="G414" s="7" t="n">
        <v>6.08</v>
      </c>
      <c r="H414" s="7" t="n">
        <v>6.27</v>
      </c>
      <c r="I414" s="7" t="n">
        <v>1</v>
      </c>
      <c r="J414" s="7" t="n">
        <v>0</v>
      </c>
      <c r="K414" s="7" t="n">
        <v>0</v>
      </c>
      <c r="L414" s="7" t="n">
        <v>0</v>
      </c>
      <c r="M414" s="7" t="n">
        <v>0</v>
      </c>
      <c r="N414" s="7" t="n">
        <v>0</v>
      </c>
      <c r="O414" s="7" t="n">
        <v>0</v>
      </c>
      <c r="P414" s="7" t="n">
        <v>1</v>
      </c>
      <c r="Q414" s="7" t="n">
        <v>0</v>
      </c>
      <c r="R414" s="7" t="n">
        <v>0</v>
      </c>
    </row>
    <row r="415" customFormat="false" ht="15" hidden="false" customHeight="true" outlineLevel="0" collapsed="false">
      <c r="A415" s="7" t="n">
        <v>6170</v>
      </c>
      <c r="B415" s="7" t="s">
        <v>45</v>
      </c>
      <c r="C415" s="7" t="s">
        <v>45</v>
      </c>
      <c r="D415" s="7" t="s">
        <v>467</v>
      </c>
      <c r="E415" s="7" t="s">
        <v>184</v>
      </c>
      <c r="F415" s="7" t="n">
        <v>27</v>
      </c>
      <c r="G415" s="7" t="n">
        <v>5.87</v>
      </c>
      <c r="H415" s="7" t="n">
        <v>5.81</v>
      </c>
      <c r="I415" s="7" t="n">
        <v>0</v>
      </c>
      <c r="J415" s="7" t="n">
        <v>0</v>
      </c>
      <c r="K415" s="7" t="n">
        <v>0</v>
      </c>
      <c r="L415" s="7" t="n">
        <v>0</v>
      </c>
      <c r="M415" s="7" t="n">
        <v>0</v>
      </c>
      <c r="N415" s="7" t="n">
        <v>0</v>
      </c>
      <c r="O415" s="7" t="n">
        <v>1</v>
      </c>
      <c r="P415" s="7" t="n">
        <v>5</v>
      </c>
      <c r="Q415" s="7" t="n">
        <v>0</v>
      </c>
      <c r="R415" s="7" t="n">
        <v>0</v>
      </c>
    </row>
    <row r="416" customFormat="false" ht="15" hidden="false" customHeight="true" outlineLevel="0" collapsed="false">
      <c r="A416" s="7" t="n">
        <v>7028</v>
      </c>
      <c r="B416" s="7" t="s">
        <v>45</v>
      </c>
      <c r="C416" s="7" t="s">
        <v>45</v>
      </c>
      <c r="D416" s="7" t="s">
        <v>923</v>
      </c>
      <c r="E416" s="7" t="s">
        <v>752</v>
      </c>
      <c r="F416" s="7" t="n">
        <v>31</v>
      </c>
      <c r="G416" s="7" t="n">
        <v>5.87</v>
      </c>
      <c r="H416" s="7" t="n">
        <v>6</v>
      </c>
      <c r="I416" s="7" t="n">
        <v>1</v>
      </c>
      <c r="J416" s="7" t="n">
        <v>0</v>
      </c>
      <c r="K416" s="7" t="n">
        <v>0</v>
      </c>
      <c r="L416" s="7" t="n">
        <v>0</v>
      </c>
      <c r="M416" s="7" t="n">
        <v>0</v>
      </c>
      <c r="N416" s="7" t="n">
        <v>0</v>
      </c>
      <c r="O416" s="7" t="n">
        <v>2</v>
      </c>
      <c r="P416" s="7" t="n">
        <v>2</v>
      </c>
      <c r="Q416" s="7" t="n">
        <v>0</v>
      </c>
      <c r="R416" s="7" t="n">
        <v>0</v>
      </c>
    </row>
    <row r="417" customFormat="false" ht="15" hidden="false" customHeight="true" outlineLevel="0" collapsed="false">
      <c r="A417" s="7" t="n">
        <v>7198</v>
      </c>
      <c r="B417" s="7" t="s">
        <v>45</v>
      </c>
      <c r="C417" s="7" t="s">
        <v>45</v>
      </c>
      <c r="D417" s="7" t="s">
        <v>468</v>
      </c>
      <c r="E417" s="7" t="s">
        <v>135</v>
      </c>
      <c r="F417" s="7" t="n">
        <v>30</v>
      </c>
      <c r="G417" s="7" t="n">
        <v>5.88</v>
      </c>
      <c r="H417" s="7" t="n">
        <v>5.95</v>
      </c>
      <c r="I417" s="7" t="n">
        <v>1</v>
      </c>
      <c r="J417" s="7" t="n">
        <v>0</v>
      </c>
      <c r="K417" s="7" t="n">
        <v>0</v>
      </c>
      <c r="L417" s="7" t="n">
        <v>0</v>
      </c>
      <c r="M417" s="7" t="n">
        <v>0</v>
      </c>
      <c r="N417" s="7" t="n">
        <v>0</v>
      </c>
      <c r="O417" s="7" t="n">
        <v>0</v>
      </c>
      <c r="P417" s="7" t="n">
        <v>2</v>
      </c>
      <c r="Q417" s="7" t="n">
        <v>0</v>
      </c>
      <c r="R417" s="7" t="n">
        <v>0</v>
      </c>
    </row>
    <row r="418" customFormat="false" ht="15" hidden="false" customHeight="true" outlineLevel="0" collapsed="false">
      <c r="A418" s="7" t="n">
        <v>7208</v>
      </c>
      <c r="B418" s="7" t="s">
        <v>45</v>
      </c>
      <c r="C418" s="7" t="s">
        <v>897</v>
      </c>
      <c r="D418" s="7" t="s">
        <v>506</v>
      </c>
      <c r="E418" s="7" t="s">
        <v>135</v>
      </c>
      <c r="F418" s="7" t="n">
        <v>19</v>
      </c>
      <c r="G418" s="7" t="n">
        <v>5.92</v>
      </c>
      <c r="H418" s="7" t="n">
        <v>5.95</v>
      </c>
      <c r="I418" s="7" t="n">
        <v>0</v>
      </c>
      <c r="J418" s="7" t="n">
        <v>0</v>
      </c>
      <c r="K418" s="7" t="n">
        <v>0</v>
      </c>
      <c r="L418" s="7" t="n">
        <v>0</v>
      </c>
      <c r="M418" s="7" t="n">
        <v>0</v>
      </c>
      <c r="N418" s="7" t="n">
        <v>0</v>
      </c>
      <c r="O418" s="7" t="n">
        <v>2</v>
      </c>
      <c r="P418" s="7" t="n">
        <v>4</v>
      </c>
      <c r="Q418" s="7" t="n">
        <v>0</v>
      </c>
      <c r="R418" s="7" t="n">
        <v>0</v>
      </c>
    </row>
    <row r="419" customFormat="false" ht="15" hidden="false" customHeight="true" outlineLevel="0" collapsed="false">
      <c r="A419" s="7" t="n">
        <v>7209</v>
      </c>
      <c r="B419" s="7" t="s">
        <v>45</v>
      </c>
      <c r="C419" s="7" t="s">
        <v>45</v>
      </c>
      <c r="D419" s="7" t="s">
        <v>503</v>
      </c>
      <c r="E419" s="7" t="s">
        <v>141</v>
      </c>
      <c r="F419" s="7" t="n">
        <v>30</v>
      </c>
      <c r="G419" s="7" t="n">
        <v>5.85</v>
      </c>
      <c r="H419" s="7" t="n">
        <v>5.95</v>
      </c>
      <c r="I419" s="7" t="n">
        <v>1</v>
      </c>
      <c r="J419" s="7" t="n">
        <v>0</v>
      </c>
      <c r="K419" s="7" t="n">
        <v>0</v>
      </c>
      <c r="L419" s="7" t="n">
        <v>0</v>
      </c>
      <c r="M419" s="7" t="n">
        <v>0</v>
      </c>
      <c r="N419" s="7" t="n">
        <v>0</v>
      </c>
      <c r="O419" s="7" t="n">
        <v>1</v>
      </c>
      <c r="P419" s="7" t="n">
        <v>2</v>
      </c>
      <c r="Q419" s="7" t="n">
        <v>0</v>
      </c>
      <c r="R419" s="7" t="n">
        <v>0</v>
      </c>
    </row>
    <row r="420" customFormat="false" ht="15" hidden="false" customHeight="true" outlineLevel="0" collapsed="false">
      <c r="A420" s="7" t="n">
        <v>6005</v>
      </c>
      <c r="B420" s="7" t="s">
        <v>45</v>
      </c>
      <c r="C420" s="7" t="s">
        <v>895</v>
      </c>
      <c r="D420" s="7" t="s">
        <v>490</v>
      </c>
      <c r="E420" s="7" t="s">
        <v>184</v>
      </c>
      <c r="F420" s="7" t="n">
        <v>17</v>
      </c>
      <c r="G420" s="7" t="n">
        <v>5.82</v>
      </c>
      <c r="H420" s="7" t="n">
        <v>6</v>
      </c>
      <c r="I420" s="7" t="n">
        <v>1</v>
      </c>
      <c r="J420" s="7" t="n">
        <v>0</v>
      </c>
      <c r="K420" s="7" t="n">
        <v>0</v>
      </c>
      <c r="L420" s="7" t="n">
        <v>0</v>
      </c>
      <c r="M420" s="7" t="n">
        <v>0</v>
      </c>
      <c r="N420" s="7" t="n">
        <v>0</v>
      </c>
      <c r="O420" s="7" t="n">
        <v>2</v>
      </c>
      <c r="P420" s="7" t="n">
        <v>2</v>
      </c>
      <c r="Q420" s="7" t="n">
        <v>1</v>
      </c>
      <c r="R420" s="7" t="n">
        <v>0</v>
      </c>
    </row>
    <row r="421" customFormat="false" ht="15" hidden="false" customHeight="true" outlineLevel="0" collapsed="false">
      <c r="A421" s="7" t="n">
        <v>6274</v>
      </c>
      <c r="B421" s="7" t="s">
        <v>45</v>
      </c>
      <c r="C421" s="7" t="s">
        <v>45</v>
      </c>
      <c r="D421" s="7" t="s">
        <v>411</v>
      </c>
      <c r="E421" s="7" t="s">
        <v>115</v>
      </c>
      <c r="F421" s="7" t="n">
        <v>10</v>
      </c>
      <c r="G421" s="7" t="n">
        <v>6.15</v>
      </c>
      <c r="H421" s="7" t="n">
        <v>6.45</v>
      </c>
      <c r="I421" s="7" t="n">
        <v>1</v>
      </c>
      <c r="J421" s="7" t="n">
        <v>0</v>
      </c>
      <c r="K421" s="7" t="n">
        <v>0</v>
      </c>
      <c r="L421" s="7" t="n">
        <v>0</v>
      </c>
      <c r="M421" s="7" t="n">
        <v>0</v>
      </c>
      <c r="N421" s="7" t="n">
        <v>0</v>
      </c>
      <c r="O421" s="7" t="n">
        <v>0</v>
      </c>
      <c r="P421" s="7" t="n">
        <v>1</v>
      </c>
      <c r="Q421" s="7" t="n">
        <v>0</v>
      </c>
      <c r="R421" s="7" t="n">
        <v>0</v>
      </c>
    </row>
    <row r="422" customFormat="false" ht="15" hidden="false" customHeight="true" outlineLevel="0" collapsed="false">
      <c r="A422" s="7" t="n">
        <v>4479</v>
      </c>
      <c r="B422" s="7" t="s">
        <v>45</v>
      </c>
      <c r="C422" s="7" t="s">
        <v>905</v>
      </c>
      <c r="D422" s="7" t="s">
        <v>924</v>
      </c>
      <c r="E422" s="7" t="s">
        <v>125</v>
      </c>
      <c r="F422" s="7" t="n">
        <v>28</v>
      </c>
      <c r="G422" s="7" t="n">
        <v>5.8</v>
      </c>
      <c r="H422" s="7" t="n">
        <v>5.96</v>
      </c>
      <c r="I422" s="7" t="n">
        <v>1</v>
      </c>
      <c r="J422" s="7" t="n">
        <v>0</v>
      </c>
      <c r="K422" s="7" t="n">
        <v>0</v>
      </c>
      <c r="L422" s="7" t="n">
        <v>0</v>
      </c>
      <c r="M422" s="7" t="n">
        <v>0</v>
      </c>
      <c r="N422" s="7" t="n">
        <v>0</v>
      </c>
      <c r="O422" s="7" t="n">
        <v>3</v>
      </c>
      <c r="P422" s="7" t="n">
        <v>3</v>
      </c>
      <c r="Q422" s="7" t="n">
        <v>0</v>
      </c>
      <c r="R422" s="7" t="n">
        <v>0</v>
      </c>
    </row>
    <row r="423" customFormat="false" ht="15" hidden="false" customHeight="true" outlineLevel="0" collapsed="false">
      <c r="A423" s="7" t="n">
        <v>801</v>
      </c>
      <c r="B423" s="7" t="s">
        <v>45</v>
      </c>
      <c r="C423" s="7" t="s">
        <v>897</v>
      </c>
      <c r="D423" s="7" t="s">
        <v>925</v>
      </c>
      <c r="E423" s="7" t="s">
        <v>752</v>
      </c>
      <c r="F423" s="7" t="n">
        <v>29</v>
      </c>
      <c r="G423" s="7" t="n">
        <v>5.91</v>
      </c>
      <c r="H423" s="7" t="n">
        <v>5.84</v>
      </c>
      <c r="I423" s="7" t="n">
        <v>1</v>
      </c>
      <c r="J423" s="7" t="n">
        <v>0</v>
      </c>
      <c r="K423" s="7" t="n">
        <v>0</v>
      </c>
      <c r="L423" s="7" t="n">
        <v>0</v>
      </c>
      <c r="M423" s="7" t="n">
        <v>0</v>
      </c>
      <c r="N423" s="7" t="n">
        <v>0</v>
      </c>
      <c r="O423" s="7" t="n">
        <v>0</v>
      </c>
      <c r="P423" s="7" t="n">
        <v>10</v>
      </c>
      <c r="Q423" s="7" t="n">
        <v>0</v>
      </c>
      <c r="R423" s="7" t="n">
        <v>0</v>
      </c>
    </row>
    <row r="424" customFormat="false" ht="15" hidden="false" customHeight="true" outlineLevel="0" collapsed="false">
      <c r="A424" s="7" t="n">
        <v>6024</v>
      </c>
      <c r="B424" s="7" t="s">
        <v>45</v>
      </c>
      <c r="C424" s="7" t="s">
        <v>897</v>
      </c>
      <c r="D424" s="7" t="s">
        <v>492</v>
      </c>
      <c r="E424" s="7" t="s">
        <v>129</v>
      </c>
      <c r="F424" s="7" t="n">
        <v>18</v>
      </c>
      <c r="G424" s="7" t="n">
        <v>5.69</v>
      </c>
      <c r="H424" s="7" t="n">
        <v>5.78</v>
      </c>
      <c r="I424" s="7" t="n">
        <v>1</v>
      </c>
      <c r="J424" s="7" t="n">
        <v>0</v>
      </c>
      <c r="K424" s="7" t="n">
        <v>0</v>
      </c>
      <c r="L424" s="7" t="n">
        <v>0</v>
      </c>
      <c r="M424" s="7" t="n">
        <v>0</v>
      </c>
      <c r="N424" s="7" t="n">
        <v>0</v>
      </c>
      <c r="O424" s="7" t="n">
        <v>0</v>
      </c>
      <c r="P424" s="7" t="n">
        <v>3</v>
      </c>
      <c r="Q424" s="7" t="n">
        <v>0</v>
      </c>
      <c r="R424" s="7" t="n">
        <v>0</v>
      </c>
    </row>
    <row r="425" customFormat="false" ht="15" hidden="false" customHeight="true" outlineLevel="0" collapsed="false">
      <c r="A425" s="7" t="n">
        <v>5784</v>
      </c>
      <c r="B425" s="7" t="s">
        <v>45</v>
      </c>
      <c r="C425" s="7" t="s">
        <v>45</v>
      </c>
      <c r="D425" s="7" t="s">
        <v>926</v>
      </c>
      <c r="E425" s="7" t="s">
        <v>755</v>
      </c>
      <c r="F425" s="7" t="n">
        <v>35</v>
      </c>
      <c r="G425" s="7" t="n">
        <v>5.8</v>
      </c>
      <c r="H425" s="7" t="n">
        <v>5.8</v>
      </c>
      <c r="I425" s="7" t="n">
        <v>1</v>
      </c>
      <c r="J425" s="7" t="n">
        <v>0</v>
      </c>
      <c r="K425" s="7" t="n">
        <v>0</v>
      </c>
      <c r="L425" s="7" t="n">
        <v>0</v>
      </c>
      <c r="M425" s="7" t="n">
        <v>0</v>
      </c>
      <c r="N425" s="7" t="n">
        <v>0</v>
      </c>
      <c r="O425" s="7" t="n">
        <v>1</v>
      </c>
      <c r="P425" s="7" t="n">
        <v>8</v>
      </c>
      <c r="Q425" s="7" t="n">
        <v>0</v>
      </c>
      <c r="R425" s="7" t="n">
        <v>0</v>
      </c>
    </row>
    <row r="426" customFormat="false" ht="15" hidden="false" customHeight="true" outlineLevel="0" collapsed="false">
      <c r="A426" s="7" t="n">
        <v>6206</v>
      </c>
      <c r="B426" s="7" t="s">
        <v>45</v>
      </c>
      <c r="C426" s="7" t="s">
        <v>895</v>
      </c>
      <c r="D426" s="7" t="s">
        <v>475</v>
      </c>
      <c r="E426" s="7" t="s">
        <v>123</v>
      </c>
      <c r="F426" s="7" t="n">
        <v>22</v>
      </c>
      <c r="G426" s="7" t="n">
        <v>5.8</v>
      </c>
      <c r="H426" s="7" t="n">
        <v>6.05</v>
      </c>
      <c r="I426" s="7" t="n">
        <v>2</v>
      </c>
      <c r="J426" s="7" t="n">
        <v>0</v>
      </c>
      <c r="K426" s="7" t="n">
        <v>0</v>
      </c>
      <c r="L426" s="7" t="n">
        <v>0</v>
      </c>
      <c r="M426" s="7" t="n">
        <v>0</v>
      </c>
      <c r="N426" s="7" t="n">
        <v>0</v>
      </c>
      <c r="O426" s="7" t="n">
        <v>0</v>
      </c>
      <c r="P426" s="7" t="n">
        <v>2</v>
      </c>
      <c r="Q426" s="7" t="n">
        <v>0</v>
      </c>
      <c r="R426" s="7" t="n">
        <v>0</v>
      </c>
    </row>
    <row r="427" customFormat="false" ht="15" hidden="false" customHeight="true" outlineLevel="0" collapsed="false">
      <c r="A427" s="7" t="n">
        <v>1871</v>
      </c>
      <c r="B427" s="7" t="s">
        <v>45</v>
      </c>
      <c r="C427" s="7" t="s">
        <v>897</v>
      </c>
      <c r="D427" s="7" t="s">
        <v>494</v>
      </c>
      <c r="E427" s="7" t="s">
        <v>129</v>
      </c>
      <c r="F427" s="7" t="n">
        <v>20</v>
      </c>
      <c r="G427" s="7" t="n">
        <v>5.98</v>
      </c>
      <c r="H427" s="7" t="n">
        <v>5.95</v>
      </c>
      <c r="I427" s="7" t="n">
        <v>0</v>
      </c>
      <c r="J427" s="7" t="n">
        <v>0</v>
      </c>
      <c r="K427" s="7" t="n">
        <v>0</v>
      </c>
      <c r="L427" s="7" t="n">
        <v>0</v>
      </c>
      <c r="M427" s="7" t="n">
        <v>0</v>
      </c>
      <c r="N427" s="7" t="n">
        <v>0</v>
      </c>
      <c r="O427" s="7" t="n">
        <v>1</v>
      </c>
      <c r="P427" s="7" t="n">
        <v>3</v>
      </c>
      <c r="Q427" s="7" t="n">
        <v>0</v>
      </c>
      <c r="R427" s="7" t="n">
        <v>0</v>
      </c>
    </row>
    <row r="428" customFormat="false" ht="15" hidden="false" customHeight="true" outlineLevel="0" collapsed="false">
      <c r="A428" s="7" t="n">
        <v>181</v>
      </c>
      <c r="B428" s="7" t="s">
        <v>45</v>
      </c>
      <c r="C428" s="7" t="s">
        <v>897</v>
      </c>
      <c r="D428" s="7" t="s">
        <v>927</v>
      </c>
      <c r="E428" s="7" t="s">
        <v>133</v>
      </c>
      <c r="F428" s="7" t="n">
        <v>12</v>
      </c>
      <c r="G428" s="7" t="n">
        <v>5.92</v>
      </c>
      <c r="H428" s="7" t="n">
        <v>5.96</v>
      </c>
      <c r="I428" s="7" t="n">
        <v>0</v>
      </c>
      <c r="J428" s="7" t="n">
        <v>0</v>
      </c>
      <c r="K428" s="7" t="n">
        <v>0</v>
      </c>
      <c r="L428" s="7" t="n">
        <v>0</v>
      </c>
      <c r="M428" s="7" t="n">
        <v>0</v>
      </c>
      <c r="N428" s="7" t="n">
        <v>0</v>
      </c>
      <c r="O428" s="7" t="n">
        <v>1</v>
      </c>
      <c r="P428" s="7" t="n">
        <v>1</v>
      </c>
      <c r="Q428" s="7" t="n">
        <v>0</v>
      </c>
      <c r="R428" s="7" t="n">
        <v>0</v>
      </c>
    </row>
    <row r="429" customFormat="false" ht="15" hidden="false" customHeight="true" outlineLevel="0" collapsed="false">
      <c r="A429" s="7" t="n">
        <v>6629</v>
      </c>
      <c r="B429" s="7" t="s">
        <v>45</v>
      </c>
      <c r="C429" s="7" t="s">
        <v>895</v>
      </c>
      <c r="D429" s="7" t="s">
        <v>456</v>
      </c>
      <c r="E429" s="7" t="s">
        <v>133</v>
      </c>
      <c r="F429" s="7" t="n">
        <v>21</v>
      </c>
      <c r="G429" s="7" t="n">
        <v>5.69</v>
      </c>
      <c r="H429" s="7" t="n">
        <v>5.83</v>
      </c>
      <c r="I429" s="7" t="n">
        <v>1</v>
      </c>
      <c r="J429" s="7" t="n">
        <v>0</v>
      </c>
      <c r="K429" s="7" t="n">
        <v>0</v>
      </c>
      <c r="L429" s="7" t="n">
        <v>0</v>
      </c>
      <c r="M429" s="7" t="n">
        <v>0</v>
      </c>
      <c r="N429" s="7" t="n">
        <v>0</v>
      </c>
      <c r="O429" s="7" t="n">
        <v>0</v>
      </c>
      <c r="P429" s="7" t="n">
        <v>0</v>
      </c>
      <c r="Q429" s="7" t="n">
        <v>0</v>
      </c>
      <c r="R429" s="7" t="n">
        <v>0</v>
      </c>
    </row>
    <row r="430" customFormat="false" ht="15" hidden="false" customHeight="true" outlineLevel="0" collapsed="false">
      <c r="A430" s="7" t="n">
        <v>5998</v>
      </c>
      <c r="B430" s="7" t="s">
        <v>45</v>
      </c>
      <c r="C430" s="7" t="s">
        <v>904</v>
      </c>
      <c r="D430" s="7" t="s">
        <v>451</v>
      </c>
      <c r="E430" s="7" t="s">
        <v>750</v>
      </c>
      <c r="F430" s="7" t="n">
        <v>29</v>
      </c>
      <c r="G430" s="7" t="n">
        <v>5.76</v>
      </c>
      <c r="H430" s="7" t="n">
        <v>5.79</v>
      </c>
      <c r="I430" s="7" t="n">
        <v>0</v>
      </c>
      <c r="J430" s="7" t="n">
        <v>0</v>
      </c>
      <c r="K430" s="7" t="n">
        <v>0</v>
      </c>
      <c r="L430" s="7" t="n">
        <v>0</v>
      </c>
      <c r="M430" s="7" t="n">
        <v>0</v>
      </c>
      <c r="N430" s="7" t="n">
        <v>0</v>
      </c>
      <c r="O430" s="7" t="n">
        <v>2</v>
      </c>
      <c r="P430" s="7" t="n">
        <v>2</v>
      </c>
      <c r="Q430" s="7" t="n">
        <v>0</v>
      </c>
      <c r="R430" s="7" t="n">
        <v>0</v>
      </c>
    </row>
    <row r="431" customFormat="false" ht="15" hidden="false" customHeight="true" outlineLevel="0" collapsed="false">
      <c r="A431" s="7" t="n">
        <v>7138</v>
      </c>
      <c r="B431" s="7" t="s">
        <v>45</v>
      </c>
      <c r="C431" s="7" t="s">
        <v>897</v>
      </c>
      <c r="D431" s="7" t="s">
        <v>516</v>
      </c>
      <c r="E431" s="7" t="s">
        <v>141</v>
      </c>
      <c r="F431" s="7" t="n">
        <v>21</v>
      </c>
      <c r="G431" s="7" t="n">
        <v>5.79</v>
      </c>
      <c r="H431" s="7" t="n">
        <v>5.81</v>
      </c>
      <c r="I431" s="7" t="n">
        <v>1</v>
      </c>
      <c r="J431" s="7" t="n">
        <v>0</v>
      </c>
      <c r="K431" s="7" t="n">
        <v>0</v>
      </c>
      <c r="L431" s="7" t="n">
        <v>0</v>
      </c>
      <c r="M431" s="7" t="n">
        <v>0</v>
      </c>
      <c r="N431" s="7" t="n">
        <v>0</v>
      </c>
      <c r="O431" s="7" t="n">
        <v>0</v>
      </c>
      <c r="P431" s="7" t="n">
        <v>3</v>
      </c>
      <c r="Q431" s="7" t="n">
        <v>1</v>
      </c>
      <c r="R431" s="7" t="n">
        <v>0</v>
      </c>
    </row>
    <row r="432" customFormat="false" ht="15" hidden="false" customHeight="true" outlineLevel="0" collapsed="false">
      <c r="A432" s="7" t="n">
        <v>5318</v>
      </c>
      <c r="B432" s="7" t="s">
        <v>45</v>
      </c>
      <c r="C432" s="7" t="s">
        <v>905</v>
      </c>
      <c r="D432" s="7" t="s">
        <v>928</v>
      </c>
      <c r="E432" s="7" t="s">
        <v>755</v>
      </c>
      <c r="F432" s="7" t="n">
        <v>25</v>
      </c>
      <c r="G432" s="7" t="n">
        <v>5.72</v>
      </c>
      <c r="H432" s="7" t="n">
        <v>6</v>
      </c>
      <c r="I432" s="7" t="n">
        <v>2</v>
      </c>
      <c r="J432" s="7" t="n">
        <v>0</v>
      </c>
      <c r="K432" s="7" t="n">
        <v>0</v>
      </c>
      <c r="L432" s="7" t="n">
        <v>1</v>
      </c>
      <c r="M432" s="7" t="n">
        <v>1</v>
      </c>
      <c r="N432" s="7" t="n">
        <v>0</v>
      </c>
      <c r="O432" s="7" t="n">
        <v>2</v>
      </c>
      <c r="P432" s="7" t="n">
        <v>3</v>
      </c>
      <c r="Q432" s="7" t="n">
        <v>0</v>
      </c>
      <c r="R432" s="7" t="n">
        <v>0</v>
      </c>
    </row>
    <row r="433" customFormat="false" ht="15" hidden="false" customHeight="true" outlineLevel="0" collapsed="false">
      <c r="A433" s="7" t="n">
        <v>6246</v>
      </c>
      <c r="B433" s="7" t="s">
        <v>45</v>
      </c>
      <c r="C433" s="7" t="s">
        <v>897</v>
      </c>
      <c r="D433" s="7" t="s">
        <v>518</v>
      </c>
      <c r="E433" s="7" t="s">
        <v>144</v>
      </c>
      <c r="F433" s="7" t="n">
        <v>21</v>
      </c>
      <c r="G433" s="7" t="n">
        <v>5.93</v>
      </c>
      <c r="H433" s="7" t="n">
        <v>5.9</v>
      </c>
      <c r="I433" s="7" t="n">
        <v>0</v>
      </c>
      <c r="J433" s="7" t="n">
        <v>0</v>
      </c>
      <c r="K433" s="7" t="n">
        <v>0</v>
      </c>
      <c r="L433" s="7" t="n">
        <v>0</v>
      </c>
      <c r="M433" s="7" t="n">
        <v>0</v>
      </c>
      <c r="N433" s="7" t="n">
        <v>0</v>
      </c>
      <c r="O433" s="7" t="n">
        <v>1</v>
      </c>
      <c r="P433" s="7" t="n">
        <v>3</v>
      </c>
      <c r="Q433" s="7" t="n">
        <v>0</v>
      </c>
      <c r="R433" s="7" t="n">
        <v>0</v>
      </c>
    </row>
    <row r="434" customFormat="false" ht="15" hidden="false" customHeight="true" outlineLevel="0" collapsed="false">
      <c r="A434" s="7" t="n">
        <v>6458</v>
      </c>
      <c r="B434" s="7" t="s">
        <v>45</v>
      </c>
      <c r="C434" s="7" t="s">
        <v>45</v>
      </c>
      <c r="D434" s="7" t="s">
        <v>929</v>
      </c>
      <c r="E434" s="7" t="s">
        <v>752</v>
      </c>
      <c r="F434" s="7" t="n">
        <v>18</v>
      </c>
      <c r="G434" s="7" t="n">
        <v>5.97</v>
      </c>
      <c r="H434" s="7" t="n">
        <v>6.22</v>
      </c>
      <c r="I434" s="7" t="n">
        <v>2</v>
      </c>
      <c r="J434" s="7" t="n">
        <v>0</v>
      </c>
      <c r="K434" s="7" t="n">
        <v>0</v>
      </c>
      <c r="L434" s="7" t="n">
        <v>0</v>
      </c>
      <c r="M434" s="7" t="n">
        <v>0</v>
      </c>
      <c r="N434" s="7" t="n">
        <v>0</v>
      </c>
      <c r="O434" s="7" t="n">
        <v>0</v>
      </c>
      <c r="P434" s="7" t="n">
        <v>3</v>
      </c>
      <c r="Q434" s="7" t="n">
        <v>0</v>
      </c>
      <c r="R434" s="7" t="n">
        <v>0</v>
      </c>
    </row>
    <row r="435" customFormat="false" ht="15" hidden="false" customHeight="true" outlineLevel="0" collapsed="false">
      <c r="A435" s="7" t="n">
        <v>5858</v>
      </c>
      <c r="B435" s="7" t="s">
        <v>45</v>
      </c>
      <c r="C435" s="7" t="s">
        <v>895</v>
      </c>
      <c r="D435" s="7" t="s">
        <v>418</v>
      </c>
      <c r="E435" s="7" t="s">
        <v>127</v>
      </c>
      <c r="F435" s="7" t="n">
        <v>23</v>
      </c>
      <c r="G435" s="7" t="n">
        <v>5.8</v>
      </c>
      <c r="H435" s="7" t="n">
        <v>5.78</v>
      </c>
      <c r="I435" s="7" t="n">
        <v>1</v>
      </c>
      <c r="J435" s="7" t="n">
        <v>0</v>
      </c>
      <c r="K435" s="7" t="n">
        <v>0</v>
      </c>
      <c r="L435" s="7" t="n">
        <v>0</v>
      </c>
      <c r="M435" s="7" t="n">
        <v>0</v>
      </c>
      <c r="N435" s="7" t="n">
        <v>0</v>
      </c>
      <c r="O435" s="7" t="n">
        <v>0</v>
      </c>
      <c r="P435" s="7" t="n">
        <v>5</v>
      </c>
      <c r="Q435" s="7" t="n">
        <v>1</v>
      </c>
      <c r="R435" s="7" t="n">
        <v>0</v>
      </c>
    </row>
    <row r="436" customFormat="false" ht="15" hidden="false" customHeight="true" outlineLevel="0" collapsed="false">
      <c r="A436" s="7" t="n">
        <v>27</v>
      </c>
      <c r="B436" s="7" t="s">
        <v>45</v>
      </c>
      <c r="C436" s="7" t="s">
        <v>897</v>
      </c>
      <c r="D436" s="7" t="s">
        <v>930</v>
      </c>
      <c r="E436" s="7" t="s">
        <v>750</v>
      </c>
      <c r="F436" s="7" t="n">
        <v>28</v>
      </c>
      <c r="G436" s="7" t="n">
        <v>5.79</v>
      </c>
      <c r="H436" s="7" t="n">
        <v>5.7</v>
      </c>
      <c r="I436" s="7" t="n">
        <v>0</v>
      </c>
      <c r="J436" s="7" t="n">
        <v>0</v>
      </c>
      <c r="K436" s="7" t="n">
        <v>0</v>
      </c>
      <c r="L436" s="7" t="n">
        <v>0</v>
      </c>
      <c r="M436" s="7" t="n">
        <v>0</v>
      </c>
      <c r="N436" s="7" t="n">
        <v>0</v>
      </c>
      <c r="O436" s="7" t="n">
        <v>0</v>
      </c>
      <c r="P436" s="7" t="n">
        <v>3</v>
      </c>
      <c r="Q436" s="7" t="n">
        <v>1</v>
      </c>
      <c r="R436" s="7" t="n">
        <v>0</v>
      </c>
    </row>
    <row r="437" customFormat="false" ht="15" hidden="false" customHeight="true" outlineLevel="0" collapsed="false">
      <c r="A437" s="7" t="n">
        <v>2842</v>
      </c>
      <c r="B437" s="7" t="s">
        <v>45</v>
      </c>
      <c r="C437" s="7" t="s">
        <v>899</v>
      </c>
      <c r="D437" s="7" t="s">
        <v>931</v>
      </c>
      <c r="E437" s="7" t="s">
        <v>750</v>
      </c>
      <c r="F437" s="7" t="n">
        <v>0</v>
      </c>
      <c r="G437" s="7" t="n">
        <v>0</v>
      </c>
      <c r="H437" s="7" t="n">
        <v>0</v>
      </c>
      <c r="I437" s="7" t="n">
        <v>0</v>
      </c>
      <c r="J437" s="7" t="n">
        <v>0</v>
      </c>
      <c r="K437" s="7" t="n">
        <v>0</v>
      </c>
      <c r="L437" s="7" t="n">
        <v>0</v>
      </c>
      <c r="M437" s="7" t="n">
        <v>0</v>
      </c>
      <c r="N437" s="7" t="n">
        <v>0</v>
      </c>
      <c r="O437" s="7" t="n">
        <v>0</v>
      </c>
      <c r="P437" s="7" t="n">
        <v>0</v>
      </c>
      <c r="Q437" s="7" t="n">
        <v>0</v>
      </c>
      <c r="R437" s="7" t="n">
        <v>0</v>
      </c>
    </row>
    <row r="438" customFormat="false" ht="15" hidden="false" customHeight="true" outlineLevel="0" collapsed="false">
      <c r="A438" s="7" t="n">
        <v>6917</v>
      </c>
      <c r="B438" s="7" t="s">
        <v>45</v>
      </c>
      <c r="C438" s="7" t="s">
        <v>897</v>
      </c>
      <c r="D438" s="7" t="s">
        <v>511</v>
      </c>
      <c r="E438" s="7" t="s">
        <v>137</v>
      </c>
      <c r="F438" s="7" t="n">
        <v>21</v>
      </c>
      <c r="G438" s="7" t="n">
        <v>5.98</v>
      </c>
      <c r="H438" s="7" t="n">
        <v>5.9</v>
      </c>
      <c r="I438" s="7" t="n">
        <v>0</v>
      </c>
      <c r="J438" s="7" t="n">
        <v>0</v>
      </c>
      <c r="K438" s="7" t="n">
        <v>0</v>
      </c>
      <c r="L438" s="7" t="n">
        <v>0</v>
      </c>
      <c r="M438" s="7" t="n">
        <v>0</v>
      </c>
      <c r="N438" s="7" t="n">
        <v>0</v>
      </c>
      <c r="O438" s="7" t="n">
        <v>1</v>
      </c>
      <c r="P438" s="7" t="n">
        <v>5</v>
      </c>
      <c r="Q438" s="7" t="n">
        <v>0</v>
      </c>
      <c r="R438" s="7" t="n">
        <v>0</v>
      </c>
    </row>
    <row r="439" customFormat="false" ht="15" hidden="false" customHeight="true" outlineLevel="0" collapsed="false">
      <c r="A439" s="7" t="n">
        <v>5457</v>
      </c>
      <c r="B439" s="7" t="s">
        <v>45</v>
      </c>
      <c r="C439" s="7" t="s">
        <v>897</v>
      </c>
      <c r="D439" s="7" t="s">
        <v>513</v>
      </c>
      <c r="E439" s="7" t="s">
        <v>750</v>
      </c>
      <c r="F439" s="7" t="n">
        <v>21</v>
      </c>
      <c r="G439" s="7" t="n">
        <v>5.69</v>
      </c>
      <c r="H439" s="7" t="n">
        <v>5.71</v>
      </c>
      <c r="I439" s="7" t="n">
        <v>1</v>
      </c>
      <c r="J439" s="7" t="n">
        <v>0</v>
      </c>
      <c r="K439" s="7" t="n">
        <v>0</v>
      </c>
      <c r="L439" s="7" t="n">
        <v>0</v>
      </c>
      <c r="M439" s="7" t="n">
        <v>0</v>
      </c>
      <c r="N439" s="7" t="n">
        <v>0</v>
      </c>
      <c r="O439" s="7" t="n">
        <v>0</v>
      </c>
      <c r="P439" s="7" t="n">
        <v>3</v>
      </c>
      <c r="Q439" s="7" t="n">
        <v>1</v>
      </c>
      <c r="R439" s="7" t="n">
        <v>0</v>
      </c>
    </row>
    <row r="440" customFormat="false" ht="15" hidden="false" customHeight="true" outlineLevel="0" collapsed="false">
      <c r="A440" s="7" t="n">
        <v>5992</v>
      </c>
      <c r="B440" s="7" t="s">
        <v>45</v>
      </c>
      <c r="C440" s="7" t="s">
        <v>897</v>
      </c>
      <c r="D440" s="7" t="s">
        <v>932</v>
      </c>
      <c r="E440" s="7" t="s">
        <v>750</v>
      </c>
      <c r="F440" s="7" t="n">
        <v>27</v>
      </c>
      <c r="G440" s="7" t="n">
        <v>5.85</v>
      </c>
      <c r="H440" s="7" t="n">
        <v>5.76</v>
      </c>
      <c r="I440" s="7" t="n">
        <v>0</v>
      </c>
      <c r="J440" s="7" t="n">
        <v>0</v>
      </c>
      <c r="K440" s="7" t="n">
        <v>0</v>
      </c>
      <c r="L440" s="7" t="n">
        <v>0</v>
      </c>
      <c r="M440" s="7" t="n">
        <v>0</v>
      </c>
      <c r="N440" s="7" t="n">
        <v>0</v>
      </c>
      <c r="O440" s="7" t="n">
        <v>0</v>
      </c>
      <c r="P440" s="7" t="n">
        <v>5</v>
      </c>
      <c r="Q440" s="7" t="n">
        <v>0</v>
      </c>
      <c r="R440" s="7" t="n">
        <v>0</v>
      </c>
    </row>
    <row r="441" customFormat="false" ht="15" hidden="false" customHeight="true" outlineLevel="0" collapsed="false">
      <c r="A441" s="7" t="n">
        <v>5295</v>
      </c>
      <c r="B441" s="7" t="s">
        <v>45</v>
      </c>
      <c r="C441" s="7" t="s">
        <v>902</v>
      </c>
      <c r="D441" s="7" t="s">
        <v>514</v>
      </c>
      <c r="E441" s="7" t="s">
        <v>117</v>
      </c>
      <c r="F441" s="7" t="n">
        <v>16</v>
      </c>
      <c r="G441" s="7" t="n">
        <v>5.94</v>
      </c>
      <c r="H441" s="7" t="n">
        <v>6.09</v>
      </c>
      <c r="I441" s="7" t="n">
        <v>1</v>
      </c>
      <c r="J441" s="7" t="n">
        <v>0</v>
      </c>
      <c r="K441" s="7" t="n">
        <v>0</v>
      </c>
      <c r="L441" s="7" t="n">
        <v>0</v>
      </c>
      <c r="M441" s="7" t="n">
        <v>0</v>
      </c>
      <c r="N441" s="7" t="n">
        <v>0</v>
      </c>
      <c r="O441" s="7" t="n">
        <v>0</v>
      </c>
      <c r="P441" s="7" t="n">
        <v>1</v>
      </c>
      <c r="Q441" s="7" t="n">
        <v>0</v>
      </c>
      <c r="R441" s="7" t="n">
        <v>0</v>
      </c>
    </row>
    <row r="442" customFormat="false" ht="15" hidden="false" customHeight="true" outlineLevel="0" collapsed="false">
      <c r="A442" s="7" t="n">
        <v>5290</v>
      </c>
      <c r="B442" s="7" t="s">
        <v>45</v>
      </c>
      <c r="C442" s="7" t="s">
        <v>897</v>
      </c>
      <c r="D442" s="7" t="s">
        <v>933</v>
      </c>
      <c r="E442" s="7" t="s">
        <v>141</v>
      </c>
      <c r="F442" s="7" t="n">
        <v>22</v>
      </c>
      <c r="G442" s="7" t="n">
        <v>5.8</v>
      </c>
      <c r="H442" s="7" t="n">
        <v>5.8</v>
      </c>
      <c r="I442" s="7" t="n">
        <v>0</v>
      </c>
      <c r="J442" s="7" t="n">
        <v>0</v>
      </c>
      <c r="K442" s="7" t="n">
        <v>0</v>
      </c>
      <c r="L442" s="7" t="n">
        <v>0</v>
      </c>
      <c r="M442" s="7" t="n">
        <v>0</v>
      </c>
      <c r="N442" s="7" t="n">
        <v>0</v>
      </c>
      <c r="O442" s="7" t="n">
        <v>1</v>
      </c>
      <c r="P442" s="7" t="n">
        <v>2</v>
      </c>
      <c r="Q442" s="7" t="n">
        <v>0</v>
      </c>
      <c r="R442" s="7" t="n">
        <v>0</v>
      </c>
    </row>
    <row r="443" customFormat="false" ht="15" hidden="false" customHeight="true" outlineLevel="0" collapsed="false">
      <c r="A443" s="7" t="n">
        <v>7146</v>
      </c>
      <c r="B443" s="7" t="s">
        <v>45</v>
      </c>
      <c r="C443" s="7" t="s">
        <v>934</v>
      </c>
      <c r="D443" s="7" t="s">
        <v>935</v>
      </c>
      <c r="E443" s="7" t="s">
        <v>755</v>
      </c>
      <c r="F443" s="7" t="n">
        <v>30</v>
      </c>
      <c r="G443" s="7" t="n">
        <v>5.82</v>
      </c>
      <c r="H443" s="7" t="n">
        <v>5.82</v>
      </c>
      <c r="I443" s="7" t="n">
        <v>1</v>
      </c>
      <c r="J443" s="7" t="n">
        <v>0</v>
      </c>
      <c r="K443" s="7" t="n">
        <v>0</v>
      </c>
      <c r="L443" s="7" t="n">
        <v>0</v>
      </c>
      <c r="M443" s="7" t="n">
        <v>0</v>
      </c>
      <c r="N443" s="7" t="n">
        <v>0</v>
      </c>
      <c r="O443" s="7" t="n">
        <v>0</v>
      </c>
      <c r="P443" s="7" t="n">
        <v>4</v>
      </c>
      <c r="Q443" s="7" t="n">
        <v>1</v>
      </c>
      <c r="R443" s="7" t="n">
        <v>0</v>
      </c>
    </row>
    <row r="444" customFormat="false" ht="15" hidden="false" customHeight="true" outlineLevel="0" collapsed="false">
      <c r="A444" s="7" t="n">
        <v>6593</v>
      </c>
      <c r="B444" s="7" t="s">
        <v>45</v>
      </c>
      <c r="C444" s="7" t="s">
        <v>895</v>
      </c>
      <c r="D444" s="7" t="s">
        <v>442</v>
      </c>
      <c r="E444" s="7" t="s">
        <v>755</v>
      </c>
      <c r="F444" s="7" t="n">
        <v>23</v>
      </c>
      <c r="G444" s="7" t="n">
        <v>5.8</v>
      </c>
      <c r="H444" s="7" t="n">
        <v>5.8</v>
      </c>
      <c r="I444" s="7" t="n">
        <v>0</v>
      </c>
      <c r="J444" s="7" t="n">
        <v>0</v>
      </c>
      <c r="K444" s="7" t="n">
        <v>0</v>
      </c>
      <c r="L444" s="7" t="n">
        <v>0</v>
      </c>
      <c r="M444" s="7" t="n">
        <v>0</v>
      </c>
      <c r="N444" s="7" t="n">
        <v>0</v>
      </c>
      <c r="O444" s="7" t="n">
        <v>1</v>
      </c>
      <c r="P444" s="7" t="n">
        <v>2</v>
      </c>
      <c r="Q444" s="7" t="n">
        <v>0</v>
      </c>
      <c r="R444" s="7" t="n">
        <v>0</v>
      </c>
    </row>
    <row r="445" customFormat="false" ht="15" hidden="false" customHeight="true" outlineLevel="0" collapsed="false">
      <c r="A445" s="7" t="n">
        <v>6481</v>
      </c>
      <c r="B445" s="7" t="s">
        <v>45</v>
      </c>
      <c r="C445" s="7" t="s">
        <v>45</v>
      </c>
      <c r="D445" s="7" t="s">
        <v>936</v>
      </c>
      <c r="E445" s="7" t="s">
        <v>750</v>
      </c>
      <c r="F445" s="7" t="n">
        <v>25</v>
      </c>
      <c r="G445" s="7" t="n">
        <v>5.9</v>
      </c>
      <c r="H445" s="7" t="n">
        <v>5.86</v>
      </c>
      <c r="I445" s="7" t="n">
        <v>1</v>
      </c>
      <c r="J445" s="7" t="n">
        <v>0</v>
      </c>
      <c r="K445" s="7" t="n">
        <v>0</v>
      </c>
      <c r="L445" s="7" t="n">
        <v>0</v>
      </c>
      <c r="M445" s="7" t="n">
        <v>0</v>
      </c>
      <c r="N445" s="7" t="n">
        <v>0</v>
      </c>
      <c r="O445" s="7" t="n">
        <v>0</v>
      </c>
      <c r="P445" s="7" t="n">
        <v>8</v>
      </c>
      <c r="Q445" s="7" t="n">
        <v>0</v>
      </c>
      <c r="R445" s="7" t="n">
        <v>0</v>
      </c>
    </row>
    <row r="446" customFormat="false" ht="15" hidden="false" customHeight="true" outlineLevel="0" collapsed="false">
      <c r="A446" s="7" t="n">
        <v>5286</v>
      </c>
      <c r="B446" s="7" t="s">
        <v>45</v>
      </c>
      <c r="C446" s="7" t="s">
        <v>897</v>
      </c>
      <c r="D446" s="7" t="s">
        <v>937</v>
      </c>
      <c r="E446" s="7" t="s">
        <v>752</v>
      </c>
      <c r="F446" s="7" t="n">
        <v>22</v>
      </c>
      <c r="G446" s="7" t="n">
        <v>5.86</v>
      </c>
      <c r="H446" s="7" t="n">
        <v>5.8</v>
      </c>
      <c r="I446" s="7" t="n">
        <v>1</v>
      </c>
      <c r="J446" s="7" t="n">
        <v>0</v>
      </c>
      <c r="K446" s="7" t="n">
        <v>0</v>
      </c>
      <c r="L446" s="7" t="n">
        <v>0</v>
      </c>
      <c r="M446" s="7" t="n">
        <v>0</v>
      </c>
      <c r="N446" s="7" t="n">
        <v>0</v>
      </c>
      <c r="O446" s="7" t="n">
        <v>0</v>
      </c>
      <c r="P446" s="7" t="n">
        <v>9</v>
      </c>
      <c r="Q446" s="7" t="n">
        <v>0</v>
      </c>
      <c r="R446" s="7" t="n">
        <v>0</v>
      </c>
    </row>
    <row r="447" customFormat="false" ht="15" hidden="false" customHeight="true" outlineLevel="0" collapsed="false">
      <c r="A447" s="7" t="n">
        <v>7322</v>
      </c>
      <c r="B447" s="7" t="s">
        <v>45</v>
      </c>
      <c r="C447" s="7" t="s">
        <v>897</v>
      </c>
      <c r="D447" s="7" t="s">
        <v>482</v>
      </c>
      <c r="E447" s="7" t="s">
        <v>139</v>
      </c>
      <c r="F447" s="7" t="n">
        <v>13</v>
      </c>
      <c r="G447" s="7" t="n">
        <v>5.69</v>
      </c>
      <c r="H447" s="7" t="n">
        <v>5.65</v>
      </c>
      <c r="I447" s="7" t="n">
        <v>0</v>
      </c>
      <c r="J447" s="7" t="n">
        <v>0</v>
      </c>
      <c r="K447" s="7" t="n">
        <v>0</v>
      </c>
      <c r="L447" s="7" t="n">
        <v>0</v>
      </c>
      <c r="M447" s="7" t="n">
        <v>0</v>
      </c>
      <c r="N447" s="7" t="n">
        <v>0</v>
      </c>
      <c r="O447" s="7" t="n">
        <v>0</v>
      </c>
      <c r="P447" s="7" t="n">
        <v>1</v>
      </c>
      <c r="Q447" s="7" t="n">
        <v>0</v>
      </c>
      <c r="R447" s="7" t="n">
        <v>0</v>
      </c>
    </row>
    <row r="448" customFormat="false" ht="15" hidden="false" customHeight="true" outlineLevel="0" collapsed="false">
      <c r="A448" s="7" t="n">
        <v>7331</v>
      </c>
      <c r="B448" s="7" t="s">
        <v>45</v>
      </c>
      <c r="C448" s="7" t="s">
        <v>897</v>
      </c>
      <c r="D448" s="7" t="s">
        <v>938</v>
      </c>
      <c r="E448" s="7" t="s">
        <v>755</v>
      </c>
      <c r="F448" s="7" t="n">
        <v>11</v>
      </c>
      <c r="G448" s="7" t="n">
        <v>5.55</v>
      </c>
      <c r="H448" s="7" t="n">
        <v>5.73</v>
      </c>
      <c r="I448" s="7" t="n">
        <v>1</v>
      </c>
      <c r="J448" s="7" t="n">
        <v>0</v>
      </c>
      <c r="K448" s="7" t="n">
        <v>0</v>
      </c>
      <c r="L448" s="7" t="n">
        <v>0</v>
      </c>
      <c r="M448" s="7" t="n">
        <v>0</v>
      </c>
      <c r="N448" s="7" t="n">
        <v>0</v>
      </c>
      <c r="O448" s="7" t="n">
        <v>0</v>
      </c>
      <c r="P448" s="7" t="n">
        <v>0</v>
      </c>
      <c r="Q448" s="7" t="n">
        <v>1</v>
      </c>
      <c r="R448" s="7" t="n">
        <v>0</v>
      </c>
    </row>
    <row r="449" customFormat="false" ht="15" hidden="false" customHeight="true" outlineLevel="0" collapsed="false">
      <c r="A449" s="7" t="n">
        <v>7341</v>
      </c>
      <c r="B449" s="7" t="s">
        <v>45</v>
      </c>
      <c r="C449" s="7" t="s">
        <v>897</v>
      </c>
      <c r="D449" s="7" t="s">
        <v>478</v>
      </c>
      <c r="E449" s="7" t="s">
        <v>137</v>
      </c>
      <c r="F449" s="7" t="n">
        <v>9</v>
      </c>
      <c r="G449" s="7" t="n">
        <v>5.72</v>
      </c>
      <c r="H449" s="7" t="n">
        <v>5.67</v>
      </c>
      <c r="I449" s="7" t="n">
        <v>0</v>
      </c>
      <c r="J449" s="7" t="n">
        <v>0</v>
      </c>
      <c r="K449" s="7" t="n">
        <v>0</v>
      </c>
      <c r="L449" s="7" t="n">
        <v>0</v>
      </c>
      <c r="M449" s="7" t="n">
        <v>0</v>
      </c>
      <c r="N449" s="7" t="n">
        <v>0</v>
      </c>
      <c r="O449" s="7" t="n">
        <v>0</v>
      </c>
      <c r="P449" s="7" t="n">
        <v>1</v>
      </c>
      <c r="Q449" s="7" t="n">
        <v>0</v>
      </c>
      <c r="R449" s="7" t="n">
        <v>0</v>
      </c>
    </row>
    <row r="450" customFormat="false" ht="15" hidden="false" customHeight="true" outlineLevel="0" collapsed="false">
      <c r="A450" s="7" t="n">
        <v>6106</v>
      </c>
      <c r="B450" s="7" t="s">
        <v>45</v>
      </c>
      <c r="C450" s="7" t="s">
        <v>894</v>
      </c>
      <c r="D450" s="7" t="s">
        <v>939</v>
      </c>
      <c r="E450" s="7" t="s">
        <v>137</v>
      </c>
      <c r="F450" s="7" t="n">
        <v>10</v>
      </c>
      <c r="G450" s="7" t="n">
        <v>5.7</v>
      </c>
      <c r="H450" s="7" t="n">
        <v>5.6</v>
      </c>
      <c r="I450" s="7" t="n">
        <v>0</v>
      </c>
      <c r="J450" s="7" t="n">
        <v>0</v>
      </c>
      <c r="K450" s="7" t="n">
        <v>0</v>
      </c>
      <c r="L450" s="7" t="n">
        <v>0</v>
      </c>
      <c r="M450" s="7" t="n">
        <v>0</v>
      </c>
      <c r="N450" s="7" t="n">
        <v>0</v>
      </c>
      <c r="O450" s="7" t="n">
        <v>0</v>
      </c>
      <c r="P450" s="7" t="n">
        <v>2</v>
      </c>
      <c r="Q450" s="7" t="n">
        <v>0</v>
      </c>
      <c r="R450" s="7" t="n">
        <v>0</v>
      </c>
    </row>
    <row r="451" customFormat="false" ht="15" hidden="false" customHeight="true" outlineLevel="0" collapsed="false">
      <c r="A451" s="7" t="n">
        <v>2848</v>
      </c>
      <c r="B451" s="7" t="s">
        <v>45</v>
      </c>
      <c r="C451" s="7" t="s">
        <v>895</v>
      </c>
      <c r="D451" s="7" t="s">
        <v>422</v>
      </c>
      <c r="E451" s="7" t="s">
        <v>115</v>
      </c>
      <c r="F451" s="7" t="n">
        <v>14</v>
      </c>
      <c r="G451" s="7" t="n">
        <v>5.89</v>
      </c>
      <c r="H451" s="7" t="n">
        <v>5.89</v>
      </c>
      <c r="I451" s="7" t="n">
        <v>0</v>
      </c>
      <c r="J451" s="7" t="n">
        <v>0</v>
      </c>
      <c r="K451" s="7" t="n">
        <v>0</v>
      </c>
      <c r="L451" s="7" t="n">
        <v>0</v>
      </c>
      <c r="M451" s="7" t="n">
        <v>0</v>
      </c>
      <c r="N451" s="7" t="n">
        <v>0</v>
      </c>
      <c r="O451" s="7" t="n">
        <v>0</v>
      </c>
      <c r="P451" s="7" t="n">
        <v>0</v>
      </c>
      <c r="Q451" s="7" t="n">
        <v>0</v>
      </c>
      <c r="R451" s="7" t="n">
        <v>0</v>
      </c>
    </row>
    <row r="452" customFormat="false" ht="15" hidden="false" customHeight="true" outlineLevel="0" collapsed="false">
      <c r="A452" s="7" t="n">
        <v>5685</v>
      </c>
      <c r="B452" s="7" t="s">
        <v>45</v>
      </c>
      <c r="C452" s="7" t="s">
        <v>895</v>
      </c>
      <c r="D452" s="7" t="s">
        <v>455</v>
      </c>
      <c r="E452" s="7" t="s">
        <v>131</v>
      </c>
      <c r="F452" s="7" t="n">
        <v>29</v>
      </c>
      <c r="G452" s="7" t="n">
        <v>5.64</v>
      </c>
      <c r="H452" s="7" t="n">
        <v>5.55</v>
      </c>
      <c r="I452" s="7" t="n">
        <v>0</v>
      </c>
      <c r="J452" s="7" t="n">
        <v>0</v>
      </c>
      <c r="K452" s="7" t="n">
        <v>0</v>
      </c>
      <c r="L452" s="7" t="n">
        <v>0</v>
      </c>
      <c r="M452" s="7" t="n">
        <v>0</v>
      </c>
      <c r="N452" s="7" t="n">
        <v>0</v>
      </c>
      <c r="O452" s="7" t="n">
        <v>0</v>
      </c>
      <c r="P452" s="7" t="n">
        <v>5</v>
      </c>
      <c r="Q452" s="7" t="n">
        <v>0</v>
      </c>
      <c r="R452" s="7" t="n">
        <v>0</v>
      </c>
    </row>
    <row r="453" customFormat="false" ht="15" hidden="false" customHeight="true" outlineLevel="0" collapsed="false">
      <c r="A453" s="7" t="n">
        <v>4856</v>
      </c>
      <c r="B453" s="7" t="s">
        <v>45</v>
      </c>
      <c r="C453" s="7" t="s">
        <v>899</v>
      </c>
      <c r="D453" s="7" t="s">
        <v>441</v>
      </c>
      <c r="E453" s="7" t="s">
        <v>121</v>
      </c>
      <c r="F453" s="7" t="n">
        <v>1</v>
      </c>
      <c r="G453" s="7" t="n">
        <v>5.5</v>
      </c>
      <c r="H453" s="7" t="n">
        <v>5.5</v>
      </c>
      <c r="I453" s="7" t="n">
        <v>0</v>
      </c>
      <c r="J453" s="7" t="n">
        <v>0</v>
      </c>
      <c r="K453" s="7" t="n">
        <v>0</v>
      </c>
      <c r="L453" s="7" t="n">
        <v>0</v>
      </c>
      <c r="M453" s="7" t="n">
        <v>0</v>
      </c>
      <c r="N453" s="7" t="n">
        <v>0</v>
      </c>
      <c r="O453" s="7" t="n">
        <v>0</v>
      </c>
      <c r="P453" s="7" t="n">
        <v>0</v>
      </c>
      <c r="Q453" s="7" t="n">
        <v>0</v>
      </c>
      <c r="R453" s="7" t="n">
        <v>0</v>
      </c>
    </row>
    <row r="454" customFormat="false" ht="15" hidden="false" customHeight="true" outlineLevel="0" collapsed="false">
      <c r="A454" s="7" t="n">
        <v>5319</v>
      </c>
      <c r="B454" s="7" t="s">
        <v>45</v>
      </c>
      <c r="C454" s="7" t="s">
        <v>45</v>
      </c>
      <c r="D454" s="7" t="s">
        <v>470</v>
      </c>
      <c r="E454" s="7" t="s">
        <v>127</v>
      </c>
      <c r="F454" s="7" t="n">
        <v>24</v>
      </c>
      <c r="G454" s="7" t="n">
        <v>5.65</v>
      </c>
      <c r="H454" s="7" t="n">
        <v>5.62</v>
      </c>
      <c r="I454" s="7" t="n">
        <v>0</v>
      </c>
      <c r="J454" s="7" t="n">
        <v>0</v>
      </c>
      <c r="K454" s="7" t="n">
        <v>0</v>
      </c>
      <c r="L454" s="7" t="n">
        <v>0</v>
      </c>
      <c r="M454" s="7" t="n">
        <v>0</v>
      </c>
      <c r="N454" s="7" t="n">
        <v>0</v>
      </c>
      <c r="O454" s="7" t="n">
        <v>1</v>
      </c>
      <c r="P454" s="7" t="n">
        <v>3</v>
      </c>
      <c r="Q454" s="7" t="n">
        <v>0</v>
      </c>
      <c r="R454" s="7" t="n">
        <v>0</v>
      </c>
    </row>
    <row r="455" customFormat="false" ht="15" hidden="false" customHeight="true" outlineLevel="0" collapsed="false">
      <c r="A455" s="7" t="n">
        <v>7145</v>
      </c>
      <c r="B455" s="7" t="s">
        <v>45</v>
      </c>
      <c r="C455" s="7" t="s">
        <v>934</v>
      </c>
      <c r="D455" s="7" t="s">
        <v>940</v>
      </c>
      <c r="E455" s="7" t="s">
        <v>755</v>
      </c>
      <c r="F455" s="7" t="n">
        <v>22</v>
      </c>
      <c r="G455" s="7" t="n">
        <v>5.77</v>
      </c>
      <c r="H455" s="7" t="n">
        <v>5.7</v>
      </c>
      <c r="I455" s="7" t="n">
        <v>0</v>
      </c>
      <c r="J455" s="7" t="n">
        <v>0</v>
      </c>
      <c r="K455" s="7" t="n">
        <v>0</v>
      </c>
      <c r="L455" s="7" t="n">
        <v>0</v>
      </c>
      <c r="M455" s="7" t="n">
        <v>0</v>
      </c>
      <c r="N455" s="7" t="n">
        <v>0</v>
      </c>
      <c r="O455" s="7" t="n">
        <v>0</v>
      </c>
      <c r="P455" s="7" t="n">
        <v>3</v>
      </c>
      <c r="Q455" s="7" t="n">
        <v>0</v>
      </c>
      <c r="R455" s="7" t="n">
        <v>0</v>
      </c>
    </row>
    <row r="456" customFormat="false" ht="15" hidden="false" customHeight="true" outlineLevel="0" collapsed="false">
      <c r="A456" s="7" t="n">
        <v>4930</v>
      </c>
      <c r="B456" s="7" t="s">
        <v>45</v>
      </c>
      <c r="C456" s="7" t="s">
        <v>897</v>
      </c>
      <c r="D456" s="7" t="s">
        <v>941</v>
      </c>
      <c r="E456" s="7" t="s">
        <v>144</v>
      </c>
      <c r="F456" s="7" t="n">
        <v>0</v>
      </c>
      <c r="G456" s="7" t="n">
        <v>0</v>
      </c>
      <c r="H456" s="7" t="n">
        <v>0</v>
      </c>
      <c r="I456" s="7" t="n">
        <v>0</v>
      </c>
      <c r="J456" s="7" t="n">
        <v>0</v>
      </c>
      <c r="K456" s="7" t="n">
        <v>0</v>
      </c>
      <c r="L456" s="7" t="n">
        <v>0</v>
      </c>
      <c r="M456" s="7" t="n">
        <v>0</v>
      </c>
      <c r="N456" s="7" t="n">
        <v>0</v>
      </c>
      <c r="O456" s="7" t="n">
        <v>0</v>
      </c>
      <c r="P456" s="7" t="n">
        <v>0</v>
      </c>
      <c r="Q456" s="7" t="n">
        <v>0</v>
      </c>
      <c r="R456" s="7" t="n">
        <v>0</v>
      </c>
    </row>
    <row r="457" customFormat="false" ht="15" hidden="false" customHeight="true" outlineLevel="0" collapsed="false">
      <c r="A457" s="7" t="n">
        <v>5688</v>
      </c>
      <c r="B457" s="7" t="s">
        <v>45</v>
      </c>
      <c r="C457" s="7" t="s">
        <v>905</v>
      </c>
      <c r="D457" s="7" t="s">
        <v>942</v>
      </c>
      <c r="E457" s="7" t="s">
        <v>752</v>
      </c>
      <c r="F457" s="7" t="n">
        <v>17</v>
      </c>
      <c r="G457" s="7" t="n">
        <v>5.74</v>
      </c>
      <c r="H457" s="7" t="n">
        <v>5.85</v>
      </c>
      <c r="I457" s="7" t="n">
        <v>1</v>
      </c>
      <c r="J457" s="7" t="n">
        <v>0</v>
      </c>
      <c r="K457" s="7" t="n">
        <v>0</v>
      </c>
      <c r="L457" s="7" t="n">
        <v>1</v>
      </c>
      <c r="M457" s="7" t="n">
        <v>1</v>
      </c>
      <c r="N457" s="7" t="n">
        <v>0</v>
      </c>
      <c r="O457" s="7" t="n">
        <v>0</v>
      </c>
      <c r="P457" s="7" t="n">
        <v>3</v>
      </c>
      <c r="Q457" s="7" t="n">
        <v>0</v>
      </c>
      <c r="R457" s="7" t="n">
        <v>0</v>
      </c>
    </row>
    <row r="458" customFormat="false" ht="15" hidden="false" customHeight="true" outlineLevel="0" collapsed="false">
      <c r="A458" s="7" t="n">
        <v>6486</v>
      </c>
      <c r="B458" s="7" t="s">
        <v>45</v>
      </c>
      <c r="C458" s="7" t="s">
        <v>905</v>
      </c>
      <c r="D458" s="7" t="s">
        <v>943</v>
      </c>
      <c r="E458" s="7" t="s">
        <v>752</v>
      </c>
      <c r="F458" s="7" t="n">
        <v>10</v>
      </c>
      <c r="G458" s="7" t="n">
        <v>5.75</v>
      </c>
      <c r="H458" s="7" t="n">
        <v>5.6</v>
      </c>
      <c r="I458" s="7" t="n">
        <v>0</v>
      </c>
      <c r="J458" s="7" t="n">
        <v>0</v>
      </c>
      <c r="K458" s="7" t="n">
        <v>0</v>
      </c>
      <c r="L458" s="7" t="n">
        <v>0</v>
      </c>
      <c r="M458" s="7" t="n">
        <v>0</v>
      </c>
      <c r="N458" s="7" t="n">
        <v>0</v>
      </c>
      <c r="O458" s="7" t="n">
        <v>0</v>
      </c>
      <c r="P458" s="7" t="n">
        <v>1</v>
      </c>
      <c r="Q458" s="7" t="n">
        <v>1</v>
      </c>
      <c r="R458" s="7" t="n">
        <v>0</v>
      </c>
    </row>
    <row r="459" customFormat="false" ht="15" hidden="false" customHeight="true" outlineLevel="0" collapsed="false">
      <c r="A459" s="7" t="n">
        <v>7203</v>
      </c>
      <c r="B459" s="7" t="s">
        <v>45</v>
      </c>
      <c r="C459" s="7" t="s">
        <v>45</v>
      </c>
      <c r="D459" s="7" t="s">
        <v>484</v>
      </c>
      <c r="E459" s="7" t="s">
        <v>121</v>
      </c>
      <c r="F459" s="7" t="n">
        <v>12</v>
      </c>
      <c r="G459" s="7" t="n">
        <v>5.71</v>
      </c>
      <c r="H459" s="7" t="n">
        <v>5.79</v>
      </c>
      <c r="I459" s="7" t="n">
        <v>0</v>
      </c>
      <c r="J459" s="7" t="n">
        <v>0</v>
      </c>
      <c r="K459" s="7" t="n">
        <v>0</v>
      </c>
      <c r="L459" s="7" t="n">
        <v>0</v>
      </c>
      <c r="M459" s="7" t="n">
        <v>0</v>
      </c>
      <c r="N459" s="7" t="n">
        <v>0</v>
      </c>
      <c r="O459" s="7" t="n">
        <v>1</v>
      </c>
      <c r="P459" s="7" t="n">
        <v>0</v>
      </c>
      <c r="Q459" s="7" t="n">
        <v>0</v>
      </c>
      <c r="R459" s="7" t="n">
        <v>0</v>
      </c>
    </row>
    <row r="460" customFormat="false" ht="15" hidden="false" customHeight="true" outlineLevel="0" collapsed="false">
      <c r="A460" s="7" t="n">
        <v>6218</v>
      </c>
      <c r="B460" s="7" t="s">
        <v>45</v>
      </c>
      <c r="C460" s="7" t="s">
        <v>944</v>
      </c>
      <c r="D460" s="7" t="s">
        <v>427</v>
      </c>
      <c r="E460" s="7" t="s">
        <v>141</v>
      </c>
      <c r="F460" s="7" t="n">
        <v>18</v>
      </c>
      <c r="G460" s="7" t="n">
        <v>5.78</v>
      </c>
      <c r="H460" s="7" t="n">
        <v>5.92</v>
      </c>
      <c r="I460" s="7" t="n">
        <v>1</v>
      </c>
      <c r="J460" s="7" t="n">
        <v>0</v>
      </c>
      <c r="K460" s="7" t="n">
        <v>0</v>
      </c>
      <c r="L460" s="7" t="n">
        <v>0</v>
      </c>
      <c r="M460" s="7" t="n">
        <v>0</v>
      </c>
      <c r="N460" s="7" t="n">
        <v>0</v>
      </c>
      <c r="O460" s="7" t="n">
        <v>0</v>
      </c>
      <c r="P460" s="7" t="n">
        <v>1</v>
      </c>
      <c r="Q460" s="7" t="n">
        <v>0</v>
      </c>
      <c r="R460" s="7" t="n">
        <v>0</v>
      </c>
    </row>
    <row r="461" customFormat="false" ht="15" hidden="false" customHeight="true" outlineLevel="0" collapsed="false">
      <c r="A461" s="7" t="n">
        <v>6575</v>
      </c>
      <c r="B461" s="7" t="s">
        <v>45</v>
      </c>
      <c r="C461" s="7" t="s">
        <v>901</v>
      </c>
      <c r="D461" s="7" t="s">
        <v>945</v>
      </c>
      <c r="E461" s="7" t="s">
        <v>113</v>
      </c>
      <c r="F461" s="7" t="n">
        <v>3</v>
      </c>
      <c r="G461" s="7" t="n">
        <v>5.83</v>
      </c>
      <c r="H461" s="7" t="n">
        <v>6</v>
      </c>
      <c r="I461" s="7" t="n">
        <v>0</v>
      </c>
      <c r="J461" s="7" t="n">
        <v>0</v>
      </c>
      <c r="K461" s="7" t="n">
        <v>0</v>
      </c>
      <c r="L461" s="7" t="n">
        <v>0</v>
      </c>
      <c r="M461" s="7" t="n">
        <v>0</v>
      </c>
      <c r="N461" s="7" t="n">
        <v>0</v>
      </c>
      <c r="O461" s="7" t="n">
        <v>1</v>
      </c>
      <c r="P461" s="7" t="n">
        <v>1</v>
      </c>
      <c r="Q461" s="7" t="n">
        <v>0</v>
      </c>
      <c r="R461" s="7" t="n">
        <v>0</v>
      </c>
    </row>
    <row r="462" customFormat="false" ht="15" hidden="false" customHeight="true" outlineLevel="0" collapsed="false">
      <c r="A462" s="7" t="n">
        <v>6225</v>
      </c>
      <c r="B462" s="7" t="s">
        <v>45</v>
      </c>
      <c r="C462" s="7" t="s">
        <v>897</v>
      </c>
      <c r="D462" s="7" t="s">
        <v>946</v>
      </c>
      <c r="E462" s="7" t="s">
        <v>127</v>
      </c>
      <c r="F462" s="7" t="n">
        <v>0</v>
      </c>
      <c r="G462" s="7" t="n">
        <v>0</v>
      </c>
      <c r="H462" s="7" t="n">
        <v>0</v>
      </c>
      <c r="I462" s="7" t="n">
        <v>0</v>
      </c>
      <c r="J462" s="7" t="n">
        <v>0</v>
      </c>
      <c r="K462" s="7" t="n">
        <v>0</v>
      </c>
      <c r="L462" s="7" t="n">
        <v>0</v>
      </c>
      <c r="M462" s="7" t="n">
        <v>0</v>
      </c>
      <c r="N462" s="7" t="n">
        <v>0</v>
      </c>
      <c r="O462" s="7" t="n">
        <v>0</v>
      </c>
      <c r="P462" s="7" t="n">
        <v>0</v>
      </c>
      <c r="Q462" s="7" t="n">
        <v>0</v>
      </c>
      <c r="R462" s="7" t="n">
        <v>0</v>
      </c>
    </row>
    <row r="463" customFormat="false" ht="15" hidden="false" customHeight="true" outlineLevel="0" collapsed="false">
      <c r="A463" s="7" t="n">
        <v>4284</v>
      </c>
      <c r="B463" s="7" t="s">
        <v>45</v>
      </c>
      <c r="C463" s="7" t="s">
        <v>897</v>
      </c>
      <c r="D463" s="7" t="s">
        <v>947</v>
      </c>
      <c r="E463" s="7" t="s">
        <v>119</v>
      </c>
      <c r="F463" s="7" t="n">
        <v>13</v>
      </c>
      <c r="G463" s="7" t="n">
        <v>5.85</v>
      </c>
      <c r="H463" s="7" t="n">
        <v>5.73</v>
      </c>
      <c r="I463" s="7" t="n">
        <v>0</v>
      </c>
      <c r="J463" s="7" t="n">
        <v>0</v>
      </c>
      <c r="K463" s="7" t="n">
        <v>0</v>
      </c>
      <c r="L463" s="7" t="n">
        <v>0</v>
      </c>
      <c r="M463" s="7" t="n">
        <v>0</v>
      </c>
      <c r="N463" s="7" t="n">
        <v>0</v>
      </c>
      <c r="O463" s="7" t="n">
        <v>0</v>
      </c>
      <c r="P463" s="7" t="n">
        <v>3</v>
      </c>
      <c r="Q463" s="7" t="n">
        <v>0</v>
      </c>
      <c r="R463" s="7" t="n">
        <v>0</v>
      </c>
    </row>
    <row r="464" customFormat="false" ht="15" hidden="false" customHeight="true" outlineLevel="0" collapsed="false">
      <c r="A464" s="7" t="n">
        <v>5863</v>
      </c>
      <c r="B464" s="7" t="s">
        <v>45</v>
      </c>
      <c r="C464" s="7" t="s">
        <v>897</v>
      </c>
      <c r="D464" s="7" t="s">
        <v>948</v>
      </c>
      <c r="E464" s="7" t="s">
        <v>750</v>
      </c>
      <c r="F464" s="7" t="n">
        <v>0</v>
      </c>
      <c r="G464" s="7" t="n">
        <v>0</v>
      </c>
      <c r="H464" s="7" t="n">
        <v>0</v>
      </c>
      <c r="I464" s="7" t="n">
        <v>0</v>
      </c>
      <c r="J464" s="7" t="n">
        <v>0</v>
      </c>
      <c r="K464" s="7" t="n">
        <v>0</v>
      </c>
      <c r="L464" s="7" t="n">
        <v>0</v>
      </c>
      <c r="M464" s="7" t="n">
        <v>0</v>
      </c>
      <c r="N464" s="7" t="n">
        <v>0</v>
      </c>
      <c r="O464" s="7" t="n">
        <v>0</v>
      </c>
      <c r="P464" s="7" t="n">
        <v>0</v>
      </c>
      <c r="Q464" s="7" t="n">
        <v>0</v>
      </c>
      <c r="R464" s="7" t="n">
        <v>0</v>
      </c>
    </row>
    <row r="465" customFormat="false" ht="15" hidden="false" customHeight="true" outlineLevel="0" collapsed="false">
      <c r="A465" s="7" t="n">
        <v>6010</v>
      </c>
      <c r="B465" s="7" t="s">
        <v>45</v>
      </c>
      <c r="C465" s="7" t="s">
        <v>895</v>
      </c>
      <c r="D465" s="7" t="s">
        <v>419</v>
      </c>
      <c r="E465" s="7" t="s">
        <v>123</v>
      </c>
      <c r="F465" s="7" t="n">
        <v>12</v>
      </c>
      <c r="G465" s="7" t="n">
        <v>5.88</v>
      </c>
      <c r="H465" s="7" t="n">
        <v>5.83</v>
      </c>
      <c r="I465" s="7" t="n">
        <v>0</v>
      </c>
      <c r="J465" s="7" t="n">
        <v>0</v>
      </c>
      <c r="K465" s="7" t="n">
        <v>0</v>
      </c>
      <c r="L465" s="7" t="n">
        <v>0</v>
      </c>
      <c r="M465" s="7" t="n">
        <v>0</v>
      </c>
      <c r="N465" s="7" t="n">
        <v>0</v>
      </c>
      <c r="O465" s="7" t="n">
        <v>0</v>
      </c>
      <c r="P465" s="7" t="n">
        <v>2</v>
      </c>
      <c r="Q465" s="7" t="n">
        <v>0</v>
      </c>
      <c r="R465" s="7" t="n">
        <v>0</v>
      </c>
    </row>
    <row r="466" customFormat="false" ht="15" hidden="false" customHeight="true" outlineLevel="0" collapsed="false">
      <c r="A466" s="7" t="n">
        <v>4911</v>
      </c>
      <c r="B466" s="7" t="s">
        <v>45</v>
      </c>
      <c r="C466" s="7" t="s">
        <v>45</v>
      </c>
      <c r="D466" s="7" t="s">
        <v>480</v>
      </c>
      <c r="E466" s="7" t="s">
        <v>131</v>
      </c>
      <c r="F466" s="7" t="n">
        <v>0</v>
      </c>
      <c r="G466" s="7" t="n">
        <v>0</v>
      </c>
      <c r="H466" s="7" t="n">
        <v>0</v>
      </c>
      <c r="I466" s="7" t="n">
        <v>0</v>
      </c>
      <c r="J466" s="7" t="n">
        <v>0</v>
      </c>
      <c r="K466" s="7" t="n">
        <v>0</v>
      </c>
      <c r="L466" s="7" t="n">
        <v>0</v>
      </c>
      <c r="M466" s="7" t="n">
        <v>0</v>
      </c>
      <c r="N466" s="7" t="n">
        <v>0</v>
      </c>
      <c r="O466" s="7" t="n">
        <v>0</v>
      </c>
      <c r="P466" s="7" t="n">
        <v>0</v>
      </c>
      <c r="Q466" s="7" t="n">
        <v>0</v>
      </c>
      <c r="R466" s="7" t="n">
        <v>0</v>
      </c>
    </row>
    <row r="467" customFormat="false" ht="15" hidden="false" customHeight="true" outlineLevel="0" collapsed="false">
      <c r="A467" s="7" t="n">
        <v>6191</v>
      </c>
      <c r="B467" s="7" t="s">
        <v>45</v>
      </c>
      <c r="C467" s="7" t="s">
        <v>897</v>
      </c>
      <c r="D467" s="7" t="s">
        <v>525</v>
      </c>
      <c r="E467" s="7" t="s">
        <v>133</v>
      </c>
      <c r="F467" s="7" t="n">
        <v>11</v>
      </c>
      <c r="G467" s="7" t="n">
        <v>5.77</v>
      </c>
      <c r="H467" s="7" t="n">
        <v>5.82</v>
      </c>
      <c r="I467" s="7" t="n">
        <v>0</v>
      </c>
      <c r="J467" s="7" t="n">
        <v>0</v>
      </c>
      <c r="K467" s="7" t="n">
        <v>0</v>
      </c>
      <c r="L467" s="7" t="n">
        <v>0</v>
      </c>
      <c r="M467" s="7" t="n">
        <v>0</v>
      </c>
      <c r="N467" s="7" t="n">
        <v>0</v>
      </c>
      <c r="O467" s="7" t="n">
        <v>2</v>
      </c>
      <c r="P467" s="7" t="n">
        <v>1</v>
      </c>
      <c r="Q467" s="7" t="n">
        <v>1</v>
      </c>
      <c r="R467" s="7" t="n">
        <v>0</v>
      </c>
    </row>
    <row r="468" customFormat="false" ht="15" hidden="false" customHeight="true" outlineLevel="0" collapsed="false">
      <c r="A468" s="7" t="n">
        <v>6410</v>
      </c>
      <c r="B468" s="7" t="s">
        <v>45</v>
      </c>
      <c r="C468" s="7" t="s">
        <v>897</v>
      </c>
      <c r="D468" s="7" t="s">
        <v>528</v>
      </c>
      <c r="E468" s="7" t="s">
        <v>139</v>
      </c>
      <c r="F468" s="7" t="n">
        <v>11</v>
      </c>
      <c r="G468" s="7" t="n">
        <v>5.77</v>
      </c>
      <c r="H468" s="7" t="n">
        <v>5.73</v>
      </c>
      <c r="I468" s="7" t="n">
        <v>0</v>
      </c>
      <c r="J468" s="7" t="n">
        <v>0</v>
      </c>
      <c r="K468" s="7" t="n">
        <v>0</v>
      </c>
      <c r="L468" s="7" t="n">
        <v>0</v>
      </c>
      <c r="M468" s="7" t="n">
        <v>0</v>
      </c>
      <c r="N468" s="7" t="n">
        <v>0</v>
      </c>
      <c r="O468" s="7" t="n">
        <v>0</v>
      </c>
      <c r="P468" s="7" t="n">
        <v>1</v>
      </c>
      <c r="Q468" s="7" t="n">
        <v>0</v>
      </c>
      <c r="R468" s="7" t="n">
        <v>0</v>
      </c>
    </row>
    <row r="469" customFormat="false" ht="15" hidden="false" customHeight="true" outlineLevel="0" collapsed="false">
      <c r="A469" s="7" t="n">
        <v>6634</v>
      </c>
      <c r="B469" s="7" t="s">
        <v>45</v>
      </c>
      <c r="C469" s="7" t="s">
        <v>899</v>
      </c>
      <c r="D469" s="7" t="s">
        <v>949</v>
      </c>
      <c r="E469" s="7" t="s">
        <v>139</v>
      </c>
      <c r="F469" s="7" t="n">
        <v>15</v>
      </c>
      <c r="G469" s="7" t="n">
        <v>5.57</v>
      </c>
      <c r="H469" s="7" t="n">
        <v>5.57</v>
      </c>
      <c r="I469" s="7" t="n">
        <v>0</v>
      </c>
      <c r="J469" s="7" t="n">
        <v>0</v>
      </c>
      <c r="K469" s="7" t="n">
        <v>0</v>
      </c>
      <c r="L469" s="7" t="n">
        <v>0</v>
      </c>
      <c r="M469" s="7" t="n">
        <v>0</v>
      </c>
      <c r="N469" s="7" t="n">
        <v>0</v>
      </c>
      <c r="O469" s="7" t="n">
        <v>1</v>
      </c>
      <c r="P469" s="7" t="n">
        <v>2</v>
      </c>
      <c r="Q469" s="7" t="n">
        <v>0</v>
      </c>
      <c r="R469" s="7" t="n">
        <v>0</v>
      </c>
    </row>
    <row r="470" customFormat="false" ht="15" hidden="false" customHeight="true" outlineLevel="0" collapsed="false">
      <c r="A470" s="7" t="n">
        <v>6984</v>
      </c>
      <c r="B470" s="7" t="s">
        <v>45</v>
      </c>
      <c r="C470" s="7" t="s">
        <v>901</v>
      </c>
      <c r="D470" s="7" t="s">
        <v>461</v>
      </c>
      <c r="E470" s="7" t="s">
        <v>141</v>
      </c>
      <c r="F470" s="7" t="n">
        <v>15</v>
      </c>
      <c r="G470" s="7" t="n">
        <v>5.7</v>
      </c>
      <c r="H470" s="7" t="n">
        <v>5.63</v>
      </c>
      <c r="I470" s="7" t="n">
        <v>0</v>
      </c>
      <c r="J470" s="7" t="n">
        <v>0</v>
      </c>
      <c r="K470" s="7" t="n">
        <v>0</v>
      </c>
      <c r="L470" s="7" t="n">
        <v>0</v>
      </c>
      <c r="M470" s="7" t="n">
        <v>0</v>
      </c>
      <c r="N470" s="7" t="n">
        <v>0</v>
      </c>
      <c r="O470" s="7" t="n">
        <v>0</v>
      </c>
      <c r="P470" s="7" t="n">
        <v>2</v>
      </c>
      <c r="Q470" s="7" t="n">
        <v>0</v>
      </c>
      <c r="R470" s="7" t="n">
        <v>0</v>
      </c>
    </row>
    <row r="471" customFormat="false" ht="15" hidden="false" customHeight="true" outlineLevel="0" collapsed="false">
      <c r="A471" s="7" t="n">
        <v>7147</v>
      </c>
      <c r="B471" s="7" t="s">
        <v>45</v>
      </c>
      <c r="C471" s="7" t="s">
        <v>897</v>
      </c>
      <c r="D471" s="7" t="s">
        <v>950</v>
      </c>
      <c r="E471" s="7" t="s">
        <v>755</v>
      </c>
      <c r="F471" s="7" t="n">
        <v>15</v>
      </c>
      <c r="G471" s="7" t="n">
        <v>5.57</v>
      </c>
      <c r="H471" s="7" t="n">
        <v>5.5</v>
      </c>
      <c r="I471" s="7" t="n">
        <v>0</v>
      </c>
      <c r="J471" s="7" t="n">
        <v>0</v>
      </c>
      <c r="K471" s="7" t="n">
        <v>0</v>
      </c>
      <c r="L471" s="7" t="n">
        <v>0</v>
      </c>
      <c r="M471" s="7" t="n">
        <v>0</v>
      </c>
      <c r="N471" s="7" t="n">
        <v>0</v>
      </c>
      <c r="O471" s="7" t="n">
        <v>0</v>
      </c>
      <c r="P471" s="7" t="n">
        <v>2</v>
      </c>
      <c r="Q471" s="7" t="n">
        <v>0</v>
      </c>
      <c r="R471" s="7" t="n">
        <v>0</v>
      </c>
    </row>
    <row r="472" customFormat="false" ht="15" hidden="false" customHeight="true" outlineLevel="0" collapsed="false">
      <c r="A472" s="7" t="n">
        <v>7150</v>
      </c>
      <c r="B472" s="7" t="s">
        <v>45</v>
      </c>
      <c r="C472" s="7" t="s">
        <v>45</v>
      </c>
      <c r="D472" s="7" t="s">
        <v>951</v>
      </c>
      <c r="E472" s="7" t="s">
        <v>755</v>
      </c>
      <c r="F472" s="7" t="n">
        <v>14</v>
      </c>
      <c r="G472" s="7" t="n">
        <v>5.79</v>
      </c>
      <c r="H472" s="7" t="n">
        <v>5.64</v>
      </c>
      <c r="I472" s="7" t="n">
        <v>0</v>
      </c>
      <c r="J472" s="7" t="n">
        <v>0</v>
      </c>
      <c r="K472" s="7" t="n">
        <v>0</v>
      </c>
      <c r="L472" s="7" t="n">
        <v>0</v>
      </c>
      <c r="M472" s="7" t="n">
        <v>0</v>
      </c>
      <c r="N472" s="7" t="n">
        <v>0</v>
      </c>
      <c r="O472" s="7" t="n">
        <v>0</v>
      </c>
      <c r="P472" s="7" t="n">
        <v>4</v>
      </c>
      <c r="Q472" s="7" t="n">
        <v>0</v>
      </c>
      <c r="R472" s="7" t="n">
        <v>0</v>
      </c>
    </row>
    <row r="473" customFormat="false" ht="15" hidden="false" customHeight="true" outlineLevel="0" collapsed="false">
      <c r="A473" s="7" t="n">
        <v>7157</v>
      </c>
      <c r="B473" s="7" t="s">
        <v>45</v>
      </c>
      <c r="C473" s="7" t="s">
        <v>45</v>
      </c>
      <c r="D473" s="7" t="s">
        <v>531</v>
      </c>
      <c r="E473" s="7" t="s">
        <v>144</v>
      </c>
      <c r="F473" s="7" t="n">
        <v>5</v>
      </c>
      <c r="G473" s="7" t="n">
        <v>6</v>
      </c>
      <c r="H473" s="7" t="n">
        <v>6.5</v>
      </c>
      <c r="I473" s="7" t="n">
        <v>1</v>
      </c>
      <c r="J473" s="7" t="n">
        <v>0</v>
      </c>
      <c r="K473" s="7" t="n">
        <v>0</v>
      </c>
      <c r="L473" s="7" t="n">
        <v>0</v>
      </c>
      <c r="M473" s="7" t="n">
        <v>0</v>
      </c>
      <c r="N473" s="7" t="n">
        <v>0</v>
      </c>
      <c r="O473" s="7" t="n">
        <v>0</v>
      </c>
      <c r="P473" s="7" t="n">
        <v>3</v>
      </c>
      <c r="Q473" s="7" t="n">
        <v>0</v>
      </c>
      <c r="R473" s="7" t="n">
        <v>0</v>
      </c>
    </row>
    <row r="474" customFormat="false" ht="15" hidden="false" customHeight="true" outlineLevel="0" collapsed="false">
      <c r="A474" s="7" t="n">
        <v>6212</v>
      </c>
      <c r="B474" s="7" t="s">
        <v>45</v>
      </c>
      <c r="C474" s="7" t="s">
        <v>897</v>
      </c>
      <c r="D474" s="7" t="s">
        <v>535</v>
      </c>
      <c r="E474" s="7" t="s">
        <v>135</v>
      </c>
      <c r="F474" s="7" t="n">
        <v>10</v>
      </c>
      <c r="G474" s="7" t="n">
        <v>5.75</v>
      </c>
      <c r="H474" s="7" t="n">
        <v>5.7</v>
      </c>
      <c r="I474" s="7" t="n">
        <v>0</v>
      </c>
      <c r="J474" s="7" t="n">
        <v>0</v>
      </c>
      <c r="K474" s="7" t="n">
        <v>0</v>
      </c>
      <c r="L474" s="7" t="n">
        <v>0</v>
      </c>
      <c r="M474" s="7" t="n">
        <v>0</v>
      </c>
      <c r="N474" s="7" t="n">
        <v>0</v>
      </c>
      <c r="O474" s="7" t="n">
        <v>0</v>
      </c>
      <c r="P474" s="7" t="n">
        <v>2</v>
      </c>
      <c r="Q474" s="7" t="n">
        <v>0</v>
      </c>
      <c r="R474" s="7" t="n">
        <v>0</v>
      </c>
    </row>
    <row r="475" customFormat="false" ht="15" hidden="false" customHeight="true" outlineLevel="0" collapsed="false">
      <c r="A475" s="7" t="n">
        <v>5850</v>
      </c>
      <c r="B475" s="7" t="s">
        <v>45</v>
      </c>
      <c r="C475" s="7" t="s">
        <v>45</v>
      </c>
      <c r="D475" s="7" t="s">
        <v>952</v>
      </c>
      <c r="E475" s="7" t="s">
        <v>752</v>
      </c>
      <c r="F475" s="7" t="n">
        <v>10</v>
      </c>
      <c r="G475" s="7" t="n">
        <v>5.75</v>
      </c>
      <c r="H475" s="7" t="n">
        <v>5.75</v>
      </c>
      <c r="I475" s="7" t="n">
        <v>0</v>
      </c>
      <c r="J475" s="7" t="n">
        <v>0</v>
      </c>
      <c r="K475" s="7" t="n">
        <v>0</v>
      </c>
      <c r="L475" s="7" t="n">
        <v>0</v>
      </c>
      <c r="M475" s="7" t="n">
        <v>0</v>
      </c>
      <c r="N475" s="7" t="n">
        <v>0</v>
      </c>
      <c r="O475" s="7" t="n">
        <v>1</v>
      </c>
      <c r="P475" s="7" t="n">
        <v>2</v>
      </c>
      <c r="Q475" s="7" t="n">
        <v>0</v>
      </c>
      <c r="R475" s="7" t="n">
        <v>0</v>
      </c>
    </row>
    <row r="476" customFormat="false" ht="15" hidden="false" customHeight="true" outlineLevel="0" collapsed="false">
      <c r="A476" s="7" t="n">
        <v>7254</v>
      </c>
      <c r="B476" s="7" t="s">
        <v>45</v>
      </c>
      <c r="C476" s="7" t="s">
        <v>896</v>
      </c>
      <c r="D476" s="7" t="s">
        <v>953</v>
      </c>
      <c r="E476" s="7" t="s">
        <v>755</v>
      </c>
      <c r="F476" s="7" t="n">
        <v>4</v>
      </c>
      <c r="G476" s="7" t="n">
        <v>5.88</v>
      </c>
      <c r="H476" s="7" t="n">
        <v>6.62</v>
      </c>
      <c r="I476" s="7" t="n">
        <v>1</v>
      </c>
      <c r="J476" s="7" t="n">
        <v>0</v>
      </c>
      <c r="K476" s="7" t="n">
        <v>0</v>
      </c>
      <c r="L476" s="7" t="n">
        <v>0</v>
      </c>
      <c r="M476" s="7" t="n">
        <v>0</v>
      </c>
      <c r="N476" s="7" t="n">
        <v>0</v>
      </c>
      <c r="O476" s="7" t="n">
        <v>0</v>
      </c>
      <c r="P476" s="7" t="n">
        <v>0</v>
      </c>
      <c r="Q476" s="7" t="n">
        <v>0</v>
      </c>
      <c r="R476" s="7" t="n">
        <v>0</v>
      </c>
    </row>
    <row r="477" customFormat="false" ht="15" hidden="false" customHeight="true" outlineLevel="0" collapsed="false">
      <c r="A477" s="7" t="n">
        <v>6528</v>
      </c>
      <c r="B477" s="7" t="s">
        <v>45</v>
      </c>
      <c r="C477" s="7" t="s">
        <v>905</v>
      </c>
      <c r="D477" s="7" t="s">
        <v>954</v>
      </c>
      <c r="E477" s="7" t="s">
        <v>750</v>
      </c>
      <c r="F477" s="7" t="n">
        <v>5</v>
      </c>
      <c r="G477" s="7" t="n">
        <v>5.9</v>
      </c>
      <c r="H477" s="7" t="n">
        <v>5.9</v>
      </c>
      <c r="I477" s="7" t="n">
        <v>0</v>
      </c>
      <c r="J477" s="7" t="n">
        <v>0</v>
      </c>
      <c r="K477" s="7" t="n">
        <v>0</v>
      </c>
      <c r="L477" s="7" t="n">
        <v>0</v>
      </c>
      <c r="M477" s="7" t="n">
        <v>0</v>
      </c>
      <c r="N477" s="7" t="n">
        <v>0</v>
      </c>
      <c r="O477" s="7" t="n">
        <v>0</v>
      </c>
      <c r="P477" s="7" t="n">
        <v>0</v>
      </c>
      <c r="Q477" s="7" t="n">
        <v>0</v>
      </c>
      <c r="R477" s="7" t="n">
        <v>0</v>
      </c>
    </row>
    <row r="478" customFormat="false" ht="15" hidden="false" customHeight="true" outlineLevel="0" collapsed="false">
      <c r="A478" s="7" t="n">
        <v>6112</v>
      </c>
      <c r="B478" s="7" t="s">
        <v>45</v>
      </c>
      <c r="C478" s="7" t="s">
        <v>904</v>
      </c>
      <c r="D478" s="7" t="s">
        <v>955</v>
      </c>
      <c r="E478" s="7" t="s">
        <v>755</v>
      </c>
      <c r="F478" s="7" t="n">
        <v>3</v>
      </c>
      <c r="G478" s="7" t="n">
        <v>5.83</v>
      </c>
      <c r="H478" s="7" t="n">
        <v>5.83</v>
      </c>
      <c r="I478" s="7" t="n">
        <v>0</v>
      </c>
      <c r="J478" s="7" t="n">
        <v>0</v>
      </c>
      <c r="K478" s="7" t="n">
        <v>0</v>
      </c>
      <c r="L478" s="7" t="n">
        <v>0</v>
      </c>
      <c r="M478" s="7" t="n">
        <v>0</v>
      </c>
      <c r="N478" s="7" t="n">
        <v>0</v>
      </c>
      <c r="O478" s="7" t="n">
        <v>0</v>
      </c>
      <c r="P478" s="7" t="n">
        <v>0</v>
      </c>
      <c r="Q478" s="7" t="n">
        <v>0</v>
      </c>
      <c r="R478" s="7" t="n">
        <v>0</v>
      </c>
    </row>
    <row r="479" customFormat="false" ht="15" hidden="false" customHeight="true" outlineLevel="0" collapsed="false">
      <c r="A479" s="7" t="n">
        <v>6676</v>
      </c>
      <c r="B479" s="7" t="s">
        <v>45</v>
      </c>
      <c r="C479" s="7" t="s">
        <v>897</v>
      </c>
      <c r="D479" s="7" t="s">
        <v>956</v>
      </c>
      <c r="E479" s="7" t="s">
        <v>119</v>
      </c>
      <c r="F479" s="7" t="n">
        <v>0</v>
      </c>
      <c r="G479" s="7" t="n">
        <v>0</v>
      </c>
      <c r="H479" s="7" t="n">
        <v>0</v>
      </c>
      <c r="I479" s="7" t="n">
        <v>0</v>
      </c>
      <c r="J479" s="7" t="n">
        <v>0</v>
      </c>
      <c r="K479" s="7" t="n">
        <v>0</v>
      </c>
      <c r="L479" s="7" t="n">
        <v>0</v>
      </c>
      <c r="M479" s="7" t="n">
        <v>0</v>
      </c>
      <c r="N479" s="7" t="n">
        <v>0</v>
      </c>
      <c r="O479" s="7" t="n">
        <v>0</v>
      </c>
      <c r="P479" s="7" t="n">
        <v>0</v>
      </c>
      <c r="Q479" s="7" t="n">
        <v>0</v>
      </c>
      <c r="R479" s="7" t="n">
        <v>0</v>
      </c>
    </row>
    <row r="480" customFormat="false" ht="15" hidden="false" customHeight="true" outlineLevel="0" collapsed="false">
      <c r="A480" s="7" t="n">
        <v>7132</v>
      </c>
      <c r="B480" s="7" t="s">
        <v>45</v>
      </c>
      <c r="C480" s="7" t="s">
        <v>897</v>
      </c>
      <c r="D480" s="7" t="s">
        <v>957</v>
      </c>
      <c r="E480" s="7" t="s">
        <v>750</v>
      </c>
      <c r="F480" s="7" t="n">
        <v>5</v>
      </c>
      <c r="G480" s="7" t="n">
        <v>5.9</v>
      </c>
      <c r="H480" s="7" t="n">
        <v>5.8</v>
      </c>
      <c r="I480" s="7" t="n">
        <v>0</v>
      </c>
      <c r="J480" s="7" t="n">
        <v>0</v>
      </c>
      <c r="K480" s="7" t="n">
        <v>0</v>
      </c>
      <c r="L480" s="7" t="n">
        <v>0</v>
      </c>
      <c r="M480" s="7" t="n">
        <v>0</v>
      </c>
      <c r="N480" s="7" t="n">
        <v>0</v>
      </c>
      <c r="O480" s="7" t="n">
        <v>0</v>
      </c>
      <c r="P480" s="7" t="n">
        <v>1</v>
      </c>
      <c r="Q480" s="7" t="n">
        <v>0</v>
      </c>
      <c r="R480" s="7" t="n">
        <v>0</v>
      </c>
    </row>
    <row r="481" customFormat="false" ht="15" hidden="false" customHeight="true" outlineLevel="0" collapsed="false">
      <c r="A481" s="7" t="n">
        <v>5857</v>
      </c>
      <c r="B481" s="7" t="s">
        <v>45</v>
      </c>
      <c r="C481" s="7" t="s">
        <v>897</v>
      </c>
      <c r="D481" s="7" t="s">
        <v>958</v>
      </c>
      <c r="E481" s="7" t="s">
        <v>750</v>
      </c>
      <c r="F481" s="7" t="n">
        <v>0</v>
      </c>
      <c r="G481" s="7" t="n">
        <v>0</v>
      </c>
      <c r="H481" s="7" t="n">
        <v>0</v>
      </c>
      <c r="I481" s="7" t="n">
        <v>0</v>
      </c>
      <c r="J481" s="7" t="n">
        <v>0</v>
      </c>
      <c r="K481" s="7" t="n">
        <v>0</v>
      </c>
      <c r="L481" s="7" t="n">
        <v>0</v>
      </c>
      <c r="M481" s="7" t="n">
        <v>0</v>
      </c>
      <c r="N481" s="7" t="n">
        <v>0</v>
      </c>
      <c r="O481" s="7" t="n">
        <v>0</v>
      </c>
      <c r="P481" s="7" t="n">
        <v>0</v>
      </c>
      <c r="Q481" s="7" t="n">
        <v>0</v>
      </c>
      <c r="R481" s="7" t="n">
        <v>0</v>
      </c>
    </row>
    <row r="482" customFormat="false" ht="15" hidden="false" customHeight="true" outlineLevel="0" collapsed="false">
      <c r="A482" s="7" t="n">
        <v>6804</v>
      </c>
      <c r="B482" s="7" t="s">
        <v>45</v>
      </c>
      <c r="C482" s="7" t="s">
        <v>897</v>
      </c>
      <c r="D482" s="7" t="s">
        <v>959</v>
      </c>
      <c r="E482" s="7" t="s">
        <v>123</v>
      </c>
      <c r="F482" s="7" t="n">
        <v>1</v>
      </c>
      <c r="G482" s="7" t="n">
        <v>5.5</v>
      </c>
      <c r="H482" s="7" t="n">
        <v>5.5</v>
      </c>
      <c r="I482" s="7" t="n">
        <v>0</v>
      </c>
      <c r="J482" s="7" t="n">
        <v>0</v>
      </c>
      <c r="K482" s="7" t="n">
        <v>0</v>
      </c>
      <c r="L482" s="7" t="n">
        <v>0</v>
      </c>
      <c r="M482" s="7" t="n">
        <v>0</v>
      </c>
      <c r="N482" s="7" t="n">
        <v>0</v>
      </c>
      <c r="O482" s="7" t="n">
        <v>0</v>
      </c>
      <c r="P482" s="7" t="n">
        <v>0</v>
      </c>
      <c r="Q482" s="7" t="n">
        <v>0</v>
      </c>
      <c r="R482" s="7" t="n">
        <v>0</v>
      </c>
    </row>
    <row r="483" customFormat="false" ht="15" hidden="false" customHeight="true" outlineLevel="0" collapsed="false">
      <c r="A483" s="7" t="n">
        <v>5788</v>
      </c>
      <c r="B483" s="7" t="s">
        <v>45</v>
      </c>
      <c r="C483" s="7" t="s">
        <v>896</v>
      </c>
      <c r="D483" s="7" t="s">
        <v>960</v>
      </c>
      <c r="E483" s="7" t="s">
        <v>123</v>
      </c>
      <c r="F483" s="7" t="n">
        <v>1</v>
      </c>
      <c r="G483" s="7" t="n">
        <v>5.5</v>
      </c>
      <c r="H483" s="7" t="n">
        <v>5.5</v>
      </c>
      <c r="I483" s="7" t="n">
        <v>0</v>
      </c>
      <c r="J483" s="7" t="n">
        <v>0</v>
      </c>
      <c r="K483" s="7" t="n">
        <v>0</v>
      </c>
      <c r="L483" s="7" t="n">
        <v>0</v>
      </c>
      <c r="M483" s="7" t="n">
        <v>0</v>
      </c>
      <c r="N483" s="7" t="n">
        <v>0</v>
      </c>
      <c r="O483" s="7" t="n">
        <v>0</v>
      </c>
      <c r="P483" s="7" t="n">
        <v>0</v>
      </c>
      <c r="Q483" s="7" t="n">
        <v>0</v>
      </c>
      <c r="R483" s="7" t="n">
        <v>0</v>
      </c>
    </row>
    <row r="484" customFormat="false" ht="15" hidden="false" customHeight="true" outlineLevel="0" collapsed="false">
      <c r="A484" s="7" t="n">
        <v>6980</v>
      </c>
      <c r="B484" s="7" t="s">
        <v>45</v>
      </c>
      <c r="C484" s="7" t="s">
        <v>899</v>
      </c>
      <c r="D484" s="7" t="s">
        <v>512</v>
      </c>
      <c r="E484" s="7" t="s">
        <v>113</v>
      </c>
      <c r="F484" s="7" t="n">
        <v>7</v>
      </c>
      <c r="G484" s="7" t="n">
        <v>5.86</v>
      </c>
      <c r="H484" s="7" t="n">
        <v>5.86</v>
      </c>
      <c r="I484" s="7" t="n">
        <v>0</v>
      </c>
      <c r="J484" s="7" t="n">
        <v>0</v>
      </c>
      <c r="K484" s="7" t="n">
        <v>0</v>
      </c>
      <c r="L484" s="7" t="n">
        <v>0</v>
      </c>
      <c r="M484" s="7" t="n">
        <v>0</v>
      </c>
      <c r="N484" s="7" t="n">
        <v>0</v>
      </c>
      <c r="O484" s="7" t="n">
        <v>0</v>
      </c>
      <c r="P484" s="7" t="n">
        <v>0</v>
      </c>
      <c r="Q484" s="7" t="n">
        <v>0</v>
      </c>
      <c r="R484" s="7" t="n">
        <v>0</v>
      </c>
    </row>
    <row r="485" customFormat="false" ht="15" hidden="false" customHeight="true" outlineLevel="0" collapsed="false">
      <c r="A485" s="7" t="n">
        <v>6722</v>
      </c>
      <c r="B485" s="7" t="s">
        <v>45</v>
      </c>
      <c r="C485" s="7" t="s">
        <v>905</v>
      </c>
      <c r="D485" s="7" t="s">
        <v>961</v>
      </c>
      <c r="E485" s="7" t="s">
        <v>137</v>
      </c>
      <c r="F485" s="7" t="n">
        <v>2</v>
      </c>
      <c r="G485" s="7" t="n">
        <v>5.5</v>
      </c>
      <c r="H485" s="7" t="n">
        <v>5.25</v>
      </c>
      <c r="I485" s="7" t="n">
        <v>0</v>
      </c>
      <c r="J485" s="7" t="n">
        <v>0</v>
      </c>
      <c r="K485" s="7" t="n">
        <v>0</v>
      </c>
      <c r="L485" s="7" t="n">
        <v>0</v>
      </c>
      <c r="M485" s="7" t="n">
        <v>0</v>
      </c>
      <c r="N485" s="7" t="n">
        <v>0</v>
      </c>
      <c r="O485" s="7" t="n">
        <v>0</v>
      </c>
      <c r="P485" s="7" t="n">
        <v>1</v>
      </c>
      <c r="Q485" s="7" t="n">
        <v>0</v>
      </c>
      <c r="R485" s="7" t="n">
        <v>0</v>
      </c>
    </row>
    <row r="486" customFormat="false" ht="15" hidden="false" customHeight="true" outlineLevel="0" collapsed="false">
      <c r="A486" s="7" t="n">
        <v>5719</v>
      </c>
      <c r="B486" s="7" t="s">
        <v>45</v>
      </c>
      <c r="C486" s="7" t="s">
        <v>897</v>
      </c>
      <c r="D486" s="7" t="s">
        <v>962</v>
      </c>
      <c r="E486" s="7" t="s">
        <v>184</v>
      </c>
      <c r="F486" s="7" t="n">
        <v>14</v>
      </c>
      <c r="G486" s="7" t="n">
        <v>5.57</v>
      </c>
      <c r="H486" s="7" t="n">
        <v>5.25</v>
      </c>
      <c r="I486" s="7" t="n">
        <v>0</v>
      </c>
      <c r="J486" s="7" t="n">
        <v>0</v>
      </c>
      <c r="K486" s="7" t="n">
        <v>0</v>
      </c>
      <c r="L486" s="7" t="n">
        <v>1</v>
      </c>
      <c r="M486" s="7" t="n">
        <v>0</v>
      </c>
      <c r="N486" s="7" t="n">
        <v>1</v>
      </c>
      <c r="O486" s="7" t="n">
        <v>0</v>
      </c>
      <c r="P486" s="7" t="n">
        <v>3</v>
      </c>
      <c r="Q486" s="7" t="n">
        <v>0</v>
      </c>
      <c r="R486" s="7" t="n">
        <v>0</v>
      </c>
    </row>
    <row r="487" customFormat="false" ht="15" hidden="false" customHeight="true" outlineLevel="0" collapsed="false">
      <c r="A487" s="7" t="n">
        <v>4459</v>
      </c>
      <c r="B487" s="7" t="s">
        <v>45</v>
      </c>
      <c r="C487" s="7" t="s">
        <v>897</v>
      </c>
      <c r="D487" s="7" t="s">
        <v>438</v>
      </c>
      <c r="E487" s="7" t="s">
        <v>133</v>
      </c>
      <c r="F487" s="7" t="n">
        <v>11</v>
      </c>
      <c r="G487" s="7" t="n">
        <v>5.73</v>
      </c>
      <c r="H487" s="7" t="n">
        <v>5.64</v>
      </c>
      <c r="I487" s="7" t="n">
        <v>0</v>
      </c>
      <c r="J487" s="7" t="n">
        <v>0</v>
      </c>
      <c r="K487" s="7" t="n">
        <v>0</v>
      </c>
      <c r="L487" s="7" t="n">
        <v>0</v>
      </c>
      <c r="M487" s="7" t="n">
        <v>0</v>
      </c>
      <c r="N487" s="7" t="n">
        <v>0</v>
      </c>
      <c r="O487" s="7" t="n">
        <v>1</v>
      </c>
      <c r="P487" s="7" t="n">
        <v>2</v>
      </c>
      <c r="Q487" s="7" t="n">
        <v>1</v>
      </c>
      <c r="R487" s="7" t="n">
        <v>0</v>
      </c>
    </row>
    <row r="488" customFormat="false" ht="15" hidden="false" customHeight="true" outlineLevel="0" collapsed="false">
      <c r="A488" s="7" t="n">
        <v>5872</v>
      </c>
      <c r="B488" s="7" t="s">
        <v>45</v>
      </c>
      <c r="C488" s="7" t="s">
        <v>895</v>
      </c>
      <c r="D488" s="7" t="s">
        <v>507</v>
      </c>
      <c r="E488" s="7" t="s">
        <v>139</v>
      </c>
      <c r="F488" s="7" t="n">
        <v>4</v>
      </c>
      <c r="G488" s="7" t="n">
        <v>5.62</v>
      </c>
      <c r="H488" s="7" t="n">
        <v>5.62</v>
      </c>
      <c r="I488" s="7" t="n">
        <v>0</v>
      </c>
      <c r="J488" s="7" t="n">
        <v>0</v>
      </c>
      <c r="K488" s="7" t="n">
        <v>0</v>
      </c>
      <c r="L488" s="7" t="n">
        <v>0</v>
      </c>
      <c r="M488" s="7" t="n">
        <v>0</v>
      </c>
      <c r="N488" s="7" t="n">
        <v>0</v>
      </c>
      <c r="O488" s="7" t="n">
        <v>0</v>
      </c>
      <c r="P488" s="7" t="n">
        <v>0</v>
      </c>
      <c r="Q488" s="7" t="n">
        <v>0</v>
      </c>
      <c r="R488" s="7" t="n">
        <v>0</v>
      </c>
    </row>
    <row r="489" customFormat="false" ht="15" hidden="false" customHeight="true" outlineLevel="0" collapsed="false">
      <c r="A489" s="7" t="n">
        <v>4423</v>
      </c>
      <c r="B489" s="7" t="s">
        <v>45</v>
      </c>
      <c r="C489" s="7" t="s">
        <v>45</v>
      </c>
      <c r="D489" s="7" t="s">
        <v>963</v>
      </c>
      <c r="E489" s="7" t="s">
        <v>141</v>
      </c>
      <c r="F489" s="7" t="n">
        <v>3</v>
      </c>
      <c r="G489" s="7" t="n">
        <v>5.67</v>
      </c>
      <c r="H489" s="7" t="n">
        <v>5.67</v>
      </c>
      <c r="I489" s="7" t="n">
        <v>0</v>
      </c>
      <c r="J489" s="7" t="n">
        <v>0</v>
      </c>
      <c r="K489" s="7" t="n">
        <v>0</v>
      </c>
      <c r="L489" s="7" t="n">
        <v>0</v>
      </c>
      <c r="M489" s="7" t="n">
        <v>0</v>
      </c>
      <c r="N489" s="7" t="n">
        <v>0</v>
      </c>
      <c r="O489" s="7" t="n">
        <v>0</v>
      </c>
      <c r="P489" s="7" t="n">
        <v>0</v>
      </c>
      <c r="Q489" s="7" t="n">
        <v>0</v>
      </c>
      <c r="R489" s="7" t="n">
        <v>0</v>
      </c>
    </row>
    <row r="490" customFormat="false" ht="15" hidden="false" customHeight="true" outlineLevel="0" collapsed="false">
      <c r="A490" s="7" t="n">
        <v>7149</v>
      </c>
      <c r="B490" s="7" t="s">
        <v>45</v>
      </c>
      <c r="C490" s="7" t="s">
        <v>897</v>
      </c>
      <c r="D490" s="7" t="s">
        <v>964</v>
      </c>
      <c r="E490" s="7" t="s">
        <v>755</v>
      </c>
      <c r="F490" s="7" t="n">
        <v>20</v>
      </c>
      <c r="G490" s="7" t="n">
        <v>5.88</v>
      </c>
      <c r="H490" s="7" t="n">
        <v>5.7</v>
      </c>
      <c r="I490" s="7" t="n">
        <v>0</v>
      </c>
      <c r="J490" s="7" t="n">
        <v>0</v>
      </c>
      <c r="K490" s="7" t="n">
        <v>0</v>
      </c>
      <c r="L490" s="7" t="n">
        <v>0</v>
      </c>
      <c r="M490" s="7" t="n">
        <v>0</v>
      </c>
      <c r="N490" s="7" t="n">
        <v>0</v>
      </c>
      <c r="O490" s="7" t="n">
        <v>0</v>
      </c>
      <c r="P490" s="7" t="n">
        <v>7</v>
      </c>
      <c r="Q490" s="7" t="n">
        <v>0</v>
      </c>
      <c r="R490" s="7" t="n">
        <v>0</v>
      </c>
    </row>
    <row r="491" customFormat="false" ht="15" hidden="false" customHeight="true" outlineLevel="0" collapsed="false">
      <c r="A491" s="7" t="n">
        <v>6219</v>
      </c>
      <c r="B491" s="7" t="s">
        <v>45</v>
      </c>
      <c r="C491" s="7" t="s">
        <v>897</v>
      </c>
      <c r="D491" s="7" t="s">
        <v>517</v>
      </c>
      <c r="E491" s="7" t="s">
        <v>144</v>
      </c>
      <c r="F491" s="7" t="n">
        <v>2</v>
      </c>
      <c r="G491" s="7" t="n">
        <v>5.75</v>
      </c>
      <c r="H491" s="7" t="n">
        <v>5.75</v>
      </c>
      <c r="I491" s="7" t="n">
        <v>0</v>
      </c>
      <c r="J491" s="7" t="n">
        <v>0</v>
      </c>
      <c r="K491" s="7" t="n">
        <v>0</v>
      </c>
      <c r="L491" s="7" t="n">
        <v>0</v>
      </c>
      <c r="M491" s="7" t="n">
        <v>0</v>
      </c>
      <c r="N491" s="7" t="n">
        <v>0</v>
      </c>
      <c r="O491" s="7" t="n">
        <v>0</v>
      </c>
      <c r="P491" s="7" t="n">
        <v>0</v>
      </c>
      <c r="Q491" s="7" t="n">
        <v>0</v>
      </c>
      <c r="R491" s="7" t="n">
        <v>0</v>
      </c>
    </row>
    <row r="492" customFormat="false" ht="15" hidden="false" customHeight="true" outlineLevel="0" collapsed="false">
      <c r="A492" s="7" t="n">
        <v>6889</v>
      </c>
      <c r="B492" s="7" t="s">
        <v>45</v>
      </c>
      <c r="C492" s="7" t="s">
        <v>895</v>
      </c>
      <c r="D492" s="7" t="s">
        <v>533</v>
      </c>
      <c r="E492" s="7" t="s">
        <v>184</v>
      </c>
      <c r="F492" s="7" t="n">
        <v>9</v>
      </c>
      <c r="G492" s="7" t="n">
        <v>5.78</v>
      </c>
      <c r="H492" s="7" t="n">
        <v>5.72</v>
      </c>
      <c r="I492" s="7" t="n">
        <v>0</v>
      </c>
      <c r="J492" s="7" t="n">
        <v>0</v>
      </c>
      <c r="K492" s="7" t="n">
        <v>0</v>
      </c>
      <c r="L492" s="7" t="n">
        <v>0</v>
      </c>
      <c r="M492" s="7" t="n">
        <v>0</v>
      </c>
      <c r="N492" s="7" t="n">
        <v>0</v>
      </c>
      <c r="O492" s="7" t="n">
        <v>0</v>
      </c>
      <c r="P492" s="7" t="n">
        <v>1</v>
      </c>
      <c r="Q492" s="7" t="n">
        <v>0</v>
      </c>
      <c r="R492" s="7" t="n">
        <v>0</v>
      </c>
    </row>
    <row r="493" customFormat="false" ht="15" hidden="false" customHeight="true" outlineLevel="0" collapsed="false">
      <c r="A493" s="7" t="n">
        <v>5540</v>
      </c>
      <c r="B493" s="7" t="s">
        <v>45</v>
      </c>
      <c r="C493" s="7" t="s">
        <v>897</v>
      </c>
      <c r="D493" s="7" t="s">
        <v>965</v>
      </c>
      <c r="E493" s="7" t="s">
        <v>752</v>
      </c>
      <c r="F493" s="7" t="n">
        <v>16</v>
      </c>
      <c r="G493" s="7" t="n">
        <v>5.69</v>
      </c>
      <c r="H493" s="7" t="n">
        <v>5.72</v>
      </c>
      <c r="I493" s="7" t="n">
        <v>0</v>
      </c>
      <c r="J493" s="7" t="n">
        <v>0</v>
      </c>
      <c r="K493" s="7" t="n">
        <v>0</v>
      </c>
      <c r="L493" s="7" t="n">
        <v>0</v>
      </c>
      <c r="M493" s="7" t="n">
        <v>0</v>
      </c>
      <c r="N493" s="7" t="n">
        <v>0</v>
      </c>
      <c r="O493" s="7" t="n">
        <v>1</v>
      </c>
      <c r="P493" s="7" t="n">
        <v>1</v>
      </c>
      <c r="Q493" s="7" t="n">
        <v>0</v>
      </c>
      <c r="R493" s="7" t="n">
        <v>0</v>
      </c>
    </row>
    <row r="494" customFormat="false" ht="15" hidden="false" customHeight="true" outlineLevel="0" collapsed="false">
      <c r="A494" s="7" t="n">
        <v>6506</v>
      </c>
      <c r="B494" s="7" t="s">
        <v>45</v>
      </c>
      <c r="C494" s="7" t="s">
        <v>904</v>
      </c>
      <c r="D494" s="7" t="s">
        <v>966</v>
      </c>
      <c r="E494" s="7" t="s">
        <v>137</v>
      </c>
      <c r="F494" s="7" t="n">
        <v>1</v>
      </c>
      <c r="G494" s="7" t="n">
        <v>5.5</v>
      </c>
      <c r="H494" s="7" t="n">
        <v>5.5</v>
      </c>
      <c r="I494" s="7" t="n">
        <v>0</v>
      </c>
      <c r="J494" s="7" t="n">
        <v>0</v>
      </c>
      <c r="K494" s="7" t="n">
        <v>0</v>
      </c>
      <c r="L494" s="7" t="n">
        <v>0</v>
      </c>
      <c r="M494" s="7" t="n">
        <v>0</v>
      </c>
      <c r="N494" s="7" t="n">
        <v>0</v>
      </c>
      <c r="O494" s="7" t="n">
        <v>0</v>
      </c>
      <c r="P494" s="7" t="n">
        <v>0</v>
      </c>
      <c r="Q494" s="7" t="n">
        <v>0</v>
      </c>
      <c r="R494" s="7" t="n">
        <v>0</v>
      </c>
    </row>
    <row r="495" customFormat="false" ht="15" hidden="false" customHeight="true" outlineLevel="0" collapsed="false">
      <c r="A495" s="7" t="n">
        <v>7248</v>
      </c>
      <c r="B495" s="7" t="s">
        <v>45</v>
      </c>
      <c r="C495" s="7" t="s">
        <v>897</v>
      </c>
      <c r="D495" s="7" t="s">
        <v>527</v>
      </c>
      <c r="E495" s="7" t="s">
        <v>139</v>
      </c>
      <c r="F495" s="7" t="n">
        <v>1</v>
      </c>
      <c r="G495" s="7" t="n">
        <v>5.5</v>
      </c>
      <c r="H495" s="7" t="n">
        <v>5.5</v>
      </c>
      <c r="I495" s="7" t="n">
        <v>0</v>
      </c>
      <c r="J495" s="7" t="n">
        <v>0</v>
      </c>
      <c r="K495" s="7" t="n">
        <v>0</v>
      </c>
      <c r="L495" s="7" t="n">
        <v>0</v>
      </c>
      <c r="M495" s="7" t="n">
        <v>0</v>
      </c>
      <c r="N495" s="7" t="n">
        <v>0</v>
      </c>
      <c r="O495" s="7" t="n">
        <v>0</v>
      </c>
      <c r="P495" s="7" t="n">
        <v>0</v>
      </c>
      <c r="Q495" s="7" t="n">
        <v>0</v>
      </c>
      <c r="R495" s="7" t="n">
        <v>0</v>
      </c>
    </row>
    <row r="496" customFormat="false" ht="15" hidden="false" customHeight="true" outlineLevel="0" collapsed="false">
      <c r="A496" s="7" t="n">
        <v>7010</v>
      </c>
      <c r="B496" s="7" t="s">
        <v>45</v>
      </c>
      <c r="C496" s="7" t="s">
        <v>897</v>
      </c>
      <c r="D496" s="7" t="s">
        <v>967</v>
      </c>
      <c r="E496" s="7" t="s">
        <v>752</v>
      </c>
      <c r="F496" s="7" t="n">
        <v>14</v>
      </c>
      <c r="G496" s="7" t="n">
        <v>5.71</v>
      </c>
      <c r="H496" s="7" t="n">
        <v>5.57</v>
      </c>
      <c r="I496" s="7" t="n">
        <v>0</v>
      </c>
      <c r="J496" s="7" t="n">
        <v>0</v>
      </c>
      <c r="K496" s="7" t="n">
        <v>0</v>
      </c>
      <c r="L496" s="7" t="n">
        <v>0</v>
      </c>
      <c r="M496" s="7" t="n">
        <v>0</v>
      </c>
      <c r="N496" s="7" t="n">
        <v>0</v>
      </c>
      <c r="O496" s="7" t="n">
        <v>1</v>
      </c>
      <c r="P496" s="7" t="n">
        <v>4</v>
      </c>
      <c r="Q496" s="7" t="n">
        <v>1</v>
      </c>
      <c r="R496" s="7" t="n">
        <v>0</v>
      </c>
    </row>
    <row r="497" customFormat="false" ht="15" hidden="false" customHeight="true" outlineLevel="0" collapsed="false">
      <c r="A497" s="7" t="n">
        <v>4677</v>
      </c>
      <c r="B497" s="7" t="s">
        <v>45</v>
      </c>
      <c r="C497" s="7" t="s">
        <v>899</v>
      </c>
      <c r="D497" s="7" t="s">
        <v>968</v>
      </c>
      <c r="E497" s="7" t="s">
        <v>137</v>
      </c>
      <c r="F497" s="7" t="n">
        <v>5</v>
      </c>
      <c r="G497" s="7" t="n">
        <v>5.1</v>
      </c>
      <c r="H497" s="7" t="n">
        <v>4.5</v>
      </c>
      <c r="I497" s="7" t="n">
        <v>0</v>
      </c>
      <c r="J497" s="7" t="n">
        <v>0</v>
      </c>
      <c r="K497" s="7" t="n">
        <v>0</v>
      </c>
      <c r="L497" s="7" t="n">
        <v>1</v>
      </c>
      <c r="M497" s="7" t="n">
        <v>0</v>
      </c>
      <c r="N497" s="7" t="n">
        <v>1</v>
      </c>
      <c r="O497" s="7" t="n">
        <v>0</v>
      </c>
      <c r="P497" s="7" t="n">
        <v>0</v>
      </c>
      <c r="Q497" s="7" t="n">
        <v>0</v>
      </c>
      <c r="R497" s="7" t="n">
        <v>0</v>
      </c>
    </row>
    <row r="498" customFormat="false" ht="15" hidden="false" customHeight="true" outlineLevel="0" collapsed="false">
      <c r="A498" s="7" t="n">
        <v>7036</v>
      </c>
      <c r="B498" s="7" t="s">
        <v>45</v>
      </c>
      <c r="C498" s="7" t="s">
        <v>895</v>
      </c>
      <c r="D498" s="7" t="s">
        <v>465</v>
      </c>
      <c r="E498" s="7" t="s">
        <v>144</v>
      </c>
      <c r="F498" s="7" t="n">
        <v>3</v>
      </c>
      <c r="G498" s="7" t="n">
        <v>6.17</v>
      </c>
      <c r="H498" s="7" t="n">
        <v>6.17</v>
      </c>
      <c r="I498" s="7" t="n">
        <v>0</v>
      </c>
      <c r="J498" s="7" t="n">
        <v>0</v>
      </c>
      <c r="K498" s="7" t="n">
        <v>0</v>
      </c>
      <c r="L498" s="7" t="n">
        <v>0</v>
      </c>
      <c r="M498" s="7" t="n">
        <v>0</v>
      </c>
      <c r="N498" s="7" t="n">
        <v>0</v>
      </c>
      <c r="O498" s="7" t="n">
        <v>0</v>
      </c>
      <c r="P498" s="7" t="n">
        <v>0</v>
      </c>
      <c r="Q498" s="7" t="n">
        <v>0</v>
      </c>
      <c r="R498" s="7" t="n">
        <v>0</v>
      </c>
    </row>
    <row r="499" customFormat="false" ht="15" hidden="false" customHeight="true" outlineLevel="0" collapsed="false">
      <c r="A499" s="7" t="n">
        <v>7165</v>
      </c>
      <c r="B499" s="7" t="s">
        <v>45</v>
      </c>
      <c r="C499" s="7" t="s">
        <v>897</v>
      </c>
      <c r="D499" s="7" t="s">
        <v>521</v>
      </c>
      <c r="E499" s="7" t="s">
        <v>129</v>
      </c>
      <c r="F499" s="7" t="n">
        <v>4</v>
      </c>
      <c r="G499" s="7" t="n">
        <v>5.75</v>
      </c>
      <c r="H499" s="7" t="n">
        <v>5.75</v>
      </c>
      <c r="I499" s="7" t="n">
        <v>0</v>
      </c>
      <c r="J499" s="7" t="n">
        <v>0</v>
      </c>
      <c r="K499" s="7" t="n">
        <v>0</v>
      </c>
      <c r="L499" s="7" t="n">
        <v>0</v>
      </c>
      <c r="M499" s="7" t="n">
        <v>0</v>
      </c>
      <c r="N499" s="7" t="n">
        <v>0</v>
      </c>
      <c r="O499" s="7" t="n">
        <v>0</v>
      </c>
      <c r="P499" s="7" t="n">
        <v>0</v>
      </c>
      <c r="Q499" s="7" t="n">
        <v>0</v>
      </c>
      <c r="R499" s="7" t="n">
        <v>0</v>
      </c>
    </row>
    <row r="500" customFormat="false" ht="15" hidden="false" customHeight="true" outlineLevel="0" collapsed="false">
      <c r="A500" s="7" t="n">
        <v>6656</v>
      </c>
      <c r="B500" s="7" t="s">
        <v>45</v>
      </c>
      <c r="C500" s="7" t="s">
        <v>897</v>
      </c>
      <c r="D500" s="7" t="s">
        <v>969</v>
      </c>
      <c r="E500" s="7" t="s">
        <v>119</v>
      </c>
      <c r="F500" s="7" t="n">
        <v>0</v>
      </c>
      <c r="G500" s="7" t="n">
        <v>0</v>
      </c>
      <c r="H500" s="7" t="n">
        <v>0</v>
      </c>
      <c r="I500" s="7" t="n">
        <v>0</v>
      </c>
      <c r="J500" s="7" t="n">
        <v>0</v>
      </c>
      <c r="K500" s="7" t="n">
        <v>0</v>
      </c>
      <c r="L500" s="7" t="n">
        <v>0</v>
      </c>
      <c r="M500" s="7" t="n">
        <v>0</v>
      </c>
      <c r="N500" s="7" t="n">
        <v>0</v>
      </c>
      <c r="O500" s="7" t="n">
        <v>0</v>
      </c>
      <c r="P500" s="7" t="n">
        <v>0</v>
      </c>
      <c r="Q500" s="7" t="n">
        <v>0</v>
      </c>
      <c r="R500" s="7" t="n">
        <v>0</v>
      </c>
    </row>
    <row r="501" customFormat="false" ht="15" hidden="false" customHeight="true" outlineLevel="0" collapsed="false">
      <c r="A501" s="7" t="n">
        <v>2553</v>
      </c>
      <c r="B501" s="7" t="s">
        <v>45</v>
      </c>
      <c r="C501" s="7" t="s">
        <v>896</v>
      </c>
      <c r="D501" s="7" t="s">
        <v>970</v>
      </c>
      <c r="E501" s="7" t="s">
        <v>119</v>
      </c>
      <c r="F501" s="7" t="n">
        <v>0</v>
      </c>
      <c r="G501" s="7" t="n">
        <v>0</v>
      </c>
      <c r="H501" s="7" t="n">
        <v>0</v>
      </c>
      <c r="I501" s="7" t="n">
        <v>0</v>
      </c>
      <c r="J501" s="7" t="n">
        <v>0</v>
      </c>
      <c r="K501" s="7" t="n">
        <v>0</v>
      </c>
      <c r="L501" s="7" t="n">
        <v>0</v>
      </c>
      <c r="M501" s="7" t="n">
        <v>0</v>
      </c>
      <c r="N501" s="7" t="n">
        <v>0</v>
      </c>
      <c r="O501" s="7" t="n">
        <v>0</v>
      </c>
      <c r="P501" s="7" t="n">
        <v>0</v>
      </c>
      <c r="Q501" s="7" t="n">
        <v>0</v>
      </c>
      <c r="R501" s="7" t="n">
        <v>0</v>
      </c>
    </row>
    <row r="502" customFormat="false" ht="15" hidden="false" customHeight="true" outlineLevel="0" collapsed="false">
      <c r="A502" s="7" t="n">
        <v>2274</v>
      </c>
      <c r="B502" s="7" t="s">
        <v>45</v>
      </c>
      <c r="C502" s="7" t="s">
        <v>895</v>
      </c>
      <c r="D502" s="7" t="s">
        <v>971</v>
      </c>
      <c r="E502" s="7" t="s">
        <v>750</v>
      </c>
      <c r="F502" s="7" t="n">
        <v>0</v>
      </c>
      <c r="G502" s="7" t="n">
        <v>0</v>
      </c>
      <c r="H502" s="7" t="n">
        <v>0</v>
      </c>
      <c r="I502" s="7" t="n">
        <v>0</v>
      </c>
      <c r="J502" s="7" t="n">
        <v>0</v>
      </c>
      <c r="K502" s="7" t="n">
        <v>0</v>
      </c>
      <c r="L502" s="7" t="n">
        <v>0</v>
      </c>
      <c r="M502" s="7" t="n">
        <v>0</v>
      </c>
      <c r="N502" s="7" t="n">
        <v>0</v>
      </c>
      <c r="O502" s="7" t="n">
        <v>0</v>
      </c>
      <c r="P502" s="7" t="n">
        <v>0</v>
      </c>
      <c r="Q502" s="7" t="n">
        <v>0</v>
      </c>
      <c r="R502" s="7" t="n">
        <v>0</v>
      </c>
    </row>
    <row r="503" customFormat="false" ht="15" hidden="false" customHeight="true" outlineLevel="0" collapsed="false">
      <c r="A503" s="7" t="n">
        <v>5516</v>
      </c>
      <c r="B503" s="7" t="s">
        <v>45</v>
      </c>
      <c r="C503" s="7" t="s">
        <v>897</v>
      </c>
      <c r="D503" s="7" t="s">
        <v>972</v>
      </c>
      <c r="E503" s="7" t="s">
        <v>123</v>
      </c>
      <c r="F503" s="7" t="n">
        <v>0</v>
      </c>
      <c r="G503" s="7" t="n">
        <v>0</v>
      </c>
      <c r="H503" s="7" t="n">
        <v>0</v>
      </c>
      <c r="I503" s="7" t="n">
        <v>0</v>
      </c>
      <c r="J503" s="7" t="n">
        <v>0</v>
      </c>
      <c r="K503" s="7" t="n">
        <v>0</v>
      </c>
      <c r="L503" s="7" t="n">
        <v>0</v>
      </c>
      <c r="M503" s="7" t="n">
        <v>0</v>
      </c>
      <c r="N503" s="7" t="n">
        <v>0</v>
      </c>
      <c r="O503" s="7" t="n">
        <v>0</v>
      </c>
      <c r="P503" s="7" t="n">
        <v>0</v>
      </c>
      <c r="Q503" s="7" t="n">
        <v>0</v>
      </c>
      <c r="R503" s="7" t="n">
        <v>0</v>
      </c>
    </row>
    <row r="504" customFormat="false" ht="15" hidden="false" customHeight="true" outlineLevel="0" collapsed="false">
      <c r="A504" s="7" t="n">
        <v>7135</v>
      </c>
      <c r="B504" s="7" t="s">
        <v>45</v>
      </c>
      <c r="C504" s="7" t="s">
        <v>895</v>
      </c>
      <c r="D504" s="7" t="s">
        <v>973</v>
      </c>
      <c r="E504" s="7" t="s">
        <v>137</v>
      </c>
      <c r="F504" s="7" t="n">
        <v>4</v>
      </c>
      <c r="G504" s="7" t="n">
        <v>5.5</v>
      </c>
      <c r="H504" s="7" t="n">
        <v>4.75</v>
      </c>
      <c r="I504" s="7" t="n">
        <v>0</v>
      </c>
      <c r="J504" s="7" t="n">
        <v>0</v>
      </c>
      <c r="K504" s="7" t="n">
        <v>0</v>
      </c>
      <c r="L504" s="7" t="n">
        <v>1</v>
      </c>
      <c r="M504" s="7" t="n">
        <v>0</v>
      </c>
      <c r="N504" s="7" t="n">
        <v>1</v>
      </c>
      <c r="O504" s="7" t="n">
        <v>0</v>
      </c>
      <c r="P504" s="7" t="n">
        <v>0</v>
      </c>
      <c r="Q504" s="7" t="n">
        <v>0</v>
      </c>
      <c r="R504" s="7" t="n">
        <v>0</v>
      </c>
    </row>
    <row r="505" customFormat="false" ht="15" hidden="false" customHeight="true" outlineLevel="0" collapsed="false">
      <c r="A505" s="7" t="n">
        <v>6633</v>
      </c>
      <c r="B505" s="7" t="s">
        <v>45</v>
      </c>
      <c r="C505" s="7" t="s">
        <v>897</v>
      </c>
      <c r="D505" s="7" t="s">
        <v>974</v>
      </c>
      <c r="E505" s="7" t="s">
        <v>139</v>
      </c>
      <c r="F505" s="7" t="n">
        <v>1</v>
      </c>
      <c r="G505" s="7" t="n">
        <v>6</v>
      </c>
      <c r="H505" s="7" t="n">
        <v>6</v>
      </c>
      <c r="I505" s="7" t="n">
        <v>0</v>
      </c>
      <c r="J505" s="7" t="n">
        <v>0</v>
      </c>
      <c r="K505" s="7" t="n">
        <v>0</v>
      </c>
      <c r="L505" s="7" t="n">
        <v>0</v>
      </c>
      <c r="M505" s="7" t="n">
        <v>0</v>
      </c>
      <c r="N505" s="7" t="n">
        <v>0</v>
      </c>
      <c r="O505" s="7" t="n">
        <v>0</v>
      </c>
      <c r="P505" s="7" t="n">
        <v>0</v>
      </c>
      <c r="Q505" s="7" t="n">
        <v>0</v>
      </c>
      <c r="R505" s="7" t="n">
        <v>0</v>
      </c>
    </row>
    <row r="506" customFormat="false" ht="15" hidden="false" customHeight="true" outlineLevel="0" collapsed="false">
      <c r="A506" s="7" t="n">
        <v>6222</v>
      </c>
      <c r="B506" s="7" t="s">
        <v>45</v>
      </c>
      <c r="C506" s="7" t="s">
        <v>895</v>
      </c>
      <c r="D506" s="7" t="s">
        <v>975</v>
      </c>
      <c r="E506" s="7" t="s">
        <v>139</v>
      </c>
      <c r="F506" s="7" t="n">
        <v>0</v>
      </c>
      <c r="G506" s="7" t="n">
        <v>0</v>
      </c>
      <c r="H506" s="7" t="n">
        <v>0</v>
      </c>
      <c r="I506" s="7" t="n">
        <v>0</v>
      </c>
      <c r="J506" s="7" t="n">
        <v>0</v>
      </c>
      <c r="K506" s="7" t="n">
        <v>0</v>
      </c>
      <c r="L506" s="7" t="n">
        <v>0</v>
      </c>
      <c r="M506" s="7" t="n">
        <v>0</v>
      </c>
      <c r="N506" s="7" t="n">
        <v>0</v>
      </c>
      <c r="O506" s="7" t="n">
        <v>0</v>
      </c>
      <c r="P506" s="7" t="n">
        <v>0</v>
      </c>
      <c r="Q506" s="7" t="n">
        <v>0</v>
      </c>
      <c r="R506" s="7" t="n">
        <v>0</v>
      </c>
    </row>
    <row r="507" customFormat="false" ht="15" hidden="false" customHeight="true" outlineLevel="0" collapsed="false">
      <c r="A507" s="7" t="n">
        <v>6645</v>
      </c>
      <c r="B507" s="7" t="s">
        <v>45</v>
      </c>
      <c r="C507" s="7" t="s">
        <v>896</v>
      </c>
      <c r="D507" s="7" t="s">
        <v>976</v>
      </c>
      <c r="E507" s="7" t="s">
        <v>139</v>
      </c>
      <c r="F507" s="7" t="n">
        <v>0</v>
      </c>
      <c r="G507" s="7" t="n">
        <v>0</v>
      </c>
      <c r="H507" s="7" t="n">
        <v>0</v>
      </c>
      <c r="I507" s="7" t="n">
        <v>0</v>
      </c>
      <c r="J507" s="7" t="n">
        <v>0</v>
      </c>
      <c r="K507" s="7" t="n">
        <v>0</v>
      </c>
      <c r="L507" s="7" t="n">
        <v>0</v>
      </c>
      <c r="M507" s="7" t="n">
        <v>0</v>
      </c>
      <c r="N507" s="7" t="n">
        <v>0</v>
      </c>
      <c r="O507" s="7" t="n">
        <v>0</v>
      </c>
      <c r="P507" s="7" t="n">
        <v>0</v>
      </c>
      <c r="Q507" s="7" t="n">
        <v>0</v>
      </c>
      <c r="R507" s="7" t="n">
        <v>0</v>
      </c>
    </row>
    <row r="508" customFormat="false" ht="15" hidden="false" customHeight="true" outlineLevel="0" collapsed="false">
      <c r="A508" s="7" t="n">
        <v>6678</v>
      </c>
      <c r="B508" s="7" t="s">
        <v>45</v>
      </c>
      <c r="C508" s="7" t="s">
        <v>905</v>
      </c>
      <c r="D508" s="7" t="s">
        <v>434</v>
      </c>
      <c r="E508" s="7" t="s">
        <v>121</v>
      </c>
      <c r="F508" s="7" t="n">
        <v>0</v>
      </c>
      <c r="G508" s="7" t="n">
        <v>0</v>
      </c>
      <c r="H508" s="7" t="n">
        <v>0</v>
      </c>
      <c r="I508" s="7" t="n">
        <v>0</v>
      </c>
      <c r="J508" s="7" t="n">
        <v>0</v>
      </c>
      <c r="K508" s="7" t="n">
        <v>0</v>
      </c>
      <c r="L508" s="7" t="n">
        <v>0</v>
      </c>
      <c r="M508" s="7" t="n">
        <v>0</v>
      </c>
      <c r="N508" s="7" t="n">
        <v>0</v>
      </c>
      <c r="O508" s="7" t="n">
        <v>0</v>
      </c>
      <c r="P508" s="7" t="n">
        <v>0</v>
      </c>
      <c r="Q508" s="7" t="n">
        <v>0</v>
      </c>
      <c r="R508" s="7" t="n">
        <v>0</v>
      </c>
    </row>
    <row r="509" customFormat="false" ht="15" hidden="false" customHeight="true" outlineLevel="0" collapsed="false">
      <c r="A509" s="7" t="n">
        <v>7151</v>
      </c>
      <c r="B509" s="7" t="s">
        <v>45</v>
      </c>
      <c r="C509" s="7" t="s">
        <v>905</v>
      </c>
      <c r="D509" s="7" t="s">
        <v>977</v>
      </c>
      <c r="E509" s="7" t="s">
        <v>755</v>
      </c>
      <c r="F509" s="7" t="n">
        <v>0</v>
      </c>
      <c r="G509" s="7" t="n">
        <v>0</v>
      </c>
      <c r="H509" s="7" t="n">
        <v>0</v>
      </c>
      <c r="I509" s="7" t="n">
        <v>0</v>
      </c>
      <c r="J509" s="7" t="n">
        <v>0</v>
      </c>
      <c r="K509" s="7" t="n">
        <v>0</v>
      </c>
      <c r="L509" s="7" t="n">
        <v>0</v>
      </c>
      <c r="M509" s="7" t="n">
        <v>0</v>
      </c>
      <c r="N509" s="7" t="n">
        <v>0</v>
      </c>
      <c r="O509" s="7" t="n">
        <v>0</v>
      </c>
      <c r="P509" s="7" t="n">
        <v>0</v>
      </c>
      <c r="Q509" s="7" t="n">
        <v>0</v>
      </c>
      <c r="R509" s="7" t="n">
        <v>0</v>
      </c>
    </row>
    <row r="510" customFormat="false" ht="15" hidden="false" customHeight="true" outlineLevel="0" collapsed="false">
      <c r="A510" s="7" t="n">
        <v>4890</v>
      </c>
      <c r="B510" s="7" t="s">
        <v>45</v>
      </c>
      <c r="C510" s="7" t="s">
        <v>897</v>
      </c>
      <c r="D510" s="7" t="s">
        <v>978</v>
      </c>
      <c r="E510" s="7" t="s">
        <v>184</v>
      </c>
      <c r="F510" s="7" t="n">
        <v>17</v>
      </c>
      <c r="G510" s="7" t="n">
        <v>5.65</v>
      </c>
      <c r="H510" s="7" t="n">
        <v>5.59</v>
      </c>
      <c r="I510" s="7" t="n">
        <v>0</v>
      </c>
      <c r="J510" s="7" t="n">
        <v>0</v>
      </c>
      <c r="K510" s="7" t="n">
        <v>0</v>
      </c>
      <c r="L510" s="7" t="n">
        <v>0</v>
      </c>
      <c r="M510" s="7" t="n">
        <v>0</v>
      </c>
      <c r="N510" s="7" t="n">
        <v>0</v>
      </c>
      <c r="O510" s="7" t="n">
        <v>0</v>
      </c>
      <c r="P510" s="7" t="n">
        <v>3</v>
      </c>
      <c r="Q510" s="7" t="n">
        <v>0</v>
      </c>
      <c r="R510" s="7" t="n">
        <v>0</v>
      </c>
    </row>
    <row r="511" customFormat="false" ht="15" hidden="false" customHeight="true" outlineLevel="0" collapsed="false">
      <c r="A511" s="7" t="n">
        <v>5007</v>
      </c>
      <c r="B511" s="7" t="s">
        <v>45</v>
      </c>
      <c r="C511" s="7" t="s">
        <v>45</v>
      </c>
      <c r="D511" s="7" t="s">
        <v>532</v>
      </c>
      <c r="E511" s="7" t="s">
        <v>184</v>
      </c>
      <c r="F511" s="7" t="n">
        <v>8</v>
      </c>
      <c r="G511" s="7" t="n">
        <v>6</v>
      </c>
      <c r="H511" s="7" t="n">
        <v>5.88</v>
      </c>
      <c r="I511" s="7" t="n">
        <v>0</v>
      </c>
      <c r="J511" s="7" t="n">
        <v>0</v>
      </c>
      <c r="K511" s="7" t="n">
        <v>0</v>
      </c>
      <c r="L511" s="7" t="n">
        <v>0</v>
      </c>
      <c r="M511" s="7" t="n">
        <v>0</v>
      </c>
      <c r="N511" s="7" t="n">
        <v>0</v>
      </c>
      <c r="O511" s="7" t="n">
        <v>0</v>
      </c>
      <c r="P511" s="7" t="n">
        <v>2</v>
      </c>
      <c r="Q511" s="7" t="n">
        <v>0</v>
      </c>
      <c r="R511" s="7" t="n">
        <v>0</v>
      </c>
    </row>
    <row r="512" customFormat="false" ht="15" hidden="false" customHeight="true" outlineLevel="0" collapsed="false">
      <c r="A512" s="7" t="n">
        <v>5824</v>
      </c>
      <c r="B512" s="7" t="s">
        <v>45</v>
      </c>
      <c r="C512" s="7" t="s">
        <v>894</v>
      </c>
      <c r="D512" s="7" t="s">
        <v>979</v>
      </c>
      <c r="E512" s="7" t="s">
        <v>135</v>
      </c>
      <c r="F512" s="7" t="n">
        <v>0</v>
      </c>
      <c r="G512" s="7" t="n">
        <v>0</v>
      </c>
      <c r="H512" s="7" t="n">
        <v>0</v>
      </c>
      <c r="I512" s="7" t="n">
        <v>0</v>
      </c>
      <c r="J512" s="7" t="n">
        <v>0</v>
      </c>
      <c r="K512" s="7" t="n">
        <v>0</v>
      </c>
      <c r="L512" s="7" t="n">
        <v>0</v>
      </c>
      <c r="M512" s="7" t="n">
        <v>0</v>
      </c>
      <c r="N512" s="7" t="n">
        <v>0</v>
      </c>
      <c r="O512" s="7" t="n">
        <v>0</v>
      </c>
      <c r="P512" s="7" t="n">
        <v>0</v>
      </c>
      <c r="Q512" s="7" t="n">
        <v>0</v>
      </c>
      <c r="R512" s="7" t="n">
        <v>0</v>
      </c>
    </row>
    <row r="513" customFormat="false" ht="15" hidden="false" customHeight="true" outlineLevel="0" collapsed="false">
      <c r="A513" s="7" t="n">
        <v>7177</v>
      </c>
      <c r="B513" s="7" t="s">
        <v>45</v>
      </c>
      <c r="C513" s="7" t="s">
        <v>45</v>
      </c>
      <c r="D513" s="7" t="s">
        <v>980</v>
      </c>
      <c r="E513" s="7" t="s">
        <v>752</v>
      </c>
      <c r="F513" s="7" t="n">
        <v>0</v>
      </c>
      <c r="G513" s="7" t="n">
        <v>0</v>
      </c>
      <c r="H513" s="7" t="n">
        <v>0</v>
      </c>
      <c r="I513" s="7" t="n">
        <v>0</v>
      </c>
      <c r="J513" s="7" t="n">
        <v>0</v>
      </c>
      <c r="K513" s="7" t="n">
        <v>0</v>
      </c>
      <c r="L513" s="7" t="n">
        <v>0</v>
      </c>
      <c r="M513" s="7" t="n">
        <v>0</v>
      </c>
      <c r="N513" s="7" t="n">
        <v>0</v>
      </c>
      <c r="O513" s="7" t="n">
        <v>0</v>
      </c>
      <c r="P513" s="7" t="n">
        <v>0</v>
      </c>
      <c r="Q513" s="7" t="n">
        <v>0</v>
      </c>
      <c r="R513" s="7" t="n">
        <v>0</v>
      </c>
    </row>
    <row r="514" customFormat="false" ht="15" hidden="false" customHeight="true" outlineLevel="0" collapsed="false">
      <c r="A514" s="7" t="n">
        <v>2117</v>
      </c>
      <c r="B514" s="7" t="s">
        <v>45</v>
      </c>
      <c r="C514" s="7" t="s">
        <v>895</v>
      </c>
      <c r="D514" s="7" t="s">
        <v>981</v>
      </c>
      <c r="E514" s="7" t="s">
        <v>752</v>
      </c>
      <c r="F514" s="7" t="n">
        <v>1</v>
      </c>
      <c r="G514" s="7" t="n">
        <v>6</v>
      </c>
      <c r="H514" s="7" t="n">
        <v>6</v>
      </c>
      <c r="I514" s="7" t="n">
        <v>0</v>
      </c>
      <c r="J514" s="7" t="n">
        <v>0</v>
      </c>
      <c r="K514" s="7" t="n">
        <v>0</v>
      </c>
      <c r="L514" s="7" t="n">
        <v>0</v>
      </c>
      <c r="M514" s="7" t="n">
        <v>0</v>
      </c>
      <c r="N514" s="7" t="n">
        <v>0</v>
      </c>
      <c r="O514" s="7" t="n">
        <v>0</v>
      </c>
      <c r="P514" s="7" t="n">
        <v>0</v>
      </c>
      <c r="Q514" s="7" t="n">
        <v>0</v>
      </c>
      <c r="R514" s="7" t="n">
        <v>0</v>
      </c>
    </row>
    <row r="515" customFormat="false" ht="15" hidden="false" customHeight="true" outlineLevel="0" collapsed="false">
      <c r="A515" s="7" t="n">
        <v>6618</v>
      </c>
      <c r="B515" s="7" t="s">
        <v>45</v>
      </c>
      <c r="C515" s="7" t="s">
        <v>905</v>
      </c>
      <c r="D515" s="7" t="s">
        <v>982</v>
      </c>
      <c r="E515" s="7" t="s">
        <v>752</v>
      </c>
      <c r="F515" s="7" t="n">
        <v>0</v>
      </c>
      <c r="G515" s="7" t="n">
        <v>0</v>
      </c>
      <c r="H515" s="7" t="n">
        <v>0</v>
      </c>
      <c r="I515" s="7" t="n">
        <v>0</v>
      </c>
      <c r="J515" s="7" t="n">
        <v>0</v>
      </c>
      <c r="K515" s="7" t="n">
        <v>0</v>
      </c>
      <c r="L515" s="7" t="n">
        <v>0</v>
      </c>
      <c r="M515" s="7" t="n">
        <v>0</v>
      </c>
      <c r="N515" s="7" t="n">
        <v>0</v>
      </c>
      <c r="O515" s="7" t="n">
        <v>0</v>
      </c>
      <c r="P515" s="7" t="n">
        <v>0</v>
      </c>
      <c r="Q515" s="7" t="n">
        <v>0</v>
      </c>
      <c r="R515" s="7" t="n">
        <v>0</v>
      </c>
    </row>
    <row r="516" customFormat="false" ht="15" hidden="false" customHeight="true" outlineLevel="0" collapsed="false">
      <c r="A516" s="7" t="n">
        <v>2076</v>
      </c>
      <c r="B516" s="7" t="s">
        <v>45</v>
      </c>
      <c r="C516" s="7" t="s">
        <v>897</v>
      </c>
      <c r="D516" s="7" t="s">
        <v>983</v>
      </c>
      <c r="E516" s="7" t="s">
        <v>129</v>
      </c>
      <c r="F516" s="7" t="n">
        <v>0</v>
      </c>
      <c r="G516" s="7" t="n">
        <v>0</v>
      </c>
      <c r="H516" s="7" t="n">
        <v>0</v>
      </c>
      <c r="I516" s="7" t="n">
        <v>0</v>
      </c>
      <c r="J516" s="7" t="n">
        <v>0</v>
      </c>
      <c r="K516" s="7" t="n">
        <v>0</v>
      </c>
      <c r="L516" s="7" t="n">
        <v>0</v>
      </c>
      <c r="M516" s="7" t="n">
        <v>0</v>
      </c>
      <c r="N516" s="7" t="n">
        <v>0</v>
      </c>
      <c r="O516" s="7" t="n">
        <v>0</v>
      </c>
      <c r="P516" s="7" t="n">
        <v>0</v>
      </c>
      <c r="Q516" s="7" t="n">
        <v>0</v>
      </c>
      <c r="R516" s="7" t="n">
        <v>0</v>
      </c>
    </row>
    <row r="517" customFormat="false" ht="15" hidden="false" customHeight="true" outlineLevel="0" collapsed="false">
      <c r="A517" s="7" t="n">
        <v>6677</v>
      </c>
      <c r="B517" s="7" t="s">
        <v>45</v>
      </c>
      <c r="C517" s="7" t="s">
        <v>895</v>
      </c>
      <c r="D517" s="7" t="s">
        <v>464</v>
      </c>
      <c r="E517" s="7" t="s">
        <v>131</v>
      </c>
      <c r="F517" s="7" t="n">
        <v>4</v>
      </c>
      <c r="G517" s="7" t="n">
        <v>6.12</v>
      </c>
      <c r="H517" s="7" t="n">
        <v>6.88</v>
      </c>
      <c r="I517" s="7" t="n">
        <v>1</v>
      </c>
      <c r="J517" s="7" t="n">
        <v>0</v>
      </c>
      <c r="K517" s="7" t="n">
        <v>0</v>
      </c>
      <c r="L517" s="7" t="n">
        <v>0</v>
      </c>
      <c r="M517" s="7" t="n">
        <v>0</v>
      </c>
      <c r="N517" s="7" t="n">
        <v>0</v>
      </c>
      <c r="O517" s="7" t="n">
        <v>0</v>
      </c>
      <c r="P517" s="7" t="n">
        <v>0</v>
      </c>
      <c r="Q517" s="7" t="n">
        <v>0</v>
      </c>
      <c r="R517" s="7" t="n">
        <v>0</v>
      </c>
    </row>
    <row r="518" customFormat="false" ht="15" hidden="false" customHeight="true" outlineLevel="0" collapsed="false">
      <c r="A518" s="7" t="n">
        <v>7025</v>
      </c>
      <c r="B518" s="7" t="s">
        <v>45</v>
      </c>
      <c r="C518" s="7" t="s">
        <v>905</v>
      </c>
      <c r="D518" s="7" t="s">
        <v>984</v>
      </c>
      <c r="E518" s="7" t="s">
        <v>137</v>
      </c>
      <c r="F518" s="7" t="n">
        <v>0</v>
      </c>
      <c r="G518" s="7" t="n">
        <v>0</v>
      </c>
      <c r="H518" s="7" t="n">
        <v>0</v>
      </c>
      <c r="I518" s="7" t="n">
        <v>0</v>
      </c>
      <c r="J518" s="7" t="n">
        <v>0</v>
      </c>
      <c r="K518" s="7" t="n">
        <v>0</v>
      </c>
      <c r="L518" s="7" t="n">
        <v>0</v>
      </c>
      <c r="M518" s="7" t="n">
        <v>0</v>
      </c>
      <c r="N518" s="7" t="n">
        <v>0</v>
      </c>
      <c r="O518" s="7" t="n">
        <v>0</v>
      </c>
      <c r="P518" s="7" t="n">
        <v>0</v>
      </c>
      <c r="Q518" s="7" t="n">
        <v>0</v>
      </c>
      <c r="R518" s="7" t="n">
        <v>0</v>
      </c>
    </row>
    <row r="519" customFormat="false" ht="15" hidden="false" customHeight="true" outlineLevel="0" collapsed="false">
      <c r="A519" s="7" t="n">
        <v>5610</v>
      </c>
      <c r="B519" s="7" t="s">
        <v>45</v>
      </c>
      <c r="C519" s="7" t="s">
        <v>897</v>
      </c>
      <c r="D519" s="7" t="s">
        <v>985</v>
      </c>
      <c r="E519" s="7" t="s">
        <v>144</v>
      </c>
      <c r="F519" s="7" t="n">
        <v>14</v>
      </c>
      <c r="G519" s="7" t="n">
        <v>5.64</v>
      </c>
      <c r="H519" s="7" t="n">
        <v>5.57</v>
      </c>
      <c r="I519" s="7" t="n">
        <v>0</v>
      </c>
      <c r="J519" s="7" t="n">
        <v>0</v>
      </c>
      <c r="K519" s="7" t="n">
        <v>0</v>
      </c>
      <c r="L519" s="7" t="n">
        <v>0</v>
      </c>
      <c r="M519" s="7" t="n">
        <v>0</v>
      </c>
      <c r="N519" s="7" t="n">
        <v>0</v>
      </c>
      <c r="O519" s="7" t="n">
        <v>0</v>
      </c>
      <c r="P519" s="7" t="n">
        <v>2</v>
      </c>
      <c r="Q519" s="7" t="n">
        <v>0</v>
      </c>
      <c r="R519" s="7" t="n">
        <v>0</v>
      </c>
    </row>
    <row r="520" customFormat="false" ht="15" hidden="false" customHeight="true" outlineLevel="0" collapsed="false">
      <c r="A520" s="7" t="n">
        <v>7246</v>
      </c>
      <c r="B520" s="7" t="s">
        <v>45</v>
      </c>
      <c r="C520" s="7" t="s">
        <v>45</v>
      </c>
      <c r="D520" s="7" t="s">
        <v>986</v>
      </c>
      <c r="E520" s="7" t="s">
        <v>139</v>
      </c>
      <c r="F520" s="7" t="n">
        <v>4</v>
      </c>
      <c r="G520" s="7" t="n">
        <v>5.75</v>
      </c>
      <c r="H520" s="7" t="n">
        <v>6</v>
      </c>
      <c r="I520" s="7" t="n">
        <v>0</v>
      </c>
      <c r="J520" s="7" t="n">
        <v>0</v>
      </c>
      <c r="K520" s="7" t="n">
        <v>0</v>
      </c>
      <c r="L520" s="7" t="n">
        <v>0</v>
      </c>
      <c r="M520" s="7" t="n">
        <v>0</v>
      </c>
      <c r="N520" s="7" t="n">
        <v>0</v>
      </c>
      <c r="O520" s="7" t="n">
        <v>1</v>
      </c>
      <c r="P520" s="7" t="n">
        <v>0</v>
      </c>
      <c r="Q520" s="7" t="n">
        <v>0</v>
      </c>
      <c r="R520" s="7" t="n">
        <v>0</v>
      </c>
    </row>
    <row r="521" customFormat="false" ht="15" hidden="false" customHeight="true" outlineLevel="0" collapsed="false">
      <c r="A521" s="7" t="n">
        <v>5561</v>
      </c>
      <c r="B521" s="7" t="s">
        <v>45</v>
      </c>
      <c r="C521" s="7" t="s">
        <v>905</v>
      </c>
      <c r="D521" s="7" t="s">
        <v>987</v>
      </c>
      <c r="E521" s="7" t="s">
        <v>755</v>
      </c>
      <c r="F521" s="7" t="n">
        <v>1</v>
      </c>
      <c r="G521" s="7" t="n">
        <v>5.5</v>
      </c>
      <c r="H521" s="7" t="n">
        <v>5.5</v>
      </c>
      <c r="I521" s="7" t="n">
        <v>0</v>
      </c>
      <c r="J521" s="7" t="n">
        <v>0</v>
      </c>
      <c r="K521" s="7" t="n">
        <v>0</v>
      </c>
      <c r="L521" s="7" t="n">
        <v>0</v>
      </c>
      <c r="M521" s="7" t="n">
        <v>0</v>
      </c>
      <c r="N521" s="7" t="n">
        <v>0</v>
      </c>
      <c r="O521" s="7" t="n">
        <v>0</v>
      </c>
      <c r="P521" s="7" t="n">
        <v>0</v>
      </c>
      <c r="Q521" s="7" t="n">
        <v>0</v>
      </c>
      <c r="R521" s="7" t="n">
        <v>0</v>
      </c>
    </row>
    <row r="522" customFormat="false" ht="15" hidden="false" customHeight="true" outlineLevel="0" collapsed="false">
      <c r="A522" s="7" t="n">
        <v>6538</v>
      </c>
      <c r="B522" s="7" t="s">
        <v>45</v>
      </c>
      <c r="C522" s="7" t="s">
        <v>897</v>
      </c>
      <c r="D522" s="7" t="s">
        <v>988</v>
      </c>
      <c r="E522" s="7" t="s">
        <v>137</v>
      </c>
      <c r="F522" s="7" t="n">
        <v>2</v>
      </c>
      <c r="G522" s="7" t="n">
        <v>5.75</v>
      </c>
      <c r="H522" s="7" t="n">
        <v>5.75</v>
      </c>
      <c r="I522" s="7" t="n">
        <v>0</v>
      </c>
      <c r="J522" s="7" t="n">
        <v>0</v>
      </c>
      <c r="K522" s="7" t="n">
        <v>0</v>
      </c>
      <c r="L522" s="7" t="n">
        <v>0</v>
      </c>
      <c r="M522" s="7" t="n">
        <v>0</v>
      </c>
      <c r="N522" s="7" t="n">
        <v>0</v>
      </c>
      <c r="O522" s="7" t="n">
        <v>0</v>
      </c>
      <c r="P522" s="7" t="n">
        <v>0</v>
      </c>
      <c r="Q522" s="7" t="n">
        <v>0</v>
      </c>
      <c r="R522" s="7" t="n">
        <v>0</v>
      </c>
    </row>
    <row r="523" customFormat="false" ht="15" hidden="false" customHeight="true" outlineLevel="0" collapsed="false">
      <c r="A523" s="7" t="n">
        <v>7276</v>
      </c>
      <c r="B523" s="7" t="s">
        <v>45</v>
      </c>
      <c r="C523" s="7" t="s">
        <v>45</v>
      </c>
      <c r="D523" s="7" t="s">
        <v>530</v>
      </c>
      <c r="E523" s="7" t="s">
        <v>141</v>
      </c>
      <c r="F523" s="7" t="n">
        <v>1</v>
      </c>
      <c r="G523" s="7" t="n">
        <v>6</v>
      </c>
      <c r="H523" s="7" t="n">
        <v>6</v>
      </c>
      <c r="I523" s="7" t="n">
        <v>0</v>
      </c>
      <c r="J523" s="7" t="n">
        <v>0</v>
      </c>
      <c r="K523" s="7" t="n">
        <v>0</v>
      </c>
      <c r="L523" s="7" t="n">
        <v>0</v>
      </c>
      <c r="M523" s="7" t="n">
        <v>0</v>
      </c>
      <c r="N523" s="7" t="n">
        <v>0</v>
      </c>
      <c r="O523" s="7" t="n">
        <v>0</v>
      </c>
      <c r="P523" s="7" t="n">
        <v>0</v>
      </c>
      <c r="Q523" s="7" t="n">
        <v>0</v>
      </c>
      <c r="R523" s="7" t="n">
        <v>0</v>
      </c>
    </row>
    <row r="524" customFormat="false" ht="15" hidden="false" customHeight="true" outlineLevel="0" collapsed="false">
      <c r="A524" s="7" t="n">
        <v>7319</v>
      </c>
      <c r="B524" s="7" t="s">
        <v>45</v>
      </c>
      <c r="C524" s="7" t="s">
        <v>897</v>
      </c>
      <c r="D524" s="7" t="s">
        <v>529</v>
      </c>
      <c r="E524" s="7" t="s">
        <v>139</v>
      </c>
      <c r="F524" s="7" t="n">
        <v>2</v>
      </c>
      <c r="G524" s="7" t="n">
        <v>5.5</v>
      </c>
      <c r="H524" s="7" t="n">
        <v>5.5</v>
      </c>
      <c r="I524" s="7" t="n">
        <v>0</v>
      </c>
      <c r="J524" s="7" t="n">
        <v>0</v>
      </c>
      <c r="K524" s="7" t="n">
        <v>0</v>
      </c>
      <c r="L524" s="7" t="n">
        <v>0</v>
      </c>
      <c r="M524" s="7" t="n">
        <v>0</v>
      </c>
      <c r="N524" s="7" t="n">
        <v>0</v>
      </c>
      <c r="O524" s="7" t="n">
        <v>0</v>
      </c>
      <c r="P524" s="7" t="n">
        <v>0</v>
      </c>
      <c r="Q524" s="7" t="n">
        <v>0</v>
      </c>
      <c r="R524" s="7" t="n">
        <v>0</v>
      </c>
    </row>
    <row r="525" customFormat="false" ht="15" hidden="false" customHeight="true" outlineLevel="0" collapsed="false">
      <c r="A525" s="7" t="n">
        <v>7345</v>
      </c>
      <c r="B525" s="7" t="s">
        <v>45</v>
      </c>
      <c r="C525" s="7" t="s">
        <v>905</v>
      </c>
      <c r="D525" s="7" t="s">
        <v>526</v>
      </c>
      <c r="E525" s="7" t="s">
        <v>133</v>
      </c>
      <c r="F525" s="7" t="n">
        <v>0</v>
      </c>
      <c r="G525" s="7" t="n">
        <v>0</v>
      </c>
      <c r="H525" s="7" t="n">
        <v>0</v>
      </c>
      <c r="I525" s="7" t="n">
        <v>0</v>
      </c>
      <c r="J525" s="7" t="n">
        <v>0</v>
      </c>
      <c r="K525" s="7" t="n">
        <v>0</v>
      </c>
      <c r="L525" s="7" t="n">
        <v>0</v>
      </c>
      <c r="M525" s="7" t="n">
        <v>0</v>
      </c>
      <c r="N525" s="7" t="n">
        <v>0</v>
      </c>
      <c r="O525" s="7" t="n">
        <v>0</v>
      </c>
      <c r="P525" s="7" t="n">
        <v>0</v>
      </c>
      <c r="Q525" s="7" t="n">
        <v>0</v>
      </c>
      <c r="R525" s="7" t="n">
        <v>0</v>
      </c>
    </row>
    <row r="526" customFormat="false" ht="15" hidden="false" customHeight="true" outlineLevel="0" collapsed="false">
      <c r="A526" s="7" t="n">
        <v>7357</v>
      </c>
      <c r="B526" s="7" t="s">
        <v>45</v>
      </c>
      <c r="C526" s="7" t="s">
        <v>895</v>
      </c>
      <c r="D526" s="7" t="s">
        <v>522</v>
      </c>
      <c r="E526" s="7" t="s">
        <v>119</v>
      </c>
      <c r="F526" s="7" t="n">
        <v>0</v>
      </c>
      <c r="G526" s="7" t="n">
        <v>0</v>
      </c>
      <c r="H526" s="7" t="n">
        <v>0</v>
      </c>
      <c r="I526" s="7" t="n">
        <v>0</v>
      </c>
      <c r="J526" s="7" t="n">
        <v>0</v>
      </c>
      <c r="K526" s="7" t="n">
        <v>0</v>
      </c>
      <c r="L526" s="7" t="n">
        <v>0</v>
      </c>
      <c r="M526" s="7" t="n">
        <v>0</v>
      </c>
      <c r="N526" s="7" t="n">
        <v>0</v>
      </c>
      <c r="O526" s="7" t="n">
        <v>0</v>
      </c>
      <c r="P526" s="7" t="n">
        <v>0</v>
      </c>
      <c r="Q526" s="7" t="n">
        <v>0</v>
      </c>
      <c r="R526" s="7" t="n">
        <v>0</v>
      </c>
    </row>
    <row r="527" customFormat="false" ht="15" hidden="false" customHeight="true" outlineLevel="0" collapsed="false">
      <c r="A527" s="7" t="n">
        <v>2764</v>
      </c>
      <c r="B527" s="7" t="s">
        <v>46</v>
      </c>
      <c r="C527" s="7" t="s">
        <v>989</v>
      </c>
      <c r="D527" s="7" t="s">
        <v>538</v>
      </c>
      <c r="E527" s="7" t="s">
        <v>115</v>
      </c>
      <c r="F527" s="7" t="n">
        <v>30</v>
      </c>
      <c r="G527" s="7" t="n">
        <v>6.42</v>
      </c>
      <c r="H527" s="7" t="n">
        <v>8.25</v>
      </c>
      <c r="I527" s="7" t="n">
        <v>17</v>
      </c>
      <c r="J527" s="7" t="n">
        <v>0</v>
      </c>
      <c r="K527" s="7" t="n">
        <v>0</v>
      </c>
      <c r="L527" s="7" t="n">
        <v>0</v>
      </c>
      <c r="M527" s="7" t="n">
        <v>0</v>
      </c>
      <c r="N527" s="7" t="n">
        <v>0</v>
      </c>
      <c r="O527" s="7" t="n">
        <v>6</v>
      </c>
      <c r="P527" s="7" t="n">
        <v>4</v>
      </c>
      <c r="Q527" s="7" t="n">
        <v>0</v>
      </c>
      <c r="R527" s="7" t="n">
        <v>0</v>
      </c>
    </row>
    <row r="528" customFormat="false" ht="15" hidden="false" customHeight="true" outlineLevel="0" collapsed="false">
      <c r="A528" s="7" t="n">
        <v>4871</v>
      </c>
      <c r="B528" s="7" t="s">
        <v>46</v>
      </c>
      <c r="C528" s="7" t="s">
        <v>989</v>
      </c>
      <c r="D528" s="7" t="s">
        <v>540</v>
      </c>
      <c r="E528" s="7" t="s">
        <v>115</v>
      </c>
      <c r="F528" s="7" t="n">
        <v>29</v>
      </c>
      <c r="G528" s="7" t="n">
        <v>6.43</v>
      </c>
      <c r="H528" s="7" t="n">
        <v>7.95</v>
      </c>
      <c r="I528" s="7" t="n">
        <v>13</v>
      </c>
      <c r="J528" s="7" t="n">
        <v>0</v>
      </c>
      <c r="K528" s="7" t="n">
        <v>0</v>
      </c>
      <c r="L528" s="7" t="n">
        <v>0</v>
      </c>
      <c r="M528" s="7" t="n">
        <v>0</v>
      </c>
      <c r="N528" s="7" t="n">
        <v>0</v>
      </c>
      <c r="O528" s="7" t="n">
        <v>6</v>
      </c>
      <c r="P528" s="7" t="n">
        <v>2</v>
      </c>
      <c r="Q528" s="7" t="n">
        <v>0</v>
      </c>
      <c r="R528" s="7" t="n">
        <v>0</v>
      </c>
    </row>
    <row r="529" customFormat="false" ht="15" hidden="false" customHeight="true" outlineLevel="0" collapsed="false">
      <c r="A529" s="7" t="n">
        <v>6052</v>
      </c>
      <c r="B529" s="7" t="s">
        <v>46</v>
      </c>
      <c r="C529" s="7" t="s">
        <v>989</v>
      </c>
      <c r="D529" s="7" t="s">
        <v>541</v>
      </c>
      <c r="E529" s="7" t="s">
        <v>125</v>
      </c>
      <c r="F529" s="7" t="n">
        <v>33</v>
      </c>
      <c r="G529" s="7" t="n">
        <v>6.21</v>
      </c>
      <c r="H529" s="7" t="n">
        <v>7.44</v>
      </c>
      <c r="I529" s="7" t="n">
        <v>12</v>
      </c>
      <c r="J529" s="7" t="n">
        <v>0</v>
      </c>
      <c r="K529" s="7" t="n">
        <v>0</v>
      </c>
      <c r="L529" s="7" t="n">
        <v>1</v>
      </c>
      <c r="M529" s="7" t="n">
        <v>1</v>
      </c>
      <c r="N529" s="7" t="n">
        <v>0</v>
      </c>
      <c r="O529" s="7" t="n">
        <v>5</v>
      </c>
      <c r="P529" s="7" t="n">
        <v>1</v>
      </c>
      <c r="Q529" s="7" t="n">
        <v>0</v>
      </c>
      <c r="R529" s="7" t="n">
        <v>0</v>
      </c>
    </row>
    <row r="530" customFormat="false" ht="15" hidden="false" customHeight="true" outlineLevel="0" collapsed="false">
      <c r="A530" s="7" t="n">
        <v>7017</v>
      </c>
      <c r="B530" s="7" t="s">
        <v>46</v>
      </c>
      <c r="C530" s="7" t="s">
        <v>989</v>
      </c>
      <c r="D530" s="7" t="s">
        <v>546</v>
      </c>
      <c r="E530" s="7" t="s">
        <v>119</v>
      </c>
      <c r="F530" s="7" t="n">
        <v>36</v>
      </c>
      <c r="G530" s="7" t="n">
        <v>6.18</v>
      </c>
      <c r="H530" s="7" t="n">
        <v>7.38</v>
      </c>
      <c r="I530" s="7" t="n">
        <v>14</v>
      </c>
      <c r="J530" s="7" t="n">
        <v>0</v>
      </c>
      <c r="K530" s="7" t="n">
        <v>0</v>
      </c>
      <c r="L530" s="7" t="n">
        <v>1</v>
      </c>
      <c r="M530" s="7" t="n">
        <v>1</v>
      </c>
      <c r="N530" s="7" t="n">
        <v>0</v>
      </c>
      <c r="O530" s="7" t="n">
        <v>1</v>
      </c>
      <c r="P530" s="7" t="n">
        <v>0</v>
      </c>
      <c r="Q530" s="7" t="n">
        <v>0</v>
      </c>
      <c r="R530" s="7" t="n">
        <v>0</v>
      </c>
    </row>
    <row r="531" customFormat="false" ht="15" hidden="false" customHeight="true" outlineLevel="0" collapsed="false">
      <c r="A531" s="7" t="n">
        <v>6434</v>
      </c>
      <c r="B531" s="7" t="s">
        <v>46</v>
      </c>
      <c r="C531" s="7" t="s">
        <v>46</v>
      </c>
      <c r="D531" s="7" t="s">
        <v>545</v>
      </c>
      <c r="E531" s="7" t="s">
        <v>131</v>
      </c>
      <c r="F531" s="7" t="n">
        <v>35</v>
      </c>
      <c r="G531" s="7" t="n">
        <v>6.39</v>
      </c>
      <c r="H531" s="7" t="n">
        <v>7.3</v>
      </c>
      <c r="I531" s="7" t="n">
        <v>10</v>
      </c>
      <c r="J531" s="7" t="n">
        <v>0</v>
      </c>
      <c r="K531" s="7" t="n">
        <v>0</v>
      </c>
      <c r="L531" s="7" t="n">
        <v>2</v>
      </c>
      <c r="M531" s="7" t="n">
        <v>1</v>
      </c>
      <c r="N531" s="7" t="n">
        <v>1</v>
      </c>
      <c r="O531" s="7" t="n">
        <v>6</v>
      </c>
      <c r="P531" s="7" t="n">
        <v>2</v>
      </c>
      <c r="Q531" s="7" t="n">
        <v>0</v>
      </c>
      <c r="R531" s="7" t="n">
        <v>0</v>
      </c>
    </row>
    <row r="532" customFormat="false" ht="15" hidden="false" customHeight="true" outlineLevel="0" collapsed="false">
      <c r="A532" s="7" t="n">
        <v>531</v>
      </c>
      <c r="B532" s="7" t="s">
        <v>46</v>
      </c>
      <c r="C532" s="7" t="s">
        <v>46</v>
      </c>
      <c r="D532" s="7" t="s">
        <v>551</v>
      </c>
      <c r="E532" s="7" t="s">
        <v>144</v>
      </c>
      <c r="F532" s="7" t="n">
        <v>26</v>
      </c>
      <c r="G532" s="7" t="n">
        <v>6.31</v>
      </c>
      <c r="H532" s="7" t="n">
        <v>7.19</v>
      </c>
      <c r="I532" s="7" t="n">
        <v>8</v>
      </c>
      <c r="J532" s="7" t="n">
        <v>0</v>
      </c>
      <c r="K532" s="7" t="n">
        <v>0</v>
      </c>
      <c r="L532" s="7" t="n">
        <v>3</v>
      </c>
      <c r="M532" s="7" t="n">
        <v>2</v>
      </c>
      <c r="N532" s="7" t="n">
        <v>1</v>
      </c>
      <c r="O532" s="7" t="n">
        <v>4</v>
      </c>
      <c r="P532" s="7" t="n">
        <v>2</v>
      </c>
      <c r="Q532" s="7" t="n">
        <v>1</v>
      </c>
      <c r="R532" s="7" t="n">
        <v>0</v>
      </c>
    </row>
    <row r="533" customFormat="false" ht="15" hidden="false" customHeight="true" outlineLevel="0" collapsed="false">
      <c r="A533" s="7" t="n">
        <v>5585</v>
      </c>
      <c r="B533" s="7" t="s">
        <v>46</v>
      </c>
      <c r="C533" s="7" t="s">
        <v>46</v>
      </c>
      <c r="D533" s="7" t="s">
        <v>539</v>
      </c>
      <c r="E533" s="7" t="s">
        <v>113</v>
      </c>
      <c r="F533" s="7" t="n">
        <v>18</v>
      </c>
      <c r="G533" s="7" t="n">
        <v>6.72</v>
      </c>
      <c r="H533" s="7" t="n">
        <v>8.97</v>
      </c>
      <c r="I533" s="7" t="n">
        <v>14</v>
      </c>
      <c r="J533" s="7" t="n">
        <v>0</v>
      </c>
      <c r="K533" s="7" t="n">
        <v>0</v>
      </c>
      <c r="L533" s="7" t="n">
        <v>4</v>
      </c>
      <c r="M533" s="7" t="n">
        <v>3</v>
      </c>
      <c r="N533" s="7" t="n">
        <v>1</v>
      </c>
      <c r="O533" s="7" t="n">
        <v>2</v>
      </c>
      <c r="P533" s="7" t="n">
        <v>1</v>
      </c>
      <c r="Q533" s="7" t="n">
        <v>0</v>
      </c>
      <c r="R533" s="7" t="n">
        <v>0</v>
      </c>
    </row>
    <row r="534" customFormat="false" ht="15" hidden="false" customHeight="true" outlineLevel="0" collapsed="false">
      <c r="A534" s="7" t="n">
        <v>6435</v>
      </c>
      <c r="B534" s="7" t="s">
        <v>46</v>
      </c>
      <c r="C534" s="7" t="s">
        <v>989</v>
      </c>
      <c r="D534" s="7" t="s">
        <v>549</v>
      </c>
      <c r="E534" s="7" t="s">
        <v>117</v>
      </c>
      <c r="F534" s="7" t="n">
        <v>32</v>
      </c>
      <c r="G534" s="7" t="n">
        <v>6.16</v>
      </c>
      <c r="H534" s="7" t="n">
        <v>7.19</v>
      </c>
      <c r="I534" s="7" t="n">
        <v>10</v>
      </c>
      <c r="J534" s="7" t="n">
        <v>0</v>
      </c>
      <c r="K534" s="7" t="n">
        <v>0</v>
      </c>
      <c r="L534" s="7" t="n">
        <v>0</v>
      </c>
      <c r="M534" s="7" t="n">
        <v>0</v>
      </c>
      <c r="N534" s="7" t="n">
        <v>0</v>
      </c>
      <c r="O534" s="7" t="n">
        <v>5</v>
      </c>
      <c r="P534" s="7" t="n">
        <v>4</v>
      </c>
      <c r="Q534" s="7" t="n">
        <v>0</v>
      </c>
      <c r="R534" s="7" t="n">
        <v>0</v>
      </c>
    </row>
    <row r="535" customFormat="false" ht="15" hidden="false" customHeight="true" outlineLevel="0" collapsed="false">
      <c r="A535" s="7" t="n">
        <v>5637</v>
      </c>
      <c r="B535" s="7" t="s">
        <v>46</v>
      </c>
      <c r="C535" s="7" t="s">
        <v>989</v>
      </c>
      <c r="D535" s="7" t="s">
        <v>548</v>
      </c>
      <c r="E535" s="7" t="s">
        <v>135</v>
      </c>
      <c r="F535" s="7" t="n">
        <v>30</v>
      </c>
      <c r="G535" s="7" t="n">
        <v>6.32</v>
      </c>
      <c r="H535" s="7" t="n">
        <v>7.37</v>
      </c>
      <c r="I535" s="7" t="n">
        <v>10</v>
      </c>
      <c r="J535" s="7" t="n">
        <v>0</v>
      </c>
      <c r="K535" s="7" t="n">
        <v>0</v>
      </c>
      <c r="L535" s="7" t="n">
        <v>4</v>
      </c>
      <c r="M535" s="7" t="n">
        <v>4</v>
      </c>
      <c r="N535" s="7" t="n">
        <v>0</v>
      </c>
      <c r="O535" s="7" t="n">
        <v>4</v>
      </c>
      <c r="P535" s="7" t="n">
        <v>5</v>
      </c>
      <c r="Q535" s="7" t="n">
        <v>0</v>
      </c>
      <c r="R535" s="7" t="n">
        <v>0</v>
      </c>
    </row>
    <row r="536" customFormat="false" ht="15" hidden="false" customHeight="true" outlineLevel="0" collapsed="false">
      <c r="A536" s="7" t="n">
        <v>2137</v>
      </c>
      <c r="B536" s="7" t="s">
        <v>46</v>
      </c>
      <c r="C536" s="7" t="s">
        <v>989</v>
      </c>
      <c r="D536" s="7" t="s">
        <v>547</v>
      </c>
      <c r="E536" s="7" t="s">
        <v>117</v>
      </c>
      <c r="F536" s="7" t="n">
        <v>22</v>
      </c>
      <c r="G536" s="7" t="n">
        <v>6.18</v>
      </c>
      <c r="H536" s="7" t="n">
        <v>7.55</v>
      </c>
      <c r="I536" s="7" t="n">
        <v>10</v>
      </c>
      <c r="J536" s="7" t="n">
        <v>0</v>
      </c>
      <c r="K536" s="7" t="n">
        <v>0</v>
      </c>
      <c r="L536" s="7" t="n">
        <v>2</v>
      </c>
      <c r="M536" s="7" t="n">
        <v>2</v>
      </c>
      <c r="N536" s="7" t="n">
        <v>0</v>
      </c>
      <c r="O536" s="7" t="n">
        <v>1</v>
      </c>
      <c r="P536" s="7" t="n">
        <v>2</v>
      </c>
      <c r="Q536" s="7" t="n">
        <v>0</v>
      </c>
      <c r="R536" s="7" t="n">
        <v>0</v>
      </c>
    </row>
    <row r="537" customFormat="false" ht="15" hidden="false" customHeight="true" outlineLevel="0" collapsed="false">
      <c r="A537" s="7" t="n">
        <v>505</v>
      </c>
      <c r="B537" s="7" t="s">
        <v>46</v>
      </c>
      <c r="C537" s="7" t="s">
        <v>46</v>
      </c>
      <c r="D537" s="7" t="s">
        <v>990</v>
      </c>
      <c r="E537" s="7" t="s">
        <v>750</v>
      </c>
      <c r="F537" s="7" t="n">
        <v>35</v>
      </c>
      <c r="G537" s="7" t="n">
        <v>6.16</v>
      </c>
      <c r="H537" s="7" t="n">
        <v>7.01</v>
      </c>
      <c r="I537" s="7" t="n">
        <v>10</v>
      </c>
      <c r="J537" s="7" t="n">
        <v>0</v>
      </c>
      <c r="K537" s="7" t="n">
        <v>0</v>
      </c>
      <c r="L537" s="7" t="n">
        <v>3</v>
      </c>
      <c r="M537" s="7" t="n">
        <v>3</v>
      </c>
      <c r="N537" s="7" t="n">
        <v>0</v>
      </c>
      <c r="O537" s="7" t="n">
        <v>2</v>
      </c>
      <c r="P537" s="7" t="n">
        <v>4</v>
      </c>
      <c r="Q537" s="7" t="n">
        <v>0</v>
      </c>
      <c r="R537" s="7" t="n">
        <v>0</v>
      </c>
    </row>
    <row r="538" customFormat="false" ht="15" hidden="false" customHeight="true" outlineLevel="0" collapsed="false">
      <c r="A538" s="7" t="n">
        <v>7071</v>
      </c>
      <c r="B538" s="7" t="s">
        <v>46</v>
      </c>
      <c r="C538" s="7" t="s">
        <v>989</v>
      </c>
      <c r="D538" s="7" t="s">
        <v>554</v>
      </c>
      <c r="E538" s="7" t="s">
        <v>115</v>
      </c>
      <c r="F538" s="7" t="n">
        <v>31</v>
      </c>
      <c r="G538" s="7" t="n">
        <v>6.26</v>
      </c>
      <c r="H538" s="7" t="n">
        <v>7.02</v>
      </c>
      <c r="I538" s="7" t="n">
        <v>7</v>
      </c>
      <c r="J538" s="7" t="n">
        <v>0</v>
      </c>
      <c r="K538" s="7" t="n">
        <v>0</v>
      </c>
      <c r="L538" s="7" t="n">
        <v>0</v>
      </c>
      <c r="M538" s="7" t="n">
        <v>0</v>
      </c>
      <c r="N538" s="7" t="n">
        <v>0</v>
      </c>
      <c r="O538" s="7" t="n">
        <v>3</v>
      </c>
      <c r="P538" s="7" t="n">
        <v>1</v>
      </c>
      <c r="Q538" s="7" t="n">
        <v>0</v>
      </c>
      <c r="R538" s="7" t="n">
        <v>0</v>
      </c>
    </row>
    <row r="539" customFormat="false" ht="15" hidden="false" customHeight="true" outlineLevel="0" collapsed="false">
      <c r="A539" s="7" t="n">
        <v>2061</v>
      </c>
      <c r="B539" s="7" t="s">
        <v>46</v>
      </c>
      <c r="C539" s="7" t="s">
        <v>989</v>
      </c>
      <c r="D539" s="7" t="s">
        <v>557</v>
      </c>
      <c r="E539" s="7" t="s">
        <v>184</v>
      </c>
      <c r="F539" s="7" t="n">
        <v>32</v>
      </c>
      <c r="G539" s="7" t="n">
        <v>6.08</v>
      </c>
      <c r="H539" s="7" t="n">
        <v>7.09</v>
      </c>
      <c r="I539" s="7" t="n">
        <v>11</v>
      </c>
      <c r="J539" s="7" t="n">
        <v>0</v>
      </c>
      <c r="K539" s="7" t="n">
        <v>0</v>
      </c>
      <c r="L539" s="7" t="n">
        <v>0</v>
      </c>
      <c r="M539" s="7" t="n">
        <v>0</v>
      </c>
      <c r="N539" s="7" t="n">
        <v>0</v>
      </c>
      <c r="O539" s="7" t="n">
        <v>0</v>
      </c>
      <c r="P539" s="7" t="n">
        <v>1</v>
      </c>
      <c r="Q539" s="7" t="n">
        <v>0</v>
      </c>
      <c r="R539" s="7" t="n">
        <v>0</v>
      </c>
    </row>
    <row r="540" customFormat="false" ht="15" hidden="false" customHeight="true" outlineLevel="0" collapsed="false">
      <c r="A540" s="7" t="n">
        <v>4463</v>
      </c>
      <c r="B540" s="7" t="s">
        <v>46</v>
      </c>
      <c r="C540" s="7" t="s">
        <v>46</v>
      </c>
      <c r="D540" s="7" t="s">
        <v>562</v>
      </c>
      <c r="E540" s="7" t="s">
        <v>129</v>
      </c>
      <c r="F540" s="7" t="n">
        <v>36</v>
      </c>
      <c r="G540" s="7" t="n">
        <v>6.26</v>
      </c>
      <c r="H540" s="7" t="n">
        <v>6.88</v>
      </c>
      <c r="I540" s="7" t="n">
        <v>7</v>
      </c>
      <c r="J540" s="7" t="n">
        <v>0</v>
      </c>
      <c r="K540" s="7" t="n">
        <v>0</v>
      </c>
      <c r="L540" s="7" t="n">
        <v>1</v>
      </c>
      <c r="M540" s="7" t="n">
        <v>1</v>
      </c>
      <c r="N540" s="7" t="n">
        <v>0</v>
      </c>
      <c r="O540" s="7" t="n">
        <v>4</v>
      </c>
      <c r="P540" s="7" t="n">
        <v>6</v>
      </c>
      <c r="Q540" s="7" t="n">
        <v>0</v>
      </c>
      <c r="R540" s="7" t="n">
        <v>0</v>
      </c>
    </row>
    <row r="541" customFormat="false" ht="15" hidden="false" customHeight="true" outlineLevel="0" collapsed="false">
      <c r="A541" s="7" t="n">
        <v>6060</v>
      </c>
      <c r="B541" s="7" t="s">
        <v>46</v>
      </c>
      <c r="C541" s="7" t="s">
        <v>46</v>
      </c>
      <c r="D541" s="7" t="s">
        <v>556</v>
      </c>
      <c r="E541" s="7" t="s">
        <v>144</v>
      </c>
      <c r="F541" s="7" t="n">
        <v>37</v>
      </c>
      <c r="G541" s="7" t="n">
        <v>6.23</v>
      </c>
      <c r="H541" s="7" t="n">
        <v>6.99</v>
      </c>
      <c r="I541" s="7" t="n">
        <v>7</v>
      </c>
      <c r="J541" s="7" t="n">
        <v>0</v>
      </c>
      <c r="K541" s="7" t="n">
        <v>0</v>
      </c>
      <c r="L541" s="7" t="n">
        <v>0</v>
      </c>
      <c r="M541" s="7" t="n">
        <v>0</v>
      </c>
      <c r="N541" s="7" t="n">
        <v>0</v>
      </c>
      <c r="O541" s="7" t="n">
        <v>9</v>
      </c>
      <c r="P541" s="7" t="n">
        <v>4</v>
      </c>
      <c r="Q541" s="7" t="n">
        <v>0</v>
      </c>
      <c r="R541" s="7" t="n">
        <v>0</v>
      </c>
    </row>
    <row r="542" customFormat="false" ht="15" hidden="false" customHeight="true" outlineLevel="0" collapsed="false">
      <c r="A542" s="7" t="n">
        <v>6669</v>
      </c>
      <c r="B542" s="7" t="s">
        <v>46</v>
      </c>
      <c r="C542" s="7" t="s">
        <v>989</v>
      </c>
      <c r="D542" s="7" t="s">
        <v>584</v>
      </c>
      <c r="E542" s="7" t="s">
        <v>115</v>
      </c>
      <c r="F542" s="7" t="n">
        <v>27</v>
      </c>
      <c r="G542" s="7" t="n">
        <v>6.15</v>
      </c>
      <c r="H542" s="7" t="n">
        <v>6.83</v>
      </c>
      <c r="I542" s="7" t="n">
        <v>5</v>
      </c>
      <c r="J542" s="7" t="n">
        <v>0</v>
      </c>
      <c r="K542" s="7" t="n">
        <v>0</v>
      </c>
      <c r="L542" s="7" t="n">
        <v>0</v>
      </c>
      <c r="M542" s="7" t="n">
        <v>0</v>
      </c>
      <c r="N542" s="7" t="n">
        <v>0</v>
      </c>
      <c r="O542" s="7" t="n">
        <v>4</v>
      </c>
      <c r="P542" s="7" t="n">
        <v>1</v>
      </c>
      <c r="Q542" s="7" t="n">
        <v>0</v>
      </c>
      <c r="R542" s="7" t="n">
        <v>0</v>
      </c>
    </row>
    <row r="543" customFormat="false" ht="15" hidden="false" customHeight="true" outlineLevel="0" collapsed="false">
      <c r="A543" s="7" t="n">
        <v>4510</v>
      </c>
      <c r="B543" s="7" t="s">
        <v>46</v>
      </c>
      <c r="C543" s="7" t="s">
        <v>46</v>
      </c>
      <c r="D543" s="7" t="s">
        <v>550</v>
      </c>
      <c r="E543" s="7" t="s">
        <v>121</v>
      </c>
      <c r="F543" s="7" t="n">
        <v>28</v>
      </c>
      <c r="G543" s="7" t="n">
        <v>5.88</v>
      </c>
      <c r="H543" s="7" t="n">
        <v>6.86</v>
      </c>
      <c r="I543" s="7" t="n">
        <v>9</v>
      </c>
      <c r="J543" s="7" t="n">
        <v>0</v>
      </c>
      <c r="K543" s="7" t="n">
        <v>0</v>
      </c>
      <c r="L543" s="7" t="n">
        <v>2</v>
      </c>
      <c r="M543" s="7" t="n">
        <v>2</v>
      </c>
      <c r="N543" s="7" t="n">
        <v>0</v>
      </c>
      <c r="O543" s="7" t="n">
        <v>3</v>
      </c>
      <c r="P543" s="7" t="n">
        <v>5</v>
      </c>
      <c r="Q543" s="7" t="n">
        <v>0</v>
      </c>
      <c r="R543" s="7" t="n">
        <v>0</v>
      </c>
    </row>
    <row r="544" customFormat="false" ht="15" hidden="false" customHeight="true" outlineLevel="0" collapsed="false">
      <c r="A544" s="7" t="n">
        <v>5734</v>
      </c>
      <c r="B544" s="7" t="s">
        <v>46</v>
      </c>
      <c r="C544" s="7" t="s">
        <v>46</v>
      </c>
      <c r="D544" s="7" t="s">
        <v>565</v>
      </c>
      <c r="E544" s="7" t="s">
        <v>113</v>
      </c>
      <c r="F544" s="7" t="n">
        <v>32</v>
      </c>
      <c r="G544" s="7" t="n">
        <v>6.12</v>
      </c>
      <c r="H544" s="7" t="n">
        <v>6.83</v>
      </c>
      <c r="I544" s="7" t="n">
        <v>6</v>
      </c>
      <c r="J544" s="7" t="n">
        <v>0</v>
      </c>
      <c r="K544" s="7" t="n">
        <v>0</v>
      </c>
      <c r="L544" s="7" t="n">
        <v>0</v>
      </c>
      <c r="M544" s="7" t="n">
        <v>0</v>
      </c>
      <c r="N544" s="7" t="n">
        <v>0</v>
      </c>
      <c r="O544" s="7" t="n">
        <v>5</v>
      </c>
      <c r="P544" s="7" t="n">
        <v>1</v>
      </c>
      <c r="Q544" s="7" t="n">
        <v>0</v>
      </c>
      <c r="R544" s="7" t="n">
        <v>0</v>
      </c>
    </row>
    <row r="545" customFormat="false" ht="15" hidden="false" customHeight="true" outlineLevel="0" collapsed="false">
      <c r="A545" s="7" t="n">
        <v>6226</v>
      </c>
      <c r="B545" s="7" t="s">
        <v>46</v>
      </c>
      <c r="C545" s="7" t="s">
        <v>989</v>
      </c>
      <c r="D545" s="7" t="s">
        <v>991</v>
      </c>
      <c r="E545" s="7" t="s">
        <v>133</v>
      </c>
      <c r="F545" s="7" t="n">
        <v>11</v>
      </c>
      <c r="G545" s="7" t="n">
        <v>6.09</v>
      </c>
      <c r="H545" s="7" t="n">
        <v>6.82</v>
      </c>
      <c r="I545" s="7" t="n">
        <v>2</v>
      </c>
      <c r="J545" s="7" t="n">
        <v>0</v>
      </c>
      <c r="K545" s="7" t="n">
        <v>0</v>
      </c>
      <c r="L545" s="7" t="n">
        <v>0</v>
      </c>
      <c r="M545" s="7" t="n">
        <v>0</v>
      </c>
      <c r="N545" s="7" t="n">
        <v>0</v>
      </c>
      <c r="O545" s="7" t="n">
        <v>3</v>
      </c>
      <c r="P545" s="7" t="n">
        <v>2</v>
      </c>
      <c r="Q545" s="7" t="n">
        <v>0</v>
      </c>
      <c r="R545" s="7" t="n">
        <v>0</v>
      </c>
    </row>
    <row r="546" customFormat="false" ht="15" hidden="false" customHeight="true" outlineLevel="0" collapsed="false">
      <c r="A546" s="7" t="n">
        <v>7023</v>
      </c>
      <c r="B546" s="7" t="s">
        <v>46</v>
      </c>
      <c r="C546" s="7" t="s">
        <v>989</v>
      </c>
      <c r="D546" s="7" t="s">
        <v>555</v>
      </c>
      <c r="E546" s="7" t="s">
        <v>141</v>
      </c>
      <c r="F546" s="7" t="n">
        <v>37</v>
      </c>
      <c r="G546" s="7" t="n">
        <v>5.99</v>
      </c>
      <c r="H546" s="7" t="n">
        <v>6.65</v>
      </c>
      <c r="I546" s="7" t="n">
        <v>9</v>
      </c>
      <c r="J546" s="7" t="n">
        <v>0</v>
      </c>
      <c r="K546" s="7" t="n">
        <v>0</v>
      </c>
      <c r="L546" s="7" t="n">
        <v>1</v>
      </c>
      <c r="M546" s="7" t="n">
        <v>1</v>
      </c>
      <c r="N546" s="7" t="n">
        <v>0</v>
      </c>
      <c r="O546" s="7" t="n">
        <v>0</v>
      </c>
      <c r="P546" s="7" t="n">
        <v>5</v>
      </c>
      <c r="Q546" s="7" t="n">
        <v>0</v>
      </c>
      <c r="R546" s="7" t="n">
        <v>0</v>
      </c>
    </row>
    <row r="547" customFormat="false" ht="15" hidden="false" customHeight="true" outlineLevel="0" collapsed="false">
      <c r="A547" s="7" t="n">
        <v>4728</v>
      </c>
      <c r="B547" s="7" t="s">
        <v>46</v>
      </c>
      <c r="C547" s="7" t="s">
        <v>46</v>
      </c>
      <c r="D547" s="7" t="s">
        <v>563</v>
      </c>
      <c r="E547" s="7" t="s">
        <v>121</v>
      </c>
      <c r="F547" s="7" t="n">
        <v>26</v>
      </c>
      <c r="G547" s="7" t="n">
        <v>5.94</v>
      </c>
      <c r="H547" s="7" t="n">
        <v>6.87</v>
      </c>
      <c r="I547" s="7" t="n">
        <v>7</v>
      </c>
      <c r="J547" s="7" t="n">
        <v>0</v>
      </c>
      <c r="K547" s="7" t="n">
        <v>0</v>
      </c>
      <c r="L547" s="7" t="n">
        <v>5</v>
      </c>
      <c r="M547" s="7" t="n">
        <v>5</v>
      </c>
      <c r="N547" s="7" t="n">
        <v>0</v>
      </c>
      <c r="O547" s="7" t="n">
        <v>3</v>
      </c>
      <c r="P547" s="7" t="n">
        <v>0</v>
      </c>
      <c r="Q547" s="7" t="n">
        <v>0</v>
      </c>
      <c r="R547" s="7" t="n">
        <v>0</v>
      </c>
    </row>
    <row r="548" customFormat="false" ht="15" hidden="false" customHeight="true" outlineLevel="0" collapsed="false">
      <c r="A548" s="7" t="n">
        <v>6572</v>
      </c>
      <c r="B548" s="7" t="s">
        <v>46</v>
      </c>
      <c r="C548" s="7" t="s">
        <v>989</v>
      </c>
      <c r="D548" s="7" t="s">
        <v>560</v>
      </c>
      <c r="E548" s="7" t="s">
        <v>127</v>
      </c>
      <c r="F548" s="7" t="n">
        <v>35</v>
      </c>
      <c r="G548" s="7" t="n">
        <v>5.93</v>
      </c>
      <c r="H548" s="7" t="n">
        <v>6.51</v>
      </c>
      <c r="I548" s="7" t="n">
        <v>7</v>
      </c>
      <c r="J548" s="7" t="n">
        <v>0</v>
      </c>
      <c r="K548" s="7" t="n">
        <v>0</v>
      </c>
      <c r="L548" s="7" t="n">
        <v>0</v>
      </c>
      <c r="M548" s="7" t="n">
        <v>0</v>
      </c>
      <c r="N548" s="7" t="n">
        <v>0</v>
      </c>
      <c r="O548" s="7" t="n">
        <v>1</v>
      </c>
      <c r="P548" s="7" t="n">
        <v>3</v>
      </c>
      <c r="Q548" s="7" t="n">
        <v>0</v>
      </c>
      <c r="R548" s="7" t="n">
        <v>0</v>
      </c>
    </row>
    <row r="549" customFormat="false" ht="15" hidden="false" customHeight="true" outlineLevel="0" collapsed="false">
      <c r="A549" s="7" t="n">
        <v>5995</v>
      </c>
      <c r="B549" s="7" t="s">
        <v>46</v>
      </c>
      <c r="C549" s="7" t="s">
        <v>46</v>
      </c>
      <c r="D549" s="7" t="s">
        <v>552</v>
      </c>
      <c r="E549" s="7" t="s">
        <v>117</v>
      </c>
      <c r="F549" s="7" t="n">
        <v>31</v>
      </c>
      <c r="G549" s="7" t="n">
        <v>6.21</v>
      </c>
      <c r="H549" s="7" t="n">
        <v>6.6</v>
      </c>
      <c r="I549" s="7" t="n">
        <v>3</v>
      </c>
      <c r="J549" s="7" t="n">
        <v>0</v>
      </c>
      <c r="K549" s="7" t="n">
        <v>0</v>
      </c>
      <c r="L549" s="7" t="n">
        <v>0</v>
      </c>
      <c r="M549" s="7" t="n">
        <v>0</v>
      </c>
      <c r="N549" s="7" t="n">
        <v>0</v>
      </c>
      <c r="O549" s="7" t="n">
        <v>5</v>
      </c>
      <c r="P549" s="7" t="n">
        <v>4</v>
      </c>
      <c r="Q549" s="7" t="n">
        <v>0</v>
      </c>
      <c r="R549" s="7" t="n">
        <v>0</v>
      </c>
    </row>
    <row r="550" customFormat="false" ht="15" hidden="false" customHeight="true" outlineLevel="0" collapsed="false">
      <c r="A550" s="7" t="n">
        <v>2097</v>
      </c>
      <c r="B550" s="7" t="s">
        <v>46</v>
      </c>
      <c r="C550" s="7" t="s">
        <v>989</v>
      </c>
      <c r="D550" s="7" t="s">
        <v>544</v>
      </c>
      <c r="E550" s="7" t="s">
        <v>123</v>
      </c>
      <c r="F550" s="7" t="n">
        <v>26</v>
      </c>
      <c r="G550" s="7" t="n">
        <v>5.88</v>
      </c>
      <c r="H550" s="7" t="n">
        <v>6.77</v>
      </c>
      <c r="I550" s="7" t="n">
        <v>8</v>
      </c>
      <c r="J550" s="7" t="n">
        <v>0</v>
      </c>
      <c r="K550" s="7" t="n">
        <v>0</v>
      </c>
      <c r="L550" s="7" t="n">
        <v>2</v>
      </c>
      <c r="M550" s="7" t="n">
        <v>2</v>
      </c>
      <c r="N550" s="7" t="n">
        <v>0</v>
      </c>
      <c r="O550" s="7" t="n">
        <v>1</v>
      </c>
      <c r="P550" s="7" t="n">
        <v>4</v>
      </c>
      <c r="Q550" s="7" t="n">
        <v>0</v>
      </c>
      <c r="R550" s="7" t="n">
        <v>0</v>
      </c>
    </row>
    <row r="551" customFormat="false" ht="15" hidden="false" customHeight="true" outlineLevel="0" collapsed="false">
      <c r="A551" s="7" t="n">
        <v>2841</v>
      </c>
      <c r="B551" s="7" t="s">
        <v>46</v>
      </c>
      <c r="C551" s="7" t="s">
        <v>989</v>
      </c>
      <c r="D551" s="7" t="s">
        <v>992</v>
      </c>
      <c r="E551" s="7" t="s">
        <v>131</v>
      </c>
      <c r="F551" s="7" t="n">
        <v>18</v>
      </c>
      <c r="G551" s="7" t="n">
        <v>6.14</v>
      </c>
      <c r="H551" s="7" t="n">
        <v>7.31</v>
      </c>
      <c r="I551" s="7" t="n">
        <v>7</v>
      </c>
      <c r="J551" s="7" t="n">
        <v>0</v>
      </c>
      <c r="K551" s="7" t="n">
        <v>0</v>
      </c>
      <c r="L551" s="7" t="n">
        <v>1</v>
      </c>
      <c r="M551" s="7" t="n">
        <v>1</v>
      </c>
      <c r="N551" s="7" t="n">
        <v>0</v>
      </c>
      <c r="O551" s="7" t="n">
        <v>0</v>
      </c>
      <c r="P551" s="7" t="n">
        <v>0</v>
      </c>
      <c r="Q551" s="7" t="n">
        <v>0</v>
      </c>
      <c r="R551" s="7" t="n">
        <v>0</v>
      </c>
    </row>
    <row r="552" customFormat="false" ht="15" hidden="false" customHeight="true" outlineLevel="0" collapsed="false">
      <c r="A552" s="7" t="n">
        <v>2489</v>
      </c>
      <c r="B552" s="7" t="s">
        <v>46</v>
      </c>
      <c r="C552" s="7" t="s">
        <v>46</v>
      </c>
      <c r="D552" s="7" t="s">
        <v>993</v>
      </c>
      <c r="E552" s="7" t="s">
        <v>133</v>
      </c>
      <c r="F552" s="7" t="n">
        <v>23</v>
      </c>
      <c r="G552" s="7" t="n">
        <v>6.13</v>
      </c>
      <c r="H552" s="7" t="n">
        <v>6.78</v>
      </c>
      <c r="I552" s="7" t="n">
        <v>5</v>
      </c>
      <c r="J552" s="7" t="n">
        <v>0</v>
      </c>
      <c r="K552" s="7" t="n">
        <v>0</v>
      </c>
      <c r="L552" s="7" t="n">
        <v>2</v>
      </c>
      <c r="M552" s="7" t="n">
        <v>2</v>
      </c>
      <c r="N552" s="7" t="n">
        <v>0</v>
      </c>
      <c r="O552" s="7" t="n">
        <v>2</v>
      </c>
      <c r="P552" s="7" t="n">
        <v>4</v>
      </c>
      <c r="Q552" s="7" t="n">
        <v>0</v>
      </c>
      <c r="R552" s="7" t="n">
        <v>0</v>
      </c>
    </row>
    <row r="553" customFormat="false" ht="15" hidden="false" customHeight="true" outlineLevel="0" collapsed="false">
      <c r="A553" s="7" t="n">
        <v>5455</v>
      </c>
      <c r="B553" s="7" t="s">
        <v>46</v>
      </c>
      <c r="C553" s="7" t="s">
        <v>46</v>
      </c>
      <c r="D553" s="7" t="s">
        <v>994</v>
      </c>
      <c r="E553" s="7" t="s">
        <v>755</v>
      </c>
      <c r="F553" s="7" t="n">
        <v>35</v>
      </c>
      <c r="G553" s="7" t="n">
        <v>5.99</v>
      </c>
      <c r="H553" s="7" t="n">
        <v>6.56</v>
      </c>
      <c r="I553" s="7" t="n">
        <v>7</v>
      </c>
      <c r="J553" s="7" t="n">
        <v>0</v>
      </c>
      <c r="K553" s="7" t="n">
        <v>0</v>
      </c>
      <c r="L553" s="7" t="n">
        <v>2</v>
      </c>
      <c r="M553" s="7" t="n">
        <v>2</v>
      </c>
      <c r="N553" s="7" t="n">
        <v>0</v>
      </c>
      <c r="O553" s="7" t="n">
        <v>0</v>
      </c>
      <c r="P553" s="7" t="n">
        <v>2</v>
      </c>
      <c r="Q553" s="7" t="n">
        <v>0</v>
      </c>
      <c r="R553" s="7" t="n">
        <v>0</v>
      </c>
    </row>
    <row r="554" customFormat="false" ht="15" hidden="false" customHeight="true" outlineLevel="0" collapsed="false">
      <c r="A554" s="7" t="n">
        <v>2038</v>
      </c>
      <c r="B554" s="7" t="s">
        <v>46</v>
      </c>
      <c r="C554" s="7" t="s">
        <v>989</v>
      </c>
      <c r="D554" s="7" t="s">
        <v>564</v>
      </c>
      <c r="E554" s="7" t="s">
        <v>144</v>
      </c>
      <c r="F554" s="7" t="n">
        <v>34</v>
      </c>
      <c r="G554" s="7" t="n">
        <v>5.88</v>
      </c>
      <c r="H554" s="7" t="n">
        <v>6.62</v>
      </c>
      <c r="I554" s="7" t="n">
        <v>9</v>
      </c>
      <c r="J554" s="7" t="n">
        <v>0</v>
      </c>
      <c r="K554" s="7" t="n">
        <v>0</v>
      </c>
      <c r="L554" s="7" t="n">
        <v>1</v>
      </c>
      <c r="M554" s="7" t="n">
        <v>0</v>
      </c>
      <c r="N554" s="7" t="n">
        <v>1</v>
      </c>
      <c r="O554" s="7" t="n">
        <v>3</v>
      </c>
      <c r="P554" s="7" t="n">
        <v>2</v>
      </c>
      <c r="Q554" s="7" t="n">
        <v>1</v>
      </c>
      <c r="R554" s="7" t="n">
        <v>0</v>
      </c>
    </row>
    <row r="555" customFormat="false" ht="15" hidden="false" customHeight="true" outlineLevel="0" collapsed="false">
      <c r="A555" s="7" t="n">
        <v>6646</v>
      </c>
      <c r="B555" s="7" t="s">
        <v>46</v>
      </c>
      <c r="C555" s="7" t="s">
        <v>46</v>
      </c>
      <c r="D555" s="7" t="s">
        <v>577</v>
      </c>
      <c r="E555" s="7" t="s">
        <v>184</v>
      </c>
      <c r="F555" s="7" t="n">
        <v>32</v>
      </c>
      <c r="G555" s="7" t="n">
        <v>5.98</v>
      </c>
      <c r="H555" s="7" t="n">
        <v>6.64</v>
      </c>
      <c r="I555" s="7" t="n">
        <v>6</v>
      </c>
      <c r="J555" s="7" t="n">
        <v>0</v>
      </c>
      <c r="K555" s="7" t="n">
        <v>0</v>
      </c>
      <c r="L555" s="7" t="n">
        <v>0</v>
      </c>
      <c r="M555" s="7" t="n">
        <v>0</v>
      </c>
      <c r="N555" s="7" t="n">
        <v>0</v>
      </c>
      <c r="O555" s="7" t="n">
        <v>3</v>
      </c>
      <c r="P555" s="7" t="n">
        <v>0</v>
      </c>
      <c r="Q555" s="7" t="n">
        <v>0</v>
      </c>
      <c r="R555" s="7" t="n">
        <v>0</v>
      </c>
    </row>
    <row r="556" customFormat="false" ht="15" hidden="false" customHeight="true" outlineLevel="0" collapsed="false">
      <c r="A556" s="7" t="n">
        <v>2369</v>
      </c>
      <c r="B556" s="7" t="s">
        <v>46</v>
      </c>
      <c r="C556" s="7" t="s">
        <v>46</v>
      </c>
      <c r="D556" s="7" t="s">
        <v>995</v>
      </c>
      <c r="E556" s="7" t="s">
        <v>135</v>
      </c>
      <c r="F556" s="7" t="n">
        <v>0</v>
      </c>
      <c r="G556" s="7" t="n">
        <v>0</v>
      </c>
      <c r="H556" s="7" t="n">
        <v>0</v>
      </c>
      <c r="I556" s="7" t="n">
        <v>0</v>
      </c>
      <c r="J556" s="7" t="n">
        <v>0</v>
      </c>
      <c r="K556" s="7" t="n">
        <v>0</v>
      </c>
      <c r="L556" s="7" t="n">
        <v>0</v>
      </c>
      <c r="M556" s="7" t="n">
        <v>0</v>
      </c>
      <c r="N556" s="7" t="n">
        <v>0</v>
      </c>
      <c r="O556" s="7" t="n">
        <v>0</v>
      </c>
      <c r="P556" s="7" t="n">
        <v>0</v>
      </c>
      <c r="Q556" s="7" t="n">
        <v>0</v>
      </c>
      <c r="R556" s="7" t="n">
        <v>0</v>
      </c>
    </row>
    <row r="557" customFormat="false" ht="15" hidden="false" customHeight="true" outlineLevel="0" collapsed="false">
      <c r="A557" s="7" t="n">
        <v>2499</v>
      </c>
      <c r="B557" s="7" t="s">
        <v>46</v>
      </c>
      <c r="C557" s="7" t="s">
        <v>989</v>
      </c>
      <c r="D557" s="7" t="s">
        <v>996</v>
      </c>
      <c r="E557" s="7" t="s">
        <v>750</v>
      </c>
      <c r="F557" s="7" t="n">
        <v>29</v>
      </c>
      <c r="G557" s="7" t="n">
        <v>5.95</v>
      </c>
      <c r="H557" s="7" t="n">
        <v>6.62</v>
      </c>
      <c r="I557" s="7" t="n">
        <v>7</v>
      </c>
      <c r="J557" s="7" t="n">
        <v>0</v>
      </c>
      <c r="K557" s="7" t="n">
        <v>0</v>
      </c>
      <c r="L557" s="7" t="n">
        <v>0</v>
      </c>
      <c r="M557" s="7" t="n">
        <v>0</v>
      </c>
      <c r="N557" s="7" t="n">
        <v>0</v>
      </c>
      <c r="O557" s="7" t="n">
        <v>1</v>
      </c>
      <c r="P557" s="7" t="n">
        <v>5</v>
      </c>
      <c r="Q557" s="7" t="n">
        <v>0</v>
      </c>
      <c r="R557" s="7" t="n">
        <v>0</v>
      </c>
    </row>
    <row r="558" customFormat="false" ht="15" hidden="false" customHeight="true" outlineLevel="0" collapsed="false">
      <c r="A558" s="7" t="n">
        <v>7129</v>
      </c>
      <c r="B558" s="7" t="s">
        <v>46</v>
      </c>
      <c r="C558" s="7" t="s">
        <v>901</v>
      </c>
      <c r="D558" s="7" t="s">
        <v>385</v>
      </c>
      <c r="E558" s="7" t="s">
        <v>119</v>
      </c>
      <c r="F558" s="7" t="n">
        <v>28</v>
      </c>
      <c r="G558" s="7" t="n">
        <v>6.25</v>
      </c>
      <c r="H558" s="7" t="n">
        <v>6.66</v>
      </c>
      <c r="I558" s="7" t="n">
        <v>2</v>
      </c>
      <c r="J558" s="7" t="n">
        <v>0</v>
      </c>
      <c r="K558" s="7" t="n">
        <v>0</v>
      </c>
      <c r="L558" s="7" t="n">
        <v>0</v>
      </c>
      <c r="M558" s="7" t="n">
        <v>0</v>
      </c>
      <c r="N558" s="7" t="n">
        <v>0</v>
      </c>
      <c r="O558" s="7" t="n">
        <v>8</v>
      </c>
      <c r="P558" s="7" t="n">
        <v>3</v>
      </c>
      <c r="Q558" s="7" t="n">
        <v>1</v>
      </c>
      <c r="R558" s="7" t="n">
        <v>0</v>
      </c>
    </row>
    <row r="559" customFormat="false" ht="15" hidden="false" customHeight="true" outlineLevel="0" collapsed="false">
      <c r="A559" s="7" t="n">
        <v>6001</v>
      </c>
      <c r="B559" s="7" t="s">
        <v>46</v>
      </c>
      <c r="C559" s="7" t="s">
        <v>901</v>
      </c>
      <c r="D559" s="7" t="s">
        <v>997</v>
      </c>
      <c r="E559" s="7" t="s">
        <v>139</v>
      </c>
      <c r="F559" s="7" t="n">
        <v>32</v>
      </c>
      <c r="G559" s="7" t="n">
        <v>6.08</v>
      </c>
      <c r="H559" s="7" t="n">
        <v>6.55</v>
      </c>
      <c r="I559" s="7" t="n">
        <v>5</v>
      </c>
      <c r="J559" s="7" t="n">
        <v>0</v>
      </c>
      <c r="K559" s="7" t="n">
        <v>0</v>
      </c>
      <c r="L559" s="7" t="n">
        <v>0</v>
      </c>
      <c r="M559" s="7" t="n">
        <v>0</v>
      </c>
      <c r="N559" s="7" t="n">
        <v>0</v>
      </c>
      <c r="O559" s="7" t="n">
        <v>4</v>
      </c>
      <c r="P559" s="7" t="n">
        <v>6</v>
      </c>
      <c r="Q559" s="7" t="n">
        <v>1</v>
      </c>
      <c r="R559" s="7" t="n">
        <v>0</v>
      </c>
    </row>
    <row r="560" customFormat="false" ht="15" hidden="false" customHeight="true" outlineLevel="0" collapsed="false">
      <c r="A560" s="7" t="n">
        <v>4371</v>
      </c>
      <c r="B560" s="7" t="s">
        <v>46</v>
      </c>
      <c r="C560" s="7" t="s">
        <v>46</v>
      </c>
      <c r="D560" s="7" t="s">
        <v>561</v>
      </c>
      <c r="E560" s="7" t="s">
        <v>117</v>
      </c>
      <c r="F560" s="7" t="n">
        <v>13</v>
      </c>
      <c r="G560" s="7" t="n">
        <v>6.12</v>
      </c>
      <c r="H560" s="7" t="n">
        <v>6.88</v>
      </c>
      <c r="I560" s="7" t="n">
        <v>3</v>
      </c>
      <c r="J560" s="7" t="n">
        <v>0</v>
      </c>
      <c r="K560" s="7" t="n">
        <v>0</v>
      </c>
      <c r="L560" s="7" t="n">
        <v>0</v>
      </c>
      <c r="M560" s="7" t="n">
        <v>0</v>
      </c>
      <c r="N560" s="7" t="n">
        <v>0</v>
      </c>
      <c r="O560" s="7" t="n">
        <v>1</v>
      </c>
      <c r="P560" s="7" t="n">
        <v>0</v>
      </c>
      <c r="Q560" s="7" t="n">
        <v>0</v>
      </c>
      <c r="R560" s="7" t="n">
        <v>0</v>
      </c>
    </row>
    <row r="561" customFormat="false" ht="15" hidden="false" customHeight="true" outlineLevel="0" collapsed="false">
      <c r="A561" s="7" t="n">
        <v>2531</v>
      </c>
      <c r="B561" s="7" t="s">
        <v>46</v>
      </c>
      <c r="C561" s="7" t="s">
        <v>989</v>
      </c>
      <c r="D561" s="7" t="s">
        <v>571</v>
      </c>
      <c r="E561" s="7" t="s">
        <v>125</v>
      </c>
      <c r="F561" s="7" t="n">
        <v>1</v>
      </c>
      <c r="G561" s="7" t="n">
        <v>7</v>
      </c>
      <c r="H561" s="7" t="n">
        <v>9.5</v>
      </c>
      <c r="I561" s="7" t="n">
        <v>1</v>
      </c>
      <c r="J561" s="7" t="n">
        <v>0</v>
      </c>
      <c r="K561" s="7" t="n">
        <v>0</v>
      </c>
      <c r="L561" s="7" t="n">
        <v>0</v>
      </c>
      <c r="M561" s="7" t="n">
        <v>0</v>
      </c>
      <c r="N561" s="7" t="n">
        <v>0</v>
      </c>
      <c r="O561" s="7" t="n">
        <v>0</v>
      </c>
      <c r="P561" s="7" t="n">
        <v>1</v>
      </c>
      <c r="Q561" s="7" t="n">
        <v>0</v>
      </c>
      <c r="R561" s="7" t="n">
        <v>0</v>
      </c>
    </row>
    <row r="562" customFormat="false" ht="15" hidden="false" customHeight="true" outlineLevel="0" collapsed="false">
      <c r="A562" s="7" t="n">
        <v>4730</v>
      </c>
      <c r="B562" s="7" t="s">
        <v>46</v>
      </c>
      <c r="C562" s="7" t="s">
        <v>46</v>
      </c>
      <c r="D562" s="7" t="s">
        <v>998</v>
      </c>
      <c r="E562" s="7" t="s">
        <v>117</v>
      </c>
      <c r="F562" s="7" t="n">
        <v>10</v>
      </c>
      <c r="G562" s="7" t="n">
        <v>5.8</v>
      </c>
      <c r="H562" s="7" t="n">
        <v>6.4</v>
      </c>
      <c r="I562" s="7" t="n">
        <v>2</v>
      </c>
      <c r="J562" s="7" t="n">
        <v>0</v>
      </c>
      <c r="K562" s="7" t="n">
        <v>0</v>
      </c>
      <c r="L562" s="7" t="n">
        <v>0</v>
      </c>
      <c r="M562" s="7" t="n">
        <v>0</v>
      </c>
      <c r="N562" s="7" t="n">
        <v>0</v>
      </c>
      <c r="O562" s="7" t="n">
        <v>0</v>
      </c>
      <c r="P562" s="7" t="n">
        <v>0</v>
      </c>
      <c r="Q562" s="7" t="n">
        <v>0</v>
      </c>
      <c r="R562" s="7" t="n">
        <v>0</v>
      </c>
    </row>
    <row r="563" customFormat="false" ht="15" hidden="false" customHeight="true" outlineLevel="0" collapsed="false">
      <c r="A563" s="7" t="n">
        <v>4923</v>
      </c>
      <c r="B563" s="7" t="s">
        <v>46</v>
      </c>
      <c r="C563" s="7" t="s">
        <v>989</v>
      </c>
      <c r="D563" s="7" t="s">
        <v>568</v>
      </c>
      <c r="E563" s="7" t="s">
        <v>137</v>
      </c>
      <c r="F563" s="7" t="n">
        <v>37</v>
      </c>
      <c r="G563" s="7" t="n">
        <v>5.92</v>
      </c>
      <c r="H563" s="7" t="n">
        <v>6.41</v>
      </c>
      <c r="I563" s="7" t="n">
        <v>7</v>
      </c>
      <c r="J563" s="7" t="n">
        <v>0</v>
      </c>
      <c r="K563" s="7" t="n">
        <v>0</v>
      </c>
      <c r="L563" s="7" t="n">
        <v>2</v>
      </c>
      <c r="M563" s="7" t="n">
        <v>1</v>
      </c>
      <c r="N563" s="7" t="n">
        <v>1</v>
      </c>
      <c r="O563" s="7" t="n">
        <v>1</v>
      </c>
      <c r="P563" s="7" t="n">
        <v>2</v>
      </c>
      <c r="Q563" s="7" t="n">
        <v>0</v>
      </c>
      <c r="R563" s="7" t="n">
        <v>0</v>
      </c>
    </row>
    <row r="564" customFormat="false" ht="15" hidden="false" customHeight="true" outlineLevel="0" collapsed="false">
      <c r="A564" s="7" t="n">
        <v>6556</v>
      </c>
      <c r="B564" s="7" t="s">
        <v>46</v>
      </c>
      <c r="C564" s="7" t="s">
        <v>46</v>
      </c>
      <c r="D564" s="7" t="s">
        <v>590</v>
      </c>
      <c r="E564" s="7" t="s">
        <v>133</v>
      </c>
      <c r="F564" s="7" t="n">
        <v>23</v>
      </c>
      <c r="G564" s="7" t="n">
        <v>6.02</v>
      </c>
      <c r="H564" s="7" t="n">
        <v>6.5</v>
      </c>
      <c r="I564" s="7" t="n">
        <v>4</v>
      </c>
      <c r="J564" s="7" t="n">
        <v>0</v>
      </c>
      <c r="K564" s="7" t="n">
        <v>0</v>
      </c>
      <c r="L564" s="7" t="n">
        <v>0</v>
      </c>
      <c r="M564" s="7" t="n">
        <v>0</v>
      </c>
      <c r="N564" s="7" t="n">
        <v>0</v>
      </c>
      <c r="O564" s="7" t="n">
        <v>2</v>
      </c>
      <c r="P564" s="7" t="n">
        <v>4</v>
      </c>
      <c r="Q564" s="7" t="n">
        <v>1</v>
      </c>
      <c r="R564" s="7" t="n">
        <v>0</v>
      </c>
    </row>
    <row r="565" customFormat="false" ht="15" hidden="false" customHeight="true" outlineLevel="0" collapsed="false">
      <c r="A565" s="7" t="n">
        <v>6552</v>
      </c>
      <c r="B565" s="7" t="s">
        <v>46</v>
      </c>
      <c r="C565" s="7" t="s">
        <v>989</v>
      </c>
      <c r="D565" s="7" t="s">
        <v>999</v>
      </c>
      <c r="E565" s="7" t="s">
        <v>752</v>
      </c>
      <c r="F565" s="7" t="n">
        <v>28</v>
      </c>
      <c r="G565" s="7" t="n">
        <v>5.82</v>
      </c>
      <c r="H565" s="7" t="n">
        <v>6.54</v>
      </c>
      <c r="I565" s="7" t="n">
        <v>7</v>
      </c>
      <c r="J565" s="7" t="n">
        <v>0</v>
      </c>
      <c r="K565" s="7" t="n">
        <v>0</v>
      </c>
      <c r="L565" s="7" t="n">
        <v>2</v>
      </c>
      <c r="M565" s="7" t="n">
        <v>2</v>
      </c>
      <c r="N565" s="7" t="n">
        <v>0</v>
      </c>
      <c r="O565" s="7" t="n">
        <v>2</v>
      </c>
      <c r="P565" s="7" t="n">
        <v>4</v>
      </c>
      <c r="Q565" s="7" t="n">
        <v>1</v>
      </c>
      <c r="R565" s="7" t="n">
        <v>0</v>
      </c>
    </row>
    <row r="566" customFormat="false" ht="15" hidden="false" customHeight="true" outlineLevel="0" collapsed="false">
      <c r="A566" s="7" t="n">
        <v>6164</v>
      </c>
      <c r="B566" s="7" t="s">
        <v>46</v>
      </c>
      <c r="C566" s="7" t="s">
        <v>989</v>
      </c>
      <c r="D566" s="7" t="s">
        <v>580</v>
      </c>
      <c r="E566" s="7" t="s">
        <v>137</v>
      </c>
      <c r="F566" s="7" t="n">
        <v>31</v>
      </c>
      <c r="G566" s="7" t="n">
        <v>5.95</v>
      </c>
      <c r="H566" s="7" t="n">
        <v>6.39</v>
      </c>
      <c r="I566" s="7" t="n">
        <v>5</v>
      </c>
      <c r="J566" s="7" t="n">
        <v>0</v>
      </c>
      <c r="K566" s="7" t="n">
        <v>0</v>
      </c>
      <c r="L566" s="7" t="n">
        <v>0</v>
      </c>
      <c r="M566" s="7" t="n">
        <v>0</v>
      </c>
      <c r="N566" s="7" t="n">
        <v>0</v>
      </c>
      <c r="O566" s="7" t="n">
        <v>1</v>
      </c>
      <c r="P566" s="7" t="n">
        <v>5</v>
      </c>
      <c r="Q566" s="7" t="n">
        <v>0</v>
      </c>
      <c r="R566" s="7" t="n">
        <v>0</v>
      </c>
    </row>
    <row r="567" customFormat="false" ht="15" hidden="false" customHeight="true" outlineLevel="0" collapsed="false">
      <c r="A567" s="7" t="n">
        <v>5544</v>
      </c>
      <c r="B567" s="7" t="s">
        <v>46</v>
      </c>
      <c r="C567" s="7" t="s">
        <v>989</v>
      </c>
      <c r="D567" s="7" t="s">
        <v>574</v>
      </c>
      <c r="E567" s="7" t="s">
        <v>131</v>
      </c>
      <c r="F567" s="7" t="n">
        <v>30</v>
      </c>
      <c r="G567" s="7" t="n">
        <v>5.77</v>
      </c>
      <c r="H567" s="7" t="n">
        <v>6.33</v>
      </c>
      <c r="I567" s="7" t="n">
        <v>6</v>
      </c>
      <c r="J567" s="7" t="n">
        <v>0</v>
      </c>
      <c r="K567" s="7" t="n">
        <v>0</v>
      </c>
      <c r="L567" s="7" t="n">
        <v>1</v>
      </c>
      <c r="M567" s="7" t="n">
        <v>0</v>
      </c>
      <c r="N567" s="7" t="n">
        <v>1</v>
      </c>
      <c r="O567" s="7" t="n">
        <v>2</v>
      </c>
      <c r="P567" s="7" t="n">
        <v>0</v>
      </c>
      <c r="Q567" s="7" t="n">
        <v>0</v>
      </c>
      <c r="R567" s="7" t="n">
        <v>0</v>
      </c>
    </row>
    <row r="568" customFormat="false" ht="15" hidden="false" customHeight="true" outlineLevel="0" collapsed="false">
      <c r="A568" s="7" t="n">
        <v>7120</v>
      </c>
      <c r="B568" s="7" t="s">
        <v>46</v>
      </c>
      <c r="C568" s="7" t="s">
        <v>46</v>
      </c>
      <c r="D568" s="7" t="s">
        <v>610</v>
      </c>
      <c r="E568" s="7" t="s">
        <v>125</v>
      </c>
      <c r="F568" s="7" t="n">
        <v>14</v>
      </c>
      <c r="G568" s="7" t="n">
        <v>6.04</v>
      </c>
      <c r="H568" s="7" t="n">
        <v>6.32</v>
      </c>
      <c r="I568" s="7" t="n">
        <v>1</v>
      </c>
      <c r="J568" s="7" t="n">
        <v>0</v>
      </c>
      <c r="K568" s="7" t="n">
        <v>0</v>
      </c>
      <c r="L568" s="7" t="n">
        <v>0</v>
      </c>
      <c r="M568" s="7" t="n">
        <v>0</v>
      </c>
      <c r="N568" s="7" t="n">
        <v>0</v>
      </c>
      <c r="O568" s="7" t="n">
        <v>2</v>
      </c>
      <c r="P568" s="7" t="n">
        <v>2</v>
      </c>
      <c r="Q568" s="7" t="n">
        <v>0</v>
      </c>
      <c r="R568" s="7" t="n">
        <v>0</v>
      </c>
    </row>
    <row r="569" customFormat="false" ht="15" hidden="false" customHeight="true" outlineLevel="0" collapsed="false">
      <c r="A569" s="7" t="n">
        <v>309</v>
      </c>
      <c r="B569" s="7" t="s">
        <v>46</v>
      </c>
      <c r="C569" s="7" t="s">
        <v>46</v>
      </c>
      <c r="D569" s="7" t="s">
        <v>559</v>
      </c>
      <c r="E569" s="7" t="s">
        <v>113</v>
      </c>
      <c r="F569" s="7" t="n">
        <v>21</v>
      </c>
      <c r="G569" s="7" t="n">
        <v>6.26</v>
      </c>
      <c r="H569" s="7" t="n">
        <v>6.74</v>
      </c>
      <c r="I569" s="7" t="n">
        <v>2</v>
      </c>
      <c r="J569" s="7" t="n">
        <v>0</v>
      </c>
      <c r="K569" s="7" t="n">
        <v>0</v>
      </c>
      <c r="L569" s="7" t="n">
        <v>1</v>
      </c>
      <c r="M569" s="7" t="n">
        <v>0</v>
      </c>
      <c r="N569" s="7" t="n">
        <v>1</v>
      </c>
      <c r="O569" s="7" t="n">
        <v>7</v>
      </c>
      <c r="P569" s="7" t="n">
        <v>0</v>
      </c>
      <c r="Q569" s="7" t="n">
        <v>0</v>
      </c>
      <c r="R569" s="7" t="n">
        <v>0</v>
      </c>
    </row>
    <row r="570" customFormat="false" ht="15" hidden="false" customHeight="true" outlineLevel="0" collapsed="false">
      <c r="A570" s="7" t="n">
        <v>7162</v>
      </c>
      <c r="B570" s="7" t="s">
        <v>46</v>
      </c>
      <c r="C570" s="7" t="s">
        <v>46</v>
      </c>
      <c r="D570" s="7" t="s">
        <v>603</v>
      </c>
      <c r="E570" s="7" t="s">
        <v>125</v>
      </c>
      <c r="F570" s="7" t="n">
        <v>31</v>
      </c>
      <c r="G570" s="7" t="n">
        <v>6</v>
      </c>
      <c r="H570" s="7" t="n">
        <v>6.45</v>
      </c>
      <c r="I570" s="7" t="n">
        <v>3</v>
      </c>
      <c r="J570" s="7" t="n">
        <v>0</v>
      </c>
      <c r="K570" s="7" t="n">
        <v>0</v>
      </c>
      <c r="L570" s="7" t="n">
        <v>0</v>
      </c>
      <c r="M570" s="7" t="n">
        <v>0</v>
      </c>
      <c r="N570" s="7" t="n">
        <v>0</v>
      </c>
      <c r="O570" s="7" t="n">
        <v>6</v>
      </c>
      <c r="P570" s="7" t="n">
        <v>2</v>
      </c>
      <c r="Q570" s="7" t="n">
        <v>0</v>
      </c>
      <c r="R570" s="7" t="n">
        <v>0</v>
      </c>
    </row>
    <row r="571" customFormat="false" ht="15" hidden="false" customHeight="true" outlineLevel="0" collapsed="false">
      <c r="A571" s="7" t="n">
        <v>7199</v>
      </c>
      <c r="B571" s="7" t="s">
        <v>46</v>
      </c>
      <c r="C571" s="7" t="s">
        <v>46</v>
      </c>
      <c r="D571" s="7" t="s">
        <v>1000</v>
      </c>
      <c r="E571" s="7" t="s">
        <v>129</v>
      </c>
      <c r="F571" s="7" t="n">
        <v>16</v>
      </c>
      <c r="G571" s="7" t="n">
        <v>6.03</v>
      </c>
      <c r="H571" s="7" t="n">
        <v>6.78</v>
      </c>
      <c r="I571" s="7" t="n">
        <v>4</v>
      </c>
      <c r="J571" s="7" t="n">
        <v>0</v>
      </c>
      <c r="K571" s="7" t="n">
        <v>0</v>
      </c>
      <c r="L571" s="7" t="n">
        <v>0</v>
      </c>
      <c r="M571" s="7" t="n">
        <v>0</v>
      </c>
      <c r="N571" s="7" t="n">
        <v>0</v>
      </c>
      <c r="O571" s="7" t="n">
        <v>0</v>
      </c>
      <c r="P571" s="7" t="n">
        <v>1</v>
      </c>
      <c r="Q571" s="7" t="n">
        <v>0</v>
      </c>
      <c r="R571" s="7" t="n">
        <v>0</v>
      </c>
    </row>
    <row r="572" customFormat="false" ht="15" hidden="false" customHeight="true" outlineLevel="0" collapsed="false">
      <c r="A572" s="7" t="n">
        <v>4436</v>
      </c>
      <c r="B572" s="7" t="s">
        <v>46</v>
      </c>
      <c r="C572" s="7" t="s">
        <v>46</v>
      </c>
      <c r="D572" s="7" t="s">
        <v>408</v>
      </c>
      <c r="E572" s="7" t="s">
        <v>127</v>
      </c>
      <c r="F572" s="7" t="n">
        <v>24</v>
      </c>
      <c r="G572" s="7" t="n">
        <v>5.98</v>
      </c>
      <c r="H572" s="7" t="n">
        <v>6.42</v>
      </c>
      <c r="I572" s="7" t="n">
        <v>3</v>
      </c>
      <c r="J572" s="7" t="n">
        <v>0</v>
      </c>
      <c r="K572" s="7" t="n">
        <v>0</v>
      </c>
      <c r="L572" s="7" t="n">
        <v>0</v>
      </c>
      <c r="M572" s="7" t="n">
        <v>0</v>
      </c>
      <c r="N572" s="7" t="n">
        <v>0</v>
      </c>
      <c r="O572" s="7" t="n">
        <v>4</v>
      </c>
      <c r="P572" s="7" t="n">
        <v>3</v>
      </c>
      <c r="Q572" s="7" t="n">
        <v>1</v>
      </c>
      <c r="R572" s="7" t="n">
        <v>0</v>
      </c>
    </row>
    <row r="573" customFormat="false" ht="15" hidden="false" customHeight="true" outlineLevel="0" collapsed="false">
      <c r="A573" s="7" t="n">
        <v>6967</v>
      </c>
      <c r="B573" s="7" t="s">
        <v>46</v>
      </c>
      <c r="C573" s="7" t="s">
        <v>901</v>
      </c>
      <c r="D573" s="7" t="s">
        <v>567</v>
      </c>
      <c r="E573" s="7" t="s">
        <v>119</v>
      </c>
      <c r="F573" s="7" t="n">
        <v>16</v>
      </c>
      <c r="G573" s="7" t="n">
        <v>6</v>
      </c>
      <c r="H573" s="7" t="n">
        <v>6.38</v>
      </c>
      <c r="I573" s="7" t="n">
        <v>2</v>
      </c>
      <c r="J573" s="7" t="n">
        <v>0</v>
      </c>
      <c r="K573" s="7" t="n">
        <v>0</v>
      </c>
      <c r="L573" s="7" t="n">
        <v>0</v>
      </c>
      <c r="M573" s="7" t="n">
        <v>0</v>
      </c>
      <c r="N573" s="7" t="n">
        <v>0</v>
      </c>
      <c r="O573" s="7" t="n">
        <v>1</v>
      </c>
      <c r="P573" s="7" t="n">
        <v>2</v>
      </c>
      <c r="Q573" s="7" t="n">
        <v>0</v>
      </c>
      <c r="R573" s="7" t="n">
        <v>0</v>
      </c>
    </row>
    <row r="574" customFormat="false" ht="15" hidden="false" customHeight="true" outlineLevel="0" collapsed="false">
      <c r="A574" s="7" t="n">
        <v>5506</v>
      </c>
      <c r="B574" s="7" t="s">
        <v>46</v>
      </c>
      <c r="C574" s="7" t="s">
        <v>46</v>
      </c>
      <c r="D574" s="7" t="s">
        <v>1001</v>
      </c>
      <c r="E574" s="7" t="s">
        <v>137</v>
      </c>
      <c r="F574" s="7" t="n">
        <v>28</v>
      </c>
      <c r="G574" s="7" t="n">
        <v>5.96</v>
      </c>
      <c r="H574" s="7" t="n">
        <v>6.43</v>
      </c>
      <c r="I574" s="7" t="n">
        <v>4</v>
      </c>
      <c r="J574" s="7" t="n">
        <v>0</v>
      </c>
      <c r="K574" s="7" t="n">
        <v>0</v>
      </c>
      <c r="L574" s="7" t="n">
        <v>0</v>
      </c>
      <c r="M574" s="7" t="n">
        <v>0</v>
      </c>
      <c r="N574" s="7" t="n">
        <v>0</v>
      </c>
      <c r="O574" s="7" t="n">
        <v>1</v>
      </c>
      <c r="P574" s="7" t="n">
        <v>0</v>
      </c>
      <c r="Q574" s="7" t="n">
        <v>0</v>
      </c>
      <c r="R574" s="7" t="n">
        <v>0</v>
      </c>
    </row>
    <row r="575" customFormat="false" ht="15" hidden="false" customHeight="true" outlineLevel="0" collapsed="false">
      <c r="A575" s="7" t="n">
        <v>7008</v>
      </c>
      <c r="B575" s="7" t="s">
        <v>46</v>
      </c>
      <c r="C575" s="7" t="s">
        <v>989</v>
      </c>
      <c r="D575" s="7" t="s">
        <v>591</v>
      </c>
      <c r="E575" s="7" t="s">
        <v>121</v>
      </c>
      <c r="F575" s="7" t="n">
        <v>15</v>
      </c>
      <c r="G575" s="7" t="n">
        <v>5.5</v>
      </c>
      <c r="H575" s="7" t="n">
        <v>5.53</v>
      </c>
      <c r="I575" s="7" t="n">
        <v>0</v>
      </c>
      <c r="J575" s="7" t="n">
        <v>0</v>
      </c>
      <c r="K575" s="7" t="n">
        <v>0</v>
      </c>
      <c r="L575" s="7" t="n">
        <v>0</v>
      </c>
      <c r="M575" s="7" t="n">
        <v>0</v>
      </c>
      <c r="N575" s="7" t="n">
        <v>0</v>
      </c>
      <c r="O575" s="7" t="n">
        <v>1</v>
      </c>
      <c r="P575" s="7" t="n">
        <v>2</v>
      </c>
      <c r="Q575" s="7" t="n">
        <v>0</v>
      </c>
      <c r="R575" s="7" t="n">
        <v>0</v>
      </c>
    </row>
    <row r="576" customFormat="false" ht="15" hidden="false" customHeight="true" outlineLevel="0" collapsed="false">
      <c r="A576" s="7" t="n">
        <v>6243</v>
      </c>
      <c r="B576" s="7" t="s">
        <v>46</v>
      </c>
      <c r="C576" s="7" t="s">
        <v>989</v>
      </c>
      <c r="D576" s="7" t="s">
        <v>598</v>
      </c>
      <c r="E576" s="7" t="s">
        <v>129</v>
      </c>
      <c r="F576" s="7" t="n">
        <v>26</v>
      </c>
      <c r="G576" s="7" t="n">
        <v>5.92</v>
      </c>
      <c r="H576" s="7" t="n">
        <v>6.46</v>
      </c>
      <c r="I576" s="7" t="n">
        <v>5</v>
      </c>
      <c r="J576" s="7" t="n">
        <v>0</v>
      </c>
      <c r="K576" s="7" t="n">
        <v>0</v>
      </c>
      <c r="L576" s="7" t="n">
        <v>0</v>
      </c>
      <c r="M576" s="7" t="n">
        <v>0</v>
      </c>
      <c r="N576" s="7" t="n">
        <v>0</v>
      </c>
      <c r="O576" s="7" t="n">
        <v>1</v>
      </c>
      <c r="P576" s="7" t="n">
        <v>4</v>
      </c>
      <c r="Q576" s="7" t="n">
        <v>0</v>
      </c>
      <c r="R576" s="7" t="n">
        <v>0</v>
      </c>
    </row>
    <row r="577" customFormat="false" ht="15" hidden="false" customHeight="true" outlineLevel="0" collapsed="false">
      <c r="A577" s="7" t="n">
        <v>4179</v>
      </c>
      <c r="B577" s="7" t="s">
        <v>46</v>
      </c>
      <c r="C577" s="7" t="s">
        <v>901</v>
      </c>
      <c r="D577" s="7" t="s">
        <v>1002</v>
      </c>
      <c r="E577" s="7" t="s">
        <v>131</v>
      </c>
      <c r="F577" s="7" t="n">
        <v>0</v>
      </c>
      <c r="G577" s="7" t="n">
        <v>0</v>
      </c>
      <c r="H577" s="7" t="n">
        <v>0</v>
      </c>
      <c r="I577" s="7" t="n">
        <v>0</v>
      </c>
      <c r="J577" s="7" t="n">
        <v>0</v>
      </c>
      <c r="K577" s="7" t="n">
        <v>0</v>
      </c>
      <c r="L577" s="7" t="n">
        <v>0</v>
      </c>
      <c r="M577" s="7" t="n">
        <v>0</v>
      </c>
      <c r="N577" s="7" t="n">
        <v>0</v>
      </c>
      <c r="O577" s="7" t="n">
        <v>0</v>
      </c>
      <c r="P577" s="7" t="n">
        <v>0</v>
      </c>
      <c r="Q577" s="7" t="n">
        <v>0</v>
      </c>
      <c r="R577" s="7" t="n">
        <v>0</v>
      </c>
    </row>
    <row r="578" customFormat="false" ht="15" hidden="false" customHeight="true" outlineLevel="0" collapsed="false">
      <c r="A578" s="7" t="n">
        <v>5500</v>
      </c>
      <c r="B578" s="7" t="s">
        <v>46</v>
      </c>
      <c r="C578" s="7" t="s">
        <v>901</v>
      </c>
      <c r="D578" s="7" t="s">
        <v>404</v>
      </c>
      <c r="E578" s="7" t="s">
        <v>133</v>
      </c>
      <c r="F578" s="7" t="n">
        <v>28</v>
      </c>
      <c r="G578" s="7" t="n">
        <v>5.93</v>
      </c>
      <c r="H578" s="7" t="n">
        <v>6.29</v>
      </c>
      <c r="I578" s="7" t="n">
        <v>4</v>
      </c>
      <c r="J578" s="7" t="n">
        <v>0</v>
      </c>
      <c r="K578" s="7" t="n">
        <v>0</v>
      </c>
      <c r="L578" s="7" t="n">
        <v>0</v>
      </c>
      <c r="M578" s="7" t="n">
        <v>0</v>
      </c>
      <c r="N578" s="7" t="n">
        <v>0</v>
      </c>
      <c r="O578" s="7" t="n">
        <v>1</v>
      </c>
      <c r="P578" s="7" t="n">
        <v>6</v>
      </c>
      <c r="Q578" s="7" t="n">
        <v>0</v>
      </c>
      <c r="R578" s="7" t="n">
        <v>0</v>
      </c>
    </row>
    <row r="579" customFormat="false" ht="15" hidden="false" customHeight="true" outlineLevel="0" collapsed="false">
      <c r="A579" s="7" t="n">
        <v>6439</v>
      </c>
      <c r="B579" s="7" t="s">
        <v>46</v>
      </c>
      <c r="C579" s="7" t="s">
        <v>989</v>
      </c>
      <c r="D579" s="7" t="s">
        <v>1003</v>
      </c>
      <c r="E579" s="7" t="s">
        <v>139</v>
      </c>
      <c r="F579" s="7" t="n">
        <v>24</v>
      </c>
      <c r="G579" s="7" t="n">
        <v>5.81</v>
      </c>
      <c r="H579" s="7" t="n">
        <v>6.31</v>
      </c>
      <c r="I579" s="7" t="n">
        <v>4</v>
      </c>
      <c r="J579" s="7" t="n">
        <v>0</v>
      </c>
      <c r="K579" s="7" t="n">
        <v>0</v>
      </c>
      <c r="L579" s="7" t="n">
        <v>0</v>
      </c>
      <c r="M579" s="7" t="n">
        <v>0</v>
      </c>
      <c r="N579" s="7" t="n">
        <v>0</v>
      </c>
      <c r="O579" s="7" t="n">
        <v>1</v>
      </c>
      <c r="P579" s="7" t="n">
        <v>3</v>
      </c>
      <c r="Q579" s="7" t="n">
        <v>0</v>
      </c>
      <c r="R579" s="7" t="n">
        <v>0</v>
      </c>
    </row>
    <row r="580" customFormat="false" ht="15" hidden="false" customHeight="true" outlineLevel="0" collapsed="false">
      <c r="A580" s="7" t="n">
        <v>2832</v>
      </c>
      <c r="B580" s="7" t="s">
        <v>46</v>
      </c>
      <c r="C580" s="7" t="s">
        <v>901</v>
      </c>
      <c r="D580" s="7" t="s">
        <v>589</v>
      </c>
      <c r="E580" s="7" t="s">
        <v>131</v>
      </c>
      <c r="F580" s="7" t="n">
        <v>13</v>
      </c>
      <c r="G580" s="7" t="n">
        <v>6.19</v>
      </c>
      <c r="H580" s="7" t="n">
        <v>7.15</v>
      </c>
      <c r="I580" s="7" t="n">
        <v>4</v>
      </c>
      <c r="J580" s="7" t="n">
        <v>0</v>
      </c>
      <c r="K580" s="7" t="n">
        <v>0</v>
      </c>
      <c r="L580" s="7" t="n">
        <v>0</v>
      </c>
      <c r="M580" s="7" t="n">
        <v>0</v>
      </c>
      <c r="N580" s="7" t="n">
        <v>0</v>
      </c>
      <c r="O580" s="7" t="n">
        <v>1</v>
      </c>
      <c r="P580" s="7" t="n">
        <v>1</v>
      </c>
      <c r="Q580" s="7" t="n">
        <v>0</v>
      </c>
      <c r="R580" s="7" t="n">
        <v>0</v>
      </c>
    </row>
    <row r="581" customFormat="false" ht="15" hidden="false" customHeight="true" outlineLevel="0" collapsed="false">
      <c r="A581" s="7" t="n">
        <v>5515</v>
      </c>
      <c r="B581" s="7" t="s">
        <v>46</v>
      </c>
      <c r="C581" s="7" t="s">
        <v>46</v>
      </c>
      <c r="D581" s="7" t="s">
        <v>1004</v>
      </c>
      <c r="E581" s="7" t="s">
        <v>750</v>
      </c>
      <c r="F581" s="7" t="n">
        <v>10</v>
      </c>
      <c r="G581" s="7" t="n">
        <v>5.9</v>
      </c>
      <c r="H581" s="7" t="n">
        <v>6.5</v>
      </c>
      <c r="I581" s="7" t="n">
        <v>2</v>
      </c>
      <c r="J581" s="7" t="n">
        <v>0</v>
      </c>
      <c r="K581" s="7" t="n">
        <v>0</v>
      </c>
      <c r="L581" s="7" t="n">
        <v>0</v>
      </c>
      <c r="M581" s="7" t="n">
        <v>0</v>
      </c>
      <c r="N581" s="7" t="n">
        <v>0</v>
      </c>
      <c r="O581" s="7" t="n">
        <v>0</v>
      </c>
      <c r="P581" s="7" t="n">
        <v>0</v>
      </c>
      <c r="Q581" s="7" t="n">
        <v>0</v>
      </c>
      <c r="R581" s="7" t="n">
        <v>0</v>
      </c>
    </row>
    <row r="582" customFormat="false" ht="15" hidden="false" customHeight="true" outlineLevel="0" collapsed="false">
      <c r="A582" s="7" t="n">
        <v>6822</v>
      </c>
      <c r="B582" s="7" t="s">
        <v>46</v>
      </c>
      <c r="C582" s="7" t="s">
        <v>46</v>
      </c>
      <c r="D582" s="7" t="s">
        <v>607</v>
      </c>
      <c r="E582" s="7" t="s">
        <v>137</v>
      </c>
      <c r="F582" s="7" t="n">
        <v>25</v>
      </c>
      <c r="G582" s="7" t="n">
        <v>5.96</v>
      </c>
      <c r="H582" s="7" t="n">
        <v>6.28</v>
      </c>
      <c r="I582" s="7" t="n">
        <v>3</v>
      </c>
      <c r="J582" s="7" t="n">
        <v>0</v>
      </c>
      <c r="K582" s="7" t="n">
        <v>0</v>
      </c>
      <c r="L582" s="7" t="n">
        <v>0</v>
      </c>
      <c r="M582" s="7" t="n">
        <v>0</v>
      </c>
      <c r="N582" s="7" t="n">
        <v>0</v>
      </c>
      <c r="O582" s="7" t="n">
        <v>0</v>
      </c>
      <c r="P582" s="7" t="n">
        <v>3</v>
      </c>
      <c r="Q582" s="7" t="n">
        <v>0</v>
      </c>
      <c r="R582" s="7" t="n">
        <v>0</v>
      </c>
    </row>
    <row r="583" customFormat="false" ht="15" hidden="false" customHeight="true" outlineLevel="0" collapsed="false">
      <c r="A583" s="7" t="n">
        <v>6675</v>
      </c>
      <c r="B583" s="7" t="s">
        <v>46</v>
      </c>
      <c r="C583" s="7" t="s">
        <v>989</v>
      </c>
      <c r="D583" s="7" t="s">
        <v>553</v>
      </c>
      <c r="E583" s="7" t="s">
        <v>113</v>
      </c>
      <c r="F583" s="7" t="n">
        <v>13</v>
      </c>
      <c r="G583" s="7" t="n">
        <v>6</v>
      </c>
      <c r="H583" s="7" t="n">
        <v>6.77</v>
      </c>
      <c r="I583" s="7" t="n">
        <v>3</v>
      </c>
      <c r="J583" s="7" t="n">
        <v>0</v>
      </c>
      <c r="K583" s="7" t="n">
        <v>0</v>
      </c>
      <c r="L583" s="7" t="n">
        <v>0</v>
      </c>
      <c r="M583" s="7" t="n">
        <v>0</v>
      </c>
      <c r="N583" s="7" t="n">
        <v>0</v>
      </c>
      <c r="O583" s="7" t="n">
        <v>1</v>
      </c>
      <c r="P583" s="7" t="n">
        <v>0</v>
      </c>
      <c r="Q583" s="7" t="n">
        <v>0</v>
      </c>
      <c r="R583" s="7" t="n">
        <v>0</v>
      </c>
    </row>
    <row r="584" customFormat="false" ht="15" hidden="false" customHeight="true" outlineLevel="0" collapsed="false">
      <c r="A584" s="7" t="n">
        <v>6365</v>
      </c>
      <c r="B584" s="7" t="s">
        <v>46</v>
      </c>
      <c r="C584" s="7" t="s">
        <v>989</v>
      </c>
      <c r="D584" s="7" t="s">
        <v>1005</v>
      </c>
      <c r="E584" s="7" t="s">
        <v>113</v>
      </c>
      <c r="F584" s="7" t="n">
        <v>14</v>
      </c>
      <c r="G584" s="7" t="n">
        <v>6.11</v>
      </c>
      <c r="H584" s="7" t="n">
        <v>6.86</v>
      </c>
      <c r="I584" s="7" t="n">
        <v>3</v>
      </c>
      <c r="J584" s="7" t="n">
        <v>0</v>
      </c>
      <c r="K584" s="7" t="n">
        <v>0</v>
      </c>
      <c r="L584" s="7" t="n">
        <v>0</v>
      </c>
      <c r="M584" s="7" t="n">
        <v>0</v>
      </c>
      <c r="N584" s="7" t="n">
        <v>0</v>
      </c>
      <c r="O584" s="7" t="n">
        <v>2</v>
      </c>
      <c r="P584" s="7" t="n">
        <v>1</v>
      </c>
      <c r="Q584" s="7" t="n">
        <v>0</v>
      </c>
      <c r="R584" s="7" t="n">
        <v>0</v>
      </c>
    </row>
    <row r="585" customFormat="false" ht="15" hidden="false" customHeight="true" outlineLevel="0" collapsed="false">
      <c r="A585" s="7" t="n">
        <v>5336</v>
      </c>
      <c r="B585" s="7" t="s">
        <v>46</v>
      </c>
      <c r="C585" s="7" t="s">
        <v>989</v>
      </c>
      <c r="D585" s="7" t="s">
        <v>1006</v>
      </c>
      <c r="E585" s="7" t="s">
        <v>144</v>
      </c>
      <c r="F585" s="7" t="n">
        <v>27</v>
      </c>
      <c r="G585" s="7" t="n">
        <v>5.96</v>
      </c>
      <c r="H585" s="7" t="n">
        <v>6.26</v>
      </c>
      <c r="I585" s="7" t="n">
        <v>4</v>
      </c>
      <c r="J585" s="7" t="n">
        <v>0</v>
      </c>
      <c r="K585" s="7" t="n">
        <v>0</v>
      </c>
      <c r="L585" s="7" t="n">
        <v>3</v>
      </c>
      <c r="M585" s="7" t="n">
        <v>2</v>
      </c>
      <c r="N585" s="7" t="n">
        <v>1</v>
      </c>
      <c r="O585" s="7" t="n">
        <v>1</v>
      </c>
      <c r="P585" s="7" t="n">
        <v>2</v>
      </c>
      <c r="Q585" s="7" t="n">
        <v>1</v>
      </c>
      <c r="R585" s="7" t="n">
        <v>0</v>
      </c>
    </row>
    <row r="586" customFormat="false" ht="15" hidden="false" customHeight="true" outlineLevel="0" collapsed="false">
      <c r="A586" s="7" t="n">
        <v>2678</v>
      </c>
      <c r="B586" s="7" t="s">
        <v>46</v>
      </c>
      <c r="C586" s="7" t="s">
        <v>989</v>
      </c>
      <c r="D586" s="7" t="s">
        <v>1007</v>
      </c>
      <c r="E586" s="7" t="s">
        <v>121</v>
      </c>
      <c r="F586" s="7" t="n">
        <v>19</v>
      </c>
      <c r="G586" s="7" t="n">
        <v>5.76</v>
      </c>
      <c r="H586" s="7" t="n">
        <v>5.76</v>
      </c>
      <c r="I586" s="7" t="n">
        <v>1</v>
      </c>
      <c r="J586" s="7" t="n">
        <v>0</v>
      </c>
      <c r="K586" s="7" t="n">
        <v>0</v>
      </c>
      <c r="L586" s="7" t="n">
        <v>1</v>
      </c>
      <c r="M586" s="7" t="n">
        <v>0</v>
      </c>
      <c r="N586" s="7" t="n">
        <v>1</v>
      </c>
      <c r="O586" s="7" t="n">
        <v>0</v>
      </c>
      <c r="P586" s="7" t="n">
        <v>0</v>
      </c>
      <c r="Q586" s="7" t="n">
        <v>0</v>
      </c>
      <c r="R586" s="7" t="n">
        <v>0</v>
      </c>
    </row>
    <row r="587" customFormat="false" ht="15" hidden="false" customHeight="true" outlineLevel="0" collapsed="false">
      <c r="A587" s="7" t="n">
        <v>7316</v>
      </c>
      <c r="B587" s="7" t="s">
        <v>46</v>
      </c>
      <c r="C587" s="7" t="s">
        <v>989</v>
      </c>
      <c r="D587" s="7" t="s">
        <v>1008</v>
      </c>
      <c r="E587" s="7" t="s">
        <v>755</v>
      </c>
      <c r="F587" s="7" t="n">
        <v>10</v>
      </c>
      <c r="G587" s="7" t="n">
        <v>5.7</v>
      </c>
      <c r="H587" s="7" t="n">
        <v>6</v>
      </c>
      <c r="I587" s="7" t="n">
        <v>1</v>
      </c>
      <c r="J587" s="7" t="n">
        <v>0</v>
      </c>
      <c r="K587" s="7" t="n">
        <v>0</v>
      </c>
      <c r="L587" s="7" t="n">
        <v>0</v>
      </c>
      <c r="M587" s="7" t="n">
        <v>0</v>
      </c>
      <c r="N587" s="7" t="n">
        <v>0</v>
      </c>
      <c r="O587" s="7" t="n">
        <v>1</v>
      </c>
      <c r="P587" s="7" t="n">
        <v>1</v>
      </c>
      <c r="Q587" s="7" t="n">
        <v>1</v>
      </c>
      <c r="R587" s="7" t="n">
        <v>0</v>
      </c>
    </row>
    <row r="588" customFormat="false" ht="15" hidden="false" customHeight="true" outlineLevel="0" collapsed="false">
      <c r="A588" s="7" t="n">
        <v>7347</v>
      </c>
      <c r="B588" s="7" t="s">
        <v>46</v>
      </c>
      <c r="C588" s="7" t="s">
        <v>46</v>
      </c>
      <c r="D588" s="7" t="s">
        <v>572</v>
      </c>
      <c r="E588" s="7" t="s">
        <v>752</v>
      </c>
      <c r="F588" s="7" t="n">
        <v>14</v>
      </c>
      <c r="G588" s="7" t="n">
        <v>5.96</v>
      </c>
      <c r="H588" s="7" t="n">
        <v>6.79</v>
      </c>
      <c r="I588" s="7" t="n">
        <v>4</v>
      </c>
      <c r="J588" s="7" t="n">
        <v>0</v>
      </c>
      <c r="K588" s="7" t="n">
        <v>0</v>
      </c>
      <c r="L588" s="7" t="n">
        <v>0</v>
      </c>
      <c r="M588" s="7" t="n">
        <v>0</v>
      </c>
      <c r="N588" s="7" t="n">
        <v>0</v>
      </c>
      <c r="O588" s="7" t="n">
        <v>0</v>
      </c>
      <c r="P588" s="7" t="n">
        <v>1</v>
      </c>
      <c r="Q588" s="7" t="n">
        <v>0</v>
      </c>
      <c r="R588" s="7" t="n">
        <v>0</v>
      </c>
    </row>
    <row r="589" customFormat="false" ht="15" hidden="false" customHeight="true" outlineLevel="0" collapsed="false">
      <c r="A589" s="7" t="n">
        <v>5918</v>
      </c>
      <c r="B589" s="7" t="s">
        <v>46</v>
      </c>
      <c r="C589" s="7" t="s">
        <v>46</v>
      </c>
      <c r="D589" s="7" t="s">
        <v>587</v>
      </c>
      <c r="E589" s="7" t="s">
        <v>117</v>
      </c>
      <c r="F589" s="7" t="n">
        <v>21</v>
      </c>
      <c r="G589" s="7" t="n">
        <v>6</v>
      </c>
      <c r="H589" s="7" t="n">
        <v>6.24</v>
      </c>
      <c r="I589" s="7" t="n">
        <v>2</v>
      </c>
      <c r="J589" s="7" t="n">
        <v>0</v>
      </c>
      <c r="K589" s="7" t="n">
        <v>0</v>
      </c>
      <c r="L589" s="7" t="n">
        <v>0</v>
      </c>
      <c r="M589" s="7" t="n">
        <v>0</v>
      </c>
      <c r="N589" s="7" t="n">
        <v>0</v>
      </c>
      <c r="O589" s="7" t="n">
        <v>1</v>
      </c>
      <c r="P589" s="7" t="n">
        <v>4</v>
      </c>
      <c r="Q589" s="7" t="n">
        <v>0</v>
      </c>
      <c r="R589" s="7" t="n">
        <v>0</v>
      </c>
    </row>
    <row r="590" customFormat="false" ht="15" hidden="false" customHeight="true" outlineLevel="0" collapsed="false">
      <c r="A590" s="7" t="n">
        <v>4359</v>
      </c>
      <c r="B590" s="7" t="s">
        <v>46</v>
      </c>
      <c r="C590" s="7" t="s">
        <v>989</v>
      </c>
      <c r="D590" s="7" t="s">
        <v>579</v>
      </c>
      <c r="E590" s="7" t="s">
        <v>123</v>
      </c>
      <c r="F590" s="7" t="n">
        <v>27</v>
      </c>
      <c r="G590" s="7" t="n">
        <v>5.78</v>
      </c>
      <c r="H590" s="7" t="n">
        <v>6.24</v>
      </c>
      <c r="I590" s="7" t="n">
        <v>4</v>
      </c>
      <c r="J590" s="7" t="n">
        <v>0</v>
      </c>
      <c r="K590" s="7" t="n">
        <v>0</v>
      </c>
      <c r="L590" s="7" t="n">
        <v>0</v>
      </c>
      <c r="M590" s="7" t="n">
        <v>0</v>
      </c>
      <c r="N590" s="7" t="n">
        <v>0</v>
      </c>
      <c r="O590" s="7" t="n">
        <v>1</v>
      </c>
      <c r="P590" s="7" t="n">
        <v>1</v>
      </c>
      <c r="Q590" s="7" t="n">
        <v>0</v>
      </c>
      <c r="R590" s="7" t="n">
        <v>0</v>
      </c>
    </row>
    <row r="591" customFormat="false" ht="15" hidden="false" customHeight="true" outlineLevel="0" collapsed="false">
      <c r="A591" s="7" t="n">
        <v>6145</v>
      </c>
      <c r="B591" s="7" t="s">
        <v>46</v>
      </c>
      <c r="C591" s="7" t="s">
        <v>46</v>
      </c>
      <c r="D591" s="7" t="s">
        <v>1009</v>
      </c>
      <c r="E591" s="7" t="s">
        <v>184</v>
      </c>
      <c r="F591" s="7" t="n">
        <v>17</v>
      </c>
      <c r="G591" s="7" t="n">
        <v>5.82</v>
      </c>
      <c r="H591" s="7" t="n">
        <v>6</v>
      </c>
      <c r="I591" s="7" t="n">
        <v>1</v>
      </c>
      <c r="J591" s="7" t="n">
        <v>0</v>
      </c>
      <c r="K591" s="7" t="n">
        <v>0</v>
      </c>
      <c r="L591" s="7" t="n">
        <v>0</v>
      </c>
      <c r="M591" s="7" t="n">
        <v>0</v>
      </c>
      <c r="N591" s="7" t="n">
        <v>0</v>
      </c>
      <c r="O591" s="7" t="n">
        <v>1</v>
      </c>
      <c r="P591" s="7" t="n">
        <v>2</v>
      </c>
      <c r="Q591" s="7" t="n">
        <v>0</v>
      </c>
      <c r="R591" s="7" t="n">
        <v>0</v>
      </c>
    </row>
    <row r="592" customFormat="false" ht="15" hidden="false" customHeight="true" outlineLevel="0" collapsed="false">
      <c r="A592" s="7" t="n">
        <v>7313</v>
      </c>
      <c r="B592" s="7" t="s">
        <v>46</v>
      </c>
      <c r="C592" s="7" t="s">
        <v>989</v>
      </c>
      <c r="D592" s="7" t="s">
        <v>570</v>
      </c>
      <c r="E592" s="7" t="s">
        <v>133</v>
      </c>
      <c r="F592" s="7" t="n">
        <v>7</v>
      </c>
      <c r="G592" s="7" t="n">
        <v>5.64</v>
      </c>
      <c r="H592" s="7" t="n">
        <v>5.64</v>
      </c>
      <c r="I592" s="7" t="n">
        <v>0</v>
      </c>
      <c r="J592" s="7" t="n">
        <v>0</v>
      </c>
      <c r="K592" s="7" t="n">
        <v>0</v>
      </c>
      <c r="L592" s="7" t="n">
        <v>0</v>
      </c>
      <c r="M592" s="7" t="n">
        <v>0</v>
      </c>
      <c r="N592" s="7" t="n">
        <v>0</v>
      </c>
      <c r="O592" s="7" t="n">
        <v>0</v>
      </c>
      <c r="P592" s="7" t="n">
        <v>0</v>
      </c>
      <c r="Q592" s="7" t="n">
        <v>0</v>
      </c>
      <c r="R592" s="7" t="n">
        <v>0</v>
      </c>
    </row>
    <row r="593" customFormat="false" ht="15" hidden="false" customHeight="true" outlineLevel="0" collapsed="false">
      <c r="A593" s="7" t="n">
        <v>6667</v>
      </c>
      <c r="B593" s="7" t="s">
        <v>46</v>
      </c>
      <c r="C593" s="7" t="s">
        <v>46</v>
      </c>
      <c r="D593" s="7" t="s">
        <v>1010</v>
      </c>
      <c r="E593" s="7" t="s">
        <v>141</v>
      </c>
      <c r="F593" s="7" t="n">
        <v>10</v>
      </c>
      <c r="G593" s="7" t="n">
        <v>5.95</v>
      </c>
      <c r="H593" s="7" t="n">
        <v>6.3</v>
      </c>
      <c r="I593" s="7" t="n">
        <v>1</v>
      </c>
      <c r="J593" s="7" t="n">
        <v>0</v>
      </c>
      <c r="K593" s="7" t="n">
        <v>0</v>
      </c>
      <c r="L593" s="7" t="n">
        <v>1</v>
      </c>
      <c r="M593" s="7" t="n">
        <v>1</v>
      </c>
      <c r="N593" s="7" t="n">
        <v>0</v>
      </c>
      <c r="O593" s="7" t="n">
        <v>1</v>
      </c>
      <c r="P593" s="7" t="n">
        <v>1</v>
      </c>
      <c r="Q593" s="7" t="n">
        <v>0</v>
      </c>
      <c r="R593" s="7" t="n">
        <v>0</v>
      </c>
    </row>
    <row r="594" customFormat="false" ht="15" hidden="false" customHeight="true" outlineLevel="0" collapsed="false">
      <c r="A594" s="7" t="n">
        <v>608</v>
      </c>
      <c r="B594" s="7" t="s">
        <v>46</v>
      </c>
      <c r="C594" s="7" t="s">
        <v>989</v>
      </c>
      <c r="D594" s="7" t="s">
        <v>586</v>
      </c>
      <c r="E594" s="7" t="s">
        <v>184</v>
      </c>
      <c r="F594" s="7" t="n">
        <v>23</v>
      </c>
      <c r="G594" s="7" t="n">
        <v>5.83</v>
      </c>
      <c r="H594" s="7" t="n">
        <v>6.13</v>
      </c>
      <c r="I594" s="7" t="n">
        <v>3</v>
      </c>
      <c r="J594" s="7" t="n">
        <v>0</v>
      </c>
      <c r="K594" s="7" t="n">
        <v>0</v>
      </c>
      <c r="L594" s="7" t="n">
        <v>1</v>
      </c>
      <c r="M594" s="7" t="n">
        <v>0</v>
      </c>
      <c r="N594" s="7" t="n">
        <v>1</v>
      </c>
      <c r="O594" s="7" t="n">
        <v>1</v>
      </c>
      <c r="P594" s="7" t="n">
        <v>0</v>
      </c>
      <c r="Q594" s="7" t="n">
        <v>0</v>
      </c>
      <c r="R594" s="7" t="n">
        <v>0</v>
      </c>
    </row>
    <row r="595" customFormat="false" ht="15" hidden="false" customHeight="true" outlineLevel="0" collapsed="false">
      <c r="A595" s="7" t="n">
        <v>7252</v>
      </c>
      <c r="B595" s="7" t="s">
        <v>46</v>
      </c>
      <c r="C595" s="7" t="s">
        <v>989</v>
      </c>
      <c r="D595" s="7" t="s">
        <v>585</v>
      </c>
      <c r="E595" s="7" t="s">
        <v>139</v>
      </c>
      <c r="F595" s="7" t="n">
        <v>30</v>
      </c>
      <c r="G595" s="7" t="n">
        <v>5.73</v>
      </c>
      <c r="H595" s="7" t="n">
        <v>6.12</v>
      </c>
      <c r="I595" s="7" t="n">
        <v>4</v>
      </c>
      <c r="J595" s="7" t="n">
        <v>0</v>
      </c>
      <c r="K595" s="7" t="n">
        <v>0</v>
      </c>
      <c r="L595" s="7" t="n">
        <v>1</v>
      </c>
      <c r="M595" s="7" t="n">
        <v>1</v>
      </c>
      <c r="N595" s="7" t="n">
        <v>0</v>
      </c>
      <c r="O595" s="7" t="n">
        <v>0</v>
      </c>
      <c r="P595" s="7" t="n">
        <v>1</v>
      </c>
      <c r="Q595" s="7" t="n">
        <v>0</v>
      </c>
      <c r="R595" s="7" t="n">
        <v>0</v>
      </c>
    </row>
    <row r="596" customFormat="false" ht="15" hidden="false" customHeight="true" outlineLevel="0" collapsed="false">
      <c r="A596" s="7" t="n">
        <v>6380</v>
      </c>
      <c r="B596" s="7" t="s">
        <v>46</v>
      </c>
      <c r="C596" s="7" t="s">
        <v>901</v>
      </c>
      <c r="D596" s="7" t="s">
        <v>1011</v>
      </c>
      <c r="E596" s="7" t="s">
        <v>123</v>
      </c>
      <c r="F596" s="7" t="n">
        <v>13</v>
      </c>
      <c r="G596" s="7" t="n">
        <v>5.96</v>
      </c>
      <c r="H596" s="7" t="n">
        <v>6.46</v>
      </c>
      <c r="I596" s="7" t="n">
        <v>2</v>
      </c>
      <c r="J596" s="7" t="n">
        <v>0</v>
      </c>
      <c r="K596" s="7" t="n">
        <v>0</v>
      </c>
      <c r="L596" s="7" t="n">
        <v>0</v>
      </c>
      <c r="M596" s="7" t="n">
        <v>0</v>
      </c>
      <c r="N596" s="7" t="n">
        <v>0</v>
      </c>
      <c r="O596" s="7" t="n">
        <v>1</v>
      </c>
      <c r="P596" s="7" t="n">
        <v>1</v>
      </c>
      <c r="Q596" s="7" t="n">
        <v>0</v>
      </c>
      <c r="R596" s="7" t="n">
        <v>0</v>
      </c>
    </row>
    <row r="597" customFormat="false" ht="15" hidden="false" customHeight="true" outlineLevel="0" collapsed="false">
      <c r="A597" s="7" t="n">
        <v>6981</v>
      </c>
      <c r="B597" s="7" t="s">
        <v>46</v>
      </c>
      <c r="C597" s="7" t="s">
        <v>989</v>
      </c>
      <c r="D597" s="7" t="s">
        <v>618</v>
      </c>
      <c r="E597" s="7" t="s">
        <v>113</v>
      </c>
      <c r="F597" s="7" t="n">
        <v>7</v>
      </c>
      <c r="G597" s="7" t="n">
        <v>5.93</v>
      </c>
      <c r="H597" s="7" t="n">
        <v>6.36</v>
      </c>
      <c r="I597" s="7" t="n">
        <v>1</v>
      </c>
      <c r="J597" s="7" t="n">
        <v>0</v>
      </c>
      <c r="K597" s="7" t="n">
        <v>0</v>
      </c>
      <c r="L597" s="7" t="n">
        <v>0</v>
      </c>
      <c r="M597" s="7" t="n">
        <v>0</v>
      </c>
      <c r="N597" s="7" t="n">
        <v>0</v>
      </c>
      <c r="O597" s="7" t="n">
        <v>0</v>
      </c>
      <c r="P597" s="7" t="n">
        <v>0</v>
      </c>
      <c r="Q597" s="7" t="n">
        <v>0</v>
      </c>
      <c r="R597" s="7" t="n">
        <v>0</v>
      </c>
    </row>
    <row r="598" customFormat="false" ht="15" hidden="false" customHeight="true" outlineLevel="0" collapsed="false">
      <c r="A598" s="7" t="n">
        <v>6229</v>
      </c>
      <c r="B598" s="7" t="s">
        <v>46</v>
      </c>
      <c r="C598" s="7" t="s">
        <v>989</v>
      </c>
      <c r="D598" s="7" t="s">
        <v>1012</v>
      </c>
      <c r="E598" s="7" t="s">
        <v>117</v>
      </c>
      <c r="F598" s="7" t="n">
        <v>0</v>
      </c>
      <c r="G598" s="7" t="n">
        <v>0</v>
      </c>
      <c r="H598" s="7" t="n">
        <v>0</v>
      </c>
      <c r="I598" s="7" t="n">
        <v>0</v>
      </c>
      <c r="J598" s="7" t="n">
        <v>0</v>
      </c>
      <c r="K598" s="7" t="n">
        <v>0</v>
      </c>
      <c r="L598" s="7" t="n">
        <v>0</v>
      </c>
      <c r="M598" s="7" t="n">
        <v>0</v>
      </c>
      <c r="N598" s="7" t="n">
        <v>0</v>
      </c>
      <c r="O598" s="7" t="n">
        <v>0</v>
      </c>
      <c r="P598" s="7" t="n">
        <v>0</v>
      </c>
      <c r="Q598" s="7" t="n">
        <v>0</v>
      </c>
      <c r="R598" s="7" t="n">
        <v>0</v>
      </c>
    </row>
    <row r="599" customFormat="false" ht="15" hidden="false" customHeight="true" outlineLevel="0" collapsed="false">
      <c r="A599" s="7" t="n">
        <v>5496</v>
      </c>
      <c r="B599" s="7" t="s">
        <v>46</v>
      </c>
      <c r="C599" s="7" t="s">
        <v>46</v>
      </c>
      <c r="D599" s="7" t="s">
        <v>1013</v>
      </c>
      <c r="E599" s="7" t="s">
        <v>750</v>
      </c>
      <c r="F599" s="7" t="n">
        <v>9</v>
      </c>
      <c r="G599" s="7" t="n">
        <v>5.83</v>
      </c>
      <c r="H599" s="7" t="n">
        <v>6.28</v>
      </c>
      <c r="I599" s="7" t="n">
        <v>1</v>
      </c>
      <c r="J599" s="7" t="n">
        <v>0</v>
      </c>
      <c r="K599" s="7" t="n">
        <v>0</v>
      </c>
      <c r="L599" s="7" t="n">
        <v>0</v>
      </c>
      <c r="M599" s="7" t="n">
        <v>0</v>
      </c>
      <c r="N599" s="7" t="n">
        <v>0</v>
      </c>
      <c r="O599" s="7" t="n">
        <v>1</v>
      </c>
      <c r="P599" s="7" t="n">
        <v>0</v>
      </c>
      <c r="Q599" s="7" t="n">
        <v>0</v>
      </c>
      <c r="R599" s="7" t="n">
        <v>0</v>
      </c>
    </row>
    <row r="600" customFormat="false" ht="15" hidden="false" customHeight="true" outlineLevel="0" collapsed="false">
      <c r="A600" s="7" t="n">
        <v>7001</v>
      </c>
      <c r="B600" s="7" t="s">
        <v>46</v>
      </c>
      <c r="C600" s="7" t="s">
        <v>901</v>
      </c>
      <c r="D600" s="7" t="s">
        <v>608</v>
      </c>
      <c r="E600" s="7" t="s">
        <v>139</v>
      </c>
      <c r="F600" s="7" t="n">
        <v>17</v>
      </c>
      <c r="G600" s="7" t="n">
        <v>5.82</v>
      </c>
      <c r="H600" s="7" t="n">
        <v>6.09</v>
      </c>
      <c r="I600" s="7" t="n">
        <v>2</v>
      </c>
      <c r="J600" s="7" t="n">
        <v>0</v>
      </c>
      <c r="K600" s="7" t="n">
        <v>0</v>
      </c>
      <c r="L600" s="7" t="n">
        <v>0</v>
      </c>
      <c r="M600" s="7" t="n">
        <v>0</v>
      </c>
      <c r="N600" s="7" t="n">
        <v>0</v>
      </c>
      <c r="O600" s="7" t="n">
        <v>0</v>
      </c>
      <c r="P600" s="7" t="n">
        <v>3</v>
      </c>
      <c r="Q600" s="7" t="n">
        <v>0</v>
      </c>
      <c r="R600" s="7" t="n">
        <v>0</v>
      </c>
    </row>
    <row r="601" customFormat="false" ht="15" hidden="false" customHeight="true" outlineLevel="0" collapsed="false">
      <c r="A601" s="7" t="n">
        <v>7249</v>
      </c>
      <c r="B601" s="7" t="s">
        <v>46</v>
      </c>
      <c r="C601" s="7" t="s">
        <v>989</v>
      </c>
      <c r="D601" s="7" t="s">
        <v>1014</v>
      </c>
      <c r="E601" s="7" t="s">
        <v>135</v>
      </c>
      <c r="F601" s="7" t="n">
        <v>21</v>
      </c>
      <c r="G601" s="7" t="n">
        <v>5.88</v>
      </c>
      <c r="H601" s="7" t="n">
        <v>6.24</v>
      </c>
      <c r="I601" s="7" t="n">
        <v>3</v>
      </c>
      <c r="J601" s="7" t="n">
        <v>0</v>
      </c>
      <c r="K601" s="7" t="n">
        <v>0</v>
      </c>
      <c r="L601" s="7" t="n">
        <v>0</v>
      </c>
      <c r="M601" s="7" t="n">
        <v>0</v>
      </c>
      <c r="N601" s="7" t="n">
        <v>0</v>
      </c>
      <c r="O601" s="7" t="n">
        <v>0</v>
      </c>
      <c r="P601" s="7" t="n">
        <v>3</v>
      </c>
      <c r="Q601" s="7" t="n">
        <v>0</v>
      </c>
      <c r="R601" s="7" t="n">
        <v>0</v>
      </c>
    </row>
    <row r="602" customFormat="false" ht="15" hidden="false" customHeight="true" outlineLevel="0" collapsed="false">
      <c r="A602" s="7" t="n">
        <v>6643</v>
      </c>
      <c r="B602" s="7" t="s">
        <v>46</v>
      </c>
      <c r="C602" s="7" t="s">
        <v>989</v>
      </c>
      <c r="D602" s="7" t="s">
        <v>578</v>
      </c>
      <c r="E602" s="7" t="s">
        <v>127</v>
      </c>
      <c r="F602" s="7" t="n">
        <v>19</v>
      </c>
      <c r="G602" s="7" t="n">
        <v>5.82</v>
      </c>
      <c r="H602" s="7" t="n">
        <v>6.13</v>
      </c>
      <c r="I602" s="7" t="n">
        <v>2</v>
      </c>
      <c r="J602" s="7" t="n">
        <v>0</v>
      </c>
      <c r="K602" s="7" t="n">
        <v>0</v>
      </c>
      <c r="L602" s="7" t="n">
        <v>0</v>
      </c>
      <c r="M602" s="7" t="n">
        <v>0</v>
      </c>
      <c r="N602" s="7" t="n">
        <v>0</v>
      </c>
      <c r="O602" s="7" t="n">
        <v>1</v>
      </c>
      <c r="P602" s="7" t="n">
        <v>2</v>
      </c>
      <c r="Q602" s="7" t="n">
        <v>0</v>
      </c>
      <c r="R602" s="7" t="n">
        <v>0</v>
      </c>
    </row>
    <row r="603" customFormat="false" ht="15" hidden="false" customHeight="true" outlineLevel="0" collapsed="false">
      <c r="A603" s="7" t="n">
        <v>7127</v>
      </c>
      <c r="B603" s="7" t="s">
        <v>46</v>
      </c>
      <c r="C603" s="7" t="s">
        <v>901</v>
      </c>
      <c r="D603" s="7" t="s">
        <v>450</v>
      </c>
      <c r="E603" s="7" t="s">
        <v>119</v>
      </c>
      <c r="F603" s="7" t="n">
        <v>12</v>
      </c>
      <c r="G603" s="7" t="n">
        <v>5.96</v>
      </c>
      <c r="H603" s="7" t="n">
        <v>6.54</v>
      </c>
      <c r="I603" s="7" t="n">
        <v>3</v>
      </c>
      <c r="J603" s="7" t="n">
        <v>0</v>
      </c>
      <c r="K603" s="7" t="n">
        <v>0</v>
      </c>
      <c r="L603" s="7" t="n">
        <v>0</v>
      </c>
      <c r="M603" s="7" t="n">
        <v>0</v>
      </c>
      <c r="N603" s="7" t="n">
        <v>0</v>
      </c>
      <c r="O603" s="7" t="n">
        <v>0</v>
      </c>
      <c r="P603" s="7" t="n">
        <v>4</v>
      </c>
      <c r="Q603" s="7" t="n">
        <v>0</v>
      </c>
      <c r="R603" s="7" t="n">
        <v>0</v>
      </c>
    </row>
    <row r="604" customFormat="false" ht="15" hidden="false" customHeight="true" outlineLevel="0" collapsed="false">
      <c r="A604" s="7" t="n">
        <v>2155</v>
      </c>
      <c r="B604" s="7" t="s">
        <v>46</v>
      </c>
      <c r="C604" s="7" t="s">
        <v>989</v>
      </c>
      <c r="D604" s="7" t="s">
        <v>576</v>
      </c>
      <c r="E604" s="7" t="s">
        <v>141</v>
      </c>
      <c r="F604" s="7" t="n">
        <v>14</v>
      </c>
      <c r="G604" s="7" t="n">
        <v>5.71</v>
      </c>
      <c r="H604" s="7" t="n">
        <v>5.93</v>
      </c>
      <c r="I604" s="7" t="n">
        <v>1</v>
      </c>
      <c r="J604" s="7" t="n">
        <v>0</v>
      </c>
      <c r="K604" s="7" t="n">
        <v>0</v>
      </c>
      <c r="L604" s="7" t="n">
        <v>0</v>
      </c>
      <c r="M604" s="7" t="n">
        <v>0</v>
      </c>
      <c r="N604" s="7" t="n">
        <v>0</v>
      </c>
      <c r="O604" s="7" t="n">
        <v>0</v>
      </c>
      <c r="P604" s="7" t="n">
        <v>0</v>
      </c>
      <c r="Q604" s="7" t="n">
        <v>0</v>
      </c>
      <c r="R604" s="7" t="n">
        <v>0</v>
      </c>
    </row>
    <row r="605" customFormat="false" ht="15" hidden="false" customHeight="true" outlineLevel="0" collapsed="false">
      <c r="A605" s="7" t="n">
        <v>6409</v>
      </c>
      <c r="B605" s="7" t="s">
        <v>46</v>
      </c>
      <c r="C605" s="7" t="s">
        <v>46</v>
      </c>
      <c r="D605" s="7" t="s">
        <v>1015</v>
      </c>
      <c r="E605" s="7" t="s">
        <v>123</v>
      </c>
      <c r="F605" s="7" t="n">
        <v>0</v>
      </c>
      <c r="G605" s="7" t="n">
        <v>0</v>
      </c>
      <c r="H605" s="7" t="n">
        <v>0</v>
      </c>
      <c r="I605" s="7" t="n">
        <v>0</v>
      </c>
      <c r="J605" s="7" t="n">
        <v>0</v>
      </c>
      <c r="K605" s="7" t="n">
        <v>0</v>
      </c>
      <c r="L605" s="7" t="n">
        <v>0</v>
      </c>
      <c r="M605" s="7" t="n">
        <v>0</v>
      </c>
      <c r="N605" s="7" t="n">
        <v>0</v>
      </c>
      <c r="O605" s="7" t="n">
        <v>0</v>
      </c>
      <c r="P605" s="7" t="n">
        <v>0</v>
      </c>
      <c r="Q605" s="7" t="n">
        <v>0</v>
      </c>
      <c r="R605" s="7" t="n">
        <v>0</v>
      </c>
    </row>
    <row r="606" customFormat="false" ht="15" hidden="false" customHeight="true" outlineLevel="0" collapsed="false">
      <c r="A606" s="7" t="n">
        <v>5672</v>
      </c>
      <c r="B606" s="7" t="s">
        <v>46</v>
      </c>
      <c r="C606" s="7" t="s">
        <v>989</v>
      </c>
      <c r="D606" s="7" t="s">
        <v>569</v>
      </c>
      <c r="E606" s="7" t="s">
        <v>133</v>
      </c>
      <c r="F606" s="7" t="n">
        <v>25</v>
      </c>
      <c r="G606" s="7" t="n">
        <v>5.68</v>
      </c>
      <c r="H606" s="7" t="n">
        <v>5.86</v>
      </c>
      <c r="I606" s="7" t="n">
        <v>1</v>
      </c>
      <c r="J606" s="7" t="n">
        <v>0</v>
      </c>
      <c r="K606" s="7" t="n">
        <v>0</v>
      </c>
      <c r="L606" s="7" t="n">
        <v>0</v>
      </c>
      <c r="M606" s="7" t="n">
        <v>0</v>
      </c>
      <c r="N606" s="7" t="n">
        <v>0</v>
      </c>
      <c r="O606" s="7" t="n">
        <v>2</v>
      </c>
      <c r="P606" s="7" t="n">
        <v>1</v>
      </c>
      <c r="Q606" s="7" t="n">
        <v>0</v>
      </c>
      <c r="R606" s="7" t="n">
        <v>0</v>
      </c>
    </row>
    <row r="607" customFormat="false" ht="15" hidden="false" customHeight="true" outlineLevel="0" collapsed="false">
      <c r="A607" s="7" t="n">
        <v>6827</v>
      </c>
      <c r="B607" s="7" t="s">
        <v>46</v>
      </c>
      <c r="C607" s="7" t="s">
        <v>46</v>
      </c>
      <c r="D607" s="7" t="s">
        <v>491</v>
      </c>
      <c r="E607" s="7" t="s">
        <v>184</v>
      </c>
      <c r="F607" s="7" t="n">
        <v>10</v>
      </c>
      <c r="G607" s="7" t="n">
        <v>5.8</v>
      </c>
      <c r="H607" s="7" t="n">
        <v>6.15</v>
      </c>
      <c r="I607" s="7" t="n">
        <v>1</v>
      </c>
      <c r="J607" s="7" t="n">
        <v>0</v>
      </c>
      <c r="K607" s="7" t="n">
        <v>0</v>
      </c>
      <c r="L607" s="7" t="n">
        <v>0</v>
      </c>
      <c r="M607" s="7" t="n">
        <v>0</v>
      </c>
      <c r="N607" s="7" t="n">
        <v>0</v>
      </c>
      <c r="O607" s="7" t="n">
        <v>1</v>
      </c>
      <c r="P607" s="7" t="n">
        <v>2</v>
      </c>
      <c r="Q607" s="7" t="n">
        <v>0</v>
      </c>
      <c r="R607" s="7" t="n">
        <v>0</v>
      </c>
    </row>
    <row r="608" customFormat="false" ht="15" hidden="false" customHeight="true" outlineLevel="0" collapsed="false">
      <c r="A608" s="7" t="n">
        <v>2475</v>
      </c>
      <c r="B608" s="7" t="s">
        <v>46</v>
      </c>
      <c r="C608" s="7" t="s">
        <v>46</v>
      </c>
      <c r="D608" s="7" t="s">
        <v>1016</v>
      </c>
      <c r="E608" s="7" t="s">
        <v>135</v>
      </c>
      <c r="F608" s="7" t="n">
        <v>0</v>
      </c>
      <c r="G608" s="7" t="n">
        <v>0</v>
      </c>
      <c r="H608" s="7" t="n">
        <v>0</v>
      </c>
      <c r="I608" s="7" t="n">
        <v>0</v>
      </c>
      <c r="J608" s="7" t="n">
        <v>0</v>
      </c>
      <c r="K608" s="7" t="n">
        <v>0</v>
      </c>
      <c r="L608" s="7" t="n">
        <v>0</v>
      </c>
      <c r="M608" s="7" t="n">
        <v>0</v>
      </c>
      <c r="N608" s="7" t="n">
        <v>0</v>
      </c>
      <c r="O608" s="7" t="n">
        <v>0</v>
      </c>
      <c r="P608" s="7" t="n">
        <v>0</v>
      </c>
      <c r="Q608" s="7" t="n">
        <v>0</v>
      </c>
      <c r="R608" s="7" t="n">
        <v>0</v>
      </c>
    </row>
    <row r="609" customFormat="false" ht="15" hidden="false" customHeight="true" outlineLevel="0" collapsed="false">
      <c r="A609" s="7" t="n">
        <v>7342</v>
      </c>
      <c r="B609" s="7" t="s">
        <v>46</v>
      </c>
      <c r="C609" s="7" t="s">
        <v>989</v>
      </c>
      <c r="D609" s="7" t="s">
        <v>612</v>
      </c>
      <c r="E609" s="7" t="s">
        <v>141</v>
      </c>
      <c r="F609" s="7" t="n">
        <v>8</v>
      </c>
      <c r="G609" s="7" t="n">
        <v>6</v>
      </c>
      <c r="H609" s="7" t="n">
        <v>6.88</v>
      </c>
      <c r="I609" s="7" t="n">
        <v>2</v>
      </c>
      <c r="J609" s="7" t="n">
        <v>0</v>
      </c>
      <c r="K609" s="7" t="n">
        <v>0</v>
      </c>
      <c r="L609" s="7" t="n">
        <v>0</v>
      </c>
      <c r="M609" s="7" t="n">
        <v>0</v>
      </c>
      <c r="N609" s="7" t="n">
        <v>0</v>
      </c>
      <c r="O609" s="7" t="n">
        <v>1</v>
      </c>
      <c r="P609" s="7" t="n">
        <v>0</v>
      </c>
      <c r="Q609" s="7" t="n">
        <v>0</v>
      </c>
      <c r="R609" s="7" t="n">
        <v>0</v>
      </c>
    </row>
    <row r="610" customFormat="false" ht="15" hidden="false" customHeight="true" outlineLevel="0" collapsed="false">
      <c r="A610" s="7" t="n">
        <v>7128</v>
      </c>
      <c r="B610" s="7" t="s">
        <v>46</v>
      </c>
      <c r="C610" s="7" t="s">
        <v>901</v>
      </c>
      <c r="D610" s="7" t="s">
        <v>606</v>
      </c>
      <c r="E610" s="7" t="s">
        <v>119</v>
      </c>
      <c r="F610" s="7" t="n">
        <v>14</v>
      </c>
      <c r="G610" s="7" t="n">
        <v>5.96</v>
      </c>
      <c r="H610" s="7" t="n">
        <v>6.25</v>
      </c>
      <c r="I610" s="7" t="n">
        <v>1</v>
      </c>
      <c r="J610" s="7" t="n">
        <v>0</v>
      </c>
      <c r="K610" s="7" t="n">
        <v>0</v>
      </c>
      <c r="L610" s="7" t="n">
        <v>0</v>
      </c>
      <c r="M610" s="7" t="n">
        <v>0</v>
      </c>
      <c r="N610" s="7" t="n">
        <v>0</v>
      </c>
      <c r="O610" s="7" t="n">
        <v>1</v>
      </c>
      <c r="P610" s="7" t="n">
        <v>0</v>
      </c>
      <c r="Q610" s="7" t="n">
        <v>0</v>
      </c>
      <c r="R610" s="7" t="n">
        <v>0</v>
      </c>
    </row>
    <row r="611" customFormat="false" ht="15" hidden="false" customHeight="true" outlineLevel="0" collapsed="false">
      <c r="A611" s="7" t="n">
        <v>6215</v>
      </c>
      <c r="B611" s="7" t="s">
        <v>46</v>
      </c>
      <c r="C611" s="7" t="s">
        <v>989</v>
      </c>
      <c r="D611" s="7" t="s">
        <v>611</v>
      </c>
      <c r="E611" s="7" t="s">
        <v>125</v>
      </c>
      <c r="F611" s="7" t="n">
        <v>9</v>
      </c>
      <c r="G611" s="7" t="n">
        <v>5.72</v>
      </c>
      <c r="H611" s="7" t="n">
        <v>6</v>
      </c>
      <c r="I611" s="7" t="n">
        <v>1</v>
      </c>
      <c r="J611" s="7" t="n">
        <v>0</v>
      </c>
      <c r="K611" s="7" t="n">
        <v>0</v>
      </c>
      <c r="L611" s="7" t="n">
        <v>0</v>
      </c>
      <c r="M611" s="7" t="n">
        <v>0</v>
      </c>
      <c r="N611" s="7" t="n">
        <v>0</v>
      </c>
      <c r="O611" s="7" t="n">
        <v>0</v>
      </c>
      <c r="P611" s="7" t="n">
        <v>1</v>
      </c>
      <c r="Q611" s="7" t="n">
        <v>0</v>
      </c>
      <c r="R611" s="7" t="n">
        <v>0</v>
      </c>
    </row>
    <row r="612" customFormat="false" ht="15" hidden="false" customHeight="true" outlineLevel="0" collapsed="false">
      <c r="A612" s="7" t="n">
        <v>5471</v>
      </c>
      <c r="B612" s="7" t="s">
        <v>46</v>
      </c>
      <c r="C612" s="7" t="s">
        <v>989</v>
      </c>
      <c r="D612" s="7" t="s">
        <v>1017</v>
      </c>
      <c r="E612" s="7" t="s">
        <v>750</v>
      </c>
      <c r="F612" s="7" t="n">
        <v>9</v>
      </c>
      <c r="G612" s="7" t="n">
        <v>6</v>
      </c>
      <c r="H612" s="7" t="n">
        <v>6</v>
      </c>
      <c r="I612" s="7" t="n">
        <v>0</v>
      </c>
      <c r="J612" s="7" t="n">
        <v>0</v>
      </c>
      <c r="K612" s="7" t="n">
        <v>0</v>
      </c>
      <c r="L612" s="7" t="n">
        <v>0</v>
      </c>
      <c r="M612" s="7" t="n">
        <v>0</v>
      </c>
      <c r="N612" s="7" t="n">
        <v>0</v>
      </c>
      <c r="O612" s="7" t="n">
        <v>1</v>
      </c>
      <c r="P612" s="7" t="n">
        <v>2</v>
      </c>
      <c r="Q612" s="7" t="n">
        <v>0</v>
      </c>
      <c r="R612" s="7" t="n">
        <v>0</v>
      </c>
    </row>
    <row r="613" customFormat="false" ht="15" hidden="false" customHeight="true" outlineLevel="0" collapsed="false">
      <c r="A613" s="7" t="n">
        <v>6836</v>
      </c>
      <c r="B613" s="7" t="s">
        <v>46</v>
      </c>
      <c r="C613" s="7" t="s">
        <v>989</v>
      </c>
      <c r="D613" s="7" t="s">
        <v>1018</v>
      </c>
      <c r="E613" s="7" t="s">
        <v>755</v>
      </c>
      <c r="F613" s="7" t="n">
        <v>27</v>
      </c>
      <c r="G613" s="7" t="n">
        <v>5.65</v>
      </c>
      <c r="H613" s="7" t="n">
        <v>5.83</v>
      </c>
      <c r="I613" s="7" t="n">
        <v>2</v>
      </c>
      <c r="J613" s="7" t="n">
        <v>0</v>
      </c>
      <c r="K613" s="7" t="n">
        <v>0</v>
      </c>
      <c r="L613" s="7" t="n">
        <v>0</v>
      </c>
      <c r="M613" s="7" t="n">
        <v>0</v>
      </c>
      <c r="N613" s="7" t="n">
        <v>0</v>
      </c>
      <c r="O613" s="7" t="n">
        <v>0</v>
      </c>
      <c r="P613" s="7" t="n">
        <v>2</v>
      </c>
      <c r="Q613" s="7" t="n">
        <v>0</v>
      </c>
      <c r="R613" s="7" t="n">
        <v>0</v>
      </c>
    </row>
    <row r="614" customFormat="false" ht="15" hidden="false" customHeight="true" outlineLevel="0" collapsed="false">
      <c r="A614" s="7" t="n">
        <v>6205</v>
      </c>
      <c r="B614" s="7" t="s">
        <v>46</v>
      </c>
      <c r="C614" s="7" t="s">
        <v>989</v>
      </c>
      <c r="D614" s="7" t="s">
        <v>1019</v>
      </c>
      <c r="E614" s="7" t="s">
        <v>144</v>
      </c>
      <c r="F614" s="7" t="n">
        <v>0</v>
      </c>
      <c r="G614" s="7" t="n">
        <v>0</v>
      </c>
      <c r="H614" s="7" t="n">
        <v>0</v>
      </c>
      <c r="I614" s="7" t="n">
        <v>0</v>
      </c>
      <c r="J614" s="7" t="n">
        <v>0</v>
      </c>
      <c r="K614" s="7" t="n">
        <v>0</v>
      </c>
      <c r="L614" s="7" t="n">
        <v>0</v>
      </c>
      <c r="M614" s="7" t="n">
        <v>0</v>
      </c>
      <c r="N614" s="7" t="n">
        <v>0</v>
      </c>
      <c r="O614" s="7" t="n">
        <v>0</v>
      </c>
      <c r="P614" s="7" t="n">
        <v>0</v>
      </c>
      <c r="Q614" s="7" t="n">
        <v>0</v>
      </c>
      <c r="R614" s="7" t="n">
        <v>0</v>
      </c>
    </row>
    <row r="615" customFormat="false" ht="15" hidden="false" customHeight="true" outlineLevel="0" collapsed="false">
      <c r="A615" s="7" t="n">
        <v>441</v>
      </c>
      <c r="B615" s="7" t="s">
        <v>46</v>
      </c>
      <c r="C615" s="7" t="s">
        <v>989</v>
      </c>
      <c r="D615" s="7" t="s">
        <v>1020</v>
      </c>
      <c r="E615" s="7" t="s">
        <v>129</v>
      </c>
      <c r="F615" s="7" t="n">
        <v>4</v>
      </c>
      <c r="G615" s="7" t="n">
        <v>6.12</v>
      </c>
      <c r="H615" s="7" t="n">
        <v>7.62</v>
      </c>
      <c r="I615" s="7" t="n">
        <v>2</v>
      </c>
      <c r="J615" s="7" t="n">
        <v>0</v>
      </c>
      <c r="K615" s="7" t="n">
        <v>0</v>
      </c>
      <c r="L615" s="7" t="n">
        <v>1</v>
      </c>
      <c r="M615" s="7" t="n">
        <v>1</v>
      </c>
      <c r="N615" s="7" t="n">
        <v>0</v>
      </c>
      <c r="O615" s="7" t="n">
        <v>0</v>
      </c>
      <c r="P615" s="7" t="n">
        <v>0</v>
      </c>
      <c r="Q615" s="7" t="n">
        <v>0</v>
      </c>
      <c r="R615" s="7" t="n">
        <v>0</v>
      </c>
    </row>
    <row r="616" customFormat="false" ht="15" hidden="false" customHeight="true" outlineLevel="0" collapsed="false">
      <c r="A616" s="7" t="n">
        <v>7272</v>
      </c>
      <c r="B616" s="7" t="s">
        <v>46</v>
      </c>
      <c r="C616" s="7" t="s">
        <v>989</v>
      </c>
      <c r="D616" s="7" t="s">
        <v>605</v>
      </c>
      <c r="E616" s="7" t="s">
        <v>135</v>
      </c>
      <c r="F616" s="7" t="n">
        <v>13</v>
      </c>
      <c r="G616" s="7" t="n">
        <v>5.77</v>
      </c>
      <c r="H616" s="7" t="n">
        <v>5.92</v>
      </c>
      <c r="I616" s="7" t="n">
        <v>1</v>
      </c>
      <c r="J616" s="7" t="n">
        <v>0</v>
      </c>
      <c r="K616" s="7" t="n">
        <v>0</v>
      </c>
      <c r="L616" s="7" t="n">
        <v>0</v>
      </c>
      <c r="M616" s="7" t="n">
        <v>0</v>
      </c>
      <c r="N616" s="7" t="n">
        <v>0</v>
      </c>
      <c r="O616" s="7" t="n">
        <v>0</v>
      </c>
      <c r="P616" s="7" t="n">
        <v>2</v>
      </c>
      <c r="Q616" s="7" t="n">
        <v>0</v>
      </c>
      <c r="R616" s="7" t="n">
        <v>0</v>
      </c>
    </row>
    <row r="617" customFormat="false" ht="15" hidden="false" customHeight="true" outlineLevel="0" collapsed="false">
      <c r="A617" s="7" t="n">
        <v>7374</v>
      </c>
      <c r="B617" s="7" t="s">
        <v>46</v>
      </c>
      <c r="C617" s="7" t="s">
        <v>989</v>
      </c>
      <c r="D617" s="7" t="s">
        <v>599</v>
      </c>
      <c r="E617" s="7" t="s">
        <v>129</v>
      </c>
      <c r="F617" s="7" t="n">
        <v>8</v>
      </c>
      <c r="G617" s="7" t="n">
        <v>5.94</v>
      </c>
      <c r="H617" s="7" t="n">
        <v>6.62</v>
      </c>
      <c r="I617" s="7" t="n">
        <v>2</v>
      </c>
      <c r="J617" s="7" t="n">
        <v>0</v>
      </c>
      <c r="K617" s="7" t="n">
        <v>0</v>
      </c>
      <c r="L617" s="7" t="n">
        <v>0</v>
      </c>
      <c r="M617" s="7" t="n">
        <v>0</v>
      </c>
      <c r="N617" s="7" t="n">
        <v>0</v>
      </c>
      <c r="O617" s="7" t="n">
        <v>0</v>
      </c>
      <c r="P617" s="7" t="n">
        <v>1</v>
      </c>
      <c r="Q617" s="7" t="n">
        <v>0</v>
      </c>
      <c r="R617" s="7" t="n">
        <v>0</v>
      </c>
    </row>
    <row r="618" customFormat="false" ht="15" hidden="false" customHeight="true" outlineLevel="0" collapsed="false">
      <c r="A618" s="7" t="n">
        <v>785</v>
      </c>
      <c r="B618" s="7" t="s">
        <v>46</v>
      </c>
      <c r="C618" s="7" t="s">
        <v>989</v>
      </c>
      <c r="D618" s="7" t="s">
        <v>1021</v>
      </c>
      <c r="E618" s="7" t="s">
        <v>127</v>
      </c>
      <c r="F618" s="7" t="n">
        <v>6</v>
      </c>
      <c r="G618" s="7" t="n">
        <v>5.58</v>
      </c>
      <c r="H618" s="7" t="n">
        <v>5.5</v>
      </c>
      <c r="I618" s="7" t="n">
        <v>0</v>
      </c>
      <c r="J618" s="7" t="n">
        <v>0</v>
      </c>
      <c r="K618" s="7" t="n">
        <v>0</v>
      </c>
      <c r="L618" s="7" t="n">
        <v>0</v>
      </c>
      <c r="M618" s="7" t="n">
        <v>0</v>
      </c>
      <c r="N618" s="7" t="n">
        <v>0</v>
      </c>
      <c r="O618" s="7" t="n">
        <v>0</v>
      </c>
      <c r="P618" s="7" t="n">
        <v>1</v>
      </c>
      <c r="Q618" s="7" t="n">
        <v>0</v>
      </c>
      <c r="R618" s="7" t="n">
        <v>0</v>
      </c>
    </row>
    <row r="619" customFormat="false" ht="15" hidden="false" customHeight="true" outlineLevel="0" collapsed="false">
      <c r="A619" s="7" t="n">
        <v>6628</v>
      </c>
      <c r="B619" s="7" t="s">
        <v>46</v>
      </c>
      <c r="C619" s="7" t="s">
        <v>989</v>
      </c>
      <c r="D619" s="7" t="s">
        <v>1022</v>
      </c>
      <c r="E619" s="7" t="s">
        <v>115</v>
      </c>
      <c r="F619" s="7" t="n">
        <v>0</v>
      </c>
      <c r="G619" s="7" t="n">
        <v>0</v>
      </c>
      <c r="H619" s="7" t="n">
        <v>0</v>
      </c>
      <c r="I619" s="7" t="n">
        <v>0</v>
      </c>
      <c r="J619" s="7" t="n">
        <v>0</v>
      </c>
      <c r="K619" s="7" t="n">
        <v>0</v>
      </c>
      <c r="L619" s="7" t="n">
        <v>0</v>
      </c>
      <c r="M619" s="7" t="n">
        <v>0</v>
      </c>
      <c r="N619" s="7" t="n">
        <v>0</v>
      </c>
      <c r="O619" s="7" t="n">
        <v>0</v>
      </c>
      <c r="P619" s="7" t="n">
        <v>0</v>
      </c>
      <c r="Q619" s="7" t="n">
        <v>0</v>
      </c>
      <c r="R619" s="7" t="n">
        <v>0</v>
      </c>
    </row>
    <row r="620" customFormat="false" ht="15" hidden="false" customHeight="true" outlineLevel="0" collapsed="false">
      <c r="A620" s="7" t="n">
        <v>6227</v>
      </c>
      <c r="B620" s="7" t="s">
        <v>46</v>
      </c>
      <c r="C620" s="7" t="s">
        <v>46</v>
      </c>
      <c r="D620" s="7" t="s">
        <v>1023</v>
      </c>
      <c r="E620" s="7" t="s">
        <v>121</v>
      </c>
      <c r="F620" s="7" t="n">
        <v>0</v>
      </c>
      <c r="G620" s="7" t="n">
        <v>0</v>
      </c>
      <c r="H620" s="7" t="n">
        <v>0</v>
      </c>
      <c r="I620" s="7" t="n">
        <v>0</v>
      </c>
      <c r="J620" s="7" t="n">
        <v>0</v>
      </c>
      <c r="K620" s="7" t="n">
        <v>0</v>
      </c>
      <c r="L620" s="7" t="n">
        <v>0</v>
      </c>
      <c r="M620" s="7" t="n">
        <v>0</v>
      </c>
      <c r="N620" s="7" t="n">
        <v>0</v>
      </c>
      <c r="O620" s="7" t="n">
        <v>0</v>
      </c>
      <c r="P620" s="7" t="n">
        <v>0</v>
      </c>
      <c r="Q620" s="7" t="n">
        <v>0</v>
      </c>
      <c r="R620" s="7" t="n">
        <v>0</v>
      </c>
    </row>
    <row r="621" customFormat="false" ht="15" hidden="false" customHeight="true" outlineLevel="0" collapsed="false">
      <c r="A621" s="7" t="n">
        <v>7153</v>
      </c>
      <c r="B621" s="7" t="s">
        <v>46</v>
      </c>
      <c r="C621" s="7" t="s">
        <v>989</v>
      </c>
      <c r="D621" s="7" t="s">
        <v>1024</v>
      </c>
      <c r="E621" s="7" t="s">
        <v>755</v>
      </c>
      <c r="F621" s="7" t="n">
        <v>0</v>
      </c>
      <c r="G621" s="7" t="n">
        <v>0</v>
      </c>
      <c r="H621" s="7" t="n">
        <v>0</v>
      </c>
      <c r="I621" s="7" t="n">
        <v>0</v>
      </c>
      <c r="J621" s="7" t="n">
        <v>0</v>
      </c>
      <c r="K621" s="7" t="n">
        <v>0</v>
      </c>
      <c r="L621" s="7" t="n">
        <v>0</v>
      </c>
      <c r="M621" s="7" t="n">
        <v>0</v>
      </c>
      <c r="N621" s="7" t="n">
        <v>0</v>
      </c>
      <c r="O621" s="7" t="n">
        <v>0</v>
      </c>
      <c r="P621" s="7" t="n">
        <v>0</v>
      </c>
      <c r="Q621" s="7" t="n">
        <v>0</v>
      </c>
      <c r="R621" s="7" t="n">
        <v>0</v>
      </c>
    </row>
    <row r="622" customFormat="false" ht="15" hidden="false" customHeight="true" outlineLevel="0" collapsed="false">
      <c r="A622" s="7" t="n">
        <v>479</v>
      </c>
      <c r="B622" s="7" t="s">
        <v>46</v>
      </c>
      <c r="C622" s="7" t="s">
        <v>989</v>
      </c>
      <c r="D622" s="7" t="s">
        <v>1025</v>
      </c>
      <c r="E622" s="7" t="s">
        <v>750</v>
      </c>
      <c r="F622" s="7" t="n">
        <v>23</v>
      </c>
      <c r="G622" s="7" t="n">
        <v>5.76</v>
      </c>
      <c r="H622" s="7" t="n">
        <v>5.89</v>
      </c>
      <c r="I622" s="7" t="n">
        <v>1</v>
      </c>
      <c r="J622" s="7" t="n">
        <v>0</v>
      </c>
      <c r="K622" s="7" t="n">
        <v>0</v>
      </c>
      <c r="L622" s="7" t="n">
        <v>0</v>
      </c>
      <c r="M622" s="7" t="n">
        <v>0</v>
      </c>
      <c r="N622" s="7" t="n">
        <v>0</v>
      </c>
      <c r="O622" s="7" t="n">
        <v>1</v>
      </c>
      <c r="P622" s="7" t="n">
        <v>2</v>
      </c>
      <c r="Q622" s="7" t="n">
        <v>0</v>
      </c>
      <c r="R622" s="7" t="n">
        <v>0</v>
      </c>
    </row>
    <row r="623" customFormat="false" ht="15" hidden="false" customHeight="true" outlineLevel="0" collapsed="false">
      <c r="A623" s="7" t="n">
        <v>6653</v>
      </c>
      <c r="B623" s="7" t="s">
        <v>46</v>
      </c>
      <c r="C623" s="7" t="s">
        <v>46</v>
      </c>
      <c r="D623" s="7" t="s">
        <v>1026</v>
      </c>
      <c r="E623" s="7" t="s">
        <v>135</v>
      </c>
      <c r="F623" s="7" t="n">
        <v>4</v>
      </c>
      <c r="G623" s="7" t="n">
        <v>6</v>
      </c>
      <c r="H623" s="7" t="n">
        <v>6.62</v>
      </c>
      <c r="I623" s="7" t="n">
        <v>1</v>
      </c>
      <c r="J623" s="7" t="n">
        <v>0</v>
      </c>
      <c r="K623" s="7" t="n">
        <v>0</v>
      </c>
      <c r="L623" s="7" t="n">
        <v>0</v>
      </c>
      <c r="M623" s="7" t="n">
        <v>0</v>
      </c>
      <c r="N623" s="7" t="n">
        <v>0</v>
      </c>
      <c r="O623" s="7" t="n">
        <v>0</v>
      </c>
      <c r="P623" s="7" t="n">
        <v>1</v>
      </c>
      <c r="Q623" s="7" t="n">
        <v>0</v>
      </c>
      <c r="R623" s="7" t="n">
        <v>0</v>
      </c>
    </row>
    <row r="624" customFormat="false" ht="15" hidden="false" customHeight="true" outlineLevel="0" collapsed="false">
      <c r="A624" s="7" t="n">
        <v>6159</v>
      </c>
      <c r="B624" s="7" t="s">
        <v>46</v>
      </c>
      <c r="C624" s="7" t="s">
        <v>46</v>
      </c>
      <c r="D624" s="7" t="s">
        <v>1027</v>
      </c>
      <c r="E624" s="7" t="s">
        <v>752</v>
      </c>
      <c r="F624" s="7" t="n">
        <v>29</v>
      </c>
      <c r="G624" s="7" t="n">
        <v>5.67</v>
      </c>
      <c r="H624" s="7" t="n">
        <v>5.64</v>
      </c>
      <c r="I624" s="7" t="n">
        <v>0</v>
      </c>
      <c r="J624" s="7" t="n">
        <v>0</v>
      </c>
      <c r="K624" s="7" t="n">
        <v>0</v>
      </c>
      <c r="L624" s="7" t="n">
        <v>0</v>
      </c>
      <c r="M624" s="7" t="n">
        <v>0</v>
      </c>
      <c r="N624" s="7" t="n">
        <v>0</v>
      </c>
      <c r="O624" s="7" t="n">
        <v>0</v>
      </c>
      <c r="P624" s="7" t="n">
        <v>0</v>
      </c>
      <c r="Q624" s="7" t="n">
        <v>1</v>
      </c>
      <c r="R624" s="7" t="n">
        <v>0</v>
      </c>
    </row>
    <row r="625" customFormat="false" ht="15" hidden="false" customHeight="true" outlineLevel="0" collapsed="false">
      <c r="A625" s="7" t="n">
        <v>6630</v>
      </c>
      <c r="B625" s="7" t="s">
        <v>46</v>
      </c>
      <c r="C625" s="7" t="s">
        <v>989</v>
      </c>
      <c r="D625" s="7" t="s">
        <v>1028</v>
      </c>
      <c r="E625" s="7" t="s">
        <v>752</v>
      </c>
      <c r="F625" s="7" t="n">
        <v>14</v>
      </c>
      <c r="G625" s="7" t="n">
        <v>5.96</v>
      </c>
      <c r="H625" s="7" t="n">
        <v>6.07</v>
      </c>
      <c r="I625" s="7" t="n">
        <v>0</v>
      </c>
      <c r="J625" s="7" t="n">
        <v>0</v>
      </c>
      <c r="K625" s="7" t="n">
        <v>0</v>
      </c>
      <c r="L625" s="7" t="n">
        <v>0</v>
      </c>
      <c r="M625" s="7" t="n">
        <v>0</v>
      </c>
      <c r="N625" s="7" t="n">
        <v>0</v>
      </c>
      <c r="O625" s="7" t="n">
        <v>2</v>
      </c>
      <c r="P625" s="7" t="n">
        <v>1</v>
      </c>
      <c r="Q625" s="7" t="n">
        <v>0</v>
      </c>
      <c r="R625" s="7" t="n">
        <v>0</v>
      </c>
    </row>
    <row r="626" customFormat="false" ht="15" hidden="false" customHeight="true" outlineLevel="0" collapsed="false">
      <c r="A626" s="7" t="n">
        <v>6314</v>
      </c>
      <c r="B626" s="7" t="s">
        <v>46</v>
      </c>
      <c r="C626" s="7" t="s">
        <v>989</v>
      </c>
      <c r="D626" s="7" t="s">
        <v>1029</v>
      </c>
      <c r="E626" s="7" t="s">
        <v>131</v>
      </c>
      <c r="F626" s="7" t="n">
        <v>14</v>
      </c>
      <c r="G626" s="7" t="n">
        <v>5.79</v>
      </c>
      <c r="H626" s="7" t="n">
        <v>6</v>
      </c>
      <c r="I626" s="7" t="n">
        <v>1</v>
      </c>
      <c r="J626" s="7" t="n">
        <v>0</v>
      </c>
      <c r="K626" s="7" t="n">
        <v>0</v>
      </c>
      <c r="L626" s="7" t="n">
        <v>0</v>
      </c>
      <c r="M626" s="7" t="n">
        <v>0</v>
      </c>
      <c r="N626" s="7" t="n">
        <v>0</v>
      </c>
      <c r="O626" s="7" t="n">
        <v>0</v>
      </c>
      <c r="P626" s="7" t="n">
        <v>0</v>
      </c>
      <c r="Q626" s="7" t="n">
        <v>0</v>
      </c>
      <c r="R626" s="7" t="n">
        <v>0</v>
      </c>
    </row>
    <row r="627" customFormat="false" ht="15" hidden="false" customHeight="true" outlineLevel="0" collapsed="false">
      <c r="A627" s="7" t="n">
        <v>7344</v>
      </c>
      <c r="B627" s="7" t="s">
        <v>46</v>
      </c>
      <c r="C627" s="7" t="s">
        <v>989</v>
      </c>
      <c r="D627" s="7" t="s">
        <v>1030</v>
      </c>
      <c r="E627" s="7" t="s">
        <v>755</v>
      </c>
      <c r="F627" s="7" t="n">
        <v>12</v>
      </c>
      <c r="G627" s="7" t="n">
        <v>5.58</v>
      </c>
      <c r="H627" s="7" t="n">
        <v>5.58</v>
      </c>
      <c r="I627" s="7" t="n">
        <v>0</v>
      </c>
      <c r="J627" s="7" t="n">
        <v>0</v>
      </c>
      <c r="K627" s="7" t="n">
        <v>0</v>
      </c>
      <c r="L627" s="7" t="n">
        <v>0</v>
      </c>
      <c r="M627" s="7" t="n">
        <v>0</v>
      </c>
      <c r="N627" s="7" t="n">
        <v>0</v>
      </c>
      <c r="O627" s="7" t="n">
        <v>0</v>
      </c>
      <c r="P627" s="7" t="n">
        <v>0</v>
      </c>
      <c r="Q627" s="7" t="n">
        <v>0</v>
      </c>
      <c r="R627" s="7" t="n">
        <v>0</v>
      </c>
    </row>
    <row r="628" customFormat="false" ht="15" hidden="false" customHeight="true" outlineLevel="0" collapsed="false">
      <c r="A628" s="7" t="n">
        <v>7349</v>
      </c>
      <c r="B628" s="7" t="s">
        <v>46</v>
      </c>
      <c r="C628" s="7" t="s">
        <v>989</v>
      </c>
      <c r="D628" s="7" t="s">
        <v>604</v>
      </c>
      <c r="E628" s="7" t="s">
        <v>184</v>
      </c>
      <c r="F628" s="7" t="n">
        <v>7</v>
      </c>
      <c r="G628" s="7" t="n">
        <v>5.71</v>
      </c>
      <c r="H628" s="7" t="n">
        <v>5.79</v>
      </c>
      <c r="I628" s="7" t="n">
        <v>0</v>
      </c>
      <c r="J628" s="7" t="n">
        <v>0</v>
      </c>
      <c r="K628" s="7" t="n">
        <v>0</v>
      </c>
      <c r="L628" s="7" t="n">
        <v>0</v>
      </c>
      <c r="M628" s="7" t="n">
        <v>0</v>
      </c>
      <c r="N628" s="7" t="n">
        <v>0</v>
      </c>
      <c r="O628" s="7" t="n">
        <v>1</v>
      </c>
      <c r="P628" s="7" t="n">
        <v>2</v>
      </c>
      <c r="Q628" s="7" t="n">
        <v>0</v>
      </c>
      <c r="R628" s="7" t="n">
        <v>0</v>
      </c>
    </row>
    <row r="629" customFormat="false" ht="15" hidden="false" customHeight="true" outlineLevel="0" collapsed="false">
      <c r="A629" s="7" t="n">
        <v>6895</v>
      </c>
      <c r="B629" s="7" t="s">
        <v>46</v>
      </c>
      <c r="C629" s="7" t="s">
        <v>901</v>
      </c>
      <c r="D629" s="7" t="s">
        <v>493</v>
      </c>
      <c r="E629" s="7" t="s">
        <v>127</v>
      </c>
      <c r="F629" s="7" t="n">
        <v>12</v>
      </c>
      <c r="G629" s="7" t="n">
        <v>5.83</v>
      </c>
      <c r="H629" s="7" t="n">
        <v>6.04</v>
      </c>
      <c r="I629" s="7" t="n">
        <v>0</v>
      </c>
      <c r="J629" s="7" t="n">
        <v>0</v>
      </c>
      <c r="K629" s="7" t="n">
        <v>0</v>
      </c>
      <c r="L629" s="7" t="n">
        <v>0</v>
      </c>
      <c r="M629" s="7" t="n">
        <v>0</v>
      </c>
      <c r="N629" s="7" t="n">
        <v>0</v>
      </c>
      <c r="O629" s="7" t="n">
        <v>3</v>
      </c>
      <c r="P629" s="7" t="n">
        <v>1</v>
      </c>
      <c r="Q629" s="7" t="n">
        <v>0</v>
      </c>
      <c r="R629" s="7" t="n">
        <v>0</v>
      </c>
    </row>
    <row r="630" customFormat="false" ht="15" hidden="false" customHeight="true" outlineLevel="0" collapsed="false">
      <c r="A630" s="7" t="n">
        <v>6459</v>
      </c>
      <c r="B630" s="7" t="s">
        <v>46</v>
      </c>
      <c r="C630" s="7" t="s">
        <v>901</v>
      </c>
      <c r="D630" s="7" t="s">
        <v>1031</v>
      </c>
      <c r="E630" s="7" t="s">
        <v>127</v>
      </c>
      <c r="F630" s="7" t="n">
        <v>0</v>
      </c>
      <c r="G630" s="7" t="n">
        <v>0</v>
      </c>
      <c r="H630" s="7" t="n">
        <v>0</v>
      </c>
      <c r="I630" s="7" t="n">
        <v>0</v>
      </c>
      <c r="J630" s="7" t="n">
        <v>0</v>
      </c>
      <c r="K630" s="7" t="n">
        <v>0</v>
      </c>
      <c r="L630" s="7" t="n">
        <v>0</v>
      </c>
      <c r="M630" s="7" t="n">
        <v>0</v>
      </c>
      <c r="N630" s="7" t="n">
        <v>0</v>
      </c>
      <c r="O630" s="7" t="n">
        <v>0</v>
      </c>
      <c r="P630" s="7" t="n">
        <v>0</v>
      </c>
      <c r="Q630" s="7" t="n">
        <v>0</v>
      </c>
      <c r="R630" s="7" t="n">
        <v>0</v>
      </c>
    </row>
    <row r="631" customFormat="false" ht="15" hidden="false" customHeight="true" outlineLevel="0" collapsed="false">
      <c r="A631" s="7" t="n">
        <v>5297</v>
      </c>
      <c r="B631" s="7" t="s">
        <v>46</v>
      </c>
      <c r="C631" s="7" t="s">
        <v>46</v>
      </c>
      <c r="D631" s="7" t="s">
        <v>1032</v>
      </c>
      <c r="E631" s="7" t="s">
        <v>129</v>
      </c>
      <c r="F631" s="7" t="n">
        <v>10</v>
      </c>
      <c r="G631" s="7" t="n">
        <v>5.8</v>
      </c>
      <c r="H631" s="7" t="n">
        <v>5.8</v>
      </c>
      <c r="I631" s="7" t="n">
        <v>0</v>
      </c>
      <c r="J631" s="7" t="n">
        <v>0</v>
      </c>
      <c r="K631" s="7" t="n">
        <v>0</v>
      </c>
      <c r="L631" s="7" t="n">
        <v>0</v>
      </c>
      <c r="M631" s="7" t="n">
        <v>0</v>
      </c>
      <c r="N631" s="7" t="n">
        <v>0</v>
      </c>
      <c r="O631" s="7" t="n">
        <v>0</v>
      </c>
      <c r="P631" s="7" t="n">
        <v>0</v>
      </c>
      <c r="Q631" s="7" t="n">
        <v>0</v>
      </c>
      <c r="R631" s="7" t="n">
        <v>0</v>
      </c>
    </row>
    <row r="632" customFormat="false" ht="15" hidden="false" customHeight="true" outlineLevel="0" collapsed="false">
      <c r="A632" s="7" t="n">
        <v>247</v>
      </c>
      <c r="B632" s="7" t="s">
        <v>46</v>
      </c>
      <c r="C632" s="7" t="s">
        <v>989</v>
      </c>
      <c r="D632" s="7" t="s">
        <v>1033</v>
      </c>
      <c r="E632" s="7" t="s">
        <v>129</v>
      </c>
      <c r="F632" s="7" t="n">
        <v>6</v>
      </c>
      <c r="G632" s="7" t="n">
        <v>6</v>
      </c>
      <c r="H632" s="7" t="n">
        <v>6.42</v>
      </c>
      <c r="I632" s="7" t="n">
        <v>1</v>
      </c>
      <c r="J632" s="7" t="n">
        <v>0</v>
      </c>
      <c r="K632" s="7" t="n">
        <v>0</v>
      </c>
      <c r="L632" s="7" t="n">
        <v>0</v>
      </c>
      <c r="M632" s="7" t="n">
        <v>0</v>
      </c>
      <c r="N632" s="7" t="n">
        <v>0</v>
      </c>
      <c r="O632" s="7" t="n">
        <v>0</v>
      </c>
      <c r="P632" s="7" t="n">
        <v>1</v>
      </c>
      <c r="Q632" s="7" t="n">
        <v>0</v>
      </c>
      <c r="R632" s="7" t="n">
        <v>0</v>
      </c>
    </row>
    <row r="633" customFormat="false" ht="15" hidden="false" customHeight="true" outlineLevel="0" collapsed="false">
      <c r="A633" s="7" t="n">
        <v>5512</v>
      </c>
      <c r="B633" s="7" t="s">
        <v>46</v>
      </c>
      <c r="C633" s="7" t="s">
        <v>989</v>
      </c>
      <c r="D633" s="7" t="s">
        <v>1034</v>
      </c>
      <c r="E633" s="7" t="s">
        <v>750</v>
      </c>
      <c r="F633" s="7" t="n">
        <v>1</v>
      </c>
      <c r="G633" s="7" t="n">
        <v>7</v>
      </c>
      <c r="H633" s="7" t="n">
        <v>10</v>
      </c>
      <c r="I633" s="7" t="n">
        <v>1</v>
      </c>
      <c r="J633" s="7" t="n">
        <v>0</v>
      </c>
      <c r="K633" s="7" t="n">
        <v>0</v>
      </c>
      <c r="L633" s="7" t="n">
        <v>1</v>
      </c>
      <c r="M633" s="7" t="n">
        <v>1</v>
      </c>
      <c r="N633" s="7" t="n">
        <v>0</v>
      </c>
      <c r="O633" s="7" t="n">
        <v>0</v>
      </c>
      <c r="P633" s="7" t="n">
        <v>0</v>
      </c>
      <c r="Q633" s="7" t="n">
        <v>0</v>
      </c>
      <c r="R633" s="7" t="n">
        <v>0</v>
      </c>
    </row>
    <row r="634" customFormat="false" ht="15" hidden="false" customHeight="true" outlineLevel="0" collapsed="false">
      <c r="A634" s="7" t="n">
        <v>647</v>
      </c>
      <c r="B634" s="7" t="s">
        <v>46</v>
      </c>
      <c r="C634" s="7" t="s">
        <v>989</v>
      </c>
      <c r="D634" s="7" t="s">
        <v>1035</v>
      </c>
      <c r="E634" s="7" t="s">
        <v>123</v>
      </c>
      <c r="F634" s="7" t="n">
        <v>8</v>
      </c>
      <c r="G634" s="7" t="n">
        <v>5.62</v>
      </c>
      <c r="H634" s="7" t="n">
        <v>5.56</v>
      </c>
      <c r="I634" s="7" t="n">
        <v>0</v>
      </c>
      <c r="J634" s="7" t="n">
        <v>0</v>
      </c>
      <c r="K634" s="7" t="n">
        <v>0</v>
      </c>
      <c r="L634" s="7" t="n">
        <v>0</v>
      </c>
      <c r="M634" s="7" t="n">
        <v>0</v>
      </c>
      <c r="N634" s="7" t="n">
        <v>0</v>
      </c>
      <c r="O634" s="7" t="n">
        <v>0</v>
      </c>
      <c r="P634" s="7" t="n">
        <v>1</v>
      </c>
      <c r="Q634" s="7" t="n">
        <v>0</v>
      </c>
      <c r="R634" s="7" t="n">
        <v>0</v>
      </c>
    </row>
    <row r="635" customFormat="false" ht="15" hidden="false" customHeight="true" outlineLevel="0" collapsed="false">
      <c r="A635" s="7" t="n">
        <v>6207</v>
      </c>
      <c r="B635" s="7" t="s">
        <v>46</v>
      </c>
      <c r="C635" s="7" t="s">
        <v>901</v>
      </c>
      <c r="D635" s="7" t="s">
        <v>487</v>
      </c>
      <c r="E635" s="7" t="s">
        <v>141</v>
      </c>
      <c r="F635" s="7" t="n">
        <v>9</v>
      </c>
      <c r="G635" s="7" t="n">
        <v>5.94</v>
      </c>
      <c r="H635" s="7" t="n">
        <v>6.06</v>
      </c>
      <c r="I635" s="7" t="n">
        <v>0</v>
      </c>
      <c r="J635" s="7" t="n">
        <v>0</v>
      </c>
      <c r="K635" s="7" t="n">
        <v>0</v>
      </c>
      <c r="L635" s="7" t="n">
        <v>0</v>
      </c>
      <c r="M635" s="7" t="n">
        <v>0</v>
      </c>
      <c r="N635" s="7" t="n">
        <v>0</v>
      </c>
      <c r="O635" s="7" t="n">
        <v>1</v>
      </c>
      <c r="P635" s="7" t="n">
        <v>0</v>
      </c>
      <c r="Q635" s="7" t="n">
        <v>0</v>
      </c>
      <c r="R635" s="7" t="n">
        <v>0</v>
      </c>
    </row>
    <row r="636" customFormat="false" ht="15" hidden="false" customHeight="true" outlineLevel="0" collapsed="false">
      <c r="A636" s="7" t="n">
        <v>6213</v>
      </c>
      <c r="B636" s="7" t="s">
        <v>46</v>
      </c>
      <c r="C636" s="7" t="s">
        <v>46</v>
      </c>
      <c r="D636" s="7" t="s">
        <v>1036</v>
      </c>
      <c r="E636" s="7" t="s">
        <v>135</v>
      </c>
      <c r="F636" s="7" t="n">
        <v>0</v>
      </c>
      <c r="G636" s="7" t="n">
        <v>0</v>
      </c>
      <c r="H636" s="7" t="n">
        <v>0</v>
      </c>
      <c r="I636" s="7" t="n">
        <v>0</v>
      </c>
      <c r="J636" s="7" t="n">
        <v>0</v>
      </c>
      <c r="K636" s="7" t="n">
        <v>0</v>
      </c>
      <c r="L636" s="7" t="n">
        <v>0</v>
      </c>
      <c r="M636" s="7" t="n">
        <v>0</v>
      </c>
      <c r="N636" s="7" t="n">
        <v>0</v>
      </c>
      <c r="O636" s="7" t="n">
        <v>0</v>
      </c>
      <c r="P636" s="7" t="n">
        <v>0</v>
      </c>
      <c r="Q636" s="7" t="n">
        <v>0</v>
      </c>
      <c r="R636" s="7" t="n">
        <v>0</v>
      </c>
    </row>
    <row r="637" customFormat="false" ht="15" hidden="false" customHeight="true" outlineLevel="0" collapsed="false">
      <c r="A637" s="7" t="n">
        <v>6644</v>
      </c>
      <c r="B637" s="7" t="s">
        <v>46</v>
      </c>
      <c r="C637" s="7" t="s">
        <v>989</v>
      </c>
      <c r="D637" s="7" t="s">
        <v>1037</v>
      </c>
      <c r="E637" s="7" t="s">
        <v>752</v>
      </c>
      <c r="F637" s="7" t="n">
        <v>0</v>
      </c>
      <c r="G637" s="7" t="n">
        <v>0</v>
      </c>
      <c r="H637" s="7" t="n">
        <v>0</v>
      </c>
      <c r="I637" s="7" t="n">
        <v>0</v>
      </c>
      <c r="J637" s="7" t="n">
        <v>0</v>
      </c>
      <c r="K637" s="7" t="n">
        <v>0</v>
      </c>
      <c r="L637" s="7" t="n">
        <v>0</v>
      </c>
      <c r="M637" s="7" t="n">
        <v>0</v>
      </c>
      <c r="N637" s="7" t="n">
        <v>0</v>
      </c>
      <c r="O637" s="7" t="n">
        <v>0</v>
      </c>
      <c r="P637" s="7" t="n">
        <v>0</v>
      </c>
      <c r="Q637" s="7" t="n">
        <v>0</v>
      </c>
      <c r="R637" s="7" t="n">
        <v>0</v>
      </c>
    </row>
    <row r="638" customFormat="false" ht="15" hidden="false" customHeight="true" outlineLevel="0" collapsed="false">
      <c r="A638" s="7" t="n">
        <v>6519</v>
      </c>
      <c r="B638" s="7" t="s">
        <v>46</v>
      </c>
      <c r="C638" s="7" t="s">
        <v>989</v>
      </c>
      <c r="D638" s="7" t="s">
        <v>594</v>
      </c>
      <c r="E638" s="7" t="s">
        <v>139</v>
      </c>
      <c r="F638" s="7" t="n">
        <v>18</v>
      </c>
      <c r="G638" s="7" t="n">
        <v>5.67</v>
      </c>
      <c r="H638" s="7" t="n">
        <v>5.64</v>
      </c>
      <c r="I638" s="7" t="n">
        <v>1</v>
      </c>
      <c r="J638" s="7" t="n">
        <v>0</v>
      </c>
      <c r="K638" s="7" t="n">
        <v>0</v>
      </c>
      <c r="L638" s="7" t="n">
        <v>1</v>
      </c>
      <c r="M638" s="7" t="n">
        <v>0</v>
      </c>
      <c r="N638" s="7" t="n">
        <v>1</v>
      </c>
      <c r="O638" s="7" t="n">
        <v>0</v>
      </c>
      <c r="P638" s="7" t="n">
        <v>1</v>
      </c>
      <c r="Q638" s="7" t="n">
        <v>0</v>
      </c>
      <c r="R638" s="7" t="n">
        <v>0</v>
      </c>
    </row>
    <row r="639" customFormat="false" ht="15" hidden="false" customHeight="true" outlineLevel="0" collapsed="false">
      <c r="A639" s="7" t="n">
        <v>1842</v>
      </c>
      <c r="B639" s="7" t="s">
        <v>46</v>
      </c>
      <c r="C639" s="7" t="s">
        <v>46</v>
      </c>
      <c r="D639" s="7" t="s">
        <v>1038</v>
      </c>
      <c r="E639" s="7" t="s">
        <v>144</v>
      </c>
      <c r="F639" s="7" t="n">
        <v>4</v>
      </c>
      <c r="G639" s="7" t="n">
        <v>6</v>
      </c>
      <c r="H639" s="7" t="n">
        <v>5.88</v>
      </c>
      <c r="I639" s="7" t="n">
        <v>0</v>
      </c>
      <c r="J639" s="7" t="n">
        <v>0</v>
      </c>
      <c r="K639" s="7" t="n">
        <v>0</v>
      </c>
      <c r="L639" s="7" t="n">
        <v>0</v>
      </c>
      <c r="M639" s="7" t="n">
        <v>0</v>
      </c>
      <c r="N639" s="7" t="n">
        <v>0</v>
      </c>
      <c r="O639" s="7" t="n">
        <v>0</v>
      </c>
      <c r="P639" s="7" t="n">
        <v>1</v>
      </c>
      <c r="Q639" s="7" t="n">
        <v>0</v>
      </c>
      <c r="R639" s="7" t="n">
        <v>0</v>
      </c>
    </row>
    <row r="640" customFormat="false" ht="15" hidden="false" customHeight="true" outlineLevel="0" collapsed="false">
      <c r="A640" s="7" t="n">
        <v>5845</v>
      </c>
      <c r="B640" s="7" t="s">
        <v>46</v>
      </c>
      <c r="C640" s="7" t="s">
        <v>989</v>
      </c>
      <c r="D640" s="7" t="s">
        <v>1039</v>
      </c>
      <c r="E640" s="7" t="s">
        <v>144</v>
      </c>
      <c r="F640" s="7" t="n">
        <v>0</v>
      </c>
      <c r="G640" s="7" t="n">
        <v>0</v>
      </c>
      <c r="H640" s="7" t="n">
        <v>0</v>
      </c>
      <c r="I640" s="7" t="n">
        <v>0</v>
      </c>
      <c r="J640" s="7" t="n">
        <v>0</v>
      </c>
      <c r="K640" s="7" t="n">
        <v>0</v>
      </c>
      <c r="L640" s="7" t="n">
        <v>0</v>
      </c>
      <c r="M640" s="7" t="n">
        <v>0</v>
      </c>
      <c r="N640" s="7" t="n">
        <v>0</v>
      </c>
      <c r="O640" s="7" t="n">
        <v>0</v>
      </c>
      <c r="P640" s="7" t="n">
        <v>0</v>
      </c>
      <c r="Q640" s="7" t="n">
        <v>0</v>
      </c>
      <c r="R640" s="7" t="n">
        <v>0</v>
      </c>
    </row>
    <row r="641" customFormat="false" ht="15" hidden="false" customHeight="true" outlineLevel="0" collapsed="false">
      <c r="A641" s="7" t="n">
        <v>7161</v>
      </c>
      <c r="B641" s="7" t="s">
        <v>46</v>
      </c>
      <c r="C641" s="7" t="s">
        <v>989</v>
      </c>
      <c r="D641" s="7" t="s">
        <v>620</v>
      </c>
      <c r="E641" s="7" t="s">
        <v>135</v>
      </c>
      <c r="F641" s="7" t="n">
        <v>12</v>
      </c>
      <c r="G641" s="7" t="n">
        <v>5.75</v>
      </c>
      <c r="H641" s="7" t="n">
        <v>5.83</v>
      </c>
      <c r="I641" s="7" t="n">
        <v>0</v>
      </c>
      <c r="J641" s="7" t="n">
        <v>0</v>
      </c>
      <c r="K641" s="7" t="n">
        <v>0</v>
      </c>
      <c r="L641" s="7" t="n">
        <v>0</v>
      </c>
      <c r="M641" s="7" t="n">
        <v>0</v>
      </c>
      <c r="N641" s="7" t="n">
        <v>0</v>
      </c>
      <c r="O641" s="7" t="n">
        <v>1</v>
      </c>
      <c r="P641" s="7" t="n">
        <v>0</v>
      </c>
      <c r="Q641" s="7" t="n">
        <v>0</v>
      </c>
      <c r="R641" s="7" t="n">
        <v>0</v>
      </c>
    </row>
    <row r="642" customFormat="false" ht="15" hidden="false" customHeight="true" outlineLevel="0" collapsed="false">
      <c r="A642" s="7" t="n">
        <v>313</v>
      </c>
      <c r="B642" s="7" t="s">
        <v>46</v>
      </c>
      <c r="C642" s="7" t="s">
        <v>989</v>
      </c>
      <c r="D642" s="7" t="s">
        <v>600</v>
      </c>
      <c r="E642" s="7" t="s">
        <v>119</v>
      </c>
      <c r="F642" s="7" t="n">
        <v>17</v>
      </c>
      <c r="G642" s="7" t="n">
        <v>5.5</v>
      </c>
      <c r="H642" s="7" t="n">
        <v>5.21</v>
      </c>
      <c r="I642" s="7" t="n">
        <v>0</v>
      </c>
      <c r="J642" s="7" t="n">
        <v>0</v>
      </c>
      <c r="K642" s="7" t="n">
        <v>0</v>
      </c>
      <c r="L642" s="7" t="n">
        <v>1</v>
      </c>
      <c r="M642" s="7" t="n">
        <v>0</v>
      </c>
      <c r="N642" s="7" t="n">
        <v>1</v>
      </c>
      <c r="O642" s="7" t="n">
        <v>0</v>
      </c>
      <c r="P642" s="7" t="n">
        <v>2</v>
      </c>
      <c r="Q642" s="7" t="n">
        <v>1</v>
      </c>
      <c r="R642" s="7" t="n">
        <v>0</v>
      </c>
    </row>
    <row r="643" customFormat="false" ht="15" hidden="false" customHeight="true" outlineLevel="0" collapsed="false">
      <c r="A643" s="7" t="n">
        <v>7239</v>
      </c>
      <c r="B643" s="7" t="s">
        <v>46</v>
      </c>
      <c r="C643" s="7" t="s">
        <v>989</v>
      </c>
      <c r="D643" s="7" t="s">
        <v>1040</v>
      </c>
      <c r="E643" s="7" t="s">
        <v>123</v>
      </c>
      <c r="F643" s="7" t="n">
        <v>2</v>
      </c>
      <c r="G643" s="7" t="n">
        <v>5.75</v>
      </c>
      <c r="H643" s="7" t="n">
        <v>5.75</v>
      </c>
      <c r="I643" s="7" t="n">
        <v>0</v>
      </c>
      <c r="J643" s="7" t="n">
        <v>0</v>
      </c>
      <c r="K643" s="7" t="n">
        <v>0</v>
      </c>
      <c r="L643" s="7" t="n">
        <v>0</v>
      </c>
      <c r="M643" s="7" t="n">
        <v>0</v>
      </c>
      <c r="N643" s="7" t="n">
        <v>0</v>
      </c>
      <c r="O643" s="7" t="n">
        <v>0</v>
      </c>
      <c r="P643" s="7" t="n">
        <v>0</v>
      </c>
      <c r="Q643" s="7" t="n">
        <v>0</v>
      </c>
      <c r="R643" s="7" t="n">
        <v>0</v>
      </c>
    </row>
    <row r="644" customFormat="false" ht="15" hidden="false" customHeight="true" outlineLevel="0" collapsed="false">
      <c r="A644" s="7" t="n">
        <v>7264</v>
      </c>
      <c r="B644" s="7" t="s">
        <v>46</v>
      </c>
      <c r="C644" s="7" t="s">
        <v>989</v>
      </c>
      <c r="D644" s="7" t="s">
        <v>1041</v>
      </c>
      <c r="E644" s="7" t="s">
        <v>125</v>
      </c>
      <c r="F644" s="7" t="n">
        <v>1</v>
      </c>
      <c r="G644" s="7" t="n">
        <v>5.5</v>
      </c>
      <c r="H644" s="7" t="n">
        <v>5.5</v>
      </c>
      <c r="I644" s="7" t="n">
        <v>0</v>
      </c>
      <c r="J644" s="7" t="n">
        <v>0</v>
      </c>
      <c r="K644" s="7" t="n">
        <v>0</v>
      </c>
      <c r="L644" s="7" t="n">
        <v>0</v>
      </c>
      <c r="M644" s="7" t="n">
        <v>0</v>
      </c>
      <c r="N644" s="7" t="n">
        <v>0</v>
      </c>
      <c r="O644" s="7" t="n">
        <v>0</v>
      </c>
      <c r="P644" s="7" t="n">
        <v>0</v>
      </c>
      <c r="Q644" s="7" t="n">
        <v>0</v>
      </c>
      <c r="R644" s="7" t="n">
        <v>0</v>
      </c>
    </row>
    <row r="645" customFormat="false" ht="15" hidden="false" customHeight="true" outlineLevel="0" collapsed="false">
      <c r="A645" s="7" t="n">
        <v>6555</v>
      </c>
      <c r="B645" s="7" t="s">
        <v>46</v>
      </c>
      <c r="C645" s="7" t="s">
        <v>989</v>
      </c>
      <c r="D645" s="7" t="s">
        <v>1042</v>
      </c>
      <c r="E645" s="7" t="s">
        <v>750</v>
      </c>
      <c r="F645" s="7" t="n">
        <v>5</v>
      </c>
      <c r="G645" s="7" t="n">
        <v>5.6</v>
      </c>
      <c r="H645" s="7" t="n">
        <v>5.6</v>
      </c>
      <c r="I645" s="7" t="n">
        <v>0</v>
      </c>
      <c r="J645" s="7" t="n">
        <v>0</v>
      </c>
      <c r="K645" s="7" t="n">
        <v>0</v>
      </c>
      <c r="L645" s="7" t="n">
        <v>0</v>
      </c>
      <c r="M645" s="7" t="n">
        <v>0</v>
      </c>
      <c r="N645" s="7" t="n">
        <v>0</v>
      </c>
      <c r="O645" s="7" t="n">
        <v>0</v>
      </c>
      <c r="P645" s="7" t="n">
        <v>0</v>
      </c>
      <c r="Q645" s="7" t="n">
        <v>0</v>
      </c>
      <c r="R645" s="7" t="n">
        <v>0</v>
      </c>
    </row>
    <row r="646" customFormat="false" ht="15" hidden="false" customHeight="true" outlineLevel="0" collapsed="false">
      <c r="A646" s="7" t="n">
        <v>7338</v>
      </c>
      <c r="B646" s="7" t="s">
        <v>46</v>
      </c>
      <c r="C646" s="7" t="s">
        <v>46</v>
      </c>
      <c r="D646" s="7" t="s">
        <v>615</v>
      </c>
      <c r="E646" s="7" t="s">
        <v>129</v>
      </c>
      <c r="F646" s="7" t="n">
        <v>2</v>
      </c>
      <c r="G646" s="7" t="n">
        <v>6</v>
      </c>
      <c r="H646" s="7" t="n">
        <v>6</v>
      </c>
      <c r="I646" s="7" t="n">
        <v>0</v>
      </c>
      <c r="J646" s="7" t="n">
        <v>0</v>
      </c>
      <c r="K646" s="7" t="n">
        <v>0</v>
      </c>
      <c r="L646" s="7" t="n">
        <v>0</v>
      </c>
      <c r="M646" s="7" t="n">
        <v>0</v>
      </c>
      <c r="N646" s="7" t="n">
        <v>0</v>
      </c>
      <c r="O646" s="7" t="n">
        <v>0</v>
      </c>
      <c r="P646" s="7" t="n">
        <v>0</v>
      </c>
      <c r="Q646" s="7" t="n">
        <v>0</v>
      </c>
      <c r="R646" s="7" t="n">
        <v>0</v>
      </c>
    </row>
    <row r="647" customFormat="false" ht="15" hidden="false" customHeight="true" outlineLevel="0" collapsed="false">
      <c r="A647" s="7" t="n">
        <v>7381</v>
      </c>
      <c r="B647" s="7" t="s">
        <v>46</v>
      </c>
      <c r="C647" s="7" t="s">
        <v>989</v>
      </c>
      <c r="D647" s="7" t="s">
        <v>1043</v>
      </c>
      <c r="E647" s="7" t="s">
        <v>141</v>
      </c>
      <c r="F647" s="7" t="n">
        <v>1</v>
      </c>
      <c r="G647" s="7" t="n">
        <v>6</v>
      </c>
      <c r="H647" s="7" t="n">
        <v>6</v>
      </c>
      <c r="I647" s="7" t="n">
        <v>0</v>
      </c>
      <c r="J647" s="7" t="n">
        <v>0</v>
      </c>
      <c r="K647" s="7" t="n">
        <v>0</v>
      </c>
      <c r="L647" s="7" t="n">
        <v>0</v>
      </c>
      <c r="M647" s="7" t="n">
        <v>0</v>
      </c>
      <c r="N647" s="7" t="n">
        <v>0</v>
      </c>
      <c r="O647" s="7" t="n">
        <v>0</v>
      </c>
      <c r="P647" s="7" t="n">
        <v>0</v>
      </c>
      <c r="Q647" s="7" t="n">
        <v>0</v>
      </c>
      <c r="R647" s="7" t="n">
        <v>0</v>
      </c>
    </row>
    <row r="648" customFormat="false" ht="15" hidden="false" customHeight="true" outlineLevel="0" collapsed="false">
      <c r="A648" s="7" t="n">
        <v>7027</v>
      </c>
      <c r="B648" s="7" t="s">
        <v>46</v>
      </c>
      <c r="C648" s="7" t="s">
        <v>989</v>
      </c>
      <c r="D648" s="7" t="s">
        <v>617</v>
      </c>
      <c r="E648" s="7" t="s">
        <v>119</v>
      </c>
      <c r="F648" s="7" t="n">
        <v>0</v>
      </c>
      <c r="G648" s="7" t="n">
        <v>0</v>
      </c>
      <c r="H648" s="7" t="n">
        <v>0</v>
      </c>
      <c r="I648" s="7" t="n">
        <v>0</v>
      </c>
      <c r="J648" s="7" t="n">
        <v>0</v>
      </c>
      <c r="K648" s="7" t="n">
        <v>0</v>
      </c>
      <c r="L648" s="7" t="n">
        <v>0</v>
      </c>
      <c r="M648" s="7" t="n">
        <v>0</v>
      </c>
      <c r="N648" s="7" t="n">
        <v>0</v>
      </c>
      <c r="O648" s="7" t="n">
        <v>0</v>
      </c>
      <c r="P648" s="7" t="n">
        <v>0</v>
      </c>
      <c r="Q648" s="7" t="n">
        <v>0</v>
      </c>
      <c r="R648" s="7" t="n">
        <v>0</v>
      </c>
    </row>
    <row r="649" customFormat="false" ht="15" hidden="false" customHeight="true" outlineLevel="0" collapsed="false">
      <c r="A649" s="7" t="n">
        <v>6657</v>
      </c>
      <c r="B649" s="7" t="s">
        <v>46</v>
      </c>
      <c r="C649" s="7" t="s">
        <v>989</v>
      </c>
      <c r="D649" s="7" t="s">
        <v>1044</v>
      </c>
      <c r="E649" s="7" t="s">
        <v>119</v>
      </c>
      <c r="F649" s="7" t="n">
        <v>0</v>
      </c>
      <c r="G649" s="7" t="n">
        <v>0</v>
      </c>
      <c r="H649" s="7" t="n">
        <v>0</v>
      </c>
      <c r="I649" s="7" t="n">
        <v>0</v>
      </c>
      <c r="J649" s="7" t="n">
        <v>0</v>
      </c>
      <c r="K649" s="7" t="n">
        <v>0</v>
      </c>
      <c r="L649" s="7" t="n">
        <v>0</v>
      </c>
      <c r="M649" s="7" t="n">
        <v>0</v>
      </c>
      <c r="N649" s="7" t="n">
        <v>0</v>
      </c>
      <c r="O649" s="7" t="n">
        <v>0</v>
      </c>
      <c r="P649" s="7" t="n">
        <v>0</v>
      </c>
      <c r="Q649" s="7" t="n">
        <v>0</v>
      </c>
      <c r="R649" s="7" t="n">
        <v>0</v>
      </c>
    </row>
    <row r="650" customFormat="false" ht="15" hidden="false" customHeight="true" outlineLevel="0" collapsed="false">
      <c r="A650" s="7" t="n">
        <v>7134</v>
      </c>
      <c r="B650" s="7" t="s">
        <v>46</v>
      </c>
      <c r="C650" s="7" t="s">
        <v>989</v>
      </c>
      <c r="D650" s="7" t="s">
        <v>1045</v>
      </c>
      <c r="E650" s="7" t="s">
        <v>750</v>
      </c>
      <c r="F650" s="7" t="n">
        <v>0</v>
      </c>
      <c r="G650" s="7" t="n">
        <v>0</v>
      </c>
      <c r="H650" s="7" t="n">
        <v>0</v>
      </c>
      <c r="I650" s="7" t="n">
        <v>0</v>
      </c>
      <c r="J650" s="7" t="n">
        <v>0</v>
      </c>
      <c r="K650" s="7" t="n">
        <v>0</v>
      </c>
      <c r="L650" s="7" t="n">
        <v>0</v>
      </c>
      <c r="M650" s="7" t="n">
        <v>0</v>
      </c>
      <c r="N650" s="7" t="n">
        <v>0</v>
      </c>
      <c r="O650" s="7" t="n">
        <v>0</v>
      </c>
      <c r="P650" s="7" t="n">
        <v>0</v>
      </c>
      <c r="Q650" s="7" t="n">
        <v>0</v>
      </c>
      <c r="R650" s="7" t="n">
        <v>0</v>
      </c>
    </row>
    <row r="651" customFormat="false" ht="15" hidden="false" customHeight="true" outlineLevel="0" collapsed="false">
      <c r="A651" s="7" t="n">
        <v>2012</v>
      </c>
      <c r="B651" s="7" t="s">
        <v>46</v>
      </c>
      <c r="C651" s="7" t="s">
        <v>989</v>
      </c>
      <c r="D651" s="7" t="s">
        <v>1046</v>
      </c>
      <c r="E651" s="7" t="s">
        <v>131</v>
      </c>
      <c r="F651" s="7" t="n">
        <v>2</v>
      </c>
      <c r="G651" s="7" t="n">
        <v>6</v>
      </c>
      <c r="H651" s="7" t="n">
        <v>6</v>
      </c>
      <c r="I651" s="7" t="n">
        <v>0</v>
      </c>
      <c r="J651" s="7" t="n">
        <v>0</v>
      </c>
      <c r="K651" s="7" t="n">
        <v>0</v>
      </c>
      <c r="L651" s="7" t="n">
        <v>0</v>
      </c>
      <c r="M651" s="7" t="n">
        <v>0</v>
      </c>
      <c r="N651" s="7" t="n">
        <v>0</v>
      </c>
      <c r="O651" s="7" t="n">
        <v>0</v>
      </c>
      <c r="P651" s="7" t="n">
        <v>0</v>
      </c>
      <c r="Q651" s="7" t="n">
        <v>0</v>
      </c>
      <c r="R651" s="7" t="n">
        <v>0</v>
      </c>
    </row>
    <row r="652" customFormat="false" ht="15" hidden="false" customHeight="true" outlineLevel="0" collapsed="false">
      <c r="A652" s="7" t="n">
        <v>7171</v>
      </c>
      <c r="B652" s="7" t="s">
        <v>46</v>
      </c>
      <c r="C652" s="7" t="s">
        <v>46</v>
      </c>
      <c r="D652" s="7" t="s">
        <v>1047</v>
      </c>
      <c r="E652" s="7" t="s">
        <v>755</v>
      </c>
      <c r="F652" s="7" t="n">
        <v>0</v>
      </c>
      <c r="G652" s="7" t="n">
        <v>0</v>
      </c>
      <c r="H652" s="7" t="n">
        <v>0</v>
      </c>
      <c r="I652" s="7" t="n">
        <v>0</v>
      </c>
      <c r="J652" s="7" t="n">
        <v>0</v>
      </c>
      <c r="K652" s="7" t="n">
        <v>0</v>
      </c>
      <c r="L652" s="7" t="n">
        <v>0</v>
      </c>
      <c r="M652" s="7" t="n">
        <v>0</v>
      </c>
      <c r="N652" s="7" t="n">
        <v>0</v>
      </c>
      <c r="O652" s="7" t="n">
        <v>0</v>
      </c>
      <c r="P652" s="7" t="n">
        <v>0</v>
      </c>
      <c r="Q652" s="7" t="n">
        <v>0</v>
      </c>
      <c r="R652" s="7" t="n">
        <v>0</v>
      </c>
    </row>
    <row r="653" customFormat="false" ht="15" hidden="false" customHeight="true" outlineLevel="0" collapsed="false">
      <c r="A653" s="7" t="n">
        <v>7152</v>
      </c>
      <c r="B653" s="7" t="s">
        <v>46</v>
      </c>
      <c r="C653" s="7" t="s">
        <v>989</v>
      </c>
      <c r="D653" s="7" t="s">
        <v>1048</v>
      </c>
      <c r="E653" s="7" t="s">
        <v>755</v>
      </c>
      <c r="F653" s="7" t="n">
        <v>0</v>
      </c>
      <c r="G653" s="7" t="n">
        <v>0</v>
      </c>
      <c r="H653" s="7" t="n">
        <v>0</v>
      </c>
      <c r="I653" s="7" t="n">
        <v>0</v>
      </c>
      <c r="J653" s="7" t="n">
        <v>0</v>
      </c>
      <c r="K653" s="7" t="n">
        <v>0</v>
      </c>
      <c r="L653" s="7" t="n">
        <v>0</v>
      </c>
      <c r="M653" s="7" t="n">
        <v>0</v>
      </c>
      <c r="N653" s="7" t="n">
        <v>0</v>
      </c>
      <c r="O653" s="7" t="n">
        <v>0</v>
      </c>
      <c r="P653" s="7" t="n">
        <v>0</v>
      </c>
      <c r="Q653" s="7" t="n">
        <v>0</v>
      </c>
      <c r="R653" s="7" t="n">
        <v>0</v>
      </c>
    </row>
    <row r="654" customFormat="false" ht="15" hidden="false" customHeight="true" outlineLevel="0" collapsed="false">
      <c r="A654" s="7" t="n">
        <v>7158</v>
      </c>
      <c r="B654" s="7" t="s">
        <v>46</v>
      </c>
      <c r="C654" s="7" t="s">
        <v>989</v>
      </c>
      <c r="D654" s="7" t="s">
        <v>619</v>
      </c>
      <c r="E654" s="7" t="s">
        <v>144</v>
      </c>
      <c r="F654" s="7" t="n">
        <v>6</v>
      </c>
      <c r="G654" s="7" t="n">
        <v>5.58</v>
      </c>
      <c r="H654" s="7" t="n">
        <v>5.5</v>
      </c>
      <c r="I654" s="7" t="n">
        <v>0</v>
      </c>
      <c r="J654" s="7" t="n">
        <v>0</v>
      </c>
      <c r="K654" s="7" t="n">
        <v>0</v>
      </c>
      <c r="L654" s="7" t="n">
        <v>0</v>
      </c>
      <c r="M654" s="7" t="n">
        <v>0</v>
      </c>
      <c r="N654" s="7" t="n">
        <v>0</v>
      </c>
      <c r="O654" s="7" t="n">
        <v>0</v>
      </c>
      <c r="P654" s="7" t="n">
        <v>1</v>
      </c>
      <c r="Q654" s="7" t="n">
        <v>0</v>
      </c>
      <c r="R654" s="7" t="n">
        <v>0</v>
      </c>
    </row>
    <row r="655" customFormat="false" ht="15" hidden="false" customHeight="true" outlineLevel="0" collapsed="false">
      <c r="A655" s="7" t="n">
        <v>7159</v>
      </c>
      <c r="B655" s="7" t="s">
        <v>46</v>
      </c>
      <c r="C655" s="7" t="s">
        <v>989</v>
      </c>
      <c r="D655" s="7" t="s">
        <v>1049</v>
      </c>
      <c r="E655" s="7" t="s">
        <v>144</v>
      </c>
      <c r="F655" s="7" t="n">
        <v>0</v>
      </c>
      <c r="G655" s="7" t="n">
        <v>0</v>
      </c>
      <c r="H655" s="7" t="n">
        <v>0</v>
      </c>
      <c r="I655" s="7" t="n">
        <v>0</v>
      </c>
      <c r="J655" s="7" t="n">
        <v>0</v>
      </c>
      <c r="K655" s="7" t="n">
        <v>0</v>
      </c>
      <c r="L655" s="7" t="n">
        <v>0</v>
      </c>
      <c r="M655" s="7" t="n">
        <v>0</v>
      </c>
      <c r="N655" s="7" t="n">
        <v>0</v>
      </c>
      <c r="O655" s="7" t="n">
        <v>0</v>
      </c>
      <c r="P655" s="7" t="n">
        <v>0</v>
      </c>
      <c r="Q655" s="7" t="n">
        <v>0</v>
      </c>
      <c r="R655" s="7" t="n">
        <v>0</v>
      </c>
    </row>
    <row r="656" customFormat="false" ht="15" hidden="false" customHeight="true" outlineLevel="0" collapsed="false">
      <c r="A656" s="7" t="n">
        <v>6635</v>
      </c>
      <c r="B656" s="7" t="s">
        <v>46</v>
      </c>
      <c r="C656" s="7" t="s">
        <v>989</v>
      </c>
      <c r="D656" s="7" t="s">
        <v>1050</v>
      </c>
      <c r="E656" s="7" t="s">
        <v>135</v>
      </c>
      <c r="F656" s="7" t="n">
        <v>0</v>
      </c>
      <c r="G656" s="7" t="n">
        <v>0</v>
      </c>
      <c r="H656" s="7" t="n">
        <v>0</v>
      </c>
      <c r="I656" s="7" t="n">
        <v>0</v>
      </c>
      <c r="J656" s="7" t="n">
        <v>0</v>
      </c>
      <c r="K656" s="7" t="n">
        <v>0</v>
      </c>
      <c r="L656" s="7" t="n">
        <v>0</v>
      </c>
      <c r="M656" s="7" t="n">
        <v>0</v>
      </c>
      <c r="N656" s="7" t="n">
        <v>0</v>
      </c>
      <c r="O656" s="7" t="n">
        <v>0</v>
      </c>
      <c r="P656" s="7" t="n">
        <v>0</v>
      </c>
      <c r="Q656" s="7" t="n">
        <v>0</v>
      </c>
      <c r="R656" s="7" t="n">
        <v>0</v>
      </c>
    </row>
    <row r="657" customFormat="false" ht="15" hidden="false" customHeight="true" outlineLevel="0" collapsed="false">
      <c r="A657" s="7" t="n">
        <v>7183</v>
      </c>
      <c r="B657" s="7" t="s">
        <v>46</v>
      </c>
      <c r="C657" s="7" t="s">
        <v>46</v>
      </c>
      <c r="D657" s="7" t="s">
        <v>505</v>
      </c>
      <c r="E657" s="7" t="s">
        <v>184</v>
      </c>
      <c r="F657" s="7" t="n">
        <v>11</v>
      </c>
      <c r="G657" s="7" t="n">
        <v>5.77</v>
      </c>
      <c r="H657" s="7" t="n">
        <v>5.64</v>
      </c>
      <c r="I657" s="7" t="n">
        <v>0</v>
      </c>
      <c r="J657" s="7" t="n">
        <v>0</v>
      </c>
      <c r="K657" s="7" t="n">
        <v>0</v>
      </c>
      <c r="L657" s="7" t="n">
        <v>0</v>
      </c>
      <c r="M657" s="7" t="n">
        <v>0</v>
      </c>
      <c r="N657" s="7" t="n">
        <v>0</v>
      </c>
      <c r="O657" s="7" t="n">
        <v>0</v>
      </c>
      <c r="P657" s="7" t="n">
        <v>4</v>
      </c>
      <c r="Q657" s="7" t="n">
        <v>0</v>
      </c>
      <c r="R657" s="7" t="n">
        <v>0</v>
      </c>
    </row>
    <row r="658" customFormat="false" ht="15" hidden="false" customHeight="true" outlineLevel="0" collapsed="false">
      <c r="A658" s="7" t="n">
        <v>7213</v>
      </c>
      <c r="B658" s="7" t="s">
        <v>46</v>
      </c>
      <c r="C658" s="7" t="s">
        <v>989</v>
      </c>
      <c r="D658" s="7" t="s">
        <v>596</v>
      </c>
      <c r="E658" s="7" t="s">
        <v>141</v>
      </c>
      <c r="F658" s="7" t="n">
        <v>0</v>
      </c>
      <c r="G658" s="7" t="n">
        <v>0</v>
      </c>
      <c r="H658" s="7" t="n">
        <v>0</v>
      </c>
      <c r="I658" s="7" t="n">
        <v>0</v>
      </c>
      <c r="J658" s="7" t="n">
        <v>0</v>
      </c>
      <c r="K658" s="7" t="n">
        <v>0</v>
      </c>
      <c r="L658" s="7" t="n">
        <v>0</v>
      </c>
      <c r="M658" s="7" t="n">
        <v>0</v>
      </c>
      <c r="N658" s="7" t="n">
        <v>0</v>
      </c>
      <c r="O658" s="7" t="n">
        <v>0</v>
      </c>
      <c r="P658" s="7" t="n">
        <v>0</v>
      </c>
      <c r="Q658" s="7" t="n">
        <v>0</v>
      </c>
      <c r="R658" s="7" t="n">
        <v>0</v>
      </c>
    </row>
    <row r="659" customFormat="false" ht="15" hidden="false" customHeight="true" outlineLevel="0" collapsed="false">
      <c r="A659" s="7" t="n">
        <v>2762</v>
      </c>
      <c r="B659" s="7" t="s">
        <v>46</v>
      </c>
      <c r="C659" s="7" t="s">
        <v>46</v>
      </c>
      <c r="D659" s="7" t="s">
        <v>1051</v>
      </c>
      <c r="E659" s="7" t="s">
        <v>123</v>
      </c>
      <c r="F659" s="7" t="n">
        <v>1</v>
      </c>
      <c r="G659" s="7" t="n">
        <v>6</v>
      </c>
      <c r="H659" s="7" t="n">
        <v>6</v>
      </c>
      <c r="I659" s="7" t="n">
        <v>0</v>
      </c>
      <c r="J659" s="7" t="n">
        <v>0</v>
      </c>
      <c r="K659" s="7" t="n">
        <v>0</v>
      </c>
      <c r="L659" s="7" t="n">
        <v>0</v>
      </c>
      <c r="M659" s="7" t="n">
        <v>0</v>
      </c>
      <c r="N659" s="7" t="n">
        <v>0</v>
      </c>
      <c r="O659" s="7" t="n">
        <v>0</v>
      </c>
      <c r="P659" s="7" t="n">
        <v>0</v>
      </c>
      <c r="Q659" s="7" t="n">
        <v>0</v>
      </c>
      <c r="R659" s="7" t="n">
        <v>0</v>
      </c>
    </row>
    <row r="660" customFormat="false" ht="15" hidden="false" customHeight="true" outlineLevel="0" collapsed="false">
      <c r="A660" s="7" t="n">
        <v>7262</v>
      </c>
      <c r="B660" s="7" t="s">
        <v>46</v>
      </c>
      <c r="C660" s="7" t="s">
        <v>46</v>
      </c>
      <c r="D660" s="7" t="s">
        <v>1052</v>
      </c>
      <c r="E660" s="7" t="s">
        <v>121</v>
      </c>
      <c r="F660" s="7" t="n">
        <v>0</v>
      </c>
      <c r="G660" s="7" t="n">
        <v>0</v>
      </c>
      <c r="H660" s="7" t="n">
        <v>0</v>
      </c>
      <c r="I660" s="7" t="n">
        <v>0</v>
      </c>
      <c r="J660" s="7" t="n">
        <v>0</v>
      </c>
      <c r="K660" s="7" t="n">
        <v>0</v>
      </c>
      <c r="L660" s="7" t="n">
        <v>0</v>
      </c>
      <c r="M660" s="7" t="n">
        <v>0</v>
      </c>
      <c r="N660" s="7" t="n">
        <v>0</v>
      </c>
      <c r="O660" s="7" t="n">
        <v>0</v>
      </c>
      <c r="P660" s="7" t="n">
        <v>0</v>
      </c>
      <c r="Q660" s="7" t="n">
        <v>0</v>
      </c>
      <c r="R660" s="7" t="n">
        <v>0</v>
      </c>
    </row>
    <row r="661" customFormat="false" ht="15" hidden="false" customHeight="true" outlineLevel="0" collapsed="false">
      <c r="A661" s="7" t="n">
        <v>7277</v>
      </c>
      <c r="B661" s="7" t="s">
        <v>46</v>
      </c>
      <c r="C661" s="7" t="s">
        <v>989</v>
      </c>
      <c r="D661" s="7" t="s">
        <v>1053</v>
      </c>
      <c r="E661" s="7" t="s">
        <v>113</v>
      </c>
      <c r="F661" s="7" t="n">
        <v>1</v>
      </c>
      <c r="G661" s="7" t="n">
        <v>6</v>
      </c>
      <c r="H661" s="7" t="n">
        <v>6</v>
      </c>
      <c r="I661" s="7" t="n">
        <v>0</v>
      </c>
      <c r="J661" s="7" t="n">
        <v>0</v>
      </c>
      <c r="K661" s="7" t="n">
        <v>0</v>
      </c>
      <c r="L661" s="7" t="n">
        <v>0</v>
      </c>
      <c r="M661" s="7" t="n">
        <v>0</v>
      </c>
      <c r="N661" s="7" t="n">
        <v>0</v>
      </c>
      <c r="O661" s="7" t="n">
        <v>0</v>
      </c>
      <c r="P661" s="7" t="n">
        <v>0</v>
      </c>
      <c r="Q661" s="7" t="n">
        <v>0</v>
      </c>
      <c r="R661" s="7" t="n">
        <v>0</v>
      </c>
    </row>
    <row r="662" customFormat="false" ht="15" hidden="false" customHeight="true" outlineLevel="0" collapsed="false">
      <c r="A662" s="7" t="n">
        <v>7309</v>
      </c>
      <c r="B662" s="7" t="s">
        <v>46</v>
      </c>
      <c r="C662" s="7" t="s">
        <v>989</v>
      </c>
      <c r="D662" s="7" t="s">
        <v>1054</v>
      </c>
      <c r="E662" s="7" t="s">
        <v>752</v>
      </c>
      <c r="F662" s="7" t="n">
        <v>1</v>
      </c>
      <c r="G662" s="7" t="n">
        <v>6</v>
      </c>
      <c r="H662" s="7" t="n">
        <v>6</v>
      </c>
      <c r="I662" s="7" t="n">
        <v>0</v>
      </c>
      <c r="J662" s="7" t="n">
        <v>0</v>
      </c>
      <c r="K662" s="7" t="n">
        <v>0</v>
      </c>
      <c r="L662" s="7" t="n">
        <v>0</v>
      </c>
      <c r="M662" s="7" t="n">
        <v>0</v>
      </c>
      <c r="N662" s="7" t="n">
        <v>0</v>
      </c>
      <c r="O662" s="7" t="n">
        <v>0</v>
      </c>
      <c r="P662" s="7" t="n">
        <v>0</v>
      </c>
      <c r="Q662" s="7" t="n">
        <v>0</v>
      </c>
      <c r="R662" s="7" t="n">
        <v>0</v>
      </c>
    </row>
    <row r="663" customFormat="false" ht="15" hidden="false" customHeight="true" outlineLevel="0" collapsed="false">
      <c r="A663" s="7" t="n">
        <v>7317</v>
      </c>
      <c r="B663" s="7" t="s">
        <v>46</v>
      </c>
      <c r="C663" s="7" t="s">
        <v>989</v>
      </c>
      <c r="D663" s="7" t="s">
        <v>616</v>
      </c>
      <c r="E663" s="7" t="s">
        <v>129</v>
      </c>
      <c r="F663" s="7" t="n">
        <v>3</v>
      </c>
      <c r="G663" s="7" t="n">
        <v>5.67</v>
      </c>
      <c r="H663" s="7" t="n">
        <v>5.67</v>
      </c>
      <c r="I663" s="7" t="n">
        <v>0</v>
      </c>
      <c r="J663" s="7" t="n">
        <v>0</v>
      </c>
      <c r="K663" s="7" t="n">
        <v>0</v>
      </c>
      <c r="L663" s="7" t="n">
        <v>0</v>
      </c>
      <c r="M663" s="7" t="n">
        <v>0</v>
      </c>
      <c r="N663" s="7" t="n">
        <v>0</v>
      </c>
      <c r="O663" s="7" t="n">
        <v>0</v>
      </c>
      <c r="P663" s="7" t="n">
        <v>0</v>
      </c>
      <c r="Q663" s="7" t="n">
        <v>0</v>
      </c>
      <c r="R663" s="7" t="n">
        <v>0</v>
      </c>
    </row>
    <row r="664" customFormat="false" ht="15" hidden="false" customHeight="true" outlineLevel="0" collapsed="false">
      <c r="A664" s="7" t="n">
        <v>7368</v>
      </c>
      <c r="B664" s="7" t="s">
        <v>46</v>
      </c>
      <c r="C664" s="7" t="s">
        <v>989</v>
      </c>
      <c r="D664" s="7" t="s">
        <v>1055</v>
      </c>
      <c r="E664" s="7" t="s">
        <v>752</v>
      </c>
      <c r="F664" s="7" t="n">
        <v>1</v>
      </c>
      <c r="G664" s="7" t="n">
        <v>6.5</v>
      </c>
      <c r="H664" s="7" t="n">
        <v>6.5</v>
      </c>
      <c r="I664" s="7" t="n">
        <v>0</v>
      </c>
      <c r="J664" s="7" t="n">
        <v>0</v>
      </c>
      <c r="K664" s="7" t="n">
        <v>0</v>
      </c>
      <c r="L664" s="7" t="n">
        <v>0</v>
      </c>
      <c r="M664" s="7" t="n">
        <v>0</v>
      </c>
      <c r="N664" s="7" t="n">
        <v>0</v>
      </c>
      <c r="O664" s="7" t="n">
        <v>0</v>
      </c>
      <c r="P664" s="7" t="n">
        <v>0</v>
      </c>
      <c r="Q664" s="7" t="n">
        <v>0</v>
      </c>
      <c r="R664" s="7" t="n">
        <v>0</v>
      </c>
    </row>
    <row r="665" customFormat="false" ht="15" hidden="false" customHeight="true" outlineLevel="0" collapsed="false">
      <c r="A665" s="7" t="n">
        <v>7388</v>
      </c>
      <c r="B665" s="7" t="s">
        <v>46</v>
      </c>
      <c r="C665" s="7" t="s">
        <v>46</v>
      </c>
      <c r="D665" s="7" t="s">
        <v>1056</v>
      </c>
      <c r="E665" s="7" t="s">
        <v>115</v>
      </c>
      <c r="F665" s="7" t="n">
        <v>0</v>
      </c>
      <c r="G665" s="7" t="n">
        <v>0</v>
      </c>
      <c r="H665" s="7" t="n">
        <v>0</v>
      </c>
      <c r="I665" s="7" t="n">
        <v>0</v>
      </c>
      <c r="J665" s="7" t="n">
        <v>0</v>
      </c>
      <c r="K665" s="7" t="n">
        <v>0</v>
      </c>
      <c r="L665" s="7" t="n">
        <v>0</v>
      </c>
      <c r="M665" s="7" t="n">
        <v>0</v>
      </c>
      <c r="N665" s="7" t="n">
        <v>0</v>
      </c>
      <c r="O665" s="7" t="n">
        <v>0</v>
      </c>
      <c r="P665" s="7" t="n">
        <v>0</v>
      </c>
      <c r="Q665" s="7" t="n">
        <v>0</v>
      </c>
      <c r="R665" s="7" t="n">
        <v>0</v>
      </c>
    </row>
  </sheetData>
  <mergeCells count="1">
    <mergeCell ref="A1:R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Salvatore Nocerino</dc:creator>
  <dc:description/>
  <dc:language>en-US</dc:language>
  <cp:lastModifiedBy>Salvatore Nocerino</cp:lastModifiedBy>
  <dcterms:modified xsi:type="dcterms:W3CDTF">2026-08-10T19:02:00Z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